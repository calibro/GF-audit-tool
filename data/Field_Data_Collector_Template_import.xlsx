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Info" sheetId="1" state="visible" r:id="rId3"/>
    <sheet name="Materials Master" sheetId="2" state="visible" r:id="rId4"/>
    <sheet name="Areas" sheetId="3" state="visible" r:id="rId5"/>
    <sheet name="Streams" sheetId="4" state="visible" r:id="rId6"/>
    <sheet name="Fact_SortedWeights" sheetId="5" state="visible" r:id="rId7"/>
    <sheet name="Fact_PreSortWeights" sheetId="6" state="visible" r:id="rId8"/>
    <sheet name="Fact_Extrapolated" sheetId="7" state="visible" r:id="rId9"/>
    <sheet name="Overall Summary" sheetId="8" state="visible" r:id="rId10"/>
    <sheet name="OFFICES Summary" sheetId="9" state="visible" r:id="rId11"/>
    <sheet name="CAFÉ BOH Summary" sheetId="10" state="visible" r:id="rId12"/>
    <sheet name="LOCATION C Summary" sheetId="11" state="visible" r:id="rId13"/>
    <sheet name="LOCATION D Summary" sheetId="12" state="visible" r:id="rId14"/>
    <sheet name="BATHROOM Summary" sheetId="13" state="visible" r:id="rId15"/>
    <sheet name="Notes &amp; Assumptions" sheetId="14" state="visible" r:id="rId16"/>
    <sheet name="QA_Reconciliation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<sst xmlns="http://schemas.openxmlformats.org/spreadsheetml/2006/main" count="4111" uniqueCount="152">
  <si>
    <t xml:space="preserve">Audit Info</t>
  </si>
  <si>
    <t xml:space="preserve">Client Name</t>
  </si>
  <si>
    <t xml:space="preserve">CBRE - Bloomberg</t>
  </si>
  <si>
    <t xml:space="preserve">Site Name</t>
  </si>
  <si>
    <t xml:space="preserve">120 Park Avenue</t>
  </si>
  <si>
    <t xml:space="preserve">Site Address</t>
  </si>
  <si>
    <t xml:space="preserve">120 Park Avenue, New York, NY</t>
  </si>
  <si>
    <t xml:space="preserve">Hauler</t>
  </si>
  <si>
    <t xml:space="preserve">Waste Connections</t>
  </si>
  <si>
    <t xml:space="preserve">Tenant/Area Breakouts</t>
  </si>
  <si>
    <t xml:space="preserve">BOH Foodservice Management</t>
  </si>
  <si>
    <t xml:space="preserve">Auditors</t>
  </si>
  <si>
    <t xml:space="preserve">Audit Date</t>
  </si>
  <si>
    <t xml:space="preserve">2025-01-23</t>
  </si>
  <si>
    <t xml:space="preserve">Site Occupancy</t>
  </si>
  <si>
    <t xml:space="preserve">Source</t>
  </si>
  <si>
    <t xml:space="preserve">Collected via tablet field form</t>
  </si>
  <si>
    <t xml:space="preserve">material_id</t>
  </si>
  <si>
    <t xml:space="preserve">material_name</t>
  </si>
  <si>
    <t xml:space="preserve">material_category</t>
  </si>
  <si>
    <t xml:space="preserve">currently_divertible</t>
  </si>
  <si>
    <t xml:space="preserve">accepted_in_program</t>
  </si>
  <si>
    <t xml:space="preserve">target: Trash</t>
  </si>
  <si>
    <t xml:space="preserve">target: GMPC Recycling</t>
  </si>
  <si>
    <t xml:space="preserve">target: Organics Recycling</t>
  </si>
  <si>
    <t xml:space="preserve">target: Cardboard Recycling</t>
  </si>
  <si>
    <t xml:space="preserve">target: Paper Recycling</t>
  </si>
  <si>
    <t xml:space="preserve">target: Terracycle</t>
  </si>
  <si>
    <t xml:space="preserve">FIB01</t>
  </si>
  <si>
    <t xml:space="preserve">Corrugated Cardboard</t>
  </si>
  <si>
    <t xml:space="preserve">Fibers</t>
  </si>
  <si>
    <t xml:space="preserve">Yes</t>
  </si>
  <si>
    <t xml:space="preserve">No</t>
  </si>
  <si>
    <t xml:space="preserve">FIB02</t>
  </si>
  <si>
    <t xml:space="preserve">Soiled Cardboard</t>
  </si>
  <si>
    <t xml:space="preserve">FIB03</t>
  </si>
  <si>
    <t xml:space="preserve">Waxed Cardboard</t>
  </si>
  <si>
    <t xml:space="preserve">FIB04</t>
  </si>
  <si>
    <t xml:space="preserve">Mixed Paper</t>
  </si>
  <si>
    <t xml:space="preserve">FIB05</t>
  </si>
  <si>
    <t xml:space="preserve">Soiled Paper</t>
  </si>
  <si>
    <t xml:space="preserve">FIB06</t>
  </si>
  <si>
    <t xml:space="preserve">Beverage Cartons</t>
  </si>
  <si>
    <t xml:space="preserve">FIB07</t>
  </si>
  <si>
    <t xml:space="preserve">Soiled Beverage Cartons</t>
  </si>
  <si>
    <t xml:space="preserve">FIB08</t>
  </si>
  <si>
    <t xml:space="preserve">Paper Cups / Other Coated Paper Containers</t>
  </si>
  <si>
    <t xml:space="preserve">GLA01</t>
  </si>
  <si>
    <t xml:space="preserve">Glass Bottles &amp; Jars</t>
  </si>
  <si>
    <t xml:space="preserve">Glass</t>
  </si>
  <si>
    <t xml:space="preserve">GLA02</t>
  </si>
  <si>
    <t xml:space="preserve">Soiled Glass</t>
  </si>
  <si>
    <t xml:space="preserve">MET01</t>
  </si>
  <si>
    <t xml:space="preserve">Aluminum &amp; Bi-Metal Containers</t>
  </si>
  <si>
    <t xml:space="preserve">Metals</t>
  </si>
  <si>
    <t xml:space="preserve">MET02</t>
  </si>
  <si>
    <t xml:space="preserve">Soiled Metals</t>
  </si>
  <si>
    <t xml:space="preserve">PLA01</t>
  </si>
  <si>
    <t xml:space="preserve">Rigid Plastics (1-6)</t>
  </si>
  <si>
    <t xml:space="preserve">Plastics</t>
  </si>
  <si>
    <t xml:space="preserve">PLA02</t>
  </si>
  <si>
    <t xml:space="preserve">Soiled Rigid Plastics</t>
  </si>
  <si>
    <t xml:space="preserve">PLA03</t>
  </si>
  <si>
    <t xml:space="preserve">Film Plastics</t>
  </si>
  <si>
    <t xml:space="preserve">PLA04</t>
  </si>
  <si>
    <t xml:space="preserve">Foams</t>
  </si>
  <si>
    <t xml:space="preserve">ORG01</t>
  </si>
  <si>
    <t xml:space="preserve">Food Waste</t>
  </si>
  <si>
    <t xml:space="preserve">Organics</t>
  </si>
  <si>
    <t xml:space="preserve">ORG02</t>
  </si>
  <si>
    <t xml:space="preserve">Paper Fibers and Food-Soiled Paper (FSP)</t>
  </si>
  <si>
    <t xml:space="preserve">ORG03</t>
  </si>
  <si>
    <t xml:space="preserve">Fiber-based Compostable Serviceware</t>
  </si>
  <si>
    <t xml:space="preserve">ORG04</t>
  </si>
  <si>
    <t xml:space="preserve">PLA Compostable Serviceware</t>
  </si>
  <si>
    <t xml:space="preserve">UNA01</t>
  </si>
  <si>
    <t xml:space="preserve">E/U Waste</t>
  </si>
  <si>
    <t xml:space="preserve">Unacceptable</t>
  </si>
  <si>
    <t xml:space="preserve">UNA02</t>
  </si>
  <si>
    <t xml:space="preserve">Textiles</t>
  </si>
  <si>
    <t xml:space="preserve">UNA03</t>
  </si>
  <si>
    <t xml:space="preserve">Other Unacceptable (specify)</t>
  </si>
  <si>
    <t xml:space="preserve">UNA04</t>
  </si>
  <si>
    <t xml:space="preserve">Liquids</t>
  </si>
  <si>
    <t xml:space="preserve">OTH01</t>
  </si>
  <si>
    <t xml:space="preserve">Snack Wrappers (Composites)</t>
  </si>
  <si>
    <t xml:space="preserve">Other</t>
  </si>
  <si>
    <t xml:space="preserve">OTH02</t>
  </si>
  <si>
    <t xml:space="preserve">Other/Residual Materials</t>
  </si>
  <si>
    <t xml:space="preserve">area_id</t>
  </si>
  <si>
    <t xml:space="preserve">area_name</t>
  </si>
  <si>
    <t xml:space="preserve">rollup_group</t>
  </si>
  <si>
    <t xml:space="preserve">OFFICES</t>
  </si>
  <si>
    <t xml:space="preserve">Rest of Building</t>
  </si>
  <si>
    <t xml:space="preserve">CAFE_BOH</t>
  </si>
  <si>
    <t xml:space="preserve">CAFÉ BOH</t>
  </si>
  <si>
    <t xml:space="preserve">BOH</t>
  </si>
  <si>
    <t xml:space="preserve">LOC_C</t>
  </si>
  <si>
    <t xml:space="preserve">LOCATION C</t>
  </si>
  <si>
    <t xml:space="preserve">LOC_D</t>
  </si>
  <si>
    <t xml:space="preserve">LOCATION D</t>
  </si>
  <si>
    <t xml:space="preserve">BATHROOM</t>
  </si>
  <si>
    <t xml:space="preserve">stream_name</t>
  </si>
  <si>
    <t xml:space="preserve">Trash</t>
  </si>
  <si>
    <t xml:space="preserve">GMPC Recycling</t>
  </si>
  <si>
    <t xml:space="preserve">Organics Recycling</t>
  </si>
  <si>
    <t xml:space="preserve">Cardboard Recycling</t>
  </si>
  <si>
    <t xml:space="preserve">Paper Recycling</t>
  </si>
  <si>
    <t xml:space="preserve">Terracycle</t>
  </si>
  <si>
    <t xml:space="preserve">audit_id</t>
  </si>
  <si>
    <t xml:space="preserve">stream</t>
  </si>
  <si>
    <t xml:space="preserve">area</t>
  </si>
  <si>
    <t xml:space="preserve">weight_lbs</t>
  </si>
  <si>
    <t xml:space="preserve">belongs_here</t>
  </si>
  <si>
    <t xml:space="preserve">notes</t>
  </si>
  <si>
    <t xml:space="preserve">120PARK-2025</t>
  </si>
  <si>
    <t xml:space="preserve">bag_number</t>
  </si>
  <si>
    <t xml:space="preserve">extrapolated_weight_lbs</t>
  </si>
  <si>
    <t xml:space="preserve">correctly_placed</t>
  </si>
  <si>
    <t xml:space="preserve">Total Waste Generation — Day of Audit</t>
  </si>
  <si>
    <t xml:space="preserve">Waste Stream</t>
  </si>
  <si>
    <t xml:space="preserve">Waste Stream Weight (lbs.)</t>
  </si>
  <si>
    <t xml:space="preserve">% of Total Waste Stream</t>
  </si>
  <si>
    <t xml:space="preserve">Weight of Material Diverted (lbs.)</t>
  </si>
  <si>
    <t xml:space="preserve">% of Material Diverted</t>
  </si>
  <si>
    <t xml:space="preserve">BATHROOM Waste</t>
  </si>
  <si>
    <t xml:space="preserve">Total</t>
  </si>
  <si>
    <t xml:space="preserve">Waste Stream Breakdown — by Material Type</t>
  </si>
  <si>
    <t xml:space="preserve">Material Type Category</t>
  </si>
  <si>
    <t xml:space="preserve">Material Type</t>
  </si>
  <si>
    <t xml:space="preserve">Total Material Type Weight (lbs.)</t>
  </si>
  <si>
    <t xml:space="preserve">Currently Divertible?</t>
  </si>
  <si>
    <t xml:space="preserve">Total Waste Consumption</t>
  </si>
  <si>
    <t xml:space="preserve">Unsorted (not broken down by material)</t>
  </si>
  <si>
    <t xml:space="preserve">Waste Stream Contamination</t>
  </si>
  <si>
    <t xml:space="preserve">Generation Area</t>
  </si>
  <si>
    <t xml:space="preserve">Current v Potential Diversion</t>
  </si>
  <si>
    <t xml:space="preserve">Current Diversion Rate</t>
  </si>
  <si>
    <t xml:space="preserve">Potential Diversion Rate</t>
  </si>
  <si>
    <t xml:space="preserve">Current v Potential (Percentage Point) Gap</t>
  </si>
  <si>
    <t xml:space="preserve">Notes &amp; Assumptions</t>
  </si>
  <si>
    <t xml:space="preserve">Total Waste Generation reflects the full pre-sort weight for each stream — everything that went on the scale — not just the portion that was hand-sorted into materials. The material breakdown is extrapolated: whatever percentage each material represented in the sorted sample is applied to the full pre-sort weight for that area/stream.</t>
  </si>
  <si>
    <t xml:space="preserve">Cardboard Recycling is weighed loose rather than bagged, so its "pre-sort total" is the same as its sorted total (100% sorted by definition, no extrapolation needed).</t>
  </si>
  <si>
    <t xml:space="preserve">GMPC Recycling, Cardboard Recycling, and Paper Recycling are treated as the same underlying dry-recyclables program for contamination purposes (collected differently — bagged vs. loose — but processed together) — a recyclable found in any of the three is not counted as contamination. Terracycle is a separate specialty program with its own accepted materials.</t>
  </si>
  <si>
    <t xml:space="preserve">Any area with pre-sort weight but zero sorted-material rows (nothing was hand-sorted there) is reported as its own "[Area] Waste" line rather than folded into a stream it was never actually sorted into.</t>
  </si>
  <si>
    <t xml:space="preserve">"Currently Divertible?" is pulled live from the Materials Master tab for this site’s specific recycling program, so it stays consistent across every summary sheet automatically.</t>
  </si>
  <si>
    <t xml:space="preserve">QA — Pre-sort bag weights vs. sorted material weights</t>
  </si>
  <si>
    <t xml:space="preserve">presort_total_lbs</t>
  </si>
  <si>
    <t xml:space="preserve">sorted_total_lbs</t>
  </si>
  <si>
    <t xml:space="preserve">variance_lbs</t>
  </si>
  <si>
    <t xml:space="preserve">variance_pct</t>
  </si>
  <si>
    <t xml:space="preserve">flag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</si>
</sst>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</row>
    <row r="5" customFormat="false" ht="15" hidden="false" customHeight="false" outlineLevel="0" collapsed="false">
      <c r="A5" s="0" t="s">
        <v>5</v>
      </c>
      <c r="B5" s="0" t="s">
        <v>6</v>
      </c>
    </row>
    <row r="6" customFormat="false" ht="15" hidden="false" customHeight="false" outlineLevel="0" collapsed="false">
      <c r="A6" s="0" t="s">
        <v>7</v>
      </c>
      <c r="B6" s="0" t="s">
        <v>8</v>
      </c>
    </row>
    <row r="7" customFormat="false" ht="15" hidden="false" customHeight="false" outlineLevel="0" collapsed="false">
      <c r="A7" s="0" t="s">
        <v>9</v>
      </c>
      <c r="B7" s="0" t="s">
        <v>10</v>
      </c>
    </row>
    <row r="8" customFormat="false" ht="15" hidden="false" customHeight="false" outlineLevel="0" collapsed="false">
      <c r="A8" s="0" t="s">
        <v>11</v>
      </c>
    </row>
    <row r="9" customFormat="false" ht="15" hidden="false" customHeight="false" outlineLevel="0" collapsed="false">
      <c r="A9" s="0" t="s">
        <v>12</v>
      </c>
      <c r="B9" s="0" t="s">
        <v>13</v>
      </c>
    </row>
    <row r="10" customFormat="false" ht="15" hidden="false" customHeight="false" outlineLevel="0" collapsed="false">
      <c r="A10" s="0" t="s">
        <v>14</v>
      </c>
    </row>
    <row r="11" customFormat="false" ht="15" hidden="false" customHeight="false" outlineLevel="0" collapsed="false">
      <c r="A11" s="0" t="s">
        <v>15</v>
      </c>
      <c r="B11" s="0" t="s">
        <v>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17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</row>
    <row r="2" customFormat="false" ht="15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s">
        <v>31</v>
      </c>
      <c r="F2" s="0" t="s">
        <v>32</v>
      </c>
      <c r="G2" s="0" t="s">
        <v>31</v>
      </c>
      <c r="H2" s="0" t="s">
        <v>32</v>
      </c>
      <c r="I2" s="0" t="s">
        <v>31</v>
      </c>
      <c r="J2" s="0" t="s">
        <v>31</v>
      </c>
      <c r="K2" s="0" t="s">
        <v>32</v>
      </c>
    </row>
    <row r="3" customFormat="false" ht="15" hidden="false" customHeight="false" outlineLevel="0" collapsed="false">
      <c r="A3" s="0" t="s">
        <v>33</v>
      </c>
      <c r="B3" s="0" t="s">
        <v>34</v>
      </c>
      <c r="C3" s="0" t="s">
        <v>30</v>
      </c>
      <c r="D3" s="0" t="s">
        <v>32</v>
      </c>
      <c r="E3" s="0" t="s">
        <v>32</v>
      </c>
      <c r="F3" s="0" t="s">
        <v>31</v>
      </c>
      <c r="G3" s="0" t="s">
        <v>32</v>
      </c>
      <c r="H3" s="0" t="s">
        <v>32</v>
      </c>
      <c r="I3" s="0" t="s">
        <v>32</v>
      </c>
      <c r="J3" s="0" t="s">
        <v>32</v>
      </c>
      <c r="K3" s="0" t="s">
        <v>32</v>
      </c>
    </row>
    <row r="4" customFormat="false" ht="15" hidden="false" customHeight="false" outlineLevel="0" collapsed="false">
      <c r="A4" s="0" t="s">
        <v>35</v>
      </c>
      <c r="B4" s="0" t="s">
        <v>36</v>
      </c>
      <c r="C4" s="0" t="s">
        <v>30</v>
      </c>
      <c r="D4" s="0" t="s">
        <v>32</v>
      </c>
      <c r="E4" s="0" t="s">
        <v>32</v>
      </c>
      <c r="F4" s="0" t="s">
        <v>31</v>
      </c>
      <c r="G4" s="0" t="s">
        <v>32</v>
      </c>
      <c r="H4" s="0" t="s">
        <v>32</v>
      </c>
      <c r="I4" s="0" t="s">
        <v>32</v>
      </c>
      <c r="J4" s="0" t="s">
        <v>32</v>
      </c>
      <c r="K4" s="0" t="s">
        <v>32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s">
        <v>30</v>
      </c>
      <c r="D5" s="0" t="s">
        <v>31</v>
      </c>
      <c r="E5" s="0" t="s">
        <v>31</v>
      </c>
      <c r="F5" s="0" t="s">
        <v>32</v>
      </c>
      <c r="G5" s="0" t="s">
        <v>31</v>
      </c>
      <c r="H5" s="0" t="s">
        <v>32</v>
      </c>
      <c r="I5" s="0" t="s">
        <v>31</v>
      </c>
      <c r="J5" s="0" t="s">
        <v>31</v>
      </c>
      <c r="K5" s="0" t="s">
        <v>32</v>
      </c>
    </row>
    <row r="6" customFormat="false" ht="15" hidden="false" customHeight="false" outlineLevel="0" collapsed="false">
      <c r="A6" s="0" t="s">
        <v>39</v>
      </c>
      <c r="B6" s="0" t="s">
        <v>40</v>
      </c>
      <c r="C6" s="0" t="s">
        <v>30</v>
      </c>
      <c r="D6" s="0" t="s">
        <v>32</v>
      </c>
      <c r="E6" s="0" t="s">
        <v>32</v>
      </c>
      <c r="F6" s="0" t="s">
        <v>31</v>
      </c>
      <c r="G6" s="0" t="s">
        <v>32</v>
      </c>
      <c r="H6" s="0" t="s">
        <v>32</v>
      </c>
      <c r="I6" s="0" t="s">
        <v>32</v>
      </c>
      <c r="J6" s="0" t="s">
        <v>32</v>
      </c>
      <c r="K6" s="0" t="s">
        <v>32</v>
      </c>
    </row>
    <row r="7" customFormat="false" ht="15" hidden="false" customHeight="false" outlineLevel="0" collapsed="false">
      <c r="A7" s="0" t="s">
        <v>41</v>
      </c>
      <c r="B7" s="0" t="s">
        <v>42</v>
      </c>
      <c r="C7" s="0" t="s">
        <v>30</v>
      </c>
      <c r="D7" s="0" t="s">
        <v>31</v>
      </c>
      <c r="E7" s="0" t="s">
        <v>31</v>
      </c>
      <c r="F7" s="0" t="s">
        <v>32</v>
      </c>
      <c r="G7" s="0" t="s">
        <v>31</v>
      </c>
      <c r="H7" s="0" t="s">
        <v>32</v>
      </c>
      <c r="I7" s="0" t="s">
        <v>31</v>
      </c>
      <c r="J7" s="0" t="s">
        <v>31</v>
      </c>
      <c r="K7" s="0" t="s">
        <v>32</v>
      </c>
    </row>
    <row r="8" customFormat="false" ht="15" hidden="false" customHeight="false" outlineLevel="0" collapsed="false">
      <c r="A8" s="0" t="s">
        <v>43</v>
      </c>
      <c r="B8" s="0" t="s">
        <v>44</v>
      </c>
      <c r="C8" s="0" t="s">
        <v>30</v>
      </c>
      <c r="D8" s="0" t="s">
        <v>32</v>
      </c>
      <c r="E8" s="0" t="s">
        <v>32</v>
      </c>
      <c r="F8" s="0" t="s">
        <v>31</v>
      </c>
      <c r="G8" s="0" t="s">
        <v>32</v>
      </c>
      <c r="H8" s="0" t="s">
        <v>32</v>
      </c>
      <c r="I8" s="0" t="s">
        <v>32</v>
      </c>
      <c r="J8" s="0" t="s">
        <v>32</v>
      </c>
      <c r="K8" s="0" t="s">
        <v>32</v>
      </c>
    </row>
    <row r="9" customFormat="false" ht="15" hidden="false" customHeight="false" outlineLevel="0" collapsed="false">
      <c r="A9" s="0" t="s">
        <v>45</v>
      </c>
      <c r="B9" s="0" t="s">
        <v>46</v>
      </c>
      <c r="C9" s="0" t="s">
        <v>30</v>
      </c>
      <c r="D9" s="0" t="s">
        <v>32</v>
      </c>
      <c r="E9" s="0" t="s">
        <v>32</v>
      </c>
      <c r="F9" s="0" t="s">
        <v>31</v>
      </c>
      <c r="G9" s="0" t="s">
        <v>32</v>
      </c>
      <c r="H9" s="0" t="s">
        <v>32</v>
      </c>
      <c r="I9" s="0" t="s">
        <v>32</v>
      </c>
      <c r="J9" s="0" t="s">
        <v>32</v>
      </c>
      <c r="K9" s="0" t="s">
        <v>32</v>
      </c>
    </row>
    <row r="10" customFormat="false" ht="15" hidden="false" customHeight="false" outlineLevel="0" collapsed="false">
      <c r="A10" s="0" t="s">
        <v>47</v>
      </c>
      <c r="B10" s="0" t="s">
        <v>48</v>
      </c>
      <c r="C10" s="0" t="s">
        <v>49</v>
      </c>
      <c r="D10" s="0" t="s">
        <v>31</v>
      </c>
      <c r="E10" s="0" t="s">
        <v>31</v>
      </c>
      <c r="F10" s="0" t="s">
        <v>32</v>
      </c>
      <c r="G10" s="0" t="s">
        <v>31</v>
      </c>
      <c r="H10" s="0" t="s">
        <v>32</v>
      </c>
      <c r="I10" s="0" t="s">
        <v>31</v>
      </c>
      <c r="J10" s="0" t="s">
        <v>31</v>
      </c>
      <c r="K10" s="0" t="s">
        <v>32</v>
      </c>
    </row>
    <row r="11" customFormat="false" ht="15" hidden="false" customHeight="false" outlineLevel="0" collapsed="false">
      <c r="A11" s="0" t="s">
        <v>50</v>
      </c>
      <c r="B11" s="0" t="s">
        <v>51</v>
      </c>
      <c r="C11" s="0" t="s">
        <v>49</v>
      </c>
      <c r="D11" s="0" t="s">
        <v>32</v>
      </c>
      <c r="E11" s="0" t="s">
        <v>32</v>
      </c>
      <c r="F11" s="0" t="s">
        <v>31</v>
      </c>
      <c r="G11" s="0" t="s">
        <v>32</v>
      </c>
      <c r="H11" s="0" t="s">
        <v>32</v>
      </c>
      <c r="I11" s="0" t="s">
        <v>32</v>
      </c>
      <c r="J11" s="0" t="s">
        <v>32</v>
      </c>
      <c r="K11" s="0" t="s">
        <v>32</v>
      </c>
    </row>
    <row r="12" customFormat="false" ht="15" hidden="false" customHeight="false" outlineLevel="0" collapsed="false">
      <c r="A12" s="0" t="s">
        <v>52</v>
      </c>
      <c r="B12" s="0" t="s">
        <v>53</v>
      </c>
      <c r="C12" s="0" t="s">
        <v>54</v>
      </c>
      <c r="D12" s="0" t="s">
        <v>31</v>
      </c>
      <c r="E12" s="0" t="s">
        <v>31</v>
      </c>
      <c r="F12" s="0" t="s">
        <v>32</v>
      </c>
      <c r="G12" s="0" t="s">
        <v>31</v>
      </c>
      <c r="H12" s="0" t="s">
        <v>32</v>
      </c>
      <c r="I12" s="0" t="s">
        <v>31</v>
      </c>
      <c r="J12" s="0" t="s">
        <v>31</v>
      </c>
      <c r="K12" s="0" t="s">
        <v>32</v>
      </c>
    </row>
    <row r="13" customFormat="false" ht="15" hidden="false" customHeight="false" outlineLevel="0" collapsed="false">
      <c r="A13" s="0" t="s">
        <v>55</v>
      </c>
      <c r="B13" s="0" t="s">
        <v>56</v>
      </c>
      <c r="C13" s="0" t="s">
        <v>54</v>
      </c>
      <c r="D13" s="0" t="s">
        <v>32</v>
      </c>
      <c r="E13" s="0" t="s">
        <v>32</v>
      </c>
      <c r="F13" s="0" t="s">
        <v>31</v>
      </c>
      <c r="G13" s="0" t="s">
        <v>32</v>
      </c>
      <c r="H13" s="0" t="s">
        <v>32</v>
      </c>
      <c r="I13" s="0" t="s">
        <v>32</v>
      </c>
      <c r="J13" s="0" t="s">
        <v>32</v>
      </c>
      <c r="K13" s="0" t="s">
        <v>32</v>
      </c>
    </row>
    <row r="14" customFormat="false" ht="15" hidden="false" customHeight="false" outlineLevel="0" collapsed="false">
      <c r="A14" s="0" t="s">
        <v>57</v>
      </c>
      <c r="B14" s="0" t="s">
        <v>58</v>
      </c>
      <c r="C14" s="0" t="s">
        <v>59</v>
      </c>
      <c r="D14" s="0" t="s">
        <v>31</v>
      </c>
      <c r="E14" s="0" t="s">
        <v>31</v>
      </c>
      <c r="F14" s="0" t="s">
        <v>32</v>
      </c>
      <c r="G14" s="0" t="s">
        <v>31</v>
      </c>
      <c r="H14" s="0" t="s">
        <v>32</v>
      </c>
      <c r="I14" s="0" t="s">
        <v>31</v>
      </c>
      <c r="J14" s="0" t="s">
        <v>31</v>
      </c>
      <c r="K14" s="0" t="s">
        <v>32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s">
        <v>59</v>
      </c>
      <c r="D15" s="0" t="s">
        <v>32</v>
      </c>
      <c r="E15" s="0" t="s">
        <v>32</v>
      </c>
      <c r="F15" s="0" t="s">
        <v>31</v>
      </c>
      <c r="G15" s="0" t="s">
        <v>32</v>
      </c>
      <c r="H15" s="0" t="s">
        <v>32</v>
      </c>
      <c r="I15" s="0" t="s">
        <v>32</v>
      </c>
      <c r="J15" s="0" t="s">
        <v>32</v>
      </c>
      <c r="K15" s="0" t="s">
        <v>32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s">
        <v>59</v>
      </c>
      <c r="D16" s="0" t="s">
        <v>32</v>
      </c>
      <c r="E16" s="0" t="s">
        <v>32</v>
      </c>
      <c r="F16" s="0" t="s">
        <v>31</v>
      </c>
      <c r="G16" s="0" t="s">
        <v>32</v>
      </c>
      <c r="H16" s="0" t="s">
        <v>32</v>
      </c>
      <c r="I16" s="0" t="s">
        <v>32</v>
      </c>
      <c r="J16" s="0" t="s">
        <v>32</v>
      </c>
      <c r="K16" s="0" t="s">
        <v>32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s">
        <v>59</v>
      </c>
      <c r="D17" s="0" t="s">
        <v>32</v>
      </c>
      <c r="E17" s="0" t="s">
        <v>32</v>
      </c>
      <c r="F17" s="0" t="s">
        <v>31</v>
      </c>
      <c r="G17" s="0" t="s">
        <v>32</v>
      </c>
      <c r="H17" s="0" t="s">
        <v>32</v>
      </c>
      <c r="I17" s="0" t="s">
        <v>32</v>
      </c>
      <c r="J17" s="0" t="s">
        <v>32</v>
      </c>
      <c r="K17" s="0" t="s">
        <v>32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s">
        <v>68</v>
      </c>
      <c r="D18" s="0" t="s">
        <v>31</v>
      </c>
      <c r="E18" s="0" t="s">
        <v>31</v>
      </c>
      <c r="F18" s="0" t="s">
        <v>32</v>
      </c>
      <c r="G18" s="0" t="s">
        <v>32</v>
      </c>
      <c r="H18" s="0" t="s">
        <v>31</v>
      </c>
      <c r="I18" s="0" t="s">
        <v>32</v>
      </c>
      <c r="J18" s="0" t="s">
        <v>32</v>
      </c>
      <c r="K18" s="0" t="s">
        <v>32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0" t="s">
        <v>68</v>
      </c>
      <c r="D19" s="0" t="s">
        <v>32</v>
      </c>
      <c r="E19" s="0" t="s">
        <v>32</v>
      </c>
      <c r="F19" s="0" t="s">
        <v>31</v>
      </c>
      <c r="G19" s="0" t="s">
        <v>32</v>
      </c>
      <c r="H19" s="0" t="s">
        <v>32</v>
      </c>
      <c r="I19" s="0" t="s">
        <v>32</v>
      </c>
      <c r="J19" s="0" t="s">
        <v>32</v>
      </c>
      <c r="K19" s="0" t="s">
        <v>32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0" t="s">
        <v>68</v>
      </c>
      <c r="D20" s="0" t="s">
        <v>32</v>
      </c>
      <c r="E20" s="0" t="s">
        <v>32</v>
      </c>
      <c r="F20" s="0" t="s">
        <v>31</v>
      </c>
      <c r="G20" s="0" t="s">
        <v>32</v>
      </c>
      <c r="H20" s="0" t="s">
        <v>32</v>
      </c>
      <c r="I20" s="0" t="s">
        <v>32</v>
      </c>
      <c r="J20" s="0" t="s">
        <v>32</v>
      </c>
      <c r="K20" s="0" t="s">
        <v>32</v>
      </c>
    </row>
    <row r="21" customFormat="false" ht="15" hidden="false" customHeight="false" outlineLevel="0" collapsed="false">
      <c r="A21" s="0" t="s">
        <v>73</v>
      </c>
      <c r="B21" s="0" t="s">
        <v>74</v>
      </c>
      <c r="C21" s="0" t="s">
        <v>68</v>
      </c>
      <c r="D21" s="0" t="s">
        <v>32</v>
      </c>
      <c r="E21" s="0" t="s">
        <v>32</v>
      </c>
      <c r="F21" s="0" t="s">
        <v>31</v>
      </c>
      <c r="G21" s="0" t="s">
        <v>32</v>
      </c>
      <c r="H21" s="0" t="s">
        <v>32</v>
      </c>
      <c r="I21" s="0" t="s">
        <v>32</v>
      </c>
      <c r="J21" s="0" t="s">
        <v>32</v>
      </c>
      <c r="K21" s="0" t="s">
        <v>32</v>
      </c>
    </row>
    <row r="22" customFormat="false" ht="15" hidden="false" customHeight="false" outlineLevel="0" collapsed="false">
      <c r="A22" s="0" t="s">
        <v>75</v>
      </c>
      <c r="B22" s="0" t="s">
        <v>76</v>
      </c>
      <c r="C22" s="0" t="s">
        <v>77</v>
      </c>
      <c r="D22" s="0" t="s">
        <v>77</v>
      </c>
      <c r="E22" s="0" t="s">
        <v>32</v>
      </c>
      <c r="F22" s="0" t="s">
        <v>31</v>
      </c>
      <c r="G22" s="0" t="s">
        <v>32</v>
      </c>
      <c r="H22" s="0" t="s">
        <v>32</v>
      </c>
      <c r="I22" s="0" t="s">
        <v>32</v>
      </c>
      <c r="J22" s="0" t="s">
        <v>32</v>
      </c>
      <c r="K22" s="0" t="s">
        <v>32</v>
      </c>
    </row>
    <row r="23" customFormat="false" ht="15" hidden="false" customHeight="false" outlineLevel="0" collapsed="false">
      <c r="A23" s="0" t="s">
        <v>78</v>
      </c>
      <c r="B23" s="0" t="s">
        <v>79</v>
      </c>
      <c r="C23" s="0" t="s">
        <v>77</v>
      </c>
      <c r="D23" s="0" t="s">
        <v>77</v>
      </c>
      <c r="E23" s="0" t="s">
        <v>32</v>
      </c>
      <c r="F23" s="0" t="s">
        <v>31</v>
      </c>
      <c r="G23" s="0" t="s">
        <v>32</v>
      </c>
      <c r="H23" s="0" t="s">
        <v>32</v>
      </c>
      <c r="I23" s="0" t="s">
        <v>32</v>
      </c>
      <c r="J23" s="0" t="s">
        <v>32</v>
      </c>
      <c r="K23" s="0" t="s">
        <v>32</v>
      </c>
    </row>
    <row r="24" customFormat="false" ht="15" hidden="false" customHeight="false" outlineLevel="0" collapsed="false">
      <c r="A24" s="0" t="s">
        <v>80</v>
      </c>
      <c r="B24" s="0" t="s">
        <v>81</v>
      </c>
      <c r="C24" s="0" t="s">
        <v>77</v>
      </c>
      <c r="D24" s="0" t="s">
        <v>77</v>
      </c>
      <c r="E24" s="0" t="s">
        <v>32</v>
      </c>
      <c r="F24" s="0" t="s">
        <v>31</v>
      </c>
      <c r="G24" s="0" t="s">
        <v>32</v>
      </c>
      <c r="H24" s="0" t="s">
        <v>32</v>
      </c>
      <c r="I24" s="0" t="s">
        <v>32</v>
      </c>
      <c r="J24" s="0" t="s">
        <v>32</v>
      </c>
      <c r="K24" s="0" t="s">
        <v>32</v>
      </c>
    </row>
    <row r="25" customFormat="false" ht="15" hidden="false" customHeight="false" outlineLevel="0" collapsed="false">
      <c r="A25" s="0" t="s">
        <v>82</v>
      </c>
      <c r="B25" s="0" t="s">
        <v>83</v>
      </c>
      <c r="C25" s="0" t="s">
        <v>77</v>
      </c>
      <c r="D25" s="0" t="s">
        <v>77</v>
      </c>
      <c r="E25" s="0" t="s">
        <v>32</v>
      </c>
      <c r="F25" s="0" t="s">
        <v>31</v>
      </c>
      <c r="G25" s="0" t="s">
        <v>32</v>
      </c>
      <c r="H25" s="0" t="s">
        <v>32</v>
      </c>
      <c r="I25" s="0" t="s">
        <v>32</v>
      </c>
      <c r="J25" s="0" t="s">
        <v>32</v>
      </c>
      <c r="K25" s="0" t="s">
        <v>32</v>
      </c>
    </row>
    <row r="26" customFormat="false" ht="15" hidden="false" customHeight="false" outlineLevel="0" collapsed="false">
      <c r="A26" s="0" t="s">
        <v>84</v>
      </c>
      <c r="B26" s="0" t="s">
        <v>85</v>
      </c>
      <c r="C26" s="0" t="s">
        <v>86</v>
      </c>
      <c r="D26" s="0" t="s">
        <v>32</v>
      </c>
      <c r="E26" s="0" t="s">
        <v>31</v>
      </c>
      <c r="F26" s="0" t="s">
        <v>32</v>
      </c>
      <c r="G26" s="0" t="s">
        <v>32</v>
      </c>
      <c r="H26" s="0" t="s">
        <v>32</v>
      </c>
      <c r="I26" s="0" t="s">
        <v>32</v>
      </c>
      <c r="J26" s="0" t="s">
        <v>32</v>
      </c>
      <c r="K26" s="0" t="s">
        <v>31</v>
      </c>
    </row>
    <row r="27" customFormat="false" ht="15" hidden="false" customHeight="false" outlineLevel="0" collapsed="false">
      <c r="A27" s="0" t="s">
        <v>87</v>
      </c>
      <c r="B27" s="0" t="s">
        <v>88</v>
      </c>
      <c r="C27" s="0" t="s">
        <v>86</v>
      </c>
      <c r="D27" s="0" t="s">
        <v>32</v>
      </c>
      <c r="E27" s="0" t="s">
        <v>32</v>
      </c>
      <c r="F27" s="0" t="s">
        <v>31</v>
      </c>
      <c r="G27" s="0" t="s">
        <v>32</v>
      </c>
      <c r="H27" s="0" t="s">
        <v>32</v>
      </c>
      <c r="I27" s="0" t="s">
        <v>32</v>
      </c>
      <c r="J27" s="0" t="s">
        <v>32</v>
      </c>
      <c r="K27" s="0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89</v>
      </c>
      <c r="B1" s="0" t="s">
        <v>90</v>
      </c>
      <c r="C1" s="0" t="s">
        <v>91</v>
      </c>
    </row>
    <row r="2" customFormat="false" ht="15" hidden="false" customHeight="false" outlineLevel="0" collapsed="false">
      <c r="A2" s="0" t="s">
        <v>92</v>
      </c>
      <c r="B2" s="0" t="s">
        <v>92</v>
      </c>
      <c r="C2" s="0" t="s">
        <v>93</v>
      </c>
    </row>
    <row r="3" customFormat="false" ht="15" hidden="false" customHeight="false" outlineLevel="0" collapsed="false">
      <c r="A3" s="0" t="s">
        <v>94</v>
      </c>
      <c r="B3" s="0" t="s">
        <v>95</v>
      </c>
      <c r="C3" s="0" t="s">
        <v>96</v>
      </c>
    </row>
    <row r="4" customFormat="false" ht="15" hidden="false" customHeight="false" outlineLevel="0" collapsed="false">
      <c r="A4" s="0" t="s">
        <v>97</v>
      </c>
      <c r="B4" s="0" t="s">
        <v>98</v>
      </c>
      <c r="C4" s="0" t="s">
        <v>93</v>
      </c>
    </row>
    <row r="5" customFormat="false" ht="15" hidden="false" customHeight="false" outlineLevel="0" collapsed="false">
      <c r="A5" s="0" t="s">
        <v>99</v>
      </c>
      <c r="B5" s="0" t="s">
        <v>100</v>
      </c>
      <c r="C5" s="0" t="s">
        <v>93</v>
      </c>
    </row>
    <row r="6" customFormat="false" ht="15" hidden="false" customHeight="false" outlineLevel="0" collapsed="false">
      <c r="A6" s="0" t="s">
        <v>101</v>
      </c>
      <c r="B6" s="0" t="s">
        <v>101</v>
      </c>
      <c r="C6" s="0" t="s">
        <v>93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102</v>
      </c>
    </row>
    <row r="2" customFormat="false" ht="15" hidden="false" customHeight="false" outlineLevel="0" collapsed="false">
      <c r="A2" s="0" t="s">
        <v>103</v>
      </c>
    </row>
    <row r="3" customFormat="false" ht="15" hidden="false" customHeight="false" outlineLevel="0" collapsed="false">
      <c r="A3" s="0" t="s">
        <v>104</v>
      </c>
    </row>
    <row r="4" customFormat="false" ht="15" hidden="false" customHeight="false" outlineLevel="0" collapsed="false">
      <c r="A4" s="0" t="s">
        <v>105</v>
      </c>
    </row>
    <row r="5" customFormat="false" ht="15" hidden="false" customHeight="false" outlineLevel="0" collapsed="false">
      <c r="A5" s="0" t="s">
        <v>106</v>
      </c>
    </row>
    <row r="6" customFormat="false" ht="15" hidden="false" customHeight="false" outlineLevel="0" collapsed="false">
      <c r="A6" s="0" t="s">
        <v>107</v>
      </c>
    </row>
    <row r="7" customFormat="false" ht="15" hidden="false" customHeight="false" outlineLevel="0" collapsed="false">
      <c r="A7" s="0" t="s">
        <v>108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109</v>
      </c>
      <c r="B1" s="0" t="s">
        <v>110</v>
      </c>
      <c r="C1" s="0" t="s">
        <v>111</v>
      </c>
      <c r="D1" s="0" t="s">
        <v>17</v>
      </c>
      <c r="E1" s="0" t="s">
        <v>112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113</v>
      </c>
      <c r="K1" s="0" t="s">
        <v>91</v>
      </c>
      <c r="L1" s="0" t="s">
        <v>114</v>
      </c>
    </row>
    <row r="2" customFormat="false" ht="15" hidden="false" customHeight="false" outlineLevel="0" collapsed="false">
      <c r="A2" s="0" t="s">
        <v>115</v>
      </c>
      <c r="B2" s="0" t="s">
        <v>106</v>
      </c>
      <c r="C2" s="0" t="s">
        <v>92</v>
      </c>
      <c r="D2" s="0" t="s">
        <v>28</v>
      </c>
      <c r="E2" s="0" t="n">
        <v>301.78</v>
      </c>
      <c r="F2" s="0" t="str">
        <f aca="false">IFERROR(INDEX('Materials Master'!$B$2:$B$27,MATCH(D2,'Materials Master'!$A$2:$A$27,0)),"")</f>
        <v>Corrugated Cardboard</v>
      </c>
      <c r="G2" s="0" t="str">
        <f aca="false">IFERROR(INDEX('Materials Master'!$C$2:$C$27,MATCH(D2,'Materials Master'!$A$2:$A$27,0)),"")</f>
        <v>Fibers</v>
      </c>
      <c r="H2" s="0" t="str">
        <f aca="false">IFERROR(INDEX('Materials Master'!$D$2:$D$27,MATCH(D2,'Materials Master'!$A$2:$A$27,0)),"")</f>
        <v>Yes</v>
      </c>
      <c r="I2" s="0" t="str">
        <f aca="false">IFERROR(INDEX('Materials Master'!$E$2:$E$27,MATCH(D2,'Materials Master'!$A$2:$A$27,0)),"")</f>
        <v>Yes</v>
      </c>
      <c r="J2" s="0" t="str">
        <f aca="false">IFERROR(IF(B2="Trash",INDEX('Materials Master'!$F$2:$F$27,MATCH(D2,'Materials Master'!$A$2:$A$27,0)),IF(B2="GMPC Recycling",INDEX('Materials Master'!$G$2:$G$27,MATCH(D2,'Materials Master'!$A$2:$A$27,0)),IF(B2="Organics Recycling",INDEX('Materials Master'!$H$2:$H$27,MATCH(D2,'Materials Master'!$A$2:$A$27,0)),IF(B2="Cardboard Recycling",INDEX('Materials Master'!$I$2:$I$27,MATCH(D2,'Materials Master'!$A$2:$A$27,0)),IF(B2="Paper Recycling",INDEX('Materials Master'!$J$2:$J$27,MATCH(D2,'Materials Master'!$A$2:$A$27,0)),IF(B2="Terracycle",INDEX('Materials Master'!$K$2:$K$27,MATCH(D2,'Materials Master'!$A$2:$A$27,0)),"No")))))),"")</f>
        <v>Yes</v>
      </c>
      <c r="K2" s="0" t="str">
        <f aca="false">IFERROR(INDEX(Areas!$C$2:$C$6,MATCH(C2,Areas!$B$2:$B$6,0)),"")</f>
        <v>Rest of Building</v>
      </c>
    </row>
    <row r="3" customFormat="false" ht="15" hidden="false" customHeight="false" outlineLevel="0" collapsed="false">
      <c r="A3" s="0" t="s">
        <v>115</v>
      </c>
      <c r="B3" s="0" t="s">
        <v>106</v>
      </c>
      <c r="C3" s="0" t="s">
        <v>92</v>
      </c>
      <c r="D3" s="0" t="s">
        <v>35</v>
      </c>
      <c r="E3" s="0" t="n">
        <v>4.4</v>
      </c>
      <c r="F3" s="0" t="str">
        <f aca="false">IFERROR(INDEX('Materials Master'!$B$2:$B$27,MATCH(D3,'Materials Master'!$A$2:$A$27,0)),"")</f>
        <v>Waxed Cardboard</v>
      </c>
      <c r="G3" s="0" t="str">
        <f aca="false">IFERROR(INDEX('Materials Master'!$C$2:$C$27,MATCH(D3,'Materials Master'!$A$2:$A$27,0)),"")</f>
        <v>Fibers</v>
      </c>
      <c r="H3" s="0" t="str">
        <f aca="false">IFERROR(INDEX('Materials Master'!$D$2:$D$27,MATCH(D3,'Materials Master'!$A$2:$A$27,0)),"")</f>
        <v>No</v>
      </c>
      <c r="I3" s="0" t="str">
        <f aca="false">IFERROR(INDEX('Materials Master'!$E$2:$E$27,MATCH(D3,'Materials Master'!$A$2:$A$27,0)),"")</f>
        <v>No</v>
      </c>
      <c r="J3" s="0" t="str">
        <f aca="false">IFERROR(IF(B3="Trash",INDEX('Materials Master'!$F$2:$F$27,MATCH(D3,'Materials Master'!$A$2:$A$27,0)),IF(B3="GMPC Recycling",INDEX('Materials Master'!$G$2:$G$27,MATCH(D3,'Materials Master'!$A$2:$A$27,0)),IF(B3="Organics Recycling",INDEX('Materials Master'!$H$2:$H$27,MATCH(D3,'Materials Master'!$A$2:$A$27,0)),IF(B3="Cardboard Recycling",INDEX('Materials Master'!$I$2:$I$27,MATCH(D3,'Materials Master'!$A$2:$A$27,0)),IF(B3="Paper Recycling",INDEX('Materials Master'!$J$2:$J$27,MATCH(D3,'Materials Master'!$A$2:$A$27,0)),IF(B3="Terracycle",INDEX('Materials Master'!$K$2:$K$27,MATCH(D3,'Materials Master'!$A$2:$A$27,0)),"No")))))),"")</f>
        <v>No</v>
      </c>
      <c r="K3" s="0" t="str">
        <f aca="false">IFERROR(INDEX(Areas!$C$2:$C$6,MATCH(C3,Areas!$B$2:$B$6,0)),"")</f>
        <v>Rest of Building</v>
      </c>
    </row>
    <row r="4" customFormat="false" ht="15" hidden="false" customHeight="false" outlineLevel="0" collapsed="false">
      <c r="A4" s="0" t="s">
        <v>115</v>
      </c>
      <c r="B4" s="0" t="s">
        <v>106</v>
      </c>
      <c r="C4" s="0" t="s">
        <v>92</v>
      </c>
      <c r="D4" s="0" t="s">
        <v>37</v>
      </c>
      <c r="E4" s="0" t="n">
        <v>33.2</v>
      </c>
      <c r="F4" s="0" t="str">
        <f aca="false">IFERROR(INDEX('Materials Master'!$B$2:$B$27,MATCH(D4,'Materials Master'!$A$2:$A$27,0)),"")</f>
        <v>Mixed Paper</v>
      </c>
      <c r="G4" s="0" t="str">
        <f aca="false">IFERROR(INDEX('Materials Master'!$C$2:$C$27,MATCH(D4,'Materials Master'!$A$2:$A$27,0)),"")</f>
        <v>Fibers</v>
      </c>
      <c r="H4" s="0" t="str">
        <f aca="false">IFERROR(INDEX('Materials Master'!$D$2:$D$27,MATCH(D4,'Materials Master'!$A$2:$A$27,0)),"")</f>
        <v>Yes</v>
      </c>
      <c r="I4" s="0" t="str">
        <f aca="false">IFERROR(INDEX('Materials Master'!$E$2:$E$27,MATCH(D4,'Materials Master'!$A$2:$A$27,0)),"")</f>
        <v>Yes</v>
      </c>
      <c r="J4" s="0" t="str">
        <f aca="false">IFERROR(IF(B4="Trash",INDEX('Materials Master'!$F$2:$F$27,MATCH(D4,'Materials Master'!$A$2:$A$27,0)),IF(B4="GMPC Recycling",INDEX('Materials Master'!$G$2:$G$27,MATCH(D4,'Materials Master'!$A$2:$A$27,0)),IF(B4="Organics Recycling",INDEX('Materials Master'!$H$2:$H$27,MATCH(D4,'Materials Master'!$A$2:$A$27,0)),IF(B4="Cardboard Recycling",INDEX('Materials Master'!$I$2:$I$27,MATCH(D4,'Materials Master'!$A$2:$A$27,0)),IF(B4="Paper Recycling",INDEX('Materials Master'!$J$2:$J$27,MATCH(D4,'Materials Master'!$A$2:$A$27,0)),IF(B4="Terracycle",INDEX('Materials Master'!$K$2:$K$27,MATCH(D4,'Materials Master'!$A$2:$A$27,0)),"No")))))),"")</f>
        <v>Yes</v>
      </c>
      <c r="K4" s="0" t="str">
        <f aca="false">IFERROR(INDEX(Areas!$C$2:$C$6,MATCH(C4,Areas!$B$2:$B$6,0)),"")</f>
        <v>Rest of Building</v>
      </c>
    </row>
    <row r="5" customFormat="false" ht="15" hidden="false" customHeight="false" outlineLevel="0" collapsed="false">
      <c r="A5" s="0" t="s">
        <v>115</v>
      </c>
      <c r="B5" s="0" t="s">
        <v>106</v>
      </c>
      <c r="C5" s="0" t="s">
        <v>92</v>
      </c>
      <c r="D5" s="0" t="s">
        <v>41</v>
      </c>
      <c r="E5" s="0" t="n">
        <v>0.163125</v>
      </c>
      <c r="F5" s="0" t="str">
        <f aca="false">IFERROR(INDEX('Materials Master'!$B$2:$B$27,MATCH(D5,'Materials Master'!$A$2:$A$27,0)),"")</f>
        <v>Beverage Cartons</v>
      </c>
      <c r="G5" s="0" t="str">
        <f aca="false">IFERROR(INDEX('Materials Master'!$C$2:$C$27,MATCH(D5,'Materials Master'!$A$2:$A$27,0)),"")</f>
        <v>Fibers</v>
      </c>
      <c r="H5" s="0" t="str">
        <f aca="false">IFERROR(INDEX('Materials Master'!$D$2:$D$27,MATCH(D5,'Materials Master'!$A$2:$A$27,0)),"")</f>
        <v>Yes</v>
      </c>
      <c r="I5" s="0" t="str">
        <f aca="false">IFERROR(INDEX('Materials Master'!$E$2:$E$27,MATCH(D5,'Materials Master'!$A$2:$A$27,0)),"")</f>
        <v>Yes</v>
      </c>
      <c r="J5" s="0" t="str">
        <f aca="false">IFERROR(IF(B5="Trash",INDEX('Materials Master'!$F$2:$F$27,MATCH(D5,'Materials Master'!$A$2:$A$27,0)),IF(B5="GMPC Recycling",INDEX('Materials Master'!$G$2:$G$27,MATCH(D5,'Materials Master'!$A$2:$A$27,0)),IF(B5="Organics Recycling",INDEX('Materials Master'!$H$2:$H$27,MATCH(D5,'Materials Master'!$A$2:$A$27,0)),IF(B5="Cardboard Recycling",INDEX('Materials Master'!$I$2:$I$27,MATCH(D5,'Materials Master'!$A$2:$A$27,0)),IF(B5="Paper Recycling",INDEX('Materials Master'!$J$2:$J$27,MATCH(D5,'Materials Master'!$A$2:$A$27,0)),IF(B5="Terracycle",INDEX('Materials Master'!$K$2:$K$27,MATCH(D5,'Materials Master'!$A$2:$A$27,0)),"No")))))),"")</f>
        <v>Yes</v>
      </c>
      <c r="K5" s="0" t="str">
        <f aca="false">IFERROR(INDEX(Areas!$C$2:$C$6,MATCH(C5,Areas!$B$2:$B$6,0)),"")</f>
        <v>Rest of Building</v>
      </c>
    </row>
    <row r="6" customFormat="false" ht="15" hidden="false" customHeight="false" outlineLevel="0" collapsed="false">
      <c r="A6" s="0" t="s">
        <v>115</v>
      </c>
      <c r="B6" s="0" t="s">
        <v>106</v>
      </c>
      <c r="C6" s="0" t="s">
        <v>92</v>
      </c>
      <c r="D6" s="0" t="s">
        <v>62</v>
      </c>
      <c r="E6" s="0" t="n">
        <v>1.716875</v>
      </c>
      <c r="F6" s="0" t="str">
        <f aca="false">IFERROR(INDEX('Materials Master'!$B$2:$B$27,MATCH(D6,'Materials Master'!$A$2:$A$27,0)),"")</f>
        <v>Film Plastics</v>
      </c>
      <c r="G6" s="0" t="str">
        <f aca="false">IFERROR(INDEX('Materials Master'!$C$2:$C$27,MATCH(D6,'Materials Master'!$A$2:$A$27,0)),"")</f>
        <v>Plastics</v>
      </c>
      <c r="H6" s="0" t="str">
        <f aca="false">IFERROR(INDEX('Materials Master'!$D$2:$D$27,MATCH(D6,'Materials Master'!$A$2:$A$27,0)),"")</f>
        <v>No</v>
      </c>
      <c r="I6" s="0" t="str">
        <f aca="false">IFERROR(INDEX('Materials Master'!$E$2:$E$27,MATCH(D6,'Materials Master'!$A$2:$A$27,0)),"")</f>
        <v>No</v>
      </c>
      <c r="J6" s="0" t="str">
        <f aca="false">IFERROR(IF(B6="Trash",INDEX('Materials Master'!$F$2:$F$27,MATCH(D6,'Materials Master'!$A$2:$A$27,0)),IF(B6="GMPC Recycling",INDEX('Materials Master'!$G$2:$G$27,MATCH(D6,'Materials Master'!$A$2:$A$27,0)),IF(B6="Organics Recycling",INDEX('Materials Master'!$H$2:$H$27,MATCH(D6,'Materials Master'!$A$2:$A$27,0)),IF(B6="Cardboard Recycling",INDEX('Materials Master'!$I$2:$I$27,MATCH(D6,'Materials Master'!$A$2:$A$27,0)),IF(B6="Paper Recycling",INDEX('Materials Master'!$J$2:$J$27,MATCH(D6,'Materials Master'!$A$2:$A$27,0)),IF(B6="Terracycle",INDEX('Materials Master'!$K$2:$K$27,MATCH(D6,'Materials Master'!$A$2:$A$27,0)),"No")))))),"")</f>
        <v>No</v>
      </c>
      <c r="K6" s="0" t="str">
        <f aca="false">IFERROR(INDEX(Areas!$C$2:$C$6,MATCH(C6,Areas!$B$2:$B$6,0)),"")</f>
        <v>Rest of Building</v>
      </c>
    </row>
    <row r="7" customFormat="false" ht="15" hidden="false" customHeight="false" outlineLevel="0" collapsed="false">
      <c r="A7" s="0" t="s">
        <v>115</v>
      </c>
      <c r="B7" s="0" t="s">
        <v>106</v>
      </c>
      <c r="C7" s="0" t="s">
        <v>92</v>
      </c>
      <c r="D7" s="0" t="s">
        <v>64</v>
      </c>
      <c r="E7" s="0" t="n">
        <v>0.15</v>
      </c>
      <c r="F7" s="0" t="str">
        <f aca="false">IFERROR(INDEX('Materials Master'!$B$2:$B$27,MATCH(D7,'Materials Master'!$A$2:$A$27,0)),"")</f>
        <v>Foams</v>
      </c>
      <c r="G7" s="0" t="str">
        <f aca="false">IFERROR(INDEX('Materials Master'!$C$2:$C$27,MATCH(D7,'Materials Master'!$A$2:$A$27,0)),"")</f>
        <v>Plastics</v>
      </c>
      <c r="H7" s="0" t="str">
        <f aca="false">IFERROR(INDEX('Materials Master'!$D$2:$D$27,MATCH(D7,'Materials Master'!$A$2:$A$27,0)),"")</f>
        <v>No</v>
      </c>
      <c r="I7" s="0" t="str">
        <f aca="false">IFERROR(INDEX('Materials Master'!$E$2:$E$27,MATCH(D7,'Materials Master'!$A$2:$A$27,0)),"")</f>
        <v>No</v>
      </c>
      <c r="J7" s="0" t="str">
        <f aca="false">IFERROR(IF(B7="Trash",INDEX('Materials Master'!$F$2:$F$27,MATCH(D7,'Materials Master'!$A$2:$A$27,0)),IF(B7="GMPC Recycling",INDEX('Materials Master'!$G$2:$G$27,MATCH(D7,'Materials Master'!$A$2:$A$27,0)),IF(B7="Organics Recycling",INDEX('Materials Master'!$H$2:$H$27,MATCH(D7,'Materials Master'!$A$2:$A$27,0)),IF(B7="Cardboard Recycling",INDEX('Materials Master'!$I$2:$I$27,MATCH(D7,'Materials Master'!$A$2:$A$27,0)),IF(B7="Paper Recycling",INDEX('Materials Master'!$J$2:$J$27,MATCH(D7,'Materials Master'!$A$2:$A$27,0)),IF(B7="Terracycle",INDEX('Materials Master'!$K$2:$K$27,MATCH(D7,'Materials Master'!$A$2:$A$27,0)),"No")))))),"")</f>
        <v>No</v>
      </c>
      <c r="K7" s="0" t="str">
        <f aca="false">IFERROR(INDEX(Areas!$C$2:$C$6,MATCH(C7,Areas!$B$2:$B$6,0)),"")</f>
        <v>Rest of Building</v>
      </c>
    </row>
    <row r="8" customFormat="false" ht="15" hidden="false" customHeight="false" outlineLevel="0" collapsed="false">
      <c r="A8" s="0" t="s">
        <v>115</v>
      </c>
      <c r="B8" s="0" t="s">
        <v>106</v>
      </c>
      <c r="C8" s="0" t="s">
        <v>92</v>
      </c>
      <c r="D8" s="0" t="s">
        <v>66</v>
      </c>
      <c r="E8" s="0" t="n">
        <v>0.024375</v>
      </c>
      <c r="F8" s="0" t="str">
        <f aca="false">IFERROR(INDEX('Materials Master'!$B$2:$B$27,MATCH(D8,'Materials Master'!$A$2:$A$27,0)),"")</f>
        <v>Food Waste</v>
      </c>
      <c r="G8" s="0" t="str">
        <f aca="false">IFERROR(INDEX('Materials Master'!$C$2:$C$27,MATCH(D8,'Materials Master'!$A$2:$A$27,0)),"")</f>
        <v>Organics</v>
      </c>
      <c r="H8" s="0" t="str">
        <f aca="false">IFERROR(INDEX('Materials Master'!$D$2:$D$27,MATCH(D8,'Materials Master'!$A$2:$A$27,0)),"")</f>
        <v>Yes</v>
      </c>
      <c r="I8" s="0" t="str">
        <f aca="false">IFERROR(INDEX('Materials Master'!$E$2:$E$27,MATCH(D8,'Materials Master'!$A$2:$A$27,0)),"")</f>
        <v>Yes</v>
      </c>
      <c r="J8" s="0" t="str">
        <f aca="false">IFERROR(IF(B8="Trash",INDEX('Materials Master'!$F$2:$F$27,MATCH(D8,'Materials Master'!$A$2:$A$27,0)),IF(B8="GMPC Recycling",INDEX('Materials Master'!$G$2:$G$27,MATCH(D8,'Materials Master'!$A$2:$A$27,0)),IF(B8="Organics Recycling",INDEX('Materials Master'!$H$2:$H$27,MATCH(D8,'Materials Master'!$A$2:$A$27,0)),IF(B8="Cardboard Recycling",INDEX('Materials Master'!$I$2:$I$27,MATCH(D8,'Materials Master'!$A$2:$A$27,0)),IF(B8="Paper Recycling",INDEX('Materials Master'!$J$2:$J$27,MATCH(D8,'Materials Master'!$A$2:$A$27,0)),IF(B8="Terracycle",INDEX('Materials Master'!$K$2:$K$27,MATCH(D8,'Materials Master'!$A$2:$A$27,0)),"No")))))),"")</f>
        <v>No</v>
      </c>
      <c r="K8" s="0" t="str">
        <f aca="false">IFERROR(INDEX(Areas!$C$2:$C$6,MATCH(C8,Areas!$B$2:$B$6,0)),"")</f>
        <v>Rest of Building</v>
      </c>
    </row>
    <row r="9" customFormat="false" ht="15" hidden="false" customHeight="false" outlineLevel="0" collapsed="false">
      <c r="A9" s="0" t="s">
        <v>115</v>
      </c>
      <c r="B9" s="0" t="s">
        <v>106</v>
      </c>
      <c r="C9" s="0" t="s">
        <v>92</v>
      </c>
      <c r="D9" s="0" t="s">
        <v>69</v>
      </c>
      <c r="E9" s="0" t="n">
        <v>0.0575</v>
      </c>
      <c r="F9" s="0" t="str">
        <f aca="false">IFERROR(INDEX('Materials Master'!$B$2:$B$27,MATCH(D9,'Materials Master'!$A$2:$A$27,0)),"")</f>
        <v>Paper Fibers and Food-Soiled Paper (FSP)</v>
      </c>
      <c r="G9" s="0" t="str">
        <f aca="false">IFERROR(INDEX('Materials Master'!$C$2:$C$27,MATCH(D9,'Materials Master'!$A$2:$A$27,0)),"")</f>
        <v>Organics</v>
      </c>
      <c r="H9" s="0" t="str">
        <f aca="false">IFERROR(INDEX('Materials Master'!$D$2:$D$27,MATCH(D9,'Materials Master'!$A$2:$A$27,0)),"")</f>
        <v>No</v>
      </c>
      <c r="I9" s="0" t="str">
        <f aca="false">IFERROR(INDEX('Materials Master'!$E$2:$E$27,MATCH(D9,'Materials Master'!$A$2:$A$27,0)),"")</f>
        <v>No</v>
      </c>
      <c r="J9" s="0" t="str">
        <f aca="false">IFERROR(IF(B9="Trash",INDEX('Materials Master'!$F$2:$F$27,MATCH(D9,'Materials Master'!$A$2:$A$27,0)),IF(B9="GMPC Recycling",INDEX('Materials Master'!$G$2:$G$27,MATCH(D9,'Materials Master'!$A$2:$A$27,0)),IF(B9="Organics Recycling",INDEX('Materials Master'!$H$2:$H$27,MATCH(D9,'Materials Master'!$A$2:$A$27,0)),IF(B9="Cardboard Recycling",INDEX('Materials Master'!$I$2:$I$27,MATCH(D9,'Materials Master'!$A$2:$A$27,0)),IF(B9="Paper Recycling",INDEX('Materials Master'!$J$2:$J$27,MATCH(D9,'Materials Master'!$A$2:$A$27,0)),IF(B9="Terracycle",INDEX('Materials Master'!$K$2:$K$27,MATCH(D9,'Materials Master'!$A$2:$A$27,0)),"No")))))),"")</f>
        <v>No</v>
      </c>
      <c r="K9" s="0" t="str">
        <f aca="false">IFERROR(INDEX(Areas!$C$2:$C$6,MATCH(C9,Areas!$B$2:$B$6,0)),"")</f>
        <v>Rest of Building</v>
      </c>
    </row>
    <row r="10" customFormat="false" ht="15" hidden="false" customHeight="false" outlineLevel="0" collapsed="false">
      <c r="A10" s="0" t="s">
        <v>115</v>
      </c>
      <c r="B10" s="0" t="s">
        <v>106</v>
      </c>
      <c r="C10" s="0" t="s">
        <v>92</v>
      </c>
      <c r="D10" s="0" t="s">
        <v>73</v>
      </c>
      <c r="E10" s="0" t="n">
        <v>0.035</v>
      </c>
      <c r="F10" s="0" t="str">
        <f aca="false">IFERROR(INDEX('Materials Master'!$B$2:$B$27,MATCH(D10,'Materials Master'!$A$2:$A$27,0)),"")</f>
        <v>PLA Compostable Serviceware</v>
      </c>
      <c r="G10" s="0" t="str">
        <f aca="false">IFERROR(INDEX('Materials Master'!$C$2:$C$27,MATCH(D10,'Materials Master'!$A$2:$A$27,0)),"")</f>
        <v>Organics</v>
      </c>
      <c r="H10" s="0" t="str">
        <f aca="false">IFERROR(INDEX('Materials Master'!$D$2:$D$27,MATCH(D10,'Materials Master'!$A$2:$A$27,0)),"")</f>
        <v>No</v>
      </c>
      <c r="I10" s="0" t="str">
        <f aca="false">IFERROR(INDEX('Materials Master'!$E$2:$E$27,MATCH(D10,'Materials Master'!$A$2:$A$27,0)),"")</f>
        <v>No</v>
      </c>
      <c r="J10" s="0" t="str">
        <f aca="false">IFERROR(IF(B10="Trash",INDEX('Materials Master'!$F$2:$F$27,MATCH(D10,'Materials Master'!$A$2:$A$27,0)),IF(B10="GMPC Recycling",INDEX('Materials Master'!$G$2:$G$27,MATCH(D10,'Materials Master'!$A$2:$A$27,0)),IF(B10="Organics Recycling",INDEX('Materials Master'!$H$2:$H$27,MATCH(D10,'Materials Master'!$A$2:$A$27,0)),IF(B10="Cardboard Recycling",INDEX('Materials Master'!$I$2:$I$27,MATCH(D10,'Materials Master'!$A$2:$A$27,0)),IF(B10="Paper Recycling",INDEX('Materials Master'!$J$2:$J$27,MATCH(D10,'Materials Master'!$A$2:$A$27,0)),IF(B10="Terracycle",INDEX('Materials Master'!$K$2:$K$27,MATCH(D10,'Materials Master'!$A$2:$A$27,0)),"No")))))),"")</f>
        <v>No</v>
      </c>
      <c r="K10" s="0" t="str">
        <f aca="false">IFERROR(INDEX(Areas!$C$2:$C$6,MATCH(C10,Areas!$B$2:$B$6,0)),"")</f>
        <v>Rest of Building</v>
      </c>
    </row>
    <row r="11" customFormat="false" ht="15" hidden="false" customHeight="false" outlineLevel="0" collapsed="false">
      <c r="A11" s="0" t="s">
        <v>115</v>
      </c>
      <c r="B11" s="0" t="s">
        <v>106</v>
      </c>
      <c r="C11" s="0" t="s">
        <v>92</v>
      </c>
      <c r="D11" s="0" t="s">
        <v>84</v>
      </c>
      <c r="E11" s="0" t="n">
        <v>0.1</v>
      </c>
      <c r="F11" s="0" t="str">
        <f aca="false">IFERROR(INDEX('Materials Master'!$B$2:$B$27,MATCH(D11,'Materials Master'!$A$2:$A$27,0)),"")</f>
        <v>Snack Wrappers (Composites)</v>
      </c>
      <c r="G11" s="0" t="str">
        <f aca="false">IFERROR(INDEX('Materials Master'!$C$2:$C$27,MATCH(D11,'Materials Master'!$A$2:$A$27,0)),"")</f>
        <v>Other</v>
      </c>
      <c r="H11" s="0" t="str">
        <f aca="false">IFERROR(INDEX('Materials Master'!$D$2:$D$27,MATCH(D11,'Materials Master'!$A$2:$A$27,0)),"")</f>
        <v>No</v>
      </c>
      <c r="I11" s="0" t="str">
        <f aca="false">IFERROR(INDEX('Materials Master'!$E$2:$E$27,MATCH(D11,'Materials Master'!$A$2:$A$27,0)),"")</f>
        <v>Yes</v>
      </c>
      <c r="J11" s="0" t="str">
        <f aca="false">IFERROR(IF(B11="Trash",INDEX('Materials Master'!$F$2:$F$27,MATCH(D11,'Materials Master'!$A$2:$A$27,0)),IF(B11="GMPC Recycling",INDEX('Materials Master'!$G$2:$G$27,MATCH(D11,'Materials Master'!$A$2:$A$27,0)),IF(B11="Organics Recycling",INDEX('Materials Master'!$H$2:$H$27,MATCH(D11,'Materials Master'!$A$2:$A$27,0)),IF(B11="Cardboard Recycling",INDEX('Materials Master'!$I$2:$I$27,MATCH(D11,'Materials Master'!$A$2:$A$27,0)),IF(B11="Paper Recycling",INDEX('Materials Master'!$J$2:$J$27,MATCH(D11,'Materials Master'!$A$2:$A$27,0)),IF(B11="Terracycle",INDEX('Materials Master'!$K$2:$K$27,MATCH(D11,'Materials Master'!$A$2:$A$27,0)),"No")))))),"")</f>
        <v>No</v>
      </c>
      <c r="K11" s="0" t="str">
        <f aca="false">IFERROR(INDEX(Areas!$C$2:$C$6,MATCH(C11,Areas!$B$2:$B$6,0)),"")</f>
        <v>Rest of Building</v>
      </c>
    </row>
    <row r="12" customFormat="false" ht="15" hidden="false" customHeight="false" outlineLevel="0" collapsed="false">
      <c r="A12" s="0" t="s">
        <v>115</v>
      </c>
      <c r="B12" s="0" t="s">
        <v>106</v>
      </c>
      <c r="C12" s="0" t="s">
        <v>92</v>
      </c>
      <c r="D12" s="0" t="s">
        <v>87</v>
      </c>
      <c r="E12" s="0" t="n">
        <v>8.2</v>
      </c>
      <c r="F12" s="0" t="str">
        <f aca="false">IFERROR(INDEX('Materials Master'!$B$2:$B$27,MATCH(D12,'Materials Master'!$A$2:$A$27,0)),"")</f>
        <v>Other/Residual Materials</v>
      </c>
      <c r="G12" s="0" t="str">
        <f aca="false">IFERROR(INDEX('Materials Master'!$C$2:$C$27,MATCH(D12,'Materials Master'!$A$2:$A$27,0)),"")</f>
        <v>Other</v>
      </c>
      <c r="H12" s="0" t="str">
        <f aca="false">IFERROR(INDEX('Materials Master'!$D$2:$D$27,MATCH(D12,'Materials Master'!$A$2:$A$27,0)),"")</f>
        <v>No</v>
      </c>
      <c r="I12" s="0" t="str">
        <f aca="false">IFERROR(INDEX('Materials Master'!$E$2:$E$27,MATCH(D12,'Materials Master'!$A$2:$A$27,0)),"")</f>
        <v>No</v>
      </c>
      <c r="J12" s="0" t="str">
        <f aca="false">IFERROR(IF(B12="Trash",INDEX('Materials Master'!$F$2:$F$27,MATCH(D12,'Materials Master'!$A$2:$A$27,0)),IF(B12="GMPC Recycling",INDEX('Materials Master'!$G$2:$G$27,MATCH(D12,'Materials Master'!$A$2:$A$27,0)),IF(B12="Organics Recycling",INDEX('Materials Master'!$H$2:$H$27,MATCH(D12,'Materials Master'!$A$2:$A$27,0)),IF(B12="Cardboard Recycling",INDEX('Materials Master'!$I$2:$I$27,MATCH(D12,'Materials Master'!$A$2:$A$27,0)),IF(B12="Paper Recycling",INDEX('Materials Master'!$J$2:$J$27,MATCH(D12,'Materials Master'!$A$2:$A$27,0)),IF(B12="Terracycle",INDEX('Materials Master'!$K$2:$K$27,MATCH(D12,'Materials Master'!$A$2:$A$27,0)),"No")))))),"")</f>
        <v>No</v>
      </c>
      <c r="K12" s="0" t="str">
        <f aca="false">IFERROR(INDEX(Areas!$C$2:$C$6,MATCH(C12,Areas!$B$2:$B$6,0)),"")</f>
        <v>Rest of Building</v>
      </c>
    </row>
    <row r="13" customFormat="false" ht="15" hidden="false" customHeight="false" outlineLevel="0" collapsed="false">
      <c r="A13" s="0" t="s">
        <v>115</v>
      </c>
      <c r="B13" s="0" t="s">
        <v>103</v>
      </c>
      <c r="C13" s="0" t="s">
        <v>92</v>
      </c>
      <c r="D13" s="0" t="s">
        <v>37</v>
      </c>
      <c r="E13" s="0" t="n">
        <v>17</v>
      </c>
      <c r="F13" s="0" t="str">
        <f aca="false">IFERROR(INDEX('Materials Master'!$B$2:$B$27,MATCH(D13,'Materials Master'!$A$2:$A$27,0)),"")</f>
        <v>Mixed Paper</v>
      </c>
      <c r="G13" s="0" t="str">
        <f aca="false">IFERROR(INDEX('Materials Master'!$C$2:$C$27,MATCH(D13,'Materials Master'!$A$2:$A$27,0)),"")</f>
        <v>Fibers</v>
      </c>
      <c r="H13" s="0" t="str">
        <f aca="false">IFERROR(INDEX('Materials Master'!$D$2:$D$27,MATCH(D13,'Materials Master'!$A$2:$A$27,0)),"")</f>
        <v>Yes</v>
      </c>
      <c r="I13" s="0" t="str">
        <f aca="false">IFERROR(INDEX('Materials Master'!$E$2:$E$27,MATCH(D13,'Materials Master'!$A$2:$A$27,0)),"")</f>
        <v>Yes</v>
      </c>
      <c r="J13" s="0" t="str">
        <f aca="false">IFERROR(IF(B13="Trash",INDEX('Materials Master'!$F$2:$F$27,MATCH(D13,'Materials Master'!$A$2:$A$27,0)),IF(B13="GMPC Recycling",INDEX('Materials Master'!$G$2:$G$27,MATCH(D13,'Materials Master'!$A$2:$A$27,0)),IF(B13="Organics Recycling",INDEX('Materials Master'!$H$2:$H$27,MATCH(D13,'Materials Master'!$A$2:$A$27,0)),IF(B13="Cardboard Recycling",INDEX('Materials Master'!$I$2:$I$27,MATCH(D13,'Materials Master'!$A$2:$A$27,0)),IF(B13="Paper Recycling",INDEX('Materials Master'!$J$2:$J$27,MATCH(D13,'Materials Master'!$A$2:$A$27,0)),IF(B13="Terracycle",INDEX('Materials Master'!$K$2:$K$27,MATCH(D13,'Materials Master'!$A$2:$A$27,0)),"No")))))),"")</f>
        <v>No</v>
      </c>
      <c r="K13" s="0" t="str">
        <f aca="false">IFERROR(INDEX(Areas!$C$2:$C$6,MATCH(C13,Areas!$B$2:$B$6,0)),"")</f>
        <v>Rest of Building</v>
      </c>
    </row>
    <row r="14" customFormat="false" ht="15" hidden="false" customHeight="false" outlineLevel="0" collapsed="false">
      <c r="A14" s="0" t="s">
        <v>115</v>
      </c>
      <c r="B14" s="0" t="s">
        <v>103</v>
      </c>
      <c r="C14" s="0" t="s">
        <v>92</v>
      </c>
      <c r="D14" s="0" t="s">
        <v>41</v>
      </c>
      <c r="E14" s="0" t="n">
        <v>0.061875</v>
      </c>
      <c r="F14" s="0" t="str">
        <f aca="false">IFERROR(INDEX('Materials Master'!$B$2:$B$27,MATCH(D14,'Materials Master'!$A$2:$A$27,0)),"")</f>
        <v>Beverage Cartons</v>
      </c>
      <c r="G14" s="0" t="str">
        <f aca="false">IFERROR(INDEX('Materials Master'!$C$2:$C$27,MATCH(D14,'Materials Master'!$A$2:$A$27,0)),"")</f>
        <v>Fibers</v>
      </c>
      <c r="H14" s="0" t="str">
        <f aca="false">IFERROR(INDEX('Materials Master'!$D$2:$D$27,MATCH(D14,'Materials Master'!$A$2:$A$27,0)),"")</f>
        <v>Yes</v>
      </c>
      <c r="I14" s="0" t="str">
        <f aca="false">IFERROR(INDEX('Materials Master'!$E$2:$E$27,MATCH(D14,'Materials Master'!$A$2:$A$27,0)),"")</f>
        <v>Yes</v>
      </c>
      <c r="J14" s="0" t="str">
        <f aca="false">IFERROR(IF(B14="Trash",INDEX('Materials Master'!$F$2:$F$27,MATCH(D14,'Materials Master'!$A$2:$A$27,0)),IF(B14="GMPC Recycling",INDEX('Materials Master'!$G$2:$G$27,MATCH(D14,'Materials Master'!$A$2:$A$27,0)),IF(B14="Organics Recycling",INDEX('Materials Master'!$H$2:$H$27,MATCH(D14,'Materials Master'!$A$2:$A$27,0)),IF(B14="Cardboard Recycling",INDEX('Materials Master'!$I$2:$I$27,MATCH(D14,'Materials Master'!$A$2:$A$27,0)),IF(B14="Paper Recycling",INDEX('Materials Master'!$J$2:$J$27,MATCH(D14,'Materials Master'!$A$2:$A$27,0)),IF(B14="Terracycle",INDEX('Materials Master'!$K$2:$K$27,MATCH(D14,'Materials Master'!$A$2:$A$27,0)),"No")))))),"")</f>
        <v>No</v>
      </c>
      <c r="K14" s="0" t="str">
        <f aca="false">IFERROR(INDEX(Areas!$C$2:$C$6,MATCH(C14,Areas!$B$2:$B$6,0)),"")</f>
        <v>Rest of Building</v>
      </c>
    </row>
    <row r="15" customFormat="false" ht="15" hidden="false" customHeight="false" outlineLevel="0" collapsed="false">
      <c r="A15" s="0" t="s">
        <v>115</v>
      </c>
      <c r="B15" s="0" t="s">
        <v>103</v>
      </c>
      <c r="C15" s="0" t="s">
        <v>92</v>
      </c>
      <c r="D15" s="0" t="s">
        <v>45</v>
      </c>
      <c r="E15" s="0" t="n">
        <v>1.779375</v>
      </c>
      <c r="F15" s="0" t="str">
        <f aca="false">IFERROR(INDEX('Materials Master'!$B$2:$B$27,MATCH(D15,'Materials Master'!$A$2:$A$27,0)),"")</f>
        <v>Paper Cups / Other Coated Paper Containers</v>
      </c>
      <c r="G15" s="0" t="str">
        <f aca="false">IFERROR(INDEX('Materials Master'!$C$2:$C$27,MATCH(D15,'Materials Master'!$A$2:$A$27,0)),"")</f>
        <v>Fibers</v>
      </c>
      <c r="H15" s="0" t="str">
        <f aca="false">IFERROR(INDEX('Materials Master'!$D$2:$D$27,MATCH(D15,'Materials Master'!$A$2:$A$27,0)),"")</f>
        <v>No</v>
      </c>
      <c r="I15" s="0" t="str">
        <f aca="false">IFERROR(INDEX('Materials Master'!$E$2:$E$27,MATCH(D15,'Materials Master'!$A$2:$A$27,0)),"")</f>
        <v>No</v>
      </c>
      <c r="J15" s="0" t="str">
        <f aca="false">IFERROR(IF(B15="Trash",INDEX('Materials Master'!$F$2:$F$27,MATCH(D15,'Materials Master'!$A$2:$A$27,0)),IF(B15="GMPC Recycling",INDEX('Materials Master'!$G$2:$G$27,MATCH(D15,'Materials Master'!$A$2:$A$27,0)),IF(B15="Organics Recycling",INDEX('Materials Master'!$H$2:$H$27,MATCH(D15,'Materials Master'!$A$2:$A$27,0)),IF(B15="Cardboard Recycling",INDEX('Materials Master'!$I$2:$I$27,MATCH(D15,'Materials Master'!$A$2:$A$27,0)),IF(B15="Paper Recycling",INDEX('Materials Master'!$J$2:$J$27,MATCH(D15,'Materials Master'!$A$2:$A$27,0)),IF(B15="Terracycle",INDEX('Materials Master'!$K$2:$K$27,MATCH(D15,'Materials Master'!$A$2:$A$27,0)),"No")))))),"")</f>
        <v>Yes</v>
      </c>
      <c r="K15" s="0" t="str">
        <f aca="false">IFERROR(INDEX(Areas!$C$2:$C$6,MATCH(C15,Areas!$B$2:$B$6,0)),"")</f>
        <v>Rest of Building</v>
      </c>
    </row>
    <row r="16" customFormat="false" ht="15" hidden="false" customHeight="false" outlineLevel="0" collapsed="false">
      <c r="A16" s="0" t="s">
        <v>115</v>
      </c>
      <c r="B16" s="0" t="s">
        <v>103</v>
      </c>
      <c r="C16" s="0" t="s">
        <v>92</v>
      </c>
      <c r="D16" s="0" t="s">
        <v>47</v>
      </c>
      <c r="E16" s="0" t="n">
        <v>1.2475</v>
      </c>
      <c r="F16" s="0" t="str">
        <f aca="false">IFERROR(INDEX('Materials Master'!$B$2:$B$27,MATCH(D16,'Materials Master'!$A$2:$A$27,0)),"")</f>
        <v>Glass Bottles &amp; Jars</v>
      </c>
      <c r="G16" s="0" t="str">
        <f aca="false">IFERROR(INDEX('Materials Master'!$C$2:$C$27,MATCH(D16,'Materials Master'!$A$2:$A$27,0)),"")</f>
        <v>Glass</v>
      </c>
      <c r="H16" s="0" t="str">
        <f aca="false">IFERROR(INDEX('Materials Master'!$D$2:$D$27,MATCH(D16,'Materials Master'!$A$2:$A$27,0)),"")</f>
        <v>Yes</v>
      </c>
      <c r="I16" s="0" t="str">
        <f aca="false">IFERROR(INDEX('Materials Master'!$E$2:$E$27,MATCH(D16,'Materials Master'!$A$2:$A$27,0)),"")</f>
        <v>Yes</v>
      </c>
      <c r="J16" s="0" t="str">
        <f aca="false">IFERROR(IF(B16="Trash",INDEX('Materials Master'!$F$2:$F$27,MATCH(D16,'Materials Master'!$A$2:$A$27,0)),IF(B16="GMPC Recycling",INDEX('Materials Master'!$G$2:$G$27,MATCH(D16,'Materials Master'!$A$2:$A$27,0)),IF(B16="Organics Recycling",INDEX('Materials Master'!$H$2:$H$27,MATCH(D16,'Materials Master'!$A$2:$A$27,0)),IF(B16="Cardboard Recycling",INDEX('Materials Master'!$I$2:$I$27,MATCH(D16,'Materials Master'!$A$2:$A$27,0)),IF(B16="Paper Recycling",INDEX('Materials Master'!$J$2:$J$27,MATCH(D16,'Materials Master'!$A$2:$A$27,0)),IF(B16="Terracycle",INDEX('Materials Master'!$K$2:$K$27,MATCH(D16,'Materials Master'!$A$2:$A$27,0)),"No")))))),"")</f>
        <v>No</v>
      </c>
      <c r="K16" s="0" t="str">
        <f aca="false">IFERROR(INDEX(Areas!$C$2:$C$6,MATCH(C16,Areas!$B$2:$B$6,0)),"")</f>
        <v>Rest of Building</v>
      </c>
    </row>
    <row r="17" customFormat="false" ht="15" hidden="false" customHeight="false" outlineLevel="0" collapsed="false">
      <c r="A17" s="0" t="s">
        <v>115</v>
      </c>
      <c r="B17" s="0" t="s">
        <v>103</v>
      </c>
      <c r="C17" s="0" t="s">
        <v>92</v>
      </c>
      <c r="D17" s="0" t="s">
        <v>57</v>
      </c>
      <c r="E17" s="0" t="n">
        <v>25.3</v>
      </c>
      <c r="F17" s="0" t="str">
        <f aca="false">IFERROR(INDEX('Materials Master'!$B$2:$B$27,MATCH(D17,'Materials Master'!$A$2:$A$27,0)),"")</f>
        <v>Rigid Plastics (1-6)</v>
      </c>
      <c r="G17" s="0" t="str">
        <f aca="false">IFERROR(INDEX('Materials Master'!$C$2:$C$27,MATCH(D17,'Materials Master'!$A$2:$A$27,0)),"")</f>
        <v>Plastics</v>
      </c>
      <c r="H17" s="0" t="str">
        <f aca="false">IFERROR(INDEX('Materials Master'!$D$2:$D$27,MATCH(D17,'Materials Master'!$A$2:$A$27,0)),"")</f>
        <v>Yes</v>
      </c>
      <c r="I17" s="0" t="str">
        <f aca="false">IFERROR(INDEX('Materials Master'!$E$2:$E$27,MATCH(D17,'Materials Master'!$A$2:$A$27,0)),"")</f>
        <v>Yes</v>
      </c>
      <c r="J17" s="0" t="str">
        <f aca="false">IFERROR(IF(B17="Trash",INDEX('Materials Master'!$F$2:$F$27,MATCH(D17,'Materials Master'!$A$2:$A$27,0)),IF(B17="GMPC Recycling",INDEX('Materials Master'!$G$2:$G$27,MATCH(D17,'Materials Master'!$A$2:$A$27,0)),IF(B17="Organics Recycling",INDEX('Materials Master'!$H$2:$H$27,MATCH(D17,'Materials Master'!$A$2:$A$27,0)),IF(B17="Cardboard Recycling",INDEX('Materials Master'!$I$2:$I$27,MATCH(D17,'Materials Master'!$A$2:$A$27,0)),IF(B17="Paper Recycling",INDEX('Materials Master'!$J$2:$J$27,MATCH(D17,'Materials Master'!$A$2:$A$27,0)),IF(B17="Terracycle",INDEX('Materials Master'!$K$2:$K$27,MATCH(D17,'Materials Master'!$A$2:$A$27,0)),"No")))))),"")</f>
        <v>No</v>
      </c>
      <c r="K17" s="0" t="str">
        <f aca="false">IFERROR(INDEX(Areas!$C$2:$C$6,MATCH(C17,Areas!$B$2:$B$6,0)),"")</f>
        <v>Rest of Building</v>
      </c>
    </row>
    <row r="18" customFormat="false" ht="15" hidden="false" customHeight="false" outlineLevel="0" collapsed="false">
      <c r="A18" s="0" t="s">
        <v>115</v>
      </c>
      <c r="B18" s="0" t="s">
        <v>103</v>
      </c>
      <c r="C18" s="0" t="s">
        <v>92</v>
      </c>
      <c r="D18" s="0" t="s">
        <v>62</v>
      </c>
      <c r="E18" s="0" t="n">
        <v>27.3</v>
      </c>
      <c r="F18" s="0" t="str">
        <f aca="false">IFERROR(INDEX('Materials Master'!$B$2:$B$27,MATCH(D18,'Materials Master'!$A$2:$A$27,0)),"")</f>
        <v>Film Plastics</v>
      </c>
      <c r="G18" s="0" t="str">
        <f aca="false">IFERROR(INDEX('Materials Master'!$C$2:$C$27,MATCH(D18,'Materials Master'!$A$2:$A$27,0)),"")</f>
        <v>Plastics</v>
      </c>
      <c r="H18" s="0" t="str">
        <f aca="false">IFERROR(INDEX('Materials Master'!$D$2:$D$27,MATCH(D18,'Materials Master'!$A$2:$A$27,0)),"")</f>
        <v>No</v>
      </c>
      <c r="I18" s="0" t="str">
        <f aca="false">IFERROR(INDEX('Materials Master'!$E$2:$E$27,MATCH(D18,'Materials Master'!$A$2:$A$27,0)),"")</f>
        <v>No</v>
      </c>
      <c r="J18" s="0" t="str">
        <f aca="false">IFERROR(IF(B18="Trash",INDEX('Materials Master'!$F$2:$F$27,MATCH(D18,'Materials Master'!$A$2:$A$27,0)),IF(B18="GMPC Recycling",INDEX('Materials Master'!$G$2:$G$27,MATCH(D18,'Materials Master'!$A$2:$A$27,0)),IF(B18="Organics Recycling",INDEX('Materials Master'!$H$2:$H$27,MATCH(D18,'Materials Master'!$A$2:$A$27,0)),IF(B18="Cardboard Recycling",INDEX('Materials Master'!$I$2:$I$27,MATCH(D18,'Materials Master'!$A$2:$A$27,0)),IF(B18="Paper Recycling",INDEX('Materials Master'!$J$2:$J$27,MATCH(D18,'Materials Master'!$A$2:$A$27,0)),IF(B18="Terracycle",INDEX('Materials Master'!$K$2:$K$27,MATCH(D18,'Materials Master'!$A$2:$A$27,0)),"No")))))),"")</f>
        <v>Yes</v>
      </c>
      <c r="K18" s="0" t="str">
        <f aca="false">IFERROR(INDEX(Areas!$C$2:$C$6,MATCH(C18,Areas!$B$2:$B$6,0)),"")</f>
        <v>Rest of Building</v>
      </c>
    </row>
    <row r="19" customFormat="false" ht="15" hidden="false" customHeight="false" outlineLevel="0" collapsed="false">
      <c r="A19" s="0" t="s">
        <v>115</v>
      </c>
      <c r="B19" s="0" t="s">
        <v>103</v>
      </c>
      <c r="C19" s="0" t="s">
        <v>92</v>
      </c>
      <c r="D19" s="0" t="s">
        <v>66</v>
      </c>
      <c r="E19" s="0" t="n">
        <v>71.9</v>
      </c>
      <c r="F19" s="0" t="str">
        <f aca="false">IFERROR(INDEX('Materials Master'!$B$2:$B$27,MATCH(D19,'Materials Master'!$A$2:$A$27,0)),"")</f>
        <v>Food Waste</v>
      </c>
      <c r="G19" s="0" t="str">
        <f aca="false">IFERROR(INDEX('Materials Master'!$C$2:$C$27,MATCH(D19,'Materials Master'!$A$2:$A$27,0)),"")</f>
        <v>Organics</v>
      </c>
      <c r="H19" s="0" t="str">
        <f aca="false">IFERROR(INDEX('Materials Master'!$D$2:$D$27,MATCH(D19,'Materials Master'!$A$2:$A$27,0)),"")</f>
        <v>Yes</v>
      </c>
      <c r="I19" s="0" t="str">
        <f aca="false">IFERROR(INDEX('Materials Master'!$E$2:$E$27,MATCH(D19,'Materials Master'!$A$2:$A$27,0)),"")</f>
        <v>Yes</v>
      </c>
      <c r="J19" s="0" t="str">
        <f aca="false">IFERROR(IF(B19="Trash",INDEX('Materials Master'!$F$2:$F$27,MATCH(D19,'Materials Master'!$A$2:$A$27,0)),IF(B19="GMPC Recycling",INDEX('Materials Master'!$G$2:$G$27,MATCH(D19,'Materials Master'!$A$2:$A$27,0)),IF(B19="Organics Recycling",INDEX('Materials Master'!$H$2:$H$27,MATCH(D19,'Materials Master'!$A$2:$A$27,0)),IF(B19="Cardboard Recycling",INDEX('Materials Master'!$I$2:$I$27,MATCH(D19,'Materials Master'!$A$2:$A$27,0)),IF(B19="Paper Recycling",INDEX('Materials Master'!$J$2:$J$27,MATCH(D19,'Materials Master'!$A$2:$A$27,0)),IF(B19="Terracycle",INDEX('Materials Master'!$K$2:$K$27,MATCH(D19,'Materials Master'!$A$2:$A$27,0)),"No")))))),"")</f>
        <v>No</v>
      </c>
      <c r="K19" s="0" t="str">
        <f aca="false">IFERROR(INDEX(Areas!$C$2:$C$6,MATCH(C19,Areas!$B$2:$B$6,0)),"")</f>
        <v>Rest of Building</v>
      </c>
    </row>
    <row r="20" customFormat="false" ht="15" hidden="false" customHeight="false" outlineLevel="0" collapsed="false">
      <c r="A20" s="0" t="s">
        <v>115</v>
      </c>
      <c r="B20" s="0" t="s">
        <v>103</v>
      </c>
      <c r="C20" s="0" t="s">
        <v>92</v>
      </c>
      <c r="D20" s="0" t="s">
        <v>69</v>
      </c>
      <c r="E20" s="0" t="n">
        <v>33.6</v>
      </c>
      <c r="F20" s="0" t="str">
        <f aca="false">IFERROR(INDEX('Materials Master'!$B$2:$B$27,MATCH(D20,'Materials Master'!$A$2:$A$27,0)),"")</f>
        <v>Paper Fibers and Food-Soiled Paper (FSP)</v>
      </c>
      <c r="G20" s="0" t="str">
        <f aca="false">IFERROR(INDEX('Materials Master'!$C$2:$C$27,MATCH(D20,'Materials Master'!$A$2:$A$27,0)),"")</f>
        <v>Organics</v>
      </c>
      <c r="H20" s="0" t="str">
        <f aca="false">IFERROR(INDEX('Materials Master'!$D$2:$D$27,MATCH(D20,'Materials Master'!$A$2:$A$27,0)),"")</f>
        <v>No</v>
      </c>
      <c r="I20" s="0" t="str">
        <f aca="false">IFERROR(INDEX('Materials Master'!$E$2:$E$27,MATCH(D20,'Materials Master'!$A$2:$A$27,0)),"")</f>
        <v>No</v>
      </c>
      <c r="J20" s="0" t="str">
        <f aca="false">IFERROR(IF(B20="Trash",INDEX('Materials Master'!$F$2:$F$27,MATCH(D20,'Materials Master'!$A$2:$A$27,0)),IF(B20="GMPC Recycling",INDEX('Materials Master'!$G$2:$G$27,MATCH(D20,'Materials Master'!$A$2:$A$27,0)),IF(B20="Organics Recycling",INDEX('Materials Master'!$H$2:$H$27,MATCH(D20,'Materials Master'!$A$2:$A$27,0)),IF(B20="Cardboard Recycling",INDEX('Materials Master'!$I$2:$I$27,MATCH(D20,'Materials Master'!$A$2:$A$27,0)),IF(B20="Paper Recycling",INDEX('Materials Master'!$J$2:$J$27,MATCH(D20,'Materials Master'!$A$2:$A$27,0)),IF(B20="Terracycle",INDEX('Materials Master'!$K$2:$K$27,MATCH(D20,'Materials Master'!$A$2:$A$27,0)),"No")))))),"")</f>
        <v>Yes</v>
      </c>
      <c r="K20" s="0" t="str">
        <f aca="false">IFERROR(INDEX(Areas!$C$2:$C$6,MATCH(C20,Areas!$B$2:$B$6,0)),"")</f>
        <v>Rest of Building</v>
      </c>
    </row>
    <row r="21" customFormat="false" ht="15" hidden="false" customHeight="false" outlineLevel="0" collapsed="false">
      <c r="A21" s="0" t="s">
        <v>115</v>
      </c>
      <c r="B21" s="0" t="s">
        <v>103</v>
      </c>
      <c r="C21" s="0" t="s">
        <v>92</v>
      </c>
      <c r="D21" s="0" t="s">
        <v>71</v>
      </c>
      <c r="E21" s="0" t="n">
        <v>33.5</v>
      </c>
      <c r="F21" s="0" t="str">
        <f aca="false">IFERROR(INDEX('Materials Master'!$B$2:$B$27,MATCH(D21,'Materials Master'!$A$2:$A$27,0)),"")</f>
        <v>Fiber-based Compostable Serviceware</v>
      </c>
      <c r="G21" s="0" t="str">
        <f aca="false">IFERROR(INDEX('Materials Master'!$C$2:$C$27,MATCH(D21,'Materials Master'!$A$2:$A$27,0)),"")</f>
        <v>Organics</v>
      </c>
      <c r="H21" s="0" t="str">
        <f aca="false">IFERROR(INDEX('Materials Master'!$D$2:$D$27,MATCH(D21,'Materials Master'!$A$2:$A$27,0)),"")</f>
        <v>No</v>
      </c>
      <c r="I21" s="0" t="str">
        <f aca="false">IFERROR(INDEX('Materials Master'!$E$2:$E$27,MATCH(D21,'Materials Master'!$A$2:$A$27,0)),"")</f>
        <v>No</v>
      </c>
      <c r="J21" s="0" t="str">
        <f aca="false">IFERROR(IF(B21="Trash",INDEX('Materials Master'!$F$2:$F$27,MATCH(D21,'Materials Master'!$A$2:$A$27,0)),IF(B21="GMPC Recycling",INDEX('Materials Master'!$G$2:$G$27,MATCH(D21,'Materials Master'!$A$2:$A$27,0)),IF(B21="Organics Recycling",INDEX('Materials Master'!$H$2:$H$27,MATCH(D21,'Materials Master'!$A$2:$A$27,0)),IF(B21="Cardboard Recycling",INDEX('Materials Master'!$I$2:$I$27,MATCH(D21,'Materials Master'!$A$2:$A$27,0)),IF(B21="Paper Recycling",INDEX('Materials Master'!$J$2:$J$27,MATCH(D21,'Materials Master'!$A$2:$A$27,0)),IF(B21="Terracycle",INDEX('Materials Master'!$K$2:$K$27,MATCH(D21,'Materials Master'!$A$2:$A$27,0)),"No")))))),"")</f>
        <v>Yes</v>
      </c>
      <c r="K21" s="0" t="str">
        <f aca="false">IFERROR(INDEX(Areas!$C$2:$C$6,MATCH(C21,Areas!$B$2:$B$6,0)),"")</f>
        <v>Rest of Building</v>
      </c>
    </row>
    <row r="22" customFormat="false" ht="15" hidden="false" customHeight="false" outlineLevel="0" collapsed="false">
      <c r="A22" s="0" t="s">
        <v>115</v>
      </c>
      <c r="B22" s="0" t="s">
        <v>103</v>
      </c>
      <c r="C22" s="0" t="s">
        <v>92</v>
      </c>
      <c r="D22" s="0" t="s">
        <v>73</v>
      </c>
      <c r="E22" s="0" t="n">
        <v>37.3</v>
      </c>
      <c r="F22" s="0" t="str">
        <f aca="false">IFERROR(INDEX('Materials Master'!$B$2:$B$27,MATCH(D22,'Materials Master'!$A$2:$A$27,0)),"")</f>
        <v>PLA Compostable Serviceware</v>
      </c>
      <c r="G22" s="0" t="str">
        <f aca="false">IFERROR(INDEX('Materials Master'!$C$2:$C$27,MATCH(D22,'Materials Master'!$A$2:$A$27,0)),"")</f>
        <v>Organics</v>
      </c>
      <c r="H22" s="0" t="str">
        <f aca="false">IFERROR(INDEX('Materials Master'!$D$2:$D$27,MATCH(D22,'Materials Master'!$A$2:$A$27,0)),"")</f>
        <v>No</v>
      </c>
      <c r="I22" s="0" t="str">
        <f aca="false">IFERROR(INDEX('Materials Master'!$E$2:$E$27,MATCH(D22,'Materials Master'!$A$2:$A$27,0)),"")</f>
        <v>No</v>
      </c>
      <c r="J22" s="0" t="str">
        <f aca="false">IFERROR(IF(B22="Trash",INDEX('Materials Master'!$F$2:$F$27,MATCH(D22,'Materials Master'!$A$2:$A$27,0)),IF(B22="GMPC Recycling",INDEX('Materials Master'!$G$2:$G$27,MATCH(D22,'Materials Master'!$A$2:$A$27,0)),IF(B22="Organics Recycling",INDEX('Materials Master'!$H$2:$H$27,MATCH(D22,'Materials Master'!$A$2:$A$27,0)),IF(B22="Cardboard Recycling",INDEX('Materials Master'!$I$2:$I$27,MATCH(D22,'Materials Master'!$A$2:$A$27,0)),IF(B22="Paper Recycling",INDEX('Materials Master'!$J$2:$J$27,MATCH(D22,'Materials Master'!$A$2:$A$27,0)),IF(B22="Terracycle",INDEX('Materials Master'!$K$2:$K$27,MATCH(D22,'Materials Master'!$A$2:$A$27,0)),"No")))))),"")</f>
        <v>Yes</v>
      </c>
      <c r="K22" s="0" t="str">
        <f aca="false">IFERROR(INDEX(Areas!$C$2:$C$6,MATCH(C22,Areas!$B$2:$B$6,0)),"")</f>
        <v>Rest of Building</v>
      </c>
    </row>
    <row r="23" customFormat="false" ht="15" hidden="false" customHeight="false" outlineLevel="0" collapsed="false">
      <c r="A23" s="0" t="s">
        <v>115</v>
      </c>
      <c r="B23" s="0" t="s">
        <v>103</v>
      </c>
      <c r="C23" s="0" t="s">
        <v>92</v>
      </c>
      <c r="D23" s="0" t="s">
        <v>78</v>
      </c>
      <c r="E23" s="0" t="n">
        <v>0.189375</v>
      </c>
      <c r="F23" s="0" t="str">
        <f aca="false">IFERROR(INDEX('Materials Master'!$B$2:$B$27,MATCH(D23,'Materials Master'!$A$2:$A$27,0)),"")</f>
        <v>Textiles</v>
      </c>
      <c r="G23" s="0" t="str">
        <f aca="false">IFERROR(INDEX('Materials Master'!$C$2:$C$27,MATCH(D23,'Materials Master'!$A$2:$A$27,0)),"")</f>
        <v>Unacceptable</v>
      </c>
      <c r="H23" s="0" t="str">
        <f aca="false">IFERROR(INDEX('Materials Master'!$D$2:$D$27,MATCH(D23,'Materials Master'!$A$2:$A$27,0)),"")</f>
        <v>Unacceptable</v>
      </c>
      <c r="I23" s="0" t="str">
        <f aca="false">IFERROR(INDEX('Materials Master'!$E$2:$E$27,MATCH(D23,'Materials Master'!$A$2:$A$27,0)),"")</f>
        <v>No</v>
      </c>
      <c r="J23" s="0" t="str">
        <f aca="false">IFERROR(IF(B23="Trash",INDEX('Materials Master'!$F$2:$F$27,MATCH(D23,'Materials Master'!$A$2:$A$27,0)),IF(B23="GMPC Recycling",INDEX('Materials Master'!$G$2:$G$27,MATCH(D23,'Materials Master'!$A$2:$A$27,0)),IF(B23="Organics Recycling",INDEX('Materials Master'!$H$2:$H$27,MATCH(D23,'Materials Master'!$A$2:$A$27,0)),IF(B23="Cardboard Recycling",INDEX('Materials Master'!$I$2:$I$27,MATCH(D23,'Materials Master'!$A$2:$A$27,0)),IF(B23="Paper Recycling",INDEX('Materials Master'!$J$2:$J$27,MATCH(D23,'Materials Master'!$A$2:$A$27,0)),IF(B23="Terracycle",INDEX('Materials Master'!$K$2:$K$27,MATCH(D23,'Materials Master'!$A$2:$A$27,0)),"No")))))),"")</f>
        <v>Yes</v>
      </c>
      <c r="K23" s="0" t="str">
        <f aca="false">IFERROR(INDEX(Areas!$C$2:$C$6,MATCH(C23,Areas!$B$2:$B$6,0)),"")</f>
        <v>Rest of Building</v>
      </c>
    </row>
    <row r="24" customFormat="false" ht="15" hidden="false" customHeight="false" outlineLevel="0" collapsed="false">
      <c r="A24" s="0" t="s">
        <v>115</v>
      </c>
      <c r="B24" s="0" t="s">
        <v>103</v>
      </c>
      <c r="C24" s="0" t="s">
        <v>92</v>
      </c>
      <c r="D24" s="0" t="s">
        <v>82</v>
      </c>
      <c r="E24" s="0" t="n">
        <v>7.3</v>
      </c>
      <c r="F24" s="0" t="str">
        <f aca="false">IFERROR(INDEX('Materials Master'!$B$2:$B$27,MATCH(D24,'Materials Master'!$A$2:$A$27,0)),"")</f>
        <v>Liquids</v>
      </c>
      <c r="G24" s="0" t="str">
        <f aca="false">IFERROR(INDEX('Materials Master'!$C$2:$C$27,MATCH(D24,'Materials Master'!$A$2:$A$27,0)),"")</f>
        <v>Unacceptable</v>
      </c>
      <c r="H24" s="0" t="str">
        <f aca="false">IFERROR(INDEX('Materials Master'!$D$2:$D$27,MATCH(D24,'Materials Master'!$A$2:$A$27,0)),"")</f>
        <v>Unacceptable</v>
      </c>
      <c r="I24" s="0" t="str">
        <f aca="false">IFERROR(INDEX('Materials Master'!$E$2:$E$27,MATCH(D24,'Materials Master'!$A$2:$A$27,0)),"")</f>
        <v>No</v>
      </c>
      <c r="J24" s="0" t="str">
        <f aca="false">IFERROR(IF(B24="Trash",INDEX('Materials Master'!$F$2:$F$27,MATCH(D24,'Materials Master'!$A$2:$A$27,0)),IF(B24="GMPC Recycling",INDEX('Materials Master'!$G$2:$G$27,MATCH(D24,'Materials Master'!$A$2:$A$27,0)),IF(B24="Organics Recycling",INDEX('Materials Master'!$H$2:$H$27,MATCH(D24,'Materials Master'!$A$2:$A$27,0)),IF(B24="Cardboard Recycling",INDEX('Materials Master'!$I$2:$I$27,MATCH(D24,'Materials Master'!$A$2:$A$27,0)),IF(B24="Paper Recycling",INDEX('Materials Master'!$J$2:$J$27,MATCH(D24,'Materials Master'!$A$2:$A$27,0)),IF(B24="Terracycle",INDEX('Materials Master'!$K$2:$K$27,MATCH(D24,'Materials Master'!$A$2:$A$27,0)),"No")))))),"")</f>
        <v>Yes</v>
      </c>
      <c r="K24" s="0" t="str">
        <f aca="false">IFERROR(INDEX(Areas!$C$2:$C$6,MATCH(C24,Areas!$B$2:$B$6,0)),"")</f>
        <v>Rest of Building</v>
      </c>
    </row>
    <row r="25" customFormat="false" ht="15" hidden="false" customHeight="false" outlineLevel="0" collapsed="false">
      <c r="A25" s="0" t="s">
        <v>115</v>
      </c>
      <c r="B25" s="0" t="s">
        <v>103</v>
      </c>
      <c r="C25" s="0" t="s">
        <v>92</v>
      </c>
      <c r="D25" s="0" t="s">
        <v>84</v>
      </c>
      <c r="E25" s="0" t="n">
        <v>4.3</v>
      </c>
      <c r="F25" s="0" t="str">
        <f aca="false">IFERROR(INDEX('Materials Master'!$B$2:$B$27,MATCH(D25,'Materials Master'!$A$2:$A$27,0)),"")</f>
        <v>Snack Wrappers (Composites)</v>
      </c>
      <c r="G25" s="0" t="str">
        <f aca="false">IFERROR(INDEX('Materials Master'!$C$2:$C$27,MATCH(D25,'Materials Master'!$A$2:$A$27,0)),"")</f>
        <v>Other</v>
      </c>
      <c r="H25" s="0" t="str">
        <f aca="false">IFERROR(INDEX('Materials Master'!$D$2:$D$27,MATCH(D25,'Materials Master'!$A$2:$A$27,0)),"")</f>
        <v>No</v>
      </c>
      <c r="I25" s="0" t="str">
        <f aca="false">IFERROR(INDEX('Materials Master'!$E$2:$E$27,MATCH(D25,'Materials Master'!$A$2:$A$27,0)),"")</f>
        <v>Yes</v>
      </c>
      <c r="J25" s="0" t="str">
        <f aca="false">IFERROR(IF(B25="Trash",INDEX('Materials Master'!$F$2:$F$27,MATCH(D25,'Materials Master'!$A$2:$A$27,0)),IF(B25="GMPC Recycling",INDEX('Materials Master'!$G$2:$G$27,MATCH(D25,'Materials Master'!$A$2:$A$27,0)),IF(B25="Organics Recycling",INDEX('Materials Master'!$H$2:$H$27,MATCH(D25,'Materials Master'!$A$2:$A$27,0)),IF(B25="Cardboard Recycling",INDEX('Materials Master'!$I$2:$I$27,MATCH(D25,'Materials Master'!$A$2:$A$27,0)),IF(B25="Paper Recycling",INDEX('Materials Master'!$J$2:$J$27,MATCH(D25,'Materials Master'!$A$2:$A$27,0)),IF(B25="Terracycle",INDEX('Materials Master'!$K$2:$K$27,MATCH(D25,'Materials Master'!$A$2:$A$27,0)),"No")))))),"")</f>
        <v>No</v>
      </c>
      <c r="K25" s="0" t="str">
        <f aca="false">IFERROR(INDEX(Areas!$C$2:$C$6,MATCH(C25,Areas!$B$2:$B$6,0)),"")</f>
        <v>Rest of Building</v>
      </c>
    </row>
    <row r="26" customFormat="false" ht="15" hidden="false" customHeight="false" outlineLevel="0" collapsed="false">
      <c r="A26" s="0" t="s">
        <v>115</v>
      </c>
      <c r="B26" s="0" t="s">
        <v>103</v>
      </c>
      <c r="C26" s="0" t="s">
        <v>92</v>
      </c>
      <c r="D26" s="0" t="s">
        <v>87</v>
      </c>
      <c r="E26" s="0" t="n">
        <v>24.6</v>
      </c>
      <c r="F26" s="0" t="str">
        <f aca="false">IFERROR(INDEX('Materials Master'!$B$2:$B$27,MATCH(D26,'Materials Master'!$A$2:$A$27,0)),"")</f>
        <v>Other/Residual Materials</v>
      </c>
      <c r="G26" s="0" t="str">
        <f aca="false">IFERROR(INDEX('Materials Master'!$C$2:$C$27,MATCH(D26,'Materials Master'!$A$2:$A$27,0)),"")</f>
        <v>Other</v>
      </c>
      <c r="H26" s="0" t="str">
        <f aca="false">IFERROR(INDEX('Materials Master'!$D$2:$D$27,MATCH(D26,'Materials Master'!$A$2:$A$27,0)),"")</f>
        <v>No</v>
      </c>
      <c r="I26" s="0" t="str">
        <f aca="false">IFERROR(INDEX('Materials Master'!$E$2:$E$27,MATCH(D26,'Materials Master'!$A$2:$A$27,0)),"")</f>
        <v>No</v>
      </c>
      <c r="J26" s="0" t="str">
        <f aca="false">IFERROR(IF(B26="Trash",INDEX('Materials Master'!$F$2:$F$27,MATCH(D26,'Materials Master'!$A$2:$A$27,0)),IF(B26="GMPC Recycling",INDEX('Materials Master'!$G$2:$G$27,MATCH(D26,'Materials Master'!$A$2:$A$27,0)),IF(B26="Organics Recycling",INDEX('Materials Master'!$H$2:$H$27,MATCH(D26,'Materials Master'!$A$2:$A$27,0)),IF(B26="Cardboard Recycling",INDEX('Materials Master'!$I$2:$I$27,MATCH(D26,'Materials Master'!$A$2:$A$27,0)),IF(B26="Paper Recycling",INDEX('Materials Master'!$J$2:$J$27,MATCH(D26,'Materials Master'!$A$2:$A$27,0)),IF(B26="Terracycle",INDEX('Materials Master'!$K$2:$K$27,MATCH(D26,'Materials Master'!$A$2:$A$27,0)),"No")))))),"")</f>
        <v>Yes</v>
      </c>
      <c r="K26" s="0" t="str">
        <f aca="false">IFERROR(INDEX(Areas!$C$2:$C$6,MATCH(C26,Areas!$B$2:$B$6,0)),"")</f>
        <v>Rest of Building</v>
      </c>
    </row>
    <row r="27" customFormat="false" ht="15" hidden="false" customHeight="false" outlineLevel="0" collapsed="false">
      <c r="A27" s="0" t="s">
        <v>115</v>
      </c>
      <c r="B27" s="0" t="s">
        <v>103</v>
      </c>
      <c r="C27" s="0" t="s">
        <v>95</v>
      </c>
      <c r="D27" s="0" t="s">
        <v>37</v>
      </c>
      <c r="E27" s="0" t="n">
        <v>16.3</v>
      </c>
      <c r="F27" s="0" t="str">
        <f aca="false">IFERROR(INDEX('Materials Master'!$B$2:$B$27,MATCH(D27,'Materials Master'!$A$2:$A$27,0)),"")</f>
        <v>Mixed Paper</v>
      </c>
      <c r="G27" s="0" t="str">
        <f aca="false">IFERROR(INDEX('Materials Master'!$C$2:$C$27,MATCH(D27,'Materials Master'!$A$2:$A$27,0)),"")</f>
        <v>Fibers</v>
      </c>
      <c r="H27" s="0" t="str">
        <f aca="false">IFERROR(INDEX('Materials Master'!$D$2:$D$27,MATCH(D27,'Materials Master'!$A$2:$A$27,0)),"")</f>
        <v>Yes</v>
      </c>
      <c r="I27" s="0" t="str">
        <f aca="false">IFERROR(INDEX('Materials Master'!$E$2:$E$27,MATCH(D27,'Materials Master'!$A$2:$A$27,0)),"")</f>
        <v>Yes</v>
      </c>
      <c r="J27" s="0" t="str">
        <f aca="false">IFERROR(IF(B27="Trash",INDEX('Materials Master'!$F$2:$F$27,MATCH(D27,'Materials Master'!$A$2:$A$27,0)),IF(B27="GMPC Recycling",INDEX('Materials Master'!$G$2:$G$27,MATCH(D27,'Materials Master'!$A$2:$A$27,0)),IF(B27="Organics Recycling",INDEX('Materials Master'!$H$2:$H$27,MATCH(D27,'Materials Master'!$A$2:$A$27,0)),IF(B27="Cardboard Recycling",INDEX('Materials Master'!$I$2:$I$27,MATCH(D27,'Materials Master'!$A$2:$A$27,0)),IF(B27="Paper Recycling",INDEX('Materials Master'!$J$2:$J$27,MATCH(D27,'Materials Master'!$A$2:$A$27,0)),IF(B27="Terracycle",INDEX('Materials Master'!$K$2:$K$27,MATCH(D27,'Materials Master'!$A$2:$A$27,0)),"No")))))),"")</f>
        <v>No</v>
      </c>
      <c r="K27" s="0" t="str">
        <f aca="false">IFERROR(INDEX(Areas!$C$2:$C$6,MATCH(C27,Areas!$B$2:$B$6,0)),"")</f>
        <v>BOH</v>
      </c>
    </row>
    <row r="28" customFormat="false" ht="15" hidden="false" customHeight="false" outlineLevel="0" collapsed="false">
      <c r="A28" s="0" t="s">
        <v>115</v>
      </c>
      <c r="B28" s="0" t="s">
        <v>103</v>
      </c>
      <c r="C28" s="0" t="s">
        <v>95</v>
      </c>
      <c r="D28" s="0" t="s">
        <v>41</v>
      </c>
      <c r="E28" s="0" t="n">
        <v>2.9</v>
      </c>
      <c r="F28" s="0" t="str">
        <f aca="false">IFERROR(INDEX('Materials Master'!$B$2:$B$27,MATCH(D28,'Materials Master'!$A$2:$A$27,0)),"")</f>
        <v>Beverage Cartons</v>
      </c>
      <c r="G28" s="0" t="str">
        <f aca="false">IFERROR(INDEX('Materials Master'!$C$2:$C$27,MATCH(D28,'Materials Master'!$A$2:$A$27,0)),"")</f>
        <v>Fibers</v>
      </c>
      <c r="H28" s="0" t="str">
        <f aca="false">IFERROR(INDEX('Materials Master'!$D$2:$D$27,MATCH(D28,'Materials Master'!$A$2:$A$27,0)),"")</f>
        <v>Yes</v>
      </c>
      <c r="I28" s="0" t="str">
        <f aca="false">IFERROR(INDEX('Materials Master'!$E$2:$E$27,MATCH(D28,'Materials Master'!$A$2:$A$27,0)),"")</f>
        <v>Yes</v>
      </c>
      <c r="J28" s="0" t="str">
        <f aca="false">IFERROR(IF(B28="Trash",INDEX('Materials Master'!$F$2:$F$27,MATCH(D28,'Materials Master'!$A$2:$A$27,0)),IF(B28="GMPC Recycling",INDEX('Materials Master'!$G$2:$G$27,MATCH(D28,'Materials Master'!$A$2:$A$27,0)),IF(B28="Organics Recycling",INDEX('Materials Master'!$H$2:$H$27,MATCH(D28,'Materials Master'!$A$2:$A$27,0)),IF(B28="Cardboard Recycling",INDEX('Materials Master'!$I$2:$I$27,MATCH(D28,'Materials Master'!$A$2:$A$27,0)),IF(B28="Paper Recycling",INDEX('Materials Master'!$J$2:$J$27,MATCH(D28,'Materials Master'!$A$2:$A$27,0)),IF(B28="Terracycle",INDEX('Materials Master'!$K$2:$K$27,MATCH(D28,'Materials Master'!$A$2:$A$27,0)),"No")))))),"")</f>
        <v>No</v>
      </c>
      <c r="K28" s="0" t="str">
        <f aca="false">IFERROR(INDEX(Areas!$C$2:$C$6,MATCH(C28,Areas!$B$2:$B$6,0)),"")</f>
        <v>BOH</v>
      </c>
    </row>
    <row r="29" customFormat="false" ht="15" hidden="false" customHeight="false" outlineLevel="0" collapsed="false">
      <c r="A29" s="0" t="s">
        <v>115</v>
      </c>
      <c r="B29" s="0" t="s">
        <v>103</v>
      </c>
      <c r="C29" s="0" t="s">
        <v>95</v>
      </c>
      <c r="D29" s="0" t="s">
        <v>52</v>
      </c>
      <c r="E29" s="0" t="n">
        <v>0.5</v>
      </c>
      <c r="F29" s="0" t="str">
        <f aca="false">IFERROR(INDEX('Materials Master'!$B$2:$B$27,MATCH(D29,'Materials Master'!$A$2:$A$27,0)),"")</f>
        <v>Aluminum &amp; Bi-Metal Containers</v>
      </c>
      <c r="G29" s="0" t="str">
        <f aca="false">IFERROR(INDEX('Materials Master'!$C$2:$C$27,MATCH(D29,'Materials Master'!$A$2:$A$27,0)),"")</f>
        <v>Metals</v>
      </c>
      <c r="H29" s="0" t="str">
        <f aca="false">IFERROR(INDEX('Materials Master'!$D$2:$D$27,MATCH(D29,'Materials Master'!$A$2:$A$27,0)),"")</f>
        <v>Yes</v>
      </c>
      <c r="I29" s="0" t="str">
        <f aca="false">IFERROR(INDEX('Materials Master'!$E$2:$E$27,MATCH(D29,'Materials Master'!$A$2:$A$27,0)),"")</f>
        <v>Yes</v>
      </c>
      <c r="J29" s="0" t="str">
        <f aca="false">IFERROR(IF(B29="Trash",INDEX('Materials Master'!$F$2:$F$27,MATCH(D29,'Materials Master'!$A$2:$A$27,0)),IF(B29="GMPC Recycling",INDEX('Materials Master'!$G$2:$G$27,MATCH(D29,'Materials Master'!$A$2:$A$27,0)),IF(B29="Organics Recycling",INDEX('Materials Master'!$H$2:$H$27,MATCH(D29,'Materials Master'!$A$2:$A$27,0)),IF(B29="Cardboard Recycling",INDEX('Materials Master'!$I$2:$I$27,MATCH(D29,'Materials Master'!$A$2:$A$27,0)),IF(B29="Paper Recycling",INDEX('Materials Master'!$J$2:$J$27,MATCH(D29,'Materials Master'!$A$2:$A$27,0)),IF(B29="Terracycle",INDEX('Materials Master'!$K$2:$K$27,MATCH(D29,'Materials Master'!$A$2:$A$27,0)),"No")))))),"")</f>
        <v>No</v>
      </c>
      <c r="K29" s="0" t="str">
        <f aca="false">IFERROR(INDEX(Areas!$C$2:$C$6,MATCH(C29,Areas!$B$2:$B$6,0)),"")</f>
        <v>BOH</v>
      </c>
    </row>
    <row r="30" customFormat="false" ht="15" hidden="false" customHeight="false" outlineLevel="0" collapsed="false">
      <c r="A30" s="0" t="s">
        <v>115</v>
      </c>
      <c r="B30" s="0" t="s">
        <v>103</v>
      </c>
      <c r="C30" s="0" t="s">
        <v>95</v>
      </c>
      <c r="D30" s="0" t="s">
        <v>57</v>
      </c>
      <c r="E30" s="0" t="n">
        <v>29.6</v>
      </c>
      <c r="F30" s="0" t="str">
        <f aca="false">IFERROR(INDEX('Materials Master'!$B$2:$B$27,MATCH(D30,'Materials Master'!$A$2:$A$27,0)),"")</f>
        <v>Rigid Plastics (1-6)</v>
      </c>
      <c r="G30" s="0" t="str">
        <f aca="false">IFERROR(INDEX('Materials Master'!$C$2:$C$27,MATCH(D30,'Materials Master'!$A$2:$A$27,0)),"")</f>
        <v>Plastics</v>
      </c>
      <c r="H30" s="0" t="str">
        <f aca="false">IFERROR(INDEX('Materials Master'!$D$2:$D$27,MATCH(D30,'Materials Master'!$A$2:$A$27,0)),"")</f>
        <v>Yes</v>
      </c>
      <c r="I30" s="0" t="str">
        <f aca="false">IFERROR(INDEX('Materials Master'!$E$2:$E$27,MATCH(D30,'Materials Master'!$A$2:$A$27,0)),"")</f>
        <v>Yes</v>
      </c>
      <c r="J30" s="0" t="str">
        <f aca="false">IFERROR(IF(B30="Trash",INDEX('Materials Master'!$F$2:$F$27,MATCH(D30,'Materials Master'!$A$2:$A$27,0)),IF(B30="GMPC Recycling",INDEX('Materials Master'!$G$2:$G$27,MATCH(D30,'Materials Master'!$A$2:$A$27,0)),IF(B30="Organics Recycling",INDEX('Materials Master'!$H$2:$H$27,MATCH(D30,'Materials Master'!$A$2:$A$27,0)),IF(B30="Cardboard Recycling",INDEX('Materials Master'!$I$2:$I$27,MATCH(D30,'Materials Master'!$A$2:$A$27,0)),IF(B30="Paper Recycling",INDEX('Materials Master'!$J$2:$J$27,MATCH(D30,'Materials Master'!$A$2:$A$27,0)),IF(B30="Terracycle",INDEX('Materials Master'!$K$2:$K$27,MATCH(D30,'Materials Master'!$A$2:$A$27,0)),"No")))))),"")</f>
        <v>No</v>
      </c>
      <c r="K30" s="0" t="str">
        <f aca="false">IFERROR(INDEX(Areas!$C$2:$C$6,MATCH(C30,Areas!$B$2:$B$6,0)),"")</f>
        <v>BOH</v>
      </c>
    </row>
    <row r="31" customFormat="false" ht="15" hidden="false" customHeight="false" outlineLevel="0" collapsed="false">
      <c r="A31" s="0" t="s">
        <v>115</v>
      </c>
      <c r="B31" s="0" t="s">
        <v>103</v>
      </c>
      <c r="C31" s="0" t="s">
        <v>95</v>
      </c>
      <c r="D31" s="0" t="s">
        <v>62</v>
      </c>
      <c r="E31" s="0" t="n">
        <v>26.8</v>
      </c>
      <c r="F31" s="0" t="str">
        <f aca="false">IFERROR(INDEX('Materials Master'!$B$2:$B$27,MATCH(D31,'Materials Master'!$A$2:$A$27,0)),"")</f>
        <v>Film Plastics</v>
      </c>
      <c r="G31" s="0" t="str">
        <f aca="false">IFERROR(INDEX('Materials Master'!$C$2:$C$27,MATCH(D31,'Materials Master'!$A$2:$A$27,0)),"")</f>
        <v>Plastics</v>
      </c>
      <c r="H31" s="0" t="str">
        <f aca="false">IFERROR(INDEX('Materials Master'!$D$2:$D$27,MATCH(D31,'Materials Master'!$A$2:$A$27,0)),"")</f>
        <v>No</v>
      </c>
      <c r="I31" s="0" t="str">
        <f aca="false">IFERROR(INDEX('Materials Master'!$E$2:$E$27,MATCH(D31,'Materials Master'!$A$2:$A$27,0)),"")</f>
        <v>No</v>
      </c>
      <c r="J31" s="0" t="str">
        <f aca="false">IFERROR(IF(B31="Trash",INDEX('Materials Master'!$F$2:$F$27,MATCH(D31,'Materials Master'!$A$2:$A$27,0)),IF(B31="GMPC Recycling",INDEX('Materials Master'!$G$2:$G$27,MATCH(D31,'Materials Master'!$A$2:$A$27,0)),IF(B31="Organics Recycling",INDEX('Materials Master'!$H$2:$H$27,MATCH(D31,'Materials Master'!$A$2:$A$27,0)),IF(B31="Cardboard Recycling",INDEX('Materials Master'!$I$2:$I$27,MATCH(D31,'Materials Master'!$A$2:$A$27,0)),IF(B31="Paper Recycling",INDEX('Materials Master'!$J$2:$J$27,MATCH(D31,'Materials Master'!$A$2:$A$27,0)),IF(B31="Terracycle",INDEX('Materials Master'!$K$2:$K$27,MATCH(D31,'Materials Master'!$A$2:$A$27,0)),"No")))))),"")</f>
        <v>Yes</v>
      </c>
      <c r="K31" s="0" t="str">
        <f aca="false">IFERROR(INDEX(Areas!$C$2:$C$6,MATCH(C31,Areas!$B$2:$B$6,0)),"")</f>
        <v>BOH</v>
      </c>
    </row>
    <row r="32" customFormat="false" ht="15" hidden="false" customHeight="false" outlineLevel="0" collapsed="false">
      <c r="A32" s="0" t="s">
        <v>115</v>
      </c>
      <c r="B32" s="0" t="s">
        <v>103</v>
      </c>
      <c r="C32" s="0" t="s">
        <v>95</v>
      </c>
      <c r="D32" s="0" t="s">
        <v>64</v>
      </c>
      <c r="E32" s="0" t="n">
        <v>0.8</v>
      </c>
      <c r="F32" s="0" t="str">
        <f aca="false">IFERROR(INDEX('Materials Master'!$B$2:$B$27,MATCH(D32,'Materials Master'!$A$2:$A$27,0)),"")</f>
        <v>Foams</v>
      </c>
      <c r="G32" s="0" t="str">
        <f aca="false">IFERROR(INDEX('Materials Master'!$C$2:$C$27,MATCH(D32,'Materials Master'!$A$2:$A$27,0)),"")</f>
        <v>Plastics</v>
      </c>
      <c r="H32" s="0" t="str">
        <f aca="false">IFERROR(INDEX('Materials Master'!$D$2:$D$27,MATCH(D32,'Materials Master'!$A$2:$A$27,0)),"")</f>
        <v>No</v>
      </c>
      <c r="I32" s="0" t="str">
        <f aca="false">IFERROR(INDEX('Materials Master'!$E$2:$E$27,MATCH(D32,'Materials Master'!$A$2:$A$27,0)),"")</f>
        <v>No</v>
      </c>
      <c r="J32" s="0" t="str">
        <f aca="false">IFERROR(IF(B32="Trash",INDEX('Materials Master'!$F$2:$F$27,MATCH(D32,'Materials Master'!$A$2:$A$27,0)),IF(B32="GMPC Recycling",INDEX('Materials Master'!$G$2:$G$27,MATCH(D32,'Materials Master'!$A$2:$A$27,0)),IF(B32="Organics Recycling",INDEX('Materials Master'!$H$2:$H$27,MATCH(D32,'Materials Master'!$A$2:$A$27,0)),IF(B32="Cardboard Recycling",INDEX('Materials Master'!$I$2:$I$27,MATCH(D32,'Materials Master'!$A$2:$A$27,0)),IF(B32="Paper Recycling",INDEX('Materials Master'!$J$2:$J$27,MATCH(D32,'Materials Master'!$A$2:$A$27,0)),IF(B32="Terracycle",INDEX('Materials Master'!$K$2:$K$27,MATCH(D32,'Materials Master'!$A$2:$A$27,0)),"No")))))),"")</f>
        <v>Yes</v>
      </c>
      <c r="K32" s="0" t="str">
        <f aca="false">IFERROR(INDEX(Areas!$C$2:$C$6,MATCH(C32,Areas!$B$2:$B$6,0)),"")</f>
        <v>BOH</v>
      </c>
    </row>
    <row r="33" customFormat="false" ht="15" hidden="false" customHeight="false" outlineLevel="0" collapsed="false">
      <c r="A33" s="0" t="s">
        <v>115</v>
      </c>
      <c r="B33" s="0" t="s">
        <v>103</v>
      </c>
      <c r="C33" s="0" t="s">
        <v>95</v>
      </c>
      <c r="D33" s="0" t="s">
        <v>66</v>
      </c>
      <c r="E33" s="0" t="n">
        <v>167.2</v>
      </c>
      <c r="F33" s="0" t="str">
        <f aca="false">IFERROR(INDEX('Materials Master'!$B$2:$B$27,MATCH(D33,'Materials Master'!$A$2:$A$27,0)),"")</f>
        <v>Food Waste</v>
      </c>
      <c r="G33" s="0" t="str">
        <f aca="false">IFERROR(INDEX('Materials Master'!$C$2:$C$27,MATCH(D33,'Materials Master'!$A$2:$A$27,0)),"")</f>
        <v>Organics</v>
      </c>
      <c r="H33" s="0" t="str">
        <f aca="false">IFERROR(INDEX('Materials Master'!$D$2:$D$27,MATCH(D33,'Materials Master'!$A$2:$A$27,0)),"")</f>
        <v>Yes</v>
      </c>
      <c r="I33" s="0" t="str">
        <f aca="false">IFERROR(INDEX('Materials Master'!$E$2:$E$27,MATCH(D33,'Materials Master'!$A$2:$A$27,0)),"")</f>
        <v>Yes</v>
      </c>
      <c r="J33" s="0" t="str">
        <f aca="false">IFERROR(IF(B33="Trash",INDEX('Materials Master'!$F$2:$F$27,MATCH(D33,'Materials Master'!$A$2:$A$27,0)),IF(B33="GMPC Recycling",INDEX('Materials Master'!$G$2:$G$27,MATCH(D33,'Materials Master'!$A$2:$A$27,0)),IF(B33="Organics Recycling",INDEX('Materials Master'!$H$2:$H$27,MATCH(D33,'Materials Master'!$A$2:$A$27,0)),IF(B33="Cardboard Recycling",INDEX('Materials Master'!$I$2:$I$27,MATCH(D33,'Materials Master'!$A$2:$A$27,0)),IF(B33="Paper Recycling",INDEX('Materials Master'!$J$2:$J$27,MATCH(D33,'Materials Master'!$A$2:$A$27,0)),IF(B33="Terracycle",INDEX('Materials Master'!$K$2:$K$27,MATCH(D33,'Materials Master'!$A$2:$A$27,0)),"No")))))),"")</f>
        <v>No</v>
      </c>
      <c r="K33" s="0" t="str">
        <f aca="false">IFERROR(INDEX(Areas!$C$2:$C$6,MATCH(C33,Areas!$B$2:$B$6,0)),"")</f>
        <v>BOH</v>
      </c>
    </row>
    <row r="34" customFormat="false" ht="15" hidden="false" customHeight="false" outlineLevel="0" collapsed="false">
      <c r="A34" s="0" t="s">
        <v>115</v>
      </c>
      <c r="B34" s="0" t="s">
        <v>103</v>
      </c>
      <c r="C34" s="0" t="s">
        <v>95</v>
      </c>
      <c r="D34" s="0" t="s">
        <v>69</v>
      </c>
      <c r="E34" s="0" t="n">
        <v>17</v>
      </c>
      <c r="F34" s="0" t="str">
        <f aca="false">IFERROR(INDEX('Materials Master'!$B$2:$B$27,MATCH(D34,'Materials Master'!$A$2:$A$27,0)),"")</f>
        <v>Paper Fibers and Food-Soiled Paper (FSP)</v>
      </c>
      <c r="G34" s="0" t="str">
        <f aca="false">IFERROR(INDEX('Materials Master'!$C$2:$C$27,MATCH(D34,'Materials Master'!$A$2:$A$27,0)),"")</f>
        <v>Organics</v>
      </c>
      <c r="H34" s="0" t="str">
        <f aca="false">IFERROR(INDEX('Materials Master'!$D$2:$D$27,MATCH(D34,'Materials Master'!$A$2:$A$27,0)),"")</f>
        <v>No</v>
      </c>
      <c r="I34" s="0" t="str">
        <f aca="false">IFERROR(INDEX('Materials Master'!$E$2:$E$27,MATCH(D34,'Materials Master'!$A$2:$A$27,0)),"")</f>
        <v>No</v>
      </c>
      <c r="J34" s="0" t="str">
        <f aca="false">IFERROR(IF(B34="Trash",INDEX('Materials Master'!$F$2:$F$27,MATCH(D34,'Materials Master'!$A$2:$A$27,0)),IF(B34="GMPC Recycling",INDEX('Materials Master'!$G$2:$G$27,MATCH(D34,'Materials Master'!$A$2:$A$27,0)),IF(B34="Organics Recycling",INDEX('Materials Master'!$H$2:$H$27,MATCH(D34,'Materials Master'!$A$2:$A$27,0)),IF(B34="Cardboard Recycling",INDEX('Materials Master'!$I$2:$I$27,MATCH(D34,'Materials Master'!$A$2:$A$27,0)),IF(B34="Paper Recycling",INDEX('Materials Master'!$J$2:$J$27,MATCH(D34,'Materials Master'!$A$2:$A$27,0)),IF(B34="Terracycle",INDEX('Materials Master'!$K$2:$K$27,MATCH(D34,'Materials Master'!$A$2:$A$27,0)),"No")))))),"")</f>
        <v>Yes</v>
      </c>
      <c r="K34" s="0" t="str">
        <f aca="false">IFERROR(INDEX(Areas!$C$2:$C$6,MATCH(C34,Areas!$B$2:$B$6,0)),"")</f>
        <v>BOH</v>
      </c>
    </row>
    <row r="35" customFormat="false" ht="15" hidden="false" customHeight="false" outlineLevel="0" collapsed="false">
      <c r="A35" s="0" t="s">
        <v>115</v>
      </c>
      <c r="B35" s="0" t="s">
        <v>103</v>
      </c>
      <c r="C35" s="0" t="s">
        <v>95</v>
      </c>
      <c r="D35" s="0" t="s">
        <v>71</v>
      </c>
      <c r="E35" s="0" t="n">
        <v>12.7</v>
      </c>
      <c r="F35" s="0" t="str">
        <f aca="false">IFERROR(INDEX('Materials Master'!$B$2:$B$27,MATCH(D35,'Materials Master'!$A$2:$A$27,0)),"")</f>
        <v>Fiber-based Compostable Serviceware</v>
      </c>
      <c r="G35" s="0" t="str">
        <f aca="false">IFERROR(INDEX('Materials Master'!$C$2:$C$27,MATCH(D35,'Materials Master'!$A$2:$A$27,0)),"")</f>
        <v>Organics</v>
      </c>
      <c r="H35" s="0" t="str">
        <f aca="false">IFERROR(INDEX('Materials Master'!$D$2:$D$27,MATCH(D35,'Materials Master'!$A$2:$A$27,0)),"")</f>
        <v>No</v>
      </c>
      <c r="I35" s="0" t="str">
        <f aca="false">IFERROR(INDEX('Materials Master'!$E$2:$E$27,MATCH(D35,'Materials Master'!$A$2:$A$27,0)),"")</f>
        <v>No</v>
      </c>
      <c r="J35" s="0" t="str">
        <f aca="false">IFERROR(IF(B35="Trash",INDEX('Materials Master'!$F$2:$F$27,MATCH(D35,'Materials Master'!$A$2:$A$27,0)),IF(B35="GMPC Recycling",INDEX('Materials Master'!$G$2:$G$27,MATCH(D35,'Materials Master'!$A$2:$A$27,0)),IF(B35="Organics Recycling",INDEX('Materials Master'!$H$2:$H$27,MATCH(D35,'Materials Master'!$A$2:$A$27,0)),IF(B35="Cardboard Recycling",INDEX('Materials Master'!$I$2:$I$27,MATCH(D35,'Materials Master'!$A$2:$A$27,0)),IF(B35="Paper Recycling",INDEX('Materials Master'!$J$2:$J$27,MATCH(D35,'Materials Master'!$A$2:$A$27,0)),IF(B35="Terracycle",INDEX('Materials Master'!$K$2:$K$27,MATCH(D35,'Materials Master'!$A$2:$A$27,0)),"No")))))),"")</f>
        <v>Yes</v>
      </c>
      <c r="K35" s="0" t="str">
        <f aca="false">IFERROR(INDEX(Areas!$C$2:$C$6,MATCH(C35,Areas!$B$2:$B$6,0)),"")</f>
        <v>BOH</v>
      </c>
    </row>
    <row r="36" customFormat="false" ht="15" hidden="false" customHeight="false" outlineLevel="0" collapsed="false">
      <c r="A36" s="0" t="s">
        <v>115</v>
      </c>
      <c r="B36" s="0" t="s">
        <v>103</v>
      </c>
      <c r="C36" s="0" t="s">
        <v>95</v>
      </c>
      <c r="D36" s="0" t="s">
        <v>73</v>
      </c>
      <c r="E36" s="0" t="n">
        <v>6</v>
      </c>
      <c r="F36" s="0" t="str">
        <f aca="false">IFERROR(INDEX('Materials Master'!$B$2:$B$27,MATCH(D36,'Materials Master'!$A$2:$A$27,0)),"")</f>
        <v>PLA Compostable Serviceware</v>
      </c>
      <c r="G36" s="0" t="str">
        <f aca="false">IFERROR(INDEX('Materials Master'!$C$2:$C$27,MATCH(D36,'Materials Master'!$A$2:$A$27,0)),"")</f>
        <v>Organics</v>
      </c>
      <c r="H36" s="0" t="str">
        <f aca="false">IFERROR(INDEX('Materials Master'!$D$2:$D$27,MATCH(D36,'Materials Master'!$A$2:$A$27,0)),"")</f>
        <v>No</v>
      </c>
      <c r="I36" s="0" t="str">
        <f aca="false">IFERROR(INDEX('Materials Master'!$E$2:$E$27,MATCH(D36,'Materials Master'!$A$2:$A$27,0)),"")</f>
        <v>No</v>
      </c>
      <c r="J36" s="0" t="str">
        <f aca="false">IFERROR(IF(B36="Trash",INDEX('Materials Master'!$F$2:$F$27,MATCH(D36,'Materials Master'!$A$2:$A$27,0)),IF(B36="GMPC Recycling",INDEX('Materials Master'!$G$2:$G$27,MATCH(D36,'Materials Master'!$A$2:$A$27,0)),IF(B36="Organics Recycling",INDEX('Materials Master'!$H$2:$H$27,MATCH(D36,'Materials Master'!$A$2:$A$27,0)),IF(B36="Cardboard Recycling",INDEX('Materials Master'!$I$2:$I$27,MATCH(D36,'Materials Master'!$A$2:$A$27,0)),IF(B36="Paper Recycling",INDEX('Materials Master'!$J$2:$J$27,MATCH(D36,'Materials Master'!$A$2:$A$27,0)),IF(B36="Terracycle",INDEX('Materials Master'!$K$2:$K$27,MATCH(D36,'Materials Master'!$A$2:$A$27,0)),"No")))))),"")</f>
        <v>Yes</v>
      </c>
      <c r="K36" s="0" t="str">
        <f aca="false">IFERROR(INDEX(Areas!$C$2:$C$6,MATCH(C36,Areas!$B$2:$B$6,0)),"")</f>
        <v>BOH</v>
      </c>
    </row>
    <row r="37" customFormat="false" ht="15" hidden="false" customHeight="false" outlineLevel="0" collapsed="false">
      <c r="A37" s="0" t="s">
        <v>115</v>
      </c>
      <c r="B37" s="0" t="s">
        <v>103</v>
      </c>
      <c r="C37" s="0" t="s">
        <v>95</v>
      </c>
      <c r="D37" s="0" t="s">
        <v>82</v>
      </c>
      <c r="E37" s="0" t="n">
        <v>4.4</v>
      </c>
      <c r="F37" s="0" t="str">
        <f aca="false">IFERROR(INDEX('Materials Master'!$B$2:$B$27,MATCH(D37,'Materials Master'!$A$2:$A$27,0)),"")</f>
        <v>Liquids</v>
      </c>
      <c r="G37" s="0" t="str">
        <f aca="false">IFERROR(INDEX('Materials Master'!$C$2:$C$27,MATCH(D37,'Materials Master'!$A$2:$A$27,0)),"")</f>
        <v>Unacceptable</v>
      </c>
      <c r="H37" s="0" t="str">
        <f aca="false">IFERROR(INDEX('Materials Master'!$D$2:$D$27,MATCH(D37,'Materials Master'!$A$2:$A$27,0)),"")</f>
        <v>Unacceptable</v>
      </c>
      <c r="I37" s="0" t="str">
        <f aca="false">IFERROR(INDEX('Materials Master'!$E$2:$E$27,MATCH(D37,'Materials Master'!$A$2:$A$27,0)),"")</f>
        <v>No</v>
      </c>
      <c r="J37" s="0" t="str">
        <f aca="false">IFERROR(IF(B37="Trash",INDEX('Materials Master'!$F$2:$F$27,MATCH(D37,'Materials Master'!$A$2:$A$27,0)),IF(B37="GMPC Recycling",INDEX('Materials Master'!$G$2:$G$27,MATCH(D37,'Materials Master'!$A$2:$A$27,0)),IF(B37="Organics Recycling",INDEX('Materials Master'!$H$2:$H$27,MATCH(D37,'Materials Master'!$A$2:$A$27,0)),IF(B37="Cardboard Recycling",INDEX('Materials Master'!$I$2:$I$27,MATCH(D37,'Materials Master'!$A$2:$A$27,0)),IF(B37="Paper Recycling",INDEX('Materials Master'!$J$2:$J$27,MATCH(D37,'Materials Master'!$A$2:$A$27,0)),IF(B37="Terracycle",INDEX('Materials Master'!$K$2:$K$27,MATCH(D37,'Materials Master'!$A$2:$A$27,0)),"No")))))),"")</f>
        <v>Yes</v>
      </c>
      <c r="K37" s="0" t="str">
        <f aca="false">IFERROR(INDEX(Areas!$C$2:$C$6,MATCH(C37,Areas!$B$2:$B$6,0)),"")</f>
        <v>BOH</v>
      </c>
    </row>
    <row r="38" customFormat="false" ht="15" hidden="false" customHeight="false" outlineLevel="0" collapsed="false">
      <c r="A38" s="0" t="s">
        <v>115</v>
      </c>
      <c r="B38" s="0" t="s">
        <v>103</v>
      </c>
      <c r="C38" s="0" t="s">
        <v>95</v>
      </c>
      <c r="D38" s="0" t="s">
        <v>84</v>
      </c>
      <c r="E38" s="0" t="n">
        <v>1.5</v>
      </c>
      <c r="F38" s="0" t="str">
        <f aca="false">IFERROR(INDEX('Materials Master'!$B$2:$B$27,MATCH(D38,'Materials Master'!$A$2:$A$27,0)),"")</f>
        <v>Snack Wrappers (Composites)</v>
      </c>
      <c r="G38" s="0" t="str">
        <f aca="false">IFERROR(INDEX('Materials Master'!$C$2:$C$27,MATCH(D38,'Materials Master'!$A$2:$A$27,0)),"")</f>
        <v>Other</v>
      </c>
      <c r="H38" s="0" t="str">
        <f aca="false">IFERROR(INDEX('Materials Master'!$D$2:$D$27,MATCH(D38,'Materials Master'!$A$2:$A$27,0)),"")</f>
        <v>No</v>
      </c>
      <c r="I38" s="0" t="str">
        <f aca="false">IFERROR(INDEX('Materials Master'!$E$2:$E$27,MATCH(D38,'Materials Master'!$A$2:$A$27,0)),"")</f>
        <v>Yes</v>
      </c>
      <c r="J38" s="0" t="str">
        <f aca="false">IFERROR(IF(B38="Trash",INDEX('Materials Master'!$F$2:$F$27,MATCH(D38,'Materials Master'!$A$2:$A$27,0)),IF(B38="GMPC Recycling",INDEX('Materials Master'!$G$2:$G$27,MATCH(D38,'Materials Master'!$A$2:$A$27,0)),IF(B38="Organics Recycling",INDEX('Materials Master'!$H$2:$H$27,MATCH(D38,'Materials Master'!$A$2:$A$27,0)),IF(B38="Cardboard Recycling",INDEX('Materials Master'!$I$2:$I$27,MATCH(D38,'Materials Master'!$A$2:$A$27,0)),IF(B38="Paper Recycling",INDEX('Materials Master'!$J$2:$J$27,MATCH(D38,'Materials Master'!$A$2:$A$27,0)),IF(B38="Terracycle",INDEX('Materials Master'!$K$2:$K$27,MATCH(D38,'Materials Master'!$A$2:$A$27,0)),"No")))))),"")</f>
        <v>No</v>
      </c>
      <c r="K38" s="0" t="str">
        <f aca="false">IFERROR(INDEX(Areas!$C$2:$C$6,MATCH(C38,Areas!$B$2:$B$6,0)),"")</f>
        <v>BOH</v>
      </c>
    </row>
    <row r="39" customFormat="false" ht="15" hidden="false" customHeight="false" outlineLevel="0" collapsed="false">
      <c r="A39" s="0" t="s">
        <v>115</v>
      </c>
      <c r="B39" s="0" t="s">
        <v>103</v>
      </c>
      <c r="C39" s="0" t="s">
        <v>95</v>
      </c>
      <c r="D39" s="0" t="s">
        <v>87</v>
      </c>
      <c r="E39" s="0" t="n">
        <v>39.4</v>
      </c>
      <c r="F39" s="0" t="str">
        <f aca="false">IFERROR(INDEX('Materials Master'!$B$2:$B$27,MATCH(D39,'Materials Master'!$A$2:$A$27,0)),"")</f>
        <v>Other/Residual Materials</v>
      </c>
      <c r="G39" s="0" t="str">
        <f aca="false">IFERROR(INDEX('Materials Master'!$C$2:$C$27,MATCH(D39,'Materials Master'!$A$2:$A$27,0)),"")</f>
        <v>Other</v>
      </c>
      <c r="H39" s="0" t="str">
        <f aca="false">IFERROR(INDEX('Materials Master'!$D$2:$D$27,MATCH(D39,'Materials Master'!$A$2:$A$27,0)),"")</f>
        <v>No</v>
      </c>
      <c r="I39" s="0" t="str">
        <f aca="false">IFERROR(INDEX('Materials Master'!$E$2:$E$27,MATCH(D39,'Materials Master'!$A$2:$A$27,0)),"")</f>
        <v>No</v>
      </c>
      <c r="J39" s="0" t="str">
        <f aca="false">IFERROR(IF(B39="Trash",INDEX('Materials Master'!$F$2:$F$27,MATCH(D39,'Materials Master'!$A$2:$A$27,0)),IF(B39="GMPC Recycling",INDEX('Materials Master'!$G$2:$G$27,MATCH(D39,'Materials Master'!$A$2:$A$27,0)),IF(B39="Organics Recycling",INDEX('Materials Master'!$H$2:$H$27,MATCH(D39,'Materials Master'!$A$2:$A$27,0)),IF(B39="Cardboard Recycling",INDEX('Materials Master'!$I$2:$I$27,MATCH(D39,'Materials Master'!$A$2:$A$27,0)),IF(B39="Paper Recycling",INDEX('Materials Master'!$J$2:$J$27,MATCH(D39,'Materials Master'!$A$2:$A$27,0)),IF(B39="Terracycle",INDEX('Materials Master'!$K$2:$K$27,MATCH(D39,'Materials Master'!$A$2:$A$27,0)),"No")))))),"")</f>
        <v>Yes</v>
      </c>
      <c r="K39" s="0" t="str">
        <f aca="false">IFERROR(INDEX(Areas!$C$2:$C$6,MATCH(C39,Areas!$B$2:$B$6,0)),"")</f>
        <v>BOH</v>
      </c>
    </row>
    <row r="40" customFormat="false" ht="15" hidden="false" customHeight="false" outlineLevel="0" collapsed="false">
      <c r="A40" s="0" t="s">
        <v>115</v>
      </c>
      <c r="B40" s="0" t="s">
        <v>104</v>
      </c>
      <c r="C40" s="0" t="s">
        <v>92</v>
      </c>
      <c r="D40" s="0" t="s">
        <v>37</v>
      </c>
      <c r="E40" s="0" t="n">
        <v>0.8</v>
      </c>
      <c r="F40" s="0" t="str">
        <f aca="false">IFERROR(INDEX('Materials Master'!$B$2:$B$27,MATCH(D40,'Materials Master'!$A$2:$A$27,0)),"")</f>
        <v>Mixed Paper</v>
      </c>
      <c r="G40" s="0" t="str">
        <f aca="false">IFERROR(INDEX('Materials Master'!$C$2:$C$27,MATCH(D40,'Materials Master'!$A$2:$A$27,0)),"")</f>
        <v>Fibers</v>
      </c>
      <c r="H40" s="0" t="str">
        <f aca="false">IFERROR(INDEX('Materials Master'!$D$2:$D$27,MATCH(D40,'Materials Master'!$A$2:$A$27,0)),"")</f>
        <v>Yes</v>
      </c>
      <c r="I40" s="0" t="str">
        <f aca="false">IFERROR(INDEX('Materials Master'!$E$2:$E$27,MATCH(D40,'Materials Master'!$A$2:$A$27,0)),"")</f>
        <v>Yes</v>
      </c>
      <c r="J40" s="0" t="str">
        <f aca="false">IFERROR(IF(B40="Trash",INDEX('Materials Master'!$F$2:$F$27,MATCH(D40,'Materials Master'!$A$2:$A$27,0)),IF(B40="GMPC Recycling",INDEX('Materials Master'!$G$2:$G$27,MATCH(D40,'Materials Master'!$A$2:$A$27,0)),IF(B40="Organics Recycling",INDEX('Materials Master'!$H$2:$H$27,MATCH(D40,'Materials Master'!$A$2:$A$27,0)),IF(B40="Cardboard Recycling",INDEX('Materials Master'!$I$2:$I$27,MATCH(D40,'Materials Master'!$A$2:$A$27,0)),IF(B40="Paper Recycling",INDEX('Materials Master'!$J$2:$J$27,MATCH(D40,'Materials Master'!$A$2:$A$27,0)),IF(B40="Terracycle",INDEX('Materials Master'!$K$2:$K$27,MATCH(D40,'Materials Master'!$A$2:$A$27,0)),"No")))))),"")</f>
        <v>Yes</v>
      </c>
      <c r="K40" s="0" t="str">
        <f aca="false">IFERROR(INDEX(Areas!$C$2:$C$6,MATCH(C40,Areas!$B$2:$B$6,0)),"")</f>
        <v>Rest of Building</v>
      </c>
    </row>
    <row r="41" customFormat="false" ht="15" hidden="false" customHeight="false" outlineLevel="0" collapsed="false">
      <c r="A41" s="0" t="s">
        <v>115</v>
      </c>
      <c r="B41" s="0" t="s">
        <v>104</v>
      </c>
      <c r="C41" s="0" t="s">
        <v>92</v>
      </c>
      <c r="D41" s="0" t="s">
        <v>41</v>
      </c>
      <c r="E41" s="0" t="n">
        <v>0.209375</v>
      </c>
      <c r="F41" s="0" t="str">
        <f aca="false">IFERROR(INDEX('Materials Master'!$B$2:$B$27,MATCH(D41,'Materials Master'!$A$2:$A$27,0)),"")</f>
        <v>Beverage Cartons</v>
      </c>
      <c r="G41" s="0" t="str">
        <f aca="false">IFERROR(INDEX('Materials Master'!$C$2:$C$27,MATCH(D41,'Materials Master'!$A$2:$A$27,0)),"")</f>
        <v>Fibers</v>
      </c>
      <c r="H41" s="0" t="str">
        <f aca="false">IFERROR(INDEX('Materials Master'!$D$2:$D$27,MATCH(D41,'Materials Master'!$A$2:$A$27,0)),"")</f>
        <v>Yes</v>
      </c>
      <c r="I41" s="0" t="str">
        <f aca="false">IFERROR(INDEX('Materials Master'!$E$2:$E$27,MATCH(D41,'Materials Master'!$A$2:$A$27,0)),"")</f>
        <v>Yes</v>
      </c>
      <c r="J41" s="0" t="str">
        <f aca="false">IFERROR(IF(B41="Trash",INDEX('Materials Master'!$F$2:$F$27,MATCH(D41,'Materials Master'!$A$2:$A$27,0)),IF(B41="GMPC Recycling",INDEX('Materials Master'!$G$2:$G$27,MATCH(D41,'Materials Master'!$A$2:$A$27,0)),IF(B41="Organics Recycling",INDEX('Materials Master'!$H$2:$H$27,MATCH(D41,'Materials Master'!$A$2:$A$27,0)),IF(B41="Cardboard Recycling",INDEX('Materials Master'!$I$2:$I$27,MATCH(D41,'Materials Master'!$A$2:$A$27,0)),IF(B41="Paper Recycling",INDEX('Materials Master'!$J$2:$J$27,MATCH(D41,'Materials Master'!$A$2:$A$27,0)),IF(B41="Terracycle",INDEX('Materials Master'!$K$2:$K$27,MATCH(D41,'Materials Master'!$A$2:$A$27,0)),"No")))))),"")</f>
        <v>Yes</v>
      </c>
      <c r="K41" s="0" t="str">
        <f aca="false">IFERROR(INDEX(Areas!$C$2:$C$6,MATCH(C41,Areas!$B$2:$B$6,0)),"")</f>
        <v>Rest of Building</v>
      </c>
    </row>
    <row r="42" customFormat="false" ht="15" hidden="false" customHeight="false" outlineLevel="0" collapsed="false">
      <c r="A42" s="0" t="s">
        <v>115</v>
      </c>
      <c r="B42" s="0" t="s">
        <v>104</v>
      </c>
      <c r="C42" s="0" t="s">
        <v>92</v>
      </c>
      <c r="D42" s="0" t="s">
        <v>52</v>
      </c>
      <c r="E42" s="0" t="n">
        <v>0.2</v>
      </c>
      <c r="F42" s="0" t="str">
        <f aca="false">IFERROR(INDEX('Materials Master'!$B$2:$B$27,MATCH(D42,'Materials Master'!$A$2:$A$27,0)),"")</f>
        <v>Aluminum &amp; Bi-Metal Containers</v>
      </c>
      <c r="G42" s="0" t="str">
        <f aca="false">IFERROR(INDEX('Materials Master'!$C$2:$C$27,MATCH(D42,'Materials Master'!$A$2:$A$27,0)),"")</f>
        <v>Metals</v>
      </c>
      <c r="H42" s="0" t="str">
        <f aca="false">IFERROR(INDEX('Materials Master'!$D$2:$D$27,MATCH(D42,'Materials Master'!$A$2:$A$27,0)),"")</f>
        <v>Yes</v>
      </c>
      <c r="I42" s="0" t="str">
        <f aca="false">IFERROR(INDEX('Materials Master'!$E$2:$E$27,MATCH(D42,'Materials Master'!$A$2:$A$27,0)),"")</f>
        <v>Yes</v>
      </c>
      <c r="J42" s="0" t="str">
        <f aca="false">IFERROR(IF(B42="Trash",INDEX('Materials Master'!$F$2:$F$27,MATCH(D42,'Materials Master'!$A$2:$A$27,0)),IF(B42="GMPC Recycling",INDEX('Materials Master'!$G$2:$G$27,MATCH(D42,'Materials Master'!$A$2:$A$27,0)),IF(B42="Organics Recycling",INDEX('Materials Master'!$H$2:$H$27,MATCH(D42,'Materials Master'!$A$2:$A$27,0)),IF(B42="Cardboard Recycling",INDEX('Materials Master'!$I$2:$I$27,MATCH(D42,'Materials Master'!$A$2:$A$27,0)),IF(B42="Paper Recycling",INDEX('Materials Master'!$J$2:$J$27,MATCH(D42,'Materials Master'!$A$2:$A$27,0)),IF(B42="Terracycle",INDEX('Materials Master'!$K$2:$K$27,MATCH(D42,'Materials Master'!$A$2:$A$27,0)),"No")))))),"")</f>
        <v>Yes</v>
      </c>
      <c r="K42" s="0" t="str">
        <f aca="false">IFERROR(INDEX(Areas!$C$2:$C$6,MATCH(C42,Areas!$B$2:$B$6,0)),"")</f>
        <v>Rest of Building</v>
      </c>
    </row>
    <row r="43" customFormat="false" ht="15" hidden="false" customHeight="false" outlineLevel="0" collapsed="false">
      <c r="A43" s="0" t="s">
        <v>115</v>
      </c>
      <c r="B43" s="0" t="s">
        <v>104</v>
      </c>
      <c r="C43" s="0" t="s">
        <v>92</v>
      </c>
      <c r="D43" s="0" t="s">
        <v>55</v>
      </c>
      <c r="E43" s="0" t="n">
        <v>0.4</v>
      </c>
      <c r="F43" s="0" t="str">
        <f aca="false">IFERROR(INDEX('Materials Master'!$B$2:$B$27,MATCH(D43,'Materials Master'!$A$2:$A$27,0)),"")</f>
        <v>Soiled Metals</v>
      </c>
      <c r="G43" s="0" t="str">
        <f aca="false">IFERROR(INDEX('Materials Master'!$C$2:$C$27,MATCH(D43,'Materials Master'!$A$2:$A$27,0)),"")</f>
        <v>Metals</v>
      </c>
      <c r="H43" s="0" t="str">
        <f aca="false">IFERROR(INDEX('Materials Master'!$D$2:$D$27,MATCH(D43,'Materials Master'!$A$2:$A$27,0)),"")</f>
        <v>No</v>
      </c>
      <c r="I43" s="0" t="str">
        <f aca="false">IFERROR(INDEX('Materials Master'!$E$2:$E$27,MATCH(D43,'Materials Master'!$A$2:$A$27,0)),"")</f>
        <v>No</v>
      </c>
      <c r="J43" s="0" t="str">
        <f aca="false">IFERROR(IF(B43="Trash",INDEX('Materials Master'!$F$2:$F$27,MATCH(D43,'Materials Master'!$A$2:$A$27,0)),IF(B43="GMPC Recycling",INDEX('Materials Master'!$G$2:$G$27,MATCH(D43,'Materials Master'!$A$2:$A$27,0)),IF(B43="Organics Recycling",INDEX('Materials Master'!$H$2:$H$27,MATCH(D43,'Materials Master'!$A$2:$A$27,0)),IF(B43="Cardboard Recycling",INDEX('Materials Master'!$I$2:$I$27,MATCH(D43,'Materials Master'!$A$2:$A$27,0)),IF(B43="Paper Recycling",INDEX('Materials Master'!$J$2:$J$27,MATCH(D43,'Materials Master'!$A$2:$A$27,0)),IF(B43="Terracycle",INDEX('Materials Master'!$K$2:$K$27,MATCH(D43,'Materials Master'!$A$2:$A$27,0)),"No")))))),"")</f>
        <v>No</v>
      </c>
      <c r="K43" s="0" t="str">
        <f aca="false">IFERROR(INDEX(Areas!$C$2:$C$6,MATCH(C43,Areas!$B$2:$B$6,0)),"")</f>
        <v>Rest of Building</v>
      </c>
    </row>
    <row r="44" customFormat="false" ht="15" hidden="false" customHeight="false" outlineLevel="0" collapsed="false">
      <c r="A44" s="0" t="s">
        <v>115</v>
      </c>
      <c r="B44" s="0" t="s">
        <v>104</v>
      </c>
      <c r="C44" s="0" t="s">
        <v>92</v>
      </c>
      <c r="D44" s="0" t="s">
        <v>57</v>
      </c>
      <c r="E44" s="0" t="n">
        <v>1.5</v>
      </c>
      <c r="F44" s="0" t="str">
        <f aca="false">IFERROR(INDEX('Materials Master'!$B$2:$B$27,MATCH(D44,'Materials Master'!$A$2:$A$27,0)),"")</f>
        <v>Rigid Plastics (1-6)</v>
      </c>
      <c r="G44" s="0" t="str">
        <f aca="false">IFERROR(INDEX('Materials Master'!$C$2:$C$27,MATCH(D44,'Materials Master'!$A$2:$A$27,0)),"")</f>
        <v>Plastics</v>
      </c>
      <c r="H44" s="0" t="str">
        <f aca="false">IFERROR(INDEX('Materials Master'!$D$2:$D$27,MATCH(D44,'Materials Master'!$A$2:$A$27,0)),"")</f>
        <v>Yes</v>
      </c>
      <c r="I44" s="0" t="str">
        <f aca="false">IFERROR(INDEX('Materials Master'!$E$2:$E$27,MATCH(D44,'Materials Master'!$A$2:$A$27,0)),"")</f>
        <v>Yes</v>
      </c>
      <c r="J44" s="0" t="str">
        <f aca="false">IFERROR(IF(B44="Trash",INDEX('Materials Master'!$F$2:$F$27,MATCH(D44,'Materials Master'!$A$2:$A$27,0)),IF(B44="GMPC Recycling",INDEX('Materials Master'!$G$2:$G$27,MATCH(D44,'Materials Master'!$A$2:$A$27,0)),IF(B44="Organics Recycling",INDEX('Materials Master'!$H$2:$H$27,MATCH(D44,'Materials Master'!$A$2:$A$27,0)),IF(B44="Cardboard Recycling",INDEX('Materials Master'!$I$2:$I$27,MATCH(D44,'Materials Master'!$A$2:$A$27,0)),IF(B44="Paper Recycling",INDEX('Materials Master'!$J$2:$J$27,MATCH(D44,'Materials Master'!$A$2:$A$27,0)),IF(B44="Terracycle",INDEX('Materials Master'!$K$2:$K$27,MATCH(D44,'Materials Master'!$A$2:$A$27,0)),"No")))))),"")</f>
        <v>Yes</v>
      </c>
      <c r="K44" s="0" t="str">
        <f aca="false">IFERROR(INDEX(Areas!$C$2:$C$6,MATCH(C44,Areas!$B$2:$B$6,0)),"")</f>
        <v>Rest of Building</v>
      </c>
    </row>
    <row r="45" customFormat="false" ht="15" hidden="false" customHeight="false" outlineLevel="0" collapsed="false">
      <c r="A45" s="0" t="s">
        <v>115</v>
      </c>
      <c r="B45" s="0" t="s">
        <v>104</v>
      </c>
      <c r="C45" s="0" t="s">
        <v>92</v>
      </c>
      <c r="D45" s="0" t="s">
        <v>62</v>
      </c>
      <c r="E45" s="0" t="n">
        <v>0.614375</v>
      </c>
      <c r="F45" s="0" t="str">
        <f aca="false">IFERROR(INDEX('Materials Master'!$B$2:$B$27,MATCH(D45,'Materials Master'!$A$2:$A$27,0)),"")</f>
        <v>Film Plastics</v>
      </c>
      <c r="G45" s="0" t="str">
        <f aca="false">IFERROR(INDEX('Materials Master'!$C$2:$C$27,MATCH(D45,'Materials Master'!$A$2:$A$27,0)),"")</f>
        <v>Plastics</v>
      </c>
      <c r="H45" s="0" t="str">
        <f aca="false">IFERROR(INDEX('Materials Master'!$D$2:$D$27,MATCH(D45,'Materials Master'!$A$2:$A$27,0)),"")</f>
        <v>No</v>
      </c>
      <c r="I45" s="0" t="str">
        <f aca="false">IFERROR(INDEX('Materials Master'!$E$2:$E$27,MATCH(D45,'Materials Master'!$A$2:$A$27,0)),"")</f>
        <v>No</v>
      </c>
      <c r="J45" s="0" t="str">
        <f aca="false">IFERROR(IF(B45="Trash",INDEX('Materials Master'!$F$2:$F$27,MATCH(D45,'Materials Master'!$A$2:$A$27,0)),IF(B45="GMPC Recycling",INDEX('Materials Master'!$G$2:$G$27,MATCH(D45,'Materials Master'!$A$2:$A$27,0)),IF(B45="Organics Recycling",INDEX('Materials Master'!$H$2:$H$27,MATCH(D45,'Materials Master'!$A$2:$A$27,0)),IF(B45="Cardboard Recycling",INDEX('Materials Master'!$I$2:$I$27,MATCH(D45,'Materials Master'!$A$2:$A$27,0)),IF(B45="Paper Recycling",INDEX('Materials Master'!$J$2:$J$27,MATCH(D45,'Materials Master'!$A$2:$A$27,0)),IF(B45="Terracycle",INDEX('Materials Master'!$K$2:$K$27,MATCH(D45,'Materials Master'!$A$2:$A$27,0)),"No")))))),"")</f>
        <v>No</v>
      </c>
      <c r="K45" s="0" t="str">
        <f aca="false">IFERROR(INDEX(Areas!$C$2:$C$6,MATCH(C45,Areas!$B$2:$B$6,0)),"")</f>
        <v>Rest of Building</v>
      </c>
    </row>
    <row r="46" customFormat="false" ht="15" hidden="false" customHeight="false" outlineLevel="0" collapsed="false">
      <c r="A46" s="0" t="s">
        <v>115</v>
      </c>
      <c r="B46" s="0" t="s">
        <v>104</v>
      </c>
      <c r="C46" s="0" t="s">
        <v>92</v>
      </c>
      <c r="D46" s="0" t="s">
        <v>66</v>
      </c>
      <c r="E46" s="0" t="n">
        <v>2.866875</v>
      </c>
      <c r="F46" s="0" t="str">
        <f aca="false">IFERROR(INDEX('Materials Master'!$B$2:$B$27,MATCH(D46,'Materials Master'!$A$2:$A$27,0)),"")</f>
        <v>Food Waste</v>
      </c>
      <c r="G46" s="0" t="str">
        <f aca="false">IFERROR(INDEX('Materials Master'!$C$2:$C$27,MATCH(D46,'Materials Master'!$A$2:$A$27,0)),"")</f>
        <v>Organics</v>
      </c>
      <c r="H46" s="0" t="str">
        <f aca="false">IFERROR(INDEX('Materials Master'!$D$2:$D$27,MATCH(D46,'Materials Master'!$A$2:$A$27,0)),"")</f>
        <v>Yes</v>
      </c>
      <c r="I46" s="0" t="str">
        <f aca="false">IFERROR(INDEX('Materials Master'!$E$2:$E$27,MATCH(D46,'Materials Master'!$A$2:$A$27,0)),"")</f>
        <v>Yes</v>
      </c>
      <c r="J46" s="0" t="str">
        <f aca="false">IFERROR(IF(B46="Trash",INDEX('Materials Master'!$F$2:$F$27,MATCH(D46,'Materials Master'!$A$2:$A$27,0)),IF(B46="GMPC Recycling",INDEX('Materials Master'!$G$2:$G$27,MATCH(D46,'Materials Master'!$A$2:$A$27,0)),IF(B46="Organics Recycling",INDEX('Materials Master'!$H$2:$H$27,MATCH(D46,'Materials Master'!$A$2:$A$27,0)),IF(B46="Cardboard Recycling",INDEX('Materials Master'!$I$2:$I$27,MATCH(D46,'Materials Master'!$A$2:$A$27,0)),IF(B46="Paper Recycling",INDEX('Materials Master'!$J$2:$J$27,MATCH(D46,'Materials Master'!$A$2:$A$27,0)),IF(B46="Terracycle",INDEX('Materials Master'!$K$2:$K$27,MATCH(D46,'Materials Master'!$A$2:$A$27,0)),"No")))))),"")</f>
        <v>No</v>
      </c>
      <c r="K46" s="0" t="str">
        <f aca="false">IFERROR(INDEX(Areas!$C$2:$C$6,MATCH(C46,Areas!$B$2:$B$6,0)),"")</f>
        <v>Rest of Building</v>
      </c>
    </row>
    <row r="47" customFormat="false" ht="15" hidden="false" customHeight="false" outlineLevel="0" collapsed="false">
      <c r="A47" s="0" t="s">
        <v>115</v>
      </c>
      <c r="B47" s="0" t="s">
        <v>104</v>
      </c>
      <c r="C47" s="0" t="s">
        <v>92</v>
      </c>
      <c r="D47" s="0" t="s">
        <v>69</v>
      </c>
      <c r="E47" s="0" t="n">
        <v>1.7</v>
      </c>
      <c r="F47" s="0" t="str">
        <f aca="false">IFERROR(INDEX('Materials Master'!$B$2:$B$27,MATCH(D47,'Materials Master'!$A$2:$A$27,0)),"")</f>
        <v>Paper Fibers and Food-Soiled Paper (FSP)</v>
      </c>
      <c r="G47" s="0" t="str">
        <f aca="false">IFERROR(INDEX('Materials Master'!$C$2:$C$27,MATCH(D47,'Materials Master'!$A$2:$A$27,0)),"")</f>
        <v>Organics</v>
      </c>
      <c r="H47" s="0" t="str">
        <f aca="false">IFERROR(INDEX('Materials Master'!$D$2:$D$27,MATCH(D47,'Materials Master'!$A$2:$A$27,0)),"")</f>
        <v>No</v>
      </c>
      <c r="I47" s="0" t="str">
        <f aca="false">IFERROR(INDEX('Materials Master'!$E$2:$E$27,MATCH(D47,'Materials Master'!$A$2:$A$27,0)),"")</f>
        <v>No</v>
      </c>
      <c r="J47" s="0" t="str">
        <f aca="false">IFERROR(IF(B47="Trash",INDEX('Materials Master'!$F$2:$F$27,MATCH(D47,'Materials Master'!$A$2:$A$27,0)),IF(B47="GMPC Recycling",INDEX('Materials Master'!$G$2:$G$27,MATCH(D47,'Materials Master'!$A$2:$A$27,0)),IF(B47="Organics Recycling",INDEX('Materials Master'!$H$2:$H$27,MATCH(D47,'Materials Master'!$A$2:$A$27,0)),IF(B47="Cardboard Recycling",INDEX('Materials Master'!$I$2:$I$27,MATCH(D47,'Materials Master'!$A$2:$A$27,0)),IF(B47="Paper Recycling",INDEX('Materials Master'!$J$2:$J$27,MATCH(D47,'Materials Master'!$A$2:$A$27,0)),IF(B47="Terracycle",INDEX('Materials Master'!$K$2:$K$27,MATCH(D47,'Materials Master'!$A$2:$A$27,0)),"No")))))),"")</f>
        <v>No</v>
      </c>
      <c r="K47" s="0" t="str">
        <f aca="false">IFERROR(INDEX(Areas!$C$2:$C$6,MATCH(C47,Areas!$B$2:$B$6,0)),"")</f>
        <v>Rest of Building</v>
      </c>
    </row>
    <row r="48" customFormat="false" ht="15" hidden="false" customHeight="false" outlineLevel="0" collapsed="false">
      <c r="A48" s="0" t="s">
        <v>115</v>
      </c>
      <c r="B48" s="0" t="s">
        <v>104</v>
      </c>
      <c r="C48" s="0" t="s">
        <v>92</v>
      </c>
      <c r="D48" s="0" t="s">
        <v>71</v>
      </c>
      <c r="E48" s="0" t="n">
        <v>2.074375</v>
      </c>
      <c r="F48" s="0" t="str">
        <f aca="false">IFERROR(INDEX('Materials Master'!$B$2:$B$27,MATCH(D48,'Materials Master'!$A$2:$A$27,0)),"")</f>
        <v>Fiber-based Compostable Serviceware</v>
      </c>
      <c r="G48" s="0" t="str">
        <f aca="false">IFERROR(INDEX('Materials Master'!$C$2:$C$27,MATCH(D48,'Materials Master'!$A$2:$A$27,0)),"")</f>
        <v>Organics</v>
      </c>
      <c r="H48" s="0" t="str">
        <f aca="false">IFERROR(INDEX('Materials Master'!$D$2:$D$27,MATCH(D48,'Materials Master'!$A$2:$A$27,0)),"")</f>
        <v>No</v>
      </c>
      <c r="I48" s="0" t="str">
        <f aca="false">IFERROR(INDEX('Materials Master'!$E$2:$E$27,MATCH(D48,'Materials Master'!$A$2:$A$27,0)),"")</f>
        <v>No</v>
      </c>
      <c r="J48" s="0" t="str">
        <f aca="false">IFERROR(IF(B48="Trash",INDEX('Materials Master'!$F$2:$F$27,MATCH(D48,'Materials Master'!$A$2:$A$27,0)),IF(B48="GMPC Recycling",INDEX('Materials Master'!$G$2:$G$27,MATCH(D48,'Materials Master'!$A$2:$A$27,0)),IF(B48="Organics Recycling",INDEX('Materials Master'!$H$2:$H$27,MATCH(D48,'Materials Master'!$A$2:$A$27,0)),IF(B48="Cardboard Recycling",INDEX('Materials Master'!$I$2:$I$27,MATCH(D48,'Materials Master'!$A$2:$A$27,0)),IF(B48="Paper Recycling",INDEX('Materials Master'!$J$2:$J$27,MATCH(D48,'Materials Master'!$A$2:$A$27,0)),IF(B48="Terracycle",INDEX('Materials Master'!$K$2:$K$27,MATCH(D48,'Materials Master'!$A$2:$A$27,0)),"No")))))),"")</f>
        <v>No</v>
      </c>
      <c r="K48" s="0" t="str">
        <f aca="false">IFERROR(INDEX(Areas!$C$2:$C$6,MATCH(C48,Areas!$B$2:$B$6,0)),"")</f>
        <v>Rest of Building</v>
      </c>
    </row>
    <row r="49" customFormat="false" ht="15" hidden="false" customHeight="false" outlineLevel="0" collapsed="false">
      <c r="A49" s="0" t="s">
        <v>115</v>
      </c>
      <c r="B49" s="0" t="s">
        <v>104</v>
      </c>
      <c r="C49" s="0" t="s">
        <v>92</v>
      </c>
      <c r="D49" s="0" t="s">
        <v>73</v>
      </c>
      <c r="E49" s="0" t="n">
        <v>1.9</v>
      </c>
      <c r="F49" s="0" t="str">
        <f aca="false">IFERROR(INDEX('Materials Master'!$B$2:$B$27,MATCH(D49,'Materials Master'!$A$2:$A$27,0)),"")</f>
        <v>PLA Compostable Serviceware</v>
      </c>
      <c r="G49" s="0" t="str">
        <f aca="false">IFERROR(INDEX('Materials Master'!$C$2:$C$27,MATCH(D49,'Materials Master'!$A$2:$A$27,0)),"")</f>
        <v>Organics</v>
      </c>
      <c r="H49" s="0" t="str">
        <f aca="false">IFERROR(INDEX('Materials Master'!$D$2:$D$27,MATCH(D49,'Materials Master'!$A$2:$A$27,0)),"")</f>
        <v>No</v>
      </c>
      <c r="I49" s="0" t="str">
        <f aca="false">IFERROR(INDEX('Materials Master'!$E$2:$E$27,MATCH(D49,'Materials Master'!$A$2:$A$27,0)),"")</f>
        <v>No</v>
      </c>
      <c r="J49" s="0" t="str">
        <f aca="false">IFERROR(IF(B49="Trash",INDEX('Materials Master'!$F$2:$F$27,MATCH(D49,'Materials Master'!$A$2:$A$27,0)),IF(B49="GMPC Recycling",INDEX('Materials Master'!$G$2:$G$27,MATCH(D49,'Materials Master'!$A$2:$A$27,0)),IF(B49="Organics Recycling",INDEX('Materials Master'!$H$2:$H$27,MATCH(D49,'Materials Master'!$A$2:$A$27,0)),IF(B49="Cardboard Recycling",INDEX('Materials Master'!$I$2:$I$27,MATCH(D49,'Materials Master'!$A$2:$A$27,0)),IF(B49="Paper Recycling",INDEX('Materials Master'!$J$2:$J$27,MATCH(D49,'Materials Master'!$A$2:$A$27,0)),IF(B49="Terracycle",INDEX('Materials Master'!$K$2:$K$27,MATCH(D49,'Materials Master'!$A$2:$A$27,0)),"No")))))),"")</f>
        <v>No</v>
      </c>
      <c r="K49" s="0" t="str">
        <f aca="false">IFERROR(INDEX(Areas!$C$2:$C$6,MATCH(C49,Areas!$B$2:$B$6,0)),"")</f>
        <v>Rest of Building</v>
      </c>
    </row>
    <row r="50" customFormat="false" ht="15" hidden="false" customHeight="false" outlineLevel="0" collapsed="false">
      <c r="A50" s="0" t="s">
        <v>115</v>
      </c>
      <c r="B50" s="0" t="s">
        <v>104</v>
      </c>
      <c r="C50" s="0" t="s">
        <v>92</v>
      </c>
      <c r="D50" s="0" t="s">
        <v>82</v>
      </c>
      <c r="E50" s="0" t="n">
        <v>0.134375</v>
      </c>
      <c r="F50" s="0" t="str">
        <f aca="false">IFERROR(INDEX('Materials Master'!$B$2:$B$27,MATCH(D50,'Materials Master'!$A$2:$A$27,0)),"")</f>
        <v>Liquids</v>
      </c>
      <c r="G50" s="0" t="str">
        <f aca="false">IFERROR(INDEX('Materials Master'!$C$2:$C$27,MATCH(D50,'Materials Master'!$A$2:$A$27,0)),"")</f>
        <v>Unacceptable</v>
      </c>
      <c r="H50" s="0" t="str">
        <f aca="false">IFERROR(INDEX('Materials Master'!$D$2:$D$27,MATCH(D50,'Materials Master'!$A$2:$A$27,0)),"")</f>
        <v>Unacceptable</v>
      </c>
      <c r="I50" s="0" t="str">
        <f aca="false">IFERROR(INDEX('Materials Master'!$E$2:$E$27,MATCH(D50,'Materials Master'!$A$2:$A$27,0)),"")</f>
        <v>No</v>
      </c>
      <c r="J50" s="0" t="str">
        <f aca="false">IFERROR(IF(B50="Trash",INDEX('Materials Master'!$F$2:$F$27,MATCH(D50,'Materials Master'!$A$2:$A$27,0)),IF(B50="GMPC Recycling",INDEX('Materials Master'!$G$2:$G$27,MATCH(D50,'Materials Master'!$A$2:$A$27,0)),IF(B50="Organics Recycling",INDEX('Materials Master'!$H$2:$H$27,MATCH(D50,'Materials Master'!$A$2:$A$27,0)),IF(B50="Cardboard Recycling",INDEX('Materials Master'!$I$2:$I$27,MATCH(D50,'Materials Master'!$A$2:$A$27,0)),IF(B50="Paper Recycling",INDEX('Materials Master'!$J$2:$J$27,MATCH(D50,'Materials Master'!$A$2:$A$27,0)),IF(B50="Terracycle",INDEX('Materials Master'!$K$2:$K$27,MATCH(D50,'Materials Master'!$A$2:$A$27,0)),"No")))))),"")</f>
        <v>No</v>
      </c>
      <c r="K50" s="0" t="str">
        <f aca="false">IFERROR(INDEX(Areas!$C$2:$C$6,MATCH(C50,Areas!$B$2:$B$6,0)),"")</f>
        <v>Rest of Building</v>
      </c>
    </row>
    <row r="51" customFormat="false" ht="15" hidden="false" customHeight="false" outlineLevel="0" collapsed="false">
      <c r="A51" s="0" t="s">
        <v>115</v>
      </c>
      <c r="B51" s="0" t="s">
        <v>104</v>
      </c>
      <c r="C51" s="0" t="s">
        <v>92</v>
      </c>
      <c r="D51" s="0" t="s">
        <v>84</v>
      </c>
      <c r="E51" s="0" t="n">
        <v>0.221875</v>
      </c>
      <c r="F51" s="0" t="str">
        <f aca="false">IFERROR(INDEX('Materials Master'!$B$2:$B$27,MATCH(D51,'Materials Master'!$A$2:$A$27,0)),"")</f>
        <v>Snack Wrappers (Composites)</v>
      </c>
      <c r="G51" s="0" t="str">
        <f aca="false">IFERROR(INDEX('Materials Master'!$C$2:$C$27,MATCH(D51,'Materials Master'!$A$2:$A$27,0)),"")</f>
        <v>Other</v>
      </c>
      <c r="H51" s="0" t="str">
        <f aca="false">IFERROR(INDEX('Materials Master'!$D$2:$D$27,MATCH(D51,'Materials Master'!$A$2:$A$27,0)),"")</f>
        <v>No</v>
      </c>
      <c r="I51" s="0" t="str">
        <f aca="false">IFERROR(INDEX('Materials Master'!$E$2:$E$27,MATCH(D51,'Materials Master'!$A$2:$A$27,0)),"")</f>
        <v>Yes</v>
      </c>
      <c r="J51" s="0" t="str">
        <f aca="false">IFERROR(IF(B51="Trash",INDEX('Materials Master'!$F$2:$F$27,MATCH(D51,'Materials Master'!$A$2:$A$27,0)),IF(B51="GMPC Recycling",INDEX('Materials Master'!$G$2:$G$27,MATCH(D51,'Materials Master'!$A$2:$A$27,0)),IF(B51="Organics Recycling",INDEX('Materials Master'!$H$2:$H$27,MATCH(D51,'Materials Master'!$A$2:$A$27,0)),IF(B51="Cardboard Recycling",INDEX('Materials Master'!$I$2:$I$27,MATCH(D51,'Materials Master'!$A$2:$A$27,0)),IF(B51="Paper Recycling",INDEX('Materials Master'!$J$2:$J$27,MATCH(D51,'Materials Master'!$A$2:$A$27,0)),IF(B51="Terracycle",INDEX('Materials Master'!$K$2:$K$27,MATCH(D51,'Materials Master'!$A$2:$A$27,0)),"No")))))),"")</f>
        <v>No</v>
      </c>
      <c r="K51" s="0" t="str">
        <f aca="false">IFERROR(INDEX(Areas!$C$2:$C$6,MATCH(C51,Areas!$B$2:$B$6,0)),"")</f>
        <v>Rest of Building</v>
      </c>
    </row>
    <row r="52" customFormat="false" ht="15" hidden="false" customHeight="false" outlineLevel="0" collapsed="false">
      <c r="A52" s="0" t="s">
        <v>115</v>
      </c>
      <c r="B52" s="0" t="s">
        <v>104</v>
      </c>
      <c r="C52" s="0" t="s">
        <v>92</v>
      </c>
      <c r="D52" s="0" t="s">
        <v>87</v>
      </c>
      <c r="E52" s="0" t="n">
        <v>0.413125</v>
      </c>
      <c r="F52" s="0" t="str">
        <f aca="false">IFERROR(INDEX('Materials Master'!$B$2:$B$27,MATCH(D52,'Materials Master'!$A$2:$A$27,0)),"")</f>
        <v>Other/Residual Materials</v>
      </c>
      <c r="G52" s="0" t="str">
        <f aca="false">IFERROR(INDEX('Materials Master'!$C$2:$C$27,MATCH(D52,'Materials Master'!$A$2:$A$27,0)),"")</f>
        <v>Other</v>
      </c>
      <c r="H52" s="0" t="str">
        <f aca="false">IFERROR(INDEX('Materials Master'!$D$2:$D$27,MATCH(D52,'Materials Master'!$A$2:$A$27,0)),"")</f>
        <v>No</v>
      </c>
      <c r="I52" s="0" t="str">
        <f aca="false">IFERROR(INDEX('Materials Master'!$E$2:$E$27,MATCH(D52,'Materials Master'!$A$2:$A$27,0)),"")</f>
        <v>No</v>
      </c>
      <c r="J52" s="0" t="str">
        <f aca="false">IFERROR(IF(B52="Trash",INDEX('Materials Master'!$F$2:$F$27,MATCH(D52,'Materials Master'!$A$2:$A$27,0)),IF(B52="GMPC Recycling",INDEX('Materials Master'!$G$2:$G$27,MATCH(D52,'Materials Master'!$A$2:$A$27,0)),IF(B52="Organics Recycling",INDEX('Materials Master'!$H$2:$H$27,MATCH(D52,'Materials Master'!$A$2:$A$27,0)),IF(B52="Cardboard Recycling",INDEX('Materials Master'!$I$2:$I$27,MATCH(D52,'Materials Master'!$A$2:$A$27,0)),IF(B52="Paper Recycling",INDEX('Materials Master'!$J$2:$J$27,MATCH(D52,'Materials Master'!$A$2:$A$27,0)),IF(B52="Terracycle",INDEX('Materials Master'!$K$2:$K$27,MATCH(D52,'Materials Master'!$A$2:$A$27,0)),"No")))))),"")</f>
        <v>No</v>
      </c>
      <c r="K52" s="0" t="str">
        <f aca="false">IFERROR(INDEX(Areas!$C$2:$C$6,MATCH(C52,Areas!$B$2:$B$6,0)),"")</f>
        <v>Rest of Building</v>
      </c>
    </row>
    <row r="53" customFormat="false" ht="15" hidden="false" customHeight="false" outlineLevel="0" collapsed="false">
      <c r="A53" s="0" t="s">
        <v>115</v>
      </c>
      <c r="B53" s="0" t="s">
        <v>104</v>
      </c>
      <c r="C53" s="0" t="s">
        <v>95</v>
      </c>
      <c r="D53" s="0" t="s">
        <v>37</v>
      </c>
      <c r="E53" s="0" t="n">
        <v>0.076875</v>
      </c>
      <c r="F53" s="0" t="str">
        <f aca="false">IFERROR(INDEX('Materials Master'!$B$2:$B$27,MATCH(D53,'Materials Master'!$A$2:$A$27,0)),"")</f>
        <v>Mixed Paper</v>
      </c>
      <c r="G53" s="0" t="str">
        <f aca="false">IFERROR(INDEX('Materials Master'!$C$2:$C$27,MATCH(D53,'Materials Master'!$A$2:$A$27,0)),"")</f>
        <v>Fibers</v>
      </c>
      <c r="H53" s="0" t="str">
        <f aca="false">IFERROR(INDEX('Materials Master'!$D$2:$D$27,MATCH(D53,'Materials Master'!$A$2:$A$27,0)),"")</f>
        <v>Yes</v>
      </c>
      <c r="I53" s="0" t="str">
        <f aca="false">IFERROR(INDEX('Materials Master'!$E$2:$E$27,MATCH(D53,'Materials Master'!$A$2:$A$27,0)),"")</f>
        <v>Yes</v>
      </c>
      <c r="J53" s="0" t="str">
        <f aca="false">IFERROR(IF(B53="Trash",INDEX('Materials Master'!$F$2:$F$27,MATCH(D53,'Materials Master'!$A$2:$A$27,0)),IF(B53="GMPC Recycling",INDEX('Materials Master'!$G$2:$G$27,MATCH(D53,'Materials Master'!$A$2:$A$27,0)),IF(B53="Organics Recycling",INDEX('Materials Master'!$H$2:$H$27,MATCH(D53,'Materials Master'!$A$2:$A$27,0)),IF(B53="Cardboard Recycling",INDEX('Materials Master'!$I$2:$I$27,MATCH(D53,'Materials Master'!$A$2:$A$27,0)),IF(B53="Paper Recycling",INDEX('Materials Master'!$J$2:$J$27,MATCH(D53,'Materials Master'!$A$2:$A$27,0)),IF(B53="Terracycle",INDEX('Materials Master'!$K$2:$K$27,MATCH(D53,'Materials Master'!$A$2:$A$27,0)),"No")))))),"")</f>
        <v>Yes</v>
      </c>
      <c r="K53" s="0" t="str">
        <f aca="false">IFERROR(INDEX(Areas!$C$2:$C$6,MATCH(C53,Areas!$B$2:$B$6,0)),"")</f>
        <v>BOH</v>
      </c>
    </row>
    <row r="54" customFormat="false" ht="15" hidden="false" customHeight="false" outlineLevel="0" collapsed="false">
      <c r="A54" s="0" t="s">
        <v>115</v>
      </c>
      <c r="B54" s="0" t="s">
        <v>104</v>
      </c>
      <c r="C54" s="0" t="s">
        <v>95</v>
      </c>
      <c r="D54" s="0" t="s">
        <v>41</v>
      </c>
      <c r="E54" s="0" t="n">
        <v>0.151875</v>
      </c>
      <c r="F54" s="0" t="str">
        <f aca="false">IFERROR(INDEX('Materials Master'!$B$2:$B$27,MATCH(D54,'Materials Master'!$A$2:$A$27,0)),"")</f>
        <v>Beverage Cartons</v>
      </c>
      <c r="G54" s="0" t="str">
        <f aca="false">IFERROR(INDEX('Materials Master'!$C$2:$C$27,MATCH(D54,'Materials Master'!$A$2:$A$27,0)),"")</f>
        <v>Fibers</v>
      </c>
      <c r="H54" s="0" t="str">
        <f aca="false">IFERROR(INDEX('Materials Master'!$D$2:$D$27,MATCH(D54,'Materials Master'!$A$2:$A$27,0)),"")</f>
        <v>Yes</v>
      </c>
      <c r="I54" s="0" t="str">
        <f aca="false">IFERROR(INDEX('Materials Master'!$E$2:$E$27,MATCH(D54,'Materials Master'!$A$2:$A$27,0)),"")</f>
        <v>Yes</v>
      </c>
      <c r="J54" s="0" t="str">
        <f aca="false">IFERROR(IF(B54="Trash",INDEX('Materials Master'!$F$2:$F$27,MATCH(D54,'Materials Master'!$A$2:$A$27,0)),IF(B54="GMPC Recycling",INDEX('Materials Master'!$G$2:$G$27,MATCH(D54,'Materials Master'!$A$2:$A$27,0)),IF(B54="Organics Recycling",INDEX('Materials Master'!$H$2:$H$27,MATCH(D54,'Materials Master'!$A$2:$A$27,0)),IF(B54="Cardboard Recycling",INDEX('Materials Master'!$I$2:$I$27,MATCH(D54,'Materials Master'!$A$2:$A$27,0)),IF(B54="Paper Recycling",INDEX('Materials Master'!$J$2:$J$27,MATCH(D54,'Materials Master'!$A$2:$A$27,0)),IF(B54="Terracycle",INDEX('Materials Master'!$K$2:$K$27,MATCH(D54,'Materials Master'!$A$2:$A$27,0)),"No")))))),"")</f>
        <v>Yes</v>
      </c>
      <c r="K54" s="0" t="str">
        <f aca="false">IFERROR(INDEX(Areas!$C$2:$C$6,MATCH(C54,Areas!$B$2:$B$6,0)),"")</f>
        <v>BOH</v>
      </c>
    </row>
    <row r="55" customFormat="false" ht="15" hidden="false" customHeight="false" outlineLevel="0" collapsed="false">
      <c r="A55" s="0" t="s">
        <v>115</v>
      </c>
      <c r="B55" s="0" t="s">
        <v>104</v>
      </c>
      <c r="C55" s="0" t="s">
        <v>95</v>
      </c>
      <c r="D55" s="0" t="s">
        <v>45</v>
      </c>
      <c r="E55" s="0" t="n">
        <v>0.17875</v>
      </c>
      <c r="F55" s="0" t="str">
        <f aca="false">IFERROR(INDEX('Materials Master'!$B$2:$B$27,MATCH(D55,'Materials Master'!$A$2:$A$27,0)),"")</f>
        <v>Paper Cups / Other Coated Paper Containers</v>
      </c>
      <c r="G55" s="0" t="str">
        <f aca="false">IFERROR(INDEX('Materials Master'!$C$2:$C$27,MATCH(D55,'Materials Master'!$A$2:$A$27,0)),"")</f>
        <v>Fibers</v>
      </c>
      <c r="H55" s="0" t="str">
        <f aca="false">IFERROR(INDEX('Materials Master'!$D$2:$D$27,MATCH(D55,'Materials Master'!$A$2:$A$27,0)),"")</f>
        <v>No</v>
      </c>
      <c r="I55" s="0" t="str">
        <f aca="false">IFERROR(INDEX('Materials Master'!$E$2:$E$27,MATCH(D55,'Materials Master'!$A$2:$A$27,0)),"")</f>
        <v>No</v>
      </c>
      <c r="J55" s="0" t="str">
        <f aca="false">IFERROR(IF(B55="Trash",INDEX('Materials Master'!$F$2:$F$27,MATCH(D55,'Materials Master'!$A$2:$A$27,0)),IF(B55="GMPC Recycling",INDEX('Materials Master'!$G$2:$G$27,MATCH(D55,'Materials Master'!$A$2:$A$27,0)),IF(B55="Organics Recycling",INDEX('Materials Master'!$H$2:$H$27,MATCH(D55,'Materials Master'!$A$2:$A$27,0)),IF(B55="Cardboard Recycling",INDEX('Materials Master'!$I$2:$I$27,MATCH(D55,'Materials Master'!$A$2:$A$27,0)),IF(B55="Paper Recycling",INDEX('Materials Master'!$J$2:$J$27,MATCH(D55,'Materials Master'!$A$2:$A$27,0)),IF(B55="Terracycle",INDEX('Materials Master'!$K$2:$K$27,MATCH(D55,'Materials Master'!$A$2:$A$27,0)),"No")))))),"")</f>
        <v>No</v>
      </c>
      <c r="K55" s="0" t="str">
        <f aca="false">IFERROR(INDEX(Areas!$C$2:$C$6,MATCH(C55,Areas!$B$2:$B$6,0)),"")</f>
        <v>BOH</v>
      </c>
    </row>
    <row r="56" customFormat="false" ht="15" hidden="false" customHeight="false" outlineLevel="0" collapsed="false">
      <c r="A56" s="0" t="s">
        <v>115</v>
      </c>
      <c r="B56" s="0" t="s">
        <v>104</v>
      </c>
      <c r="C56" s="0" t="s">
        <v>95</v>
      </c>
      <c r="D56" s="0" t="s">
        <v>66</v>
      </c>
      <c r="E56" s="0" t="n">
        <v>0.17875</v>
      </c>
      <c r="F56" s="0" t="str">
        <f aca="false">IFERROR(INDEX('Materials Master'!$B$2:$B$27,MATCH(D56,'Materials Master'!$A$2:$A$27,0)),"")</f>
        <v>Food Waste</v>
      </c>
      <c r="G56" s="0" t="str">
        <f aca="false">IFERROR(INDEX('Materials Master'!$C$2:$C$27,MATCH(D56,'Materials Master'!$A$2:$A$27,0)),"")</f>
        <v>Organics</v>
      </c>
      <c r="H56" s="0" t="str">
        <f aca="false">IFERROR(INDEX('Materials Master'!$D$2:$D$27,MATCH(D56,'Materials Master'!$A$2:$A$27,0)),"")</f>
        <v>Yes</v>
      </c>
      <c r="I56" s="0" t="str">
        <f aca="false">IFERROR(INDEX('Materials Master'!$E$2:$E$27,MATCH(D56,'Materials Master'!$A$2:$A$27,0)),"")</f>
        <v>Yes</v>
      </c>
      <c r="J56" s="0" t="str">
        <f aca="false">IFERROR(IF(B56="Trash",INDEX('Materials Master'!$F$2:$F$27,MATCH(D56,'Materials Master'!$A$2:$A$27,0)),IF(B56="GMPC Recycling",INDEX('Materials Master'!$G$2:$G$27,MATCH(D56,'Materials Master'!$A$2:$A$27,0)),IF(B56="Organics Recycling",INDEX('Materials Master'!$H$2:$H$27,MATCH(D56,'Materials Master'!$A$2:$A$27,0)),IF(B56="Cardboard Recycling",INDEX('Materials Master'!$I$2:$I$27,MATCH(D56,'Materials Master'!$A$2:$A$27,0)),IF(B56="Paper Recycling",INDEX('Materials Master'!$J$2:$J$27,MATCH(D56,'Materials Master'!$A$2:$A$27,0)),IF(B56="Terracycle",INDEX('Materials Master'!$K$2:$K$27,MATCH(D56,'Materials Master'!$A$2:$A$27,0)),"No")))))),"")</f>
        <v>No</v>
      </c>
      <c r="K56" s="0" t="str">
        <f aca="false">IFERROR(INDEX(Areas!$C$2:$C$6,MATCH(C56,Areas!$B$2:$B$6,0)),"")</f>
        <v>BOH</v>
      </c>
    </row>
    <row r="57" customFormat="false" ht="15" hidden="false" customHeight="false" outlineLevel="0" collapsed="false">
      <c r="A57" s="0" t="s">
        <v>115</v>
      </c>
      <c r="B57" s="0" t="s">
        <v>104</v>
      </c>
      <c r="C57" s="0" t="s">
        <v>95</v>
      </c>
      <c r="D57" s="0" t="s">
        <v>69</v>
      </c>
      <c r="E57" s="0" t="n">
        <v>0.293125</v>
      </c>
      <c r="F57" s="0" t="str">
        <f aca="false">IFERROR(INDEX('Materials Master'!$B$2:$B$27,MATCH(D57,'Materials Master'!$A$2:$A$27,0)),"")</f>
        <v>Paper Fibers and Food-Soiled Paper (FSP)</v>
      </c>
      <c r="G57" s="0" t="str">
        <f aca="false">IFERROR(INDEX('Materials Master'!$C$2:$C$27,MATCH(D57,'Materials Master'!$A$2:$A$27,0)),"")</f>
        <v>Organics</v>
      </c>
      <c r="H57" s="0" t="str">
        <f aca="false">IFERROR(INDEX('Materials Master'!$D$2:$D$27,MATCH(D57,'Materials Master'!$A$2:$A$27,0)),"")</f>
        <v>No</v>
      </c>
      <c r="I57" s="0" t="str">
        <f aca="false">IFERROR(INDEX('Materials Master'!$E$2:$E$27,MATCH(D57,'Materials Master'!$A$2:$A$27,0)),"")</f>
        <v>No</v>
      </c>
      <c r="J57" s="0" t="str">
        <f aca="false">IFERROR(IF(B57="Trash",INDEX('Materials Master'!$F$2:$F$27,MATCH(D57,'Materials Master'!$A$2:$A$27,0)),IF(B57="GMPC Recycling",INDEX('Materials Master'!$G$2:$G$27,MATCH(D57,'Materials Master'!$A$2:$A$27,0)),IF(B57="Organics Recycling",INDEX('Materials Master'!$H$2:$H$27,MATCH(D57,'Materials Master'!$A$2:$A$27,0)),IF(B57="Cardboard Recycling",INDEX('Materials Master'!$I$2:$I$27,MATCH(D57,'Materials Master'!$A$2:$A$27,0)),IF(B57="Paper Recycling",INDEX('Materials Master'!$J$2:$J$27,MATCH(D57,'Materials Master'!$A$2:$A$27,0)),IF(B57="Terracycle",INDEX('Materials Master'!$K$2:$K$27,MATCH(D57,'Materials Master'!$A$2:$A$27,0)),"No")))))),"")</f>
        <v>No</v>
      </c>
      <c r="K57" s="0" t="str">
        <f aca="false">IFERROR(INDEX(Areas!$C$2:$C$6,MATCH(C57,Areas!$B$2:$B$6,0)),"")</f>
        <v>BOH</v>
      </c>
    </row>
    <row r="58" customFormat="false" ht="15" hidden="false" customHeight="false" outlineLevel="0" collapsed="false">
      <c r="A58" s="0" t="s">
        <v>115</v>
      </c>
      <c r="B58" s="0" t="s">
        <v>104</v>
      </c>
      <c r="C58" s="0" t="s">
        <v>95</v>
      </c>
      <c r="D58" s="0" t="s">
        <v>71</v>
      </c>
      <c r="E58" s="0" t="n">
        <v>0.105625</v>
      </c>
      <c r="F58" s="0" t="str">
        <f aca="false">IFERROR(INDEX('Materials Master'!$B$2:$B$27,MATCH(D58,'Materials Master'!$A$2:$A$27,0)),"")</f>
        <v>Fiber-based Compostable Serviceware</v>
      </c>
      <c r="G58" s="0" t="str">
        <f aca="false">IFERROR(INDEX('Materials Master'!$C$2:$C$27,MATCH(D58,'Materials Master'!$A$2:$A$27,0)),"")</f>
        <v>Organics</v>
      </c>
      <c r="H58" s="0" t="str">
        <f aca="false">IFERROR(INDEX('Materials Master'!$D$2:$D$27,MATCH(D58,'Materials Master'!$A$2:$A$27,0)),"")</f>
        <v>No</v>
      </c>
      <c r="I58" s="0" t="str">
        <f aca="false">IFERROR(INDEX('Materials Master'!$E$2:$E$27,MATCH(D58,'Materials Master'!$A$2:$A$27,0)),"")</f>
        <v>No</v>
      </c>
      <c r="J58" s="0" t="str">
        <f aca="false">IFERROR(IF(B58="Trash",INDEX('Materials Master'!$F$2:$F$27,MATCH(D58,'Materials Master'!$A$2:$A$27,0)),IF(B58="GMPC Recycling",INDEX('Materials Master'!$G$2:$G$27,MATCH(D58,'Materials Master'!$A$2:$A$27,0)),IF(B58="Organics Recycling",INDEX('Materials Master'!$H$2:$H$27,MATCH(D58,'Materials Master'!$A$2:$A$27,0)),IF(B58="Cardboard Recycling",INDEX('Materials Master'!$I$2:$I$27,MATCH(D58,'Materials Master'!$A$2:$A$27,0)),IF(B58="Paper Recycling",INDEX('Materials Master'!$J$2:$J$27,MATCH(D58,'Materials Master'!$A$2:$A$27,0)),IF(B58="Terracycle",INDEX('Materials Master'!$K$2:$K$27,MATCH(D58,'Materials Master'!$A$2:$A$27,0)),"No")))))),"")</f>
        <v>No</v>
      </c>
      <c r="K58" s="0" t="str">
        <f aca="false">IFERROR(INDEX(Areas!$C$2:$C$6,MATCH(C58,Areas!$B$2:$B$6,0)),"")</f>
        <v>BOH</v>
      </c>
    </row>
    <row r="59" customFormat="false" ht="15" hidden="false" customHeight="false" outlineLevel="0" collapsed="false">
      <c r="A59" s="0" t="s">
        <v>115</v>
      </c>
      <c r="B59" s="0" t="s">
        <v>104</v>
      </c>
      <c r="C59" s="0" t="s">
        <v>95</v>
      </c>
      <c r="D59" s="0" t="s">
        <v>73</v>
      </c>
      <c r="E59" s="0" t="n">
        <v>0.050625</v>
      </c>
      <c r="F59" s="0" t="str">
        <f aca="false">IFERROR(INDEX('Materials Master'!$B$2:$B$27,MATCH(D59,'Materials Master'!$A$2:$A$27,0)),"")</f>
        <v>PLA Compostable Serviceware</v>
      </c>
      <c r="G59" s="0" t="str">
        <f aca="false">IFERROR(INDEX('Materials Master'!$C$2:$C$27,MATCH(D59,'Materials Master'!$A$2:$A$27,0)),"")</f>
        <v>Organics</v>
      </c>
      <c r="H59" s="0" t="str">
        <f aca="false">IFERROR(INDEX('Materials Master'!$D$2:$D$27,MATCH(D59,'Materials Master'!$A$2:$A$27,0)),"")</f>
        <v>No</v>
      </c>
      <c r="I59" s="0" t="str">
        <f aca="false">IFERROR(INDEX('Materials Master'!$E$2:$E$27,MATCH(D59,'Materials Master'!$A$2:$A$27,0)),"")</f>
        <v>No</v>
      </c>
      <c r="J59" s="0" t="str">
        <f aca="false">IFERROR(IF(B59="Trash",INDEX('Materials Master'!$F$2:$F$27,MATCH(D59,'Materials Master'!$A$2:$A$27,0)),IF(B59="GMPC Recycling",INDEX('Materials Master'!$G$2:$G$27,MATCH(D59,'Materials Master'!$A$2:$A$27,0)),IF(B59="Organics Recycling",INDEX('Materials Master'!$H$2:$H$27,MATCH(D59,'Materials Master'!$A$2:$A$27,0)),IF(B59="Cardboard Recycling",INDEX('Materials Master'!$I$2:$I$27,MATCH(D59,'Materials Master'!$A$2:$A$27,0)),IF(B59="Paper Recycling",INDEX('Materials Master'!$J$2:$J$27,MATCH(D59,'Materials Master'!$A$2:$A$27,0)),IF(B59="Terracycle",INDEX('Materials Master'!$K$2:$K$27,MATCH(D59,'Materials Master'!$A$2:$A$27,0)),"No")))))),"")</f>
        <v>No</v>
      </c>
      <c r="K59" s="0" t="str">
        <f aca="false">IFERROR(INDEX(Areas!$C$2:$C$6,MATCH(C59,Areas!$B$2:$B$6,0)),"")</f>
        <v>BOH</v>
      </c>
    </row>
    <row r="60" customFormat="false" ht="15" hidden="false" customHeight="false" outlineLevel="0" collapsed="false">
      <c r="A60" s="0" t="s">
        <v>115</v>
      </c>
      <c r="B60" s="0" t="s">
        <v>104</v>
      </c>
      <c r="C60" s="0" t="s">
        <v>95</v>
      </c>
      <c r="D60" s="0" t="s">
        <v>84</v>
      </c>
      <c r="E60" s="0" t="n">
        <v>0.024375</v>
      </c>
      <c r="F60" s="0" t="str">
        <f aca="false">IFERROR(INDEX('Materials Master'!$B$2:$B$27,MATCH(D60,'Materials Master'!$A$2:$A$27,0)),"")</f>
        <v>Snack Wrappers (Composites)</v>
      </c>
      <c r="G60" s="0" t="str">
        <f aca="false">IFERROR(INDEX('Materials Master'!$C$2:$C$27,MATCH(D60,'Materials Master'!$A$2:$A$27,0)),"")</f>
        <v>Other</v>
      </c>
      <c r="H60" s="0" t="str">
        <f aca="false">IFERROR(INDEX('Materials Master'!$D$2:$D$27,MATCH(D60,'Materials Master'!$A$2:$A$27,0)),"")</f>
        <v>No</v>
      </c>
      <c r="I60" s="0" t="str">
        <f aca="false">IFERROR(INDEX('Materials Master'!$E$2:$E$27,MATCH(D60,'Materials Master'!$A$2:$A$27,0)),"")</f>
        <v>Yes</v>
      </c>
      <c r="J60" s="0" t="str">
        <f aca="false">IFERROR(IF(B60="Trash",INDEX('Materials Master'!$F$2:$F$27,MATCH(D60,'Materials Master'!$A$2:$A$27,0)),IF(B60="GMPC Recycling",INDEX('Materials Master'!$G$2:$G$27,MATCH(D60,'Materials Master'!$A$2:$A$27,0)),IF(B60="Organics Recycling",INDEX('Materials Master'!$H$2:$H$27,MATCH(D60,'Materials Master'!$A$2:$A$27,0)),IF(B60="Cardboard Recycling",INDEX('Materials Master'!$I$2:$I$27,MATCH(D60,'Materials Master'!$A$2:$A$27,0)),IF(B60="Paper Recycling",INDEX('Materials Master'!$J$2:$J$27,MATCH(D60,'Materials Master'!$A$2:$A$27,0)),IF(B60="Terracycle",INDEX('Materials Master'!$K$2:$K$27,MATCH(D60,'Materials Master'!$A$2:$A$27,0)),"No")))))),"")</f>
        <v>No</v>
      </c>
      <c r="K60" s="0" t="str">
        <f aca="false">IFERROR(INDEX(Areas!$C$2:$C$6,MATCH(C60,Areas!$B$2:$B$6,0)),"")</f>
        <v>BOH</v>
      </c>
    </row>
    <row r="61" customFormat="false" ht="15" hidden="false" customHeight="false" outlineLevel="0" collapsed="false">
      <c r="A61" s="0" t="s">
        <v>115</v>
      </c>
      <c r="B61" s="0" t="s">
        <v>107</v>
      </c>
      <c r="C61" s="0" t="s">
        <v>92</v>
      </c>
      <c r="D61" s="0" t="s">
        <v>37</v>
      </c>
      <c r="E61" s="0" t="n">
        <v>5.3</v>
      </c>
      <c r="F61" s="0" t="str">
        <f aca="false">IFERROR(INDEX('Materials Master'!$B$2:$B$27,MATCH(D61,'Materials Master'!$A$2:$A$27,0)),"")</f>
        <v>Mixed Paper</v>
      </c>
      <c r="G61" s="0" t="str">
        <f aca="false">IFERROR(INDEX('Materials Master'!$C$2:$C$27,MATCH(D61,'Materials Master'!$A$2:$A$27,0)),"")</f>
        <v>Fibers</v>
      </c>
      <c r="H61" s="0" t="str">
        <f aca="false">IFERROR(INDEX('Materials Master'!$D$2:$D$27,MATCH(D61,'Materials Master'!$A$2:$A$27,0)),"")</f>
        <v>Yes</v>
      </c>
      <c r="I61" s="0" t="str">
        <f aca="false">IFERROR(INDEX('Materials Master'!$E$2:$E$27,MATCH(D61,'Materials Master'!$A$2:$A$27,0)),"")</f>
        <v>Yes</v>
      </c>
      <c r="J61" s="0" t="str">
        <f aca="false">IFERROR(IF(B61="Trash",INDEX('Materials Master'!$F$2:$F$27,MATCH(D61,'Materials Master'!$A$2:$A$27,0)),IF(B61="GMPC Recycling",INDEX('Materials Master'!$G$2:$G$27,MATCH(D61,'Materials Master'!$A$2:$A$27,0)),IF(B61="Organics Recycling",INDEX('Materials Master'!$H$2:$H$27,MATCH(D61,'Materials Master'!$A$2:$A$27,0)),IF(B61="Cardboard Recycling",INDEX('Materials Master'!$I$2:$I$27,MATCH(D61,'Materials Master'!$A$2:$A$27,0)),IF(B61="Paper Recycling",INDEX('Materials Master'!$J$2:$J$27,MATCH(D61,'Materials Master'!$A$2:$A$27,0)),IF(B61="Terracycle",INDEX('Materials Master'!$K$2:$K$27,MATCH(D61,'Materials Master'!$A$2:$A$27,0)),"No")))))),"")</f>
        <v>Yes</v>
      </c>
      <c r="K61" s="0" t="str">
        <f aca="false">IFERROR(INDEX(Areas!$C$2:$C$6,MATCH(C61,Areas!$B$2:$B$6,0)),"")</f>
        <v>Rest of Building</v>
      </c>
    </row>
    <row r="62" customFormat="false" ht="15" hidden="false" customHeight="false" outlineLevel="0" collapsed="false">
      <c r="A62" s="0" t="s">
        <v>115</v>
      </c>
      <c r="B62" s="0" t="s">
        <v>107</v>
      </c>
      <c r="C62" s="0" t="s">
        <v>92</v>
      </c>
      <c r="D62" s="0" t="s">
        <v>69</v>
      </c>
      <c r="E62" s="0" t="n">
        <v>0.024375</v>
      </c>
      <c r="F62" s="0" t="str">
        <f aca="false">IFERROR(INDEX('Materials Master'!$B$2:$B$27,MATCH(D62,'Materials Master'!$A$2:$A$27,0)),"")</f>
        <v>Paper Fibers and Food-Soiled Paper (FSP)</v>
      </c>
      <c r="G62" s="0" t="str">
        <f aca="false">IFERROR(INDEX('Materials Master'!$C$2:$C$27,MATCH(D62,'Materials Master'!$A$2:$A$27,0)),"")</f>
        <v>Organics</v>
      </c>
      <c r="H62" s="0" t="str">
        <f aca="false">IFERROR(INDEX('Materials Master'!$D$2:$D$27,MATCH(D62,'Materials Master'!$A$2:$A$27,0)),"")</f>
        <v>No</v>
      </c>
      <c r="I62" s="0" t="str">
        <f aca="false">IFERROR(INDEX('Materials Master'!$E$2:$E$27,MATCH(D62,'Materials Master'!$A$2:$A$27,0)),"")</f>
        <v>No</v>
      </c>
      <c r="J62" s="0" t="str">
        <f aca="false">IFERROR(IF(B62="Trash",INDEX('Materials Master'!$F$2:$F$27,MATCH(D62,'Materials Master'!$A$2:$A$27,0)),IF(B62="GMPC Recycling",INDEX('Materials Master'!$G$2:$G$27,MATCH(D62,'Materials Master'!$A$2:$A$27,0)),IF(B62="Organics Recycling",INDEX('Materials Master'!$H$2:$H$27,MATCH(D62,'Materials Master'!$A$2:$A$27,0)),IF(B62="Cardboard Recycling",INDEX('Materials Master'!$I$2:$I$27,MATCH(D62,'Materials Master'!$A$2:$A$27,0)),IF(B62="Paper Recycling",INDEX('Materials Master'!$J$2:$J$27,MATCH(D62,'Materials Master'!$A$2:$A$27,0)),IF(B62="Terracycle",INDEX('Materials Master'!$K$2:$K$27,MATCH(D62,'Materials Master'!$A$2:$A$27,0)),"No")))))),"")</f>
        <v>No</v>
      </c>
      <c r="K62" s="0" t="str">
        <f aca="false">IFERROR(INDEX(Areas!$C$2:$C$6,MATCH(C62,Areas!$B$2:$B$6,0)),"")</f>
        <v>Rest of Building</v>
      </c>
    </row>
    <row r="63" customFormat="false" ht="15" hidden="false" customHeight="false" outlineLevel="0" collapsed="false">
      <c r="A63" s="0" t="s">
        <v>115</v>
      </c>
      <c r="B63" s="0" t="s">
        <v>108</v>
      </c>
      <c r="C63" s="0" t="s">
        <v>92</v>
      </c>
      <c r="D63" s="0" t="s">
        <v>62</v>
      </c>
      <c r="E63" s="0" t="n">
        <v>0.015625</v>
      </c>
      <c r="F63" s="0" t="str">
        <f aca="false">IFERROR(INDEX('Materials Master'!$B$2:$B$27,MATCH(D63,'Materials Master'!$A$2:$A$27,0)),"")</f>
        <v>Film Plastics</v>
      </c>
      <c r="G63" s="0" t="str">
        <f aca="false">IFERROR(INDEX('Materials Master'!$C$2:$C$27,MATCH(D63,'Materials Master'!$A$2:$A$27,0)),"")</f>
        <v>Plastics</v>
      </c>
      <c r="H63" s="0" t="str">
        <f aca="false">IFERROR(INDEX('Materials Master'!$D$2:$D$27,MATCH(D63,'Materials Master'!$A$2:$A$27,0)),"")</f>
        <v>No</v>
      </c>
      <c r="I63" s="0" t="str">
        <f aca="false">IFERROR(INDEX('Materials Master'!$E$2:$E$27,MATCH(D63,'Materials Master'!$A$2:$A$27,0)),"")</f>
        <v>No</v>
      </c>
      <c r="J63" s="0" t="str">
        <f aca="false">IFERROR(IF(B63="Trash",INDEX('Materials Master'!$F$2:$F$27,MATCH(D63,'Materials Master'!$A$2:$A$27,0)),IF(B63="GMPC Recycling",INDEX('Materials Master'!$G$2:$G$27,MATCH(D63,'Materials Master'!$A$2:$A$27,0)),IF(B63="Organics Recycling",INDEX('Materials Master'!$H$2:$H$27,MATCH(D63,'Materials Master'!$A$2:$A$27,0)),IF(B63="Cardboard Recycling",INDEX('Materials Master'!$I$2:$I$27,MATCH(D63,'Materials Master'!$A$2:$A$27,0)),IF(B63="Paper Recycling",INDEX('Materials Master'!$J$2:$J$27,MATCH(D63,'Materials Master'!$A$2:$A$27,0)),IF(B63="Terracycle",INDEX('Materials Master'!$K$2:$K$27,MATCH(D63,'Materials Master'!$A$2:$A$27,0)),"No")))))),"")</f>
        <v>No</v>
      </c>
      <c r="K63" s="0" t="str">
        <f aca="false">IFERROR(INDEX(Areas!$C$2:$C$6,MATCH(C63,Areas!$B$2:$B$6,0)),"")</f>
        <v>Rest of Building</v>
      </c>
    </row>
    <row r="64" customFormat="false" ht="15" hidden="false" customHeight="false" outlineLevel="0" collapsed="false">
      <c r="A64" s="0" t="s">
        <v>115</v>
      </c>
      <c r="B64" s="0" t="s">
        <v>108</v>
      </c>
      <c r="C64" s="0" t="s">
        <v>92</v>
      </c>
      <c r="D64" s="0" t="s">
        <v>66</v>
      </c>
      <c r="E64" s="0" t="n">
        <v>0.084375</v>
      </c>
      <c r="F64" s="0" t="str">
        <f aca="false">IFERROR(INDEX('Materials Master'!$B$2:$B$27,MATCH(D64,'Materials Master'!$A$2:$A$27,0)),"")</f>
        <v>Food Waste</v>
      </c>
      <c r="G64" s="0" t="str">
        <f aca="false">IFERROR(INDEX('Materials Master'!$C$2:$C$27,MATCH(D64,'Materials Master'!$A$2:$A$27,0)),"")</f>
        <v>Organics</v>
      </c>
      <c r="H64" s="0" t="str">
        <f aca="false">IFERROR(INDEX('Materials Master'!$D$2:$D$27,MATCH(D64,'Materials Master'!$A$2:$A$27,0)),"")</f>
        <v>Yes</v>
      </c>
      <c r="I64" s="0" t="str">
        <f aca="false">IFERROR(INDEX('Materials Master'!$E$2:$E$27,MATCH(D64,'Materials Master'!$A$2:$A$27,0)),"")</f>
        <v>Yes</v>
      </c>
      <c r="J64" s="0" t="str">
        <f aca="false">IFERROR(IF(B64="Trash",INDEX('Materials Master'!$F$2:$F$27,MATCH(D64,'Materials Master'!$A$2:$A$27,0)),IF(B64="GMPC Recycling",INDEX('Materials Master'!$G$2:$G$27,MATCH(D64,'Materials Master'!$A$2:$A$27,0)),IF(B64="Organics Recycling",INDEX('Materials Master'!$H$2:$H$27,MATCH(D64,'Materials Master'!$A$2:$A$27,0)),IF(B64="Cardboard Recycling",INDEX('Materials Master'!$I$2:$I$27,MATCH(D64,'Materials Master'!$A$2:$A$27,0)),IF(B64="Paper Recycling",INDEX('Materials Master'!$J$2:$J$27,MATCH(D64,'Materials Master'!$A$2:$A$27,0)),IF(B64="Terracycle",INDEX('Materials Master'!$K$2:$K$27,MATCH(D64,'Materials Master'!$A$2:$A$27,0)),"No")))))),"")</f>
        <v>No</v>
      </c>
      <c r="K64" s="0" t="str">
        <f aca="false">IFERROR(INDEX(Areas!$C$2:$C$6,MATCH(C64,Areas!$B$2:$B$6,0)),"")</f>
        <v>Rest of Building</v>
      </c>
    </row>
    <row r="65" customFormat="false" ht="15" hidden="false" customHeight="false" outlineLevel="0" collapsed="false">
      <c r="A65" s="0" t="s">
        <v>115</v>
      </c>
      <c r="B65" s="0" t="s">
        <v>108</v>
      </c>
      <c r="C65" s="0" t="s">
        <v>92</v>
      </c>
      <c r="D65" s="0" t="s">
        <v>69</v>
      </c>
      <c r="E65" s="0" t="n">
        <v>0.028125</v>
      </c>
      <c r="F65" s="0" t="str">
        <f aca="false">IFERROR(INDEX('Materials Master'!$B$2:$B$27,MATCH(D65,'Materials Master'!$A$2:$A$27,0)),"")</f>
        <v>Paper Fibers and Food-Soiled Paper (FSP)</v>
      </c>
      <c r="G65" s="0" t="str">
        <f aca="false">IFERROR(INDEX('Materials Master'!$C$2:$C$27,MATCH(D65,'Materials Master'!$A$2:$A$27,0)),"")</f>
        <v>Organics</v>
      </c>
      <c r="H65" s="0" t="str">
        <f aca="false">IFERROR(INDEX('Materials Master'!$D$2:$D$27,MATCH(D65,'Materials Master'!$A$2:$A$27,0)),"")</f>
        <v>No</v>
      </c>
      <c r="I65" s="0" t="str">
        <f aca="false">IFERROR(INDEX('Materials Master'!$E$2:$E$27,MATCH(D65,'Materials Master'!$A$2:$A$27,0)),"")</f>
        <v>No</v>
      </c>
      <c r="J65" s="0" t="str">
        <f aca="false">IFERROR(IF(B65="Trash",INDEX('Materials Master'!$F$2:$F$27,MATCH(D65,'Materials Master'!$A$2:$A$27,0)),IF(B65="GMPC Recycling",INDEX('Materials Master'!$G$2:$G$27,MATCH(D65,'Materials Master'!$A$2:$A$27,0)),IF(B65="Organics Recycling",INDEX('Materials Master'!$H$2:$H$27,MATCH(D65,'Materials Master'!$A$2:$A$27,0)),IF(B65="Cardboard Recycling",INDEX('Materials Master'!$I$2:$I$27,MATCH(D65,'Materials Master'!$A$2:$A$27,0)),IF(B65="Paper Recycling",INDEX('Materials Master'!$J$2:$J$27,MATCH(D65,'Materials Master'!$A$2:$A$27,0)),IF(B65="Terracycle",INDEX('Materials Master'!$K$2:$K$27,MATCH(D65,'Materials Master'!$A$2:$A$27,0)),"No")))))),"")</f>
        <v>No</v>
      </c>
      <c r="K65" s="0" t="str">
        <f aca="false">IFERROR(INDEX(Areas!$C$2:$C$6,MATCH(C65,Areas!$B$2:$B$6,0)),"")</f>
        <v>Rest of Building</v>
      </c>
    </row>
    <row r="66" customFormat="false" ht="15" hidden="false" customHeight="false" outlineLevel="0" collapsed="false">
      <c r="A66" s="0" t="s">
        <v>115</v>
      </c>
      <c r="B66" s="0" t="s">
        <v>108</v>
      </c>
      <c r="C66" s="0" t="s">
        <v>92</v>
      </c>
      <c r="D66" s="0" t="s">
        <v>84</v>
      </c>
      <c r="E66" s="0" t="n">
        <v>3.07</v>
      </c>
      <c r="F66" s="0" t="str">
        <f aca="false">IFERROR(INDEX('Materials Master'!$B$2:$B$27,MATCH(D66,'Materials Master'!$A$2:$A$27,0)),"")</f>
        <v>Snack Wrappers (Composites)</v>
      </c>
      <c r="G66" s="0" t="str">
        <f aca="false">IFERROR(INDEX('Materials Master'!$C$2:$C$27,MATCH(D66,'Materials Master'!$A$2:$A$27,0)),"")</f>
        <v>Other</v>
      </c>
      <c r="H66" s="0" t="str">
        <f aca="false">IFERROR(INDEX('Materials Master'!$D$2:$D$27,MATCH(D66,'Materials Master'!$A$2:$A$27,0)),"")</f>
        <v>No</v>
      </c>
      <c r="I66" s="0" t="str">
        <f aca="false">IFERROR(INDEX('Materials Master'!$E$2:$E$27,MATCH(D66,'Materials Master'!$A$2:$A$27,0)),"")</f>
        <v>Yes</v>
      </c>
      <c r="J66" s="0" t="str">
        <f aca="false">IFERROR(IF(B66="Trash",INDEX('Materials Master'!$F$2:$F$27,MATCH(D66,'Materials Master'!$A$2:$A$27,0)),IF(B66="GMPC Recycling",INDEX('Materials Master'!$G$2:$G$27,MATCH(D66,'Materials Master'!$A$2:$A$27,0)),IF(B66="Organics Recycling",INDEX('Materials Master'!$H$2:$H$27,MATCH(D66,'Materials Master'!$A$2:$A$27,0)),IF(B66="Cardboard Recycling",INDEX('Materials Master'!$I$2:$I$27,MATCH(D66,'Materials Master'!$A$2:$A$27,0)),IF(B66="Paper Recycling",INDEX('Materials Master'!$J$2:$J$27,MATCH(D66,'Materials Master'!$A$2:$A$27,0)),IF(B66="Terracycle",INDEX('Materials Master'!$K$2:$K$27,MATCH(D66,'Materials Master'!$A$2:$A$27,0)),"No")))))),"")</f>
        <v>Yes</v>
      </c>
      <c r="K66" s="0" t="str">
        <f aca="false">IFERROR(INDEX(Areas!$C$2:$C$6,MATCH(C66,Areas!$B$2:$B$6,0)),"")</f>
        <v>Rest of Building</v>
      </c>
    </row>
    <row r="67" customFormat="false" ht="15" hidden="false" customHeight="false" outlineLevel="0" collapsed="false">
      <c r="A67" s="0" t="s">
        <v>115</v>
      </c>
      <c r="B67" s="0" t="s">
        <v>105</v>
      </c>
      <c r="C67" s="0" t="s">
        <v>92</v>
      </c>
      <c r="D67" s="0" t="s">
        <v>41</v>
      </c>
      <c r="E67" s="0" t="n">
        <v>2.714375</v>
      </c>
      <c r="F67" s="0" t="str">
        <f aca="false">IFERROR(INDEX('Materials Master'!$B$2:$B$27,MATCH(D67,'Materials Master'!$A$2:$A$27,0)),"")</f>
        <v>Beverage Cartons</v>
      </c>
      <c r="G67" s="0" t="str">
        <f aca="false">IFERROR(INDEX('Materials Master'!$C$2:$C$27,MATCH(D67,'Materials Master'!$A$2:$A$27,0)),"")</f>
        <v>Fibers</v>
      </c>
      <c r="H67" s="0" t="str">
        <f aca="false">IFERROR(INDEX('Materials Master'!$D$2:$D$27,MATCH(D67,'Materials Master'!$A$2:$A$27,0)),"")</f>
        <v>Yes</v>
      </c>
      <c r="I67" s="0" t="str">
        <f aca="false">IFERROR(INDEX('Materials Master'!$E$2:$E$27,MATCH(D67,'Materials Master'!$A$2:$A$27,0)),"")</f>
        <v>Yes</v>
      </c>
      <c r="J67" s="0" t="str">
        <f aca="false">IFERROR(IF(B67="Trash",INDEX('Materials Master'!$F$2:$F$27,MATCH(D67,'Materials Master'!$A$2:$A$27,0)),IF(B67="GMPC Recycling",INDEX('Materials Master'!$G$2:$G$27,MATCH(D67,'Materials Master'!$A$2:$A$27,0)),IF(B67="Organics Recycling",INDEX('Materials Master'!$H$2:$H$27,MATCH(D67,'Materials Master'!$A$2:$A$27,0)),IF(B67="Cardboard Recycling",INDEX('Materials Master'!$I$2:$I$27,MATCH(D67,'Materials Master'!$A$2:$A$27,0)),IF(B67="Paper Recycling",INDEX('Materials Master'!$J$2:$J$27,MATCH(D67,'Materials Master'!$A$2:$A$27,0)),IF(B67="Terracycle",INDEX('Materials Master'!$K$2:$K$27,MATCH(D67,'Materials Master'!$A$2:$A$27,0)),"No")))))),"")</f>
        <v>No</v>
      </c>
      <c r="K67" s="0" t="str">
        <f aca="false">IFERROR(INDEX(Areas!$C$2:$C$6,MATCH(C67,Areas!$B$2:$B$6,0)),"")</f>
        <v>Rest of Building</v>
      </c>
    </row>
    <row r="68" customFormat="false" ht="15" hidden="false" customHeight="false" outlineLevel="0" collapsed="false">
      <c r="A68" s="0" t="s">
        <v>115</v>
      </c>
      <c r="B68" s="0" t="s">
        <v>105</v>
      </c>
      <c r="C68" s="0" t="s">
        <v>92</v>
      </c>
      <c r="D68" s="0" t="s">
        <v>52</v>
      </c>
      <c r="E68" s="0" t="n">
        <v>0.4</v>
      </c>
      <c r="F68" s="0" t="str">
        <f aca="false">IFERROR(INDEX('Materials Master'!$B$2:$B$27,MATCH(D68,'Materials Master'!$A$2:$A$27,0)),"")</f>
        <v>Aluminum &amp; Bi-Metal Containers</v>
      </c>
      <c r="G68" s="0" t="str">
        <f aca="false">IFERROR(INDEX('Materials Master'!$C$2:$C$27,MATCH(D68,'Materials Master'!$A$2:$A$27,0)),"")</f>
        <v>Metals</v>
      </c>
      <c r="H68" s="0" t="str">
        <f aca="false">IFERROR(INDEX('Materials Master'!$D$2:$D$27,MATCH(D68,'Materials Master'!$A$2:$A$27,0)),"")</f>
        <v>Yes</v>
      </c>
      <c r="I68" s="0" t="str">
        <f aca="false">IFERROR(INDEX('Materials Master'!$E$2:$E$27,MATCH(D68,'Materials Master'!$A$2:$A$27,0)),"")</f>
        <v>Yes</v>
      </c>
      <c r="J68" s="0" t="str">
        <f aca="false">IFERROR(IF(B68="Trash",INDEX('Materials Master'!$F$2:$F$27,MATCH(D68,'Materials Master'!$A$2:$A$27,0)),IF(B68="GMPC Recycling",INDEX('Materials Master'!$G$2:$G$27,MATCH(D68,'Materials Master'!$A$2:$A$27,0)),IF(B68="Organics Recycling",INDEX('Materials Master'!$H$2:$H$27,MATCH(D68,'Materials Master'!$A$2:$A$27,0)),IF(B68="Cardboard Recycling",INDEX('Materials Master'!$I$2:$I$27,MATCH(D68,'Materials Master'!$A$2:$A$27,0)),IF(B68="Paper Recycling",INDEX('Materials Master'!$J$2:$J$27,MATCH(D68,'Materials Master'!$A$2:$A$27,0)),IF(B68="Terracycle",INDEX('Materials Master'!$K$2:$K$27,MATCH(D68,'Materials Master'!$A$2:$A$27,0)),"No")))))),"")</f>
        <v>No</v>
      </c>
      <c r="K68" s="0" t="str">
        <f aca="false">IFERROR(INDEX(Areas!$C$2:$C$6,MATCH(C68,Areas!$B$2:$B$6,0)),"")</f>
        <v>Rest of Building</v>
      </c>
    </row>
    <row r="69" customFormat="false" ht="15" hidden="false" customHeight="false" outlineLevel="0" collapsed="false">
      <c r="A69" s="0" t="s">
        <v>115</v>
      </c>
      <c r="B69" s="0" t="s">
        <v>105</v>
      </c>
      <c r="C69" s="0" t="s">
        <v>92</v>
      </c>
      <c r="D69" s="0" t="s">
        <v>57</v>
      </c>
      <c r="E69" s="0" t="n">
        <v>11</v>
      </c>
      <c r="F69" s="0" t="str">
        <f aca="false">IFERROR(INDEX('Materials Master'!$B$2:$B$27,MATCH(D69,'Materials Master'!$A$2:$A$27,0)),"")</f>
        <v>Rigid Plastics (1-6)</v>
      </c>
      <c r="G69" s="0" t="str">
        <f aca="false">IFERROR(INDEX('Materials Master'!$C$2:$C$27,MATCH(D69,'Materials Master'!$A$2:$A$27,0)),"")</f>
        <v>Plastics</v>
      </c>
      <c r="H69" s="0" t="str">
        <f aca="false">IFERROR(INDEX('Materials Master'!$D$2:$D$27,MATCH(D69,'Materials Master'!$A$2:$A$27,0)),"")</f>
        <v>Yes</v>
      </c>
      <c r="I69" s="0" t="str">
        <f aca="false">IFERROR(INDEX('Materials Master'!$E$2:$E$27,MATCH(D69,'Materials Master'!$A$2:$A$27,0)),"")</f>
        <v>Yes</v>
      </c>
      <c r="J69" s="0" t="str">
        <f aca="false">IFERROR(IF(B69="Trash",INDEX('Materials Master'!$F$2:$F$27,MATCH(D69,'Materials Master'!$A$2:$A$27,0)),IF(B69="GMPC Recycling",INDEX('Materials Master'!$G$2:$G$27,MATCH(D69,'Materials Master'!$A$2:$A$27,0)),IF(B69="Organics Recycling",INDEX('Materials Master'!$H$2:$H$27,MATCH(D69,'Materials Master'!$A$2:$A$27,0)),IF(B69="Cardboard Recycling",INDEX('Materials Master'!$I$2:$I$27,MATCH(D69,'Materials Master'!$A$2:$A$27,0)),IF(B69="Paper Recycling",INDEX('Materials Master'!$J$2:$J$27,MATCH(D69,'Materials Master'!$A$2:$A$27,0)),IF(B69="Terracycle",INDEX('Materials Master'!$K$2:$K$27,MATCH(D69,'Materials Master'!$A$2:$A$27,0)),"No")))))),"")</f>
        <v>No</v>
      </c>
      <c r="K69" s="0" t="str">
        <f aca="false">IFERROR(INDEX(Areas!$C$2:$C$6,MATCH(C69,Areas!$B$2:$B$6,0)),"")</f>
        <v>Rest of Building</v>
      </c>
    </row>
    <row r="70" customFormat="false" ht="15" hidden="false" customHeight="false" outlineLevel="0" collapsed="false">
      <c r="A70" s="0" t="s">
        <v>115</v>
      </c>
      <c r="B70" s="0" t="s">
        <v>105</v>
      </c>
      <c r="C70" s="0" t="s">
        <v>92</v>
      </c>
      <c r="D70" s="0" t="s">
        <v>62</v>
      </c>
      <c r="E70" s="0" t="n">
        <v>2.9</v>
      </c>
      <c r="F70" s="0" t="str">
        <f aca="false">IFERROR(INDEX('Materials Master'!$B$2:$B$27,MATCH(D70,'Materials Master'!$A$2:$A$27,0)),"")</f>
        <v>Film Plastics</v>
      </c>
      <c r="G70" s="0" t="str">
        <f aca="false">IFERROR(INDEX('Materials Master'!$C$2:$C$27,MATCH(D70,'Materials Master'!$A$2:$A$27,0)),"")</f>
        <v>Plastics</v>
      </c>
      <c r="H70" s="0" t="str">
        <f aca="false">IFERROR(INDEX('Materials Master'!$D$2:$D$27,MATCH(D70,'Materials Master'!$A$2:$A$27,0)),"")</f>
        <v>No</v>
      </c>
      <c r="I70" s="0" t="str">
        <f aca="false">IFERROR(INDEX('Materials Master'!$E$2:$E$27,MATCH(D70,'Materials Master'!$A$2:$A$27,0)),"")</f>
        <v>No</v>
      </c>
      <c r="J70" s="0" t="str">
        <f aca="false">IFERROR(IF(B70="Trash",INDEX('Materials Master'!$F$2:$F$27,MATCH(D70,'Materials Master'!$A$2:$A$27,0)),IF(B70="GMPC Recycling",INDEX('Materials Master'!$G$2:$G$27,MATCH(D70,'Materials Master'!$A$2:$A$27,0)),IF(B70="Organics Recycling",INDEX('Materials Master'!$H$2:$H$27,MATCH(D70,'Materials Master'!$A$2:$A$27,0)),IF(B70="Cardboard Recycling",INDEX('Materials Master'!$I$2:$I$27,MATCH(D70,'Materials Master'!$A$2:$A$27,0)),IF(B70="Paper Recycling",INDEX('Materials Master'!$J$2:$J$27,MATCH(D70,'Materials Master'!$A$2:$A$27,0)),IF(B70="Terracycle",INDEX('Materials Master'!$K$2:$K$27,MATCH(D70,'Materials Master'!$A$2:$A$27,0)),"No")))))),"")</f>
        <v>No</v>
      </c>
      <c r="K70" s="0" t="str">
        <f aca="false">IFERROR(INDEX(Areas!$C$2:$C$6,MATCH(C70,Areas!$B$2:$B$6,0)),"")</f>
        <v>Rest of Building</v>
      </c>
    </row>
    <row r="71" customFormat="false" ht="15" hidden="false" customHeight="false" outlineLevel="0" collapsed="false">
      <c r="A71" s="0" t="s">
        <v>115</v>
      </c>
      <c r="B71" s="0" t="s">
        <v>105</v>
      </c>
      <c r="C71" s="0" t="s">
        <v>92</v>
      </c>
      <c r="D71" s="0" t="s">
        <v>66</v>
      </c>
      <c r="E71" s="0" t="n">
        <v>45.4</v>
      </c>
      <c r="F71" s="0" t="str">
        <f aca="false">IFERROR(INDEX('Materials Master'!$B$2:$B$27,MATCH(D71,'Materials Master'!$A$2:$A$27,0)),"")</f>
        <v>Food Waste</v>
      </c>
      <c r="G71" s="0" t="str">
        <f aca="false">IFERROR(INDEX('Materials Master'!$C$2:$C$27,MATCH(D71,'Materials Master'!$A$2:$A$27,0)),"")</f>
        <v>Organics</v>
      </c>
      <c r="H71" s="0" t="str">
        <f aca="false">IFERROR(INDEX('Materials Master'!$D$2:$D$27,MATCH(D71,'Materials Master'!$A$2:$A$27,0)),"")</f>
        <v>Yes</v>
      </c>
      <c r="I71" s="0" t="str">
        <f aca="false">IFERROR(INDEX('Materials Master'!$E$2:$E$27,MATCH(D71,'Materials Master'!$A$2:$A$27,0)),"")</f>
        <v>Yes</v>
      </c>
      <c r="J71" s="0" t="str">
        <f aca="false">IFERROR(IF(B71="Trash",INDEX('Materials Master'!$F$2:$F$27,MATCH(D71,'Materials Master'!$A$2:$A$27,0)),IF(B71="GMPC Recycling",INDEX('Materials Master'!$G$2:$G$27,MATCH(D71,'Materials Master'!$A$2:$A$27,0)),IF(B71="Organics Recycling",INDEX('Materials Master'!$H$2:$H$27,MATCH(D71,'Materials Master'!$A$2:$A$27,0)),IF(B71="Cardboard Recycling",INDEX('Materials Master'!$I$2:$I$27,MATCH(D71,'Materials Master'!$A$2:$A$27,0)),IF(B71="Paper Recycling",INDEX('Materials Master'!$J$2:$J$27,MATCH(D71,'Materials Master'!$A$2:$A$27,0)),IF(B71="Terracycle",INDEX('Materials Master'!$K$2:$K$27,MATCH(D71,'Materials Master'!$A$2:$A$27,0)),"No")))))),"")</f>
        <v>Yes</v>
      </c>
      <c r="K71" s="0" t="str">
        <f aca="false">IFERROR(INDEX(Areas!$C$2:$C$6,MATCH(C71,Areas!$B$2:$B$6,0)),"")</f>
        <v>Rest of Building</v>
      </c>
    </row>
    <row r="72" customFormat="false" ht="15" hidden="false" customHeight="false" outlineLevel="0" collapsed="false">
      <c r="A72" s="0" t="s">
        <v>115</v>
      </c>
      <c r="B72" s="0" t="s">
        <v>105</v>
      </c>
      <c r="C72" s="0" t="s">
        <v>92</v>
      </c>
      <c r="D72" s="0" t="s">
        <v>69</v>
      </c>
      <c r="E72" s="0" t="n">
        <v>14.4</v>
      </c>
      <c r="F72" s="0" t="str">
        <f aca="false">IFERROR(INDEX('Materials Master'!$B$2:$B$27,MATCH(D72,'Materials Master'!$A$2:$A$27,0)),"")</f>
        <v>Paper Fibers and Food-Soiled Paper (FSP)</v>
      </c>
      <c r="G72" s="0" t="str">
        <f aca="false">IFERROR(INDEX('Materials Master'!$C$2:$C$27,MATCH(D72,'Materials Master'!$A$2:$A$27,0)),"")</f>
        <v>Organics</v>
      </c>
      <c r="H72" s="0" t="str">
        <f aca="false">IFERROR(INDEX('Materials Master'!$D$2:$D$27,MATCH(D72,'Materials Master'!$A$2:$A$27,0)),"")</f>
        <v>No</v>
      </c>
      <c r="I72" s="0" t="str">
        <f aca="false">IFERROR(INDEX('Materials Master'!$E$2:$E$27,MATCH(D72,'Materials Master'!$A$2:$A$27,0)),"")</f>
        <v>No</v>
      </c>
      <c r="J72" s="0" t="str">
        <f aca="false">IFERROR(IF(B72="Trash",INDEX('Materials Master'!$F$2:$F$27,MATCH(D72,'Materials Master'!$A$2:$A$27,0)),IF(B72="GMPC Recycling",INDEX('Materials Master'!$G$2:$G$27,MATCH(D72,'Materials Master'!$A$2:$A$27,0)),IF(B72="Organics Recycling",INDEX('Materials Master'!$H$2:$H$27,MATCH(D72,'Materials Master'!$A$2:$A$27,0)),IF(B72="Cardboard Recycling",INDEX('Materials Master'!$I$2:$I$27,MATCH(D72,'Materials Master'!$A$2:$A$27,0)),IF(B72="Paper Recycling",INDEX('Materials Master'!$J$2:$J$27,MATCH(D72,'Materials Master'!$A$2:$A$27,0)),IF(B72="Terracycle",INDEX('Materials Master'!$K$2:$K$27,MATCH(D72,'Materials Master'!$A$2:$A$27,0)),"No")))))),"")</f>
        <v>No</v>
      </c>
      <c r="K72" s="0" t="str">
        <f aca="false">IFERROR(INDEX(Areas!$C$2:$C$6,MATCH(C72,Areas!$B$2:$B$6,0)),"")</f>
        <v>Rest of Building</v>
      </c>
    </row>
    <row r="73" customFormat="false" ht="15" hidden="false" customHeight="false" outlineLevel="0" collapsed="false">
      <c r="A73" s="0" t="s">
        <v>115</v>
      </c>
      <c r="B73" s="0" t="s">
        <v>105</v>
      </c>
      <c r="C73" s="0" t="s">
        <v>92</v>
      </c>
      <c r="D73" s="0" t="s">
        <v>71</v>
      </c>
      <c r="E73" s="0" t="n">
        <v>35.7</v>
      </c>
      <c r="F73" s="0" t="str">
        <f aca="false">IFERROR(INDEX('Materials Master'!$B$2:$B$27,MATCH(D73,'Materials Master'!$A$2:$A$27,0)),"")</f>
        <v>Fiber-based Compostable Serviceware</v>
      </c>
      <c r="G73" s="0" t="str">
        <f aca="false">IFERROR(INDEX('Materials Master'!$C$2:$C$27,MATCH(D73,'Materials Master'!$A$2:$A$27,0)),"")</f>
        <v>Organics</v>
      </c>
      <c r="H73" s="0" t="str">
        <f aca="false">IFERROR(INDEX('Materials Master'!$D$2:$D$27,MATCH(D73,'Materials Master'!$A$2:$A$27,0)),"")</f>
        <v>No</v>
      </c>
      <c r="I73" s="0" t="str">
        <f aca="false">IFERROR(INDEX('Materials Master'!$E$2:$E$27,MATCH(D73,'Materials Master'!$A$2:$A$27,0)),"")</f>
        <v>No</v>
      </c>
      <c r="J73" s="0" t="str">
        <f aca="false">IFERROR(IF(B73="Trash",INDEX('Materials Master'!$F$2:$F$27,MATCH(D73,'Materials Master'!$A$2:$A$27,0)),IF(B73="GMPC Recycling",INDEX('Materials Master'!$G$2:$G$27,MATCH(D73,'Materials Master'!$A$2:$A$27,0)),IF(B73="Organics Recycling",INDEX('Materials Master'!$H$2:$H$27,MATCH(D73,'Materials Master'!$A$2:$A$27,0)),IF(B73="Cardboard Recycling",INDEX('Materials Master'!$I$2:$I$27,MATCH(D73,'Materials Master'!$A$2:$A$27,0)),IF(B73="Paper Recycling",INDEX('Materials Master'!$J$2:$J$27,MATCH(D73,'Materials Master'!$A$2:$A$27,0)),IF(B73="Terracycle",INDEX('Materials Master'!$K$2:$K$27,MATCH(D73,'Materials Master'!$A$2:$A$27,0)),"No")))))),"")</f>
        <v>No</v>
      </c>
      <c r="K73" s="0" t="str">
        <f aca="false">IFERROR(INDEX(Areas!$C$2:$C$6,MATCH(C73,Areas!$B$2:$B$6,0)),"")</f>
        <v>Rest of Building</v>
      </c>
    </row>
    <row r="74" customFormat="false" ht="15" hidden="false" customHeight="false" outlineLevel="0" collapsed="false">
      <c r="A74" s="0" t="s">
        <v>115</v>
      </c>
      <c r="B74" s="0" t="s">
        <v>105</v>
      </c>
      <c r="C74" s="0" t="s">
        <v>92</v>
      </c>
      <c r="D74" s="0" t="s">
        <v>73</v>
      </c>
      <c r="E74" s="0" t="n">
        <v>17.1</v>
      </c>
      <c r="F74" s="0" t="str">
        <f aca="false">IFERROR(INDEX('Materials Master'!$B$2:$B$27,MATCH(D74,'Materials Master'!$A$2:$A$27,0)),"")</f>
        <v>PLA Compostable Serviceware</v>
      </c>
      <c r="G74" s="0" t="str">
        <f aca="false">IFERROR(INDEX('Materials Master'!$C$2:$C$27,MATCH(D74,'Materials Master'!$A$2:$A$27,0)),"")</f>
        <v>Organics</v>
      </c>
      <c r="H74" s="0" t="str">
        <f aca="false">IFERROR(INDEX('Materials Master'!$D$2:$D$27,MATCH(D74,'Materials Master'!$A$2:$A$27,0)),"")</f>
        <v>No</v>
      </c>
      <c r="I74" s="0" t="str">
        <f aca="false">IFERROR(INDEX('Materials Master'!$E$2:$E$27,MATCH(D74,'Materials Master'!$A$2:$A$27,0)),"")</f>
        <v>No</v>
      </c>
      <c r="J74" s="0" t="str">
        <f aca="false">IFERROR(IF(B74="Trash",INDEX('Materials Master'!$F$2:$F$27,MATCH(D74,'Materials Master'!$A$2:$A$27,0)),IF(B74="GMPC Recycling",INDEX('Materials Master'!$G$2:$G$27,MATCH(D74,'Materials Master'!$A$2:$A$27,0)),IF(B74="Organics Recycling",INDEX('Materials Master'!$H$2:$H$27,MATCH(D74,'Materials Master'!$A$2:$A$27,0)),IF(B74="Cardboard Recycling",INDEX('Materials Master'!$I$2:$I$27,MATCH(D74,'Materials Master'!$A$2:$A$27,0)),IF(B74="Paper Recycling",INDEX('Materials Master'!$J$2:$J$27,MATCH(D74,'Materials Master'!$A$2:$A$27,0)),IF(B74="Terracycle",INDEX('Materials Master'!$K$2:$K$27,MATCH(D74,'Materials Master'!$A$2:$A$27,0)),"No")))))),"")</f>
        <v>No</v>
      </c>
      <c r="K74" s="0" t="str">
        <f aca="false">IFERROR(INDEX(Areas!$C$2:$C$6,MATCH(C74,Areas!$B$2:$B$6,0)),"")</f>
        <v>Rest of Building</v>
      </c>
    </row>
    <row r="75" customFormat="false" ht="15" hidden="false" customHeight="false" outlineLevel="0" collapsed="false">
      <c r="A75" s="0" t="s">
        <v>115</v>
      </c>
      <c r="B75" s="0" t="s">
        <v>105</v>
      </c>
      <c r="C75" s="0" t="s">
        <v>92</v>
      </c>
      <c r="D75" s="0" t="s">
        <v>80</v>
      </c>
      <c r="E75" s="0" t="n">
        <v>0.82875</v>
      </c>
      <c r="F75" s="0" t="str">
        <f aca="false">IFERROR(INDEX('Materials Master'!$B$2:$B$27,MATCH(D75,'Materials Master'!$A$2:$A$27,0)),"")</f>
        <v>Other Unacceptable (specify)</v>
      </c>
      <c r="G75" s="0" t="str">
        <f aca="false">IFERROR(INDEX('Materials Master'!$C$2:$C$27,MATCH(D75,'Materials Master'!$A$2:$A$27,0)),"")</f>
        <v>Unacceptable</v>
      </c>
      <c r="H75" s="0" t="str">
        <f aca="false">IFERROR(INDEX('Materials Master'!$D$2:$D$27,MATCH(D75,'Materials Master'!$A$2:$A$27,0)),"")</f>
        <v>Unacceptable</v>
      </c>
      <c r="I75" s="0" t="str">
        <f aca="false">IFERROR(INDEX('Materials Master'!$E$2:$E$27,MATCH(D75,'Materials Master'!$A$2:$A$27,0)),"")</f>
        <v>No</v>
      </c>
      <c r="J75" s="0" t="str">
        <f aca="false">IFERROR(IF(B75="Trash",INDEX('Materials Master'!$F$2:$F$27,MATCH(D75,'Materials Master'!$A$2:$A$27,0)),IF(B75="GMPC Recycling",INDEX('Materials Master'!$G$2:$G$27,MATCH(D75,'Materials Master'!$A$2:$A$27,0)),IF(B75="Organics Recycling",INDEX('Materials Master'!$H$2:$H$27,MATCH(D75,'Materials Master'!$A$2:$A$27,0)),IF(B75="Cardboard Recycling",INDEX('Materials Master'!$I$2:$I$27,MATCH(D75,'Materials Master'!$A$2:$A$27,0)),IF(B75="Paper Recycling",INDEX('Materials Master'!$J$2:$J$27,MATCH(D75,'Materials Master'!$A$2:$A$27,0)),IF(B75="Terracycle",INDEX('Materials Master'!$K$2:$K$27,MATCH(D75,'Materials Master'!$A$2:$A$27,0)),"No")))))),"")</f>
        <v>No</v>
      </c>
      <c r="K75" s="0" t="str">
        <f aca="false">IFERROR(INDEX(Areas!$C$2:$C$6,MATCH(C75,Areas!$B$2:$B$6,0)),"")</f>
        <v>Rest of Building</v>
      </c>
    </row>
    <row r="76" customFormat="false" ht="15" hidden="false" customHeight="false" outlineLevel="0" collapsed="false">
      <c r="A76" s="0" t="s">
        <v>115</v>
      </c>
      <c r="B76" s="0" t="s">
        <v>105</v>
      </c>
      <c r="C76" s="0" t="s">
        <v>92</v>
      </c>
      <c r="D76" s="0" t="s">
        <v>82</v>
      </c>
      <c r="E76" s="0" t="n">
        <v>5.7</v>
      </c>
      <c r="F76" s="0" t="str">
        <f aca="false">IFERROR(INDEX('Materials Master'!$B$2:$B$27,MATCH(D76,'Materials Master'!$A$2:$A$27,0)),"")</f>
        <v>Liquids</v>
      </c>
      <c r="G76" s="0" t="str">
        <f aca="false">IFERROR(INDEX('Materials Master'!$C$2:$C$27,MATCH(D76,'Materials Master'!$A$2:$A$27,0)),"")</f>
        <v>Unacceptable</v>
      </c>
      <c r="H76" s="0" t="str">
        <f aca="false">IFERROR(INDEX('Materials Master'!$D$2:$D$27,MATCH(D76,'Materials Master'!$A$2:$A$27,0)),"")</f>
        <v>Unacceptable</v>
      </c>
      <c r="I76" s="0" t="str">
        <f aca="false">IFERROR(INDEX('Materials Master'!$E$2:$E$27,MATCH(D76,'Materials Master'!$A$2:$A$27,0)),"")</f>
        <v>No</v>
      </c>
      <c r="J76" s="0" t="str">
        <f aca="false">IFERROR(IF(B76="Trash",INDEX('Materials Master'!$F$2:$F$27,MATCH(D76,'Materials Master'!$A$2:$A$27,0)),IF(B76="GMPC Recycling",INDEX('Materials Master'!$G$2:$G$27,MATCH(D76,'Materials Master'!$A$2:$A$27,0)),IF(B76="Organics Recycling",INDEX('Materials Master'!$H$2:$H$27,MATCH(D76,'Materials Master'!$A$2:$A$27,0)),IF(B76="Cardboard Recycling",INDEX('Materials Master'!$I$2:$I$27,MATCH(D76,'Materials Master'!$A$2:$A$27,0)),IF(B76="Paper Recycling",INDEX('Materials Master'!$J$2:$J$27,MATCH(D76,'Materials Master'!$A$2:$A$27,0)),IF(B76="Terracycle",INDEX('Materials Master'!$K$2:$K$27,MATCH(D76,'Materials Master'!$A$2:$A$27,0)),"No")))))),"")</f>
        <v>No</v>
      </c>
      <c r="K76" s="0" t="str">
        <f aca="false">IFERROR(INDEX(Areas!$C$2:$C$6,MATCH(C76,Areas!$B$2:$B$6,0)),"")</f>
        <v>Rest of Building</v>
      </c>
    </row>
    <row r="77" customFormat="false" ht="15" hidden="false" customHeight="false" outlineLevel="0" collapsed="false">
      <c r="A77" s="0" t="s">
        <v>115</v>
      </c>
      <c r="B77" s="0" t="s">
        <v>105</v>
      </c>
      <c r="C77" s="0" t="s">
        <v>92</v>
      </c>
      <c r="D77" s="0" t="s">
        <v>84</v>
      </c>
      <c r="E77" s="0" t="n">
        <v>0.8</v>
      </c>
      <c r="F77" s="0" t="str">
        <f aca="false">IFERROR(INDEX('Materials Master'!$B$2:$B$27,MATCH(D77,'Materials Master'!$A$2:$A$27,0)),"")</f>
        <v>Snack Wrappers (Composites)</v>
      </c>
      <c r="G77" s="0" t="str">
        <f aca="false">IFERROR(INDEX('Materials Master'!$C$2:$C$27,MATCH(D77,'Materials Master'!$A$2:$A$27,0)),"")</f>
        <v>Other</v>
      </c>
      <c r="H77" s="0" t="str">
        <f aca="false">IFERROR(INDEX('Materials Master'!$D$2:$D$27,MATCH(D77,'Materials Master'!$A$2:$A$27,0)),"")</f>
        <v>No</v>
      </c>
      <c r="I77" s="0" t="str">
        <f aca="false">IFERROR(INDEX('Materials Master'!$E$2:$E$27,MATCH(D77,'Materials Master'!$A$2:$A$27,0)),"")</f>
        <v>Yes</v>
      </c>
      <c r="J77" s="0" t="str">
        <f aca="false">IFERROR(IF(B77="Trash",INDEX('Materials Master'!$F$2:$F$27,MATCH(D77,'Materials Master'!$A$2:$A$27,0)),IF(B77="GMPC Recycling",INDEX('Materials Master'!$G$2:$G$27,MATCH(D77,'Materials Master'!$A$2:$A$27,0)),IF(B77="Organics Recycling",INDEX('Materials Master'!$H$2:$H$27,MATCH(D77,'Materials Master'!$A$2:$A$27,0)),IF(B77="Cardboard Recycling",INDEX('Materials Master'!$I$2:$I$27,MATCH(D77,'Materials Master'!$A$2:$A$27,0)),IF(B77="Paper Recycling",INDEX('Materials Master'!$J$2:$J$27,MATCH(D77,'Materials Master'!$A$2:$A$27,0)),IF(B77="Terracycle",INDEX('Materials Master'!$K$2:$K$27,MATCH(D77,'Materials Master'!$A$2:$A$27,0)),"No")))))),"")</f>
        <v>No</v>
      </c>
      <c r="K77" s="0" t="str">
        <f aca="false">IFERROR(INDEX(Areas!$C$2:$C$6,MATCH(C77,Areas!$B$2:$B$6,0)),"")</f>
        <v>Rest of Building</v>
      </c>
    </row>
    <row r="78" customFormat="false" ht="15" hidden="false" customHeight="false" outlineLevel="0" collapsed="false">
      <c r="A78" s="0" t="s">
        <v>115</v>
      </c>
      <c r="B78" s="0" t="s">
        <v>105</v>
      </c>
      <c r="C78" s="0" t="s">
        <v>92</v>
      </c>
      <c r="D78" s="0" t="s">
        <v>87</v>
      </c>
      <c r="E78" s="0" t="n">
        <v>1.1</v>
      </c>
      <c r="F78" s="0" t="str">
        <f aca="false">IFERROR(INDEX('Materials Master'!$B$2:$B$27,MATCH(D78,'Materials Master'!$A$2:$A$27,0)),"")</f>
        <v>Other/Residual Materials</v>
      </c>
      <c r="G78" s="0" t="str">
        <f aca="false">IFERROR(INDEX('Materials Master'!$C$2:$C$27,MATCH(D78,'Materials Master'!$A$2:$A$27,0)),"")</f>
        <v>Other</v>
      </c>
      <c r="H78" s="0" t="str">
        <f aca="false">IFERROR(INDEX('Materials Master'!$D$2:$D$27,MATCH(D78,'Materials Master'!$A$2:$A$27,0)),"")</f>
        <v>No</v>
      </c>
      <c r="I78" s="0" t="str">
        <f aca="false">IFERROR(INDEX('Materials Master'!$E$2:$E$27,MATCH(D78,'Materials Master'!$A$2:$A$27,0)),"")</f>
        <v>No</v>
      </c>
      <c r="J78" s="0" t="str">
        <f aca="false">IFERROR(IF(B78="Trash",INDEX('Materials Master'!$F$2:$F$27,MATCH(D78,'Materials Master'!$A$2:$A$27,0)),IF(B78="GMPC Recycling",INDEX('Materials Master'!$G$2:$G$27,MATCH(D78,'Materials Master'!$A$2:$A$27,0)),IF(B78="Organics Recycling",INDEX('Materials Master'!$H$2:$H$27,MATCH(D78,'Materials Master'!$A$2:$A$27,0)),IF(B78="Cardboard Recycling",INDEX('Materials Master'!$I$2:$I$27,MATCH(D78,'Materials Master'!$A$2:$A$27,0)),IF(B78="Paper Recycling",INDEX('Materials Master'!$J$2:$J$27,MATCH(D78,'Materials Master'!$A$2:$A$27,0)),IF(B78="Terracycle",INDEX('Materials Master'!$K$2:$K$27,MATCH(D78,'Materials Master'!$A$2:$A$27,0)),"No")))))),"")</f>
        <v>No</v>
      </c>
      <c r="K78" s="0" t="str">
        <f aca="false">IFERROR(INDEX(Areas!$C$2:$C$6,MATCH(C78,Areas!$B$2:$B$6,0)),"")</f>
        <v>Rest of Building</v>
      </c>
    </row>
    <row r="79" customFormat="false" ht="15" hidden="false" customHeight="false" outlineLevel="0" collapsed="false">
      <c r="A79" s="0" t="s">
        <v>115</v>
      </c>
      <c r="B79" s="0" t="s">
        <v>105</v>
      </c>
      <c r="C79" s="0" t="s">
        <v>95</v>
      </c>
      <c r="D79" s="0" t="s">
        <v>37</v>
      </c>
      <c r="E79" s="0" t="n">
        <v>3.764375</v>
      </c>
      <c r="F79" s="0" t="str">
        <f aca="false">IFERROR(INDEX('Materials Master'!$B$2:$B$27,MATCH(D79,'Materials Master'!$A$2:$A$27,0)),"")</f>
        <v>Mixed Paper</v>
      </c>
      <c r="G79" s="0" t="str">
        <f aca="false">IFERROR(INDEX('Materials Master'!$C$2:$C$27,MATCH(D79,'Materials Master'!$A$2:$A$27,0)),"")</f>
        <v>Fibers</v>
      </c>
      <c r="H79" s="0" t="str">
        <f aca="false">IFERROR(INDEX('Materials Master'!$D$2:$D$27,MATCH(D79,'Materials Master'!$A$2:$A$27,0)),"")</f>
        <v>Yes</v>
      </c>
      <c r="I79" s="0" t="str">
        <f aca="false">IFERROR(INDEX('Materials Master'!$E$2:$E$27,MATCH(D79,'Materials Master'!$A$2:$A$27,0)),"")</f>
        <v>Yes</v>
      </c>
      <c r="J79" s="0" t="str">
        <f aca="false">IFERROR(IF(B79="Trash",INDEX('Materials Master'!$F$2:$F$27,MATCH(D79,'Materials Master'!$A$2:$A$27,0)),IF(B79="GMPC Recycling",INDEX('Materials Master'!$G$2:$G$27,MATCH(D79,'Materials Master'!$A$2:$A$27,0)),IF(B79="Organics Recycling",INDEX('Materials Master'!$H$2:$H$27,MATCH(D79,'Materials Master'!$A$2:$A$27,0)),IF(B79="Cardboard Recycling",INDEX('Materials Master'!$I$2:$I$27,MATCH(D79,'Materials Master'!$A$2:$A$27,0)),IF(B79="Paper Recycling",INDEX('Materials Master'!$J$2:$J$27,MATCH(D79,'Materials Master'!$A$2:$A$27,0)),IF(B79="Terracycle",INDEX('Materials Master'!$K$2:$K$27,MATCH(D79,'Materials Master'!$A$2:$A$27,0)),"No")))))),"")</f>
        <v>No</v>
      </c>
      <c r="K79" s="0" t="str">
        <f aca="false">IFERROR(INDEX(Areas!$C$2:$C$6,MATCH(C79,Areas!$B$2:$B$6,0)),"")</f>
        <v>BOH</v>
      </c>
    </row>
    <row r="80" customFormat="false" ht="15" hidden="false" customHeight="false" outlineLevel="0" collapsed="false">
      <c r="A80" s="0" t="s">
        <v>115</v>
      </c>
      <c r="B80" s="0" t="s">
        <v>105</v>
      </c>
      <c r="C80" s="0" t="s">
        <v>95</v>
      </c>
      <c r="D80" s="0" t="s">
        <v>41</v>
      </c>
      <c r="E80" s="0" t="n">
        <v>0.105625</v>
      </c>
      <c r="F80" s="0" t="str">
        <f aca="false">IFERROR(INDEX('Materials Master'!$B$2:$B$27,MATCH(D80,'Materials Master'!$A$2:$A$27,0)),"")</f>
        <v>Beverage Cartons</v>
      </c>
      <c r="G80" s="0" t="str">
        <f aca="false">IFERROR(INDEX('Materials Master'!$C$2:$C$27,MATCH(D80,'Materials Master'!$A$2:$A$27,0)),"")</f>
        <v>Fibers</v>
      </c>
      <c r="H80" s="0" t="str">
        <f aca="false">IFERROR(INDEX('Materials Master'!$D$2:$D$27,MATCH(D80,'Materials Master'!$A$2:$A$27,0)),"")</f>
        <v>Yes</v>
      </c>
      <c r="I80" s="0" t="str">
        <f aca="false">IFERROR(INDEX('Materials Master'!$E$2:$E$27,MATCH(D80,'Materials Master'!$A$2:$A$27,0)),"")</f>
        <v>Yes</v>
      </c>
      <c r="J80" s="0" t="str">
        <f aca="false">IFERROR(IF(B80="Trash",INDEX('Materials Master'!$F$2:$F$27,MATCH(D80,'Materials Master'!$A$2:$A$27,0)),IF(B80="GMPC Recycling",INDEX('Materials Master'!$G$2:$G$27,MATCH(D80,'Materials Master'!$A$2:$A$27,0)),IF(B80="Organics Recycling",INDEX('Materials Master'!$H$2:$H$27,MATCH(D80,'Materials Master'!$A$2:$A$27,0)),IF(B80="Cardboard Recycling",INDEX('Materials Master'!$I$2:$I$27,MATCH(D80,'Materials Master'!$A$2:$A$27,0)),IF(B80="Paper Recycling",INDEX('Materials Master'!$J$2:$J$27,MATCH(D80,'Materials Master'!$A$2:$A$27,0)),IF(B80="Terracycle",INDEX('Materials Master'!$K$2:$K$27,MATCH(D80,'Materials Master'!$A$2:$A$27,0)),"No")))))),"")</f>
        <v>No</v>
      </c>
      <c r="K80" s="0" t="str">
        <f aca="false">IFERROR(INDEX(Areas!$C$2:$C$6,MATCH(C80,Areas!$B$2:$B$6,0)),"")</f>
        <v>BOH</v>
      </c>
    </row>
    <row r="81" customFormat="false" ht="15" hidden="false" customHeight="false" outlineLevel="0" collapsed="false">
      <c r="A81" s="0" t="s">
        <v>115</v>
      </c>
      <c r="B81" s="0" t="s">
        <v>105</v>
      </c>
      <c r="C81" s="0" t="s">
        <v>95</v>
      </c>
      <c r="D81" s="0" t="s">
        <v>57</v>
      </c>
      <c r="E81" s="0" t="n">
        <v>1.4</v>
      </c>
      <c r="F81" s="0" t="str">
        <f aca="false">IFERROR(INDEX('Materials Master'!$B$2:$B$27,MATCH(D81,'Materials Master'!$A$2:$A$27,0)),"")</f>
        <v>Rigid Plastics (1-6)</v>
      </c>
      <c r="G81" s="0" t="str">
        <f aca="false">IFERROR(INDEX('Materials Master'!$C$2:$C$27,MATCH(D81,'Materials Master'!$A$2:$A$27,0)),"")</f>
        <v>Plastics</v>
      </c>
      <c r="H81" s="0" t="str">
        <f aca="false">IFERROR(INDEX('Materials Master'!$D$2:$D$27,MATCH(D81,'Materials Master'!$A$2:$A$27,0)),"")</f>
        <v>Yes</v>
      </c>
      <c r="I81" s="0" t="str">
        <f aca="false">IFERROR(INDEX('Materials Master'!$E$2:$E$27,MATCH(D81,'Materials Master'!$A$2:$A$27,0)),"")</f>
        <v>Yes</v>
      </c>
      <c r="J81" s="0" t="str">
        <f aca="false">IFERROR(IF(B81="Trash",INDEX('Materials Master'!$F$2:$F$27,MATCH(D81,'Materials Master'!$A$2:$A$27,0)),IF(B81="GMPC Recycling",INDEX('Materials Master'!$G$2:$G$27,MATCH(D81,'Materials Master'!$A$2:$A$27,0)),IF(B81="Organics Recycling",INDEX('Materials Master'!$H$2:$H$27,MATCH(D81,'Materials Master'!$A$2:$A$27,0)),IF(B81="Cardboard Recycling",INDEX('Materials Master'!$I$2:$I$27,MATCH(D81,'Materials Master'!$A$2:$A$27,0)),IF(B81="Paper Recycling",INDEX('Materials Master'!$J$2:$J$27,MATCH(D81,'Materials Master'!$A$2:$A$27,0)),IF(B81="Terracycle",INDEX('Materials Master'!$K$2:$K$27,MATCH(D81,'Materials Master'!$A$2:$A$27,0)),"No")))))),"")</f>
        <v>No</v>
      </c>
      <c r="K81" s="0" t="str">
        <f aca="false">IFERROR(INDEX(Areas!$C$2:$C$6,MATCH(C81,Areas!$B$2:$B$6,0)),"")</f>
        <v>BOH</v>
      </c>
    </row>
    <row r="82" customFormat="false" ht="15" hidden="false" customHeight="false" outlineLevel="0" collapsed="false">
      <c r="A82" s="0" t="s">
        <v>115</v>
      </c>
      <c r="B82" s="0" t="s">
        <v>105</v>
      </c>
      <c r="C82" s="0" t="s">
        <v>95</v>
      </c>
      <c r="D82" s="0" t="s">
        <v>62</v>
      </c>
      <c r="E82" s="0" t="n">
        <v>1.1</v>
      </c>
      <c r="F82" s="0" t="str">
        <f aca="false">IFERROR(INDEX('Materials Master'!$B$2:$B$27,MATCH(D82,'Materials Master'!$A$2:$A$27,0)),"")</f>
        <v>Film Plastics</v>
      </c>
      <c r="G82" s="0" t="str">
        <f aca="false">IFERROR(INDEX('Materials Master'!$C$2:$C$27,MATCH(D82,'Materials Master'!$A$2:$A$27,0)),"")</f>
        <v>Plastics</v>
      </c>
      <c r="H82" s="0" t="str">
        <f aca="false">IFERROR(INDEX('Materials Master'!$D$2:$D$27,MATCH(D82,'Materials Master'!$A$2:$A$27,0)),"")</f>
        <v>No</v>
      </c>
      <c r="I82" s="0" t="str">
        <f aca="false">IFERROR(INDEX('Materials Master'!$E$2:$E$27,MATCH(D82,'Materials Master'!$A$2:$A$27,0)),"")</f>
        <v>No</v>
      </c>
      <c r="J82" s="0" t="str">
        <f aca="false">IFERROR(IF(B82="Trash",INDEX('Materials Master'!$F$2:$F$27,MATCH(D82,'Materials Master'!$A$2:$A$27,0)),IF(B82="GMPC Recycling",INDEX('Materials Master'!$G$2:$G$27,MATCH(D82,'Materials Master'!$A$2:$A$27,0)),IF(B82="Organics Recycling",INDEX('Materials Master'!$H$2:$H$27,MATCH(D82,'Materials Master'!$A$2:$A$27,0)),IF(B82="Cardboard Recycling",INDEX('Materials Master'!$I$2:$I$27,MATCH(D82,'Materials Master'!$A$2:$A$27,0)),IF(B82="Paper Recycling",INDEX('Materials Master'!$J$2:$J$27,MATCH(D82,'Materials Master'!$A$2:$A$27,0)),IF(B82="Terracycle",INDEX('Materials Master'!$K$2:$K$27,MATCH(D82,'Materials Master'!$A$2:$A$27,0)),"No")))))),"")</f>
        <v>No</v>
      </c>
      <c r="K82" s="0" t="str">
        <f aca="false">IFERROR(INDEX(Areas!$C$2:$C$6,MATCH(C82,Areas!$B$2:$B$6,0)),"")</f>
        <v>BOH</v>
      </c>
    </row>
    <row r="83" customFormat="false" ht="15" hidden="false" customHeight="false" outlineLevel="0" collapsed="false">
      <c r="A83" s="0" t="s">
        <v>115</v>
      </c>
      <c r="B83" s="0" t="s">
        <v>105</v>
      </c>
      <c r="C83" s="0" t="s">
        <v>95</v>
      </c>
      <c r="D83" s="0" t="s">
        <v>64</v>
      </c>
      <c r="E83" s="0" t="n">
        <v>0.1</v>
      </c>
      <c r="F83" s="0" t="str">
        <f aca="false">IFERROR(INDEX('Materials Master'!$B$2:$B$27,MATCH(D83,'Materials Master'!$A$2:$A$27,0)),"")</f>
        <v>Foams</v>
      </c>
      <c r="G83" s="0" t="str">
        <f aca="false">IFERROR(INDEX('Materials Master'!$C$2:$C$27,MATCH(D83,'Materials Master'!$A$2:$A$27,0)),"")</f>
        <v>Plastics</v>
      </c>
      <c r="H83" s="0" t="str">
        <f aca="false">IFERROR(INDEX('Materials Master'!$D$2:$D$27,MATCH(D83,'Materials Master'!$A$2:$A$27,0)),"")</f>
        <v>No</v>
      </c>
      <c r="I83" s="0" t="str">
        <f aca="false">IFERROR(INDEX('Materials Master'!$E$2:$E$27,MATCH(D83,'Materials Master'!$A$2:$A$27,0)),"")</f>
        <v>No</v>
      </c>
      <c r="J83" s="0" t="str">
        <f aca="false">IFERROR(IF(B83="Trash",INDEX('Materials Master'!$F$2:$F$27,MATCH(D83,'Materials Master'!$A$2:$A$27,0)),IF(B83="GMPC Recycling",INDEX('Materials Master'!$G$2:$G$27,MATCH(D83,'Materials Master'!$A$2:$A$27,0)),IF(B83="Organics Recycling",INDEX('Materials Master'!$H$2:$H$27,MATCH(D83,'Materials Master'!$A$2:$A$27,0)),IF(B83="Cardboard Recycling",INDEX('Materials Master'!$I$2:$I$27,MATCH(D83,'Materials Master'!$A$2:$A$27,0)),IF(B83="Paper Recycling",INDEX('Materials Master'!$J$2:$J$27,MATCH(D83,'Materials Master'!$A$2:$A$27,0)),IF(B83="Terracycle",INDEX('Materials Master'!$K$2:$K$27,MATCH(D83,'Materials Master'!$A$2:$A$27,0)),"No")))))),"")</f>
        <v>No</v>
      </c>
      <c r="K83" s="0" t="str">
        <f aca="false">IFERROR(INDEX(Areas!$C$2:$C$6,MATCH(C83,Areas!$B$2:$B$6,0)),"")</f>
        <v>BOH</v>
      </c>
    </row>
    <row r="84" customFormat="false" ht="15" hidden="false" customHeight="false" outlineLevel="0" collapsed="false">
      <c r="A84" s="0" t="s">
        <v>115</v>
      </c>
      <c r="B84" s="0" t="s">
        <v>105</v>
      </c>
      <c r="C84" s="0" t="s">
        <v>95</v>
      </c>
      <c r="D84" s="0" t="s">
        <v>66</v>
      </c>
      <c r="E84" s="0" t="n">
        <v>40.5</v>
      </c>
      <c r="F84" s="0" t="str">
        <f aca="false">IFERROR(INDEX('Materials Master'!$B$2:$B$27,MATCH(D84,'Materials Master'!$A$2:$A$27,0)),"")</f>
        <v>Food Waste</v>
      </c>
      <c r="G84" s="0" t="str">
        <f aca="false">IFERROR(INDEX('Materials Master'!$C$2:$C$27,MATCH(D84,'Materials Master'!$A$2:$A$27,0)),"")</f>
        <v>Organics</v>
      </c>
      <c r="H84" s="0" t="str">
        <f aca="false">IFERROR(INDEX('Materials Master'!$D$2:$D$27,MATCH(D84,'Materials Master'!$A$2:$A$27,0)),"")</f>
        <v>Yes</v>
      </c>
      <c r="I84" s="0" t="str">
        <f aca="false">IFERROR(INDEX('Materials Master'!$E$2:$E$27,MATCH(D84,'Materials Master'!$A$2:$A$27,0)),"")</f>
        <v>Yes</v>
      </c>
      <c r="J84" s="0" t="str">
        <f aca="false">IFERROR(IF(B84="Trash",INDEX('Materials Master'!$F$2:$F$27,MATCH(D84,'Materials Master'!$A$2:$A$27,0)),IF(B84="GMPC Recycling",INDEX('Materials Master'!$G$2:$G$27,MATCH(D84,'Materials Master'!$A$2:$A$27,0)),IF(B84="Organics Recycling",INDEX('Materials Master'!$H$2:$H$27,MATCH(D84,'Materials Master'!$A$2:$A$27,0)),IF(B84="Cardboard Recycling",INDEX('Materials Master'!$I$2:$I$27,MATCH(D84,'Materials Master'!$A$2:$A$27,0)),IF(B84="Paper Recycling",INDEX('Materials Master'!$J$2:$J$27,MATCH(D84,'Materials Master'!$A$2:$A$27,0)),IF(B84="Terracycle",INDEX('Materials Master'!$K$2:$K$27,MATCH(D84,'Materials Master'!$A$2:$A$27,0)),"No")))))),"")</f>
        <v>Yes</v>
      </c>
      <c r="K84" s="0" t="str">
        <f aca="false">IFERROR(INDEX(Areas!$C$2:$C$6,MATCH(C84,Areas!$B$2:$B$6,0)),"")</f>
        <v>BOH</v>
      </c>
    </row>
    <row r="85" customFormat="false" ht="15" hidden="false" customHeight="false" outlineLevel="0" collapsed="false">
      <c r="A85" s="0" t="s">
        <v>115</v>
      </c>
      <c r="B85" s="0" t="s">
        <v>105</v>
      </c>
      <c r="C85" s="0" t="s">
        <v>95</v>
      </c>
      <c r="D85" s="0" t="s">
        <v>69</v>
      </c>
      <c r="E85" s="0" t="n">
        <v>1</v>
      </c>
      <c r="F85" s="0" t="str">
        <f aca="false">IFERROR(INDEX('Materials Master'!$B$2:$B$27,MATCH(D85,'Materials Master'!$A$2:$A$27,0)),"")</f>
        <v>Paper Fibers and Food-Soiled Paper (FSP)</v>
      </c>
      <c r="G85" s="0" t="str">
        <f aca="false">IFERROR(INDEX('Materials Master'!$C$2:$C$27,MATCH(D85,'Materials Master'!$A$2:$A$27,0)),"")</f>
        <v>Organics</v>
      </c>
      <c r="H85" s="0" t="str">
        <f aca="false">IFERROR(INDEX('Materials Master'!$D$2:$D$27,MATCH(D85,'Materials Master'!$A$2:$A$27,0)),"")</f>
        <v>No</v>
      </c>
      <c r="I85" s="0" t="str">
        <f aca="false">IFERROR(INDEX('Materials Master'!$E$2:$E$27,MATCH(D85,'Materials Master'!$A$2:$A$27,0)),"")</f>
        <v>No</v>
      </c>
      <c r="J85" s="0" t="str">
        <f aca="false">IFERROR(IF(B85="Trash",INDEX('Materials Master'!$F$2:$F$27,MATCH(D85,'Materials Master'!$A$2:$A$27,0)),IF(B85="GMPC Recycling",INDEX('Materials Master'!$G$2:$G$27,MATCH(D85,'Materials Master'!$A$2:$A$27,0)),IF(B85="Organics Recycling",INDEX('Materials Master'!$H$2:$H$27,MATCH(D85,'Materials Master'!$A$2:$A$27,0)),IF(B85="Cardboard Recycling",INDEX('Materials Master'!$I$2:$I$27,MATCH(D85,'Materials Master'!$A$2:$A$27,0)),IF(B85="Paper Recycling",INDEX('Materials Master'!$J$2:$J$27,MATCH(D85,'Materials Master'!$A$2:$A$27,0)),IF(B85="Terracycle",INDEX('Materials Master'!$K$2:$K$27,MATCH(D85,'Materials Master'!$A$2:$A$27,0)),"No")))))),"")</f>
        <v>No</v>
      </c>
      <c r="K85" s="0" t="str">
        <f aca="false">IFERROR(INDEX(Areas!$C$2:$C$6,MATCH(C85,Areas!$B$2:$B$6,0)),"")</f>
        <v>BOH</v>
      </c>
    </row>
    <row r="86" customFormat="false" ht="15" hidden="false" customHeight="false" outlineLevel="0" collapsed="false">
      <c r="A86" s="0" t="s">
        <v>115</v>
      </c>
      <c r="B86" s="0" t="s">
        <v>105</v>
      </c>
      <c r="C86" s="0" t="s">
        <v>95</v>
      </c>
      <c r="D86" s="0" t="s">
        <v>71</v>
      </c>
      <c r="E86" s="0" t="n">
        <v>1.5</v>
      </c>
      <c r="F86" s="0" t="str">
        <f aca="false">IFERROR(INDEX('Materials Master'!$B$2:$B$27,MATCH(D86,'Materials Master'!$A$2:$A$27,0)),"")</f>
        <v>Fiber-based Compostable Serviceware</v>
      </c>
      <c r="G86" s="0" t="str">
        <f aca="false">IFERROR(INDEX('Materials Master'!$C$2:$C$27,MATCH(D86,'Materials Master'!$A$2:$A$27,0)),"")</f>
        <v>Organics</v>
      </c>
      <c r="H86" s="0" t="str">
        <f aca="false">IFERROR(INDEX('Materials Master'!$D$2:$D$27,MATCH(D86,'Materials Master'!$A$2:$A$27,0)),"")</f>
        <v>No</v>
      </c>
      <c r="I86" s="0" t="str">
        <f aca="false">IFERROR(INDEX('Materials Master'!$E$2:$E$27,MATCH(D86,'Materials Master'!$A$2:$A$27,0)),"")</f>
        <v>No</v>
      </c>
      <c r="J86" s="0" t="str">
        <f aca="false">IFERROR(IF(B86="Trash",INDEX('Materials Master'!$F$2:$F$27,MATCH(D86,'Materials Master'!$A$2:$A$27,0)),IF(B86="GMPC Recycling",INDEX('Materials Master'!$G$2:$G$27,MATCH(D86,'Materials Master'!$A$2:$A$27,0)),IF(B86="Organics Recycling",INDEX('Materials Master'!$H$2:$H$27,MATCH(D86,'Materials Master'!$A$2:$A$27,0)),IF(B86="Cardboard Recycling",INDEX('Materials Master'!$I$2:$I$27,MATCH(D86,'Materials Master'!$A$2:$A$27,0)),IF(B86="Paper Recycling",INDEX('Materials Master'!$J$2:$J$27,MATCH(D86,'Materials Master'!$A$2:$A$27,0)),IF(B86="Terracycle",INDEX('Materials Master'!$K$2:$K$27,MATCH(D86,'Materials Master'!$A$2:$A$27,0)),"No")))))),"")</f>
        <v>No</v>
      </c>
      <c r="K86" s="0" t="str">
        <f aca="false">IFERROR(INDEX(Areas!$C$2:$C$6,MATCH(C86,Areas!$B$2:$B$6,0)),"")</f>
        <v>BOH</v>
      </c>
    </row>
    <row r="87" customFormat="false" ht="15" hidden="false" customHeight="false" outlineLevel="0" collapsed="false">
      <c r="A87" s="0" t="s">
        <v>115</v>
      </c>
      <c r="B87" s="0" t="s">
        <v>105</v>
      </c>
      <c r="C87" s="0" t="s">
        <v>95</v>
      </c>
      <c r="D87" s="0" t="s">
        <v>73</v>
      </c>
      <c r="E87" s="0" t="n">
        <v>1.1</v>
      </c>
      <c r="F87" s="0" t="str">
        <f aca="false">IFERROR(INDEX('Materials Master'!$B$2:$B$27,MATCH(D87,'Materials Master'!$A$2:$A$27,0)),"")</f>
        <v>PLA Compostable Serviceware</v>
      </c>
      <c r="G87" s="0" t="str">
        <f aca="false">IFERROR(INDEX('Materials Master'!$C$2:$C$27,MATCH(D87,'Materials Master'!$A$2:$A$27,0)),"")</f>
        <v>Organics</v>
      </c>
      <c r="H87" s="0" t="str">
        <f aca="false">IFERROR(INDEX('Materials Master'!$D$2:$D$27,MATCH(D87,'Materials Master'!$A$2:$A$27,0)),"")</f>
        <v>No</v>
      </c>
      <c r="I87" s="0" t="str">
        <f aca="false">IFERROR(INDEX('Materials Master'!$E$2:$E$27,MATCH(D87,'Materials Master'!$A$2:$A$27,0)),"")</f>
        <v>No</v>
      </c>
      <c r="J87" s="0" t="str">
        <f aca="false">IFERROR(IF(B87="Trash",INDEX('Materials Master'!$F$2:$F$27,MATCH(D87,'Materials Master'!$A$2:$A$27,0)),IF(B87="GMPC Recycling",INDEX('Materials Master'!$G$2:$G$27,MATCH(D87,'Materials Master'!$A$2:$A$27,0)),IF(B87="Organics Recycling",INDEX('Materials Master'!$H$2:$H$27,MATCH(D87,'Materials Master'!$A$2:$A$27,0)),IF(B87="Cardboard Recycling",INDEX('Materials Master'!$I$2:$I$27,MATCH(D87,'Materials Master'!$A$2:$A$27,0)),IF(B87="Paper Recycling",INDEX('Materials Master'!$J$2:$J$27,MATCH(D87,'Materials Master'!$A$2:$A$27,0)),IF(B87="Terracycle",INDEX('Materials Master'!$K$2:$K$27,MATCH(D87,'Materials Master'!$A$2:$A$27,0)),"No")))))),"")</f>
        <v>No</v>
      </c>
      <c r="K87" s="0" t="str">
        <f aca="false">IFERROR(INDEX(Areas!$C$2:$C$6,MATCH(C87,Areas!$B$2:$B$6,0)),"")</f>
        <v>BOH</v>
      </c>
    </row>
    <row r="88" customFormat="false" ht="15" hidden="false" customHeight="false" outlineLevel="0" collapsed="false">
      <c r="A88" s="0" t="s">
        <v>115</v>
      </c>
      <c r="B88" s="0" t="s">
        <v>105</v>
      </c>
      <c r="C88" s="0" t="s">
        <v>95</v>
      </c>
      <c r="D88" s="0" t="s">
        <v>84</v>
      </c>
      <c r="E88" s="0" t="n">
        <v>0.099375</v>
      </c>
      <c r="F88" s="0" t="str">
        <f aca="false">IFERROR(INDEX('Materials Master'!$B$2:$B$27,MATCH(D88,'Materials Master'!$A$2:$A$27,0)),"")</f>
        <v>Snack Wrappers (Composites)</v>
      </c>
      <c r="G88" s="0" t="str">
        <f aca="false">IFERROR(INDEX('Materials Master'!$C$2:$C$27,MATCH(D88,'Materials Master'!$A$2:$A$27,0)),"")</f>
        <v>Other</v>
      </c>
      <c r="H88" s="0" t="str">
        <f aca="false">IFERROR(INDEX('Materials Master'!$D$2:$D$27,MATCH(D88,'Materials Master'!$A$2:$A$27,0)),"")</f>
        <v>No</v>
      </c>
      <c r="I88" s="0" t="str">
        <f aca="false">IFERROR(INDEX('Materials Master'!$E$2:$E$27,MATCH(D88,'Materials Master'!$A$2:$A$27,0)),"")</f>
        <v>Yes</v>
      </c>
      <c r="J88" s="0" t="str">
        <f aca="false">IFERROR(IF(B88="Trash",INDEX('Materials Master'!$F$2:$F$27,MATCH(D88,'Materials Master'!$A$2:$A$27,0)),IF(B88="GMPC Recycling",INDEX('Materials Master'!$G$2:$G$27,MATCH(D88,'Materials Master'!$A$2:$A$27,0)),IF(B88="Organics Recycling",INDEX('Materials Master'!$H$2:$H$27,MATCH(D88,'Materials Master'!$A$2:$A$27,0)),IF(B88="Cardboard Recycling",INDEX('Materials Master'!$I$2:$I$27,MATCH(D88,'Materials Master'!$A$2:$A$27,0)),IF(B88="Paper Recycling",INDEX('Materials Master'!$J$2:$J$27,MATCH(D88,'Materials Master'!$A$2:$A$27,0)),IF(B88="Terracycle",INDEX('Materials Master'!$K$2:$K$27,MATCH(D88,'Materials Master'!$A$2:$A$27,0)),"No")))))),"")</f>
        <v>No</v>
      </c>
      <c r="K88" s="0" t="str">
        <f aca="false">IFERROR(INDEX(Areas!$C$2:$C$6,MATCH(C88,Areas!$B$2:$B$6,0)),"")</f>
        <v>BOH</v>
      </c>
    </row>
    <row r="89" customFormat="false" ht="15" hidden="false" customHeight="false" outlineLevel="0" collapsed="false">
      <c r="A89" s="0" t="s">
        <v>115</v>
      </c>
      <c r="B89" s="0" t="s">
        <v>105</v>
      </c>
      <c r="C89" s="0" t="s">
        <v>95</v>
      </c>
      <c r="D89" s="0" t="s">
        <v>87</v>
      </c>
      <c r="E89" s="0" t="n">
        <v>2.4</v>
      </c>
      <c r="F89" s="0" t="str">
        <f aca="false">IFERROR(INDEX('Materials Master'!$B$2:$B$27,MATCH(D89,'Materials Master'!$A$2:$A$27,0)),"")</f>
        <v>Other/Residual Materials</v>
      </c>
      <c r="G89" s="0" t="str">
        <f aca="false">IFERROR(INDEX('Materials Master'!$C$2:$C$27,MATCH(D89,'Materials Master'!$A$2:$A$27,0)),"")</f>
        <v>Other</v>
      </c>
      <c r="H89" s="0" t="str">
        <f aca="false">IFERROR(INDEX('Materials Master'!$D$2:$D$27,MATCH(D89,'Materials Master'!$A$2:$A$27,0)),"")</f>
        <v>No</v>
      </c>
      <c r="I89" s="0" t="str">
        <f aca="false">IFERROR(INDEX('Materials Master'!$E$2:$E$27,MATCH(D89,'Materials Master'!$A$2:$A$27,0)),"")</f>
        <v>No</v>
      </c>
      <c r="J89" s="0" t="str">
        <f aca="false">IFERROR(IF(B89="Trash",INDEX('Materials Master'!$F$2:$F$27,MATCH(D89,'Materials Master'!$A$2:$A$27,0)),IF(B89="GMPC Recycling",INDEX('Materials Master'!$G$2:$G$27,MATCH(D89,'Materials Master'!$A$2:$A$27,0)),IF(B89="Organics Recycling",INDEX('Materials Master'!$H$2:$H$27,MATCH(D89,'Materials Master'!$A$2:$A$27,0)),IF(B89="Cardboard Recycling",INDEX('Materials Master'!$I$2:$I$27,MATCH(D89,'Materials Master'!$A$2:$A$27,0)),IF(B89="Paper Recycling",INDEX('Materials Master'!$J$2:$J$27,MATCH(D89,'Materials Master'!$A$2:$A$27,0)),IF(B89="Terracycle",INDEX('Materials Master'!$K$2:$K$27,MATCH(D89,'Materials Master'!$A$2:$A$27,0)),"No")))))),"")</f>
        <v>No</v>
      </c>
      <c r="K89" s="0" t="str">
        <f aca="false">IFERROR(INDEX(Areas!$C$2:$C$6,MATCH(C89,Areas!$B$2:$B$6,0)),"")</f>
        <v>BOH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109</v>
      </c>
      <c r="B1" s="0" t="s">
        <v>110</v>
      </c>
      <c r="C1" s="0" t="s">
        <v>111</v>
      </c>
      <c r="D1" s="0" t="s">
        <v>116</v>
      </c>
      <c r="E1" s="0" t="s">
        <v>112</v>
      </c>
      <c r="F1" s="0" t="s">
        <v>114</v>
      </c>
    </row>
    <row r="2" customFormat="false" ht="15" hidden="false" customHeight="false" outlineLevel="0" collapsed="false">
      <c r="A2" s="0" t="s">
        <v>115</v>
      </c>
      <c r="B2" s="0" t="s">
        <v>103</v>
      </c>
      <c r="C2" s="0" t="s">
        <v>92</v>
      </c>
      <c r="D2" s="0" t="n">
        <v>1</v>
      </c>
      <c r="E2" s="0" t="n">
        <v>3.3</v>
      </c>
    </row>
    <row r="3" customFormat="false" ht="15" hidden="false" customHeight="false" outlineLevel="0" collapsed="false">
      <c r="A3" s="0" t="s">
        <v>115</v>
      </c>
      <c r="B3" s="0" t="s">
        <v>103</v>
      </c>
      <c r="C3" s="0" t="s">
        <v>92</v>
      </c>
      <c r="D3" s="0" t="n">
        <v>2</v>
      </c>
      <c r="E3" s="0" t="n">
        <v>8.8</v>
      </c>
    </row>
    <row r="4" customFormat="false" ht="15" hidden="false" customHeight="false" outlineLevel="0" collapsed="false">
      <c r="A4" s="0" t="s">
        <v>115</v>
      </c>
      <c r="B4" s="0" t="s">
        <v>103</v>
      </c>
      <c r="C4" s="0" t="s">
        <v>92</v>
      </c>
      <c r="D4" s="0" t="n">
        <v>3</v>
      </c>
      <c r="E4" s="0" t="n">
        <v>3.4</v>
      </c>
    </row>
    <row r="5" customFormat="false" ht="15" hidden="false" customHeight="false" outlineLevel="0" collapsed="false">
      <c r="A5" s="0" t="s">
        <v>115</v>
      </c>
      <c r="B5" s="0" t="s">
        <v>103</v>
      </c>
      <c r="C5" s="0" t="s">
        <v>92</v>
      </c>
      <c r="D5" s="0" t="n">
        <v>4</v>
      </c>
      <c r="E5" s="0" t="n">
        <v>16.5</v>
      </c>
    </row>
    <row r="6" customFormat="false" ht="15" hidden="false" customHeight="false" outlineLevel="0" collapsed="false">
      <c r="A6" s="0" t="s">
        <v>115</v>
      </c>
      <c r="B6" s="0" t="s">
        <v>103</v>
      </c>
      <c r="C6" s="0" t="s">
        <v>92</v>
      </c>
      <c r="D6" s="0" t="n">
        <v>5</v>
      </c>
      <c r="E6" s="0" t="n">
        <v>9.5</v>
      </c>
    </row>
    <row r="7" customFormat="false" ht="15" hidden="false" customHeight="false" outlineLevel="0" collapsed="false">
      <c r="A7" s="0" t="s">
        <v>115</v>
      </c>
      <c r="B7" s="0" t="s">
        <v>103</v>
      </c>
      <c r="C7" s="0" t="s">
        <v>92</v>
      </c>
      <c r="D7" s="0" t="n">
        <v>6</v>
      </c>
      <c r="E7" s="0" t="n">
        <v>24.4</v>
      </c>
    </row>
    <row r="8" customFormat="false" ht="15" hidden="false" customHeight="false" outlineLevel="0" collapsed="false">
      <c r="A8" s="0" t="s">
        <v>115</v>
      </c>
      <c r="B8" s="0" t="s">
        <v>103</v>
      </c>
      <c r="C8" s="0" t="s">
        <v>92</v>
      </c>
      <c r="D8" s="0" t="n">
        <v>7</v>
      </c>
      <c r="E8" s="0" t="n">
        <v>17.9</v>
      </c>
    </row>
    <row r="9" customFormat="false" ht="15" hidden="false" customHeight="false" outlineLevel="0" collapsed="false">
      <c r="A9" s="0" t="s">
        <v>115</v>
      </c>
      <c r="B9" s="0" t="s">
        <v>103</v>
      </c>
      <c r="C9" s="0" t="s">
        <v>92</v>
      </c>
      <c r="D9" s="0" t="n">
        <v>8</v>
      </c>
      <c r="E9" s="0" t="n">
        <v>15</v>
      </c>
    </row>
    <row r="10" customFormat="false" ht="15" hidden="false" customHeight="false" outlineLevel="0" collapsed="false">
      <c r="A10" s="0" t="s">
        <v>115</v>
      </c>
      <c r="B10" s="0" t="s">
        <v>103</v>
      </c>
      <c r="C10" s="0" t="s">
        <v>92</v>
      </c>
      <c r="D10" s="0" t="n">
        <v>9</v>
      </c>
      <c r="E10" s="0" t="n">
        <v>11.2</v>
      </c>
    </row>
    <row r="11" customFormat="false" ht="15" hidden="false" customHeight="false" outlineLevel="0" collapsed="false">
      <c r="A11" s="0" t="s">
        <v>115</v>
      </c>
      <c r="B11" s="0" t="s">
        <v>103</v>
      </c>
      <c r="C11" s="0" t="s">
        <v>92</v>
      </c>
      <c r="D11" s="0" t="n">
        <v>10</v>
      </c>
      <c r="E11" s="0" t="n">
        <v>3</v>
      </c>
    </row>
    <row r="12" customFormat="false" ht="15" hidden="false" customHeight="false" outlineLevel="0" collapsed="false">
      <c r="A12" s="0" t="s">
        <v>115</v>
      </c>
      <c r="B12" s="0" t="s">
        <v>103</v>
      </c>
      <c r="C12" s="0" t="s">
        <v>92</v>
      </c>
      <c r="D12" s="0" t="n">
        <v>11</v>
      </c>
      <c r="E12" s="0" t="n">
        <v>11.8</v>
      </c>
    </row>
    <row r="13" customFormat="false" ht="15" hidden="false" customHeight="false" outlineLevel="0" collapsed="false">
      <c r="A13" s="0" t="s">
        <v>115</v>
      </c>
      <c r="B13" s="0" t="s">
        <v>103</v>
      </c>
      <c r="C13" s="0" t="s">
        <v>92</v>
      </c>
      <c r="D13" s="0" t="n">
        <v>12</v>
      </c>
      <c r="E13" s="0" t="n">
        <v>16.4</v>
      </c>
    </row>
    <row r="14" customFormat="false" ht="15" hidden="false" customHeight="false" outlineLevel="0" collapsed="false">
      <c r="A14" s="0" t="s">
        <v>115</v>
      </c>
      <c r="B14" s="0" t="s">
        <v>103</v>
      </c>
      <c r="C14" s="0" t="s">
        <v>92</v>
      </c>
      <c r="D14" s="0" t="n">
        <v>13</v>
      </c>
      <c r="E14" s="0" t="n">
        <v>7.9</v>
      </c>
    </row>
    <row r="15" customFormat="false" ht="15" hidden="false" customHeight="false" outlineLevel="0" collapsed="false">
      <c r="A15" s="0" t="s">
        <v>115</v>
      </c>
      <c r="B15" s="0" t="s">
        <v>103</v>
      </c>
      <c r="C15" s="0" t="s">
        <v>92</v>
      </c>
      <c r="D15" s="0" t="n">
        <v>14</v>
      </c>
      <c r="E15" s="0" t="n">
        <v>24.1</v>
      </c>
    </row>
    <row r="16" customFormat="false" ht="15" hidden="false" customHeight="false" outlineLevel="0" collapsed="false">
      <c r="A16" s="0" t="s">
        <v>115</v>
      </c>
      <c r="B16" s="0" t="s">
        <v>103</v>
      </c>
      <c r="C16" s="0" t="s">
        <v>92</v>
      </c>
      <c r="D16" s="0" t="n">
        <v>15</v>
      </c>
      <c r="E16" s="0" t="n">
        <v>19.6</v>
      </c>
    </row>
    <row r="17" customFormat="false" ht="15" hidden="false" customHeight="false" outlineLevel="0" collapsed="false">
      <c r="A17" s="0" t="s">
        <v>115</v>
      </c>
      <c r="B17" s="0" t="s">
        <v>103</v>
      </c>
      <c r="C17" s="0" t="s">
        <v>92</v>
      </c>
      <c r="D17" s="0" t="n">
        <v>16</v>
      </c>
      <c r="E17" s="0" t="n">
        <v>26.6</v>
      </c>
    </row>
    <row r="18" customFormat="false" ht="15" hidden="false" customHeight="false" outlineLevel="0" collapsed="false">
      <c r="A18" s="0" t="s">
        <v>115</v>
      </c>
      <c r="B18" s="0" t="s">
        <v>103</v>
      </c>
      <c r="C18" s="0" t="s">
        <v>92</v>
      </c>
      <c r="D18" s="0" t="n">
        <v>17</v>
      </c>
      <c r="E18" s="0" t="n">
        <v>15.3</v>
      </c>
    </row>
    <row r="19" customFormat="false" ht="15" hidden="false" customHeight="false" outlineLevel="0" collapsed="false">
      <c r="A19" s="0" t="s">
        <v>115</v>
      </c>
      <c r="B19" s="0" t="s">
        <v>103</v>
      </c>
      <c r="C19" s="0" t="s">
        <v>92</v>
      </c>
      <c r="D19" s="0" t="n">
        <v>18</v>
      </c>
      <c r="E19" s="0" t="n">
        <v>23.9</v>
      </c>
    </row>
    <row r="20" customFormat="false" ht="15" hidden="false" customHeight="false" outlineLevel="0" collapsed="false">
      <c r="A20" s="0" t="s">
        <v>115</v>
      </c>
      <c r="B20" s="0" t="s">
        <v>103</v>
      </c>
      <c r="C20" s="0" t="s">
        <v>92</v>
      </c>
      <c r="D20" s="0" t="n">
        <v>19</v>
      </c>
      <c r="E20" s="0" t="n">
        <v>17.4</v>
      </c>
    </row>
    <row r="21" customFormat="false" ht="15" hidden="false" customHeight="false" outlineLevel="0" collapsed="false">
      <c r="A21" s="0" t="s">
        <v>115</v>
      </c>
      <c r="B21" s="0" t="s">
        <v>103</v>
      </c>
      <c r="C21" s="0" t="s">
        <v>92</v>
      </c>
      <c r="D21" s="0" t="n">
        <v>20</v>
      </c>
      <c r="E21" s="0" t="n">
        <v>13.9</v>
      </c>
    </row>
    <row r="22" customFormat="false" ht="15" hidden="false" customHeight="false" outlineLevel="0" collapsed="false">
      <c r="A22" s="0" t="s">
        <v>115</v>
      </c>
      <c r="B22" s="0" t="s">
        <v>103</v>
      </c>
      <c r="C22" s="0" t="s">
        <v>92</v>
      </c>
      <c r="D22" s="0" t="n">
        <v>21</v>
      </c>
      <c r="E22" s="0" t="n">
        <v>6.4</v>
      </c>
    </row>
    <row r="23" customFormat="false" ht="15" hidden="false" customHeight="false" outlineLevel="0" collapsed="false">
      <c r="A23" s="0" t="s">
        <v>115</v>
      </c>
      <c r="B23" s="0" t="s">
        <v>103</v>
      </c>
      <c r="C23" s="0" t="s">
        <v>92</v>
      </c>
      <c r="D23" s="0" t="n">
        <v>22</v>
      </c>
      <c r="E23" s="0" t="n">
        <v>13</v>
      </c>
    </row>
    <row r="24" customFormat="false" ht="15" hidden="false" customHeight="false" outlineLevel="0" collapsed="false">
      <c r="A24" s="0" t="s">
        <v>115</v>
      </c>
      <c r="B24" s="0" t="s">
        <v>103</v>
      </c>
      <c r="C24" s="0" t="s">
        <v>92</v>
      </c>
      <c r="D24" s="0" t="n">
        <v>23</v>
      </c>
      <c r="E24" s="0" t="n">
        <v>9.6</v>
      </c>
    </row>
    <row r="25" customFormat="false" ht="15" hidden="false" customHeight="false" outlineLevel="0" collapsed="false">
      <c r="A25" s="0" t="s">
        <v>115</v>
      </c>
      <c r="B25" s="0" t="s">
        <v>103</v>
      </c>
      <c r="C25" s="0" t="s">
        <v>92</v>
      </c>
      <c r="D25" s="0" t="n">
        <v>24</v>
      </c>
      <c r="E25" s="0" t="n">
        <v>5.4</v>
      </c>
    </row>
    <row r="26" customFormat="false" ht="15" hidden="false" customHeight="false" outlineLevel="0" collapsed="false">
      <c r="A26" s="0" t="s">
        <v>115</v>
      </c>
      <c r="B26" s="0" t="s">
        <v>103</v>
      </c>
      <c r="C26" s="0" t="s">
        <v>92</v>
      </c>
      <c r="D26" s="0" t="n">
        <v>25</v>
      </c>
      <c r="E26" s="0" t="n">
        <v>2.6</v>
      </c>
    </row>
    <row r="27" customFormat="false" ht="15" hidden="false" customHeight="false" outlineLevel="0" collapsed="false">
      <c r="A27" s="0" t="s">
        <v>115</v>
      </c>
      <c r="B27" s="0" t="s">
        <v>103</v>
      </c>
      <c r="C27" s="0" t="s">
        <v>92</v>
      </c>
      <c r="D27" s="0" t="n">
        <v>26</v>
      </c>
      <c r="E27" s="0" t="n">
        <v>23.2</v>
      </c>
    </row>
    <row r="28" customFormat="false" ht="15" hidden="false" customHeight="false" outlineLevel="0" collapsed="false">
      <c r="A28" s="0" t="s">
        <v>115</v>
      </c>
      <c r="B28" s="0" t="s">
        <v>103</v>
      </c>
      <c r="C28" s="0" t="s">
        <v>92</v>
      </c>
      <c r="D28" s="0" t="n">
        <v>27</v>
      </c>
      <c r="E28" s="0" t="n">
        <v>30.5</v>
      </c>
    </row>
    <row r="29" customFormat="false" ht="15" hidden="false" customHeight="false" outlineLevel="0" collapsed="false">
      <c r="A29" s="0" t="s">
        <v>115</v>
      </c>
      <c r="B29" s="0" t="s">
        <v>103</v>
      </c>
      <c r="C29" s="0" t="s">
        <v>92</v>
      </c>
      <c r="D29" s="0" t="n">
        <v>28</v>
      </c>
      <c r="E29" s="0" t="n">
        <v>11.3</v>
      </c>
    </row>
    <row r="30" customFormat="false" ht="15" hidden="false" customHeight="false" outlineLevel="0" collapsed="false">
      <c r="A30" s="0" t="s">
        <v>115</v>
      </c>
      <c r="B30" s="0" t="s">
        <v>103</v>
      </c>
      <c r="C30" s="0" t="s">
        <v>92</v>
      </c>
      <c r="D30" s="0" t="n">
        <v>29</v>
      </c>
      <c r="E30" s="0" t="n">
        <v>1.5</v>
      </c>
    </row>
    <row r="31" customFormat="false" ht="15" hidden="false" customHeight="false" outlineLevel="0" collapsed="false">
      <c r="A31" s="0" t="s">
        <v>115</v>
      </c>
      <c r="B31" s="0" t="s">
        <v>103</v>
      </c>
      <c r="C31" s="0" t="s">
        <v>92</v>
      </c>
      <c r="D31" s="0" t="n">
        <v>30</v>
      </c>
      <c r="E31" s="0" t="n">
        <v>17.6</v>
      </c>
    </row>
    <row r="32" customFormat="false" ht="15" hidden="false" customHeight="false" outlineLevel="0" collapsed="false">
      <c r="A32" s="0" t="s">
        <v>115</v>
      </c>
      <c r="B32" s="0" t="s">
        <v>103</v>
      </c>
      <c r="C32" s="0" t="s">
        <v>92</v>
      </c>
      <c r="D32" s="0" t="n">
        <v>31</v>
      </c>
      <c r="E32" s="0" t="n">
        <v>15.8</v>
      </c>
    </row>
    <row r="33" customFormat="false" ht="15" hidden="false" customHeight="false" outlineLevel="0" collapsed="false">
      <c r="A33" s="0" t="s">
        <v>115</v>
      </c>
      <c r="B33" s="0" t="s">
        <v>103</v>
      </c>
      <c r="C33" s="0" t="s">
        <v>92</v>
      </c>
      <c r="D33" s="0" t="n">
        <v>32</v>
      </c>
      <c r="E33" s="0" t="n">
        <v>6.7</v>
      </c>
    </row>
    <row r="34" customFormat="false" ht="15" hidden="false" customHeight="false" outlineLevel="0" collapsed="false">
      <c r="A34" s="0" t="s">
        <v>115</v>
      </c>
      <c r="B34" s="0" t="s">
        <v>103</v>
      </c>
      <c r="C34" s="0" t="s">
        <v>92</v>
      </c>
      <c r="D34" s="0" t="n">
        <v>33</v>
      </c>
      <c r="E34" s="0" t="n">
        <v>23.6</v>
      </c>
    </row>
    <row r="35" customFormat="false" ht="15" hidden="false" customHeight="false" outlineLevel="0" collapsed="false">
      <c r="A35" s="0" t="s">
        <v>115</v>
      </c>
      <c r="B35" s="0" t="s">
        <v>103</v>
      </c>
      <c r="C35" s="0" t="s">
        <v>92</v>
      </c>
      <c r="D35" s="0" t="n">
        <v>34</v>
      </c>
      <c r="E35" s="0" t="n">
        <v>18.3</v>
      </c>
    </row>
    <row r="36" customFormat="false" ht="15" hidden="false" customHeight="false" outlineLevel="0" collapsed="false">
      <c r="A36" s="0" t="s">
        <v>115</v>
      </c>
      <c r="B36" s="0" t="s">
        <v>103</v>
      </c>
      <c r="C36" s="0" t="s">
        <v>92</v>
      </c>
      <c r="D36" s="0" t="n">
        <v>35</v>
      </c>
      <c r="E36" s="0" t="n">
        <v>8.7</v>
      </c>
    </row>
    <row r="37" customFormat="false" ht="15" hidden="false" customHeight="false" outlineLevel="0" collapsed="false">
      <c r="A37" s="0" t="s">
        <v>115</v>
      </c>
      <c r="B37" s="0" t="s">
        <v>103</v>
      </c>
      <c r="C37" s="0" t="s">
        <v>92</v>
      </c>
      <c r="D37" s="0" t="n">
        <v>36</v>
      </c>
      <c r="E37" s="0" t="n">
        <v>0.8</v>
      </c>
    </row>
    <row r="38" customFormat="false" ht="15" hidden="false" customHeight="false" outlineLevel="0" collapsed="false">
      <c r="A38" s="0" t="s">
        <v>115</v>
      </c>
      <c r="B38" s="0" t="s">
        <v>103</v>
      </c>
      <c r="C38" s="0" t="s">
        <v>92</v>
      </c>
      <c r="D38" s="0" t="n">
        <v>37</v>
      </c>
      <c r="E38" s="0" t="n">
        <v>17.3</v>
      </c>
    </row>
    <row r="39" customFormat="false" ht="15" hidden="false" customHeight="false" outlineLevel="0" collapsed="false">
      <c r="A39" s="0" t="s">
        <v>115</v>
      </c>
      <c r="B39" s="0" t="s">
        <v>103</v>
      </c>
      <c r="C39" s="0" t="s">
        <v>92</v>
      </c>
      <c r="D39" s="0" t="n">
        <v>38</v>
      </c>
      <c r="E39" s="0" t="n">
        <v>21.2</v>
      </c>
    </row>
    <row r="40" customFormat="false" ht="15" hidden="false" customHeight="false" outlineLevel="0" collapsed="false">
      <c r="A40" s="0" t="s">
        <v>115</v>
      </c>
      <c r="B40" s="0" t="s">
        <v>103</v>
      </c>
      <c r="C40" s="0" t="s">
        <v>92</v>
      </c>
      <c r="D40" s="0" t="n">
        <v>39</v>
      </c>
      <c r="E40" s="0" t="n">
        <v>12.1</v>
      </c>
    </row>
    <row r="41" customFormat="false" ht="15" hidden="false" customHeight="false" outlineLevel="0" collapsed="false">
      <c r="A41" s="0" t="s">
        <v>115</v>
      </c>
      <c r="B41" s="0" t="s">
        <v>103</v>
      </c>
      <c r="C41" s="0" t="s">
        <v>92</v>
      </c>
      <c r="D41" s="0" t="n">
        <v>40</v>
      </c>
      <c r="E41" s="0" t="n">
        <v>9.4</v>
      </c>
    </row>
    <row r="42" customFormat="false" ht="15" hidden="false" customHeight="false" outlineLevel="0" collapsed="false">
      <c r="A42" s="0" t="s">
        <v>115</v>
      </c>
      <c r="B42" s="0" t="s">
        <v>103</v>
      </c>
      <c r="C42" s="0" t="s">
        <v>92</v>
      </c>
      <c r="D42" s="0" t="n">
        <v>41</v>
      </c>
      <c r="E42" s="0" t="n">
        <v>25.9</v>
      </c>
    </row>
    <row r="43" customFormat="false" ht="15" hidden="false" customHeight="false" outlineLevel="0" collapsed="false">
      <c r="A43" s="0" t="s">
        <v>115</v>
      </c>
      <c r="B43" s="0" t="s">
        <v>103</v>
      </c>
      <c r="C43" s="0" t="s">
        <v>92</v>
      </c>
      <c r="D43" s="0" t="n">
        <v>42</v>
      </c>
      <c r="E43" s="0" t="n">
        <v>22.4</v>
      </c>
    </row>
    <row r="44" customFormat="false" ht="15" hidden="false" customHeight="false" outlineLevel="0" collapsed="false">
      <c r="A44" s="0" t="s">
        <v>115</v>
      </c>
      <c r="B44" s="0" t="s">
        <v>103</v>
      </c>
      <c r="C44" s="0" t="s">
        <v>92</v>
      </c>
      <c r="D44" s="0" t="n">
        <v>43</v>
      </c>
      <c r="E44" s="0" t="n">
        <v>32.3</v>
      </c>
    </row>
    <row r="45" customFormat="false" ht="15" hidden="false" customHeight="false" outlineLevel="0" collapsed="false">
      <c r="A45" s="0" t="s">
        <v>115</v>
      </c>
      <c r="B45" s="0" t="s">
        <v>103</v>
      </c>
      <c r="C45" s="0" t="s">
        <v>92</v>
      </c>
      <c r="D45" s="0" t="n">
        <v>44</v>
      </c>
      <c r="E45" s="0" t="n">
        <v>6.6</v>
      </c>
    </row>
    <row r="46" customFormat="false" ht="15" hidden="false" customHeight="false" outlineLevel="0" collapsed="false">
      <c r="A46" s="0" t="s">
        <v>115</v>
      </c>
      <c r="B46" s="0" t="s">
        <v>103</v>
      </c>
      <c r="C46" s="0" t="s">
        <v>92</v>
      </c>
      <c r="D46" s="0" t="n">
        <v>45</v>
      </c>
      <c r="E46" s="0" t="n">
        <v>10.7</v>
      </c>
    </row>
    <row r="47" customFormat="false" ht="15" hidden="false" customHeight="false" outlineLevel="0" collapsed="false">
      <c r="A47" s="0" t="s">
        <v>115</v>
      </c>
      <c r="B47" s="0" t="s">
        <v>103</v>
      </c>
      <c r="C47" s="0" t="s">
        <v>92</v>
      </c>
      <c r="D47" s="0" t="n">
        <v>46</v>
      </c>
      <c r="E47" s="0" t="n">
        <v>19.8</v>
      </c>
    </row>
    <row r="48" customFormat="false" ht="15" hidden="false" customHeight="false" outlineLevel="0" collapsed="false">
      <c r="A48" s="0" t="s">
        <v>115</v>
      </c>
      <c r="B48" s="0" t="s">
        <v>103</v>
      </c>
      <c r="C48" s="0" t="s">
        <v>92</v>
      </c>
      <c r="D48" s="0" t="n">
        <v>47</v>
      </c>
      <c r="E48" s="0" t="n">
        <v>20.3</v>
      </c>
    </row>
    <row r="49" customFormat="false" ht="15" hidden="false" customHeight="false" outlineLevel="0" collapsed="false">
      <c r="A49" s="0" t="s">
        <v>115</v>
      </c>
      <c r="B49" s="0" t="s">
        <v>103</v>
      </c>
      <c r="C49" s="0" t="s">
        <v>92</v>
      </c>
      <c r="D49" s="0" t="n">
        <v>48</v>
      </c>
      <c r="E49" s="0" t="n">
        <v>5.4</v>
      </c>
    </row>
    <row r="50" customFormat="false" ht="15" hidden="false" customHeight="false" outlineLevel="0" collapsed="false">
      <c r="A50" s="0" t="s">
        <v>115</v>
      </c>
      <c r="B50" s="0" t="s">
        <v>103</v>
      </c>
      <c r="C50" s="0" t="s">
        <v>92</v>
      </c>
      <c r="D50" s="0" t="n">
        <v>49</v>
      </c>
      <c r="E50" s="0" t="n">
        <v>1.1</v>
      </c>
    </row>
    <row r="51" customFormat="false" ht="15" hidden="false" customHeight="false" outlineLevel="0" collapsed="false">
      <c r="A51" s="0" t="s">
        <v>115</v>
      </c>
      <c r="B51" s="0" t="s">
        <v>104</v>
      </c>
      <c r="C51" s="0" t="s">
        <v>92</v>
      </c>
      <c r="D51" s="0" t="n">
        <v>1</v>
      </c>
      <c r="E51" s="0" t="n">
        <v>13</v>
      </c>
    </row>
    <row r="52" customFormat="false" ht="15" hidden="false" customHeight="false" outlineLevel="0" collapsed="false">
      <c r="A52" s="0" t="s">
        <v>115</v>
      </c>
      <c r="B52" s="0" t="s">
        <v>104</v>
      </c>
      <c r="C52" s="0" t="s">
        <v>92</v>
      </c>
      <c r="D52" s="0" t="n">
        <v>2</v>
      </c>
      <c r="E52" s="0" t="n">
        <v>21.9</v>
      </c>
    </row>
    <row r="53" customFormat="false" ht="15" hidden="false" customHeight="false" outlineLevel="0" collapsed="false">
      <c r="A53" s="0" t="s">
        <v>115</v>
      </c>
      <c r="B53" s="0" t="s">
        <v>104</v>
      </c>
      <c r="C53" s="0" t="s">
        <v>92</v>
      </c>
      <c r="D53" s="0" t="n">
        <v>3</v>
      </c>
      <c r="E53" s="0" t="n">
        <v>0.7</v>
      </c>
    </row>
    <row r="54" customFormat="false" ht="15" hidden="false" customHeight="false" outlineLevel="0" collapsed="false">
      <c r="A54" s="0" t="s">
        <v>115</v>
      </c>
      <c r="B54" s="0" t="s">
        <v>104</v>
      </c>
      <c r="C54" s="0" t="s">
        <v>92</v>
      </c>
      <c r="D54" s="0" t="n">
        <v>4</v>
      </c>
      <c r="E54" s="0" t="n">
        <v>0.8</v>
      </c>
    </row>
    <row r="55" customFormat="false" ht="15" hidden="false" customHeight="false" outlineLevel="0" collapsed="false">
      <c r="A55" s="0" t="s">
        <v>115</v>
      </c>
      <c r="B55" s="0" t="s">
        <v>104</v>
      </c>
      <c r="C55" s="0" t="s">
        <v>92</v>
      </c>
      <c r="D55" s="0" t="n">
        <v>5</v>
      </c>
      <c r="E55" s="0" t="n">
        <v>4</v>
      </c>
    </row>
    <row r="56" customFormat="false" ht="15" hidden="false" customHeight="false" outlineLevel="0" collapsed="false">
      <c r="A56" s="0" t="s">
        <v>115</v>
      </c>
      <c r="B56" s="0" t="s">
        <v>105</v>
      </c>
      <c r="C56" s="0" t="s">
        <v>92</v>
      </c>
      <c r="D56" s="0" t="n">
        <v>1</v>
      </c>
      <c r="E56" s="0" t="n">
        <v>17.6</v>
      </c>
    </row>
    <row r="57" customFormat="false" ht="15" hidden="false" customHeight="false" outlineLevel="0" collapsed="false">
      <c r="A57" s="0" t="s">
        <v>115</v>
      </c>
      <c r="B57" s="0" t="s">
        <v>105</v>
      </c>
      <c r="C57" s="0" t="s">
        <v>92</v>
      </c>
      <c r="D57" s="0" t="n">
        <v>2</v>
      </c>
      <c r="E57" s="0" t="n">
        <v>18.4</v>
      </c>
    </row>
    <row r="58" customFormat="false" ht="15" hidden="false" customHeight="false" outlineLevel="0" collapsed="false">
      <c r="A58" s="0" t="s">
        <v>115</v>
      </c>
      <c r="B58" s="0" t="s">
        <v>105</v>
      </c>
      <c r="C58" s="0" t="s">
        <v>92</v>
      </c>
      <c r="D58" s="0" t="n">
        <v>3</v>
      </c>
      <c r="E58" s="0" t="n">
        <v>11.7</v>
      </c>
    </row>
    <row r="59" customFormat="false" ht="15" hidden="false" customHeight="false" outlineLevel="0" collapsed="false">
      <c r="A59" s="0" t="s">
        <v>115</v>
      </c>
      <c r="B59" s="0" t="s">
        <v>105</v>
      </c>
      <c r="C59" s="0" t="s">
        <v>92</v>
      </c>
      <c r="D59" s="0" t="n">
        <v>4</v>
      </c>
      <c r="E59" s="0" t="n">
        <v>15.8</v>
      </c>
    </row>
    <row r="60" customFormat="false" ht="15" hidden="false" customHeight="false" outlineLevel="0" collapsed="false">
      <c r="A60" s="0" t="s">
        <v>115</v>
      </c>
      <c r="B60" s="0" t="s">
        <v>105</v>
      </c>
      <c r="C60" s="0" t="s">
        <v>92</v>
      </c>
      <c r="D60" s="0" t="n">
        <v>5</v>
      </c>
      <c r="E60" s="0" t="n">
        <v>16.5</v>
      </c>
    </row>
    <row r="61" customFormat="false" ht="15" hidden="false" customHeight="false" outlineLevel="0" collapsed="false">
      <c r="A61" s="0" t="s">
        <v>115</v>
      </c>
      <c r="B61" s="0" t="s">
        <v>105</v>
      </c>
      <c r="C61" s="0" t="s">
        <v>92</v>
      </c>
      <c r="D61" s="0" t="n">
        <v>6</v>
      </c>
      <c r="E61" s="0" t="n">
        <v>17.2</v>
      </c>
    </row>
    <row r="62" customFormat="false" ht="15" hidden="false" customHeight="false" outlineLevel="0" collapsed="false">
      <c r="A62" s="0" t="s">
        <v>115</v>
      </c>
      <c r="B62" s="0" t="s">
        <v>105</v>
      </c>
      <c r="C62" s="0" t="s">
        <v>92</v>
      </c>
      <c r="D62" s="0" t="n">
        <v>7</v>
      </c>
      <c r="E62" s="0" t="n">
        <v>15.4</v>
      </c>
    </row>
    <row r="63" customFormat="false" ht="15" hidden="false" customHeight="false" outlineLevel="0" collapsed="false">
      <c r="A63" s="0" t="s">
        <v>115</v>
      </c>
      <c r="B63" s="0" t="s">
        <v>105</v>
      </c>
      <c r="C63" s="0" t="s">
        <v>92</v>
      </c>
      <c r="D63" s="0" t="n">
        <v>8</v>
      </c>
      <c r="E63" s="0" t="n">
        <v>23.7</v>
      </c>
    </row>
    <row r="64" customFormat="false" ht="15" hidden="false" customHeight="false" outlineLevel="0" collapsed="false">
      <c r="A64" s="0" t="s">
        <v>115</v>
      </c>
      <c r="B64" s="0" t="s">
        <v>105</v>
      </c>
      <c r="C64" s="0" t="s">
        <v>92</v>
      </c>
      <c r="D64" s="0" t="n">
        <v>9</v>
      </c>
      <c r="E64" s="0" t="n">
        <v>23</v>
      </c>
    </row>
    <row r="65" customFormat="false" ht="15" hidden="false" customHeight="false" outlineLevel="0" collapsed="false">
      <c r="A65" s="0" t="s">
        <v>115</v>
      </c>
      <c r="B65" s="0" t="s">
        <v>105</v>
      </c>
      <c r="C65" s="0" t="s">
        <v>92</v>
      </c>
      <c r="D65" s="0" t="n">
        <v>10</v>
      </c>
      <c r="E65" s="0" t="n">
        <v>12</v>
      </c>
    </row>
    <row r="66" customFormat="false" ht="15" hidden="false" customHeight="false" outlineLevel="0" collapsed="false">
      <c r="A66" s="0" t="s">
        <v>115</v>
      </c>
      <c r="B66" s="0" t="s">
        <v>105</v>
      </c>
      <c r="C66" s="0" t="s">
        <v>92</v>
      </c>
      <c r="D66" s="0" t="n">
        <v>11</v>
      </c>
      <c r="E66" s="0" t="n">
        <v>16.5</v>
      </c>
    </row>
    <row r="67" customFormat="false" ht="15" hidden="false" customHeight="false" outlineLevel="0" collapsed="false">
      <c r="A67" s="0" t="s">
        <v>115</v>
      </c>
      <c r="B67" s="0" t="s">
        <v>105</v>
      </c>
      <c r="C67" s="0" t="s">
        <v>92</v>
      </c>
      <c r="D67" s="0" t="n">
        <v>12</v>
      </c>
      <c r="E67" s="0" t="n">
        <v>8.9</v>
      </c>
    </row>
    <row r="68" customFormat="false" ht="15" hidden="false" customHeight="false" outlineLevel="0" collapsed="false">
      <c r="A68" s="0" t="s">
        <v>115</v>
      </c>
      <c r="B68" s="0" t="s">
        <v>105</v>
      </c>
      <c r="C68" s="0" t="s">
        <v>92</v>
      </c>
      <c r="D68" s="0" t="n">
        <v>13</v>
      </c>
      <c r="E68" s="0" t="n">
        <v>8.3</v>
      </c>
    </row>
    <row r="69" customFormat="false" ht="15" hidden="false" customHeight="false" outlineLevel="0" collapsed="false">
      <c r="A69" s="0" t="s">
        <v>115</v>
      </c>
      <c r="B69" s="0" t="s">
        <v>105</v>
      </c>
      <c r="C69" s="0" t="s">
        <v>92</v>
      </c>
      <c r="D69" s="0" t="n">
        <v>14</v>
      </c>
      <c r="E69" s="0" t="n">
        <v>0.3</v>
      </c>
    </row>
    <row r="70" customFormat="false" ht="15" hidden="false" customHeight="false" outlineLevel="0" collapsed="false">
      <c r="A70" s="0" t="s">
        <v>115</v>
      </c>
      <c r="B70" s="0" t="s">
        <v>105</v>
      </c>
      <c r="C70" s="0" t="s">
        <v>92</v>
      </c>
      <c r="D70" s="0" t="n">
        <v>15</v>
      </c>
      <c r="E70" s="0" t="n">
        <v>1.2</v>
      </c>
    </row>
    <row r="71" customFormat="false" ht="15" hidden="false" customHeight="false" outlineLevel="0" collapsed="false">
      <c r="A71" s="0" t="s">
        <v>115</v>
      </c>
      <c r="B71" s="0" t="s">
        <v>105</v>
      </c>
      <c r="C71" s="0" t="s">
        <v>92</v>
      </c>
      <c r="D71" s="0" t="n">
        <v>16</v>
      </c>
      <c r="E71" s="0" t="n">
        <v>16.8</v>
      </c>
    </row>
    <row r="72" customFormat="false" ht="15" hidden="false" customHeight="false" outlineLevel="0" collapsed="false">
      <c r="A72" s="0" t="s">
        <v>115</v>
      </c>
      <c r="B72" s="0" t="s">
        <v>105</v>
      </c>
      <c r="C72" s="0" t="s">
        <v>92</v>
      </c>
      <c r="D72" s="0" t="n">
        <v>17</v>
      </c>
      <c r="E72" s="0" t="n">
        <v>8.9</v>
      </c>
    </row>
    <row r="73" customFormat="false" ht="15" hidden="false" customHeight="false" outlineLevel="0" collapsed="false">
      <c r="A73" s="0" t="s">
        <v>115</v>
      </c>
      <c r="B73" s="0" t="s">
        <v>105</v>
      </c>
      <c r="C73" s="0" t="s">
        <v>92</v>
      </c>
      <c r="D73" s="0" t="n">
        <v>18</v>
      </c>
      <c r="E73" s="0" t="n">
        <v>6.3</v>
      </c>
    </row>
    <row r="74" customFormat="false" ht="15" hidden="false" customHeight="false" outlineLevel="0" collapsed="false">
      <c r="A74" s="0" t="s">
        <v>115</v>
      </c>
      <c r="B74" s="0" t="s">
        <v>105</v>
      </c>
      <c r="C74" s="0" t="s">
        <v>92</v>
      </c>
      <c r="D74" s="0" t="n">
        <v>19</v>
      </c>
      <c r="E74" s="0" t="n">
        <v>7.8</v>
      </c>
    </row>
    <row r="75" customFormat="false" ht="15" hidden="false" customHeight="false" outlineLevel="0" collapsed="false">
      <c r="A75" s="0" t="s">
        <v>115</v>
      </c>
      <c r="B75" s="0" t="s">
        <v>105</v>
      </c>
      <c r="C75" s="0" t="s">
        <v>92</v>
      </c>
      <c r="D75" s="0" t="n">
        <v>20</v>
      </c>
      <c r="E75" s="0" t="n">
        <v>11</v>
      </c>
    </row>
    <row r="76" customFormat="false" ht="15" hidden="false" customHeight="false" outlineLevel="0" collapsed="false">
      <c r="A76" s="0" t="s">
        <v>115</v>
      </c>
      <c r="B76" s="0" t="s">
        <v>105</v>
      </c>
      <c r="C76" s="0" t="s">
        <v>92</v>
      </c>
      <c r="D76" s="0" t="n">
        <v>21</v>
      </c>
      <c r="E76" s="0" t="n">
        <v>4.8</v>
      </c>
    </row>
    <row r="77" customFormat="false" ht="15" hidden="false" customHeight="false" outlineLevel="0" collapsed="false">
      <c r="A77" s="0" t="s">
        <v>115</v>
      </c>
      <c r="B77" s="0" t="s">
        <v>105</v>
      </c>
      <c r="C77" s="0" t="s">
        <v>92</v>
      </c>
      <c r="D77" s="0" t="n">
        <v>22</v>
      </c>
      <c r="E77" s="0" t="n">
        <v>16.2</v>
      </c>
    </row>
    <row r="78" customFormat="false" ht="15" hidden="false" customHeight="false" outlineLevel="0" collapsed="false">
      <c r="A78" s="0" t="s">
        <v>115</v>
      </c>
      <c r="B78" s="0" t="s">
        <v>105</v>
      </c>
      <c r="C78" s="0" t="s">
        <v>92</v>
      </c>
      <c r="D78" s="0" t="n">
        <v>23</v>
      </c>
      <c r="E78" s="0" t="n">
        <v>17.6</v>
      </c>
    </row>
    <row r="79" customFormat="false" ht="15" hidden="false" customHeight="false" outlineLevel="0" collapsed="false">
      <c r="A79" s="0" t="s">
        <v>115</v>
      </c>
      <c r="B79" s="0" t="s">
        <v>105</v>
      </c>
      <c r="C79" s="0" t="s">
        <v>92</v>
      </c>
      <c r="D79" s="0" t="n">
        <v>24</v>
      </c>
      <c r="E79" s="0" t="n">
        <v>14.4</v>
      </c>
    </row>
    <row r="80" customFormat="false" ht="15" hidden="false" customHeight="false" outlineLevel="0" collapsed="false">
      <c r="A80" s="0" t="s">
        <v>115</v>
      </c>
      <c r="B80" s="0" t="s">
        <v>105</v>
      </c>
      <c r="C80" s="0" t="s">
        <v>92</v>
      </c>
      <c r="D80" s="0" t="n">
        <v>25</v>
      </c>
      <c r="E80" s="0" t="n">
        <v>17.9</v>
      </c>
    </row>
    <row r="81" customFormat="false" ht="15" hidden="false" customHeight="false" outlineLevel="0" collapsed="false">
      <c r="A81" s="0" t="s">
        <v>115</v>
      </c>
      <c r="B81" s="0" t="s">
        <v>105</v>
      </c>
      <c r="C81" s="0" t="s">
        <v>92</v>
      </c>
      <c r="D81" s="0" t="n">
        <v>26</v>
      </c>
      <c r="E81" s="0" t="n">
        <v>14.2</v>
      </c>
    </row>
    <row r="82" customFormat="false" ht="15" hidden="false" customHeight="false" outlineLevel="0" collapsed="false">
      <c r="A82" s="0" t="s">
        <v>115</v>
      </c>
      <c r="B82" s="0" t="s">
        <v>105</v>
      </c>
      <c r="C82" s="0" t="s">
        <v>92</v>
      </c>
      <c r="D82" s="0" t="n">
        <v>27</v>
      </c>
      <c r="E82" s="0" t="n">
        <v>26</v>
      </c>
    </row>
    <row r="83" customFormat="false" ht="15" hidden="false" customHeight="false" outlineLevel="0" collapsed="false">
      <c r="A83" s="0" t="s">
        <v>115</v>
      </c>
      <c r="B83" s="0" t="s">
        <v>105</v>
      </c>
      <c r="C83" s="0" t="s">
        <v>92</v>
      </c>
      <c r="D83" s="0" t="n">
        <v>28</v>
      </c>
      <c r="E83" s="0" t="n">
        <v>15.9</v>
      </c>
    </row>
    <row r="84" customFormat="false" ht="15" hidden="false" customHeight="false" outlineLevel="0" collapsed="false">
      <c r="A84" s="0" t="s">
        <v>115</v>
      </c>
      <c r="B84" s="0" t="s">
        <v>105</v>
      </c>
      <c r="C84" s="0" t="s">
        <v>92</v>
      </c>
      <c r="D84" s="0" t="n">
        <v>29</v>
      </c>
      <c r="E84" s="0" t="n">
        <v>2</v>
      </c>
    </row>
    <row r="85" customFormat="false" ht="15" hidden="false" customHeight="false" outlineLevel="0" collapsed="false">
      <c r="A85" s="0" t="s">
        <v>115</v>
      </c>
      <c r="B85" s="0" t="s">
        <v>105</v>
      </c>
      <c r="C85" s="0" t="s">
        <v>92</v>
      </c>
      <c r="D85" s="0" t="n">
        <v>30</v>
      </c>
      <c r="E85" s="0" t="n">
        <v>9</v>
      </c>
    </row>
    <row r="86" customFormat="false" ht="15" hidden="false" customHeight="false" outlineLevel="0" collapsed="false">
      <c r="A86" s="0" t="s">
        <v>115</v>
      </c>
      <c r="B86" s="0" t="s">
        <v>105</v>
      </c>
      <c r="C86" s="0" t="s">
        <v>92</v>
      </c>
      <c r="D86" s="0" t="n">
        <v>31</v>
      </c>
      <c r="E86" s="0" t="n">
        <v>20.4</v>
      </c>
    </row>
    <row r="87" customFormat="false" ht="15" hidden="false" customHeight="false" outlineLevel="0" collapsed="false">
      <c r="A87" s="0" t="s">
        <v>115</v>
      </c>
      <c r="B87" s="0" t="s">
        <v>105</v>
      </c>
      <c r="C87" s="0" t="s">
        <v>92</v>
      </c>
      <c r="D87" s="0" t="n">
        <v>32</v>
      </c>
      <c r="E87" s="0" t="n">
        <v>21</v>
      </c>
    </row>
    <row r="88" customFormat="false" ht="15" hidden="false" customHeight="false" outlineLevel="0" collapsed="false">
      <c r="A88" s="0" t="s">
        <v>115</v>
      </c>
      <c r="B88" s="0" t="s">
        <v>105</v>
      </c>
      <c r="C88" s="0" t="s">
        <v>92</v>
      </c>
      <c r="D88" s="0" t="n">
        <v>33</v>
      </c>
      <c r="E88" s="0" t="n">
        <v>11.4</v>
      </c>
    </row>
    <row r="89" customFormat="false" ht="15" hidden="false" customHeight="false" outlineLevel="0" collapsed="false">
      <c r="A89" s="0" t="s">
        <v>115</v>
      </c>
      <c r="B89" s="0" t="s">
        <v>105</v>
      </c>
      <c r="C89" s="0" t="s">
        <v>92</v>
      </c>
      <c r="D89" s="0" t="n">
        <v>34</v>
      </c>
      <c r="E89" s="0" t="n">
        <v>5.9</v>
      </c>
    </row>
    <row r="90" customFormat="false" ht="15" hidden="false" customHeight="false" outlineLevel="0" collapsed="false">
      <c r="A90" s="0" t="s">
        <v>115</v>
      </c>
      <c r="B90" s="0" t="s">
        <v>105</v>
      </c>
      <c r="C90" s="0" t="s">
        <v>92</v>
      </c>
      <c r="D90" s="0" t="n">
        <v>35</v>
      </c>
      <c r="E90" s="0" t="n">
        <v>2.9</v>
      </c>
    </row>
    <row r="91" customFormat="false" ht="15" hidden="false" customHeight="false" outlineLevel="0" collapsed="false">
      <c r="A91" s="0" t="s">
        <v>115</v>
      </c>
      <c r="B91" s="0" t="s">
        <v>105</v>
      </c>
      <c r="C91" s="0" t="s">
        <v>92</v>
      </c>
      <c r="D91" s="0" t="n">
        <v>36</v>
      </c>
      <c r="E91" s="0" t="n">
        <v>4.2</v>
      </c>
    </row>
    <row r="92" customFormat="false" ht="15" hidden="false" customHeight="false" outlineLevel="0" collapsed="false">
      <c r="A92" s="0" t="s">
        <v>115</v>
      </c>
      <c r="B92" s="0" t="s">
        <v>105</v>
      </c>
      <c r="C92" s="0" t="s">
        <v>92</v>
      </c>
      <c r="D92" s="0" t="n">
        <v>37</v>
      </c>
      <c r="E92" s="0" t="n">
        <v>29</v>
      </c>
    </row>
    <row r="93" customFormat="false" ht="15" hidden="false" customHeight="false" outlineLevel="0" collapsed="false">
      <c r="A93" s="0" t="s">
        <v>115</v>
      </c>
      <c r="B93" s="0" t="s">
        <v>105</v>
      </c>
      <c r="C93" s="0" t="s">
        <v>92</v>
      </c>
      <c r="D93" s="0" t="n">
        <v>38</v>
      </c>
      <c r="E93" s="0" t="n">
        <v>16</v>
      </c>
    </row>
    <row r="94" customFormat="false" ht="15" hidden="false" customHeight="false" outlineLevel="0" collapsed="false">
      <c r="A94" s="0" t="s">
        <v>115</v>
      </c>
      <c r="B94" s="0" t="s">
        <v>105</v>
      </c>
      <c r="C94" s="0" t="s">
        <v>92</v>
      </c>
      <c r="D94" s="0" t="n">
        <v>39</v>
      </c>
      <c r="E94" s="0" t="n">
        <v>5.2</v>
      </c>
    </row>
    <row r="95" customFormat="false" ht="15" hidden="false" customHeight="false" outlineLevel="0" collapsed="false">
      <c r="A95" s="0" t="s">
        <v>115</v>
      </c>
      <c r="B95" s="0" t="s">
        <v>105</v>
      </c>
      <c r="C95" s="0" t="s">
        <v>92</v>
      </c>
      <c r="D95" s="0" t="n">
        <v>40</v>
      </c>
      <c r="E95" s="0" t="n">
        <v>0.9</v>
      </c>
    </row>
    <row r="96" customFormat="false" ht="15" hidden="false" customHeight="false" outlineLevel="0" collapsed="false">
      <c r="A96" s="0" t="s">
        <v>115</v>
      </c>
      <c r="B96" s="0" t="s">
        <v>105</v>
      </c>
      <c r="C96" s="0" t="s">
        <v>92</v>
      </c>
      <c r="D96" s="0" t="n">
        <v>41</v>
      </c>
      <c r="E96" s="0" t="n">
        <v>35.1</v>
      </c>
    </row>
    <row r="97" customFormat="false" ht="15" hidden="false" customHeight="false" outlineLevel="0" collapsed="false">
      <c r="A97" s="0" t="s">
        <v>115</v>
      </c>
      <c r="B97" s="0" t="s">
        <v>107</v>
      </c>
      <c r="C97" s="0" t="s">
        <v>92</v>
      </c>
      <c r="D97" s="0" t="n">
        <v>1</v>
      </c>
      <c r="E97" s="0" t="n">
        <v>1</v>
      </c>
    </row>
    <row r="98" customFormat="false" ht="15" hidden="false" customHeight="false" outlineLevel="0" collapsed="false">
      <c r="A98" s="0" t="s">
        <v>115</v>
      </c>
      <c r="B98" s="0" t="s">
        <v>107</v>
      </c>
      <c r="C98" s="0" t="s">
        <v>92</v>
      </c>
      <c r="D98" s="0" t="n">
        <v>2</v>
      </c>
      <c r="E98" s="0" t="n">
        <v>1.3</v>
      </c>
    </row>
    <row r="99" customFormat="false" ht="15" hidden="false" customHeight="false" outlineLevel="0" collapsed="false">
      <c r="A99" s="0" t="s">
        <v>115</v>
      </c>
      <c r="B99" s="0" t="s">
        <v>107</v>
      </c>
      <c r="C99" s="0" t="s">
        <v>92</v>
      </c>
      <c r="D99" s="0" t="n">
        <v>3</v>
      </c>
      <c r="E99" s="0" t="n">
        <v>1.1</v>
      </c>
    </row>
    <row r="100" customFormat="false" ht="15" hidden="false" customHeight="false" outlineLevel="0" collapsed="false">
      <c r="A100" s="0" t="s">
        <v>115</v>
      </c>
      <c r="B100" s="0" t="s">
        <v>107</v>
      </c>
      <c r="C100" s="0" t="s">
        <v>92</v>
      </c>
      <c r="D100" s="0" t="n">
        <v>4</v>
      </c>
      <c r="E100" s="0" t="n">
        <v>2.1</v>
      </c>
    </row>
    <row r="101" customFormat="false" ht="15" hidden="false" customHeight="false" outlineLevel="0" collapsed="false">
      <c r="A101" s="0" t="s">
        <v>115</v>
      </c>
      <c r="B101" s="0" t="s">
        <v>107</v>
      </c>
      <c r="C101" s="0" t="s">
        <v>92</v>
      </c>
      <c r="D101" s="0" t="n">
        <v>5</v>
      </c>
      <c r="E101" s="0" t="n">
        <v>0.1</v>
      </c>
    </row>
    <row r="102" customFormat="false" ht="15" hidden="false" customHeight="false" outlineLevel="0" collapsed="false">
      <c r="A102" s="0" t="s">
        <v>115</v>
      </c>
      <c r="B102" s="0" t="s">
        <v>107</v>
      </c>
      <c r="C102" s="0" t="s">
        <v>92</v>
      </c>
      <c r="D102" s="0" t="n">
        <v>6</v>
      </c>
      <c r="E102" s="0" t="n">
        <v>5.9</v>
      </c>
    </row>
    <row r="103" customFormat="false" ht="15" hidden="false" customHeight="false" outlineLevel="0" collapsed="false">
      <c r="A103" s="0" t="s">
        <v>115</v>
      </c>
      <c r="B103" s="0" t="s">
        <v>107</v>
      </c>
      <c r="C103" s="0" t="s">
        <v>92</v>
      </c>
      <c r="D103" s="0" t="n">
        <v>7</v>
      </c>
      <c r="E103" s="0" t="n">
        <v>0.6</v>
      </c>
    </row>
    <row r="104" customFormat="false" ht="15" hidden="false" customHeight="false" outlineLevel="0" collapsed="false">
      <c r="A104" s="0" t="s">
        <v>115</v>
      </c>
      <c r="B104" s="0" t="s">
        <v>107</v>
      </c>
      <c r="C104" s="0" t="s">
        <v>92</v>
      </c>
      <c r="D104" s="0" t="n">
        <v>8</v>
      </c>
      <c r="E104" s="0" t="n">
        <v>0.7</v>
      </c>
    </row>
    <row r="105" customFormat="false" ht="15" hidden="false" customHeight="false" outlineLevel="0" collapsed="false">
      <c r="A105" s="0" t="s">
        <v>115</v>
      </c>
      <c r="B105" s="0" t="s">
        <v>107</v>
      </c>
      <c r="C105" s="0" t="s">
        <v>92</v>
      </c>
      <c r="D105" s="0" t="n">
        <v>9</v>
      </c>
      <c r="E105" s="0" t="n">
        <v>3.9</v>
      </c>
    </row>
    <row r="106" customFormat="false" ht="15" hidden="false" customHeight="false" outlineLevel="0" collapsed="false">
      <c r="A106" s="0" t="s">
        <v>115</v>
      </c>
      <c r="B106" s="0" t="s">
        <v>108</v>
      </c>
      <c r="C106" s="0" t="s">
        <v>92</v>
      </c>
      <c r="D106" s="0" t="n">
        <v>1</v>
      </c>
      <c r="E106" s="0" t="n">
        <v>1.5</v>
      </c>
    </row>
    <row r="107" customFormat="false" ht="15" hidden="false" customHeight="false" outlineLevel="0" collapsed="false">
      <c r="A107" s="0" t="s">
        <v>115</v>
      </c>
      <c r="B107" s="0" t="s">
        <v>108</v>
      </c>
      <c r="C107" s="0" t="s">
        <v>92</v>
      </c>
      <c r="D107" s="0" t="n">
        <v>2</v>
      </c>
      <c r="E107" s="0" t="n">
        <v>1.7</v>
      </c>
    </row>
    <row r="108" customFormat="false" ht="15" hidden="false" customHeight="false" outlineLevel="0" collapsed="false">
      <c r="A108" s="0" t="s">
        <v>115</v>
      </c>
      <c r="B108" s="0" t="s">
        <v>103</v>
      </c>
      <c r="C108" s="0" t="s">
        <v>95</v>
      </c>
      <c r="D108" s="0" t="n">
        <v>1</v>
      </c>
      <c r="E108" s="0" t="n">
        <v>12.4</v>
      </c>
    </row>
    <row r="109" customFormat="false" ht="15" hidden="false" customHeight="false" outlineLevel="0" collapsed="false">
      <c r="A109" s="0" t="s">
        <v>115</v>
      </c>
      <c r="B109" s="0" t="s">
        <v>103</v>
      </c>
      <c r="C109" s="0" t="s">
        <v>95</v>
      </c>
      <c r="D109" s="0" t="n">
        <v>2</v>
      </c>
      <c r="E109" s="0" t="n">
        <v>19.7</v>
      </c>
    </row>
    <row r="110" customFormat="false" ht="15" hidden="false" customHeight="false" outlineLevel="0" collapsed="false">
      <c r="A110" s="0" t="s">
        <v>115</v>
      </c>
      <c r="B110" s="0" t="s">
        <v>103</v>
      </c>
      <c r="C110" s="0" t="s">
        <v>95</v>
      </c>
      <c r="D110" s="0" t="n">
        <v>3</v>
      </c>
      <c r="E110" s="0" t="n">
        <v>36.5</v>
      </c>
    </row>
    <row r="111" customFormat="false" ht="15" hidden="false" customHeight="false" outlineLevel="0" collapsed="false">
      <c r="A111" s="0" t="s">
        <v>115</v>
      </c>
      <c r="B111" s="0" t="s">
        <v>103</v>
      </c>
      <c r="C111" s="0" t="s">
        <v>95</v>
      </c>
      <c r="D111" s="0" t="n">
        <v>4</v>
      </c>
      <c r="E111" s="0" t="n">
        <v>44</v>
      </c>
    </row>
    <row r="112" customFormat="false" ht="15" hidden="false" customHeight="false" outlineLevel="0" collapsed="false">
      <c r="A112" s="0" t="s">
        <v>115</v>
      </c>
      <c r="B112" s="0" t="s">
        <v>103</v>
      </c>
      <c r="C112" s="0" t="s">
        <v>95</v>
      </c>
      <c r="D112" s="0" t="n">
        <v>5</v>
      </c>
      <c r="E112" s="0" t="n">
        <v>10.3</v>
      </c>
    </row>
    <row r="113" customFormat="false" ht="15" hidden="false" customHeight="false" outlineLevel="0" collapsed="false">
      <c r="A113" s="0" t="s">
        <v>115</v>
      </c>
      <c r="B113" s="0" t="s">
        <v>103</v>
      </c>
      <c r="C113" s="0" t="s">
        <v>95</v>
      </c>
      <c r="D113" s="0" t="n">
        <v>6</v>
      </c>
      <c r="E113" s="0" t="n">
        <v>8.2</v>
      </c>
    </row>
    <row r="114" customFormat="false" ht="15" hidden="false" customHeight="false" outlineLevel="0" collapsed="false">
      <c r="A114" s="0" t="s">
        <v>115</v>
      </c>
      <c r="B114" s="0" t="s">
        <v>103</v>
      </c>
      <c r="C114" s="0" t="s">
        <v>95</v>
      </c>
      <c r="D114" s="0" t="n">
        <v>7</v>
      </c>
      <c r="E114" s="0" t="n">
        <v>18.9</v>
      </c>
    </row>
    <row r="115" customFormat="false" ht="15" hidden="false" customHeight="false" outlineLevel="0" collapsed="false">
      <c r="A115" s="0" t="s">
        <v>115</v>
      </c>
      <c r="B115" s="0" t="s">
        <v>103</v>
      </c>
      <c r="C115" s="0" t="s">
        <v>95</v>
      </c>
      <c r="D115" s="0" t="n">
        <v>8</v>
      </c>
      <c r="E115" s="0" t="n">
        <v>17.8</v>
      </c>
    </row>
    <row r="116" customFormat="false" ht="15" hidden="false" customHeight="false" outlineLevel="0" collapsed="false">
      <c r="A116" s="0" t="s">
        <v>115</v>
      </c>
      <c r="B116" s="0" t="s">
        <v>103</v>
      </c>
      <c r="C116" s="0" t="s">
        <v>95</v>
      </c>
      <c r="D116" s="0" t="n">
        <v>9</v>
      </c>
      <c r="E116" s="0" t="n">
        <v>28.6</v>
      </c>
    </row>
    <row r="117" customFormat="false" ht="15" hidden="false" customHeight="false" outlineLevel="0" collapsed="false">
      <c r="A117" s="0" t="s">
        <v>115</v>
      </c>
      <c r="B117" s="0" t="s">
        <v>103</v>
      </c>
      <c r="C117" s="0" t="s">
        <v>95</v>
      </c>
      <c r="D117" s="0" t="n">
        <v>10</v>
      </c>
      <c r="E117" s="0" t="n">
        <v>23.8</v>
      </c>
    </row>
    <row r="118" customFormat="false" ht="15" hidden="false" customHeight="false" outlineLevel="0" collapsed="false">
      <c r="A118" s="0" t="s">
        <v>115</v>
      </c>
      <c r="B118" s="0" t="s">
        <v>103</v>
      </c>
      <c r="C118" s="0" t="s">
        <v>95</v>
      </c>
      <c r="D118" s="0" t="n">
        <v>11</v>
      </c>
      <c r="E118" s="0" t="n">
        <v>31.2</v>
      </c>
    </row>
    <row r="119" customFormat="false" ht="15" hidden="false" customHeight="false" outlineLevel="0" collapsed="false">
      <c r="A119" s="0" t="s">
        <v>115</v>
      </c>
      <c r="B119" s="0" t="s">
        <v>103</v>
      </c>
      <c r="C119" s="0" t="s">
        <v>95</v>
      </c>
      <c r="D119" s="0" t="n">
        <v>12</v>
      </c>
      <c r="E119" s="0" t="n">
        <v>14.2</v>
      </c>
    </row>
    <row r="120" customFormat="false" ht="15" hidden="false" customHeight="false" outlineLevel="0" collapsed="false">
      <c r="A120" s="0" t="s">
        <v>115</v>
      </c>
      <c r="B120" s="0" t="s">
        <v>103</v>
      </c>
      <c r="C120" s="0" t="s">
        <v>95</v>
      </c>
      <c r="D120" s="0" t="n">
        <v>13</v>
      </c>
      <c r="E120" s="0" t="n">
        <v>13.7</v>
      </c>
    </row>
    <row r="121" customFormat="false" ht="15" hidden="false" customHeight="false" outlineLevel="0" collapsed="false">
      <c r="A121" s="0" t="s">
        <v>115</v>
      </c>
      <c r="B121" s="0" t="s">
        <v>103</v>
      </c>
      <c r="C121" s="0" t="s">
        <v>95</v>
      </c>
      <c r="D121" s="0" t="n">
        <v>14</v>
      </c>
      <c r="E121" s="0" t="n">
        <v>5.3</v>
      </c>
    </row>
    <row r="122" customFormat="false" ht="15" hidden="false" customHeight="false" outlineLevel="0" collapsed="false">
      <c r="A122" s="0" t="s">
        <v>115</v>
      </c>
      <c r="B122" s="0" t="s">
        <v>103</v>
      </c>
      <c r="C122" s="0" t="s">
        <v>95</v>
      </c>
      <c r="D122" s="0" t="n">
        <v>15</v>
      </c>
      <c r="E122" s="0" t="n">
        <v>25.8</v>
      </c>
    </row>
    <row r="123" customFormat="false" ht="15" hidden="false" customHeight="false" outlineLevel="0" collapsed="false">
      <c r="A123" s="0" t="s">
        <v>115</v>
      </c>
      <c r="B123" s="0" t="s">
        <v>103</v>
      </c>
      <c r="C123" s="0" t="s">
        <v>95</v>
      </c>
      <c r="D123" s="0" t="n">
        <v>16</v>
      </c>
      <c r="E123" s="0" t="n">
        <v>4.2</v>
      </c>
    </row>
    <row r="124" customFormat="false" ht="15" hidden="false" customHeight="false" outlineLevel="0" collapsed="false">
      <c r="A124" s="0" t="s">
        <v>115</v>
      </c>
      <c r="B124" s="0" t="s">
        <v>103</v>
      </c>
      <c r="C124" s="0" t="s">
        <v>95</v>
      </c>
      <c r="D124" s="0" t="n">
        <v>17</v>
      </c>
      <c r="E124" s="0" t="n">
        <v>10</v>
      </c>
    </row>
    <row r="125" customFormat="false" ht="15" hidden="false" customHeight="false" outlineLevel="0" collapsed="false">
      <c r="A125" s="0" t="s">
        <v>115</v>
      </c>
      <c r="B125" s="0" t="s">
        <v>103</v>
      </c>
      <c r="C125" s="0" t="s">
        <v>95</v>
      </c>
      <c r="D125" s="0" t="n">
        <v>18</v>
      </c>
      <c r="E125" s="0" t="n">
        <v>26.9</v>
      </c>
    </row>
    <row r="126" customFormat="false" ht="15" hidden="false" customHeight="false" outlineLevel="0" collapsed="false">
      <c r="A126" s="0" t="s">
        <v>115</v>
      </c>
      <c r="B126" s="0" t="s">
        <v>103</v>
      </c>
      <c r="C126" s="0" t="s">
        <v>95</v>
      </c>
      <c r="D126" s="0" t="n">
        <v>19</v>
      </c>
      <c r="E126" s="0" t="n">
        <v>15.5</v>
      </c>
    </row>
    <row r="127" customFormat="false" ht="15" hidden="false" customHeight="false" outlineLevel="0" collapsed="false">
      <c r="A127" s="0" t="s">
        <v>115</v>
      </c>
      <c r="B127" s="0" t="s">
        <v>103</v>
      </c>
      <c r="C127" s="0" t="s">
        <v>95</v>
      </c>
      <c r="D127" s="0" t="n">
        <v>20</v>
      </c>
      <c r="E127" s="0" t="n">
        <v>14.6</v>
      </c>
    </row>
    <row r="128" customFormat="false" ht="15" hidden="false" customHeight="false" outlineLevel="0" collapsed="false">
      <c r="A128" s="0" t="s">
        <v>115</v>
      </c>
      <c r="B128" s="0" t="s">
        <v>103</v>
      </c>
      <c r="C128" s="0" t="s">
        <v>95</v>
      </c>
      <c r="D128" s="0" t="n">
        <v>21</v>
      </c>
      <c r="E128" s="0" t="n">
        <v>23.4</v>
      </c>
    </row>
    <row r="129" customFormat="false" ht="15" hidden="false" customHeight="false" outlineLevel="0" collapsed="false">
      <c r="A129" s="0" t="s">
        <v>115</v>
      </c>
      <c r="B129" s="0" t="s">
        <v>103</v>
      </c>
      <c r="C129" s="0" t="s">
        <v>95</v>
      </c>
      <c r="D129" s="0" t="n">
        <v>22</v>
      </c>
      <c r="E129" s="0" t="n">
        <v>1.4</v>
      </c>
    </row>
    <row r="130" customFormat="false" ht="15" hidden="false" customHeight="false" outlineLevel="0" collapsed="false">
      <c r="A130" s="0" t="s">
        <v>115</v>
      </c>
      <c r="B130" s="0" t="s">
        <v>103</v>
      </c>
      <c r="C130" s="0" t="s">
        <v>95</v>
      </c>
      <c r="D130" s="0" t="n">
        <v>23</v>
      </c>
      <c r="E130" s="0" t="n">
        <v>18</v>
      </c>
    </row>
    <row r="131" customFormat="false" ht="15" hidden="false" customHeight="false" outlineLevel="0" collapsed="false">
      <c r="A131" s="0" t="s">
        <v>115</v>
      </c>
      <c r="B131" s="0" t="s">
        <v>103</v>
      </c>
      <c r="C131" s="0" t="s">
        <v>95</v>
      </c>
      <c r="D131" s="0" t="n">
        <v>24</v>
      </c>
      <c r="E131" s="0" t="n">
        <v>10.1</v>
      </c>
    </row>
    <row r="132" customFormat="false" ht="15" hidden="false" customHeight="false" outlineLevel="0" collapsed="false">
      <c r="A132" s="0" t="s">
        <v>115</v>
      </c>
      <c r="B132" s="0" t="s">
        <v>103</v>
      </c>
      <c r="C132" s="0" t="s">
        <v>95</v>
      </c>
      <c r="D132" s="0" t="n">
        <v>25</v>
      </c>
      <c r="E132" s="0" t="n">
        <v>16.9</v>
      </c>
    </row>
    <row r="133" customFormat="false" ht="15" hidden="false" customHeight="false" outlineLevel="0" collapsed="false">
      <c r="A133" s="0" t="s">
        <v>115</v>
      </c>
      <c r="B133" s="0" t="s">
        <v>103</v>
      </c>
      <c r="C133" s="0" t="s">
        <v>95</v>
      </c>
      <c r="D133" s="0" t="n">
        <v>26</v>
      </c>
      <c r="E133" s="0" t="n">
        <v>5.2</v>
      </c>
    </row>
    <row r="134" customFormat="false" ht="15" hidden="false" customHeight="false" outlineLevel="0" collapsed="false">
      <c r="A134" s="0" t="s">
        <v>115</v>
      </c>
      <c r="B134" s="0" t="s">
        <v>103</v>
      </c>
      <c r="C134" s="0" t="s">
        <v>95</v>
      </c>
      <c r="D134" s="0" t="n">
        <v>27</v>
      </c>
      <c r="E134" s="0" t="n">
        <v>29.5</v>
      </c>
    </row>
    <row r="135" customFormat="false" ht="15" hidden="false" customHeight="false" outlineLevel="0" collapsed="false">
      <c r="A135" s="0" t="s">
        <v>115</v>
      </c>
      <c r="B135" s="0" t="s">
        <v>103</v>
      </c>
      <c r="C135" s="0" t="s">
        <v>95</v>
      </c>
      <c r="D135" s="0" t="n">
        <v>28</v>
      </c>
      <c r="E135" s="0" t="n">
        <v>9.9</v>
      </c>
    </row>
    <row r="136" customFormat="false" ht="15" hidden="false" customHeight="false" outlineLevel="0" collapsed="false">
      <c r="A136" s="0" t="s">
        <v>115</v>
      </c>
      <c r="B136" s="0" t="s">
        <v>103</v>
      </c>
      <c r="C136" s="0" t="s">
        <v>95</v>
      </c>
      <c r="D136" s="0" t="n">
        <v>29</v>
      </c>
      <c r="E136" s="0" t="n">
        <v>4.6</v>
      </c>
    </row>
    <row r="137" customFormat="false" ht="15" hidden="false" customHeight="false" outlineLevel="0" collapsed="false">
      <c r="A137" s="0" t="s">
        <v>115</v>
      </c>
      <c r="B137" s="0" t="s">
        <v>103</v>
      </c>
      <c r="C137" s="0" t="s">
        <v>95</v>
      </c>
      <c r="D137" s="0" t="n">
        <v>30</v>
      </c>
      <c r="E137" s="0" t="n">
        <v>41</v>
      </c>
    </row>
    <row r="138" customFormat="false" ht="15" hidden="false" customHeight="false" outlineLevel="0" collapsed="false">
      <c r="A138" s="0" t="s">
        <v>115</v>
      </c>
      <c r="B138" s="0" t="s">
        <v>103</v>
      </c>
      <c r="C138" s="0" t="s">
        <v>95</v>
      </c>
      <c r="D138" s="0" t="n">
        <v>31</v>
      </c>
      <c r="E138" s="0" t="n">
        <v>43</v>
      </c>
    </row>
    <row r="139" customFormat="false" ht="15" hidden="false" customHeight="false" outlineLevel="0" collapsed="false">
      <c r="A139" s="0" t="s">
        <v>115</v>
      </c>
      <c r="B139" s="0" t="s">
        <v>103</v>
      </c>
      <c r="C139" s="0" t="s">
        <v>95</v>
      </c>
      <c r="D139" s="0" t="n">
        <v>32</v>
      </c>
      <c r="E139" s="0" t="n">
        <v>0.8</v>
      </c>
    </row>
    <row r="140" customFormat="false" ht="15" hidden="false" customHeight="false" outlineLevel="0" collapsed="false">
      <c r="A140" s="0" t="s">
        <v>115</v>
      </c>
      <c r="B140" s="0" t="s">
        <v>103</v>
      </c>
      <c r="C140" s="0" t="s">
        <v>95</v>
      </c>
      <c r="D140" s="0" t="n">
        <v>33</v>
      </c>
      <c r="E140" s="0" t="n">
        <v>5</v>
      </c>
    </row>
    <row r="141" customFormat="false" ht="15" hidden="false" customHeight="false" outlineLevel="0" collapsed="false">
      <c r="A141" s="0" t="s">
        <v>115</v>
      </c>
      <c r="B141" s="0" t="s">
        <v>103</v>
      </c>
      <c r="C141" s="0" t="s">
        <v>95</v>
      </c>
      <c r="D141" s="0" t="n">
        <v>34</v>
      </c>
      <c r="E141" s="0" t="n">
        <v>13</v>
      </c>
    </row>
    <row r="142" customFormat="false" ht="15" hidden="false" customHeight="false" outlineLevel="0" collapsed="false">
      <c r="A142" s="0" t="s">
        <v>115</v>
      </c>
      <c r="B142" s="0" t="s">
        <v>103</v>
      </c>
      <c r="C142" s="0" t="s">
        <v>95</v>
      </c>
      <c r="D142" s="0" t="n">
        <v>35</v>
      </c>
      <c r="E142" s="0" t="n">
        <v>15.8</v>
      </c>
    </row>
    <row r="143" customFormat="false" ht="15" hidden="false" customHeight="false" outlineLevel="0" collapsed="false">
      <c r="A143" s="0" t="s">
        <v>115</v>
      </c>
      <c r="B143" s="0" t="s">
        <v>103</v>
      </c>
      <c r="C143" s="0" t="s">
        <v>95</v>
      </c>
      <c r="D143" s="0" t="n">
        <v>36</v>
      </c>
      <c r="E143" s="0" t="n">
        <v>22.8</v>
      </c>
    </row>
    <row r="144" customFormat="false" ht="15" hidden="false" customHeight="false" outlineLevel="0" collapsed="false">
      <c r="A144" s="0" t="s">
        <v>115</v>
      </c>
      <c r="B144" s="0" t="s">
        <v>103</v>
      </c>
      <c r="C144" s="0" t="s">
        <v>95</v>
      </c>
      <c r="D144" s="0" t="n">
        <v>37</v>
      </c>
      <c r="E144" s="0" t="n">
        <v>28.2</v>
      </c>
    </row>
    <row r="145" customFormat="false" ht="15" hidden="false" customHeight="false" outlineLevel="0" collapsed="false">
      <c r="A145" s="0" t="s">
        <v>115</v>
      </c>
      <c r="B145" s="0" t="s">
        <v>103</v>
      </c>
      <c r="C145" s="0" t="s">
        <v>95</v>
      </c>
      <c r="D145" s="0" t="n">
        <v>38</v>
      </c>
      <c r="E145" s="0" t="n">
        <v>18.8</v>
      </c>
    </row>
    <row r="146" customFormat="false" ht="15" hidden="false" customHeight="false" outlineLevel="0" collapsed="false">
      <c r="A146" s="0" t="s">
        <v>115</v>
      </c>
      <c r="B146" s="0" t="s">
        <v>103</v>
      </c>
      <c r="C146" s="0" t="s">
        <v>95</v>
      </c>
      <c r="D146" s="0" t="n">
        <v>39</v>
      </c>
      <c r="E146" s="0" t="n">
        <v>16.9</v>
      </c>
    </row>
    <row r="147" customFormat="false" ht="15" hidden="false" customHeight="false" outlineLevel="0" collapsed="false">
      <c r="A147" s="0" t="s">
        <v>115</v>
      </c>
      <c r="B147" s="0" t="s">
        <v>103</v>
      </c>
      <c r="C147" s="0" t="s">
        <v>95</v>
      </c>
      <c r="D147" s="0" t="n">
        <v>40</v>
      </c>
      <c r="E147" s="0" t="n">
        <v>39.9</v>
      </c>
    </row>
    <row r="148" customFormat="false" ht="15" hidden="false" customHeight="false" outlineLevel="0" collapsed="false">
      <c r="A148" s="0" t="s">
        <v>115</v>
      </c>
      <c r="B148" s="0" t="s">
        <v>103</v>
      </c>
      <c r="C148" s="0" t="s">
        <v>95</v>
      </c>
      <c r="D148" s="0" t="n">
        <v>41</v>
      </c>
      <c r="E148" s="0" t="n">
        <v>10.4</v>
      </c>
    </row>
    <row r="149" customFormat="false" ht="15" hidden="false" customHeight="false" outlineLevel="0" collapsed="false">
      <c r="A149" s="0" t="s">
        <v>115</v>
      </c>
      <c r="B149" s="0" t="s">
        <v>103</v>
      </c>
      <c r="C149" s="0" t="s">
        <v>95</v>
      </c>
      <c r="D149" s="0" t="n">
        <v>42</v>
      </c>
      <c r="E149" s="0" t="n">
        <v>36.8</v>
      </c>
    </row>
    <row r="150" customFormat="false" ht="15" hidden="false" customHeight="false" outlineLevel="0" collapsed="false">
      <c r="A150" s="0" t="s">
        <v>115</v>
      </c>
      <c r="B150" s="0" t="s">
        <v>103</v>
      </c>
      <c r="C150" s="0" t="s">
        <v>95</v>
      </c>
      <c r="D150" s="0" t="n">
        <v>43</v>
      </c>
      <c r="E150" s="0" t="n">
        <v>11</v>
      </c>
    </row>
    <row r="151" customFormat="false" ht="15" hidden="false" customHeight="false" outlineLevel="0" collapsed="false">
      <c r="A151" s="0" t="s">
        <v>115</v>
      </c>
      <c r="B151" s="0" t="s">
        <v>103</v>
      </c>
      <c r="C151" s="0" t="s">
        <v>95</v>
      </c>
      <c r="D151" s="0" t="n">
        <v>44</v>
      </c>
      <c r="E151" s="0" t="n">
        <v>50.9</v>
      </c>
    </row>
    <row r="152" customFormat="false" ht="15" hidden="false" customHeight="false" outlineLevel="0" collapsed="false">
      <c r="A152" s="0" t="s">
        <v>115</v>
      </c>
      <c r="B152" s="0" t="s">
        <v>103</v>
      </c>
      <c r="C152" s="0" t="s">
        <v>95</v>
      </c>
      <c r="D152" s="0" t="n">
        <v>45</v>
      </c>
      <c r="E152" s="0" t="n">
        <v>15.1</v>
      </c>
    </row>
    <row r="153" customFormat="false" ht="15" hidden="false" customHeight="false" outlineLevel="0" collapsed="false">
      <c r="A153" s="0" t="s">
        <v>115</v>
      </c>
      <c r="B153" s="0" t="s">
        <v>103</v>
      </c>
      <c r="C153" s="0" t="s">
        <v>95</v>
      </c>
      <c r="D153" s="0" t="n">
        <v>46</v>
      </c>
      <c r="E153" s="0" t="n">
        <v>22.8</v>
      </c>
    </row>
    <row r="154" customFormat="false" ht="15" hidden="false" customHeight="false" outlineLevel="0" collapsed="false">
      <c r="A154" s="0" t="s">
        <v>115</v>
      </c>
      <c r="B154" s="0" t="s">
        <v>103</v>
      </c>
      <c r="C154" s="0" t="s">
        <v>95</v>
      </c>
      <c r="D154" s="0" t="n">
        <v>47</v>
      </c>
      <c r="E154" s="0" t="n">
        <v>11.2</v>
      </c>
    </row>
    <row r="155" customFormat="false" ht="15" hidden="false" customHeight="false" outlineLevel="0" collapsed="false">
      <c r="A155" s="0" t="s">
        <v>115</v>
      </c>
      <c r="B155" s="0" t="s">
        <v>103</v>
      </c>
      <c r="C155" s="0" t="s">
        <v>95</v>
      </c>
      <c r="D155" s="0" t="n">
        <v>48</v>
      </c>
      <c r="E155" s="0" t="n">
        <v>8.4</v>
      </c>
    </row>
    <row r="156" customFormat="false" ht="15" hidden="false" customHeight="false" outlineLevel="0" collapsed="false">
      <c r="A156" s="0" t="s">
        <v>115</v>
      </c>
      <c r="B156" s="0" t="s">
        <v>103</v>
      </c>
      <c r="C156" s="0" t="s">
        <v>95</v>
      </c>
      <c r="D156" s="0" t="n">
        <v>49</v>
      </c>
      <c r="E156" s="0" t="n">
        <v>42.1</v>
      </c>
    </row>
    <row r="157" customFormat="false" ht="15" hidden="false" customHeight="false" outlineLevel="0" collapsed="false">
      <c r="A157" s="0" t="s">
        <v>115</v>
      </c>
      <c r="B157" s="0" t="s">
        <v>103</v>
      </c>
      <c r="C157" s="0" t="s">
        <v>95</v>
      </c>
      <c r="D157" s="0" t="n">
        <v>50</v>
      </c>
      <c r="E157" s="0" t="n">
        <v>48.3</v>
      </c>
    </row>
    <row r="158" customFormat="false" ht="15" hidden="false" customHeight="false" outlineLevel="0" collapsed="false">
      <c r="A158" s="0" t="s">
        <v>115</v>
      </c>
      <c r="B158" s="0" t="s">
        <v>103</v>
      </c>
      <c r="C158" s="0" t="s">
        <v>95</v>
      </c>
      <c r="D158" s="0" t="n">
        <v>51</v>
      </c>
      <c r="E158" s="0" t="n">
        <v>21.6</v>
      </c>
    </row>
    <row r="159" customFormat="false" ht="15" hidden="false" customHeight="false" outlineLevel="0" collapsed="false">
      <c r="A159" s="0" t="s">
        <v>115</v>
      </c>
      <c r="B159" s="0" t="s">
        <v>103</v>
      </c>
      <c r="C159" s="0" t="s">
        <v>95</v>
      </c>
      <c r="D159" s="0" t="n">
        <v>52</v>
      </c>
      <c r="E159" s="0" t="n">
        <v>8.2</v>
      </c>
    </row>
    <row r="160" customFormat="false" ht="15" hidden="false" customHeight="false" outlineLevel="0" collapsed="false">
      <c r="A160" s="0" t="s">
        <v>115</v>
      </c>
      <c r="B160" s="0" t="s">
        <v>103</v>
      </c>
      <c r="C160" s="0" t="s">
        <v>95</v>
      </c>
      <c r="D160" s="0" t="n">
        <v>53</v>
      </c>
      <c r="E160" s="0" t="n">
        <v>1.4</v>
      </c>
    </row>
    <row r="161" customFormat="false" ht="15" hidden="false" customHeight="false" outlineLevel="0" collapsed="false">
      <c r="A161" s="0" t="s">
        <v>115</v>
      </c>
      <c r="B161" s="0" t="s">
        <v>103</v>
      </c>
      <c r="C161" s="0" t="s">
        <v>95</v>
      </c>
      <c r="D161" s="0" t="n">
        <v>54</v>
      </c>
      <c r="E161" s="0" t="n">
        <v>51.1</v>
      </c>
    </row>
    <row r="162" customFormat="false" ht="15" hidden="false" customHeight="false" outlineLevel="0" collapsed="false">
      <c r="A162" s="0" t="s">
        <v>115</v>
      </c>
      <c r="B162" s="0" t="s">
        <v>103</v>
      </c>
      <c r="C162" s="0" t="s">
        <v>95</v>
      </c>
      <c r="D162" s="0" t="n">
        <v>55</v>
      </c>
      <c r="E162" s="0" t="n">
        <v>48.8</v>
      </c>
    </row>
    <row r="163" customFormat="false" ht="15" hidden="false" customHeight="false" outlineLevel="0" collapsed="false">
      <c r="A163" s="0" t="s">
        <v>115</v>
      </c>
      <c r="B163" s="0" t="s">
        <v>104</v>
      </c>
      <c r="C163" s="0" t="s">
        <v>95</v>
      </c>
      <c r="D163" s="0" t="n">
        <v>1</v>
      </c>
      <c r="E163" s="0" t="n">
        <v>4.8</v>
      </c>
    </row>
    <row r="164" customFormat="false" ht="15" hidden="false" customHeight="false" outlineLevel="0" collapsed="false">
      <c r="A164" s="0" t="s">
        <v>115</v>
      </c>
      <c r="B164" s="0" t="s">
        <v>105</v>
      </c>
      <c r="C164" s="0" t="s">
        <v>95</v>
      </c>
      <c r="D164" s="0" t="n">
        <v>1</v>
      </c>
      <c r="E164" s="0" t="n">
        <v>13.4</v>
      </c>
    </row>
    <row r="165" customFormat="false" ht="15" hidden="false" customHeight="false" outlineLevel="0" collapsed="false">
      <c r="A165" s="0" t="s">
        <v>115</v>
      </c>
      <c r="B165" s="0" t="s">
        <v>105</v>
      </c>
      <c r="C165" s="0" t="s">
        <v>95</v>
      </c>
      <c r="D165" s="0" t="n">
        <v>2</v>
      </c>
      <c r="E165" s="0" t="n">
        <v>10.3</v>
      </c>
    </row>
    <row r="166" customFormat="false" ht="15" hidden="false" customHeight="false" outlineLevel="0" collapsed="false">
      <c r="A166" s="0" t="s">
        <v>115</v>
      </c>
      <c r="B166" s="0" t="s">
        <v>105</v>
      </c>
      <c r="C166" s="0" t="s">
        <v>95</v>
      </c>
      <c r="D166" s="0" t="n">
        <v>3</v>
      </c>
      <c r="E166" s="0" t="n">
        <v>28.6</v>
      </c>
    </row>
    <row r="167" customFormat="false" ht="15" hidden="false" customHeight="false" outlineLevel="0" collapsed="false">
      <c r="A167" s="0" t="s">
        <v>115</v>
      </c>
      <c r="B167" s="0" t="s">
        <v>105</v>
      </c>
      <c r="C167" s="0" t="s">
        <v>95</v>
      </c>
      <c r="D167" s="0" t="n">
        <v>4</v>
      </c>
      <c r="E167" s="0" t="n">
        <v>35.9</v>
      </c>
    </row>
    <row r="168" customFormat="false" ht="15" hidden="false" customHeight="false" outlineLevel="0" collapsed="false">
      <c r="A168" s="0" t="s">
        <v>115</v>
      </c>
      <c r="B168" s="0" t="s">
        <v>105</v>
      </c>
      <c r="C168" s="0" t="s">
        <v>101</v>
      </c>
      <c r="D168" s="0" t="n">
        <v>1</v>
      </c>
      <c r="E168" s="0" t="n">
        <v>25.1</v>
      </c>
    </row>
    <row r="169" customFormat="false" ht="15" hidden="false" customHeight="false" outlineLevel="0" collapsed="false">
      <c r="A169" s="0" t="s">
        <v>115</v>
      </c>
      <c r="B169" s="0" t="s">
        <v>105</v>
      </c>
      <c r="C169" s="0" t="s">
        <v>101</v>
      </c>
      <c r="D169" s="0" t="n">
        <v>2</v>
      </c>
      <c r="E169" s="0" t="n">
        <v>5.3</v>
      </c>
    </row>
    <row r="170" customFormat="false" ht="15" hidden="false" customHeight="false" outlineLevel="0" collapsed="false">
      <c r="A170" s="0" t="s">
        <v>115</v>
      </c>
      <c r="B170" s="0" t="s">
        <v>105</v>
      </c>
      <c r="C170" s="0" t="s">
        <v>101</v>
      </c>
      <c r="D170" s="0" t="n">
        <v>3</v>
      </c>
      <c r="E170" s="0" t="n">
        <v>19.2</v>
      </c>
    </row>
    <row r="171" customFormat="false" ht="15" hidden="false" customHeight="false" outlineLevel="0" collapsed="false">
      <c r="A171" s="0" t="s">
        <v>115</v>
      </c>
      <c r="B171" s="0" t="s">
        <v>105</v>
      </c>
      <c r="C171" s="0" t="s">
        <v>101</v>
      </c>
      <c r="D171" s="0" t="n">
        <v>4</v>
      </c>
      <c r="E171" s="0" t="n">
        <v>7.5</v>
      </c>
    </row>
    <row r="172" customFormat="false" ht="15" hidden="false" customHeight="false" outlineLevel="0" collapsed="false">
      <c r="A172" s="0" t="s">
        <v>115</v>
      </c>
      <c r="B172" s="0" t="s">
        <v>105</v>
      </c>
      <c r="C172" s="0" t="s">
        <v>101</v>
      </c>
      <c r="D172" s="0" t="n">
        <v>5</v>
      </c>
      <c r="E172" s="0" t="n">
        <v>4.1</v>
      </c>
    </row>
    <row r="173" customFormat="false" ht="15" hidden="false" customHeight="false" outlineLevel="0" collapsed="false">
      <c r="A173" s="0" t="s">
        <v>115</v>
      </c>
      <c r="B173" s="0" t="s">
        <v>105</v>
      </c>
      <c r="C173" s="0" t="s">
        <v>101</v>
      </c>
      <c r="D173" s="0" t="n">
        <v>6</v>
      </c>
      <c r="E173" s="0" t="n">
        <v>9.4</v>
      </c>
    </row>
    <row r="174" customFormat="false" ht="15" hidden="false" customHeight="false" outlineLevel="0" collapsed="false">
      <c r="A174" s="0" t="s">
        <v>115</v>
      </c>
      <c r="B174" s="0" t="s">
        <v>105</v>
      </c>
      <c r="C174" s="0" t="s">
        <v>101</v>
      </c>
      <c r="D174" s="0" t="n">
        <v>7</v>
      </c>
      <c r="E174" s="0" t="n">
        <v>6</v>
      </c>
    </row>
    <row r="175" customFormat="false" ht="15" hidden="false" customHeight="false" outlineLevel="0" collapsed="false">
      <c r="A175" s="0" t="s">
        <v>115</v>
      </c>
      <c r="B175" s="0" t="s">
        <v>105</v>
      </c>
      <c r="C175" s="0" t="s">
        <v>101</v>
      </c>
      <c r="D175" s="0" t="n">
        <v>8</v>
      </c>
      <c r="E175" s="0" t="n">
        <v>8.3</v>
      </c>
    </row>
    <row r="176" customFormat="false" ht="15" hidden="false" customHeight="false" outlineLevel="0" collapsed="false">
      <c r="A176" s="0" t="s">
        <v>115</v>
      </c>
      <c r="B176" s="0" t="s">
        <v>105</v>
      </c>
      <c r="C176" s="0" t="s">
        <v>101</v>
      </c>
      <c r="D176" s="0" t="n">
        <v>9</v>
      </c>
      <c r="E176" s="0" t="n">
        <v>23.3</v>
      </c>
    </row>
    <row r="177" customFormat="false" ht="15" hidden="false" customHeight="false" outlineLevel="0" collapsed="false">
      <c r="A177" s="0" t="s">
        <v>115</v>
      </c>
      <c r="B177" s="0" t="s">
        <v>105</v>
      </c>
      <c r="C177" s="0" t="s">
        <v>101</v>
      </c>
      <c r="D177" s="0" t="n">
        <v>10</v>
      </c>
      <c r="E177" s="0" t="n">
        <v>7.1</v>
      </c>
    </row>
    <row r="178" customFormat="false" ht="15" hidden="false" customHeight="false" outlineLevel="0" collapsed="false">
      <c r="A178" s="0" t="s">
        <v>115</v>
      </c>
      <c r="B178" s="0" t="s">
        <v>105</v>
      </c>
      <c r="C178" s="0" t="s">
        <v>101</v>
      </c>
      <c r="D178" s="0" t="n">
        <v>11</v>
      </c>
      <c r="E178" s="0" t="n">
        <v>1.2</v>
      </c>
    </row>
    <row r="179" customFormat="false" ht="15" hidden="false" customHeight="false" outlineLevel="0" collapsed="false">
      <c r="A179" s="0" t="s">
        <v>115</v>
      </c>
      <c r="B179" s="0" t="s">
        <v>105</v>
      </c>
      <c r="C179" s="0" t="s">
        <v>101</v>
      </c>
      <c r="D179" s="0" t="n">
        <v>12</v>
      </c>
      <c r="E179" s="0" t="n">
        <v>8.3</v>
      </c>
    </row>
    <row r="180" customFormat="false" ht="15" hidden="false" customHeight="false" outlineLevel="0" collapsed="false">
      <c r="A180" s="0" t="s">
        <v>115</v>
      </c>
      <c r="B180" s="0" t="s">
        <v>105</v>
      </c>
      <c r="C180" s="0" t="s">
        <v>101</v>
      </c>
      <c r="D180" s="0" t="n">
        <v>13</v>
      </c>
      <c r="E180" s="0" t="n">
        <v>9.6</v>
      </c>
    </row>
    <row r="181" customFormat="false" ht="15" hidden="false" customHeight="false" outlineLevel="0" collapsed="false">
      <c r="A181" s="0" t="s">
        <v>115</v>
      </c>
      <c r="B181" s="0" t="s">
        <v>105</v>
      </c>
      <c r="C181" s="0" t="s">
        <v>101</v>
      </c>
      <c r="D181" s="0" t="n">
        <v>14</v>
      </c>
      <c r="E181" s="0" t="n">
        <v>10.6</v>
      </c>
    </row>
    <row r="182" customFormat="false" ht="15" hidden="false" customHeight="false" outlineLevel="0" collapsed="false">
      <c r="A182" s="0" t="s">
        <v>115</v>
      </c>
      <c r="B182" s="0" t="s">
        <v>105</v>
      </c>
      <c r="C182" s="0" t="s">
        <v>101</v>
      </c>
      <c r="D182" s="0" t="n">
        <v>15</v>
      </c>
      <c r="E182" s="0" t="n">
        <v>18.5</v>
      </c>
    </row>
    <row r="183" customFormat="false" ht="15" hidden="false" customHeight="false" outlineLevel="0" collapsed="false">
      <c r="A183" s="0" t="s">
        <v>115</v>
      </c>
      <c r="B183" s="0" t="s">
        <v>105</v>
      </c>
      <c r="C183" s="0" t="s">
        <v>101</v>
      </c>
      <c r="D183" s="0" t="n">
        <v>16</v>
      </c>
      <c r="E183" s="0" t="n">
        <v>1.7</v>
      </c>
    </row>
    <row r="184" customFormat="false" ht="15" hidden="false" customHeight="false" outlineLevel="0" collapsed="false">
      <c r="A184" s="0" t="s">
        <v>115</v>
      </c>
      <c r="B184" s="0" t="s">
        <v>105</v>
      </c>
      <c r="C184" s="0" t="s">
        <v>101</v>
      </c>
      <c r="D184" s="0" t="n">
        <v>17</v>
      </c>
      <c r="E184" s="0" t="n">
        <v>14.8</v>
      </c>
    </row>
    <row r="185" customFormat="false" ht="15" hidden="false" customHeight="false" outlineLevel="0" collapsed="false">
      <c r="A185" s="0" t="s">
        <v>115</v>
      </c>
      <c r="B185" s="0" t="s">
        <v>105</v>
      </c>
      <c r="C185" s="0" t="s">
        <v>101</v>
      </c>
      <c r="D185" s="0" t="n">
        <v>18</v>
      </c>
      <c r="E185" s="0" t="n">
        <v>4.2</v>
      </c>
    </row>
    <row r="186" customFormat="false" ht="15" hidden="false" customHeight="false" outlineLevel="0" collapsed="false">
      <c r="A186" s="0" t="s">
        <v>115</v>
      </c>
      <c r="B186" s="0" t="s">
        <v>105</v>
      </c>
      <c r="C186" s="0" t="s">
        <v>101</v>
      </c>
      <c r="D186" s="0" t="n">
        <v>19</v>
      </c>
      <c r="E186" s="0" t="n">
        <v>23.1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111</v>
      </c>
      <c r="B1" s="0" t="s">
        <v>110</v>
      </c>
      <c r="C1" s="0" t="s">
        <v>17</v>
      </c>
      <c r="D1" s="0" t="s">
        <v>18</v>
      </c>
      <c r="E1" s="0" t="s">
        <v>19</v>
      </c>
      <c r="F1" s="0" t="s">
        <v>117</v>
      </c>
      <c r="G1" s="0" t="s">
        <v>118</v>
      </c>
      <c r="H1" s="0" t="s">
        <v>21</v>
      </c>
      <c r="I1" s="0" t="s">
        <v>91</v>
      </c>
      <c r="J1" s="0" t="s">
        <v>113</v>
      </c>
    </row>
    <row r="2" customFormat="false" ht="15" hidden="false" customHeight="false" outlineLevel="0" collapsed="false">
      <c r="A2" s="0" t="s">
        <v>92</v>
      </c>
      <c r="B2" s="0" t="s">
        <v>103</v>
      </c>
      <c r="C2" s="0" t="s">
        <v>28</v>
      </c>
      <c r="D2" s="0" t="str">
        <f aca="false">IFERROR(INDEX('Materials Master'!$B$2:$B$27,MATCH($C2,'Materials Master'!$A$2:$A$27,0)),"")</f>
        <v>Corrugated Cardboard</v>
      </c>
      <c r="E2" s="0" t="str">
        <f aca="false">IFERROR(INDEX('Materials Master'!$C$2:$C$27,MATCH($C2,'Materials Master'!$A$2:$A$27,0)),"")</f>
        <v>Fibers</v>
      </c>
      <c r="F2" s="0" t="n">
        <f aca="false">IF(SUMIFS(Fact_SortedWeights!$E$2:$E$89,Fact_SortedWeights!$C$2:$C$89,$A2,Fact_SortedWeights!$B$2:$B$89,$B2)=0,0,SUMIFS(Fact_SortedWeights!$E$2:$E$89,Fact_SortedWeights!$C$2:$C$89,$A2,Fact_SortedWeights!$B$2:$B$89,$B2,Fact_SortedWeights!$D$2:$D$89,$C2)/SUMIFS(Fact_SortedWeights!$E$2:$E$89,Fact_SortedWeights!$C$2:$C$89,$A2,Fact_SortedWeights!$B$2:$B$89,$B2)*(IF($B2="Cardboard Recycling",SUMIFS(Fact_SortedWeights!$E$2:$E$89,Fact_SortedWeights!$C$2:$C$89,$A2,Fact_SortedWeights!$B$2:$B$89,$B2),SUMIFS(Fact_PreSortWeights!$E$2:$E$186,Fact_PreSortWeights!$C$2:$C$186,$A2,Fact_PreSortWeights!$B$2:$B$186,$B2))))</f>
        <v>0</v>
      </c>
      <c r="G2" s="0" t="n">
        <f aca="false">IF(AND(IF($B2="Trash",INDEX('Materials Master'!$F$2:$F$27,MATCH($C2,'Materials Master'!$A$2:$A$27,0)),IF($B2="GMPC Recycling",INDEX('Materials Master'!$G$2:$G$27,MATCH($C2,'Materials Master'!$A$2:$A$27,0)),IF($B2="Organics Recycling",INDEX('Materials Master'!$H$2:$H$27,MATCH($C2,'Materials Master'!$A$2:$A$27,0)),IF($B2="Cardboard Recycling",INDEX('Materials Master'!$I$2:$I$27,MATCH($C2,'Materials Master'!$A$2:$A$27,0)),IF($B2="Paper Recycling",INDEX('Materials Master'!$J$2:$J$27,MATCH($C2,'Materials Master'!$A$2:$A$27,0)),IF($B2="Terracycle",INDEX('Materials Master'!$K$2:$K$27,MATCH($C2,'Materials Master'!$A$2:$A$27,0)),"No"))))))="Yes",INDEX('Materials Master'!$E$2:$E$27,MATCH($C2,'Materials Master'!$A$2:$A$27,0))="Yes",$B2&lt;&gt;"Trash"),1,0)</f>
        <v>0</v>
      </c>
      <c r="H2" s="0" t="str">
        <f aca="false">INDEX('Materials Master'!$E$2:$E$27,MATCH($C2,'Materials Master'!$A$2:$A$27,0))</f>
        <v>Yes</v>
      </c>
      <c r="I2" s="0" t="str">
        <f aca="false">IFERROR(INDEX(Areas!$C$2:$C$6,MATCH($A2,Areas!$B$2:$B$6,0)),"")</f>
        <v>Rest of Building</v>
      </c>
      <c r="J2" s="0" t="n">
        <f aca="false">IF(IF($B2="Trash",INDEX('Materials Master'!$F$2:$F$27,MATCH($C2,'Materials Master'!$A$2:$A$27,0)),IF($B2="GMPC Recycling",INDEX('Materials Master'!$G$2:$G$27,MATCH($C2,'Materials Master'!$A$2:$A$27,0)),IF($B2="Organics Recycling",INDEX('Materials Master'!$H$2:$H$27,MATCH($C2,'Materials Master'!$A$2:$A$27,0)),IF($B2="Cardboard Recycling",INDEX('Materials Master'!$I$2:$I$27,MATCH($C2,'Materials Master'!$A$2:$A$27,0)),IF($B2="Paper Recycling",INDEX('Materials Master'!$J$2:$J$27,MATCH($C2,'Materials Master'!$A$2:$A$27,0)),IF($B2="Terracycle",INDEX('Materials Master'!$K$2:$K$27,MATCH($C2,'Materials Master'!$A$2:$A$27,0)),"No"))))))="Yes",1,0)</f>
        <v>0</v>
      </c>
    </row>
    <row r="3" customFormat="false" ht="15" hidden="false" customHeight="false" outlineLevel="0" collapsed="false">
      <c r="A3" s="0" t="s">
        <v>92</v>
      </c>
      <c r="B3" s="0" t="s">
        <v>103</v>
      </c>
      <c r="C3" s="0" t="s">
        <v>33</v>
      </c>
      <c r="D3" s="0" t="str">
        <f aca="false">IFERROR(INDEX('Materials Master'!$B$2:$B$27,MATCH($C3,'Materials Master'!$A$2:$A$27,0)),"")</f>
        <v>Soiled Cardboard</v>
      </c>
      <c r="E3" s="0" t="str">
        <f aca="false">IFERROR(INDEX('Materials Master'!$C$2:$C$27,MATCH($C3,'Materials Master'!$A$2:$A$27,0)),"")</f>
        <v>Fibers</v>
      </c>
      <c r="F3" s="0" t="n">
        <f aca="false">IF(SUMIFS(Fact_SortedWeights!$E$2:$E$89,Fact_SortedWeights!$C$2:$C$89,$A3,Fact_SortedWeights!$B$2:$B$89,$B3)=0,0,SUMIFS(Fact_SortedWeights!$E$2:$E$89,Fact_SortedWeights!$C$2:$C$89,$A3,Fact_SortedWeights!$B$2:$B$89,$B3,Fact_SortedWeights!$D$2:$D$89,$C3)/SUMIFS(Fact_SortedWeights!$E$2:$E$89,Fact_SortedWeights!$C$2:$C$89,$A3,Fact_SortedWeights!$B$2:$B$89,$B3)*(IF($B3="Cardboard Recycling",SUMIFS(Fact_SortedWeights!$E$2:$E$89,Fact_SortedWeights!$C$2:$C$89,$A3,Fact_SortedWeights!$B$2:$B$89,$B3),SUMIFS(Fact_PreSortWeights!$E$2:$E$186,Fact_PreSortWeights!$C$2:$C$186,$A3,Fact_PreSortWeights!$B$2:$B$186,$B3))))</f>
        <v>0</v>
      </c>
      <c r="G3" s="0" t="n">
        <f aca="false">IF(AND(IF($B3="Trash",INDEX('Materials Master'!$F$2:$F$27,MATCH($C3,'Materials Master'!$A$2:$A$27,0)),IF($B3="GMPC Recycling",INDEX('Materials Master'!$G$2:$G$27,MATCH($C3,'Materials Master'!$A$2:$A$27,0)),IF($B3="Organics Recycling",INDEX('Materials Master'!$H$2:$H$27,MATCH($C3,'Materials Master'!$A$2:$A$27,0)),IF($B3="Cardboard Recycling",INDEX('Materials Master'!$I$2:$I$27,MATCH($C3,'Materials Master'!$A$2:$A$27,0)),IF($B3="Paper Recycling",INDEX('Materials Master'!$J$2:$J$27,MATCH($C3,'Materials Master'!$A$2:$A$27,0)),IF($B3="Terracycle",INDEX('Materials Master'!$K$2:$K$27,MATCH($C3,'Materials Master'!$A$2:$A$27,0)),"No"))))))="Yes",INDEX('Materials Master'!$E$2:$E$27,MATCH($C3,'Materials Master'!$A$2:$A$27,0))="Yes",$B3&lt;&gt;"Trash"),1,0)</f>
        <v>0</v>
      </c>
      <c r="H3" s="0" t="str">
        <f aca="false">INDEX('Materials Master'!$E$2:$E$27,MATCH($C3,'Materials Master'!$A$2:$A$27,0))</f>
        <v>No</v>
      </c>
      <c r="I3" s="0" t="str">
        <f aca="false">IFERROR(INDEX(Areas!$C$2:$C$6,MATCH($A3,Areas!$B$2:$B$6,0)),"")</f>
        <v>Rest of Building</v>
      </c>
      <c r="J3" s="0" t="n">
        <f aca="false">IF(IF($B3="Trash",INDEX('Materials Master'!$F$2:$F$27,MATCH($C3,'Materials Master'!$A$2:$A$27,0)),IF($B3="GMPC Recycling",INDEX('Materials Master'!$G$2:$G$27,MATCH($C3,'Materials Master'!$A$2:$A$27,0)),IF($B3="Organics Recycling",INDEX('Materials Master'!$H$2:$H$27,MATCH($C3,'Materials Master'!$A$2:$A$27,0)),IF($B3="Cardboard Recycling",INDEX('Materials Master'!$I$2:$I$27,MATCH($C3,'Materials Master'!$A$2:$A$27,0)),IF($B3="Paper Recycling",INDEX('Materials Master'!$J$2:$J$27,MATCH($C3,'Materials Master'!$A$2:$A$27,0)),IF($B3="Terracycle",INDEX('Materials Master'!$K$2:$K$27,MATCH($C3,'Materials Master'!$A$2:$A$27,0)),"No"))))))="Yes",1,0)</f>
        <v>1</v>
      </c>
    </row>
    <row r="4" customFormat="false" ht="15" hidden="false" customHeight="false" outlineLevel="0" collapsed="false">
      <c r="A4" s="0" t="s">
        <v>92</v>
      </c>
      <c r="B4" s="0" t="s">
        <v>103</v>
      </c>
      <c r="C4" s="0" t="s">
        <v>35</v>
      </c>
      <c r="D4" s="0" t="str">
        <f aca="false">IFERROR(INDEX('Materials Master'!$B$2:$B$27,MATCH($C4,'Materials Master'!$A$2:$A$27,0)),"")</f>
        <v>Waxed Cardboard</v>
      </c>
      <c r="E4" s="0" t="str">
        <f aca="false">IFERROR(INDEX('Materials Master'!$C$2:$C$27,MATCH($C4,'Materials Master'!$A$2:$A$27,0)),"")</f>
        <v>Fibers</v>
      </c>
      <c r="F4" s="0" t="n">
        <f aca="false">IF(SUMIFS(Fact_SortedWeights!$E$2:$E$89,Fact_SortedWeights!$C$2:$C$89,$A4,Fact_SortedWeights!$B$2:$B$89,$B4)=0,0,SUMIFS(Fact_SortedWeights!$E$2:$E$89,Fact_SortedWeights!$C$2:$C$89,$A4,Fact_SortedWeights!$B$2:$B$89,$B4,Fact_SortedWeights!$D$2:$D$89,$C4)/SUMIFS(Fact_SortedWeights!$E$2:$E$89,Fact_SortedWeights!$C$2:$C$89,$A4,Fact_SortedWeights!$B$2:$B$89,$B4)*(IF($B4="Cardboard Recycling",SUMIFS(Fact_SortedWeights!$E$2:$E$89,Fact_SortedWeights!$C$2:$C$89,$A4,Fact_SortedWeights!$B$2:$B$89,$B4),SUMIFS(Fact_PreSortWeights!$E$2:$E$186,Fact_PreSortWeights!$C$2:$C$186,$A4,Fact_PreSortWeights!$B$2:$B$186,$B4))))</f>
        <v>0</v>
      </c>
      <c r="G4" s="0" t="n">
        <f aca="false">IF(AND(IF($B4="Trash",INDEX('Materials Master'!$F$2:$F$27,MATCH($C4,'Materials Master'!$A$2:$A$27,0)),IF($B4="GMPC Recycling",INDEX('Materials Master'!$G$2:$G$27,MATCH($C4,'Materials Master'!$A$2:$A$27,0)),IF($B4="Organics Recycling",INDEX('Materials Master'!$H$2:$H$27,MATCH($C4,'Materials Master'!$A$2:$A$27,0)),IF($B4="Cardboard Recycling",INDEX('Materials Master'!$I$2:$I$27,MATCH($C4,'Materials Master'!$A$2:$A$27,0)),IF($B4="Paper Recycling",INDEX('Materials Master'!$J$2:$J$27,MATCH($C4,'Materials Master'!$A$2:$A$27,0)),IF($B4="Terracycle",INDEX('Materials Master'!$K$2:$K$27,MATCH($C4,'Materials Master'!$A$2:$A$27,0)),"No"))))))="Yes",INDEX('Materials Master'!$E$2:$E$27,MATCH($C4,'Materials Master'!$A$2:$A$27,0))="Yes",$B4&lt;&gt;"Trash"),1,0)</f>
        <v>0</v>
      </c>
      <c r="H4" s="0" t="str">
        <f aca="false">INDEX('Materials Master'!$E$2:$E$27,MATCH($C4,'Materials Master'!$A$2:$A$27,0))</f>
        <v>No</v>
      </c>
      <c r="I4" s="0" t="str">
        <f aca="false">IFERROR(INDEX(Areas!$C$2:$C$6,MATCH($A4,Areas!$B$2:$B$6,0)),"")</f>
        <v>Rest of Building</v>
      </c>
      <c r="J4" s="0" t="n">
        <f aca="false">IF(IF($B4="Trash",INDEX('Materials Master'!$F$2:$F$27,MATCH($C4,'Materials Master'!$A$2:$A$27,0)),IF($B4="GMPC Recycling",INDEX('Materials Master'!$G$2:$G$27,MATCH($C4,'Materials Master'!$A$2:$A$27,0)),IF($B4="Organics Recycling",INDEX('Materials Master'!$H$2:$H$27,MATCH($C4,'Materials Master'!$A$2:$A$27,0)),IF($B4="Cardboard Recycling",INDEX('Materials Master'!$I$2:$I$27,MATCH($C4,'Materials Master'!$A$2:$A$27,0)),IF($B4="Paper Recycling",INDEX('Materials Master'!$J$2:$J$27,MATCH($C4,'Materials Master'!$A$2:$A$27,0)),IF($B4="Terracycle",INDEX('Materials Master'!$K$2:$K$27,MATCH($C4,'Materials Master'!$A$2:$A$27,0)),"No"))))))="Yes",1,0)</f>
        <v>1</v>
      </c>
    </row>
    <row r="5" customFormat="false" ht="15" hidden="false" customHeight="false" outlineLevel="0" collapsed="false">
      <c r="A5" s="0" t="s">
        <v>92</v>
      </c>
      <c r="B5" s="0" t="s">
        <v>103</v>
      </c>
      <c r="C5" s="0" t="s">
        <v>37</v>
      </c>
      <c r="D5" s="0" t="str">
        <f aca="false">IFERROR(INDEX('Materials Master'!$B$2:$B$27,MATCH($C5,'Materials Master'!$A$2:$A$27,0)),"")</f>
        <v>Mixed Paper</v>
      </c>
      <c r="E5" s="0" t="str">
        <f aca="false">IFERROR(INDEX('Materials Master'!$C$2:$C$27,MATCH($C5,'Materials Master'!$A$2:$A$27,0)),"")</f>
        <v>Fibers</v>
      </c>
      <c r="F5" s="0" t="n">
        <f aca="false">IF(SUMIFS(Fact_SortedWeights!$E$2:$E$89,Fact_SortedWeights!$C$2:$C$89,$A5,Fact_SortedWeights!$B$2:$B$89,$B5)=0,0,SUMIFS(Fact_SortedWeights!$E$2:$E$89,Fact_SortedWeights!$C$2:$C$89,$A5,Fact_SortedWeights!$B$2:$B$89,$B5,Fact_SortedWeights!$D$2:$D$89,$C5)/SUMIFS(Fact_SortedWeights!$E$2:$E$89,Fact_SortedWeights!$C$2:$C$89,$A5,Fact_SortedWeights!$B$2:$B$89,$B5)*(IF($B5="Cardboard Recycling",SUMIFS(Fact_SortedWeights!$E$2:$E$89,Fact_SortedWeights!$C$2:$C$89,$A5,Fact_SortedWeights!$B$2:$B$89,$B5),SUMIFS(Fact_PreSortWeights!$E$2:$E$186,Fact_PreSortWeights!$C$2:$C$186,$A5,Fact_PreSortWeights!$B$2:$B$186,$B5))))</f>
        <v>41.0676186200326</v>
      </c>
      <c r="G5" s="0" t="n">
        <f aca="false">IF(AND(IF($B5="Trash",INDEX('Materials Master'!$F$2:$F$27,MATCH($C5,'Materials Master'!$A$2:$A$27,0)),IF($B5="GMPC Recycling",INDEX('Materials Master'!$G$2:$G$27,MATCH($C5,'Materials Master'!$A$2:$A$27,0)),IF($B5="Organics Recycling",INDEX('Materials Master'!$H$2:$H$27,MATCH($C5,'Materials Master'!$A$2:$A$27,0)),IF($B5="Cardboard Recycling",INDEX('Materials Master'!$I$2:$I$27,MATCH($C5,'Materials Master'!$A$2:$A$27,0)),IF($B5="Paper Recycling",INDEX('Materials Master'!$J$2:$J$27,MATCH($C5,'Materials Master'!$A$2:$A$27,0)),IF($B5="Terracycle",INDEX('Materials Master'!$K$2:$K$27,MATCH($C5,'Materials Master'!$A$2:$A$27,0)),"No"))))))="Yes",INDEX('Materials Master'!$E$2:$E$27,MATCH($C5,'Materials Master'!$A$2:$A$27,0))="Yes",$B5&lt;&gt;"Trash"),1,0)</f>
        <v>0</v>
      </c>
      <c r="H5" s="0" t="str">
        <f aca="false">INDEX('Materials Master'!$E$2:$E$27,MATCH($C5,'Materials Master'!$A$2:$A$27,0))</f>
        <v>Yes</v>
      </c>
      <c r="I5" s="0" t="str">
        <f aca="false">IFERROR(INDEX(Areas!$C$2:$C$6,MATCH($A5,Areas!$B$2:$B$6,0)),"")</f>
        <v>Rest of Building</v>
      </c>
      <c r="J5" s="0" t="n">
        <f aca="false">IF(IF($B5="Trash",INDEX('Materials Master'!$F$2:$F$27,MATCH($C5,'Materials Master'!$A$2:$A$27,0)),IF($B5="GMPC Recycling",INDEX('Materials Master'!$G$2:$G$27,MATCH($C5,'Materials Master'!$A$2:$A$27,0)),IF($B5="Organics Recycling",INDEX('Materials Master'!$H$2:$H$27,MATCH($C5,'Materials Master'!$A$2:$A$27,0)),IF($B5="Cardboard Recycling",INDEX('Materials Master'!$I$2:$I$27,MATCH($C5,'Materials Master'!$A$2:$A$27,0)),IF($B5="Paper Recycling",INDEX('Materials Master'!$J$2:$J$27,MATCH($C5,'Materials Master'!$A$2:$A$27,0)),IF($B5="Terracycle",INDEX('Materials Master'!$K$2:$K$27,MATCH($C5,'Materials Master'!$A$2:$A$27,0)),"No"))))))="Yes",1,0)</f>
        <v>0</v>
      </c>
    </row>
    <row r="6" customFormat="false" ht="15" hidden="false" customHeight="false" outlineLevel="0" collapsed="false">
      <c r="A6" s="0" t="s">
        <v>92</v>
      </c>
      <c r="B6" s="0" t="s">
        <v>103</v>
      </c>
      <c r="C6" s="0" t="s">
        <v>39</v>
      </c>
      <c r="D6" s="0" t="str">
        <f aca="false">IFERROR(INDEX('Materials Master'!$B$2:$B$27,MATCH($C6,'Materials Master'!$A$2:$A$27,0)),"")</f>
        <v>Soiled Paper</v>
      </c>
      <c r="E6" s="0" t="str">
        <f aca="false">IFERROR(INDEX('Materials Master'!$C$2:$C$27,MATCH($C6,'Materials Master'!$A$2:$A$27,0)),"")</f>
        <v>Fibers</v>
      </c>
      <c r="F6" s="0" t="n">
        <f aca="false">IF(SUMIFS(Fact_SortedWeights!$E$2:$E$89,Fact_SortedWeights!$C$2:$C$89,$A6,Fact_SortedWeights!$B$2:$B$89,$B6)=0,0,SUMIFS(Fact_SortedWeights!$E$2:$E$89,Fact_SortedWeights!$C$2:$C$89,$A6,Fact_SortedWeights!$B$2:$B$89,$B6,Fact_SortedWeights!$D$2:$D$89,$C6)/SUMIFS(Fact_SortedWeights!$E$2:$E$89,Fact_SortedWeights!$C$2:$C$89,$A6,Fact_SortedWeights!$B$2:$B$89,$B6)*(IF($B6="Cardboard Recycling",SUMIFS(Fact_SortedWeights!$E$2:$E$89,Fact_SortedWeights!$C$2:$C$89,$A6,Fact_SortedWeights!$B$2:$B$89,$B6),SUMIFS(Fact_PreSortWeights!$E$2:$E$186,Fact_PreSortWeights!$C$2:$C$186,$A6,Fact_PreSortWeights!$B$2:$B$186,$B6))))</f>
        <v>0</v>
      </c>
      <c r="G6" s="0" t="n">
        <f aca="false">IF(AND(IF($B6="Trash",INDEX('Materials Master'!$F$2:$F$27,MATCH($C6,'Materials Master'!$A$2:$A$27,0)),IF($B6="GMPC Recycling",INDEX('Materials Master'!$G$2:$G$27,MATCH($C6,'Materials Master'!$A$2:$A$27,0)),IF($B6="Organics Recycling",INDEX('Materials Master'!$H$2:$H$27,MATCH($C6,'Materials Master'!$A$2:$A$27,0)),IF($B6="Cardboard Recycling",INDEX('Materials Master'!$I$2:$I$27,MATCH($C6,'Materials Master'!$A$2:$A$27,0)),IF($B6="Paper Recycling",INDEX('Materials Master'!$J$2:$J$27,MATCH($C6,'Materials Master'!$A$2:$A$27,0)),IF($B6="Terracycle",INDEX('Materials Master'!$K$2:$K$27,MATCH($C6,'Materials Master'!$A$2:$A$27,0)),"No"))))))="Yes",INDEX('Materials Master'!$E$2:$E$27,MATCH($C6,'Materials Master'!$A$2:$A$27,0))="Yes",$B6&lt;&gt;"Trash"),1,0)</f>
        <v>0</v>
      </c>
      <c r="H6" s="0" t="str">
        <f aca="false">INDEX('Materials Master'!$E$2:$E$27,MATCH($C6,'Materials Master'!$A$2:$A$27,0))</f>
        <v>No</v>
      </c>
      <c r="I6" s="0" t="str">
        <f aca="false">IFERROR(INDEX(Areas!$C$2:$C$6,MATCH($A6,Areas!$B$2:$B$6,0)),"")</f>
        <v>Rest of Building</v>
      </c>
      <c r="J6" s="0" t="n">
        <f aca="false">IF(IF($B6="Trash",INDEX('Materials Master'!$F$2:$F$27,MATCH($C6,'Materials Master'!$A$2:$A$27,0)),IF($B6="GMPC Recycling",INDEX('Materials Master'!$G$2:$G$27,MATCH($C6,'Materials Master'!$A$2:$A$27,0)),IF($B6="Organics Recycling",INDEX('Materials Master'!$H$2:$H$27,MATCH($C6,'Materials Master'!$A$2:$A$27,0)),IF($B6="Cardboard Recycling",INDEX('Materials Master'!$I$2:$I$27,MATCH($C6,'Materials Master'!$A$2:$A$27,0)),IF($B6="Paper Recycling",INDEX('Materials Master'!$J$2:$J$27,MATCH($C6,'Materials Master'!$A$2:$A$27,0)),IF($B6="Terracycle",INDEX('Materials Master'!$K$2:$K$27,MATCH($C6,'Materials Master'!$A$2:$A$27,0)),"No"))))))="Yes",1,0)</f>
        <v>1</v>
      </c>
    </row>
    <row r="7" customFormat="false" ht="15" hidden="false" customHeight="false" outlineLevel="0" collapsed="false">
      <c r="A7" s="0" t="s">
        <v>92</v>
      </c>
      <c r="B7" s="0" t="s">
        <v>103</v>
      </c>
      <c r="C7" s="0" t="s">
        <v>41</v>
      </c>
      <c r="D7" s="0" t="str">
        <f aca="false">IFERROR(INDEX('Materials Master'!$B$2:$B$27,MATCH($C7,'Materials Master'!$A$2:$A$27,0)),"")</f>
        <v>Beverage Cartons</v>
      </c>
      <c r="E7" s="0" t="str">
        <f aca="false">IFERROR(INDEX('Materials Master'!$C$2:$C$27,MATCH($C7,'Materials Master'!$A$2:$A$27,0)),"")</f>
        <v>Fibers</v>
      </c>
      <c r="F7" s="0" t="n">
        <f aca="false">IF(SUMIFS(Fact_SortedWeights!$E$2:$E$89,Fact_SortedWeights!$C$2:$C$89,$A7,Fact_SortedWeights!$B$2:$B$89,$B7)=0,0,SUMIFS(Fact_SortedWeights!$E$2:$E$89,Fact_SortedWeights!$C$2:$C$89,$A7,Fact_SortedWeights!$B$2:$B$89,$B7,Fact_SortedWeights!$D$2:$D$89,$C7)/SUMIFS(Fact_SortedWeights!$E$2:$E$89,Fact_SortedWeights!$C$2:$C$89,$A7,Fact_SortedWeights!$B$2:$B$89,$B7)*(IF($B7="Cardboard Recycling",SUMIFS(Fact_SortedWeights!$E$2:$E$89,Fact_SortedWeights!$C$2:$C$89,$A7,Fact_SortedWeights!$B$2:$B$89,$B7),SUMIFS(Fact_PreSortWeights!$E$2:$E$186,Fact_PreSortWeights!$C$2:$C$186,$A7,Fact_PreSortWeights!$B$2:$B$186,$B7))))</f>
        <v>0.14947405306556</v>
      </c>
      <c r="G7" s="0" t="n">
        <f aca="false">IF(AND(IF($B7="Trash",INDEX('Materials Master'!$F$2:$F$27,MATCH($C7,'Materials Master'!$A$2:$A$27,0)),IF($B7="GMPC Recycling",INDEX('Materials Master'!$G$2:$G$27,MATCH($C7,'Materials Master'!$A$2:$A$27,0)),IF($B7="Organics Recycling",INDEX('Materials Master'!$H$2:$H$27,MATCH($C7,'Materials Master'!$A$2:$A$27,0)),IF($B7="Cardboard Recycling",INDEX('Materials Master'!$I$2:$I$27,MATCH($C7,'Materials Master'!$A$2:$A$27,0)),IF($B7="Paper Recycling",INDEX('Materials Master'!$J$2:$J$27,MATCH($C7,'Materials Master'!$A$2:$A$27,0)),IF($B7="Terracycle",INDEX('Materials Master'!$K$2:$K$27,MATCH($C7,'Materials Master'!$A$2:$A$27,0)),"No"))))))="Yes",INDEX('Materials Master'!$E$2:$E$27,MATCH($C7,'Materials Master'!$A$2:$A$27,0))="Yes",$B7&lt;&gt;"Trash"),1,0)</f>
        <v>0</v>
      </c>
      <c r="H7" s="0" t="str">
        <f aca="false">INDEX('Materials Master'!$E$2:$E$27,MATCH($C7,'Materials Master'!$A$2:$A$27,0))</f>
        <v>Yes</v>
      </c>
      <c r="I7" s="0" t="str">
        <f aca="false">IFERROR(INDEX(Areas!$C$2:$C$6,MATCH($A7,Areas!$B$2:$B$6,0)),"")</f>
        <v>Rest of Building</v>
      </c>
      <c r="J7" s="0" t="n">
        <f aca="false">IF(IF($B7="Trash",INDEX('Materials Master'!$F$2:$F$27,MATCH($C7,'Materials Master'!$A$2:$A$27,0)),IF($B7="GMPC Recycling",INDEX('Materials Master'!$G$2:$G$27,MATCH($C7,'Materials Master'!$A$2:$A$27,0)),IF($B7="Organics Recycling",INDEX('Materials Master'!$H$2:$H$27,MATCH($C7,'Materials Master'!$A$2:$A$27,0)),IF($B7="Cardboard Recycling",INDEX('Materials Master'!$I$2:$I$27,MATCH($C7,'Materials Master'!$A$2:$A$27,0)),IF($B7="Paper Recycling",INDEX('Materials Master'!$J$2:$J$27,MATCH($C7,'Materials Master'!$A$2:$A$27,0)),IF($B7="Terracycle",INDEX('Materials Master'!$K$2:$K$27,MATCH($C7,'Materials Master'!$A$2:$A$27,0)),"No"))))))="Yes",1,0)</f>
        <v>0</v>
      </c>
    </row>
    <row r="8" customFormat="false" ht="15" hidden="false" customHeight="false" outlineLevel="0" collapsed="false">
      <c r="A8" s="0" t="s">
        <v>92</v>
      </c>
      <c r="B8" s="0" t="s">
        <v>103</v>
      </c>
      <c r="C8" s="0" t="s">
        <v>43</v>
      </c>
      <c r="D8" s="0" t="str">
        <f aca="false">IFERROR(INDEX('Materials Master'!$B$2:$B$27,MATCH($C8,'Materials Master'!$A$2:$A$27,0)),"")</f>
        <v>Soiled Beverage Cartons</v>
      </c>
      <c r="E8" s="0" t="str">
        <f aca="false">IFERROR(INDEX('Materials Master'!$C$2:$C$27,MATCH($C8,'Materials Master'!$A$2:$A$27,0)),"")</f>
        <v>Fibers</v>
      </c>
      <c r="F8" s="0" t="n">
        <f aca="false">IF(SUMIFS(Fact_SortedWeights!$E$2:$E$89,Fact_SortedWeights!$C$2:$C$89,$A8,Fact_SortedWeights!$B$2:$B$89,$B8)=0,0,SUMIFS(Fact_SortedWeights!$E$2:$E$89,Fact_SortedWeights!$C$2:$C$89,$A8,Fact_SortedWeights!$B$2:$B$89,$B8,Fact_SortedWeights!$D$2:$D$89,$C8)/SUMIFS(Fact_SortedWeights!$E$2:$E$89,Fact_SortedWeights!$C$2:$C$89,$A8,Fact_SortedWeights!$B$2:$B$89,$B8)*(IF($B8="Cardboard Recycling",SUMIFS(Fact_SortedWeights!$E$2:$E$89,Fact_SortedWeights!$C$2:$C$89,$A8,Fact_SortedWeights!$B$2:$B$89,$B8),SUMIFS(Fact_PreSortWeights!$E$2:$E$186,Fact_PreSortWeights!$C$2:$C$186,$A8,Fact_PreSortWeights!$B$2:$B$186,$B8))))</f>
        <v>0</v>
      </c>
      <c r="G8" s="0" t="n">
        <f aca="false">IF(AND(IF($B8="Trash",INDEX('Materials Master'!$F$2:$F$27,MATCH($C8,'Materials Master'!$A$2:$A$27,0)),IF($B8="GMPC Recycling",INDEX('Materials Master'!$G$2:$G$27,MATCH($C8,'Materials Master'!$A$2:$A$27,0)),IF($B8="Organics Recycling",INDEX('Materials Master'!$H$2:$H$27,MATCH($C8,'Materials Master'!$A$2:$A$27,0)),IF($B8="Cardboard Recycling",INDEX('Materials Master'!$I$2:$I$27,MATCH($C8,'Materials Master'!$A$2:$A$27,0)),IF($B8="Paper Recycling",INDEX('Materials Master'!$J$2:$J$27,MATCH($C8,'Materials Master'!$A$2:$A$27,0)),IF($B8="Terracycle",INDEX('Materials Master'!$K$2:$K$27,MATCH($C8,'Materials Master'!$A$2:$A$27,0)),"No"))))))="Yes",INDEX('Materials Master'!$E$2:$E$27,MATCH($C8,'Materials Master'!$A$2:$A$27,0))="Yes",$B8&lt;&gt;"Trash"),1,0)</f>
        <v>0</v>
      </c>
      <c r="H8" s="0" t="str">
        <f aca="false">INDEX('Materials Master'!$E$2:$E$27,MATCH($C8,'Materials Master'!$A$2:$A$27,0))</f>
        <v>No</v>
      </c>
      <c r="I8" s="0" t="str">
        <f aca="false">IFERROR(INDEX(Areas!$C$2:$C$6,MATCH($A8,Areas!$B$2:$B$6,0)),"")</f>
        <v>Rest of Building</v>
      </c>
      <c r="J8" s="0" t="n">
        <f aca="false">IF(IF($B8="Trash",INDEX('Materials Master'!$F$2:$F$27,MATCH($C8,'Materials Master'!$A$2:$A$27,0)),IF($B8="GMPC Recycling",INDEX('Materials Master'!$G$2:$G$27,MATCH($C8,'Materials Master'!$A$2:$A$27,0)),IF($B8="Organics Recycling",INDEX('Materials Master'!$H$2:$H$27,MATCH($C8,'Materials Master'!$A$2:$A$27,0)),IF($B8="Cardboard Recycling",INDEX('Materials Master'!$I$2:$I$27,MATCH($C8,'Materials Master'!$A$2:$A$27,0)),IF($B8="Paper Recycling",INDEX('Materials Master'!$J$2:$J$27,MATCH($C8,'Materials Master'!$A$2:$A$27,0)),IF($B8="Terracycle",INDEX('Materials Master'!$K$2:$K$27,MATCH($C8,'Materials Master'!$A$2:$A$27,0)),"No"))))))="Yes",1,0)</f>
        <v>1</v>
      </c>
    </row>
    <row r="9" customFormat="false" ht="15" hidden="false" customHeight="false" outlineLevel="0" collapsed="false">
      <c r="A9" s="0" t="s">
        <v>92</v>
      </c>
      <c r="B9" s="0" t="s">
        <v>103</v>
      </c>
      <c r="C9" s="0" t="s">
        <v>45</v>
      </c>
      <c r="D9" s="0" t="str">
        <f aca="false">IFERROR(INDEX('Materials Master'!$B$2:$B$27,MATCH($C9,'Materials Master'!$A$2:$A$27,0)),"")</f>
        <v>Paper Cups / Other Coated Paper Containers</v>
      </c>
      <c r="E9" s="0" t="str">
        <f aca="false">IFERROR(INDEX('Materials Master'!$C$2:$C$27,MATCH($C9,'Materials Master'!$A$2:$A$27,0)),"")</f>
        <v>Fibers</v>
      </c>
      <c r="F9" s="0" t="n">
        <f aca="false">IF(SUMIFS(Fact_SortedWeights!$E$2:$E$89,Fact_SortedWeights!$C$2:$C$89,$A9,Fact_SortedWeights!$B$2:$B$89,$B9)=0,0,SUMIFS(Fact_SortedWeights!$E$2:$E$89,Fact_SortedWeights!$C$2:$C$89,$A9,Fact_SortedWeights!$B$2:$B$89,$B9,Fact_SortedWeights!$D$2:$D$89,$C9)/SUMIFS(Fact_SortedWeights!$E$2:$E$89,Fact_SortedWeights!$C$2:$C$89,$A9,Fact_SortedWeights!$B$2:$B$89,$B9)*(IF($B9="Cardboard Recycling",SUMIFS(Fact_SortedWeights!$E$2:$E$89,Fact_SortedWeights!$C$2:$C$89,$A9,Fact_SortedWeights!$B$2:$B$89,$B9),SUMIFS(Fact_PreSortWeights!$E$2:$E$186,Fact_PreSortWeights!$C$2:$C$186,$A9,Fact_PreSortWeights!$B$2:$B$186,$B9))))</f>
        <v>4.29851140482474</v>
      </c>
      <c r="G9" s="0" t="n">
        <f aca="false">IF(AND(IF($B9="Trash",INDEX('Materials Master'!$F$2:$F$27,MATCH($C9,'Materials Master'!$A$2:$A$27,0)),IF($B9="GMPC Recycling",INDEX('Materials Master'!$G$2:$G$27,MATCH($C9,'Materials Master'!$A$2:$A$27,0)),IF($B9="Organics Recycling",INDEX('Materials Master'!$H$2:$H$27,MATCH($C9,'Materials Master'!$A$2:$A$27,0)),IF($B9="Cardboard Recycling",INDEX('Materials Master'!$I$2:$I$27,MATCH($C9,'Materials Master'!$A$2:$A$27,0)),IF($B9="Paper Recycling",INDEX('Materials Master'!$J$2:$J$27,MATCH($C9,'Materials Master'!$A$2:$A$27,0)),IF($B9="Terracycle",INDEX('Materials Master'!$K$2:$K$27,MATCH($C9,'Materials Master'!$A$2:$A$27,0)),"No"))))))="Yes",INDEX('Materials Master'!$E$2:$E$27,MATCH($C9,'Materials Master'!$A$2:$A$27,0))="Yes",$B9&lt;&gt;"Trash"),1,0)</f>
        <v>0</v>
      </c>
      <c r="H9" s="0" t="str">
        <f aca="false">INDEX('Materials Master'!$E$2:$E$27,MATCH($C9,'Materials Master'!$A$2:$A$27,0))</f>
        <v>No</v>
      </c>
      <c r="I9" s="0" t="str">
        <f aca="false">IFERROR(INDEX(Areas!$C$2:$C$6,MATCH($A9,Areas!$B$2:$B$6,0)),"")</f>
        <v>Rest of Building</v>
      </c>
      <c r="J9" s="0" t="n">
        <f aca="false">IF(IF($B9="Trash",INDEX('Materials Master'!$F$2:$F$27,MATCH($C9,'Materials Master'!$A$2:$A$27,0)),IF($B9="GMPC Recycling",INDEX('Materials Master'!$G$2:$G$27,MATCH($C9,'Materials Master'!$A$2:$A$27,0)),IF($B9="Organics Recycling",INDEX('Materials Master'!$H$2:$H$27,MATCH($C9,'Materials Master'!$A$2:$A$27,0)),IF($B9="Cardboard Recycling",INDEX('Materials Master'!$I$2:$I$27,MATCH($C9,'Materials Master'!$A$2:$A$27,0)),IF($B9="Paper Recycling",INDEX('Materials Master'!$J$2:$J$27,MATCH($C9,'Materials Master'!$A$2:$A$27,0)),IF($B9="Terracycle",INDEX('Materials Master'!$K$2:$K$27,MATCH($C9,'Materials Master'!$A$2:$A$27,0)),"No"))))))="Yes",1,0)</f>
        <v>1</v>
      </c>
    </row>
    <row r="10" customFormat="false" ht="15" hidden="false" customHeight="false" outlineLevel="0" collapsed="false">
      <c r="A10" s="0" t="s">
        <v>92</v>
      </c>
      <c r="B10" s="0" t="s">
        <v>103</v>
      </c>
      <c r="C10" s="0" t="s">
        <v>47</v>
      </c>
      <c r="D10" s="0" t="str">
        <f aca="false">IFERROR(INDEX('Materials Master'!$B$2:$B$27,MATCH($C10,'Materials Master'!$A$2:$A$27,0)),"")</f>
        <v>Glass Bottles &amp; Jars</v>
      </c>
      <c r="E10" s="0" t="str">
        <f aca="false">IFERROR(INDEX('Materials Master'!$C$2:$C$27,MATCH($C10,'Materials Master'!$A$2:$A$27,0)),"")</f>
        <v>Glass</v>
      </c>
      <c r="F10" s="0" t="n">
        <f aca="false">IF(SUMIFS(Fact_SortedWeights!$E$2:$E$89,Fact_SortedWeights!$C$2:$C$89,$A10,Fact_SortedWeights!$B$2:$B$89,$B10)=0,0,SUMIFS(Fact_SortedWeights!$E$2:$E$89,Fact_SortedWeights!$C$2:$C$89,$A10,Fact_SortedWeights!$B$2:$B$89,$B10,Fact_SortedWeights!$D$2:$D$89,$C10)/SUMIFS(Fact_SortedWeights!$E$2:$E$89,Fact_SortedWeights!$C$2:$C$89,$A10,Fact_SortedWeights!$B$2:$B$89,$B10)*(IF($B10="Cardboard Recycling",SUMIFS(Fact_SortedWeights!$E$2:$E$89,Fact_SortedWeights!$C$2:$C$89,$A10,Fact_SortedWeights!$B$2:$B$89,$B10),SUMIFS(Fact_PreSortWeights!$E$2:$E$186,Fact_PreSortWeights!$C$2:$C$186,$A10,Fact_PreSortWeights!$B$2:$B$186,$B10))))</f>
        <v>3.01363848402887</v>
      </c>
      <c r="G10" s="0" t="n">
        <f aca="false">IF(AND(IF($B10="Trash",INDEX('Materials Master'!$F$2:$F$27,MATCH($C10,'Materials Master'!$A$2:$A$27,0)),IF($B10="GMPC Recycling",INDEX('Materials Master'!$G$2:$G$27,MATCH($C10,'Materials Master'!$A$2:$A$27,0)),IF($B10="Organics Recycling",INDEX('Materials Master'!$H$2:$H$27,MATCH($C10,'Materials Master'!$A$2:$A$27,0)),IF($B10="Cardboard Recycling",INDEX('Materials Master'!$I$2:$I$27,MATCH($C10,'Materials Master'!$A$2:$A$27,0)),IF($B10="Paper Recycling",INDEX('Materials Master'!$J$2:$J$27,MATCH($C10,'Materials Master'!$A$2:$A$27,0)),IF($B10="Terracycle",INDEX('Materials Master'!$K$2:$K$27,MATCH($C10,'Materials Master'!$A$2:$A$27,0)),"No"))))))="Yes",INDEX('Materials Master'!$E$2:$E$27,MATCH($C10,'Materials Master'!$A$2:$A$27,0))="Yes",$B10&lt;&gt;"Trash"),1,0)</f>
        <v>0</v>
      </c>
      <c r="H10" s="0" t="str">
        <f aca="false">INDEX('Materials Master'!$E$2:$E$27,MATCH($C10,'Materials Master'!$A$2:$A$27,0))</f>
        <v>Yes</v>
      </c>
      <c r="I10" s="0" t="str">
        <f aca="false">IFERROR(INDEX(Areas!$C$2:$C$6,MATCH($A10,Areas!$B$2:$B$6,0)),"")</f>
        <v>Rest of Building</v>
      </c>
      <c r="J10" s="0" t="n">
        <f aca="false">IF(IF($B10="Trash",INDEX('Materials Master'!$F$2:$F$27,MATCH($C10,'Materials Master'!$A$2:$A$27,0)),IF($B10="GMPC Recycling",INDEX('Materials Master'!$G$2:$G$27,MATCH($C10,'Materials Master'!$A$2:$A$27,0)),IF($B10="Organics Recycling",INDEX('Materials Master'!$H$2:$H$27,MATCH($C10,'Materials Master'!$A$2:$A$27,0)),IF($B10="Cardboard Recycling",INDEX('Materials Master'!$I$2:$I$27,MATCH($C10,'Materials Master'!$A$2:$A$27,0)),IF($B10="Paper Recycling",INDEX('Materials Master'!$J$2:$J$27,MATCH($C10,'Materials Master'!$A$2:$A$27,0)),IF($B10="Terracycle",INDEX('Materials Master'!$K$2:$K$27,MATCH($C10,'Materials Master'!$A$2:$A$27,0)),"No"))))))="Yes",1,0)</f>
        <v>0</v>
      </c>
    </row>
    <row r="11" customFormat="false" ht="15" hidden="false" customHeight="false" outlineLevel="0" collapsed="false">
      <c r="A11" s="0" t="s">
        <v>92</v>
      </c>
      <c r="B11" s="0" t="s">
        <v>103</v>
      </c>
      <c r="C11" s="0" t="s">
        <v>50</v>
      </c>
      <c r="D11" s="0" t="str">
        <f aca="false">IFERROR(INDEX('Materials Master'!$B$2:$B$27,MATCH($C11,'Materials Master'!$A$2:$A$27,0)),"")</f>
        <v>Soiled Glass</v>
      </c>
      <c r="E11" s="0" t="str">
        <f aca="false">IFERROR(INDEX('Materials Master'!$C$2:$C$27,MATCH($C11,'Materials Master'!$A$2:$A$27,0)),"")</f>
        <v>Glass</v>
      </c>
      <c r="F11" s="0" t="n">
        <f aca="false">IF(SUMIFS(Fact_SortedWeights!$E$2:$E$89,Fact_SortedWeights!$C$2:$C$89,$A11,Fact_SortedWeights!$B$2:$B$89,$B11)=0,0,SUMIFS(Fact_SortedWeights!$E$2:$E$89,Fact_SortedWeights!$C$2:$C$89,$A11,Fact_SortedWeights!$B$2:$B$89,$B11,Fact_SortedWeights!$D$2:$D$89,$C11)/SUMIFS(Fact_SortedWeights!$E$2:$E$89,Fact_SortedWeights!$C$2:$C$89,$A11,Fact_SortedWeights!$B$2:$B$89,$B11)*(IF($B11="Cardboard Recycling",SUMIFS(Fact_SortedWeights!$E$2:$E$89,Fact_SortedWeights!$C$2:$C$89,$A11,Fact_SortedWeights!$B$2:$B$89,$B11),SUMIFS(Fact_PreSortWeights!$E$2:$E$186,Fact_PreSortWeights!$C$2:$C$186,$A11,Fact_PreSortWeights!$B$2:$B$186,$B11))))</f>
        <v>0</v>
      </c>
      <c r="G11" s="0" t="n">
        <f aca="false">IF(AND(IF($B11="Trash",INDEX('Materials Master'!$F$2:$F$27,MATCH($C11,'Materials Master'!$A$2:$A$27,0)),IF($B11="GMPC Recycling",INDEX('Materials Master'!$G$2:$G$27,MATCH($C11,'Materials Master'!$A$2:$A$27,0)),IF($B11="Organics Recycling",INDEX('Materials Master'!$H$2:$H$27,MATCH($C11,'Materials Master'!$A$2:$A$27,0)),IF($B11="Cardboard Recycling",INDEX('Materials Master'!$I$2:$I$27,MATCH($C11,'Materials Master'!$A$2:$A$27,0)),IF($B11="Paper Recycling",INDEX('Materials Master'!$J$2:$J$27,MATCH($C11,'Materials Master'!$A$2:$A$27,0)),IF($B11="Terracycle",INDEX('Materials Master'!$K$2:$K$27,MATCH($C11,'Materials Master'!$A$2:$A$27,0)),"No"))))))="Yes",INDEX('Materials Master'!$E$2:$E$27,MATCH($C11,'Materials Master'!$A$2:$A$27,0))="Yes",$B11&lt;&gt;"Trash"),1,0)</f>
        <v>0</v>
      </c>
      <c r="H11" s="0" t="str">
        <f aca="false">INDEX('Materials Master'!$E$2:$E$27,MATCH($C11,'Materials Master'!$A$2:$A$27,0))</f>
        <v>No</v>
      </c>
      <c r="I11" s="0" t="str">
        <f aca="false">IFERROR(INDEX(Areas!$C$2:$C$6,MATCH($A11,Areas!$B$2:$B$6,0)),"")</f>
        <v>Rest of Building</v>
      </c>
      <c r="J11" s="0" t="n">
        <f aca="false">IF(IF($B11="Trash",INDEX('Materials Master'!$F$2:$F$27,MATCH($C11,'Materials Master'!$A$2:$A$27,0)),IF($B11="GMPC Recycling",INDEX('Materials Master'!$G$2:$G$27,MATCH($C11,'Materials Master'!$A$2:$A$27,0)),IF($B11="Organics Recycling",INDEX('Materials Master'!$H$2:$H$27,MATCH($C11,'Materials Master'!$A$2:$A$27,0)),IF($B11="Cardboard Recycling",INDEX('Materials Master'!$I$2:$I$27,MATCH($C11,'Materials Master'!$A$2:$A$27,0)),IF($B11="Paper Recycling",INDEX('Materials Master'!$J$2:$J$27,MATCH($C11,'Materials Master'!$A$2:$A$27,0)),IF($B11="Terracycle",INDEX('Materials Master'!$K$2:$K$27,MATCH($C11,'Materials Master'!$A$2:$A$27,0)),"No"))))))="Yes",1,0)</f>
        <v>1</v>
      </c>
    </row>
    <row r="12" customFormat="false" ht="15" hidden="false" customHeight="false" outlineLevel="0" collapsed="false">
      <c r="A12" s="0" t="s">
        <v>92</v>
      </c>
      <c r="B12" s="0" t="s">
        <v>103</v>
      </c>
      <c r="C12" s="0" t="s">
        <v>52</v>
      </c>
      <c r="D12" s="0" t="str">
        <f aca="false">IFERROR(INDEX('Materials Master'!$B$2:$B$27,MATCH($C12,'Materials Master'!$A$2:$A$27,0)),"")</f>
        <v>Aluminum &amp; Bi-Metal Containers</v>
      </c>
      <c r="E12" s="0" t="str">
        <f aca="false">IFERROR(INDEX('Materials Master'!$C$2:$C$27,MATCH($C12,'Materials Master'!$A$2:$A$27,0)),"")</f>
        <v>Metals</v>
      </c>
      <c r="F12" s="0" t="n">
        <f aca="false">IF(SUMIFS(Fact_SortedWeights!$E$2:$E$89,Fact_SortedWeights!$C$2:$C$89,$A12,Fact_SortedWeights!$B$2:$B$89,$B12)=0,0,SUMIFS(Fact_SortedWeights!$E$2:$E$89,Fact_SortedWeights!$C$2:$C$89,$A12,Fact_SortedWeights!$B$2:$B$89,$B12,Fact_SortedWeights!$D$2:$D$89,$C12)/SUMIFS(Fact_SortedWeights!$E$2:$E$89,Fact_SortedWeights!$C$2:$C$89,$A12,Fact_SortedWeights!$B$2:$B$89,$B12)*(IF($B12="Cardboard Recycling",SUMIFS(Fact_SortedWeights!$E$2:$E$89,Fact_SortedWeights!$C$2:$C$89,$A12,Fact_SortedWeights!$B$2:$B$89,$B12),SUMIFS(Fact_PreSortWeights!$E$2:$E$186,Fact_PreSortWeights!$C$2:$C$186,$A12,Fact_PreSortWeights!$B$2:$B$186,$B12))))</f>
        <v>0</v>
      </c>
      <c r="G12" s="0" t="n">
        <f aca="false">IF(AND(IF($B12="Trash",INDEX('Materials Master'!$F$2:$F$27,MATCH($C12,'Materials Master'!$A$2:$A$27,0)),IF($B12="GMPC Recycling",INDEX('Materials Master'!$G$2:$G$27,MATCH($C12,'Materials Master'!$A$2:$A$27,0)),IF($B12="Organics Recycling",INDEX('Materials Master'!$H$2:$H$27,MATCH($C12,'Materials Master'!$A$2:$A$27,0)),IF($B12="Cardboard Recycling",INDEX('Materials Master'!$I$2:$I$27,MATCH($C12,'Materials Master'!$A$2:$A$27,0)),IF($B12="Paper Recycling",INDEX('Materials Master'!$J$2:$J$27,MATCH($C12,'Materials Master'!$A$2:$A$27,0)),IF($B12="Terracycle",INDEX('Materials Master'!$K$2:$K$27,MATCH($C12,'Materials Master'!$A$2:$A$27,0)),"No"))))))="Yes",INDEX('Materials Master'!$E$2:$E$27,MATCH($C12,'Materials Master'!$A$2:$A$27,0))="Yes",$B12&lt;&gt;"Trash"),1,0)</f>
        <v>0</v>
      </c>
      <c r="H12" s="0" t="str">
        <f aca="false">INDEX('Materials Master'!$E$2:$E$27,MATCH($C12,'Materials Master'!$A$2:$A$27,0))</f>
        <v>Yes</v>
      </c>
      <c r="I12" s="0" t="str">
        <f aca="false">IFERROR(INDEX(Areas!$C$2:$C$6,MATCH($A12,Areas!$B$2:$B$6,0)),"")</f>
        <v>Rest of Building</v>
      </c>
      <c r="J12" s="0" t="n">
        <f aca="false">IF(IF($B12="Trash",INDEX('Materials Master'!$F$2:$F$27,MATCH($C12,'Materials Master'!$A$2:$A$27,0)),IF($B12="GMPC Recycling",INDEX('Materials Master'!$G$2:$G$27,MATCH($C12,'Materials Master'!$A$2:$A$27,0)),IF($B12="Organics Recycling",INDEX('Materials Master'!$H$2:$H$27,MATCH($C12,'Materials Master'!$A$2:$A$27,0)),IF($B12="Cardboard Recycling",INDEX('Materials Master'!$I$2:$I$27,MATCH($C12,'Materials Master'!$A$2:$A$27,0)),IF($B12="Paper Recycling",INDEX('Materials Master'!$J$2:$J$27,MATCH($C12,'Materials Master'!$A$2:$A$27,0)),IF($B12="Terracycle",INDEX('Materials Master'!$K$2:$K$27,MATCH($C12,'Materials Master'!$A$2:$A$27,0)),"No"))))))="Yes",1,0)</f>
        <v>0</v>
      </c>
    </row>
    <row r="13" customFormat="false" ht="15" hidden="false" customHeight="false" outlineLevel="0" collapsed="false">
      <c r="A13" s="0" t="s">
        <v>92</v>
      </c>
      <c r="B13" s="0" t="s">
        <v>103</v>
      </c>
      <c r="C13" s="0" t="s">
        <v>55</v>
      </c>
      <c r="D13" s="0" t="str">
        <f aca="false">IFERROR(INDEX('Materials Master'!$B$2:$B$27,MATCH($C13,'Materials Master'!$A$2:$A$27,0)),"")</f>
        <v>Soiled Metals</v>
      </c>
      <c r="E13" s="0" t="str">
        <f aca="false">IFERROR(INDEX('Materials Master'!$C$2:$C$27,MATCH($C13,'Materials Master'!$A$2:$A$27,0)),"")</f>
        <v>Metals</v>
      </c>
      <c r="F13" s="0" t="n">
        <f aca="false">IF(SUMIFS(Fact_SortedWeights!$E$2:$E$89,Fact_SortedWeights!$C$2:$C$89,$A13,Fact_SortedWeights!$B$2:$B$89,$B13)=0,0,SUMIFS(Fact_SortedWeights!$E$2:$E$89,Fact_SortedWeights!$C$2:$C$89,$A13,Fact_SortedWeights!$B$2:$B$89,$B13,Fact_SortedWeights!$D$2:$D$89,$C13)/SUMIFS(Fact_SortedWeights!$E$2:$E$89,Fact_SortedWeights!$C$2:$C$89,$A13,Fact_SortedWeights!$B$2:$B$89,$B13)*(IF($B13="Cardboard Recycling",SUMIFS(Fact_SortedWeights!$E$2:$E$89,Fact_SortedWeights!$C$2:$C$89,$A13,Fact_SortedWeights!$B$2:$B$89,$B13),SUMIFS(Fact_PreSortWeights!$E$2:$E$186,Fact_PreSortWeights!$C$2:$C$186,$A13,Fact_PreSortWeights!$B$2:$B$186,$B13))))</f>
        <v>0</v>
      </c>
      <c r="G13" s="0" t="n">
        <f aca="false">IF(AND(IF($B13="Trash",INDEX('Materials Master'!$F$2:$F$27,MATCH($C13,'Materials Master'!$A$2:$A$27,0)),IF($B13="GMPC Recycling",INDEX('Materials Master'!$G$2:$G$27,MATCH($C13,'Materials Master'!$A$2:$A$27,0)),IF($B13="Organics Recycling",INDEX('Materials Master'!$H$2:$H$27,MATCH($C13,'Materials Master'!$A$2:$A$27,0)),IF($B13="Cardboard Recycling",INDEX('Materials Master'!$I$2:$I$27,MATCH($C13,'Materials Master'!$A$2:$A$27,0)),IF($B13="Paper Recycling",INDEX('Materials Master'!$J$2:$J$27,MATCH($C13,'Materials Master'!$A$2:$A$27,0)),IF($B13="Terracycle",INDEX('Materials Master'!$K$2:$K$27,MATCH($C13,'Materials Master'!$A$2:$A$27,0)),"No"))))))="Yes",INDEX('Materials Master'!$E$2:$E$27,MATCH($C13,'Materials Master'!$A$2:$A$27,0))="Yes",$B13&lt;&gt;"Trash"),1,0)</f>
        <v>0</v>
      </c>
      <c r="H13" s="0" t="str">
        <f aca="false">INDEX('Materials Master'!$E$2:$E$27,MATCH($C13,'Materials Master'!$A$2:$A$27,0))</f>
        <v>No</v>
      </c>
      <c r="I13" s="0" t="str">
        <f aca="false">IFERROR(INDEX(Areas!$C$2:$C$6,MATCH($A13,Areas!$B$2:$B$6,0)),"")</f>
        <v>Rest of Building</v>
      </c>
      <c r="J13" s="0" t="n">
        <f aca="false">IF(IF($B13="Trash",INDEX('Materials Master'!$F$2:$F$27,MATCH($C13,'Materials Master'!$A$2:$A$27,0)),IF($B13="GMPC Recycling",INDEX('Materials Master'!$G$2:$G$27,MATCH($C13,'Materials Master'!$A$2:$A$27,0)),IF($B13="Organics Recycling",INDEX('Materials Master'!$H$2:$H$27,MATCH($C13,'Materials Master'!$A$2:$A$27,0)),IF($B13="Cardboard Recycling",INDEX('Materials Master'!$I$2:$I$27,MATCH($C13,'Materials Master'!$A$2:$A$27,0)),IF($B13="Paper Recycling",INDEX('Materials Master'!$J$2:$J$27,MATCH($C13,'Materials Master'!$A$2:$A$27,0)),IF($B13="Terracycle",INDEX('Materials Master'!$K$2:$K$27,MATCH($C13,'Materials Master'!$A$2:$A$27,0)),"No"))))))="Yes",1,0)</f>
        <v>1</v>
      </c>
    </row>
    <row r="14" customFormat="false" ht="15" hidden="false" customHeight="false" outlineLevel="0" collapsed="false">
      <c r="A14" s="0" t="s">
        <v>92</v>
      </c>
      <c r="B14" s="0" t="s">
        <v>103</v>
      </c>
      <c r="C14" s="0" t="s">
        <v>57</v>
      </c>
      <c r="D14" s="0" t="str">
        <f aca="false">IFERROR(INDEX('Materials Master'!$B$2:$B$27,MATCH($C14,'Materials Master'!$A$2:$A$27,0)),"")</f>
        <v>Rigid Plastics (1-6)</v>
      </c>
      <c r="E14" s="0" t="str">
        <f aca="false">IFERROR(INDEX('Materials Master'!$C$2:$C$27,MATCH($C14,'Materials Master'!$A$2:$A$27,0)),"")</f>
        <v>Plastics</v>
      </c>
      <c r="F14" s="0" t="n">
        <f aca="false">IF(SUMIFS(Fact_SortedWeights!$E$2:$E$89,Fact_SortedWeights!$C$2:$C$89,$A14,Fact_SortedWeights!$B$2:$B$89,$B14)=0,0,SUMIFS(Fact_SortedWeights!$E$2:$E$89,Fact_SortedWeights!$C$2:$C$89,$A14,Fact_SortedWeights!$B$2:$B$89,$B14,Fact_SortedWeights!$D$2:$D$89,$C14)/SUMIFS(Fact_SortedWeights!$E$2:$E$89,Fact_SortedWeights!$C$2:$C$89,$A14,Fact_SortedWeights!$B$2:$B$89,$B14)*(IF($B14="Cardboard Recycling",SUMIFS(Fact_SortedWeights!$E$2:$E$89,Fact_SortedWeights!$C$2:$C$89,$A14,Fact_SortedWeights!$B$2:$B$89,$B14),SUMIFS(Fact_PreSortWeights!$E$2:$E$186,Fact_PreSortWeights!$C$2:$C$186,$A14,Fact_PreSortWeights!$B$2:$B$186,$B14))))</f>
        <v>61.1182794756956</v>
      </c>
      <c r="G14" s="0" t="n">
        <f aca="false">IF(AND(IF($B14="Trash",INDEX('Materials Master'!$F$2:$F$27,MATCH($C14,'Materials Master'!$A$2:$A$27,0)),IF($B14="GMPC Recycling",INDEX('Materials Master'!$G$2:$G$27,MATCH($C14,'Materials Master'!$A$2:$A$27,0)),IF($B14="Organics Recycling",INDEX('Materials Master'!$H$2:$H$27,MATCH($C14,'Materials Master'!$A$2:$A$27,0)),IF($B14="Cardboard Recycling",INDEX('Materials Master'!$I$2:$I$27,MATCH($C14,'Materials Master'!$A$2:$A$27,0)),IF($B14="Paper Recycling",INDEX('Materials Master'!$J$2:$J$27,MATCH($C14,'Materials Master'!$A$2:$A$27,0)),IF($B14="Terracycle",INDEX('Materials Master'!$K$2:$K$27,MATCH($C14,'Materials Master'!$A$2:$A$27,0)),"No"))))))="Yes",INDEX('Materials Master'!$E$2:$E$27,MATCH($C14,'Materials Master'!$A$2:$A$27,0))="Yes",$B14&lt;&gt;"Trash"),1,0)</f>
        <v>0</v>
      </c>
      <c r="H14" s="0" t="str">
        <f aca="false">INDEX('Materials Master'!$E$2:$E$27,MATCH($C14,'Materials Master'!$A$2:$A$27,0))</f>
        <v>Yes</v>
      </c>
      <c r="I14" s="0" t="str">
        <f aca="false">IFERROR(INDEX(Areas!$C$2:$C$6,MATCH($A14,Areas!$B$2:$B$6,0)),"")</f>
        <v>Rest of Building</v>
      </c>
      <c r="J14" s="0" t="n">
        <f aca="false">IF(IF($B14="Trash",INDEX('Materials Master'!$F$2:$F$27,MATCH($C14,'Materials Master'!$A$2:$A$27,0)),IF($B14="GMPC Recycling",INDEX('Materials Master'!$G$2:$G$27,MATCH($C14,'Materials Master'!$A$2:$A$27,0)),IF($B14="Organics Recycling",INDEX('Materials Master'!$H$2:$H$27,MATCH($C14,'Materials Master'!$A$2:$A$27,0)),IF($B14="Cardboard Recycling",INDEX('Materials Master'!$I$2:$I$27,MATCH($C14,'Materials Master'!$A$2:$A$27,0)),IF($B14="Paper Recycling",INDEX('Materials Master'!$J$2:$J$27,MATCH($C14,'Materials Master'!$A$2:$A$27,0)),IF($B14="Terracycle",INDEX('Materials Master'!$K$2:$K$27,MATCH($C14,'Materials Master'!$A$2:$A$27,0)),"No"))))))="Yes",1,0)</f>
        <v>0</v>
      </c>
    </row>
    <row r="15" customFormat="false" ht="15" hidden="false" customHeight="false" outlineLevel="0" collapsed="false">
      <c r="A15" s="0" t="s">
        <v>92</v>
      </c>
      <c r="B15" s="0" t="s">
        <v>103</v>
      </c>
      <c r="C15" s="0" t="s">
        <v>60</v>
      </c>
      <c r="D15" s="0" t="str">
        <f aca="false">IFERROR(INDEX('Materials Master'!$B$2:$B$27,MATCH($C15,'Materials Master'!$A$2:$A$27,0)),"")</f>
        <v>Soiled Rigid Plastics</v>
      </c>
      <c r="E15" s="0" t="str">
        <f aca="false">IFERROR(INDEX('Materials Master'!$C$2:$C$27,MATCH($C15,'Materials Master'!$A$2:$A$27,0)),"")</f>
        <v>Plastics</v>
      </c>
      <c r="F15" s="0" t="n">
        <f aca="false">IF(SUMIFS(Fact_SortedWeights!$E$2:$E$89,Fact_SortedWeights!$C$2:$C$89,$A15,Fact_SortedWeights!$B$2:$B$89,$B15)=0,0,SUMIFS(Fact_SortedWeights!$E$2:$E$89,Fact_SortedWeights!$C$2:$C$89,$A15,Fact_SortedWeights!$B$2:$B$89,$B15,Fact_SortedWeights!$D$2:$D$89,$C15)/SUMIFS(Fact_SortedWeights!$E$2:$E$89,Fact_SortedWeights!$C$2:$C$89,$A15,Fact_SortedWeights!$B$2:$B$89,$B15)*(IF($B15="Cardboard Recycling",SUMIFS(Fact_SortedWeights!$E$2:$E$89,Fact_SortedWeights!$C$2:$C$89,$A15,Fact_SortedWeights!$B$2:$B$89,$B15),SUMIFS(Fact_PreSortWeights!$E$2:$E$186,Fact_PreSortWeights!$C$2:$C$186,$A15,Fact_PreSortWeights!$B$2:$B$186,$B15))))</f>
        <v>0</v>
      </c>
      <c r="G15" s="0" t="n">
        <f aca="false">IF(AND(IF($B15="Trash",INDEX('Materials Master'!$F$2:$F$27,MATCH($C15,'Materials Master'!$A$2:$A$27,0)),IF($B15="GMPC Recycling",INDEX('Materials Master'!$G$2:$G$27,MATCH($C15,'Materials Master'!$A$2:$A$27,0)),IF($B15="Organics Recycling",INDEX('Materials Master'!$H$2:$H$27,MATCH($C15,'Materials Master'!$A$2:$A$27,0)),IF($B15="Cardboard Recycling",INDEX('Materials Master'!$I$2:$I$27,MATCH($C15,'Materials Master'!$A$2:$A$27,0)),IF($B15="Paper Recycling",INDEX('Materials Master'!$J$2:$J$27,MATCH($C15,'Materials Master'!$A$2:$A$27,0)),IF($B15="Terracycle",INDEX('Materials Master'!$K$2:$K$27,MATCH($C15,'Materials Master'!$A$2:$A$27,0)),"No"))))))="Yes",INDEX('Materials Master'!$E$2:$E$27,MATCH($C15,'Materials Master'!$A$2:$A$27,0))="Yes",$B15&lt;&gt;"Trash"),1,0)</f>
        <v>0</v>
      </c>
      <c r="H15" s="0" t="str">
        <f aca="false">INDEX('Materials Master'!$E$2:$E$27,MATCH($C15,'Materials Master'!$A$2:$A$27,0))</f>
        <v>No</v>
      </c>
      <c r="I15" s="0" t="str">
        <f aca="false">IFERROR(INDEX(Areas!$C$2:$C$6,MATCH($A15,Areas!$B$2:$B$6,0)),"")</f>
        <v>Rest of Building</v>
      </c>
      <c r="J15" s="0" t="n">
        <f aca="false">IF(IF($B15="Trash",INDEX('Materials Master'!$F$2:$F$27,MATCH($C15,'Materials Master'!$A$2:$A$27,0)),IF($B15="GMPC Recycling",INDEX('Materials Master'!$G$2:$G$27,MATCH($C15,'Materials Master'!$A$2:$A$27,0)),IF($B15="Organics Recycling",INDEX('Materials Master'!$H$2:$H$27,MATCH($C15,'Materials Master'!$A$2:$A$27,0)),IF($B15="Cardboard Recycling",INDEX('Materials Master'!$I$2:$I$27,MATCH($C15,'Materials Master'!$A$2:$A$27,0)),IF($B15="Paper Recycling",INDEX('Materials Master'!$J$2:$J$27,MATCH($C15,'Materials Master'!$A$2:$A$27,0)),IF($B15="Terracycle",INDEX('Materials Master'!$K$2:$K$27,MATCH($C15,'Materials Master'!$A$2:$A$27,0)),"No"))))))="Yes",1,0)</f>
        <v>1</v>
      </c>
    </row>
    <row r="16" customFormat="false" ht="15" hidden="false" customHeight="false" outlineLevel="0" collapsed="false">
      <c r="A16" s="0" t="s">
        <v>92</v>
      </c>
      <c r="B16" s="0" t="s">
        <v>103</v>
      </c>
      <c r="C16" s="0" t="s">
        <v>62</v>
      </c>
      <c r="D16" s="0" t="str">
        <f aca="false">IFERROR(INDEX('Materials Master'!$B$2:$B$27,MATCH($C16,'Materials Master'!$A$2:$A$27,0)),"")</f>
        <v>Film Plastics</v>
      </c>
      <c r="E16" s="0" t="str">
        <f aca="false">IFERROR(INDEX('Materials Master'!$C$2:$C$27,MATCH($C16,'Materials Master'!$A$2:$A$27,0)),"")</f>
        <v>Plastics</v>
      </c>
      <c r="F16" s="0" t="n">
        <f aca="false">IF(SUMIFS(Fact_SortedWeights!$E$2:$E$89,Fact_SortedWeights!$C$2:$C$89,$A16,Fact_SortedWeights!$B$2:$B$89,$B16)=0,0,SUMIFS(Fact_SortedWeights!$E$2:$E$89,Fact_SortedWeights!$C$2:$C$89,$A16,Fact_SortedWeights!$B$2:$B$89,$B16,Fact_SortedWeights!$D$2:$D$89,$C16)/SUMIFS(Fact_SortedWeights!$E$2:$E$89,Fact_SortedWeights!$C$2:$C$89,$A16,Fact_SortedWeights!$B$2:$B$89,$B16)*(IF($B16="Cardboard Recycling",SUMIFS(Fact_SortedWeights!$E$2:$E$89,Fact_SortedWeights!$C$2:$C$89,$A16,Fact_SortedWeights!$B$2:$B$89,$B16),SUMIFS(Fact_PreSortWeights!$E$2:$E$186,Fact_PreSortWeights!$C$2:$C$186,$A16,Fact_PreSortWeights!$B$2:$B$186,$B16))))</f>
        <v>65.9497640192289</v>
      </c>
      <c r="G16" s="0" t="n">
        <f aca="false">IF(AND(IF($B16="Trash",INDEX('Materials Master'!$F$2:$F$27,MATCH($C16,'Materials Master'!$A$2:$A$27,0)),IF($B16="GMPC Recycling",INDEX('Materials Master'!$G$2:$G$27,MATCH($C16,'Materials Master'!$A$2:$A$27,0)),IF($B16="Organics Recycling",INDEX('Materials Master'!$H$2:$H$27,MATCH($C16,'Materials Master'!$A$2:$A$27,0)),IF($B16="Cardboard Recycling",INDEX('Materials Master'!$I$2:$I$27,MATCH($C16,'Materials Master'!$A$2:$A$27,0)),IF($B16="Paper Recycling",INDEX('Materials Master'!$J$2:$J$27,MATCH($C16,'Materials Master'!$A$2:$A$27,0)),IF($B16="Terracycle",INDEX('Materials Master'!$K$2:$K$27,MATCH($C16,'Materials Master'!$A$2:$A$27,0)),"No"))))))="Yes",INDEX('Materials Master'!$E$2:$E$27,MATCH($C16,'Materials Master'!$A$2:$A$27,0))="Yes",$B16&lt;&gt;"Trash"),1,0)</f>
        <v>0</v>
      </c>
      <c r="H16" s="0" t="str">
        <f aca="false">INDEX('Materials Master'!$E$2:$E$27,MATCH($C16,'Materials Master'!$A$2:$A$27,0))</f>
        <v>No</v>
      </c>
      <c r="I16" s="0" t="str">
        <f aca="false">IFERROR(INDEX(Areas!$C$2:$C$6,MATCH($A16,Areas!$B$2:$B$6,0)),"")</f>
        <v>Rest of Building</v>
      </c>
      <c r="J16" s="0" t="n">
        <f aca="false">IF(IF($B16="Trash",INDEX('Materials Master'!$F$2:$F$27,MATCH($C16,'Materials Master'!$A$2:$A$27,0)),IF($B16="GMPC Recycling",INDEX('Materials Master'!$G$2:$G$27,MATCH($C16,'Materials Master'!$A$2:$A$27,0)),IF($B16="Organics Recycling",INDEX('Materials Master'!$H$2:$H$27,MATCH($C16,'Materials Master'!$A$2:$A$27,0)),IF($B16="Cardboard Recycling",INDEX('Materials Master'!$I$2:$I$27,MATCH($C16,'Materials Master'!$A$2:$A$27,0)),IF($B16="Paper Recycling",INDEX('Materials Master'!$J$2:$J$27,MATCH($C16,'Materials Master'!$A$2:$A$27,0)),IF($B16="Terracycle",INDEX('Materials Master'!$K$2:$K$27,MATCH($C16,'Materials Master'!$A$2:$A$27,0)),"No"))))))="Yes",1,0)</f>
        <v>1</v>
      </c>
    </row>
    <row r="17" customFormat="false" ht="15" hidden="false" customHeight="false" outlineLevel="0" collapsed="false">
      <c r="A17" s="0" t="s">
        <v>92</v>
      </c>
      <c r="B17" s="0" t="s">
        <v>103</v>
      </c>
      <c r="C17" s="0" t="s">
        <v>64</v>
      </c>
      <c r="D17" s="0" t="str">
        <f aca="false">IFERROR(INDEX('Materials Master'!$B$2:$B$27,MATCH($C17,'Materials Master'!$A$2:$A$27,0)),"")</f>
        <v>Foams</v>
      </c>
      <c r="E17" s="0" t="str">
        <f aca="false">IFERROR(INDEX('Materials Master'!$C$2:$C$27,MATCH($C17,'Materials Master'!$A$2:$A$27,0)),"")</f>
        <v>Plastics</v>
      </c>
      <c r="F17" s="0" t="n">
        <f aca="false">IF(SUMIFS(Fact_SortedWeights!$E$2:$E$89,Fact_SortedWeights!$C$2:$C$89,$A17,Fact_SortedWeights!$B$2:$B$89,$B17)=0,0,SUMIFS(Fact_SortedWeights!$E$2:$E$89,Fact_SortedWeights!$C$2:$C$89,$A17,Fact_SortedWeights!$B$2:$B$89,$B17,Fact_SortedWeights!$D$2:$D$89,$C17)/SUMIFS(Fact_SortedWeights!$E$2:$E$89,Fact_SortedWeights!$C$2:$C$89,$A17,Fact_SortedWeights!$B$2:$B$89,$B17)*(IF($B17="Cardboard Recycling",SUMIFS(Fact_SortedWeights!$E$2:$E$89,Fact_SortedWeights!$C$2:$C$89,$A17,Fact_SortedWeights!$B$2:$B$89,$B17),SUMIFS(Fact_PreSortWeights!$E$2:$E$186,Fact_PreSortWeights!$C$2:$C$186,$A17,Fact_PreSortWeights!$B$2:$B$186,$B17))))</f>
        <v>0</v>
      </c>
      <c r="G17" s="0" t="n">
        <f aca="false">IF(AND(IF($B17="Trash",INDEX('Materials Master'!$F$2:$F$27,MATCH($C17,'Materials Master'!$A$2:$A$27,0)),IF($B17="GMPC Recycling",INDEX('Materials Master'!$G$2:$G$27,MATCH($C17,'Materials Master'!$A$2:$A$27,0)),IF($B17="Organics Recycling",INDEX('Materials Master'!$H$2:$H$27,MATCH($C17,'Materials Master'!$A$2:$A$27,0)),IF($B17="Cardboard Recycling",INDEX('Materials Master'!$I$2:$I$27,MATCH($C17,'Materials Master'!$A$2:$A$27,0)),IF($B17="Paper Recycling",INDEX('Materials Master'!$J$2:$J$27,MATCH($C17,'Materials Master'!$A$2:$A$27,0)),IF($B17="Terracycle",INDEX('Materials Master'!$K$2:$K$27,MATCH($C17,'Materials Master'!$A$2:$A$27,0)),"No"))))))="Yes",INDEX('Materials Master'!$E$2:$E$27,MATCH($C17,'Materials Master'!$A$2:$A$27,0))="Yes",$B17&lt;&gt;"Trash"),1,0)</f>
        <v>0</v>
      </c>
      <c r="H17" s="0" t="str">
        <f aca="false">INDEX('Materials Master'!$E$2:$E$27,MATCH($C17,'Materials Master'!$A$2:$A$27,0))</f>
        <v>No</v>
      </c>
      <c r="I17" s="0" t="str">
        <f aca="false">IFERROR(INDEX(Areas!$C$2:$C$6,MATCH($A17,Areas!$B$2:$B$6,0)),"")</f>
        <v>Rest of Building</v>
      </c>
      <c r="J17" s="0" t="n">
        <f aca="false">IF(IF($B17="Trash",INDEX('Materials Master'!$F$2:$F$27,MATCH($C17,'Materials Master'!$A$2:$A$27,0)),IF($B17="GMPC Recycling",INDEX('Materials Master'!$G$2:$G$27,MATCH($C17,'Materials Master'!$A$2:$A$27,0)),IF($B17="Organics Recycling",INDEX('Materials Master'!$H$2:$H$27,MATCH($C17,'Materials Master'!$A$2:$A$27,0)),IF($B17="Cardboard Recycling",INDEX('Materials Master'!$I$2:$I$27,MATCH($C17,'Materials Master'!$A$2:$A$27,0)),IF($B17="Paper Recycling",INDEX('Materials Master'!$J$2:$J$27,MATCH($C17,'Materials Master'!$A$2:$A$27,0)),IF($B17="Terracycle",INDEX('Materials Master'!$K$2:$K$27,MATCH($C17,'Materials Master'!$A$2:$A$27,0)),"No"))))))="Yes",1,0)</f>
        <v>1</v>
      </c>
    </row>
    <row r="18" customFormat="false" ht="15" hidden="false" customHeight="false" outlineLevel="0" collapsed="false">
      <c r="A18" s="0" t="s">
        <v>92</v>
      </c>
      <c r="B18" s="0" t="s">
        <v>103</v>
      </c>
      <c r="C18" s="0" t="s">
        <v>66</v>
      </c>
      <c r="D18" s="0" t="str">
        <f aca="false">IFERROR(INDEX('Materials Master'!$B$2:$B$27,MATCH($C18,'Materials Master'!$A$2:$A$27,0)),"")</f>
        <v>Food Waste</v>
      </c>
      <c r="E18" s="0" t="str">
        <f aca="false">IFERROR(INDEX('Materials Master'!$C$2:$C$27,MATCH($C18,'Materials Master'!$A$2:$A$27,0)),"")</f>
        <v>Organics</v>
      </c>
      <c r="F18" s="0" t="n">
        <f aca="false">IF(SUMIFS(Fact_SortedWeights!$E$2:$E$89,Fact_SortedWeights!$C$2:$C$89,$A18,Fact_SortedWeights!$B$2:$B$89,$B18)=0,0,SUMIFS(Fact_SortedWeights!$E$2:$E$89,Fact_SortedWeights!$C$2:$C$89,$A18,Fact_SortedWeights!$B$2:$B$89,$B18,Fact_SortedWeights!$D$2:$D$89,$C18)/SUMIFS(Fact_SortedWeights!$E$2:$E$89,Fact_SortedWeights!$C$2:$C$89,$A18,Fact_SortedWeights!$B$2:$B$89,$B18)*(IF($B18="Cardboard Recycling",SUMIFS(Fact_SortedWeights!$E$2:$E$89,Fact_SortedWeights!$C$2:$C$89,$A18,Fact_SortedWeights!$B$2:$B$89,$B18),SUMIFS(Fact_PreSortWeights!$E$2:$E$186,Fact_PreSortWeights!$C$2:$C$186,$A18,Fact_PreSortWeights!$B$2:$B$186,$B18))))</f>
        <v>173.69186934002</v>
      </c>
      <c r="G18" s="0" t="n">
        <f aca="false">IF(AND(IF($B18="Trash",INDEX('Materials Master'!$F$2:$F$27,MATCH($C18,'Materials Master'!$A$2:$A$27,0)),IF($B18="GMPC Recycling",INDEX('Materials Master'!$G$2:$G$27,MATCH($C18,'Materials Master'!$A$2:$A$27,0)),IF($B18="Organics Recycling",INDEX('Materials Master'!$H$2:$H$27,MATCH($C18,'Materials Master'!$A$2:$A$27,0)),IF($B18="Cardboard Recycling",INDEX('Materials Master'!$I$2:$I$27,MATCH($C18,'Materials Master'!$A$2:$A$27,0)),IF($B18="Paper Recycling",INDEX('Materials Master'!$J$2:$J$27,MATCH($C18,'Materials Master'!$A$2:$A$27,0)),IF($B18="Terracycle",INDEX('Materials Master'!$K$2:$K$27,MATCH($C18,'Materials Master'!$A$2:$A$27,0)),"No"))))))="Yes",INDEX('Materials Master'!$E$2:$E$27,MATCH($C18,'Materials Master'!$A$2:$A$27,0))="Yes",$B18&lt;&gt;"Trash"),1,0)</f>
        <v>0</v>
      </c>
      <c r="H18" s="0" t="str">
        <f aca="false">INDEX('Materials Master'!$E$2:$E$27,MATCH($C18,'Materials Master'!$A$2:$A$27,0))</f>
        <v>Yes</v>
      </c>
      <c r="I18" s="0" t="str">
        <f aca="false">IFERROR(INDEX(Areas!$C$2:$C$6,MATCH($A18,Areas!$B$2:$B$6,0)),"")</f>
        <v>Rest of Building</v>
      </c>
      <c r="J18" s="0" t="n">
        <f aca="false">IF(IF($B18="Trash",INDEX('Materials Master'!$F$2:$F$27,MATCH($C18,'Materials Master'!$A$2:$A$27,0)),IF($B18="GMPC Recycling",INDEX('Materials Master'!$G$2:$G$27,MATCH($C18,'Materials Master'!$A$2:$A$27,0)),IF($B18="Organics Recycling",INDEX('Materials Master'!$H$2:$H$27,MATCH($C18,'Materials Master'!$A$2:$A$27,0)),IF($B18="Cardboard Recycling",INDEX('Materials Master'!$I$2:$I$27,MATCH($C18,'Materials Master'!$A$2:$A$27,0)),IF($B18="Paper Recycling",INDEX('Materials Master'!$J$2:$J$27,MATCH($C18,'Materials Master'!$A$2:$A$27,0)),IF($B18="Terracycle",INDEX('Materials Master'!$K$2:$K$27,MATCH($C18,'Materials Master'!$A$2:$A$27,0)),"No"))))))="Yes",1,0)</f>
        <v>0</v>
      </c>
    </row>
    <row r="19" customFormat="false" ht="15" hidden="false" customHeight="false" outlineLevel="0" collapsed="false">
      <c r="A19" s="0" t="s">
        <v>92</v>
      </c>
      <c r="B19" s="0" t="s">
        <v>103</v>
      </c>
      <c r="C19" s="0" t="s">
        <v>69</v>
      </c>
      <c r="D19" s="0" t="str">
        <f aca="false">IFERROR(INDEX('Materials Master'!$B$2:$B$27,MATCH($C19,'Materials Master'!$A$2:$A$27,0)),"")</f>
        <v>Paper Fibers and Food-Soiled Paper (FSP)</v>
      </c>
      <c r="E19" s="0" t="str">
        <f aca="false">IFERROR(INDEX('Materials Master'!$C$2:$C$27,MATCH($C19,'Materials Master'!$A$2:$A$27,0)),"")</f>
        <v>Organics</v>
      </c>
      <c r="F19" s="0" t="n">
        <f aca="false">IF(SUMIFS(Fact_SortedWeights!$E$2:$E$89,Fact_SortedWeights!$C$2:$C$89,$A19,Fact_SortedWeights!$B$2:$B$89,$B19)=0,0,SUMIFS(Fact_SortedWeights!$E$2:$E$89,Fact_SortedWeights!$C$2:$C$89,$A19,Fact_SortedWeights!$B$2:$B$89,$B19,Fact_SortedWeights!$D$2:$D$89,$C19)/SUMIFS(Fact_SortedWeights!$E$2:$E$89,Fact_SortedWeights!$C$2:$C$89,$A19,Fact_SortedWeights!$B$2:$B$89,$B19)*(IF($B19="Cardboard Recycling",SUMIFS(Fact_SortedWeights!$E$2:$E$89,Fact_SortedWeights!$C$2:$C$89,$A19,Fact_SortedWeights!$B$2:$B$89,$B19),SUMIFS(Fact_PreSortWeights!$E$2:$E$186,Fact_PreSortWeights!$C$2:$C$186,$A19,Fact_PreSortWeights!$B$2:$B$186,$B19))))</f>
        <v>81.1689403313586</v>
      </c>
      <c r="G19" s="0" t="n">
        <f aca="false">IF(AND(IF($B19="Trash",INDEX('Materials Master'!$F$2:$F$27,MATCH($C19,'Materials Master'!$A$2:$A$27,0)),IF($B19="GMPC Recycling",INDEX('Materials Master'!$G$2:$G$27,MATCH($C19,'Materials Master'!$A$2:$A$27,0)),IF($B19="Organics Recycling",INDEX('Materials Master'!$H$2:$H$27,MATCH($C19,'Materials Master'!$A$2:$A$27,0)),IF($B19="Cardboard Recycling",INDEX('Materials Master'!$I$2:$I$27,MATCH($C19,'Materials Master'!$A$2:$A$27,0)),IF($B19="Paper Recycling",INDEX('Materials Master'!$J$2:$J$27,MATCH($C19,'Materials Master'!$A$2:$A$27,0)),IF($B19="Terracycle",INDEX('Materials Master'!$K$2:$K$27,MATCH($C19,'Materials Master'!$A$2:$A$27,0)),"No"))))))="Yes",INDEX('Materials Master'!$E$2:$E$27,MATCH($C19,'Materials Master'!$A$2:$A$27,0))="Yes",$B19&lt;&gt;"Trash"),1,0)</f>
        <v>0</v>
      </c>
      <c r="H19" s="0" t="str">
        <f aca="false">INDEX('Materials Master'!$E$2:$E$27,MATCH($C19,'Materials Master'!$A$2:$A$27,0))</f>
        <v>No</v>
      </c>
      <c r="I19" s="0" t="str">
        <f aca="false">IFERROR(INDEX(Areas!$C$2:$C$6,MATCH($A19,Areas!$B$2:$B$6,0)),"")</f>
        <v>Rest of Building</v>
      </c>
      <c r="J19" s="0" t="n">
        <f aca="false">IF(IF($B19="Trash",INDEX('Materials Master'!$F$2:$F$27,MATCH($C19,'Materials Master'!$A$2:$A$27,0)),IF($B19="GMPC Recycling",INDEX('Materials Master'!$G$2:$G$27,MATCH($C19,'Materials Master'!$A$2:$A$27,0)),IF($B19="Organics Recycling",INDEX('Materials Master'!$H$2:$H$27,MATCH($C19,'Materials Master'!$A$2:$A$27,0)),IF($B19="Cardboard Recycling",INDEX('Materials Master'!$I$2:$I$27,MATCH($C19,'Materials Master'!$A$2:$A$27,0)),IF($B19="Paper Recycling",INDEX('Materials Master'!$J$2:$J$27,MATCH($C19,'Materials Master'!$A$2:$A$27,0)),IF($B19="Terracycle",INDEX('Materials Master'!$K$2:$K$27,MATCH($C19,'Materials Master'!$A$2:$A$27,0)),"No"))))))="Yes",1,0)</f>
        <v>1</v>
      </c>
    </row>
    <row r="20" customFormat="false" ht="15" hidden="false" customHeight="false" outlineLevel="0" collapsed="false">
      <c r="A20" s="0" t="s">
        <v>92</v>
      </c>
      <c r="B20" s="0" t="s">
        <v>103</v>
      </c>
      <c r="C20" s="0" t="s">
        <v>71</v>
      </c>
      <c r="D20" s="0" t="str">
        <f aca="false">IFERROR(INDEX('Materials Master'!$B$2:$B$27,MATCH($C20,'Materials Master'!$A$2:$A$27,0)),"")</f>
        <v>Fiber-based Compostable Serviceware</v>
      </c>
      <c r="E20" s="0" t="str">
        <f aca="false">IFERROR(INDEX('Materials Master'!$C$2:$C$27,MATCH($C20,'Materials Master'!$A$2:$A$27,0)),"")</f>
        <v>Organics</v>
      </c>
      <c r="F20" s="0" t="n">
        <f aca="false">IF(SUMIFS(Fact_SortedWeights!$E$2:$E$89,Fact_SortedWeights!$C$2:$C$89,$A20,Fact_SortedWeights!$B$2:$B$89,$B20)=0,0,SUMIFS(Fact_SortedWeights!$E$2:$E$89,Fact_SortedWeights!$C$2:$C$89,$A20,Fact_SortedWeights!$B$2:$B$89,$B20,Fact_SortedWeights!$D$2:$D$89,$C20)/SUMIFS(Fact_SortedWeights!$E$2:$E$89,Fact_SortedWeights!$C$2:$C$89,$A20,Fact_SortedWeights!$B$2:$B$89,$B20)*(IF($B20="Cardboard Recycling",SUMIFS(Fact_SortedWeights!$E$2:$E$89,Fact_SortedWeights!$C$2:$C$89,$A20,Fact_SortedWeights!$B$2:$B$89,$B20),SUMIFS(Fact_PreSortWeights!$E$2:$E$186,Fact_PreSortWeights!$C$2:$C$186,$A20,Fact_PreSortWeights!$B$2:$B$186,$B20))))</f>
        <v>80.9273661041819</v>
      </c>
      <c r="G20" s="0" t="n">
        <f aca="false">IF(AND(IF($B20="Trash",INDEX('Materials Master'!$F$2:$F$27,MATCH($C20,'Materials Master'!$A$2:$A$27,0)),IF($B20="GMPC Recycling",INDEX('Materials Master'!$G$2:$G$27,MATCH($C20,'Materials Master'!$A$2:$A$27,0)),IF($B20="Organics Recycling",INDEX('Materials Master'!$H$2:$H$27,MATCH($C20,'Materials Master'!$A$2:$A$27,0)),IF($B20="Cardboard Recycling",INDEX('Materials Master'!$I$2:$I$27,MATCH($C20,'Materials Master'!$A$2:$A$27,0)),IF($B20="Paper Recycling",INDEX('Materials Master'!$J$2:$J$27,MATCH($C20,'Materials Master'!$A$2:$A$27,0)),IF($B20="Terracycle",INDEX('Materials Master'!$K$2:$K$27,MATCH($C20,'Materials Master'!$A$2:$A$27,0)),"No"))))))="Yes",INDEX('Materials Master'!$E$2:$E$27,MATCH($C20,'Materials Master'!$A$2:$A$27,0))="Yes",$B20&lt;&gt;"Trash"),1,0)</f>
        <v>0</v>
      </c>
      <c r="H20" s="0" t="str">
        <f aca="false">INDEX('Materials Master'!$E$2:$E$27,MATCH($C20,'Materials Master'!$A$2:$A$27,0))</f>
        <v>No</v>
      </c>
      <c r="I20" s="0" t="str">
        <f aca="false">IFERROR(INDEX(Areas!$C$2:$C$6,MATCH($A20,Areas!$B$2:$B$6,0)),"")</f>
        <v>Rest of Building</v>
      </c>
      <c r="J20" s="0" t="n">
        <f aca="false">IF(IF($B20="Trash",INDEX('Materials Master'!$F$2:$F$27,MATCH($C20,'Materials Master'!$A$2:$A$27,0)),IF($B20="GMPC Recycling",INDEX('Materials Master'!$G$2:$G$27,MATCH($C20,'Materials Master'!$A$2:$A$27,0)),IF($B20="Organics Recycling",INDEX('Materials Master'!$H$2:$H$27,MATCH($C20,'Materials Master'!$A$2:$A$27,0)),IF($B20="Cardboard Recycling",INDEX('Materials Master'!$I$2:$I$27,MATCH($C20,'Materials Master'!$A$2:$A$27,0)),IF($B20="Paper Recycling",INDEX('Materials Master'!$J$2:$J$27,MATCH($C20,'Materials Master'!$A$2:$A$27,0)),IF($B20="Terracycle",INDEX('Materials Master'!$K$2:$K$27,MATCH($C20,'Materials Master'!$A$2:$A$27,0)),"No"))))))="Yes",1,0)</f>
        <v>1</v>
      </c>
    </row>
    <row r="21" customFormat="false" ht="15" hidden="false" customHeight="false" outlineLevel="0" collapsed="false">
      <c r="A21" s="0" t="s">
        <v>92</v>
      </c>
      <c r="B21" s="0" t="s">
        <v>103</v>
      </c>
      <c r="C21" s="0" t="s">
        <v>73</v>
      </c>
      <c r="D21" s="0" t="str">
        <f aca="false">IFERROR(INDEX('Materials Master'!$B$2:$B$27,MATCH($C21,'Materials Master'!$A$2:$A$27,0)),"")</f>
        <v>PLA Compostable Serviceware</v>
      </c>
      <c r="E21" s="0" t="str">
        <f aca="false">IFERROR(INDEX('Materials Master'!$C$2:$C$27,MATCH($C21,'Materials Master'!$A$2:$A$27,0)),"")</f>
        <v>Organics</v>
      </c>
      <c r="F21" s="0" t="n">
        <f aca="false">IF(SUMIFS(Fact_SortedWeights!$E$2:$E$89,Fact_SortedWeights!$C$2:$C$89,$A21,Fact_SortedWeights!$B$2:$B$89,$B21)=0,0,SUMIFS(Fact_SortedWeights!$E$2:$E$89,Fact_SortedWeights!$C$2:$C$89,$A21,Fact_SortedWeights!$B$2:$B$89,$B21,Fact_SortedWeights!$D$2:$D$89,$C21)/SUMIFS(Fact_SortedWeights!$E$2:$E$89,Fact_SortedWeights!$C$2:$C$89,$A21,Fact_SortedWeights!$B$2:$B$89,$B21)*(IF($B21="Cardboard Recycling",SUMIFS(Fact_SortedWeights!$E$2:$E$89,Fact_SortedWeights!$C$2:$C$89,$A21,Fact_SortedWeights!$B$2:$B$89,$B21),SUMIFS(Fact_PreSortWeights!$E$2:$E$186,Fact_PreSortWeights!$C$2:$C$186,$A21,Fact_PreSortWeights!$B$2:$B$186,$B21))))</f>
        <v>90.1071867368951</v>
      </c>
      <c r="G21" s="0" t="n">
        <f aca="false">IF(AND(IF($B21="Trash",INDEX('Materials Master'!$F$2:$F$27,MATCH($C21,'Materials Master'!$A$2:$A$27,0)),IF($B21="GMPC Recycling",INDEX('Materials Master'!$G$2:$G$27,MATCH($C21,'Materials Master'!$A$2:$A$27,0)),IF($B21="Organics Recycling",INDEX('Materials Master'!$H$2:$H$27,MATCH($C21,'Materials Master'!$A$2:$A$27,0)),IF($B21="Cardboard Recycling",INDEX('Materials Master'!$I$2:$I$27,MATCH($C21,'Materials Master'!$A$2:$A$27,0)),IF($B21="Paper Recycling",INDEX('Materials Master'!$J$2:$J$27,MATCH($C21,'Materials Master'!$A$2:$A$27,0)),IF($B21="Terracycle",INDEX('Materials Master'!$K$2:$K$27,MATCH($C21,'Materials Master'!$A$2:$A$27,0)),"No"))))))="Yes",INDEX('Materials Master'!$E$2:$E$27,MATCH($C21,'Materials Master'!$A$2:$A$27,0))="Yes",$B21&lt;&gt;"Trash"),1,0)</f>
        <v>0</v>
      </c>
      <c r="H21" s="0" t="str">
        <f aca="false">INDEX('Materials Master'!$E$2:$E$27,MATCH($C21,'Materials Master'!$A$2:$A$27,0))</f>
        <v>No</v>
      </c>
      <c r="I21" s="0" t="str">
        <f aca="false">IFERROR(INDEX(Areas!$C$2:$C$6,MATCH($A21,Areas!$B$2:$B$6,0)),"")</f>
        <v>Rest of Building</v>
      </c>
      <c r="J21" s="0" t="n">
        <f aca="false">IF(IF($B21="Trash",INDEX('Materials Master'!$F$2:$F$27,MATCH($C21,'Materials Master'!$A$2:$A$27,0)),IF($B21="GMPC Recycling",INDEX('Materials Master'!$G$2:$G$27,MATCH($C21,'Materials Master'!$A$2:$A$27,0)),IF($B21="Organics Recycling",INDEX('Materials Master'!$H$2:$H$27,MATCH($C21,'Materials Master'!$A$2:$A$27,0)),IF($B21="Cardboard Recycling",INDEX('Materials Master'!$I$2:$I$27,MATCH($C21,'Materials Master'!$A$2:$A$27,0)),IF($B21="Paper Recycling",INDEX('Materials Master'!$J$2:$J$27,MATCH($C21,'Materials Master'!$A$2:$A$27,0)),IF($B21="Terracycle",INDEX('Materials Master'!$K$2:$K$27,MATCH($C21,'Materials Master'!$A$2:$A$27,0)),"No"))))))="Yes",1,0)</f>
        <v>1</v>
      </c>
    </row>
    <row r="22" customFormat="false" ht="15" hidden="false" customHeight="false" outlineLevel="0" collapsed="false">
      <c r="A22" s="0" t="s">
        <v>92</v>
      </c>
      <c r="B22" s="0" t="s">
        <v>103</v>
      </c>
      <c r="C22" s="0" t="s">
        <v>75</v>
      </c>
      <c r="D22" s="0" t="str">
        <f aca="false">IFERROR(INDEX('Materials Master'!$B$2:$B$27,MATCH($C22,'Materials Master'!$A$2:$A$27,0)),"")</f>
        <v>E/U Waste</v>
      </c>
      <c r="E22" s="0" t="str">
        <f aca="false">IFERROR(INDEX('Materials Master'!$C$2:$C$27,MATCH($C22,'Materials Master'!$A$2:$A$27,0)),"")</f>
        <v>Unacceptable</v>
      </c>
      <c r="F22" s="0" t="n">
        <f aca="false">IF(SUMIFS(Fact_SortedWeights!$E$2:$E$89,Fact_SortedWeights!$C$2:$C$89,$A22,Fact_SortedWeights!$B$2:$B$89,$B22)=0,0,SUMIFS(Fact_SortedWeights!$E$2:$E$89,Fact_SortedWeights!$C$2:$C$89,$A22,Fact_SortedWeights!$B$2:$B$89,$B22,Fact_SortedWeights!$D$2:$D$89,$C22)/SUMIFS(Fact_SortedWeights!$E$2:$E$89,Fact_SortedWeights!$C$2:$C$89,$A22,Fact_SortedWeights!$B$2:$B$89,$B22)*(IF($B22="Cardboard Recycling",SUMIFS(Fact_SortedWeights!$E$2:$E$89,Fact_SortedWeights!$C$2:$C$89,$A22,Fact_SortedWeights!$B$2:$B$89,$B22),SUMIFS(Fact_PreSortWeights!$E$2:$E$186,Fact_PreSortWeights!$C$2:$C$186,$A22,Fact_PreSortWeights!$B$2:$B$186,$B22))))</f>
        <v>0</v>
      </c>
      <c r="G22" s="0" t="n">
        <f aca="false">IF(AND(IF($B22="Trash",INDEX('Materials Master'!$F$2:$F$27,MATCH($C22,'Materials Master'!$A$2:$A$27,0)),IF($B22="GMPC Recycling",INDEX('Materials Master'!$G$2:$G$27,MATCH($C22,'Materials Master'!$A$2:$A$27,0)),IF($B22="Organics Recycling",INDEX('Materials Master'!$H$2:$H$27,MATCH($C22,'Materials Master'!$A$2:$A$27,0)),IF($B22="Cardboard Recycling",INDEX('Materials Master'!$I$2:$I$27,MATCH($C22,'Materials Master'!$A$2:$A$27,0)),IF($B22="Paper Recycling",INDEX('Materials Master'!$J$2:$J$27,MATCH($C22,'Materials Master'!$A$2:$A$27,0)),IF($B22="Terracycle",INDEX('Materials Master'!$K$2:$K$27,MATCH($C22,'Materials Master'!$A$2:$A$27,0)),"No"))))))="Yes",INDEX('Materials Master'!$E$2:$E$27,MATCH($C22,'Materials Master'!$A$2:$A$27,0))="Yes",$B22&lt;&gt;"Trash"),1,0)</f>
        <v>0</v>
      </c>
      <c r="H22" s="0" t="str">
        <f aca="false">INDEX('Materials Master'!$E$2:$E$27,MATCH($C22,'Materials Master'!$A$2:$A$27,0))</f>
        <v>No</v>
      </c>
      <c r="I22" s="0" t="str">
        <f aca="false">IFERROR(INDEX(Areas!$C$2:$C$6,MATCH($A22,Areas!$B$2:$B$6,0)),"")</f>
        <v>Rest of Building</v>
      </c>
      <c r="J22" s="0" t="n">
        <f aca="false">IF(IF($B22="Trash",INDEX('Materials Master'!$F$2:$F$27,MATCH($C22,'Materials Master'!$A$2:$A$27,0)),IF($B22="GMPC Recycling",INDEX('Materials Master'!$G$2:$G$27,MATCH($C22,'Materials Master'!$A$2:$A$27,0)),IF($B22="Organics Recycling",INDEX('Materials Master'!$H$2:$H$27,MATCH($C22,'Materials Master'!$A$2:$A$27,0)),IF($B22="Cardboard Recycling",INDEX('Materials Master'!$I$2:$I$27,MATCH($C22,'Materials Master'!$A$2:$A$27,0)),IF($B22="Paper Recycling",INDEX('Materials Master'!$J$2:$J$27,MATCH($C22,'Materials Master'!$A$2:$A$27,0)),IF($B22="Terracycle",INDEX('Materials Master'!$K$2:$K$27,MATCH($C22,'Materials Master'!$A$2:$A$27,0)),"No"))))))="Yes",1,0)</f>
        <v>1</v>
      </c>
    </row>
    <row r="23" customFormat="false" ht="15" hidden="false" customHeight="false" outlineLevel="0" collapsed="false">
      <c r="A23" s="0" t="s">
        <v>92</v>
      </c>
      <c r="B23" s="0" t="s">
        <v>103</v>
      </c>
      <c r="C23" s="0" t="s">
        <v>78</v>
      </c>
      <c r="D23" s="0" t="str">
        <f aca="false">IFERROR(INDEX('Materials Master'!$B$2:$B$27,MATCH($C23,'Materials Master'!$A$2:$A$27,0)),"")</f>
        <v>Textiles</v>
      </c>
      <c r="E23" s="0" t="str">
        <f aca="false">IFERROR(INDEX('Materials Master'!$C$2:$C$27,MATCH($C23,'Materials Master'!$A$2:$A$27,0)),"")</f>
        <v>Unacceptable</v>
      </c>
      <c r="F23" s="0" t="n">
        <f aca="false">IF(SUMIFS(Fact_SortedWeights!$E$2:$E$89,Fact_SortedWeights!$C$2:$C$89,$A23,Fact_SortedWeights!$B$2:$B$89,$B23)=0,0,SUMIFS(Fact_SortedWeights!$E$2:$E$89,Fact_SortedWeights!$C$2:$C$89,$A23,Fact_SortedWeights!$B$2:$B$89,$B23,Fact_SortedWeights!$D$2:$D$89,$C23)/SUMIFS(Fact_SortedWeights!$E$2:$E$89,Fact_SortedWeights!$C$2:$C$89,$A23,Fact_SortedWeights!$B$2:$B$89,$B23)*(IF($B23="Cardboard Recycling",SUMIFS(Fact_SortedWeights!$E$2:$E$89,Fact_SortedWeights!$C$2:$C$89,$A23,Fact_SortedWeights!$B$2:$B$89,$B23),SUMIFS(Fact_PreSortWeights!$E$2:$E$186,Fact_PreSortWeights!$C$2:$C$186,$A23,Fact_PreSortWeights!$B$2:$B$186,$B23))))</f>
        <v>0.457481192715805</v>
      </c>
      <c r="G23" s="0" t="n">
        <f aca="false">IF(AND(IF($B23="Trash",INDEX('Materials Master'!$F$2:$F$27,MATCH($C23,'Materials Master'!$A$2:$A$27,0)),IF($B23="GMPC Recycling",INDEX('Materials Master'!$G$2:$G$27,MATCH($C23,'Materials Master'!$A$2:$A$27,0)),IF($B23="Organics Recycling",INDEX('Materials Master'!$H$2:$H$27,MATCH($C23,'Materials Master'!$A$2:$A$27,0)),IF($B23="Cardboard Recycling",INDEX('Materials Master'!$I$2:$I$27,MATCH($C23,'Materials Master'!$A$2:$A$27,0)),IF($B23="Paper Recycling",INDEX('Materials Master'!$J$2:$J$27,MATCH($C23,'Materials Master'!$A$2:$A$27,0)),IF($B23="Terracycle",INDEX('Materials Master'!$K$2:$K$27,MATCH($C23,'Materials Master'!$A$2:$A$27,0)),"No"))))))="Yes",INDEX('Materials Master'!$E$2:$E$27,MATCH($C23,'Materials Master'!$A$2:$A$27,0))="Yes",$B23&lt;&gt;"Trash"),1,0)</f>
        <v>0</v>
      </c>
      <c r="H23" s="0" t="str">
        <f aca="false">INDEX('Materials Master'!$E$2:$E$27,MATCH($C23,'Materials Master'!$A$2:$A$27,0))</f>
        <v>No</v>
      </c>
      <c r="I23" s="0" t="str">
        <f aca="false">IFERROR(INDEX(Areas!$C$2:$C$6,MATCH($A23,Areas!$B$2:$B$6,0)),"")</f>
        <v>Rest of Building</v>
      </c>
      <c r="J23" s="0" t="n">
        <f aca="false">IF(IF($B23="Trash",INDEX('Materials Master'!$F$2:$F$27,MATCH($C23,'Materials Master'!$A$2:$A$27,0)),IF($B23="GMPC Recycling",INDEX('Materials Master'!$G$2:$G$27,MATCH($C23,'Materials Master'!$A$2:$A$27,0)),IF($B23="Organics Recycling",INDEX('Materials Master'!$H$2:$H$27,MATCH($C23,'Materials Master'!$A$2:$A$27,0)),IF($B23="Cardboard Recycling",INDEX('Materials Master'!$I$2:$I$27,MATCH($C23,'Materials Master'!$A$2:$A$27,0)),IF($B23="Paper Recycling",INDEX('Materials Master'!$J$2:$J$27,MATCH($C23,'Materials Master'!$A$2:$A$27,0)),IF($B23="Terracycle",INDEX('Materials Master'!$K$2:$K$27,MATCH($C23,'Materials Master'!$A$2:$A$27,0)),"No"))))))="Yes",1,0)</f>
        <v>1</v>
      </c>
    </row>
    <row r="24" customFormat="false" ht="15" hidden="false" customHeight="false" outlineLevel="0" collapsed="false">
      <c r="A24" s="0" t="s">
        <v>92</v>
      </c>
      <c r="B24" s="0" t="s">
        <v>103</v>
      </c>
      <c r="C24" s="0" t="s">
        <v>80</v>
      </c>
      <c r="D24" s="0" t="str">
        <f aca="false">IFERROR(INDEX('Materials Master'!$B$2:$B$27,MATCH($C24,'Materials Master'!$A$2:$A$27,0)),"")</f>
        <v>Other Unacceptable (specify)</v>
      </c>
      <c r="E24" s="0" t="str">
        <f aca="false">IFERROR(INDEX('Materials Master'!$C$2:$C$27,MATCH($C24,'Materials Master'!$A$2:$A$27,0)),"")</f>
        <v>Unacceptable</v>
      </c>
      <c r="F24" s="0" t="n">
        <f aca="false">IF(SUMIFS(Fact_SortedWeights!$E$2:$E$89,Fact_SortedWeights!$C$2:$C$89,$A24,Fact_SortedWeights!$B$2:$B$89,$B24)=0,0,SUMIFS(Fact_SortedWeights!$E$2:$E$89,Fact_SortedWeights!$C$2:$C$89,$A24,Fact_SortedWeights!$B$2:$B$89,$B24,Fact_SortedWeights!$D$2:$D$89,$C24)/SUMIFS(Fact_SortedWeights!$E$2:$E$89,Fact_SortedWeights!$C$2:$C$89,$A24,Fact_SortedWeights!$B$2:$B$89,$B24)*(IF($B24="Cardboard Recycling",SUMIFS(Fact_SortedWeights!$E$2:$E$89,Fact_SortedWeights!$C$2:$C$89,$A24,Fact_SortedWeights!$B$2:$B$89,$B24),SUMIFS(Fact_PreSortWeights!$E$2:$E$186,Fact_PreSortWeights!$C$2:$C$186,$A24,Fact_PreSortWeights!$B$2:$B$186,$B24))))</f>
        <v>0</v>
      </c>
      <c r="G24" s="0" t="n">
        <f aca="false">IF(AND(IF($B24="Trash",INDEX('Materials Master'!$F$2:$F$27,MATCH($C24,'Materials Master'!$A$2:$A$27,0)),IF($B24="GMPC Recycling",INDEX('Materials Master'!$G$2:$G$27,MATCH($C24,'Materials Master'!$A$2:$A$27,0)),IF($B24="Organics Recycling",INDEX('Materials Master'!$H$2:$H$27,MATCH($C24,'Materials Master'!$A$2:$A$27,0)),IF($B24="Cardboard Recycling",INDEX('Materials Master'!$I$2:$I$27,MATCH($C24,'Materials Master'!$A$2:$A$27,0)),IF($B24="Paper Recycling",INDEX('Materials Master'!$J$2:$J$27,MATCH($C24,'Materials Master'!$A$2:$A$27,0)),IF($B24="Terracycle",INDEX('Materials Master'!$K$2:$K$27,MATCH($C24,'Materials Master'!$A$2:$A$27,0)),"No"))))))="Yes",INDEX('Materials Master'!$E$2:$E$27,MATCH($C24,'Materials Master'!$A$2:$A$27,0))="Yes",$B24&lt;&gt;"Trash"),1,0)</f>
        <v>0</v>
      </c>
      <c r="H24" s="0" t="str">
        <f aca="false">INDEX('Materials Master'!$E$2:$E$27,MATCH($C24,'Materials Master'!$A$2:$A$27,0))</f>
        <v>No</v>
      </c>
      <c r="I24" s="0" t="str">
        <f aca="false">IFERROR(INDEX(Areas!$C$2:$C$6,MATCH($A24,Areas!$B$2:$B$6,0)),"")</f>
        <v>Rest of Building</v>
      </c>
      <c r="J24" s="0" t="n">
        <f aca="false">IF(IF($B24="Trash",INDEX('Materials Master'!$F$2:$F$27,MATCH($C24,'Materials Master'!$A$2:$A$27,0)),IF($B24="GMPC Recycling",INDEX('Materials Master'!$G$2:$G$27,MATCH($C24,'Materials Master'!$A$2:$A$27,0)),IF($B24="Organics Recycling",INDEX('Materials Master'!$H$2:$H$27,MATCH($C24,'Materials Master'!$A$2:$A$27,0)),IF($B24="Cardboard Recycling",INDEX('Materials Master'!$I$2:$I$27,MATCH($C24,'Materials Master'!$A$2:$A$27,0)),IF($B24="Paper Recycling",INDEX('Materials Master'!$J$2:$J$27,MATCH($C24,'Materials Master'!$A$2:$A$27,0)),IF($B24="Terracycle",INDEX('Materials Master'!$K$2:$K$27,MATCH($C24,'Materials Master'!$A$2:$A$27,0)),"No"))))))="Yes",1,0)</f>
        <v>1</v>
      </c>
    </row>
    <row r="25" customFormat="false" ht="15" hidden="false" customHeight="false" outlineLevel="0" collapsed="false">
      <c r="A25" s="0" t="s">
        <v>92</v>
      </c>
      <c r="B25" s="0" t="s">
        <v>103</v>
      </c>
      <c r="C25" s="0" t="s">
        <v>82</v>
      </c>
      <c r="D25" s="0" t="str">
        <f aca="false">IFERROR(INDEX('Materials Master'!$B$2:$B$27,MATCH($C25,'Materials Master'!$A$2:$A$27,0)),"")</f>
        <v>Liquids</v>
      </c>
      <c r="E25" s="0" t="str">
        <f aca="false">IFERROR(INDEX('Materials Master'!$C$2:$C$27,MATCH($C25,'Materials Master'!$A$2:$A$27,0)),"")</f>
        <v>Unacceptable</v>
      </c>
      <c r="F25" s="0" t="n">
        <f aca="false">IF(SUMIFS(Fact_SortedWeights!$E$2:$E$89,Fact_SortedWeights!$C$2:$C$89,$A25,Fact_SortedWeights!$B$2:$B$89,$B25)=0,0,SUMIFS(Fact_SortedWeights!$E$2:$E$89,Fact_SortedWeights!$C$2:$C$89,$A25,Fact_SortedWeights!$B$2:$B$89,$B25,Fact_SortedWeights!$D$2:$D$89,$C25)/SUMIFS(Fact_SortedWeights!$E$2:$E$89,Fact_SortedWeights!$C$2:$C$89,$A25,Fact_SortedWeights!$B$2:$B$89,$B25)*(IF($B25="Cardboard Recycling",SUMIFS(Fact_SortedWeights!$E$2:$E$89,Fact_SortedWeights!$C$2:$C$89,$A25,Fact_SortedWeights!$B$2:$B$89,$B25),SUMIFS(Fact_PreSortWeights!$E$2:$E$186,Fact_PreSortWeights!$C$2:$C$186,$A25,Fact_PreSortWeights!$B$2:$B$186,$B25))))</f>
        <v>17.6349185838964</v>
      </c>
      <c r="G25" s="0" t="n">
        <f aca="false">IF(AND(IF($B25="Trash",INDEX('Materials Master'!$F$2:$F$27,MATCH($C25,'Materials Master'!$A$2:$A$27,0)),IF($B25="GMPC Recycling",INDEX('Materials Master'!$G$2:$G$27,MATCH($C25,'Materials Master'!$A$2:$A$27,0)),IF($B25="Organics Recycling",INDEX('Materials Master'!$H$2:$H$27,MATCH($C25,'Materials Master'!$A$2:$A$27,0)),IF($B25="Cardboard Recycling",INDEX('Materials Master'!$I$2:$I$27,MATCH($C25,'Materials Master'!$A$2:$A$27,0)),IF($B25="Paper Recycling",INDEX('Materials Master'!$J$2:$J$27,MATCH($C25,'Materials Master'!$A$2:$A$27,0)),IF($B25="Terracycle",INDEX('Materials Master'!$K$2:$K$27,MATCH($C25,'Materials Master'!$A$2:$A$27,0)),"No"))))))="Yes",INDEX('Materials Master'!$E$2:$E$27,MATCH($C25,'Materials Master'!$A$2:$A$27,0))="Yes",$B25&lt;&gt;"Trash"),1,0)</f>
        <v>0</v>
      </c>
      <c r="H25" s="0" t="str">
        <f aca="false">INDEX('Materials Master'!$E$2:$E$27,MATCH($C25,'Materials Master'!$A$2:$A$27,0))</f>
        <v>No</v>
      </c>
      <c r="I25" s="0" t="str">
        <f aca="false">IFERROR(INDEX(Areas!$C$2:$C$6,MATCH($A25,Areas!$B$2:$B$6,0)),"")</f>
        <v>Rest of Building</v>
      </c>
      <c r="J25" s="0" t="n">
        <f aca="false">IF(IF($B25="Trash",INDEX('Materials Master'!$F$2:$F$27,MATCH($C25,'Materials Master'!$A$2:$A$27,0)),IF($B25="GMPC Recycling",INDEX('Materials Master'!$G$2:$G$27,MATCH($C25,'Materials Master'!$A$2:$A$27,0)),IF($B25="Organics Recycling",INDEX('Materials Master'!$H$2:$H$27,MATCH($C25,'Materials Master'!$A$2:$A$27,0)),IF($B25="Cardboard Recycling",INDEX('Materials Master'!$I$2:$I$27,MATCH($C25,'Materials Master'!$A$2:$A$27,0)),IF($B25="Paper Recycling",INDEX('Materials Master'!$J$2:$J$27,MATCH($C25,'Materials Master'!$A$2:$A$27,0)),IF($B25="Terracycle",INDEX('Materials Master'!$K$2:$K$27,MATCH($C25,'Materials Master'!$A$2:$A$27,0)),"No"))))))="Yes",1,0)</f>
        <v>1</v>
      </c>
    </row>
    <row r="26" customFormat="false" ht="15" hidden="false" customHeight="false" outlineLevel="0" collapsed="false">
      <c r="A26" s="0" t="s">
        <v>92</v>
      </c>
      <c r="B26" s="0" t="s">
        <v>103</v>
      </c>
      <c r="C26" s="0" t="s">
        <v>84</v>
      </c>
      <c r="D26" s="0" t="str">
        <f aca="false">IFERROR(INDEX('Materials Master'!$B$2:$B$27,MATCH($C26,'Materials Master'!$A$2:$A$27,0)),"")</f>
        <v>Snack Wrappers (Composites)</v>
      </c>
      <c r="E26" s="0" t="str">
        <f aca="false">IFERROR(INDEX('Materials Master'!$C$2:$C$27,MATCH($C26,'Materials Master'!$A$2:$A$27,0)),"")</f>
        <v>Other</v>
      </c>
      <c r="F26" s="0" t="n">
        <f aca="false">IF(SUMIFS(Fact_SortedWeights!$E$2:$E$89,Fact_SortedWeights!$C$2:$C$89,$A26,Fact_SortedWeights!$B$2:$B$89,$B26)=0,0,SUMIFS(Fact_SortedWeights!$E$2:$E$89,Fact_SortedWeights!$C$2:$C$89,$A26,Fact_SortedWeights!$B$2:$B$89,$B26,Fact_SortedWeights!$D$2:$D$89,$C26)/SUMIFS(Fact_SortedWeights!$E$2:$E$89,Fact_SortedWeights!$C$2:$C$89,$A26,Fact_SortedWeights!$B$2:$B$89,$B26)*(IF($B26="Cardboard Recycling",SUMIFS(Fact_SortedWeights!$E$2:$E$89,Fact_SortedWeights!$C$2:$C$89,$A26,Fact_SortedWeights!$B$2:$B$89,$B26),SUMIFS(Fact_PreSortWeights!$E$2:$E$186,Fact_PreSortWeights!$C$2:$C$186,$A26,Fact_PreSortWeights!$B$2:$B$186,$B26))))</f>
        <v>10.3876917685965</v>
      </c>
      <c r="G26" s="0" t="n">
        <f aca="false">IF(AND(IF($B26="Trash",INDEX('Materials Master'!$F$2:$F$27,MATCH($C26,'Materials Master'!$A$2:$A$27,0)),IF($B26="GMPC Recycling",INDEX('Materials Master'!$G$2:$G$27,MATCH($C26,'Materials Master'!$A$2:$A$27,0)),IF($B26="Organics Recycling",INDEX('Materials Master'!$H$2:$H$27,MATCH($C26,'Materials Master'!$A$2:$A$27,0)),IF($B26="Cardboard Recycling",INDEX('Materials Master'!$I$2:$I$27,MATCH($C26,'Materials Master'!$A$2:$A$27,0)),IF($B26="Paper Recycling",INDEX('Materials Master'!$J$2:$J$27,MATCH($C26,'Materials Master'!$A$2:$A$27,0)),IF($B26="Terracycle",INDEX('Materials Master'!$K$2:$K$27,MATCH($C26,'Materials Master'!$A$2:$A$27,0)),"No"))))))="Yes",INDEX('Materials Master'!$E$2:$E$27,MATCH($C26,'Materials Master'!$A$2:$A$27,0))="Yes",$B26&lt;&gt;"Trash"),1,0)</f>
        <v>0</v>
      </c>
      <c r="H26" s="0" t="str">
        <f aca="false">INDEX('Materials Master'!$E$2:$E$27,MATCH($C26,'Materials Master'!$A$2:$A$27,0))</f>
        <v>Yes</v>
      </c>
      <c r="I26" s="0" t="str">
        <f aca="false">IFERROR(INDEX(Areas!$C$2:$C$6,MATCH($A26,Areas!$B$2:$B$6,0)),"")</f>
        <v>Rest of Building</v>
      </c>
      <c r="J26" s="0" t="n">
        <f aca="false">IF(IF($B26="Trash",INDEX('Materials Master'!$F$2:$F$27,MATCH($C26,'Materials Master'!$A$2:$A$27,0)),IF($B26="GMPC Recycling",INDEX('Materials Master'!$G$2:$G$27,MATCH($C26,'Materials Master'!$A$2:$A$27,0)),IF($B26="Organics Recycling",INDEX('Materials Master'!$H$2:$H$27,MATCH($C26,'Materials Master'!$A$2:$A$27,0)),IF($B26="Cardboard Recycling",INDEX('Materials Master'!$I$2:$I$27,MATCH($C26,'Materials Master'!$A$2:$A$27,0)),IF($B26="Paper Recycling",INDEX('Materials Master'!$J$2:$J$27,MATCH($C26,'Materials Master'!$A$2:$A$27,0)),IF($B26="Terracycle",INDEX('Materials Master'!$K$2:$K$27,MATCH($C26,'Materials Master'!$A$2:$A$27,0)),"No"))))))="Yes",1,0)</f>
        <v>0</v>
      </c>
    </row>
    <row r="27" customFormat="false" ht="15" hidden="false" customHeight="false" outlineLevel="0" collapsed="false">
      <c r="A27" s="0" t="s">
        <v>92</v>
      </c>
      <c r="B27" s="0" t="s">
        <v>103</v>
      </c>
      <c r="C27" s="0" t="s">
        <v>87</v>
      </c>
      <c r="D27" s="0" t="str">
        <f aca="false">IFERROR(INDEX('Materials Master'!$B$2:$B$27,MATCH($C27,'Materials Master'!$A$2:$A$27,0)),"")</f>
        <v>Other/Residual Materials</v>
      </c>
      <c r="E27" s="0" t="str">
        <f aca="false">IFERROR(INDEX('Materials Master'!$C$2:$C$27,MATCH($C27,'Materials Master'!$A$2:$A$27,0)),"")</f>
        <v>Other</v>
      </c>
      <c r="F27" s="0" t="n">
        <f aca="false">IF(SUMIFS(Fact_SortedWeights!$E$2:$E$89,Fact_SortedWeights!$C$2:$C$89,$A27,Fact_SortedWeights!$B$2:$B$89,$B27)=0,0,SUMIFS(Fact_SortedWeights!$E$2:$E$89,Fact_SortedWeights!$C$2:$C$89,$A27,Fact_SortedWeights!$B$2:$B$89,$B27,Fact_SortedWeights!$D$2:$D$89,$C27)/SUMIFS(Fact_SortedWeights!$E$2:$E$89,Fact_SortedWeights!$C$2:$C$89,$A27,Fact_SortedWeights!$B$2:$B$89,$B27)*(IF($B27="Cardboard Recycling",SUMIFS(Fact_SortedWeights!$E$2:$E$89,Fact_SortedWeights!$C$2:$C$89,$A27,Fact_SortedWeights!$B$2:$B$89,$B27),SUMIFS(Fact_PreSortWeights!$E$2:$E$186,Fact_PreSortWeights!$C$2:$C$186,$A27,Fact_PreSortWeights!$B$2:$B$186,$B27))))</f>
        <v>59.427259885459</v>
      </c>
      <c r="G27" s="0" t="n">
        <f aca="false">IF(AND(IF($B27="Trash",INDEX('Materials Master'!$F$2:$F$27,MATCH($C27,'Materials Master'!$A$2:$A$27,0)),IF($B27="GMPC Recycling",INDEX('Materials Master'!$G$2:$G$27,MATCH($C27,'Materials Master'!$A$2:$A$27,0)),IF($B27="Organics Recycling",INDEX('Materials Master'!$H$2:$H$27,MATCH($C27,'Materials Master'!$A$2:$A$27,0)),IF($B27="Cardboard Recycling",INDEX('Materials Master'!$I$2:$I$27,MATCH($C27,'Materials Master'!$A$2:$A$27,0)),IF($B27="Paper Recycling",INDEX('Materials Master'!$J$2:$J$27,MATCH($C27,'Materials Master'!$A$2:$A$27,0)),IF($B27="Terracycle",INDEX('Materials Master'!$K$2:$K$27,MATCH($C27,'Materials Master'!$A$2:$A$27,0)),"No"))))))="Yes",INDEX('Materials Master'!$E$2:$E$27,MATCH($C27,'Materials Master'!$A$2:$A$27,0))="Yes",$B27&lt;&gt;"Trash"),1,0)</f>
        <v>0</v>
      </c>
      <c r="H27" s="0" t="str">
        <f aca="false">INDEX('Materials Master'!$E$2:$E$27,MATCH($C27,'Materials Master'!$A$2:$A$27,0))</f>
        <v>No</v>
      </c>
      <c r="I27" s="0" t="str">
        <f aca="false">IFERROR(INDEX(Areas!$C$2:$C$6,MATCH($A27,Areas!$B$2:$B$6,0)),"")</f>
        <v>Rest of Building</v>
      </c>
      <c r="J27" s="0" t="n">
        <f aca="false">IF(IF($B27="Trash",INDEX('Materials Master'!$F$2:$F$27,MATCH($C27,'Materials Master'!$A$2:$A$27,0)),IF($B27="GMPC Recycling",INDEX('Materials Master'!$G$2:$G$27,MATCH($C27,'Materials Master'!$A$2:$A$27,0)),IF($B27="Organics Recycling",INDEX('Materials Master'!$H$2:$H$27,MATCH($C27,'Materials Master'!$A$2:$A$27,0)),IF($B27="Cardboard Recycling",INDEX('Materials Master'!$I$2:$I$27,MATCH($C27,'Materials Master'!$A$2:$A$27,0)),IF($B27="Paper Recycling",INDEX('Materials Master'!$J$2:$J$27,MATCH($C27,'Materials Master'!$A$2:$A$27,0)),IF($B27="Terracycle",INDEX('Materials Master'!$K$2:$K$27,MATCH($C27,'Materials Master'!$A$2:$A$27,0)),"No"))))))="Yes",1,0)</f>
        <v>1</v>
      </c>
    </row>
    <row r="28" customFormat="false" ht="15" hidden="false" customHeight="false" outlineLevel="0" collapsed="false">
      <c r="A28" s="0" t="s">
        <v>92</v>
      </c>
      <c r="B28" s="0" t="s">
        <v>104</v>
      </c>
      <c r="C28" s="0" t="s">
        <v>28</v>
      </c>
      <c r="D28" s="0" t="str">
        <f aca="false">IFERROR(INDEX('Materials Master'!$B$2:$B$27,MATCH($C28,'Materials Master'!$A$2:$A$27,0)),"")</f>
        <v>Corrugated Cardboard</v>
      </c>
      <c r="E28" s="0" t="str">
        <f aca="false">IFERROR(INDEX('Materials Master'!$C$2:$C$27,MATCH($C28,'Materials Master'!$A$2:$A$27,0)),"")</f>
        <v>Fibers</v>
      </c>
      <c r="F28" s="0" t="n">
        <f aca="false">IF(SUMIFS(Fact_SortedWeights!$E$2:$E$89,Fact_SortedWeights!$C$2:$C$89,$A28,Fact_SortedWeights!$B$2:$B$89,$B28)=0,0,SUMIFS(Fact_SortedWeights!$E$2:$E$89,Fact_SortedWeights!$C$2:$C$89,$A28,Fact_SortedWeights!$B$2:$B$89,$B28,Fact_SortedWeights!$D$2:$D$89,$C28)/SUMIFS(Fact_SortedWeights!$E$2:$E$89,Fact_SortedWeights!$C$2:$C$89,$A28,Fact_SortedWeights!$B$2:$B$89,$B28)*(IF($B28="Cardboard Recycling",SUMIFS(Fact_SortedWeights!$E$2:$E$89,Fact_SortedWeights!$C$2:$C$89,$A28,Fact_SortedWeights!$B$2:$B$89,$B28),SUMIFS(Fact_PreSortWeights!$E$2:$E$186,Fact_PreSortWeights!$C$2:$C$186,$A28,Fact_PreSortWeights!$B$2:$B$186,$B28))))</f>
        <v>0</v>
      </c>
      <c r="G28" s="0" t="n">
        <f aca="false">IF(AND(IF($B28="Trash",INDEX('Materials Master'!$F$2:$F$27,MATCH($C28,'Materials Master'!$A$2:$A$27,0)),IF($B28="GMPC Recycling",INDEX('Materials Master'!$G$2:$G$27,MATCH($C28,'Materials Master'!$A$2:$A$27,0)),IF($B28="Organics Recycling",INDEX('Materials Master'!$H$2:$H$27,MATCH($C28,'Materials Master'!$A$2:$A$27,0)),IF($B28="Cardboard Recycling",INDEX('Materials Master'!$I$2:$I$27,MATCH($C28,'Materials Master'!$A$2:$A$27,0)),IF($B28="Paper Recycling",INDEX('Materials Master'!$J$2:$J$27,MATCH($C28,'Materials Master'!$A$2:$A$27,0)),IF($B28="Terracycle",INDEX('Materials Master'!$K$2:$K$27,MATCH($C28,'Materials Master'!$A$2:$A$27,0)),"No"))))))="Yes",INDEX('Materials Master'!$E$2:$E$27,MATCH($C28,'Materials Master'!$A$2:$A$27,0))="Yes",$B28&lt;&gt;"Trash"),1,0)</f>
        <v>1</v>
      </c>
      <c r="H28" s="0" t="str">
        <f aca="false">INDEX('Materials Master'!$E$2:$E$27,MATCH($C28,'Materials Master'!$A$2:$A$27,0))</f>
        <v>Yes</v>
      </c>
      <c r="I28" s="0" t="str">
        <f aca="false">IFERROR(INDEX(Areas!$C$2:$C$6,MATCH($A28,Areas!$B$2:$B$6,0)),"")</f>
        <v>Rest of Building</v>
      </c>
      <c r="J28" s="0" t="n">
        <f aca="false">IF(IF($B28="Trash",INDEX('Materials Master'!$F$2:$F$27,MATCH($C28,'Materials Master'!$A$2:$A$27,0)),IF($B28="GMPC Recycling",INDEX('Materials Master'!$G$2:$G$27,MATCH($C28,'Materials Master'!$A$2:$A$27,0)),IF($B28="Organics Recycling",INDEX('Materials Master'!$H$2:$H$27,MATCH($C28,'Materials Master'!$A$2:$A$27,0)),IF($B28="Cardboard Recycling",INDEX('Materials Master'!$I$2:$I$27,MATCH($C28,'Materials Master'!$A$2:$A$27,0)),IF($B28="Paper Recycling",INDEX('Materials Master'!$J$2:$J$27,MATCH($C28,'Materials Master'!$A$2:$A$27,0)),IF($B28="Terracycle",INDEX('Materials Master'!$K$2:$K$27,MATCH($C28,'Materials Master'!$A$2:$A$27,0)),"No"))))))="Yes",1,0)</f>
        <v>1</v>
      </c>
    </row>
    <row r="29" customFormat="false" ht="15" hidden="false" customHeight="false" outlineLevel="0" collapsed="false">
      <c r="A29" s="0" t="s">
        <v>92</v>
      </c>
      <c r="B29" s="0" t="s">
        <v>104</v>
      </c>
      <c r="C29" s="0" t="s">
        <v>33</v>
      </c>
      <c r="D29" s="0" t="str">
        <f aca="false">IFERROR(INDEX('Materials Master'!$B$2:$B$27,MATCH($C29,'Materials Master'!$A$2:$A$27,0)),"")</f>
        <v>Soiled Cardboard</v>
      </c>
      <c r="E29" s="0" t="str">
        <f aca="false">IFERROR(INDEX('Materials Master'!$C$2:$C$27,MATCH($C29,'Materials Master'!$A$2:$A$27,0)),"")</f>
        <v>Fibers</v>
      </c>
      <c r="F29" s="0" t="n">
        <f aca="false">IF(SUMIFS(Fact_SortedWeights!$E$2:$E$89,Fact_SortedWeights!$C$2:$C$89,$A29,Fact_SortedWeights!$B$2:$B$89,$B29)=0,0,SUMIFS(Fact_SortedWeights!$E$2:$E$89,Fact_SortedWeights!$C$2:$C$89,$A29,Fact_SortedWeights!$B$2:$B$89,$B29,Fact_SortedWeights!$D$2:$D$89,$C29)/SUMIFS(Fact_SortedWeights!$E$2:$E$89,Fact_SortedWeights!$C$2:$C$89,$A29,Fact_SortedWeights!$B$2:$B$89,$B29)*(IF($B29="Cardboard Recycling",SUMIFS(Fact_SortedWeights!$E$2:$E$89,Fact_SortedWeights!$C$2:$C$89,$A29,Fact_SortedWeights!$B$2:$B$89,$B29),SUMIFS(Fact_PreSortWeights!$E$2:$E$186,Fact_PreSortWeights!$C$2:$C$186,$A29,Fact_PreSortWeights!$B$2:$B$186,$B29))))</f>
        <v>0</v>
      </c>
      <c r="G29" s="0" t="n">
        <f aca="false">IF(AND(IF($B29="Trash",INDEX('Materials Master'!$F$2:$F$27,MATCH($C29,'Materials Master'!$A$2:$A$27,0)),IF($B29="GMPC Recycling",INDEX('Materials Master'!$G$2:$G$27,MATCH($C29,'Materials Master'!$A$2:$A$27,0)),IF($B29="Organics Recycling",INDEX('Materials Master'!$H$2:$H$27,MATCH($C29,'Materials Master'!$A$2:$A$27,0)),IF($B29="Cardboard Recycling",INDEX('Materials Master'!$I$2:$I$27,MATCH($C29,'Materials Master'!$A$2:$A$27,0)),IF($B29="Paper Recycling",INDEX('Materials Master'!$J$2:$J$27,MATCH($C29,'Materials Master'!$A$2:$A$27,0)),IF($B29="Terracycle",INDEX('Materials Master'!$K$2:$K$27,MATCH($C29,'Materials Master'!$A$2:$A$27,0)),"No"))))))="Yes",INDEX('Materials Master'!$E$2:$E$27,MATCH($C29,'Materials Master'!$A$2:$A$27,0))="Yes",$B29&lt;&gt;"Trash"),1,0)</f>
        <v>0</v>
      </c>
      <c r="H29" s="0" t="str">
        <f aca="false">INDEX('Materials Master'!$E$2:$E$27,MATCH($C29,'Materials Master'!$A$2:$A$27,0))</f>
        <v>No</v>
      </c>
      <c r="I29" s="0" t="str">
        <f aca="false">IFERROR(INDEX(Areas!$C$2:$C$6,MATCH($A29,Areas!$B$2:$B$6,0)),"")</f>
        <v>Rest of Building</v>
      </c>
      <c r="J29" s="0" t="n">
        <f aca="false">IF(IF($B29="Trash",INDEX('Materials Master'!$F$2:$F$27,MATCH($C29,'Materials Master'!$A$2:$A$27,0)),IF($B29="GMPC Recycling",INDEX('Materials Master'!$G$2:$G$27,MATCH($C29,'Materials Master'!$A$2:$A$27,0)),IF($B29="Organics Recycling",INDEX('Materials Master'!$H$2:$H$27,MATCH($C29,'Materials Master'!$A$2:$A$27,0)),IF($B29="Cardboard Recycling",INDEX('Materials Master'!$I$2:$I$27,MATCH($C29,'Materials Master'!$A$2:$A$27,0)),IF($B29="Paper Recycling",INDEX('Materials Master'!$J$2:$J$27,MATCH($C29,'Materials Master'!$A$2:$A$27,0)),IF($B29="Terracycle",INDEX('Materials Master'!$K$2:$K$27,MATCH($C29,'Materials Master'!$A$2:$A$27,0)),"No"))))))="Yes",1,0)</f>
        <v>0</v>
      </c>
    </row>
    <row r="30" customFormat="false" ht="15" hidden="false" customHeight="false" outlineLevel="0" collapsed="false">
      <c r="A30" s="0" t="s">
        <v>92</v>
      </c>
      <c r="B30" s="0" t="s">
        <v>104</v>
      </c>
      <c r="C30" s="0" t="s">
        <v>35</v>
      </c>
      <c r="D30" s="0" t="str">
        <f aca="false">IFERROR(INDEX('Materials Master'!$B$2:$B$27,MATCH($C30,'Materials Master'!$A$2:$A$27,0)),"")</f>
        <v>Waxed Cardboard</v>
      </c>
      <c r="E30" s="0" t="str">
        <f aca="false">IFERROR(INDEX('Materials Master'!$C$2:$C$27,MATCH($C30,'Materials Master'!$A$2:$A$27,0)),"")</f>
        <v>Fibers</v>
      </c>
      <c r="F30" s="0" t="n">
        <f aca="false">IF(SUMIFS(Fact_SortedWeights!$E$2:$E$89,Fact_SortedWeights!$C$2:$C$89,$A30,Fact_SortedWeights!$B$2:$B$89,$B30)=0,0,SUMIFS(Fact_SortedWeights!$E$2:$E$89,Fact_SortedWeights!$C$2:$C$89,$A30,Fact_SortedWeights!$B$2:$B$89,$B30,Fact_SortedWeights!$D$2:$D$89,$C30)/SUMIFS(Fact_SortedWeights!$E$2:$E$89,Fact_SortedWeights!$C$2:$C$89,$A30,Fact_SortedWeights!$B$2:$B$89,$B30)*(IF($B30="Cardboard Recycling",SUMIFS(Fact_SortedWeights!$E$2:$E$89,Fact_SortedWeights!$C$2:$C$89,$A30,Fact_SortedWeights!$B$2:$B$89,$B30),SUMIFS(Fact_PreSortWeights!$E$2:$E$186,Fact_PreSortWeights!$C$2:$C$186,$A30,Fact_PreSortWeights!$B$2:$B$186,$B30))))</f>
        <v>0</v>
      </c>
      <c r="G30" s="0" t="n">
        <f aca="false">IF(AND(IF($B30="Trash",INDEX('Materials Master'!$F$2:$F$27,MATCH($C30,'Materials Master'!$A$2:$A$27,0)),IF($B30="GMPC Recycling",INDEX('Materials Master'!$G$2:$G$27,MATCH($C30,'Materials Master'!$A$2:$A$27,0)),IF($B30="Organics Recycling",INDEX('Materials Master'!$H$2:$H$27,MATCH($C30,'Materials Master'!$A$2:$A$27,0)),IF($B30="Cardboard Recycling",INDEX('Materials Master'!$I$2:$I$27,MATCH($C30,'Materials Master'!$A$2:$A$27,0)),IF($B30="Paper Recycling",INDEX('Materials Master'!$J$2:$J$27,MATCH($C30,'Materials Master'!$A$2:$A$27,0)),IF($B30="Terracycle",INDEX('Materials Master'!$K$2:$K$27,MATCH($C30,'Materials Master'!$A$2:$A$27,0)),"No"))))))="Yes",INDEX('Materials Master'!$E$2:$E$27,MATCH($C30,'Materials Master'!$A$2:$A$27,0))="Yes",$B30&lt;&gt;"Trash"),1,0)</f>
        <v>0</v>
      </c>
      <c r="H30" s="0" t="str">
        <f aca="false">INDEX('Materials Master'!$E$2:$E$27,MATCH($C30,'Materials Master'!$A$2:$A$27,0))</f>
        <v>No</v>
      </c>
      <c r="I30" s="0" t="str">
        <f aca="false">IFERROR(INDEX(Areas!$C$2:$C$6,MATCH($A30,Areas!$B$2:$B$6,0)),"")</f>
        <v>Rest of Building</v>
      </c>
      <c r="J30" s="0" t="n">
        <f aca="false">IF(IF($B30="Trash",INDEX('Materials Master'!$F$2:$F$27,MATCH($C30,'Materials Master'!$A$2:$A$27,0)),IF($B30="GMPC Recycling",INDEX('Materials Master'!$G$2:$G$27,MATCH($C30,'Materials Master'!$A$2:$A$27,0)),IF($B30="Organics Recycling",INDEX('Materials Master'!$H$2:$H$27,MATCH($C30,'Materials Master'!$A$2:$A$27,0)),IF($B30="Cardboard Recycling",INDEX('Materials Master'!$I$2:$I$27,MATCH($C30,'Materials Master'!$A$2:$A$27,0)),IF($B30="Paper Recycling",INDEX('Materials Master'!$J$2:$J$27,MATCH($C30,'Materials Master'!$A$2:$A$27,0)),IF($B30="Terracycle",INDEX('Materials Master'!$K$2:$K$27,MATCH($C30,'Materials Master'!$A$2:$A$27,0)),"No"))))))="Yes",1,0)</f>
        <v>0</v>
      </c>
    </row>
    <row r="31" customFormat="false" ht="15" hidden="false" customHeight="false" outlineLevel="0" collapsed="false">
      <c r="A31" s="0" t="s">
        <v>92</v>
      </c>
      <c r="B31" s="0" t="s">
        <v>104</v>
      </c>
      <c r="C31" s="0" t="s">
        <v>37</v>
      </c>
      <c r="D31" s="0" t="str">
        <f aca="false">IFERROR(INDEX('Materials Master'!$B$2:$B$27,MATCH($C31,'Materials Master'!$A$2:$A$27,0)),"")</f>
        <v>Mixed Paper</v>
      </c>
      <c r="E31" s="0" t="str">
        <f aca="false">IFERROR(INDEX('Materials Master'!$C$2:$C$27,MATCH($C31,'Materials Master'!$A$2:$A$27,0)),"")</f>
        <v>Fibers</v>
      </c>
      <c r="F31" s="0" t="n">
        <f aca="false">IF(SUMIFS(Fact_SortedWeights!$E$2:$E$89,Fact_SortedWeights!$C$2:$C$89,$A31,Fact_SortedWeights!$B$2:$B$89,$B31)=0,0,SUMIFS(Fact_SortedWeights!$E$2:$E$89,Fact_SortedWeights!$C$2:$C$89,$A31,Fact_SortedWeights!$B$2:$B$89,$B31,Fact_SortedWeights!$D$2:$D$89,$C31)/SUMIFS(Fact_SortedWeights!$E$2:$E$89,Fact_SortedWeights!$C$2:$C$89,$A31,Fact_SortedWeights!$B$2:$B$89,$B31)*(IF($B31="Cardboard Recycling",SUMIFS(Fact_SortedWeights!$E$2:$E$89,Fact_SortedWeights!$C$2:$C$89,$A31,Fact_SortedWeights!$B$2:$B$89,$B31),SUMIFS(Fact_PreSortWeights!$E$2:$E$186,Fact_PreSortWeights!$C$2:$C$186,$A31,Fact_PreSortWeights!$B$2:$B$186,$B31))))</f>
        <v>2.47959721889235</v>
      </c>
      <c r="G31" s="0" t="n">
        <f aca="false">IF(AND(IF($B31="Trash",INDEX('Materials Master'!$F$2:$F$27,MATCH($C31,'Materials Master'!$A$2:$A$27,0)),IF($B31="GMPC Recycling",INDEX('Materials Master'!$G$2:$G$27,MATCH($C31,'Materials Master'!$A$2:$A$27,0)),IF($B31="Organics Recycling",INDEX('Materials Master'!$H$2:$H$27,MATCH($C31,'Materials Master'!$A$2:$A$27,0)),IF($B31="Cardboard Recycling",INDEX('Materials Master'!$I$2:$I$27,MATCH($C31,'Materials Master'!$A$2:$A$27,0)),IF($B31="Paper Recycling",INDEX('Materials Master'!$J$2:$J$27,MATCH($C31,'Materials Master'!$A$2:$A$27,0)),IF($B31="Terracycle",INDEX('Materials Master'!$K$2:$K$27,MATCH($C31,'Materials Master'!$A$2:$A$27,0)),"No"))))))="Yes",INDEX('Materials Master'!$E$2:$E$27,MATCH($C31,'Materials Master'!$A$2:$A$27,0))="Yes",$B31&lt;&gt;"Trash"),1,0)</f>
        <v>1</v>
      </c>
      <c r="H31" s="0" t="str">
        <f aca="false">INDEX('Materials Master'!$E$2:$E$27,MATCH($C31,'Materials Master'!$A$2:$A$27,0))</f>
        <v>Yes</v>
      </c>
      <c r="I31" s="0" t="str">
        <f aca="false">IFERROR(INDEX(Areas!$C$2:$C$6,MATCH($A31,Areas!$B$2:$B$6,0)),"")</f>
        <v>Rest of Building</v>
      </c>
      <c r="J31" s="0" t="n">
        <f aca="false">IF(IF($B31="Trash",INDEX('Materials Master'!$F$2:$F$27,MATCH($C31,'Materials Master'!$A$2:$A$27,0)),IF($B31="GMPC Recycling",INDEX('Materials Master'!$G$2:$G$27,MATCH($C31,'Materials Master'!$A$2:$A$27,0)),IF($B31="Organics Recycling",INDEX('Materials Master'!$H$2:$H$27,MATCH($C31,'Materials Master'!$A$2:$A$27,0)),IF($B31="Cardboard Recycling",INDEX('Materials Master'!$I$2:$I$27,MATCH($C31,'Materials Master'!$A$2:$A$27,0)),IF($B31="Paper Recycling",INDEX('Materials Master'!$J$2:$J$27,MATCH($C31,'Materials Master'!$A$2:$A$27,0)),IF($B31="Terracycle",INDEX('Materials Master'!$K$2:$K$27,MATCH($C31,'Materials Master'!$A$2:$A$27,0)),"No"))))))="Yes",1,0)</f>
        <v>1</v>
      </c>
    </row>
    <row r="32" customFormat="false" ht="15" hidden="false" customHeight="false" outlineLevel="0" collapsed="false">
      <c r="A32" s="0" t="s">
        <v>92</v>
      </c>
      <c r="B32" s="0" t="s">
        <v>104</v>
      </c>
      <c r="C32" s="0" t="s">
        <v>39</v>
      </c>
      <c r="D32" s="0" t="str">
        <f aca="false">IFERROR(INDEX('Materials Master'!$B$2:$B$27,MATCH($C32,'Materials Master'!$A$2:$A$27,0)),"")</f>
        <v>Soiled Paper</v>
      </c>
      <c r="E32" s="0" t="str">
        <f aca="false">IFERROR(INDEX('Materials Master'!$C$2:$C$27,MATCH($C32,'Materials Master'!$A$2:$A$27,0)),"")</f>
        <v>Fibers</v>
      </c>
      <c r="F32" s="0" t="n">
        <f aca="false">IF(SUMIFS(Fact_SortedWeights!$E$2:$E$89,Fact_SortedWeights!$C$2:$C$89,$A32,Fact_SortedWeights!$B$2:$B$89,$B32)=0,0,SUMIFS(Fact_SortedWeights!$E$2:$E$89,Fact_SortedWeights!$C$2:$C$89,$A32,Fact_SortedWeights!$B$2:$B$89,$B32,Fact_SortedWeights!$D$2:$D$89,$C32)/SUMIFS(Fact_SortedWeights!$E$2:$E$89,Fact_SortedWeights!$C$2:$C$89,$A32,Fact_SortedWeights!$B$2:$B$89,$B32)*(IF($B32="Cardboard Recycling",SUMIFS(Fact_SortedWeights!$E$2:$E$89,Fact_SortedWeights!$C$2:$C$89,$A32,Fact_SortedWeights!$B$2:$B$89,$B32),SUMIFS(Fact_PreSortWeights!$E$2:$E$186,Fact_PreSortWeights!$C$2:$C$186,$A32,Fact_PreSortWeights!$B$2:$B$186,$B32))))</f>
        <v>0</v>
      </c>
      <c r="G32" s="0" t="n">
        <f aca="false">IF(AND(IF($B32="Trash",INDEX('Materials Master'!$F$2:$F$27,MATCH($C32,'Materials Master'!$A$2:$A$27,0)),IF($B32="GMPC Recycling",INDEX('Materials Master'!$G$2:$G$27,MATCH($C32,'Materials Master'!$A$2:$A$27,0)),IF($B32="Organics Recycling",INDEX('Materials Master'!$H$2:$H$27,MATCH($C32,'Materials Master'!$A$2:$A$27,0)),IF($B32="Cardboard Recycling",INDEX('Materials Master'!$I$2:$I$27,MATCH($C32,'Materials Master'!$A$2:$A$27,0)),IF($B32="Paper Recycling",INDEX('Materials Master'!$J$2:$J$27,MATCH($C32,'Materials Master'!$A$2:$A$27,0)),IF($B32="Terracycle",INDEX('Materials Master'!$K$2:$K$27,MATCH($C32,'Materials Master'!$A$2:$A$27,0)),"No"))))))="Yes",INDEX('Materials Master'!$E$2:$E$27,MATCH($C32,'Materials Master'!$A$2:$A$27,0))="Yes",$B32&lt;&gt;"Trash"),1,0)</f>
        <v>0</v>
      </c>
      <c r="H32" s="0" t="str">
        <f aca="false">INDEX('Materials Master'!$E$2:$E$27,MATCH($C32,'Materials Master'!$A$2:$A$27,0))</f>
        <v>No</v>
      </c>
      <c r="I32" s="0" t="str">
        <f aca="false">IFERROR(INDEX(Areas!$C$2:$C$6,MATCH($A32,Areas!$B$2:$B$6,0)),"")</f>
        <v>Rest of Building</v>
      </c>
      <c r="J32" s="0" t="n">
        <f aca="false">IF(IF($B32="Trash",INDEX('Materials Master'!$F$2:$F$27,MATCH($C32,'Materials Master'!$A$2:$A$27,0)),IF($B32="GMPC Recycling",INDEX('Materials Master'!$G$2:$G$27,MATCH($C32,'Materials Master'!$A$2:$A$27,0)),IF($B32="Organics Recycling",INDEX('Materials Master'!$H$2:$H$27,MATCH($C32,'Materials Master'!$A$2:$A$27,0)),IF($B32="Cardboard Recycling",INDEX('Materials Master'!$I$2:$I$27,MATCH($C32,'Materials Master'!$A$2:$A$27,0)),IF($B32="Paper Recycling",INDEX('Materials Master'!$J$2:$J$27,MATCH($C32,'Materials Master'!$A$2:$A$27,0)),IF($B32="Terracycle",INDEX('Materials Master'!$K$2:$K$27,MATCH($C32,'Materials Master'!$A$2:$A$27,0)),"No"))))))="Yes",1,0)</f>
        <v>0</v>
      </c>
    </row>
    <row r="33" customFormat="false" ht="15" hidden="false" customHeight="false" outlineLevel="0" collapsed="false">
      <c r="A33" s="0" t="s">
        <v>92</v>
      </c>
      <c r="B33" s="0" t="s">
        <v>104</v>
      </c>
      <c r="C33" s="0" t="s">
        <v>41</v>
      </c>
      <c r="D33" s="0" t="str">
        <f aca="false">IFERROR(INDEX('Materials Master'!$B$2:$B$27,MATCH($C33,'Materials Master'!$A$2:$A$27,0)),"")</f>
        <v>Beverage Cartons</v>
      </c>
      <c r="E33" s="0" t="str">
        <f aca="false">IFERROR(INDEX('Materials Master'!$C$2:$C$27,MATCH($C33,'Materials Master'!$A$2:$A$27,0)),"")</f>
        <v>Fibers</v>
      </c>
      <c r="F33" s="0" t="n">
        <f aca="false">IF(SUMIFS(Fact_SortedWeights!$E$2:$E$89,Fact_SortedWeights!$C$2:$C$89,$A33,Fact_SortedWeights!$B$2:$B$89,$B33)=0,0,SUMIFS(Fact_SortedWeights!$E$2:$E$89,Fact_SortedWeights!$C$2:$C$89,$A33,Fact_SortedWeights!$B$2:$B$89,$B33,Fact_SortedWeights!$D$2:$D$89,$C33)/SUMIFS(Fact_SortedWeights!$E$2:$E$89,Fact_SortedWeights!$C$2:$C$89,$A33,Fact_SortedWeights!$B$2:$B$89,$B33)*(IF($B33="Cardboard Recycling",SUMIFS(Fact_SortedWeights!$E$2:$E$89,Fact_SortedWeights!$C$2:$C$89,$A33,Fact_SortedWeights!$B$2:$B$89,$B33),SUMIFS(Fact_PreSortWeights!$E$2:$E$186,Fact_PreSortWeights!$C$2:$C$186,$A33,Fact_PreSortWeights!$B$2:$B$186,$B33))))</f>
        <v>0.648957084631983</v>
      </c>
      <c r="G33" s="0" t="n">
        <f aca="false">IF(AND(IF($B33="Trash",INDEX('Materials Master'!$F$2:$F$27,MATCH($C33,'Materials Master'!$A$2:$A$27,0)),IF($B33="GMPC Recycling",INDEX('Materials Master'!$G$2:$G$27,MATCH($C33,'Materials Master'!$A$2:$A$27,0)),IF($B33="Organics Recycling",INDEX('Materials Master'!$H$2:$H$27,MATCH($C33,'Materials Master'!$A$2:$A$27,0)),IF($B33="Cardboard Recycling",INDEX('Materials Master'!$I$2:$I$27,MATCH($C33,'Materials Master'!$A$2:$A$27,0)),IF($B33="Paper Recycling",INDEX('Materials Master'!$J$2:$J$27,MATCH($C33,'Materials Master'!$A$2:$A$27,0)),IF($B33="Terracycle",INDEX('Materials Master'!$K$2:$K$27,MATCH($C33,'Materials Master'!$A$2:$A$27,0)),"No"))))))="Yes",INDEX('Materials Master'!$E$2:$E$27,MATCH($C33,'Materials Master'!$A$2:$A$27,0))="Yes",$B33&lt;&gt;"Trash"),1,0)</f>
        <v>1</v>
      </c>
      <c r="H33" s="0" t="str">
        <f aca="false">INDEX('Materials Master'!$E$2:$E$27,MATCH($C33,'Materials Master'!$A$2:$A$27,0))</f>
        <v>Yes</v>
      </c>
      <c r="I33" s="0" t="str">
        <f aca="false">IFERROR(INDEX(Areas!$C$2:$C$6,MATCH($A33,Areas!$B$2:$B$6,0)),"")</f>
        <v>Rest of Building</v>
      </c>
      <c r="J33" s="0" t="n">
        <f aca="false">IF(IF($B33="Trash",INDEX('Materials Master'!$F$2:$F$27,MATCH($C33,'Materials Master'!$A$2:$A$27,0)),IF($B33="GMPC Recycling",INDEX('Materials Master'!$G$2:$G$27,MATCH($C33,'Materials Master'!$A$2:$A$27,0)),IF($B33="Organics Recycling",INDEX('Materials Master'!$H$2:$H$27,MATCH($C33,'Materials Master'!$A$2:$A$27,0)),IF($B33="Cardboard Recycling",INDEX('Materials Master'!$I$2:$I$27,MATCH($C33,'Materials Master'!$A$2:$A$27,0)),IF($B33="Paper Recycling",INDEX('Materials Master'!$J$2:$J$27,MATCH($C33,'Materials Master'!$A$2:$A$27,0)),IF($B33="Terracycle",INDEX('Materials Master'!$K$2:$K$27,MATCH($C33,'Materials Master'!$A$2:$A$27,0)),"No"))))))="Yes",1,0)</f>
        <v>1</v>
      </c>
    </row>
    <row r="34" customFormat="false" ht="15" hidden="false" customHeight="false" outlineLevel="0" collapsed="false">
      <c r="A34" s="0" t="s">
        <v>92</v>
      </c>
      <c r="B34" s="0" t="s">
        <v>104</v>
      </c>
      <c r="C34" s="0" t="s">
        <v>43</v>
      </c>
      <c r="D34" s="0" t="str">
        <f aca="false">IFERROR(INDEX('Materials Master'!$B$2:$B$27,MATCH($C34,'Materials Master'!$A$2:$A$27,0)),"")</f>
        <v>Soiled Beverage Cartons</v>
      </c>
      <c r="E34" s="0" t="str">
        <f aca="false">IFERROR(INDEX('Materials Master'!$C$2:$C$27,MATCH($C34,'Materials Master'!$A$2:$A$27,0)),"")</f>
        <v>Fibers</v>
      </c>
      <c r="F34" s="0" t="n">
        <f aca="false">IF(SUMIFS(Fact_SortedWeights!$E$2:$E$89,Fact_SortedWeights!$C$2:$C$89,$A34,Fact_SortedWeights!$B$2:$B$89,$B34)=0,0,SUMIFS(Fact_SortedWeights!$E$2:$E$89,Fact_SortedWeights!$C$2:$C$89,$A34,Fact_SortedWeights!$B$2:$B$89,$B34,Fact_SortedWeights!$D$2:$D$89,$C34)/SUMIFS(Fact_SortedWeights!$E$2:$E$89,Fact_SortedWeights!$C$2:$C$89,$A34,Fact_SortedWeights!$B$2:$B$89,$B34)*(IF($B34="Cardboard Recycling",SUMIFS(Fact_SortedWeights!$E$2:$E$89,Fact_SortedWeights!$C$2:$C$89,$A34,Fact_SortedWeights!$B$2:$B$89,$B34),SUMIFS(Fact_PreSortWeights!$E$2:$E$186,Fact_PreSortWeights!$C$2:$C$186,$A34,Fact_PreSortWeights!$B$2:$B$186,$B34))))</f>
        <v>0</v>
      </c>
      <c r="G34" s="0" t="n">
        <f aca="false">IF(AND(IF($B34="Trash",INDEX('Materials Master'!$F$2:$F$27,MATCH($C34,'Materials Master'!$A$2:$A$27,0)),IF($B34="GMPC Recycling",INDEX('Materials Master'!$G$2:$G$27,MATCH($C34,'Materials Master'!$A$2:$A$27,0)),IF($B34="Organics Recycling",INDEX('Materials Master'!$H$2:$H$27,MATCH($C34,'Materials Master'!$A$2:$A$27,0)),IF($B34="Cardboard Recycling",INDEX('Materials Master'!$I$2:$I$27,MATCH($C34,'Materials Master'!$A$2:$A$27,0)),IF($B34="Paper Recycling",INDEX('Materials Master'!$J$2:$J$27,MATCH($C34,'Materials Master'!$A$2:$A$27,0)),IF($B34="Terracycle",INDEX('Materials Master'!$K$2:$K$27,MATCH($C34,'Materials Master'!$A$2:$A$27,0)),"No"))))))="Yes",INDEX('Materials Master'!$E$2:$E$27,MATCH($C34,'Materials Master'!$A$2:$A$27,0))="Yes",$B34&lt;&gt;"Trash"),1,0)</f>
        <v>0</v>
      </c>
      <c r="H34" s="0" t="str">
        <f aca="false">INDEX('Materials Master'!$E$2:$E$27,MATCH($C34,'Materials Master'!$A$2:$A$27,0))</f>
        <v>No</v>
      </c>
      <c r="I34" s="0" t="str">
        <f aca="false">IFERROR(INDEX(Areas!$C$2:$C$6,MATCH($A34,Areas!$B$2:$B$6,0)),"")</f>
        <v>Rest of Building</v>
      </c>
      <c r="J34" s="0" t="n">
        <f aca="false">IF(IF($B34="Trash",INDEX('Materials Master'!$F$2:$F$27,MATCH($C34,'Materials Master'!$A$2:$A$27,0)),IF($B34="GMPC Recycling",INDEX('Materials Master'!$G$2:$G$27,MATCH($C34,'Materials Master'!$A$2:$A$27,0)),IF($B34="Organics Recycling",INDEX('Materials Master'!$H$2:$H$27,MATCH($C34,'Materials Master'!$A$2:$A$27,0)),IF($B34="Cardboard Recycling",INDEX('Materials Master'!$I$2:$I$27,MATCH($C34,'Materials Master'!$A$2:$A$27,0)),IF($B34="Paper Recycling",INDEX('Materials Master'!$J$2:$J$27,MATCH($C34,'Materials Master'!$A$2:$A$27,0)),IF($B34="Terracycle",INDEX('Materials Master'!$K$2:$K$27,MATCH($C34,'Materials Master'!$A$2:$A$27,0)),"No"))))))="Yes",1,0)</f>
        <v>0</v>
      </c>
    </row>
    <row r="35" customFormat="false" ht="15" hidden="false" customHeight="false" outlineLevel="0" collapsed="false">
      <c r="A35" s="0" t="s">
        <v>92</v>
      </c>
      <c r="B35" s="0" t="s">
        <v>104</v>
      </c>
      <c r="C35" s="0" t="s">
        <v>45</v>
      </c>
      <c r="D35" s="0" t="str">
        <f aca="false">IFERROR(INDEX('Materials Master'!$B$2:$B$27,MATCH($C35,'Materials Master'!$A$2:$A$27,0)),"")</f>
        <v>Paper Cups / Other Coated Paper Containers</v>
      </c>
      <c r="E35" s="0" t="str">
        <f aca="false">IFERROR(INDEX('Materials Master'!$C$2:$C$27,MATCH($C35,'Materials Master'!$A$2:$A$27,0)),"")</f>
        <v>Fibers</v>
      </c>
      <c r="F35" s="0" t="n">
        <f aca="false">IF(SUMIFS(Fact_SortedWeights!$E$2:$E$89,Fact_SortedWeights!$C$2:$C$89,$A35,Fact_SortedWeights!$B$2:$B$89,$B35)=0,0,SUMIFS(Fact_SortedWeights!$E$2:$E$89,Fact_SortedWeights!$C$2:$C$89,$A35,Fact_SortedWeights!$B$2:$B$89,$B35,Fact_SortedWeights!$D$2:$D$89,$C35)/SUMIFS(Fact_SortedWeights!$E$2:$E$89,Fact_SortedWeights!$C$2:$C$89,$A35,Fact_SortedWeights!$B$2:$B$89,$B35)*(IF($B35="Cardboard Recycling",SUMIFS(Fact_SortedWeights!$E$2:$E$89,Fact_SortedWeights!$C$2:$C$89,$A35,Fact_SortedWeights!$B$2:$B$89,$B35),SUMIFS(Fact_PreSortWeights!$E$2:$E$186,Fact_PreSortWeights!$C$2:$C$186,$A35,Fact_PreSortWeights!$B$2:$B$186,$B35))))</f>
        <v>0</v>
      </c>
      <c r="G35" s="0" t="n">
        <f aca="false">IF(AND(IF($B35="Trash",INDEX('Materials Master'!$F$2:$F$27,MATCH($C35,'Materials Master'!$A$2:$A$27,0)),IF($B35="GMPC Recycling",INDEX('Materials Master'!$G$2:$G$27,MATCH($C35,'Materials Master'!$A$2:$A$27,0)),IF($B35="Organics Recycling",INDEX('Materials Master'!$H$2:$H$27,MATCH($C35,'Materials Master'!$A$2:$A$27,0)),IF($B35="Cardboard Recycling",INDEX('Materials Master'!$I$2:$I$27,MATCH($C35,'Materials Master'!$A$2:$A$27,0)),IF($B35="Paper Recycling",INDEX('Materials Master'!$J$2:$J$27,MATCH($C35,'Materials Master'!$A$2:$A$27,0)),IF($B35="Terracycle",INDEX('Materials Master'!$K$2:$K$27,MATCH($C35,'Materials Master'!$A$2:$A$27,0)),"No"))))))="Yes",INDEX('Materials Master'!$E$2:$E$27,MATCH($C35,'Materials Master'!$A$2:$A$27,0))="Yes",$B35&lt;&gt;"Trash"),1,0)</f>
        <v>0</v>
      </c>
      <c r="H35" s="0" t="str">
        <f aca="false">INDEX('Materials Master'!$E$2:$E$27,MATCH($C35,'Materials Master'!$A$2:$A$27,0))</f>
        <v>No</v>
      </c>
      <c r="I35" s="0" t="str">
        <f aca="false">IFERROR(INDEX(Areas!$C$2:$C$6,MATCH($A35,Areas!$B$2:$B$6,0)),"")</f>
        <v>Rest of Building</v>
      </c>
      <c r="J35" s="0" t="n">
        <f aca="false">IF(IF($B35="Trash",INDEX('Materials Master'!$F$2:$F$27,MATCH($C35,'Materials Master'!$A$2:$A$27,0)),IF($B35="GMPC Recycling",INDEX('Materials Master'!$G$2:$G$27,MATCH($C35,'Materials Master'!$A$2:$A$27,0)),IF($B35="Organics Recycling",INDEX('Materials Master'!$H$2:$H$27,MATCH($C35,'Materials Master'!$A$2:$A$27,0)),IF($B35="Cardboard Recycling",INDEX('Materials Master'!$I$2:$I$27,MATCH($C35,'Materials Master'!$A$2:$A$27,0)),IF($B35="Paper Recycling",INDEX('Materials Master'!$J$2:$J$27,MATCH($C35,'Materials Master'!$A$2:$A$27,0)),IF($B35="Terracycle",INDEX('Materials Master'!$K$2:$K$27,MATCH($C35,'Materials Master'!$A$2:$A$27,0)),"No"))))))="Yes",1,0)</f>
        <v>0</v>
      </c>
    </row>
    <row r="36" customFormat="false" ht="15" hidden="false" customHeight="false" outlineLevel="0" collapsed="false">
      <c r="A36" s="0" t="s">
        <v>92</v>
      </c>
      <c r="B36" s="0" t="s">
        <v>104</v>
      </c>
      <c r="C36" s="0" t="s">
        <v>47</v>
      </c>
      <c r="D36" s="0" t="str">
        <f aca="false">IFERROR(INDEX('Materials Master'!$B$2:$B$27,MATCH($C36,'Materials Master'!$A$2:$A$27,0)),"")</f>
        <v>Glass Bottles &amp; Jars</v>
      </c>
      <c r="E36" s="0" t="str">
        <f aca="false">IFERROR(INDEX('Materials Master'!$C$2:$C$27,MATCH($C36,'Materials Master'!$A$2:$A$27,0)),"")</f>
        <v>Glass</v>
      </c>
      <c r="F36" s="0" t="n">
        <f aca="false">IF(SUMIFS(Fact_SortedWeights!$E$2:$E$89,Fact_SortedWeights!$C$2:$C$89,$A36,Fact_SortedWeights!$B$2:$B$89,$B36)=0,0,SUMIFS(Fact_SortedWeights!$E$2:$E$89,Fact_SortedWeights!$C$2:$C$89,$A36,Fact_SortedWeights!$B$2:$B$89,$B36,Fact_SortedWeights!$D$2:$D$89,$C36)/SUMIFS(Fact_SortedWeights!$E$2:$E$89,Fact_SortedWeights!$C$2:$C$89,$A36,Fact_SortedWeights!$B$2:$B$89,$B36)*(IF($B36="Cardboard Recycling",SUMIFS(Fact_SortedWeights!$E$2:$E$89,Fact_SortedWeights!$C$2:$C$89,$A36,Fact_SortedWeights!$B$2:$B$89,$B36),SUMIFS(Fact_PreSortWeights!$E$2:$E$186,Fact_PreSortWeights!$C$2:$C$186,$A36,Fact_PreSortWeights!$B$2:$B$186,$B36))))</f>
        <v>0</v>
      </c>
      <c r="G36" s="0" t="n">
        <f aca="false">IF(AND(IF($B36="Trash",INDEX('Materials Master'!$F$2:$F$27,MATCH($C36,'Materials Master'!$A$2:$A$27,0)),IF($B36="GMPC Recycling",INDEX('Materials Master'!$G$2:$G$27,MATCH($C36,'Materials Master'!$A$2:$A$27,0)),IF($B36="Organics Recycling",INDEX('Materials Master'!$H$2:$H$27,MATCH($C36,'Materials Master'!$A$2:$A$27,0)),IF($B36="Cardboard Recycling",INDEX('Materials Master'!$I$2:$I$27,MATCH($C36,'Materials Master'!$A$2:$A$27,0)),IF($B36="Paper Recycling",INDEX('Materials Master'!$J$2:$J$27,MATCH($C36,'Materials Master'!$A$2:$A$27,0)),IF($B36="Terracycle",INDEX('Materials Master'!$K$2:$K$27,MATCH($C36,'Materials Master'!$A$2:$A$27,0)),"No"))))))="Yes",INDEX('Materials Master'!$E$2:$E$27,MATCH($C36,'Materials Master'!$A$2:$A$27,0))="Yes",$B36&lt;&gt;"Trash"),1,0)</f>
        <v>1</v>
      </c>
      <c r="H36" s="0" t="str">
        <f aca="false">INDEX('Materials Master'!$E$2:$E$27,MATCH($C36,'Materials Master'!$A$2:$A$27,0))</f>
        <v>Yes</v>
      </c>
      <c r="I36" s="0" t="str">
        <f aca="false">IFERROR(INDEX(Areas!$C$2:$C$6,MATCH($A36,Areas!$B$2:$B$6,0)),"")</f>
        <v>Rest of Building</v>
      </c>
      <c r="J36" s="0" t="n">
        <f aca="false">IF(IF($B36="Trash",INDEX('Materials Master'!$F$2:$F$27,MATCH($C36,'Materials Master'!$A$2:$A$27,0)),IF($B36="GMPC Recycling",INDEX('Materials Master'!$G$2:$G$27,MATCH($C36,'Materials Master'!$A$2:$A$27,0)),IF($B36="Organics Recycling",INDEX('Materials Master'!$H$2:$H$27,MATCH($C36,'Materials Master'!$A$2:$A$27,0)),IF($B36="Cardboard Recycling",INDEX('Materials Master'!$I$2:$I$27,MATCH($C36,'Materials Master'!$A$2:$A$27,0)),IF($B36="Paper Recycling",INDEX('Materials Master'!$J$2:$J$27,MATCH($C36,'Materials Master'!$A$2:$A$27,0)),IF($B36="Terracycle",INDEX('Materials Master'!$K$2:$K$27,MATCH($C36,'Materials Master'!$A$2:$A$27,0)),"No"))))))="Yes",1,0)</f>
        <v>1</v>
      </c>
    </row>
    <row r="37" customFormat="false" ht="15" hidden="false" customHeight="false" outlineLevel="0" collapsed="false">
      <c r="A37" s="0" t="s">
        <v>92</v>
      </c>
      <c r="B37" s="0" t="s">
        <v>104</v>
      </c>
      <c r="C37" s="0" t="s">
        <v>50</v>
      </c>
      <c r="D37" s="0" t="str">
        <f aca="false">IFERROR(INDEX('Materials Master'!$B$2:$B$27,MATCH($C37,'Materials Master'!$A$2:$A$27,0)),"")</f>
        <v>Soiled Glass</v>
      </c>
      <c r="E37" s="0" t="str">
        <f aca="false">IFERROR(INDEX('Materials Master'!$C$2:$C$27,MATCH($C37,'Materials Master'!$A$2:$A$27,0)),"")</f>
        <v>Glass</v>
      </c>
      <c r="F37" s="0" t="n">
        <f aca="false">IF(SUMIFS(Fact_SortedWeights!$E$2:$E$89,Fact_SortedWeights!$C$2:$C$89,$A37,Fact_SortedWeights!$B$2:$B$89,$B37)=0,0,SUMIFS(Fact_SortedWeights!$E$2:$E$89,Fact_SortedWeights!$C$2:$C$89,$A37,Fact_SortedWeights!$B$2:$B$89,$B37,Fact_SortedWeights!$D$2:$D$89,$C37)/SUMIFS(Fact_SortedWeights!$E$2:$E$89,Fact_SortedWeights!$C$2:$C$89,$A37,Fact_SortedWeights!$B$2:$B$89,$B37)*(IF($B37="Cardboard Recycling",SUMIFS(Fact_SortedWeights!$E$2:$E$89,Fact_SortedWeights!$C$2:$C$89,$A37,Fact_SortedWeights!$B$2:$B$89,$B37),SUMIFS(Fact_PreSortWeights!$E$2:$E$186,Fact_PreSortWeights!$C$2:$C$186,$A37,Fact_PreSortWeights!$B$2:$B$186,$B37))))</f>
        <v>0</v>
      </c>
      <c r="G37" s="0" t="n">
        <f aca="false">IF(AND(IF($B37="Trash",INDEX('Materials Master'!$F$2:$F$27,MATCH($C37,'Materials Master'!$A$2:$A$27,0)),IF($B37="GMPC Recycling",INDEX('Materials Master'!$G$2:$G$27,MATCH($C37,'Materials Master'!$A$2:$A$27,0)),IF($B37="Organics Recycling",INDEX('Materials Master'!$H$2:$H$27,MATCH($C37,'Materials Master'!$A$2:$A$27,0)),IF($B37="Cardboard Recycling",INDEX('Materials Master'!$I$2:$I$27,MATCH($C37,'Materials Master'!$A$2:$A$27,0)),IF($B37="Paper Recycling",INDEX('Materials Master'!$J$2:$J$27,MATCH($C37,'Materials Master'!$A$2:$A$27,0)),IF($B37="Terracycle",INDEX('Materials Master'!$K$2:$K$27,MATCH($C37,'Materials Master'!$A$2:$A$27,0)),"No"))))))="Yes",INDEX('Materials Master'!$E$2:$E$27,MATCH($C37,'Materials Master'!$A$2:$A$27,0))="Yes",$B37&lt;&gt;"Trash"),1,0)</f>
        <v>0</v>
      </c>
      <c r="H37" s="0" t="str">
        <f aca="false">INDEX('Materials Master'!$E$2:$E$27,MATCH($C37,'Materials Master'!$A$2:$A$27,0))</f>
        <v>No</v>
      </c>
      <c r="I37" s="0" t="str">
        <f aca="false">IFERROR(INDEX(Areas!$C$2:$C$6,MATCH($A37,Areas!$B$2:$B$6,0)),"")</f>
        <v>Rest of Building</v>
      </c>
      <c r="J37" s="0" t="n">
        <f aca="false">IF(IF($B37="Trash",INDEX('Materials Master'!$F$2:$F$27,MATCH($C37,'Materials Master'!$A$2:$A$27,0)),IF($B37="GMPC Recycling",INDEX('Materials Master'!$G$2:$G$27,MATCH($C37,'Materials Master'!$A$2:$A$27,0)),IF($B37="Organics Recycling",INDEX('Materials Master'!$H$2:$H$27,MATCH($C37,'Materials Master'!$A$2:$A$27,0)),IF($B37="Cardboard Recycling",INDEX('Materials Master'!$I$2:$I$27,MATCH($C37,'Materials Master'!$A$2:$A$27,0)),IF($B37="Paper Recycling",INDEX('Materials Master'!$J$2:$J$27,MATCH($C37,'Materials Master'!$A$2:$A$27,0)),IF($B37="Terracycle",INDEX('Materials Master'!$K$2:$K$27,MATCH($C37,'Materials Master'!$A$2:$A$27,0)),"No"))))))="Yes",1,0)</f>
        <v>0</v>
      </c>
    </row>
    <row r="38" customFormat="false" ht="15" hidden="false" customHeight="false" outlineLevel="0" collapsed="false">
      <c r="A38" s="0" t="s">
        <v>92</v>
      </c>
      <c r="B38" s="0" t="s">
        <v>104</v>
      </c>
      <c r="C38" s="0" t="s">
        <v>52</v>
      </c>
      <c r="D38" s="0" t="str">
        <f aca="false">IFERROR(INDEX('Materials Master'!$B$2:$B$27,MATCH($C38,'Materials Master'!$A$2:$A$27,0)),"")</f>
        <v>Aluminum &amp; Bi-Metal Containers</v>
      </c>
      <c r="E38" s="0" t="str">
        <f aca="false">IFERROR(INDEX('Materials Master'!$C$2:$C$27,MATCH($C38,'Materials Master'!$A$2:$A$27,0)),"")</f>
        <v>Metals</v>
      </c>
      <c r="F38" s="0" t="n">
        <f aca="false">IF(SUMIFS(Fact_SortedWeights!$E$2:$E$89,Fact_SortedWeights!$C$2:$C$89,$A38,Fact_SortedWeights!$B$2:$B$89,$B38)=0,0,SUMIFS(Fact_SortedWeights!$E$2:$E$89,Fact_SortedWeights!$C$2:$C$89,$A38,Fact_SortedWeights!$B$2:$B$89,$B38,Fact_SortedWeights!$D$2:$D$89,$C38)/SUMIFS(Fact_SortedWeights!$E$2:$E$89,Fact_SortedWeights!$C$2:$C$89,$A38,Fact_SortedWeights!$B$2:$B$89,$B38)*(IF($B38="Cardboard Recycling",SUMIFS(Fact_SortedWeights!$E$2:$E$89,Fact_SortedWeights!$C$2:$C$89,$A38,Fact_SortedWeights!$B$2:$B$89,$B38),SUMIFS(Fact_PreSortWeights!$E$2:$E$186,Fact_PreSortWeights!$C$2:$C$186,$A38,Fact_PreSortWeights!$B$2:$B$186,$B38))))</f>
        <v>0.619899304723088</v>
      </c>
      <c r="G38" s="0" t="n">
        <f aca="false">IF(AND(IF($B38="Trash",INDEX('Materials Master'!$F$2:$F$27,MATCH($C38,'Materials Master'!$A$2:$A$27,0)),IF($B38="GMPC Recycling",INDEX('Materials Master'!$G$2:$G$27,MATCH($C38,'Materials Master'!$A$2:$A$27,0)),IF($B38="Organics Recycling",INDEX('Materials Master'!$H$2:$H$27,MATCH($C38,'Materials Master'!$A$2:$A$27,0)),IF($B38="Cardboard Recycling",INDEX('Materials Master'!$I$2:$I$27,MATCH($C38,'Materials Master'!$A$2:$A$27,0)),IF($B38="Paper Recycling",INDEX('Materials Master'!$J$2:$J$27,MATCH($C38,'Materials Master'!$A$2:$A$27,0)),IF($B38="Terracycle",INDEX('Materials Master'!$K$2:$K$27,MATCH($C38,'Materials Master'!$A$2:$A$27,0)),"No"))))))="Yes",INDEX('Materials Master'!$E$2:$E$27,MATCH($C38,'Materials Master'!$A$2:$A$27,0))="Yes",$B38&lt;&gt;"Trash"),1,0)</f>
        <v>1</v>
      </c>
      <c r="H38" s="0" t="str">
        <f aca="false">INDEX('Materials Master'!$E$2:$E$27,MATCH($C38,'Materials Master'!$A$2:$A$27,0))</f>
        <v>Yes</v>
      </c>
      <c r="I38" s="0" t="str">
        <f aca="false">IFERROR(INDEX(Areas!$C$2:$C$6,MATCH($A38,Areas!$B$2:$B$6,0)),"")</f>
        <v>Rest of Building</v>
      </c>
      <c r="J38" s="0" t="n">
        <f aca="false">IF(IF($B38="Trash",INDEX('Materials Master'!$F$2:$F$27,MATCH($C38,'Materials Master'!$A$2:$A$27,0)),IF($B38="GMPC Recycling",INDEX('Materials Master'!$G$2:$G$27,MATCH($C38,'Materials Master'!$A$2:$A$27,0)),IF($B38="Organics Recycling",INDEX('Materials Master'!$H$2:$H$27,MATCH($C38,'Materials Master'!$A$2:$A$27,0)),IF($B38="Cardboard Recycling",INDEX('Materials Master'!$I$2:$I$27,MATCH($C38,'Materials Master'!$A$2:$A$27,0)),IF($B38="Paper Recycling",INDEX('Materials Master'!$J$2:$J$27,MATCH($C38,'Materials Master'!$A$2:$A$27,0)),IF($B38="Terracycle",INDEX('Materials Master'!$K$2:$K$27,MATCH($C38,'Materials Master'!$A$2:$A$27,0)),"No"))))))="Yes",1,0)</f>
        <v>1</v>
      </c>
    </row>
    <row r="39" customFormat="false" ht="15" hidden="false" customHeight="false" outlineLevel="0" collapsed="false">
      <c r="A39" s="0" t="s">
        <v>92</v>
      </c>
      <c r="B39" s="0" t="s">
        <v>104</v>
      </c>
      <c r="C39" s="0" t="s">
        <v>55</v>
      </c>
      <c r="D39" s="0" t="str">
        <f aca="false">IFERROR(INDEX('Materials Master'!$B$2:$B$27,MATCH($C39,'Materials Master'!$A$2:$A$27,0)),"")</f>
        <v>Soiled Metals</v>
      </c>
      <c r="E39" s="0" t="str">
        <f aca="false">IFERROR(INDEX('Materials Master'!$C$2:$C$27,MATCH($C39,'Materials Master'!$A$2:$A$27,0)),"")</f>
        <v>Metals</v>
      </c>
      <c r="F39" s="0" t="n">
        <f aca="false">IF(SUMIFS(Fact_SortedWeights!$E$2:$E$89,Fact_SortedWeights!$C$2:$C$89,$A39,Fact_SortedWeights!$B$2:$B$89,$B39)=0,0,SUMIFS(Fact_SortedWeights!$E$2:$E$89,Fact_SortedWeights!$C$2:$C$89,$A39,Fact_SortedWeights!$B$2:$B$89,$B39,Fact_SortedWeights!$D$2:$D$89,$C39)/SUMIFS(Fact_SortedWeights!$E$2:$E$89,Fact_SortedWeights!$C$2:$C$89,$A39,Fact_SortedWeights!$B$2:$B$89,$B39)*(IF($B39="Cardboard Recycling",SUMIFS(Fact_SortedWeights!$E$2:$E$89,Fact_SortedWeights!$C$2:$C$89,$A39,Fact_SortedWeights!$B$2:$B$89,$B39),SUMIFS(Fact_PreSortWeights!$E$2:$E$186,Fact_PreSortWeights!$C$2:$C$186,$A39,Fact_PreSortWeights!$B$2:$B$186,$B39))))</f>
        <v>1.23979860944618</v>
      </c>
      <c r="G39" s="0" t="n">
        <f aca="false">IF(AND(IF($B39="Trash",INDEX('Materials Master'!$F$2:$F$27,MATCH($C39,'Materials Master'!$A$2:$A$27,0)),IF($B39="GMPC Recycling",INDEX('Materials Master'!$G$2:$G$27,MATCH($C39,'Materials Master'!$A$2:$A$27,0)),IF($B39="Organics Recycling",INDEX('Materials Master'!$H$2:$H$27,MATCH($C39,'Materials Master'!$A$2:$A$27,0)),IF($B39="Cardboard Recycling",INDEX('Materials Master'!$I$2:$I$27,MATCH($C39,'Materials Master'!$A$2:$A$27,0)),IF($B39="Paper Recycling",INDEX('Materials Master'!$J$2:$J$27,MATCH($C39,'Materials Master'!$A$2:$A$27,0)),IF($B39="Terracycle",INDEX('Materials Master'!$K$2:$K$27,MATCH($C39,'Materials Master'!$A$2:$A$27,0)),"No"))))))="Yes",INDEX('Materials Master'!$E$2:$E$27,MATCH($C39,'Materials Master'!$A$2:$A$27,0))="Yes",$B39&lt;&gt;"Trash"),1,0)</f>
        <v>0</v>
      </c>
      <c r="H39" s="0" t="str">
        <f aca="false">INDEX('Materials Master'!$E$2:$E$27,MATCH($C39,'Materials Master'!$A$2:$A$27,0))</f>
        <v>No</v>
      </c>
      <c r="I39" s="0" t="str">
        <f aca="false">IFERROR(INDEX(Areas!$C$2:$C$6,MATCH($A39,Areas!$B$2:$B$6,0)),"")</f>
        <v>Rest of Building</v>
      </c>
      <c r="J39" s="0" t="n">
        <f aca="false">IF(IF($B39="Trash",INDEX('Materials Master'!$F$2:$F$27,MATCH($C39,'Materials Master'!$A$2:$A$27,0)),IF($B39="GMPC Recycling",INDEX('Materials Master'!$G$2:$G$27,MATCH($C39,'Materials Master'!$A$2:$A$27,0)),IF($B39="Organics Recycling",INDEX('Materials Master'!$H$2:$H$27,MATCH($C39,'Materials Master'!$A$2:$A$27,0)),IF($B39="Cardboard Recycling",INDEX('Materials Master'!$I$2:$I$27,MATCH($C39,'Materials Master'!$A$2:$A$27,0)),IF($B39="Paper Recycling",INDEX('Materials Master'!$J$2:$J$27,MATCH($C39,'Materials Master'!$A$2:$A$27,0)),IF($B39="Terracycle",INDEX('Materials Master'!$K$2:$K$27,MATCH($C39,'Materials Master'!$A$2:$A$27,0)),"No"))))))="Yes",1,0)</f>
        <v>0</v>
      </c>
    </row>
    <row r="40" customFormat="false" ht="15" hidden="false" customHeight="false" outlineLevel="0" collapsed="false">
      <c r="A40" s="0" t="s">
        <v>92</v>
      </c>
      <c r="B40" s="0" t="s">
        <v>104</v>
      </c>
      <c r="C40" s="0" t="s">
        <v>57</v>
      </c>
      <c r="D40" s="0" t="str">
        <f aca="false">IFERROR(INDEX('Materials Master'!$B$2:$B$27,MATCH($C40,'Materials Master'!$A$2:$A$27,0)),"")</f>
        <v>Rigid Plastics (1-6)</v>
      </c>
      <c r="E40" s="0" t="str">
        <f aca="false">IFERROR(INDEX('Materials Master'!$C$2:$C$27,MATCH($C40,'Materials Master'!$A$2:$A$27,0)),"")</f>
        <v>Plastics</v>
      </c>
      <c r="F40" s="0" t="n">
        <f aca="false">IF(SUMIFS(Fact_SortedWeights!$E$2:$E$89,Fact_SortedWeights!$C$2:$C$89,$A40,Fact_SortedWeights!$B$2:$B$89,$B40)=0,0,SUMIFS(Fact_SortedWeights!$E$2:$E$89,Fact_SortedWeights!$C$2:$C$89,$A40,Fact_SortedWeights!$B$2:$B$89,$B40,Fact_SortedWeights!$D$2:$D$89,$C40)/SUMIFS(Fact_SortedWeights!$E$2:$E$89,Fact_SortedWeights!$C$2:$C$89,$A40,Fact_SortedWeights!$B$2:$B$89,$B40)*(IF($B40="Cardboard Recycling",SUMIFS(Fact_SortedWeights!$E$2:$E$89,Fact_SortedWeights!$C$2:$C$89,$A40,Fact_SortedWeights!$B$2:$B$89,$B40),SUMIFS(Fact_PreSortWeights!$E$2:$E$186,Fact_PreSortWeights!$C$2:$C$186,$A40,Fact_PreSortWeights!$B$2:$B$186,$B40))))</f>
        <v>4.64924478542316</v>
      </c>
      <c r="G40" s="0" t="n">
        <f aca="false">IF(AND(IF($B40="Trash",INDEX('Materials Master'!$F$2:$F$27,MATCH($C40,'Materials Master'!$A$2:$A$27,0)),IF($B40="GMPC Recycling",INDEX('Materials Master'!$G$2:$G$27,MATCH($C40,'Materials Master'!$A$2:$A$27,0)),IF($B40="Organics Recycling",INDEX('Materials Master'!$H$2:$H$27,MATCH($C40,'Materials Master'!$A$2:$A$27,0)),IF($B40="Cardboard Recycling",INDEX('Materials Master'!$I$2:$I$27,MATCH($C40,'Materials Master'!$A$2:$A$27,0)),IF($B40="Paper Recycling",INDEX('Materials Master'!$J$2:$J$27,MATCH($C40,'Materials Master'!$A$2:$A$27,0)),IF($B40="Terracycle",INDEX('Materials Master'!$K$2:$K$27,MATCH($C40,'Materials Master'!$A$2:$A$27,0)),"No"))))))="Yes",INDEX('Materials Master'!$E$2:$E$27,MATCH($C40,'Materials Master'!$A$2:$A$27,0))="Yes",$B40&lt;&gt;"Trash"),1,0)</f>
        <v>1</v>
      </c>
      <c r="H40" s="0" t="str">
        <f aca="false">INDEX('Materials Master'!$E$2:$E$27,MATCH($C40,'Materials Master'!$A$2:$A$27,0))</f>
        <v>Yes</v>
      </c>
      <c r="I40" s="0" t="str">
        <f aca="false">IFERROR(INDEX(Areas!$C$2:$C$6,MATCH($A40,Areas!$B$2:$B$6,0)),"")</f>
        <v>Rest of Building</v>
      </c>
      <c r="J40" s="0" t="n">
        <f aca="false">IF(IF($B40="Trash",INDEX('Materials Master'!$F$2:$F$27,MATCH($C40,'Materials Master'!$A$2:$A$27,0)),IF($B40="GMPC Recycling",INDEX('Materials Master'!$G$2:$G$27,MATCH($C40,'Materials Master'!$A$2:$A$27,0)),IF($B40="Organics Recycling",INDEX('Materials Master'!$H$2:$H$27,MATCH($C40,'Materials Master'!$A$2:$A$27,0)),IF($B40="Cardboard Recycling",INDEX('Materials Master'!$I$2:$I$27,MATCH($C40,'Materials Master'!$A$2:$A$27,0)),IF($B40="Paper Recycling",INDEX('Materials Master'!$J$2:$J$27,MATCH($C40,'Materials Master'!$A$2:$A$27,0)),IF($B40="Terracycle",INDEX('Materials Master'!$K$2:$K$27,MATCH($C40,'Materials Master'!$A$2:$A$27,0)),"No"))))))="Yes",1,0)</f>
        <v>1</v>
      </c>
    </row>
    <row r="41" customFormat="false" ht="15" hidden="false" customHeight="false" outlineLevel="0" collapsed="false">
      <c r="A41" s="0" t="s">
        <v>92</v>
      </c>
      <c r="B41" s="0" t="s">
        <v>104</v>
      </c>
      <c r="C41" s="0" t="s">
        <v>60</v>
      </c>
      <c r="D41" s="0" t="str">
        <f aca="false">IFERROR(INDEX('Materials Master'!$B$2:$B$27,MATCH($C41,'Materials Master'!$A$2:$A$27,0)),"")</f>
        <v>Soiled Rigid Plastics</v>
      </c>
      <c r="E41" s="0" t="str">
        <f aca="false">IFERROR(INDEX('Materials Master'!$C$2:$C$27,MATCH($C41,'Materials Master'!$A$2:$A$27,0)),"")</f>
        <v>Plastics</v>
      </c>
      <c r="F41" s="0" t="n">
        <f aca="false">IF(SUMIFS(Fact_SortedWeights!$E$2:$E$89,Fact_SortedWeights!$C$2:$C$89,$A41,Fact_SortedWeights!$B$2:$B$89,$B41)=0,0,SUMIFS(Fact_SortedWeights!$E$2:$E$89,Fact_SortedWeights!$C$2:$C$89,$A41,Fact_SortedWeights!$B$2:$B$89,$B41,Fact_SortedWeights!$D$2:$D$89,$C41)/SUMIFS(Fact_SortedWeights!$E$2:$E$89,Fact_SortedWeights!$C$2:$C$89,$A41,Fact_SortedWeights!$B$2:$B$89,$B41)*(IF($B41="Cardboard Recycling",SUMIFS(Fact_SortedWeights!$E$2:$E$89,Fact_SortedWeights!$C$2:$C$89,$A41,Fact_SortedWeights!$B$2:$B$89,$B41),SUMIFS(Fact_PreSortWeights!$E$2:$E$186,Fact_PreSortWeights!$C$2:$C$186,$A41,Fact_PreSortWeights!$B$2:$B$186,$B41))))</f>
        <v>0</v>
      </c>
      <c r="G41" s="0" t="n">
        <f aca="false">IF(AND(IF($B41="Trash",INDEX('Materials Master'!$F$2:$F$27,MATCH($C41,'Materials Master'!$A$2:$A$27,0)),IF($B41="GMPC Recycling",INDEX('Materials Master'!$G$2:$G$27,MATCH($C41,'Materials Master'!$A$2:$A$27,0)),IF($B41="Organics Recycling",INDEX('Materials Master'!$H$2:$H$27,MATCH($C41,'Materials Master'!$A$2:$A$27,0)),IF($B41="Cardboard Recycling",INDEX('Materials Master'!$I$2:$I$27,MATCH($C41,'Materials Master'!$A$2:$A$27,0)),IF($B41="Paper Recycling",INDEX('Materials Master'!$J$2:$J$27,MATCH($C41,'Materials Master'!$A$2:$A$27,0)),IF($B41="Terracycle",INDEX('Materials Master'!$K$2:$K$27,MATCH($C41,'Materials Master'!$A$2:$A$27,0)),"No"))))))="Yes",INDEX('Materials Master'!$E$2:$E$27,MATCH($C41,'Materials Master'!$A$2:$A$27,0))="Yes",$B41&lt;&gt;"Trash"),1,0)</f>
        <v>0</v>
      </c>
      <c r="H41" s="0" t="str">
        <f aca="false">INDEX('Materials Master'!$E$2:$E$27,MATCH($C41,'Materials Master'!$A$2:$A$27,0))</f>
        <v>No</v>
      </c>
      <c r="I41" s="0" t="str">
        <f aca="false">IFERROR(INDEX(Areas!$C$2:$C$6,MATCH($A41,Areas!$B$2:$B$6,0)),"")</f>
        <v>Rest of Building</v>
      </c>
      <c r="J41" s="0" t="n">
        <f aca="false">IF(IF($B41="Trash",INDEX('Materials Master'!$F$2:$F$27,MATCH($C41,'Materials Master'!$A$2:$A$27,0)),IF($B41="GMPC Recycling",INDEX('Materials Master'!$G$2:$G$27,MATCH($C41,'Materials Master'!$A$2:$A$27,0)),IF($B41="Organics Recycling",INDEX('Materials Master'!$H$2:$H$27,MATCH($C41,'Materials Master'!$A$2:$A$27,0)),IF($B41="Cardboard Recycling",INDEX('Materials Master'!$I$2:$I$27,MATCH($C41,'Materials Master'!$A$2:$A$27,0)),IF($B41="Paper Recycling",INDEX('Materials Master'!$J$2:$J$27,MATCH($C41,'Materials Master'!$A$2:$A$27,0)),IF($B41="Terracycle",INDEX('Materials Master'!$K$2:$K$27,MATCH($C41,'Materials Master'!$A$2:$A$27,0)),"No"))))))="Yes",1,0)</f>
        <v>0</v>
      </c>
    </row>
    <row r="42" customFormat="false" ht="15" hidden="false" customHeight="false" outlineLevel="0" collapsed="false">
      <c r="A42" s="0" t="s">
        <v>92</v>
      </c>
      <c r="B42" s="0" t="s">
        <v>104</v>
      </c>
      <c r="C42" s="0" t="s">
        <v>62</v>
      </c>
      <c r="D42" s="0" t="str">
        <f aca="false">IFERROR(INDEX('Materials Master'!$B$2:$B$27,MATCH($C42,'Materials Master'!$A$2:$A$27,0)),"")</f>
        <v>Film Plastics</v>
      </c>
      <c r="E42" s="0" t="str">
        <f aca="false">IFERROR(INDEX('Materials Master'!$C$2:$C$27,MATCH($C42,'Materials Master'!$A$2:$A$27,0)),"")</f>
        <v>Plastics</v>
      </c>
      <c r="F42" s="0" t="n">
        <f aca="false">IF(SUMIFS(Fact_SortedWeights!$E$2:$E$89,Fact_SortedWeights!$C$2:$C$89,$A42,Fact_SortedWeights!$B$2:$B$89,$B42)=0,0,SUMIFS(Fact_SortedWeights!$E$2:$E$89,Fact_SortedWeights!$C$2:$C$89,$A42,Fact_SortedWeights!$B$2:$B$89,$B42,Fact_SortedWeights!$D$2:$D$89,$C42)/SUMIFS(Fact_SortedWeights!$E$2:$E$89,Fact_SortedWeights!$C$2:$C$89,$A42,Fact_SortedWeights!$B$2:$B$89,$B42)*(IF($B42="Cardboard Recycling",SUMIFS(Fact_SortedWeights!$E$2:$E$89,Fact_SortedWeights!$C$2:$C$89,$A42,Fact_SortedWeights!$B$2:$B$89,$B42),SUMIFS(Fact_PreSortWeights!$E$2:$E$186,Fact_PreSortWeights!$C$2:$C$186,$A42,Fact_PreSortWeights!$B$2:$B$186,$B42))))</f>
        <v>1.90425317669624</v>
      </c>
      <c r="G42" s="0" t="n">
        <f aca="false">IF(AND(IF($B42="Trash",INDEX('Materials Master'!$F$2:$F$27,MATCH($C42,'Materials Master'!$A$2:$A$27,0)),IF($B42="GMPC Recycling",INDEX('Materials Master'!$G$2:$G$27,MATCH($C42,'Materials Master'!$A$2:$A$27,0)),IF($B42="Organics Recycling",INDEX('Materials Master'!$H$2:$H$27,MATCH($C42,'Materials Master'!$A$2:$A$27,0)),IF($B42="Cardboard Recycling",INDEX('Materials Master'!$I$2:$I$27,MATCH($C42,'Materials Master'!$A$2:$A$27,0)),IF($B42="Paper Recycling",INDEX('Materials Master'!$J$2:$J$27,MATCH($C42,'Materials Master'!$A$2:$A$27,0)),IF($B42="Terracycle",INDEX('Materials Master'!$K$2:$K$27,MATCH($C42,'Materials Master'!$A$2:$A$27,0)),"No"))))))="Yes",INDEX('Materials Master'!$E$2:$E$27,MATCH($C42,'Materials Master'!$A$2:$A$27,0))="Yes",$B42&lt;&gt;"Trash"),1,0)</f>
        <v>0</v>
      </c>
      <c r="H42" s="0" t="str">
        <f aca="false">INDEX('Materials Master'!$E$2:$E$27,MATCH($C42,'Materials Master'!$A$2:$A$27,0))</f>
        <v>No</v>
      </c>
      <c r="I42" s="0" t="str">
        <f aca="false">IFERROR(INDEX(Areas!$C$2:$C$6,MATCH($A42,Areas!$B$2:$B$6,0)),"")</f>
        <v>Rest of Building</v>
      </c>
      <c r="J42" s="0" t="n">
        <f aca="false">IF(IF($B42="Trash",INDEX('Materials Master'!$F$2:$F$27,MATCH($C42,'Materials Master'!$A$2:$A$27,0)),IF($B42="GMPC Recycling",INDEX('Materials Master'!$G$2:$G$27,MATCH($C42,'Materials Master'!$A$2:$A$27,0)),IF($B42="Organics Recycling",INDEX('Materials Master'!$H$2:$H$27,MATCH($C42,'Materials Master'!$A$2:$A$27,0)),IF($B42="Cardboard Recycling",INDEX('Materials Master'!$I$2:$I$27,MATCH($C42,'Materials Master'!$A$2:$A$27,0)),IF($B42="Paper Recycling",INDEX('Materials Master'!$J$2:$J$27,MATCH($C42,'Materials Master'!$A$2:$A$27,0)),IF($B42="Terracycle",INDEX('Materials Master'!$K$2:$K$27,MATCH($C42,'Materials Master'!$A$2:$A$27,0)),"No"))))))="Yes",1,0)</f>
        <v>0</v>
      </c>
    </row>
    <row r="43" customFormat="false" ht="15" hidden="false" customHeight="false" outlineLevel="0" collapsed="false">
      <c r="A43" s="0" t="s">
        <v>92</v>
      </c>
      <c r="B43" s="0" t="s">
        <v>104</v>
      </c>
      <c r="C43" s="0" t="s">
        <v>64</v>
      </c>
      <c r="D43" s="0" t="str">
        <f aca="false">IFERROR(INDEX('Materials Master'!$B$2:$B$27,MATCH($C43,'Materials Master'!$A$2:$A$27,0)),"")</f>
        <v>Foams</v>
      </c>
      <c r="E43" s="0" t="str">
        <f aca="false">IFERROR(INDEX('Materials Master'!$C$2:$C$27,MATCH($C43,'Materials Master'!$A$2:$A$27,0)),"")</f>
        <v>Plastics</v>
      </c>
      <c r="F43" s="0" t="n">
        <f aca="false">IF(SUMIFS(Fact_SortedWeights!$E$2:$E$89,Fact_SortedWeights!$C$2:$C$89,$A43,Fact_SortedWeights!$B$2:$B$89,$B43)=0,0,SUMIFS(Fact_SortedWeights!$E$2:$E$89,Fact_SortedWeights!$C$2:$C$89,$A43,Fact_SortedWeights!$B$2:$B$89,$B43,Fact_SortedWeights!$D$2:$D$89,$C43)/SUMIFS(Fact_SortedWeights!$E$2:$E$89,Fact_SortedWeights!$C$2:$C$89,$A43,Fact_SortedWeights!$B$2:$B$89,$B43)*(IF($B43="Cardboard Recycling",SUMIFS(Fact_SortedWeights!$E$2:$E$89,Fact_SortedWeights!$C$2:$C$89,$A43,Fact_SortedWeights!$B$2:$B$89,$B43),SUMIFS(Fact_PreSortWeights!$E$2:$E$186,Fact_PreSortWeights!$C$2:$C$186,$A43,Fact_PreSortWeights!$B$2:$B$186,$B43))))</f>
        <v>0</v>
      </c>
      <c r="G43" s="0" t="n">
        <f aca="false">IF(AND(IF($B43="Trash",INDEX('Materials Master'!$F$2:$F$27,MATCH($C43,'Materials Master'!$A$2:$A$27,0)),IF($B43="GMPC Recycling",INDEX('Materials Master'!$G$2:$G$27,MATCH($C43,'Materials Master'!$A$2:$A$27,0)),IF($B43="Organics Recycling",INDEX('Materials Master'!$H$2:$H$27,MATCH($C43,'Materials Master'!$A$2:$A$27,0)),IF($B43="Cardboard Recycling",INDEX('Materials Master'!$I$2:$I$27,MATCH($C43,'Materials Master'!$A$2:$A$27,0)),IF($B43="Paper Recycling",INDEX('Materials Master'!$J$2:$J$27,MATCH($C43,'Materials Master'!$A$2:$A$27,0)),IF($B43="Terracycle",INDEX('Materials Master'!$K$2:$K$27,MATCH($C43,'Materials Master'!$A$2:$A$27,0)),"No"))))))="Yes",INDEX('Materials Master'!$E$2:$E$27,MATCH($C43,'Materials Master'!$A$2:$A$27,0))="Yes",$B43&lt;&gt;"Trash"),1,0)</f>
        <v>0</v>
      </c>
      <c r="H43" s="0" t="str">
        <f aca="false">INDEX('Materials Master'!$E$2:$E$27,MATCH($C43,'Materials Master'!$A$2:$A$27,0))</f>
        <v>No</v>
      </c>
      <c r="I43" s="0" t="str">
        <f aca="false">IFERROR(INDEX(Areas!$C$2:$C$6,MATCH($A43,Areas!$B$2:$B$6,0)),"")</f>
        <v>Rest of Building</v>
      </c>
      <c r="J43" s="0" t="n">
        <f aca="false">IF(IF($B43="Trash",INDEX('Materials Master'!$F$2:$F$27,MATCH($C43,'Materials Master'!$A$2:$A$27,0)),IF($B43="GMPC Recycling",INDEX('Materials Master'!$G$2:$G$27,MATCH($C43,'Materials Master'!$A$2:$A$27,0)),IF($B43="Organics Recycling",INDEX('Materials Master'!$H$2:$H$27,MATCH($C43,'Materials Master'!$A$2:$A$27,0)),IF($B43="Cardboard Recycling",INDEX('Materials Master'!$I$2:$I$27,MATCH($C43,'Materials Master'!$A$2:$A$27,0)),IF($B43="Paper Recycling",INDEX('Materials Master'!$J$2:$J$27,MATCH($C43,'Materials Master'!$A$2:$A$27,0)),IF($B43="Terracycle",INDEX('Materials Master'!$K$2:$K$27,MATCH($C43,'Materials Master'!$A$2:$A$27,0)),"No"))))))="Yes",1,0)</f>
        <v>0</v>
      </c>
    </row>
    <row r="44" customFormat="false" ht="15" hidden="false" customHeight="false" outlineLevel="0" collapsed="false">
      <c r="A44" s="0" t="s">
        <v>92</v>
      </c>
      <c r="B44" s="0" t="s">
        <v>104</v>
      </c>
      <c r="C44" s="0" t="s">
        <v>66</v>
      </c>
      <c r="D44" s="0" t="str">
        <f aca="false">IFERROR(INDEX('Materials Master'!$B$2:$B$27,MATCH($C44,'Materials Master'!$A$2:$A$27,0)),"")</f>
        <v>Food Waste</v>
      </c>
      <c r="E44" s="0" t="str">
        <f aca="false">IFERROR(INDEX('Materials Master'!$C$2:$C$27,MATCH($C44,'Materials Master'!$A$2:$A$27,0)),"")</f>
        <v>Organics</v>
      </c>
      <c r="F44" s="0" t="n">
        <f aca="false">IF(SUMIFS(Fact_SortedWeights!$E$2:$E$89,Fact_SortedWeights!$C$2:$C$89,$A44,Fact_SortedWeights!$B$2:$B$89,$B44)=0,0,SUMIFS(Fact_SortedWeights!$E$2:$E$89,Fact_SortedWeights!$C$2:$C$89,$A44,Fact_SortedWeights!$B$2:$B$89,$B44,Fact_SortedWeights!$D$2:$D$89,$C44)/SUMIFS(Fact_SortedWeights!$E$2:$E$89,Fact_SortedWeights!$C$2:$C$89,$A44,Fact_SortedWeights!$B$2:$B$89,$B44)*(IF($B44="Cardboard Recycling",SUMIFS(Fact_SortedWeights!$E$2:$E$89,Fact_SortedWeights!$C$2:$C$89,$A44,Fact_SortedWeights!$B$2:$B$89,$B44),SUMIFS(Fact_PreSortWeights!$E$2:$E$186,Fact_PreSortWeights!$C$2:$C$186,$A44,Fact_PreSortWeights!$B$2:$B$186,$B44))))</f>
        <v>8.88586909614002</v>
      </c>
      <c r="G44" s="0" t="n">
        <f aca="false">IF(AND(IF($B44="Trash",INDEX('Materials Master'!$F$2:$F$27,MATCH($C44,'Materials Master'!$A$2:$A$27,0)),IF($B44="GMPC Recycling",INDEX('Materials Master'!$G$2:$G$27,MATCH($C44,'Materials Master'!$A$2:$A$27,0)),IF($B44="Organics Recycling",INDEX('Materials Master'!$H$2:$H$27,MATCH($C44,'Materials Master'!$A$2:$A$27,0)),IF($B44="Cardboard Recycling",INDEX('Materials Master'!$I$2:$I$27,MATCH($C44,'Materials Master'!$A$2:$A$27,0)),IF($B44="Paper Recycling",INDEX('Materials Master'!$J$2:$J$27,MATCH($C44,'Materials Master'!$A$2:$A$27,0)),IF($B44="Terracycle",INDEX('Materials Master'!$K$2:$K$27,MATCH($C44,'Materials Master'!$A$2:$A$27,0)),"No"))))))="Yes",INDEX('Materials Master'!$E$2:$E$27,MATCH($C44,'Materials Master'!$A$2:$A$27,0))="Yes",$B44&lt;&gt;"Trash"),1,0)</f>
        <v>0</v>
      </c>
      <c r="H44" s="0" t="str">
        <f aca="false">INDEX('Materials Master'!$E$2:$E$27,MATCH($C44,'Materials Master'!$A$2:$A$27,0))</f>
        <v>Yes</v>
      </c>
      <c r="I44" s="0" t="str">
        <f aca="false">IFERROR(INDEX(Areas!$C$2:$C$6,MATCH($A44,Areas!$B$2:$B$6,0)),"")</f>
        <v>Rest of Building</v>
      </c>
      <c r="J44" s="0" t="n">
        <f aca="false">IF(IF($B44="Trash",INDEX('Materials Master'!$F$2:$F$27,MATCH($C44,'Materials Master'!$A$2:$A$27,0)),IF($B44="GMPC Recycling",INDEX('Materials Master'!$G$2:$G$27,MATCH($C44,'Materials Master'!$A$2:$A$27,0)),IF($B44="Organics Recycling",INDEX('Materials Master'!$H$2:$H$27,MATCH($C44,'Materials Master'!$A$2:$A$27,0)),IF($B44="Cardboard Recycling",INDEX('Materials Master'!$I$2:$I$27,MATCH($C44,'Materials Master'!$A$2:$A$27,0)),IF($B44="Paper Recycling",INDEX('Materials Master'!$J$2:$J$27,MATCH($C44,'Materials Master'!$A$2:$A$27,0)),IF($B44="Terracycle",INDEX('Materials Master'!$K$2:$K$27,MATCH($C44,'Materials Master'!$A$2:$A$27,0)),"No"))))))="Yes",1,0)</f>
        <v>0</v>
      </c>
    </row>
    <row r="45" customFormat="false" ht="15" hidden="false" customHeight="false" outlineLevel="0" collapsed="false">
      <c r="A45" s="0" t="s">
        <v>92</v>
      </c>
      <c r="B45" s="0" t="s">
        <v>104</v>
      </c>
      <c r="C45" s="0" t="s">
        <v>69</v>
      </c>
      <c r="D45" s="0" t="str">
        <f aca="false">IFERROR(INDEX('Materials Master'!$B$2:$B$27,MATCH($C45,'Materials Master'!$A$2:$A$27,0)),"")</f>
        <v>Paper Fibers and Food-Soiled Paper (FSP)</v>
      </c>
      <c r="E45" s="0" t="str">
        <f aca="false">IFERROR(INDEX('Materials Master'!$C$2:$C$27,MATCH($C45,'Materials Master'!$A$2:$A$27,0)),"")</f>
        <v>Organics</v>
      </c>
      <c r="F45" s="0" t="n">
        <f aca="false">IF(SUMIFS(Fact_SortedWeights!$E$2:$E$89,Fact_SortedWeights!$C$2:$C$89,$A45,Fact_SortedWeights!$B$2:$B$89,$B45)=0,0,SUMIFS(Fact_SortedWeights!$E$2:$E$89,Fact_SortedWeights!$C$2:$C$89,$A45,Fact_SortedWeights!$B$2:$B$89,$B45,Fact_SortedWeights!$D$2:$D$89,$C45)/SUMIFS(Fact_SortedWeights!$E$2:$E$89,Fact_SortedWeights!$C$2:$C$89,$A45,Fact_SortedWeights!$B$2:$B$89,$B45)*(IF($B45="Cardboard Recycling",SUMIFS(Fact_SortedWeights!$E$2:$E$89,Fact_SortedWeights!$C$2:$C$89,$A45,Fact_SortedWeights!$B$2:$B$89,$B45),SUMIFS(Fact_PreSortWeights!$E$2:$E$186,Fact_PreSortWeights!$C$2:$C$186,$A45,Fact_PreSortWeights!$B$2:$B$186,$B45))))</f>
        <v>5.26914409014625</v>
      </c>
      <c r="G45" s="0" t="n">
        <f aca="false">IF(AND(IF($B45="Trash",INDEX('Materials Master'!$F$2:$F$27,MATCH($C45,'Materials Master'!$A$2:$A$27,0)),IF($B45="GMPC Recycling",INDEX('Materials Master'!$G$2:$G$27,MATCH($C45,'Materials Master'!$A$2:$A$27,0)),IF($B45="Organics Recycling",INDEX('Materials Master'!$H$2:$H$27,MATCH($C45,'Materials Master'!$A$2:$A$27,0)),IF($B45="Cardboard Recycling",INDEX('Materials Master'!$I$2:$I$27,MATCH($C45,'Materials Master'!$A$2:$A$27,0)),IF($B45="Paper Recycling",INDEX('Materials Master'!$J$2:$J$27,MATCH($C45,'Materials Master'!$A$2:$A$27,0)),IF($B45="Terracycle",INDEX('Materials Master'!$K$2:$K$27,MATCH($C45,'Materials Master'!$A$2:$A$27,0)),"No"))))))="Yes",INDEX('Materials Master'!$E$2:$E$27,MATCH($C45,'Materials Master'!$A$2:$A$27,0))="Yes",$B45&lt;&gt;"Trash"),1,0)</f>
        <v>0</v>
      </c>
      <c r="H45" s="0" t="str">
        <f aca="false">INDEX('Materials Master'!$E$2:$E$27,MATCH($C45,'Materials Master'!$A$2:$A$27,0))</f>
        <v>No</v>
      </c>
      <c r="I45" s="0" t="str">
        <f aca="false">IFERROR(INDEX(Areas!$C$2:$C$6,MATCH($A45,Areas!$B$2:$B$6,0)),"")</f>
        <v>Rest of Building</v>
      </c>
      <c r="J45" s="0" t="n">
        <f aca="false">IF(IF($B45="Trash",INDEX('Materials Master'!$F$2:$F$27,MATCH($C45,'Materials Master'!$A$2:$A$27,0)),IF($B45="GMPC Recycling",INDEX('Materials Master'!$G$2:$G$27,MATCH($C45,'Materials Master'!$A$2:$A$27,0)),IF($B45="Organics Recycling",INDEX('Materials Master'!$H$2:$H$27,MATCH($C45,'Materials Master'!$A$2:$A$27,0)),IF($B45="Cardboard Recycling",INDEX('Materials Master'!$I$2:$I$27,MATCH($C45,'Materials Master'!$A$2:$A$27,0)),IF($B45="Paper Recycling",INDEX('Materials Master'!$J$2:$J$27,MATCH($C45,'Materials Master'!$A$2:$A$27,0)),IF($B45="Terracycle",INDEX('Materials Master'!$K$2:$K$27,MATCH($C45,'Materials Master'!$A$2:$A$27,0)),"No"))))))="Yes",1,0)</f>
        <v>0</v>
      </c>
    </row>
    <row r="46" customFormat="false" ht="15" hidden="false" customHeight="false" outlineLevel="0" collapsed="false">
      <c r="A46" s="0" t="s">
        <v>92</v>
      </c>
      <c r="B46" s="0" t="s">
        <v>104</v>
      </c>
      <c r="C46" s="0" t="s">
        <v>71</v>
      </c>
      <c r="D46" s="0" t="str">
        <f aca="false">IFERROR(INDEX('Materials Master'!$B$2:$B$27,MATCH($C46,'Materials Master'!$A$2:$A$27,0)),"")</f>
        <v>Fiber-based Compostable Serviceware</v>
      </c>
      <c r="E46" s="0" t="str">
        <f aca="false">IFERROR(INDEX('Materials Master'!$C$2:$C$27,MATCH($C46,'Materials Master'!$A$2:$A$27,0)),"")</f>
        <v>Organics</v>
      </c>
      <c r="F46" s="0" t="n">
        <f aca="false">IF(SUMIFS(Fact_SortedWeights!$E$2:$E$89,Fact_SortedWeights!$C$2:$C$89,$A46,Fact_SortedWeights!$B$2:$B$89,$B46)=0,0,SUMIFS(Fact_SortedWeights!$E$2:$E$89,Fact_SortedWeights!$C$2:$C$89,$A46,Fact_SortedWeights!$B$2:$B$89,$B46,Fact_SortedWeights!$D$2:$D$89,$C46)/SUMIFS(Fact_SortedWeights!$E$2:$E$89,Fact_SortedWeights!$C$2:$C$89,$A46,Fact_SortedWeights!$B$2:$B$89,$B46)*(IF($B46="Cardboard Recycling",SUMIFS(Fact_SortedWeights!$E$2:$E$89,Fact_SortedWeights!$C$2:$C$89,$A46,Fact_SortedWeights!$B$2:$B$89,$B46),SUMIFS(Fact_PreSortWeights!$E$2:$E$186,Fact_PreSortWeights!$C$2:$C$186,$A46,Fact_PreSortWeights!$B$2:$B$186,$B46))))</f>
        <v>6.42951810117478</v>
      </c>
      <c r="G46" s="0" t="n">
        <f aca="false">IF(AND(IF($B46="Trash",INDEX('Materials Master'!$F$2:$F$27,MATCH($C46,'Materials Master'!$A$2:$A$27,0)),IF($B46="GMPC Recycling",INDEX('Materials Master'!$G$2:$G$27,MATCH($C46,'Materials Master'!$A$2:$A$27,0)),IF($B46="Organics Recycling",INDEX('Materials Master'!$H$2:$H$27,MATCH($C46,'Materials Master'!$A$2:$A$27,0)),IF($B46="Cardboard Recycling",INDEX('Materials Master'!$I$2:$I$27,MATCH($C46,'Materials Master'!$A$2:$A$27,0)),IF($B46="Paper Recycling",INDEX('Materials Master'!$J$2:$J$27,MATCH($C46,'Materials Master'!$A$2:$A$27,0)),IF($B46="Terracycle",INDEX('Materials Master'!$K$2:$K$27,MATCH($C46,'Materials Master'!$A$2:$A$27,0)),"No"))))))="Yes",INDEX('Materials Master'!$E$2:$E$27,MATCH($C46,'Materials Master'!$A$2:$A$27,0))="Yes",$B46&lt;&gt;"Trash"),1,0)</f>
        <v>0</v>
      </c>
      <c r="H46" s="0" t="str">
        <f aca="false">INDEX('Materials Master'!$E$2:$E$27,MATCH($C46,'Materials Master'!$A$2:$A$27,0))</f>
        <v>No</v>
      </c>
      <c r="I46" s="0" t="str">
        <f aca="false">IFERROR(INDEX(Areas!$C$2:$C$6,MATCH($A46,Areas!$B$2:$B$6,0)),"")</f>
        <v>Rest of Building</v>
      </c>
      <c r="J46" s="0" t="n">
        <f aca="false">IF(IF($B46="Trash",INDEX('Materials Master'!$F$2:$F$27,MATCH($C46,'Materials Master'!$A$2:$A$27,0)),IF($B46="GMPC Recycling",INDEX('Materials Master'!$G$2:$G$27,MATCH($C46,'Materials Master'!$A$2:$A$27,0)),IF($B46="Organics Recycling",INDEX('Materials Master'!$H$2:$H$27,MATCH($C46,'Materials Master'!$A$2:$A$27,0)),IF($B46="Cardboard Recycling",INDEX('Materials Master'!$I$2:$I$27,MATCH($C46,'Materials Master'!$A$2:$A$27,0)),IF($B46="Paper Recycling",INDEX('Materials Master'!$J$2:$J$27,MATCH($C46,'Materials Master'!$A$2:$A$27,0)),IF($B46="Terracycle",INDEX('Materials Master'!$K$2:$K$27,MATCH($C46,'Materials Master'!$A$2:$A$27,0)),"No"))))))="Yes",1,0)</f>
        <v>0</v>
      </c>
    </row>
    <row r="47" customFormat="false" ht="15" hidden="false" customHeight="false" outlineLevel="0" collapsed="false">
      <c r="A47" s="0" t="s">
        <v>92</v>
      </c>
      <c r="B47" s="0" t="s">
        <v>104</v>
      </c>
      <c r="C47" s="0" t="s">
        <v>73</v>
      </c>
      <c r="D47" s="0" t="str">
        <f aca="false">IFERROR(INDEX('Materials Master'!$B$2:$B$27,MATCH($C47,'Materials Master'!$A$2:$A$27,0)),"")</f>
        <v>PLA Compostable Serviceware</v>
      </c>
      <c r="E47" s="0" t="str">
        <f aca="false">IFERROR(INDEX('Materials Master'!$C$2:$C$27,MATCH($C47,'Materials Master'!$A$2:$A$27,0)),"")</f>
        <v>Organics</v>
      </c>
      <c r="F47" s="0" t="n">
        <f aca="false">IF(SUMIFS(Fact_SortedWeights!$E$2:$E$89,Fact_SortedWeights!$C$2:$C$89,$A47,Fact_SortedWeights!$B$2:$B$89,$B47)=0,0,SUMIFS(Fact_SortedWeights!$E$2:$E$89,Fact_SortedWeights!$C$2:$C$89,$A47,Fact_SortedWeights!$B$2:$B$89,$B47,Fact_SortedWeights!$D$2:$D$89,$C47)/SUMIFS(Fact_SortedWeights!$E$2:$E$89,Fact_SortedWeights!$C$2:$C$89,$A47,Fact_SortedWeights!$B$2:$B$89,$B47)*(IF($B47="Cardboard Recycling",SUMIFS(Fact_SortedWeights!$E$2:$E$89,Fact_SortedWeights!$C$2:$C$89,$A47,Fact_SortedWeights!$B$2:$B$89,$B47),SUMIFS(Fact_PreSortWeights!$E$2:$E$186,Fact_PreSortWeights!$C$2:$C$186,$A47,Fact_PreSortWeights!$B$2:$B$186,$B47))))</f>
        <v>5.88904339486934</v>
      </c>
      <c r="G47" s="0" t="n">
        <f aca="false">IF(AND(IF($B47="Trash",INDEX('Materials Master'!$F$2:$F$27,MATCH($C47,'Materials Master'!$A$2:$A$27,0)),IF($B47="GMPC Recycling",INDEX('Materials Master'!$G$2:$G$27,MATCH($C47,'Materials Master'!$A$2:$A$27,0)),IF($B47="Organics Recycling",INDEX('Materials Master'!$H$2:$H$27,MATCH($C47,'Materials Master'!$A$2:$A$27,0)),IF($B47="Cardboard Recycling",INDEX('Materials Master'!$I$2:$I$27,MATCH($C47,'Materials Master'!$A$2:$A$27,0)),IF($B47="Paper Recycling",INDEX('Materials Master'!$J$2:$J$27,MATCH($C47,'Materials Master'!$A$2:$A$27,0)),IF($B47="Terracycle",INDEX('Materials Master'!$K$2:$K$27,MATCH($C47,'Materials Master'!$A$2:$A$27,0)),"No"))))))="Yes",INDEX('Materials Master'!$E$2:$E$27,MATCH($C47,'Materials Master'!$A$2:$A$27,0))="Yes",$B47&lt;&gt;"Trash"),1,0)</f>
        <v>0</v>
      </c>
      <c r="H47" s="0" t="str">
        <f aca="false">INDEX('Materials Master'!$E$2:$E$27,MATCH($C47,'Materials Master'!$A$2:$A$27,0))</f>
        <v>No</v>
      </c>
      <c r="I47" s="0" t="str">
        <f aca="false">IFERROR(INDEX(Areas!$C$2:$C$6,MATCH($A47,Areas!$B$2:$B$6,0)),"")</f>
        <v>Rest of Building</v>
      </c>
      <c r="J47" s="0" t="n">
        <f aca="false">IF(IF($B47="Trash",INDEX('Materials Master'!$F$2:$F$27,MATCH($C47,'Materials Master'!$A$2:$A$27,0)),IF($B47="GMPC Recycling",INDEX('Materials Master'!$G$2:$G$27,MATCH($C47,'Materials Master'!$A$2:$A$27,0)),IF($B47="Organics Recycling",INDEX('Materials Master'!$H$2:$H$27,MATCH($C47,'Materials Master'!$A$2:$A$27,0)),IF($B47="Cardboard Recycling",INDEX('Materials Master'!$I$2:$I$27,MATCH($C47,'Materials Master'!$A$2:$A$27,0)),IF($B47="Paper Recycling",INDEX('Materials Master'!$J$2:$J$27,MATCH($C47,'Materials Master'!$A$2:$A$27,0)),IF($B47="Terracycle",INDEX('Materials Master'!$K$2:$K$27,MATCH($C47,'Materials Master'!$A$2:$A$27,0)),"No"))))))="Yes",1,0)</f>
        <v>0</v>
      </c>
    </row>
    <row r="48" customFormat="false" ht="15" hidden="false" customHeight="false" outlineLevel="0" collapsed="false">
      <c r="A48" s="0" t="s">
        <v>92</v>
      </c>
      <c r="B48" s="0" t="s">
        <v>104</v>
      </c>
      <c r="C48" s="0" t="s">
        <v>75</v>
      </c>
      <c r="D48" s="0" t="str">
        <f aca="false">IFERROR(INDEX('Materials Master'!$B$2:$B$27,MATCH($C48,'Materials Master'!$A$2:$A$27,0)),"")</f>
        <v>E/U Waste</v>
      </c>
      <c r="E48" s="0" t="str">
        <f aca="false">IFERROR(INDEX('Materials Master'!$C$2:$C$27,MATCH($C48,'Materials Master'!$A$2:$A$27,0)),"")</f>
        <v>Unacceptable</v>
      </c>
      <c r="F48" s="0" t="n">
        <f aca="false">IF(SUMIFS(Fact_SortedWeights!$E$2:$E$89,Fact_SortedWeights!$C$2:$C$89,$A48,Fact_SortedWeights!$B$2:$B$89,$B48)=0,0,SUMIFS(Fact_SortedWeights!$E$2:$E$89,Fact_SortedWeights!$C$2:$C$89,$A48,Fact_SortedWeights!$B$2:$B$89,$B48,Fact_SortedWeights!$D$2:$D$89,$C48)/SUMIFS(Fact_SortedWeights!$E$2:$E$89,Fact_SortedWeights!$C$2:$C$89,$A48,Fact_SortedWeights!$B$2:$B$89,$B48)*(IF($B48="Cardboard Recycling",SUMIFS(Fact_SortedWeights!$E$2:$E$89,Fact_SortedWeights!$C$2:$C$89,$A48,Fact_SortedWeights!$B$2:$B$89,$B48),SUMIFS(Fact_PreSortWeights!$E$2:$E$186,Fact_PreSortWeights!$C$2:$C$186,$A48,Fact_PreSortWeights!$B$2:$B$186,$B48))))</f>
        <v>0</v>
      </c>
      <c r="G48" s="0" t="n">
        <f aca="false">IF(AND(IF($B48="Trash",INDEX('Materials Master'!$F$2:$F$27,MATCH($C48,'Materials Master'!$A$2:$A$27,0)),IF($B48="GMPC Recycling",INDEX('Materials Master'!$G$2:$G$27,MATCH($C48,'Materials Master'!$A$2:$A$27,0)),IF($B48="Organics Recycling",INDEX('Materials Master'!$H$2:$H$27,MATCH($C48,'Materials Master'!$A$2:$A$27,0)),IF($B48="Cardboard Recycling",INDEX('Materials Master'!$I$2:$I$27,MATCH($C48,'Materials Master'!$A$2:$A$27,0)),IF($B48="Paper Recycling",INDEX('Materials Master'!$J$2:$J$27,MATCH($C48,'Materials Master'!$A$2:$A$27,0)),IF($B48="Terracycle",INDEX('Materials Master'!$K$2:$K$27,MATCH($C48,'Materials Master'!$A$2:$A$27,0)),"No"))))))="Yes",INDEX('Materials Master'!$E$2:$E$27,MATCH($C48,'Materials Master'!$A$2:$A$27,0))="Yes",$B48&lt;&gt;"Trash"),1,0)</f>
        <v>0</v>
      </c>
      <c r="H48" s="0" t="str">
        <f aca="false">INDEX('Materials Master'!$E$2:$E$27,MATCH($C48,'Materials Master'!$A$2:$A$27,0))</f>
        <v>No</v>
      </c>
      <c r="I48" s="0" t="str">
        <f aca="false">IFERROR(INDEX(Areas!$C$2:$C$6,MATCH($A48,Areas!$B$2:$B$6,0)),"")</f>
        <v>Rest of Building</v>
      </c>
      <c r="J48" s="0" t="n">
        <f aca="false">IF(IF($B48="Trash",INDEX('Materials Master'!$F$2:$F$27,MATCH($C48,'Materials Master'!$A$2:$A$27,0)),IF($B48="GMPC Recycling",INDEX('Materials Master'!$G$2:$G$27,MATCH($C48,'Materials Master'!$A$2:$A$27,0)),IF($B48="Organics Recycling",INDEX('Materials Master'!$H$2:$H$27,MATCH($C48,'Materials Master'!$A$2:$A$27,0)),IF($B48="Cardboard Recycling",INDEX('Materials Master'!$I$2:$I$27,MATCH($C48,'Materials Master'!$A$2:$A$27,0)),IF($B48="Paper Recycling",INDEX('Materials Master'!$J$2:$J$27,MATCH($C48,'Materials Master'!$A$2:$A$27,0)),IF($B48="Terracycle",INDEX('Materials Master'!$K$2:$K$27,MATCH($C48,'Materials Master'!$A$2:$A$27,0)),"No"))))))="Yes",1,0)</f>
        <v>0</v>
      </c>
    </row>
    <row r="49" customFormat="false" ht="15" hidden="false" customHeight="false" outlineLevel="0" collapsed="false">
      <c r="A49" s="0" t="s">
        <v>92</v>
      </c>
      <c r="B49" s="0" t="s">
        <v>104</v>
      </c>
      <c r="C49" s="0" t="s">
        <v>78</v>
      </c>
      <c r="D49" s="0" t="str">
        <f aca="false">IFERROR(INDEX('Materials Master'!$B$2:$B$27,MATCH($C49,'Materials Master'!$A$2:$A$27,0)),"")</f>
        <v>Textiles</v>
      </c>
      <c r="E49" s="0" t="str">
        <f aca="false">IFERROR(INDEX('Materials Master'!$C$2:$C$27,MATCH($C49,'Materials Master'!$A$2:$A$27,0)),"")</f>
        <v>Unacceptable</v>
      </c>
      <c r="F49" s="0" t="n">
        <f aca="false">IF(SUMIFS(Fact_SortedWeights!$E$2:$E$89,Fact_SortedWeights!$C$2:$C$89,$A49,Fact_SortedWeights!$B$2:$B$89,$B49)=0,0,SUMIFS(Fact_SortedWeights!$E$2:$E$89,Fact_SortedWeights!$C$2:$C$89,$A49,Fact_SortedWeights!$B$2:$B$89,$B49,Fact_SortedWeights!$D$2:$D$89,$C49)/SUMIFS(Fact_SortedWeights!$E$2:$E$89,Fact_SortedWeights!$C$2:$C$89,$A49,Fact_SortedWeights!$B$2:$B$89,$B49)*(IF($B49="Cardboard Recycling",SUMIFS(Fact_SortedWeights!$E$2:$E$89,Fact_SortedWeights!$C$2:$C$89,$A49,Fact_SortedWeights!$B$2:$B$89,$B49),SUMIFS(Fact_PreSortWeights!$E$2:$E$186,Fact_PreSortWeights!$C$2:$C$186,$A49,Fact_PreSortWeights!$B$2:$B$186,$B49))))</f>
        <v>0</v>
      </c>
      <c r="G49" s="0" t="n">
        <f aca="false">IF(AND(IF($B49="Trash",INDEX('Materials Master'!$F$2:$F$27,MATCH($C49,'Materials Master'!$A$2:$A$27,0)),IF($B49="GMPC Recycling",INDEX('Materials Master'!$G$2:$G$27,MATCH($C49,'Materials Master'!$A$2:$A$27,0)),IF($B49="Organics Recycling",INDEX('Materials Master'!$H$2:$H$27,MATCH($C49,'Materials Master'!$A$2:$A$27,0)),IF($B49="Cardboard Recycling",INDEX('Materials Master'!$I$2:$I$27,MATCH($C49,'Materials Master'!$A$2:$A$27,0)),IF($B49="Paper Recycling",INDEX('Materials Master'!$J$2:$J$27,MATCH($C49,'Materials Master'!$A$2:$A$27,0)),IF($B49="Terracycle",INDEX('Materials Master'!$K$2:$K$27,MATCH($C49,'Materials Master'!$A$2:$A$27,0)),"No"))))))="Yes",INDEX('Materials Master'!$E$2:$E$27,MATCH($C49,'Materials Master'!$A$2:$A$27,0))="Yes",$B49&lt;&gt;"Trash"),1,0)</f>
        <v>0</v>
      </c>
      <c r="H49" s="0" t="str">
        <f aca="false">INDEX('Materials Master'!$E$2:$E$27,MATCH($C49,'Materials Master'!$A$2:$A$27,0))</f>
        <v>No</v>
      </c>
      <c r="I49" s="0" t="str">
        <f aca="false">IFERROR(INDEX(Areas!$C$2:$C$6,MATCH($A49,Areas!$B$2:$B$6,0)),"")</f>
        <v>Rest of Building</v>
      </c>
      <c r="J49" s="0" t="n">
        <f aca="false">IF(IF($B49="Trash",INDEX('Materials Master'!$F$2:$F$27,MATCH($C49,'Materials Master'!$A$2:$A$27,0)),IF($B49="GMPC Recycling",INDEX('Materials Master'!$G$2:$G$27,MATCH($C49,'Materials Master'!$A$2:$A$27,0)),IF($B49="Organics Recycling",INDEX('Materials Master'!$H$2:$H$27,MATCH($C49,'Materials Master'!$A$2:$A$27,0)),IF($B49="Cardboard Recycling",INDEX('Materials Master'!$I$2:$I$27,MATCH($C49,'Materials Master'!$A$2:$A$27,0)),IF($B49="Paper Recycling",INDEX('Materials Master'!$J$2:$J$27,MATCH($C49,'Materials Master'!$A$2:$A$27,0)),IF($B49="Terracycle",INDEX('Materials Master'!$K$2:$K$27,MATCH($C49,'Materials Master'!$A$2:$A$27,0)),"No"))))))="Yes",1,0)</f>
        <v>0</v>
      </c>
    </row>
    <row r="50" customFormat="false" ht="15" hidden="false" customHeight="false" outlineLevel="0" collapsed="false">
      <c r="A50" s="0" t="s">
        <v>92</v>
      </c>
      <c r="B50" s="0" t="s">
        <v>104</v>
      </c>
      <c r="C50" s="0" t="s">
        <v>80</v>
      </c>
      <c r="D50" s="0" t="str">
        <f aca="false">IFERROR(INDEX('Materials Master'!$B$2:$B$27,MATCH($C50,'Materials Master'!$A$2:$A$27,0)),"")</f>
        <v>Other Unacceptable (specify)</v>
      </c>
      <c r="E50" s="0" t="str">
        <f aca="false">IFERROR(INDEX('Materials Master'!$C$2:$C$27,MATCH($C50,'Materials Master'!$A$2:$A$27,0)),"")</f>
        <v>Unacceptable</v>
      </c>
      <c r="F50" s="0" t="n">
        <f aca="false">IF(SUMIFS(Fact_SortedWeights!$E$2:$E$89,Fact_SortedWeights!$C$2:$C$89,$A50,Fact_SortedWeights!$B$2:$B$89,$B50)=0,0,SUMIFS(Fact_SortedWeights!$E$2:$E$89,Fact_SortedWeights!$C$2:$C$89,$A50,Fact_SortedWeights!$B$2:$B$89,$B50,Fact_SortedWeights!$D$2:$D$89,$C50)/SUMIFS(Fact_SortedWeights!$E$2:$E$89,Fact_SortedWeights!$C$2:$C$89,$A50,Fact_SortedWeights!$B$2:$B$89,$B50)*(IF($B50="Cardboard Recycling",SUMIFS(Fact_SortedWeights!$E$2:$E$89,Fact_SortedWeights!$C$2:$C$89,$A50,Fact_SortedWeights!$B$2:$B$89,$B50),SUMIFS(Fact_PreSortWeights!$E$2:$E$186,Fact_PreSortWeights!$C$2:$C$186,$A50,Fact_PreSortWeights!$B$2:$B$186,$B50))))</f>
        <v>0</v>
      </c>
      <c r="G50" s="0" t="n">
        <f aca="false">IF(AND(IF($B50="Trash",INDEX('Materials Master'!$F$2:$F$27,MATCH($C50,'Materials Master'!$A$2:$A$27,0)),IF($B50="GMPC Recycling",INDEX('Materials Master'!$G$2:$G$27,MATCH($C50,'Materials Master'!$A$2:$A$27,0)),IF($B50="Organics Recycling",INDEX('Materials Master'!$H$2:$H$27,MATCH($C50,'Materials Master'!$A$2:$A$27,0)),IF($B50="Cardboard Recycling",INDEX('Materials Master'!$I$2:$I$27,MATCH($C50,'Materials Master'!$A$2:$A$27,0)),IF($B50="Paper Recycling",INDEX('Materials Master'!$J$2:$J$27,MATCH($C50,'Materials Master'!$A$2:$A$27,0)),IF($B50="Terracycle",INDEX('Materials Master'!$K$2:$K$27,MATCH($C50,'Materials Master'!$A$2:$A$27,0)),"No"))))))="Yes",INDEX('Materials Master'!$E$2:$E$27,MATCH($C50,'Materials Master'!$A$2:$A$27,0))="Yes",$B50&lt;&gt;"Trash"),1,0)</f>
        <v>0</v>
      </c>
      <c r="H50" s="0" t="str">
        <f aca="false">INDEX('Materials Master'!$E$2:$E$27,MATCH($C50,'Materials Master'!$A$2:$A$27,0))</f>
        <v>No</v>
      </c>
      <c r="I50" s="0" t="str">
        <f aca="false">IFERROR(INDEX(Areas!$C$2:$C$6,MATCH($A50,Areas!$B$2:$B$6,0)),"")</f>
        <v>Rest of Building</v>
      </c>
      <c r="J50" s="0" t="n">
        <f aca="false">IF(IF($B50="Trash",INDEX('Materials Master'!$F$2:$F$27,MATCH($C50,'Materials Master'!$A$2:$A$27,0)),IF($B50="GMPC Recycling",INDEX('Materials Master'!$G$2:$G$27,MATCH($C50,'Materials Master'!$A$2:$A$27,0)),IF($B50="Organics Recycling",INDEX('Materials Master'!$H$2:$H$27,MATCH($C50,'Materials Master'!$A$2:$A$27,0)),IF($B50="Cardboard Recycling",INDEX('Materials Master'!$I$2:$I$27,MATCH($C50,'Materials Master'!$A$2:$A$27,0)),IF($B50="Paper Recycling",INDEX('Materials Master'!$J$2:$J$27,MATCH($C50,'Materials Master'!$A$2:$A$27,0)),IF($B50="Terracycle",INDEX('Materials Master'!$K$2:$K$27,MATCH($C50,'Materials Master'!$A$2:$A$27,0)),"No"))))))="Yes",1,0)</f>
        <v>0</v>
      </c>
    </row>
    <row r="51" customFormat="false" ht="15" hidden="false" customHeight="false" outlineLevel="0" collapsed="false">
      <c r="A51" s="0" t="s">
        <v>92</v>
      </c>
      <c r="B51" s="0" t="s">
        <v>104</v>
      </c>
      <c r="C51" s="0" t="s">
        <v>82</v>
      </c>
      <c r="D51" s="0" t="str">
        <f aca="false">IFERROR(INDEX('Materials Master'!$B$2:$B$27,MATCH($C51,'Materials Master'!$A$2:$A$27,0)),"")</f>
        <v>Liquids</v>
      </c>
      <c r="E51" s="0" t="str">
        <f aca="false">IFERROR(INDEX('Materials Master'!$C$2:$C$27,MATCH($C51,'Materials Master'!$A$2:$A$27,0)),"")</f>
        <v>Unacceptable</v>
      </c>
      <c r="F51" s="0" t="n">
        <f aca="false">IF(SUMIFS(Fact_SortedWeights!$E$2:$E$89,Fact_SortedWeights!$C$2:$C$89,$A51,Fact_SortedWeights!$B$2:$B$89,$B51)=0,0,SUMIFS(Fact_SortedWeights!$E$2:$E$89,Fact_SortedWeights!$C$2:$C$89,$A51,Fact_SortedWeights!$B$2:$B$89,$B51,Fact_SortedWeights!$D$2:$D$89,$C51)/SUMIFS(Fact_SortedWeights!$E$2:$E$89,Fact_SortedWeights!$C$2:$C$89,$A51,Fact_SortedWeights!$B$2:$B$89,$B51)*(IF($B51="Cardboard Recycling",SUMIFS(Fact_SortedWeights!$E$2:$E$89,Fact_SortedWeights!$C$2:$C$89,$A51,Fact_SortedWeights!$B$2:$B$89,$B51),SUMIFS(Fact_PreSortWeights!$E$2:$E$186,Fact_PreSortWeights!$C$2:$C$186,$A51,Fact_PreSortWeights!$B$2:$B$186,$B51))))</f>
        <v>0.416494845360825</v>
      </c>
      <c r="G51" s="0" t="n">
        <f aca="false">IF(AND(IF($B51="Trash",INDEX('Materials Master'!$F$2:$F$27,MATCH($C51,'Materials Master'!$A$2:$A$27,0)),IF($B51="GMPC Recycling",INDEX('Materials Master'!$G$2:$G$27,MATCH($C51,'Materials Master'!$A$2:$A$27,0)),IF($B51="Organics Recycling",INDEX('Materials Master'!$H$2:$H$27,MATCH($C51,'Materials Master'!$A$2:$A$27,0)),IF($B51="Cardboard Recycling",INDEX('Materials Master'!$I$2:$I$27,MATCH($C51,'Materials Master'!$A$2:$A$27,0)),IF($B51="Paper Recycling",INDEX('Materials Master'!$J$2:$J$27,MATCH($C51,'Materials Master'!$A$2:$A$27,0)),IF($B51="Terracycle",INDEX('Materials Master'!$K$2:$K$27,MATCH($C51,'Materials Master'!$A$2:$A$27,0)),"No"))))))="Yes",INDEX('Materials Master'!$E$2:$E$27,MATCH($C51,'Materials Master'!$A$2:$A$27,0))="Yes",$B51&lt;&gt;"Trash"),1,0)</f>
        <v>0</v>
      </c>
      <c r="H51" s="0" t="str">
        <f aca="false">INDEX('Materials Master'!$E$2:$E$27,MATCH($C51,'Materials Master'!$A$2:$A$27,0))</f>
        <v>No</v>
      </c>
      <c r="I51" s="0" t="str">
        <f aca="false">IFERROR(INDEX(Areas!$C$2:$C$6,MATCH($A51,Areas!$B$2:$B$6,0)),"")</f>
        <v>Rest of Building</v>
      </c>
      <c r="J51" s="0" t="n">
        <f aca="false">IF(IF($B51="Trash",INDEX('Materials Master'!$F$2:$F$27,MATCH($C51,'Materials Master'!$A$2:$A$27,0)),IF($B51="GMPC Recycling",INDEX('Materials Master'!$G$2:$G$27,MATCH($C51,'Materials Master'!$A$2:$A$27,0)),IF($B51="Organics Recycling",INDEX('Materials Master'!$H$2:$H$27,MATCH($C51,'Materials Master'!$A$2:$A$27,0)),IF($B51="Cardboard Recycling",INDEX('Materials Master'!$I$2:$I$27,MATCH($C51,'Materials Master'!$A$2:$A$27,0)),IF($B51="Paper Recycling",INDEX('Materials Master'!$J$2:$J$27,MATCH($C51,'Materials Master'!$A$2:$A$27,0)),IF($B51="Terracycle",INDEX('Materials Master'!$K$2:$K$27,MATCH($C51,'Materials Master'!$A$2:$A$27,0)),"No"))))))="Yes",1,0)</f>
        <v>0</v>
      </c>
    </row>
    <row r="52" customFormat="false" ht="15" hidden="false" customHeight="false" outlineLevel="0" collapsed="false">
      <c r="A52" s="0" t="s">
        <v>92</v>
      </c>
      <c r="B52" s="0" t="s">
        <v>104</v>
      </c>
      <c r="C52" s="0" t="s">
        <v>84</v>
      </c>
      <c r="D52" s="0" t="str">
        <f aca="false">IFERROR(INDEX('Materials Master'!$B$2:$B$27,MATCH($C52,'Materials Master'!$A$2:$A$27,0)),"")</f>
        <v>Snack Wrappers (Composites)</v>
      </c>
      <c r="E52" s="0" t="str">
        <f aca="false">IFERROR(INDEX('Materials Master'!$C$2:$C$27,MATCH($C52,'Materials Master'!$A$2:$A$27,0)),"")</f>
        <v>Other</v>
      </c>
      <c r="F52" s="0" t="n">
        <f aca="false">IF(SUMIFS(Fact_SortedWeights!$E$2:$E$89,Fact_SortedWeights!$C$2:$C$89,$A52,Fact_SortedWeights!$B$2:$B$89,$B52)=0,0,SUMIFS(Fact_SortedWeights!$E$2:$E$89,Fact_SortedWeights!$C$2:$C$89,$A52,Fact_SortedWeights!$B$2:$B$89,$B52,Fact_SortedWeights!$D$2:$D$89,$C52)/SUMIFS(Fact_SortedWeights!$E$2:$E$89,Fact_SortedWeights!$C$2:$C$89,$A52,Fact_SortedWeights!$B$2:$B$89,$B52)*(IF($B52="Cardboard Recycling",SUMIFS(Fact_SortedWeights!$E$2:$E$89,Fact_SortedWeights!$C$2:$C$89,$A52,Fact_SortedWeights!$B$2:$B$89,$B52),SUMIFS(Fact_PreSortWeights!$E$2:$E$186,Fact_PreSortWeights!$C$2:$C$186,$A52,Fact_PreSortWeights!$B$2:$B$186,$B52))))</f>
        <v>0.687700791177176</v>
      </c>
      <c r="G52" s="0" t="n">
        <f aca="false">IF(AND(IF($B52="Trash",INDEX('Materials Master'!$F$2:$F$27,MATCH($C52,'Materials Master'!$A$2:$A$27,0)),IF($B52="GMPC Recycling",INDEX('Materials Master'!$G$2:$G$27,MATCH($C52,'Materials Master'!$A$2:$A$27,0)),IF($B52="Organics Recycling",INDEX('Materials Master'!$H$2:$H$27,MATCH($C52,'Materials Master'!$A$2:$A$27,0)),IF($B52="Cardboard Recycling",INDEX('Materials Master'!$I$2:$I$27,MATCH($C52,'Materials Master'!$A$2:$A$27,0)),IF($B52="Paper Recycling",INDEX('Materials Master'!$J$2:$J$27,MATCH($C52,'Materials Master'!$A$2:$A$27,0)),IF($B52="Terracycle",INDEX('Materials Master'!$K$2:$K$27,MATCH($C52,'Materials Master'!$A$2:$A$27,0)),"No"))))))="Yes",INDEX('Materials Master'!$E$2:$E$27,MATCH($C52,'Materials Master'!$A$2:$A$27,0))="Yes",$B52&lt;&gt;"Trash"),1,0)</f>
        <v>0</v>
      </c>
      <c r="H52" s="0" t="str">
        <f aca="false">INDEX('Materials Master'!$E$2:$E$27,MATCH($C52,'Materials Master'!$A$2:$A$27,0))</f>
        <v>Yes</v>
      </c>
      <c r="I52" s="0" t="str">
        <f aca="false">IFERROR(INDEX(Areas!$C$2:$C$6,MATCH($A52,Areas!$B$2:$B$6,0)),"")</f>
        <v>Rest of Building</v>
      </c>
      <c r="J52" s="0" t="n">
        <f aca="false">IF(IF($B52="Trash",INDEX('Materials Master'!$F$2:$F$27,MATCH($C52,'Materials Master'!$A$2:$A$27,0)),IF($B52="GMPC Recycling",INDEX('Materials Master'!$G$2:$G$27,MATCH($C52,'Materials Master'!$A$2:$A$27,0)),IF($B52="Organics Recycling",INDEX('Materials Master'!$H$2:$H$27,MATCH($C52,'Materials Master'!$A$2:$A$27,0)),IF($B52="Cardboard Recycling",INDEX('Materials Master'!$I$2:$I$27,MATCH($C52,'Materials Master'!$A$2:$A$27,0)),IF($B52="Paper Recycling",INDEX('Materials Master'!$J$2:$J$27,MATCH($C52,'Materials Master'!$A$2:$A$27,0)),IF($B52="Terracycle",INDEX('Materials Master'!$K$2:$K$27,MATCH($C52,'Materials Master'!$A$2:$A$27,0)),"No"))))))="Yes",1,0)</f>
        <v>0</v>
      </c>
    </row>
    <row r="53" customFormat="false" ht="15" hidden="false" customHeight="false" outlineLevel="0" collapsed="false">
      <c r="A53" s="0" t="s">
        <v>92</v>
      </c>
      <c r="B53" s="0" t="s">
        <v>104</v>
      </c>
      <c r="C53" s="0" t="s">
        <v>87</v>
      </c>
      <c r="D53" s="0" t="str">
        <f aca="false">IFERROR(INDEX('Materials Master'!$B$2:$B$27,MATCH($C53,'Materials Master'!$A$2:$A$27,0)),"")</f>
        <v>Other/Residual Materials</v>
      </c>
      <c r="E53" s="0" t="str">
        <f aca="false">IFERROR(INDEX('Materials Master'!$C$2:$C$27,MATCH($C53,'Materials Master'!$A$2:$A$27,0)),"")</f>
        <v>Other</v>
      </c>
      <c r="F53" s="0" t="n">
        <f aca="false">IF(SUMIFS(Fact_SortedWeights!$E$2:$E$89,Fact_SortedWeights!$C$2:$C$89,$A53,Fact_SortedWeights!$B$2:$B$89,$B53)=0,0,SUMIFS(Fact_SortedWeights!$E$2:$E$89,Fact_SortedWeights!$C$2:$C$89,$A53,Fact_SortedWeights!$B$2:$B$89,$B53,Fact_SortedWeights!$D$2:$D$89,$C53)/SUMIFS(Fact_SortedWeights!$E$2:$E$89,Fact_SortedWeights!$C$2:$C$89,$A53,Fact_SortedWeights!$B$2:$B$89,$B53)*(IF($B53="Cardboard Recycling",SUMIFS(Fact_SortedWeights!$E$2:$E$89,Fact_SortedWeights!$C$2:$C$89,$A53,Fact_SortedWeights!$B$2:$B$89,$B53),SUMIFS(Fact_PreSortWeights!$E$2:$E$186,Fact_PreSortWeights!$C$2:$C$186,$A53,Fact_PreSortWeights!$B$2:$B$186,$B53))))</f>
        <v>1.28047950131863</v>
      </c>
      <c r="G53" s="0" t="n">
        <f aca="false">IF(AND(IF($B53="Trash",INDEX('Materials Master'!$F$2:$F$27,MATCH($C53,'Materials Master'!$A$2:$A$27,0)),IF($B53="GMPC Recycling",INDEX('Materials Master'!$G$2:$G$27,MATCH($C53,'Materials Master'!$A$2:$A$27,0)),IF($B53="Organics Recycling",INDEX('Materials Master'!$H$2:$H$27,MATCH($C53,'Materials Master'!$A$2:$A$27,0)),IF($B53="Cardboard Recycling",INDEX('Materials Master'!$I$2:$I$27,MATCH($C53,'Materials Master'!$A$2:$A$27,0)),IF($B53="Paper Recycling",INDEX('Materials Master'!$J$2:$J$27,MATCH($C53,'Materials Master'!$A$2:$A$27,0)),IF($B53="Terracycle",INDEX('Materials Master'!$K$2:$K$27,MATCH($C53,'Materials Master'!$A$2:$A$27,0)),"No"))))))="Yes",INDEX('Materials Master'!$E$2:$E$27,MATCH($C53,'Materials Master'!$A$2:$A$27,0))="Yes",$B53&lt;&gt;"Trash"),1,0)</f>
        <v>0</v>
      </c>
      <c r="H53" s="0" t="str">
        <f aca="false">INDEX('Materials Master'!$E$2:$E$27,MATCH($C53,'Materials Master'!$A$2:$A$27,0))</f>
        <v>No</v>
      </c>
      <c r="I53" s="0" t="str">
        <f aca="false">IFERROR(INDEX(Areas!$C$2:$C$6,MATCH($A53,Areas!$B$2:$B$6,0)),"")</f>
        <v>Rest of Building</v>
      </c>
      <c r="J53" s="0" t="n">
        <f aca="false">IF(IF($B53="Trash",INDEX('Materials Master'!$F$2:$F$27,MATCH($C53,'Materials Master'!$A$2:$A$27,0)),IF($B53="GMPC Recycling",INDEX('Materials Master'!$G$2:$G$27,MATCH($C53,'Materials Master'!$A$2:$A$27,0)),IF($B53="Organics Recycling",INDEX('Materials Master'!$H$2:$H$27,MATCH($C53,'Materials Master'!$A$2:$A$27,0)),IF($B53="Cardboard Recycling",INDEX('Materials Master'!$I$2:$I$27,MATCH($C53,'Materials Master'!$A$2:$A$27,0)),IF($B53="Paper Recycling",INDEX('Materials Master'!$J$2:$J$27,MATCH($C53,'Materials Master'!$A$2:$A$27,0)),IF($B53="Terracycle",INDEX('Materials Master'!$K$2:$K$27,MATCH($C53,'Materials Master'!$A$2:$A$27,0)),"No"))))))="Yes",1,0)</f>
        <v>0</v>
      </c>
    </row>
    <row r="54" customFormat="false" ht="15" hidden="false" customHeight="false" outlineLevel="0" collapsed="false">
      <c r="A54" s="0" t="s">
        <v>92</v>
      </c>
      <c r="B54" s="0" t="s">
        <v>105</v>
      </c>
      <c r="C54" s="0" t="s">
        <v>28</v>
      </c>
      <c r="D54" s="0" t="str">
        <f aca="false">IFERROR(INDEX('Materials Master'!$B$2:$B$27,MATCH($C54,'Materials Master'!$A$2:$A$27,0)),"")</f>
        <v>Corrugated Cardboard</v>
      </c>
      <c r="E54" s="0" t="str">
        <f aca="false">IFERROR(INDEX('Materials Master'!$C$2:$C$27,MATCH($C54,'Materials Master'!$A$2:$A$27,0)),"")</f>
        <v>Fibers</v>
      </c>
      <c r="F54" s="0" t="n">
        <f aca="false">IF(SUMIFS(Fact_SortedWeights!$E$2:$E$89,Fact_SortedWeights!$C$2:$C$89,$A54,Fact_SortedWeights!$B$2:$B$89,$B54)=0,0,SUMIFS(Fact_SortedWeights!$E$2:$E$89,Fact_SortedWeights!$C$2:$C$89,$A54,Fact_SortedWeights!$B$2:$B$89,$B54,Fact_SortedWeights!$D$2:$D$89,$C54)/SUMIFS(Fact_SortedWeights!$E$2:$E$89,Fact_SortedWeights!$C$2:$C$89,$A54,Fact_SortedWeights!$B$2:$B$89,$B54)*(IF($B54="Cardboard Recycling",SUMIFS(Fact_SortedWeights!$E$2:$E$89,Fact_SortedWeights!$C$2:$C$89,$A54,Fact_SortedWeights!$B$2:$B$89,$B54),SUMIFS(Fact_PreSortWeights!$E$2:$E$186,Fact_PreSortWeights!$C$2:$C$186,$A54,Fact_PreSortWeights!$B$2:$B$186,$B54))))</f>
        <v>0</v>
      </c>
      <c r="G54" s="0" t="n">
        <f aca="false">IF(AND(IF($B54="Trash",INDEX('Materials Master'!$F$2:$F$27,MATCH($C54,'Materials Master'!$A$2:$A$27,0)),IF($B54="GMPC Recycling",INDEX('Materials Master'!$G$2:$G$27,MATCH($C54,'Materials Master'!$A$2:$A$27,0)),IF($B54="Organics Recycling",INDEX('Materials Master'!$H$2:$H$27,MATCH($C54,'Materials Master'!$A$2:$A$27,0)),IF($B54="Cardboard Recycling",INDEX('Materials Master'!$I$2:$I$27,MATCH($C54,'Materials Master'!$A$2:$A$27,0)),IF($B54="Paper Recycling",INDEX('Materials Master'!$J$2:$J$27,MATCH($C54,'Materials Master'!$A$2:$A$27,0)),IF($B54="Terracycle",INDEX('Materials Master'!$K$2:$K$27,MATCH($C54,'Materials Master'!$A$2:$A$27,0)),"No"))))))="Yes",INDEX('Materials Master'!$E$2:$E$27,MATCH($C54,'Materials Master'!$A$2:$A$27,0))="Yes",$B54&lt;&gt;"Trash"),1,0)</f>
        <v>0</v>
      </c>
      <c r="H54" s="0" t="str">
        <f aca="false">INDEX('Materials Master'!$E$2:$E$27,MATCH($C54,'Materials Master'!$A$2:$A$27,0))</f>
        <v>Yes</v>
      </c>
      <c r="I54" s="0" t="str">
        <f aca="false">IFERROR(INDEX(Areas!$C$2:$C$6,MATCH($A54,Areas!$B$2:$B$6,0)),"")</f>
        <v>Rest of Building</v>
      </c>
      <c r="J54" s="0" t="n">
        <f aca="false">IF(IF($B54="Trash",INDEX('Materials Master'!$F$2:$F$27,MATCH($C54,'Materials Master'!$A$2:$A$27,0)),IF($B54="GMPC Recycling",INDEX('Materials Master'!$G$2:$G$27,MATCH($C54,'Materials Master'!$A$2:$A$27,0)),IF($B54="Organics Recycling",INDEX('Materials Master'!$H$2:$H$27,MATCH($C54,'Materials Master'!$A$2:$A$27,0)),IF($B54="Cardboard Recycling",INDEX('Materials Master'!$I$2:$I$27,MATCH($C54,'Materials Master'!$A$2:$A$27,0)),IF($B54="Paper Recycling",INDEX('Materials Master'!$J$2:$J$27,MATCH($C54,'Materials Master'!$A$2:$A$27,0)),IF($B54="Terracycle",INDEX('Materials Master'!$K$2:$K$27,MATCH($C54,'Materials Master'!$A$2:$A$27,0)),"No"))))))="Yes",1,0)</f>
        <v>0</v>
      </c>
    </row>
    <row r="55" customFormat="false" ht="15" hidden="false" customHeight="false" outlineLevel="0" collapsed="false">
      <c r="A55" s="0" t="s">
        <v>92</v>
      </c>
      <c r="B55" s="0" t="s">
        <v>105</v>
      </c>
      <c r="C55" s="0" t="s">
        <v>33</v>
      </c>
      <c r="D55" s="0" t="str">
        <f aca="false">IFERROR(INDEX('Materials Master'!$B$2:$B$27,MATCH($C55,'Materials Master'!$A$2:$A$27,0)),"")</f>
        <v>Soiled Cardboard</v>
      </c>
      <c r="E55" s="0" t="str">
        <f aca="false">IFERROR(INDEX('Materials Master'!$C$2:$C$27,MATCH($C55,'Materials Master'!$A$2:$A$27,0)),"")</f>
        <v>Fibers</v>
      </c>
      <c r="F55" s="0" t="n">
        <f aca="false">IF(SUMIFS(Fact_SortedWeights!$E$2:$E$89,Fact_SortedWeights!$C$2:$C$89,$A55,Fact_SortedWeights!$B$2:$B$89,$B55)=0,0,SUMIFS(Fact_SortedWeights!$E$2:$E$89,Fact_SortedWeights!$C$2:$C$89,$A55,Fact_SortedWeights!$B$2:$B$89,$B55,Fact_SortedWeights!$D$2:$D$89,$C55)/SUMIFS(Fact_SortedWeights!$E$2:$E$89,Fact_SortedWeights!$C$2:$C$89,$A55,Fact_SortedWeights!$B$2:$B$89,$B55)*(IF($B55="Cardboard Recycling",SUMIFS(Fact_SortedWeights!$E$2:$E$89,Fact_SortedWeights!$C$2:$C$89,$A55,Fact_SortedWeights!$B$2:$B$89,$B55),SUMIFS(Fact_PreSortWeights!$E$2:$E$186,Fact_PreSortWeights!$C$2:$C$186,$A55,Fact_PreSortWeights!$B$2:$B$186,$B55))))</f>
        <v>0</v>
      </c>
      <c r="G55" s="0" t="n">
        <f aca="false">IF(AND(IF($B55="Trash",INDEX('Materials Master'!$F$2:$F$27,MATCH($C55,'Materials Master'!$A$2:$A$27,0)),IF($B55="GMPC Recycling",INDEX('Materials Master'!$G$2:$G$27,MATCH($C55,'Materials Master'!$A$2:$A$27,0)),IF($B55="Organics Recycling",INDEX('Materials Master'!$H$2:$H$27,MATCH($C55,'Materials Master'!$A$2:$A$27,0)),IF($B55="Cardboard Recycling",INDEX('Materials Master'!$I$2:$I$27,MATCH($C55,'Materials Master'!$A$2:$A$27,0)),IF($B55="Paper Recycling",INDEX('Materials Master'!$J$2:$J$27,MATCH($C55,'Materials Master'!$A$2:$A$27,0)),IF($B55="Terracycle",INDEX('Materials Master'!$K$2:$K$27,MATCH($C55,'Materials Master'!$A$2:$A$27,0)),"No"))))))="Yes",INDEX('Materials Master'!$E$2:$E$27,MATCH($C55,'Materials Master'!$A$2:$A$27,0))="Yes",$B55&lt;&gt;"Trash"),1,0)</f>
        <v>0</v>
      </c>
      <c r="H55" s="0" t="str">
        <f aca="false">INDEX('Materials Master'!$E$2:$E$27,MATCH($C55,'Materials Master'!$A$2:$A$27,0))</f>
        <v>No</v>
      </c>
      <c r="I55" s="0" t="str">
        <f aca="false">IFERROR(INDEX(Areas!$C$2:$C$6,MATCH($A55,Areas!$B$2:$B$6,0)),"")</f>
        <v>Rest of Building</v>
      </c>
      <c r="J55" s="0" t="n">
        <f aca="false">IF(IF($B55="Trash",INDEX('Materials Master'!$F$2:$F$27,MATCH($C55,'Materials Master'!$A$2:$A$27,0)),IF($B55="GMPC Recycling",INDEX('Materials Master'!$G$2:$G$27,MATCH($C55,'Materials Master'!$A$2:$A$27,0)),IF($B55="Organics Recycling",INDEX('Materials Master'!$H$2:$H$27,MATCH($C55,'Materials Master'!$A$2:$A$27,0)),IF($B55="Cardboard Recycling",INDEX('Materials Master'!$I$2:$I$27,MATCH($C55,'Materials Master'!$A$2:$A$27,0)),IF($B55="Paper Recycling",INDEX('Materials Master'!$J$2:$J$27,MATCH($C55,'Materials Master'!$A$2:$A$27,0)),IF($B55="Terracycle",INDEX('Materials Master'!$K$2:$K$27,MATCH($C55,'Materials Master'!$A$2:$A$27,0)),"No"))))))="Yes",1,0)</f>
        <v>0</v>
      </c>
    </row>
    <row r="56" customFormat="false" ht="15" hidden="false" customHeight="false" outlineLevel="0" collapsed="false">
      <c r="A56" s="0" t="s">
        <v>92</v>
      </c>
      <c r="B56" s="0" t="s">
        <v>105</v>
      </c>
      <c r="C56" s="0" t="s">
        <v>35</v>
      </c>
      <c r="D56" s="0" t="str">
        <f aca="false">IFERROR(INDEX('Materials Master'!$B$2:$B$27,MATCH($C56,'Materials Master'!$A$2:$A$27,0)),"")</f>
        <v>Waxed Cardboard</v>
      </c>
      <c r="E56" s="0" t="str">
        <f aca="false">IFERROR(INDEX('Materials Master'!$C$2:$C$27,MATCH($C56,'Materials Master'!$A$2:$A$27,0)),"")</f>
        <v>Fibers</v>
      </c>
      <c r="F56" s="0" t="n">
        <f aca="false">IF(SUMIFS(Fact_SortedWeights!$E$2:$E$89,Fact_SortedWeights!$C$2:$C$89,$A56,Fact_SortedWeights!$B$2:$B$89,$B56)=0,0,SUMIFS(Fact_SortedWeights!$E$2:$E$89,Fact_SortedWeights!$C$2:$C$89,$A56,Fact_SortedWeights!$B$2:$B$89,$B56,Fact_SortedWeights!$D$2:$D$89,$C56)/SUMIFS(Fact_SortedWeights!$E$2:$E$89,Fact_SortedWeights!$C$2:$C$89,$A56,Fact_SortedWeights!$B$2:$B$89,$B56)*(IF($B56="Cardboard Recycling",SUMIFS(Fact_SortedWeights!$E$2:$E$89,Fact_SortedWeights!$C$2:$C$89,$A56,Fact_SortedWeights!$B$2:$B$89,$B56),SUMIFS(Fact_PreSortWeights!$E$2:$E$186,Fact_PreSortWeights!$C$2:$C$186,$A56,Fact_PreSortWeights!$B$2:$B$186,$B56))))</f>
        <v>0</v>
      </c>
      <c r="G56" s="0" t="n">
        <f aca="false">IF(AND(IF($B56="Trash",INDEX('Materials Master'!$F$2:$F$27,MATCH($C56,'Materials Master'!$A$2:$A$27,0)),IF($B56="GMPC Recycling",INDEX('Materials Master'!$G$2:$G$27,MATCH($C56,'Materials Master'!$A$2:$A$27,0)),IF($B56="Organics Recycling",INDEX('Materials Master'!$H$2:$H$27,MATCH($C56,'Materials Master'!$A$2:$A$27,0)),IF($B56="Cardboard Recycling",INDEX('Materials Master'!$I$2:$I$27,MATCH($C56,'Materials Master'!$A$2:$A$27,0)),IF($B56="Paper Recycling",INDEX('Materials Master'!$J$2:$J$27,MATCH($C56,'Materials Master'!$A$2:$A$27,0)),IF($B56="Terracycle",INDEX('Materials Master'!$K$2:$K$27,MATCH($C56,'Materials Master'!$A$2:$A$27,0)),"No"))))))="Yes",INDEX('Materials Master'!$E$2:$E$27,MATCH($C56,'Materials Master'!$A$2:$A$27,0))="Yes",$B56&lt;&gt;"Trash"),1,0)</f>
        <v>0</v>
      </c>
      <c r="H56" s="0" t="str">
        <f aca="false">INDEX('Materials Master'!$E$2:$E$27,MATCH($C56,'Materials Master'!$A$2:$A$27,0))</f>
        <v>No</v>
      </c>
      <c r="I56" s="0" t="str">
        <f aca="false">IFERROR(INDEX(Areas!$C$2:$C$6,MATCH($A56,Areas!$B$2:$B$6,0)),"")</f>
        <v>Rest of Building</v>
      </c>
      <c r="J56" s="0" t="n">
        <f aca="false">IF(IF($B56="Trash",INDEX('Materials Master'!$F$2:$F$27,MATCH($C56,'Materials Master'!$A$2:$A$27,0)),IF($B56="GMPC Recycling",INDEX('Materials Master'!$G$2:$G$27,MATCH($C56,'Materials Master'!$A$2:$A$27,0)),IF($B56="Organics Recycling",INDEX('Materials Master'!$H$2:$H$27,MATCH($C56,'Materials Master'!$A$2:$A$27,0)),IF($B56="Cardboard Recycling",INDEX('Materials Master'!$I$2:$I$27,MATCH($C56,'Materials Master'!$A$2:$A$27,0)),IF($B56="Paper Recycling",INDEX('Materials Master'!$J$2:$J$27,MATCH($C56,'Materials Master'!$A$2:$A$27,0)),IF($B56="Terracycle",INDEX('Materials Master'!$K$2:$K$27,MATCH($C56,'Materials Master'!$A$2:$A$27,0)),"No"))))))="Yes",1,0)</f>
        <v>0</v>
      </c>
    </row>
    <row r="57" customFormat="false" ht="15" hidden="false" customHeight="false" outlineLevel="0" collapsed="false">
      <c r="A57" s="0" t="s">
        <v>92</v>
      </c>
      <c r="B57" s="0" t="s">
        <v>105</v>
      </c>
      <c r="C57" s="0" t="s">
        <v>37</v>
      </c>
      <c r="D57" s="0" t="str">
        <f aca="false">IFERROR(INDEX('Materials Master'!$B$2:$B$27,MATCH($C57,'Materials Master'!$A$2:$A$27,0)),"")</f>
        <v>Mixed Paper</v>
      </c>
      <c r="E57" s="0" t="str">
        <f aca="false">IFERROR(INDEX('Materials Master'!$C$2:$C$27,MATCH($C57,'Materials Master'!$A$2:$A$27,0)),"")</f>
        <v>Fibers</v>
      </c>
      <c r="F57" s="0" t="n">
        <f aca="false">IF(SUMIFS(Fact_SortedWeights!$E$2:$E$89,Fact_SortedWeights!$C$2:$C$89,$A57,Fact_SortedWeights!$B$2:$B$89,$B57)=0,0,SUMIFS(Fact_SortedWeights!$E$2:$E$89,Fact_SortedWeights!$C$2:$C$89,$A57,Fact_SortedWeights!$B$2:$B$89,$B57,Fact_SortedWeights!$D$2:$D$89,$C57)/SUMIFS(Fact_SortedWeights!$E$2:$E$89,Fact_SortedWeights!$C$2:$C$89,$A57,Fact_SortedWeights!$B$2:$B$89,$B57)*(IF($B57="Cardboard Recycling",SUMIFS(Fact_SortedWeights!$E$2:$E$89,Fact_SortedWeights!$C$2:$C$89,$A57,Fact_SortedWeights!$B$2:$B$89,$B57),SUMIFS(Fact_PreSortWeights!$E$2:$E$186,Fact_PreSortWeights!$C$2:$C$186,$A57,Fact_PreSortWeights!$B$2:$B$186,$B57))))</f>
        <v>0</v>
      </c>
      <c r="G57" s="0" t="n">
        <f aca="false">IF(AND(IF($B57="Trash",INDEX('Materials Master'!$F$2:$F$27,MATCH($C57,'Materials Master'!$A$2:$A$27,0)),IF($B57="GMPC Recycling",INDEX('Materials Master'!$G$2:$G$27,MATCH($C57,'Materials Master'!$A$2:$A$27,0)),IF($B57="Organics Recycling",INDEX('Materials Master'!$H$2:$H$27,MATCH($C57,'Materials Master'!$A$2:$A$27,0)),IF($B57="Cardboard Recycling",INDEX('Materials Master'!$I$2:$I$27,MATCH($C57,'Materials Master'!$A$2:$A$27,0)),IF($B57="Paper Recycling",INDEX('Materials Master'!$J$2:$J$27,MATCH($C57,'Materials Master'!$A$2:$A$27,0)),IF($B57="Terracycle",INDEX('Materials Master'!$K$2:$K$27,MATCH($C57,'Materials Master'!$A$2:$A$27,0)),"No"))))))="Yes",INDEX('Materials Master'!$E$2:$E$27,MATCH($C57,'Materials Master'!$A$2:$A$27,0))="Yes",$B57&lt;&gt;"Trash"),1,0)</f>
        <v>0</v>
      </c>
      <c r="H57" s="0" t="str">
        <f aca="false">INDEX('Materials Master'!$E$2:$E$27,MATCH($C57,'Materials Master'!$A$2:$A$27,0))</f>
        <v>Yes</v>
      </c>
      <c r="I57" s="0" t="str">
        <f aca="false">IFERROR(INDEX(Areas!$C$2:$C$6,MATCH($A57,Areas!$B$2:$B$6,0)),"")</f>
        <v>Rest of Building</v>
      </c>
      <c r="J57" s="0" t="n">
        <f aca="false">IF(IF($B57="Trash",INDEX('Materials Master'!$F$2:$F$27,MATCH($C57,'Materials Master'!$A$2:$A$27,0)),IF($B57="GMPC Recycling",INDEX('Materials Master'!$G$2:$G$27,MATCH($C57,'Materials Master'!$A$2:$A$27,0)),IF($B57="Organics Recycling",INDEX('Materials Master'!$H$2:$H$27,MATCH($C57,'Materials Master'!$A$2:$A$27,0)),IF($B57="Cardboard Recycling",INDEX('Materials Master'!$I$2:$I$27,MATCH($C57,'Materials Master'!$A$2:$A$27,0)),IF($B57="Paper Recycling",INDEX('Materials Master'!$J$2:$J$27,MATCH($C57,'Materials Master'!$A$2:$A$27,0)),IF($B57="Terracycle",INDEX('Materials Master'!$K$2:$K$27,MATCH($C57,'Materials Master'!$A$2:$A$27,0)),"No"))))))="Yes",1,0)</f>
        <v>0</v>
      </c>
    </row>
    <row r="58" customFormat="false" ht="15" hidden="false" customHeight="false" outlineLevel="0" collapsed="false">
      <c r="A58" s="0" t="s">
        <v>92</v>
      </c>
      <c r="B58" s="0" t="s">
        <v>105</v>
      </c>
      <c r="C58" s="0" t="s">
        <v>39</v>
      </c>
      <c r="D58" s="0" t="str">
        <f aca="false">IFERROR(INDEX('Materials Master'!$B$2:$B$27,MATCH($C58,'Materials Master'!$A$2:$A$27,0)),"")</f>
        <v>Soiled Paper</v>
      </c>
      <c r="E58" s="0" t="str">
        <f aca="false">IFERROR(INDEX('Materials Master'!$C$2:$C$27,MATCH($C58,'Materials Master'!$A$2:$A$27,0)),"")</f>
        <v>Fibers</v>
      </c>
      <c r="F58" s="0" t="n">
        <f aca="false">IF(SUMIFS(Fact_SortedWeights!$E$2:$E$89,Fact_SortedWeights!$C$2:$C$89,$A58,Fact_SortedWeights!$B$2:$B$89,$B58)=0,0,SUMIFS(Fact_SortedWeights!$E$2:$E$89,Fact_SortedWeights!$C$2:$C$89,$A58,Fact_SortedWeights!$B$2:$B$89,$B58,Fact_SortedWeights!$D$2:$D$89,$C58)/SUMIFS(Fact_SortedWeights!$E$2:$E$89,Fact_SortedWeights!$C$2:$C$89,$A58,Fact_SortedWeights!$B$2:$B$89,$B58)*(IF($B58="Cardboard Recycling",SUMIFS(Fact_SortedWeights!$E$2:$E$89,Fact_SortedWeights!$C$2:$C$89,$A58,Fact_SortedWeights!$B$2:$B$89,$B58),SUMIFS(Fact_PreSortWeights!$E$2:$E$186,Fact_PreSortWeights!$C$2:$C$186,$A58,Fact_PreSortWeights!$B$2:$B$186,$B58))))</f>
        <v>0</v>
      </c>
      <c r="G58" s="0" t="n">
        <f aca="false">IF(AND(IF($B58="Trash",INDEX('Materials Master'!$F$2:$F$27,MATCH($C58,'Materials Master'!$A$2:$A$27,0)),IF($B58="GMPC Recycling",INDEX('Materials Master'!$G$2:$G$27,MATCH($C58,'Materials Master'!$A$2:$A$27,0)),IF($B58="Organics Recycling",INDEX('Materials Master'!$H$2:$H$27,MATCH($C58,'Materials Master'!$A$2:$A$27,0)),IF($B58="Cardboard Recycling",INDEX('Materials Master'!$I$2:$I$27,MATCH($C58,'Materials Master'!$A$2:$A$27,0)),IF($B58="Paper Recycling",INDEX('Materials Master'!$J$2:$J$27,MATCH($C58,'Materials Master'!$A$2:$A$27,0)),IF($B58="Terracycle",INDEX('Materials Master'!$K$2:$K$27,MATCH($C58,'Materials Master'!$A$2:$A$27,0)),"No"))))))="Yes",INDEX('Materials Master'!$E$2:$E$27,MATCH($C58,'Materials Master'!$A$2:$A$27,0))="Yes",$B58&lt;&gt;"Trash"),1,0)</f>
        <v>0</v>
      </c>
      <c r="H58" s="0" t="str">
        <f aca="false">INDEX('Materials Master'!$E$2:$E$27,MATCH($C58,'Materials Master'!$A$2:$A$27,0))</f>
        <v>No</v>
      </c>
      <c r="I58" s="0" t="str">
        <f aca="false">IFERROR(INDEX(Areas!$C$2:$C$6,MATCH($A58,Areas!$B$2:$B$6,0)),"")</f>
        <v>Rest of Building</v>
      </c>
      <c r="J58" s="0" t="n">
        <f aca="false">IF(IF($B58="Trash",INDEX('Materials Master'!$F$2:$F$27,MATCH($C58,'Materials Master'!$A$2:$A$27,0)),IF($B58="GMPC Recycling",INDEX('Materials Master'!$G$2:$G$27,MATCH($C58,'Materials Master'!$A$2:$A$27,0)),IF($B58="Organics Recycling",INDEX('Materials Master'!$H$2:$H$27,MATCH($C58,'Materials Master'!$A$2:$A$27,0)),IF($B58="Cardboard Recycling",INDEX('Materials Master'!$I$2:$I$27,MATCH($C58,'Materials Master'!$A$2:$A$27,0)),IF($B58="Paper Recycling",INDEX('Materials Master'!$J$2:$J$27,MATCH($C58,'Materials Master'!$A$2:$A$27,0)),IF($B58="Terracycle",INDEX('Materials Master'!$K$2:$K$27,MATCH($C58,'Materials Master'!$A$2:$A$27,0)),"No"))))))="Yes",1,0)</f>
        <v>0</v>
      </c>
    </row>
    <row r="59" customFormat="false" ht="15" hidden="false" customHeight="false" outlineLevel="0" collapsed="false">
      <c r="A59" s="0" t="s">
        <v>92</v>
      </c>
      <c r="B59" s="0" t="s">
        <v>105</v>
      </c>
      <c r="C59" s="0" t="s">
        <v>41</v>
      </c>
      <c r="D59" s="0" t="str">
        <f aca="false">IFERROR(INDEX('Materials Master'!$B$2:$B$27,MATCH($C59,'Materials Master'!$A$2:$A$27,0)),"")</f>
        <v>Beverage Cartons</v>
      </c>
      <c r="E59" s="0" t="str">
        <f aca="false">IFERROR(INDEX('Materials Master'!$C$2:$C$27,MATCH($C59,'Materials Master'!$A$2:$A$27,0)),"")</f>
        <v>Fibers</v>
      </c>
      <c r="F59" s="0" t="n">
        <f aca="false">IF(SUMIFS(Fact_SortedWeights!$E$2:$E$89,Fact_SortedWeights!$C$2:$C$89,$A59,Fact_SortedWeights!$B$2:$B$89,$B59)=0,0,SUMIFS(Fact_SortedWeights!$E$2:$E$89,Fact_SortedWeights!$C$2:$C$89,$A59,Fact_SortedWeights!$B$2:$B$89,$B59,Fact_SortedWeights!$D$2:$D$89,$C59)/SUMIFS(Fact_SortedWeights!$E$2:$E$89,Fact_SortedWeights!$C$2:$C$89,$A59,Fact_SortedWeights!$B$2:$B$89,$B59)*(IF($B59="Cardboard Recycling",SUMIFS(Fact_SortedWeights!$E$2:$E$89,Fact_SortedWeights!$C$2:$C$89,$A59,Fact_SortedWeights!$B$2:$B$89,$B59),SUMIFS(Fact_PreSortWeights!$E$2:$E$186,Fact_PreSortWeights!$C$2:$C$186,$A59,Fact_PreSortWeights!$B$2:$B$186,$B59))))</f>
        <v>10.7616908665317</v>
      </c>
      <c r="G59" s="0" t="n">
        <f aca="false">IF(AND(IF($B59="Trash",INDEX('Materials Master'!$F$2:$F$27,MATCH($C59,'Materials Master'!$A$2:$A$27,0)),IF($B59="GMPC Recycling",INDEX('Materials Master'!$G$2:$G$27,MATCH($C59,'Materials Master'!$A$2:$A$27,0)),IF($B59="Organics Recycling",INDEX('Materials Master'!$H$2:$H$27,MATCH($C59,'Materials Master'!$A$2:$A$27,0)),IF($B59="Cardboard Recycling",INDEX('Materials Master'!$I$2:$I$27,MATCH($C59,'Materials Master'!$A$2:$A$27,0)),IF($B59="Paper Recycling",INDEX('Materials Master'!$J$2:$J$27,MATCH($C59,'Materials Master'!$A$2:$A$27,0)),IF($B59="Terracycle",INDEX('Materials Master'!$K$2:$K$27,MATCH($C59,'Materials Master'!$A$2:$A$27,0)),"No"))))))="Yes",INDEX('Materials Master'!$E$2:$E$27,MATCH($C59,'Materials Master'!$A$2:$A$27,0))="Yes",$B59&lt;&gt;"Trash"),1,0)</f>
        <v>0</v>
      </c>
      <c r="H59" s="0" t="str">
        <f aca="false">INDEX('Materials Master'!$E$2:$E$27,MATCH($C59,'Materials Master'!$A$2:$A$27,0))</f>
        <v>Yes</v>
      </c>
      <c r="I59" s="0" t="str">
        <f aca="false">IFERROR(INDEX(Areas!$C$2:$C$6,MATCH($A59,Areas!$B$2:$B$6,0)),"")</f>
        <v>Rest of Building</v>
      </c>
      <c r="J59" s="0" t="n">
        <f aca="false">IF(IF($B59="Trash",INDEX('Materials Master'!$F$2:$F$27,MATCH($C59,'Materials Master'!$A$2:$A$27,0)),IF($B59="GMPC Recycling",INDEX('Materials Master'!$G$2:$G$27,MATCH($C59,'Materials Master'!$A$2:$A$27,0)),IF($B59="Organics Recycling",INDEX('Materials Master'!$H$2:$H$27,MATCH($C59,'Materials Master'!$A$2:$A$27,0)),IF($B59="Cardboard Recycling",INDEX('Materials Master'!$I$2:$I$27,MATCH($C59,'Materials Master'!$A$2:$A$27,0)),IF($B59="Paper Recycling",INDEX('Materials Master'!$J$2:$J$27,MATCH($C59,'Materials Master'!$A$2:$A$27,0)),IF($B59="Terracycle",INDEX('Materials Master'!$K$2:$K$27,MATCH($C59,'Materials Master'!$A$2:$A$27,0)),"No"))))))="Yes",1,0)</f>
        <v>0</v>
      </c>
    </row>
    <row r="60" customFormat="false" ht="15" hidden="false" customHeight="false" outlineLevel="0" collapsed="false">
      <c r="A60" s="0" t="s">
        <v>92</v>
      </c>
      <c r="B60" s="0" t="s">
        <v>105</v>
      </c>
      <c r="C60" s="0" t="s">
        <v>43</v>
      </c>
      <c r="D60" s="0" t="str">
        <f aca="false">IFERROR(INDEX('Materials Master'!$B$2:$B$27,MATCH($C60,'Materials Master'!$A$2:$A$27,0)),"")</f>
        <v>Soiled Beverage Cartons</v>
      </c>
      <c r="E60" s="0" t="str">
        <f aca="false">IFERROR(INDEX('Materials Master'!$C$2:$C$27,MATCH($C60,'Materials Master'!$A$2:$A$27,0)),"")</f>
        <v>Fibers</v>
      </c>
      <c r="F60" s="0" t="n">
        <f aca="false">IF(SUMIFS(Fact_SortedWeights!$E$2:$E$89,Fact_SortedWeights!$C$2:$C$89,$A60,Fact_SortedWeights!$B$2:$B$89,$B60)=0,0,SUMIFS(Fact_SortedWeights!$E$2:$E$89,Fact_SortedWeights!$C$2:$C$89,$A60,Fact_SortedWeights!$B$2:$B$89,$B60,Fact_SortedWeights!$D$2:$D$89,$C60)/SUMIFS(Fact_SortedWeights!$E$2:$E$89,Fact_SortedWeights!$C$2:$C$89,$A60,Fact_SortedWeights!$B$2:$B$89,$B60)*(IF($B60="Cardboard Recycling",SUMIFS(Fact_SortedWeights!$E$2:$E$89,Fact_SortedWeights!$C$2:$C$89,$A60,Fact_SortedWeights!$B$2:$B$89,$B60),SUMIFS(Fact_PreSortWeights!$E$2:$E$186,Fact_PreSortWeights!$C$2:$C$186,$A60,Fact_PreSortWeights!$B$2:$B$186,$B60))))</f>
        <v>0</v>
      </c>
      <c r="G60" s="0" t="n">
        <f aca="false">IF(AND(IF($B60="Trash",INDEX('Materials Master'!$F$2:$F$27,MATCH($C60,'Materials Master'!$A$2:$A$27,0)),IF($B60="GMPC Recycling",INDEX('Materials Master'!$G$2:$G$27,MATCH($C60,'Materials Master'!$A$2:$A$27,0)),IF($B60="Organics Recycling",INDEX('Materials Master'!$H$2:$H$27,MATCH($C60,'Materials Master'!$A$2:$A$27,0)),IF($B60="Cardboard Recycling",INDEX('Materials Master'!$I$2:$I$27,MATCH($C60,'Materials Master'!$A$2:$A$27,0)),IF($B60="Paper Recycling",INDEX('Materials Master'!$J$2:$J$27,MATCH($C60,'Materials Master'!$A$2:$A$27,0)),IF($B60="Terracycle",INDEX('Materials Master'!$K$2:$K$27,MATCH($C60,'Materials Master'!$A$2:$A$27,0)),"No"))))))="Yes",INDEX('Materials Master'!$E$2:$E$27,MATCH($C60,'Materials Master'!$A$2:$A$27,0))="Yes",$B60&lt;&gt;"Trash"),1,0)</f>
        <v>0</v>
      </c>
      <c r="H60" s="0" t="str">
        <f aca="false">INDEX('Materials Master'!$E$2:$E$27,MATCH($C60,'Materials Master'!$A$2:$A$27,0))</f>
        <v>No</v>
      </c>
      <c r="I60" s="0" t="str">
        <f aca="false">IFERROR(INDEX(Areas!$C$2:$C$6,MATCH($A60,Areas!$B$2:$B$6,0)),"")</f>
        <v>Rest of Building</v>
      </c>
      <c r="J60" s="0" t="n">
        <f aca="false">IF(IF($B60="Trash",INDEX('Materials Master'!$F$2:$F$27,MATCH($C60,'Materials Master'!$A$2:$A$27,0)),IF($B60="GMPC Recycling",INDEX('Materials Master'!$G$2:$G$27,MATCH($C60,'Materials Master'!$A$2:$A$27,0)),IF($B60="Organics Recycling",INDEX('Materials Master'!$H$2:$H$27,MATCH($C60,'Materials Master'!$A$2:$A$27,0)),IF($B60="Cardboard Recycling",INDEX('Materials Master'!$I$2:$I$27,MATCH($C60,'Materials Master'!$A$2:$A$27,0)),IF($B60="Paper Recycling",INDEX('Materials Master'!$J$2:$J$27,MATCH($C60,'Materials Master'!$A$2:$A$27,0)),IF($B60="Terracycle",INDEX('Materials Master'!$K$2:$K$27,MATCH($C60,'Materials Master'!$A$2:$A$27,0)),"No"))))))="Yes",1,0)</f>
        <v>0</v>
      </c>
    </row>
    <row r="61" customFormat="false" ht="15" hidden="false" customHeight="false" outlineLevel="0" collapsed="false">
      <c r="A61" s="0" t="s">
        <v>92</v>
      </c>
      <c r="B61" s="0" t="s">
        <v>105</v>
      </c>
      <c r="C61" s="0" t="s">
        <v>45</v>
      </c>
      <c r="D61" s="0" t="str">
        <f aca="false">IFERROR(INDEX('Materials Master'!$B$2:$B$27,MATCH($C61,'Materials Master'!$A$2:$A$27,0)),"")</f>
        <v>Paper Cups / Other Coated Paper Containers</v>
      </c>
      <c r="E61" s="0" t="str">
        <f aca="false">IFERROR(INDEX('Materials Master'!$C$2:$C$27,MATCH($C61,'Materials Master'!$A$2:$A$27,0)),"")</f>
        <v>Fibers</v>
      </c>
      <c r="F61" s="0" t="n">
        <f aca="false">IF(SUMIFS(Fact_SortedWeights!$E$2:$E$89,Fact_SortedWeights!$C$2:$C$89,$A61,Fact_SortedWeights!$B$2:$B$89,$B61)=0,0,SUMIFS(Fact_SortedWeights!$E$2:$E$89,Fact_SortedWeights!$C$2:$C$89,$A61,Fact_SortedWeights!$B$2:$B$89,$B61,Fact_SortedWeights!$D$2:$D$89,$C61)/SUMIFS(Fact_SortedWeights!$E$2:$E$89,Fact_SortedWeights!$C$2:$C$89,$A61,Fact_SortedWeights!$B$2:$B$89,$B61)*(IF($B61="Cardboard Recycling",SUMIFS(Fact_SortedWeights!$E$2:$E$89,Fact_SortedWeights!$C$2:$C$89,$A61,Fact_SortedWeights!$B$2:$B$89,$B61),SUMIFS(Fact_PreSortWeights!$E$2:$E$186,Fact_PreSortWeights!$C$2:$C$186,$A61,Fact_PreSortWeights!$B$2:$B$186,$B61))))</f>
        <v>0</v>
      </c>
      <c r="G61" s="0" t="n">
        <f aca="false">IF(AND(IF($B61="Trash",INDEX('Materials Master'!$F$2:$F$27,MATCH($C61,'Materials Master'!$A$2:$A$27,0)),IF($B61="GMPC Recycling",INDEX('Materials Master'!$G$2:$G$27,MATCH($C61,'Materials Master'!$A$2:$A$27,0)),IF($B61="Organics Recycling",INDEX('Materials Master'!$H$2:$H$27,MATCH($C61,'Materials Master'!$A$2:$A$27,0)),IF($B61="Cardboard Recycling",INDEX('Materials Master'!$I$2:$I$27,MATCH($C61,'Materials Master'!$A$2:$A$27,0)),IF($B61="Paper Recycling",INDEX('Materials Master'!$J$2:$J$27,MATCH($C61,'Materials Master'!$A$2:$A$27,0)),IF($B61="Terracycle",INDEX('Materials Master'!$K$2:$K$27,MATCH($C61,'Materials Master'!$A$2:$A$27,0)),"No"))))))="Yes",INDEX('Materials Master'!$E$2:$E$27,MATCH($C61,'Materials Master'!$A$2:$A$27,0))="Yes",$B61&lt;&gt;"Trash"),1,0)</f>
        <v>0</v>
      </c>
      <c r="H61" s="0" t="str">
        <f aca="false">INDEX('Materials Master'!$E$2:$E$27,MATCH($C61,'Materials Master'!$A$2:$A$27,0))</f>
        <v>No</v>
      </c>
      <c r="I61" s="0" t="str">
        <f aca="false">IFERROR(INDEX(Areas!$C$2:$C$6,MATCH($A61,Areas!$B$2:$B$6,0)),"")</f>
        <v>Rest of Building</v>
      </c>
      <c r="J61" s="0" t="n">
        <f aca="false">IF(IF($B61="Trash",INDEX('Materials Master'!$F$2:$F$27,MATCH($C61,'Materials Master'!$A$2:$A$27,0)),IF($B61="GMPC Recycling",INDEX('Materials Master'!$G$2:$G$27,MATCH($C61,'Materials Master'!$A$2:$A$27,0)),IF($B61="Organics Recycling",INDEX('Materials Master'!$H$2:$H$27,MATCH($C61,'Materials Master'!$A$2:$A$27,0)),IF($B61="Cardboard Recycling",INDEX('Materials Master'!$I$2:$I$27,MATCH($C61,'Materials Master'!$A$2:$A$27,0)),IF($B61="Paper Recycling",INDEX('Materials Master'!$J$2:$J$27,MATCH($C61,'Materials Master'!$A$2:$A$27,0)),IF($B61="Terracycle",INDEX('Materials Master'!$K$2:$K$27,MATCH($C61,'Materials Master'!$A$2:$A$27,0)),"No"))))))="Yes",1,0)</f>
        <v>0</v>
      </c>
    </row>
    <row r="62" customFormat="false" ht="15" hidden="false" customHeight="false" outlineLevel="0" collapsed="false">
      <c r="A62" s="0" t="s">
        <v>92</v>
      </c>
      <c r="B62" s="0" t="s">
        <v>105</v>
      </c>
      <c r="C62" s="0" t="s">
        <v>47</v>
      </c>
      <c r="D62" s="0" t="str">
        <f aca="false">IFERROR(INDEX('Materials Master'!$B$2:$B$27,MATCH($C62,'Materials Master'!$A$2:$A$27,0)),"")</f>
        <v>Glass Bottles &amp; Jars</v>
      </c>
      <c r="E62" s="0" t="str">
        <f aca="false">IFERROR(INDEX('Materials Master'!$C$2:$C$27,MATCH($C62,'Materials Master'!$A$2:$A$27,0)),"")</f>
        <v>Glass</v>
      </c>
      <c r="F62" s="0" t="n">
        <f aca="false">IF(SUMIFS(Fact_SortedWeights!$E$2:$E$89,Fact_SortedWeights!$C$2:$C$89,$A62,Fact_SortedWeights!$B$2:$B$89,$B62)=0,0,SUMIFS(Fact_SortedWeights!$E$2:$E$89,Fact_SortedWeights!$C$2:$C$89,$A62,Fact_SortedWeights!$B$2:$B$89,$B62,Fact_SortedWeights!$D$2:$D$89,$C62)/SUMIFS(Fact_SortedWeights!$E$2:$E$89,Fact_SortedWeights!$C$2:$C$89,$A62,Fact_SortedWeights!$B$2:$B$89,$B62)*(IF($B62="Cardboard Recycling",SUMIFS(Fact_SortedWeights!$E$2:$E$89,Fact_SortedWeights!$C$2:$C$89,$A62,Fact_SortedWeights!$B$2:$B$89,$B62),SUMIFS(Fact_PreSortWeights!$E$2:$E$186,Fact_PreSortWeights!$C$2:$C$186,$A62,Fact_PreSortWeights!$B$2:$B$186,$B62))))</f>
        <v>0</v>
      </c>
      <c r="G62" s="0" t="n">
        <f aca="false">IF(AND(IF($B62="Trash",INDEX('Materials Master'!$F$2:$F$27,MATCH($C62,'Materials Master'!$A$2:$A$27,0)),IF($B62="GMPC Recycling",INDEX('Materials Master'!$G$2:$G$27,MATCH($C62,'Materials Master'!$A$2:$A$27,0)),IF($B62="Organics Recycling",INDEX('Materials Master'!$H$2:$H$27,MATCH($C62,'Materials Master'!$A$2:$A$27,0)),IF($B62="Cardboard Recycling",INDEX('Materials Master'!$I$2:$I$27,MATCH($C62,'Materials Master'!$A$2:$A$27,0)),IF($B62="Paper Recycling",INDEX('Materials Master'!$J$2:$J$27,MATCH($C62,'Materials Master'!$A$2:$A$27,0)),IF($B62="Terracycle",INDEX('Materials Master'!$K$2:$K$27,MATCH($C62,'Materials Master'!$A$2:$A$27,0)),"No"))))))="Yes",INDEX('Materials Master'!$E$2:$E$27,MATCH($C62,'Materials Master'!$A$2:$A$27,0))="Yes",$B62&lt;&gt;"Trash"),1,0)</f>
        <v>0</v>
      </c>
      <c r="H62" s="0" t="str">
        <f aca="false">INDEX('Materials Master'!$E$2:$E$27,MATCH($C62,'Materials Master'!$A$2:$A$27,0))</f>
        <v>Yes</v>
      </c>
      <c r="I62" s="0" t="str">
        <f aca="false">IFERROR(INDEX(Areas!$C$2:$C$6,MATCH($A62,Areas!$B$2:$B$6,0)),"")</f>
        <v>Rest of Building</v>
      </c>
      <c r="J62" s="0" t="n">
        <f aca="false">IF(IF($B62="Trash",INDEX('Materials Master'!$F$2:$F$27,MATCH($C62,'Materials Master'!$A$2:$A$27,0)),IF($B62="GMPC Recycling",INDEX('Materials Master'!$G$2:$G$27,MATCH($C62,'Materials Master'!$A$2:$A$27,0)),IF($B62="Organics Recycling",INDEX('Materials Master'!$H$2:$H$27,MATCH($C62,'Materials Master'!$A$2:$A$27,0)),IF($B62="Cardboard Recycling",INDEX('Materials Master'!$I$2:$I$27,MATCH($C62,'Materials Master'!$A$2:$A$27,0)),IF($B62="Paper Recycling",INDEX('Materials Master'!$J$2:$J$27,MATCH($C62,'Materials Master'!$A$2:$A$27,0)),IF($B62="Terracycle",INDEX('Materials Master'!$K$2:$K$27,MATCH($C62,'Materials Master'!$A$2:$A$27,0)),"No"))))))="Yes",1,0)</f>
        <v>0</v>
      </c>
    </row>
    <row r="63" customFormat="false" ht="15" hidden="false" customHeight="false" outlineLevel="0" collapsed="false">
      <c r="A63" s="0" t="s">
        <v>92</v>
      </c>
      <c r="B63" s="0" t="s">
        <v>105</v>
      </c>
      <c r="C63" s="0" t="s">
        <v>50</v>
      </c>
      <c r="D63" s="0" t="str">
        <f aca="false">IFERROR(INDEX('Materials Master'!$B$2:$B$27,MATCH($C63,'Materials Master'!$A$2:$A$27,0)),"")</f>
        <v>Soiled Glass</v>
      </c>
      <c r="E63" s="0" t="str">
        <f aca="false">IFERROR(INDEX('Materials Master'!$C$2:$C$27,MATCH($C63,'Materials Master'!$A$2:$A$27,0)),"")</f>
        <v>Glass</v>
      </c>
      <c r="F63" s="0" t="n">
        <f aca="false">IF(SUMIFS(Fact_SortedWeights!$E$2:$E$89,Fact_SortedWeights!$C$2:$C$89,$A63,Fact_SortedWeights!$B$2:$B$89,$B63)=0,0,SUMIFS(Fact_SortedWeights!$E$2:$E$89,Fact_SortedWeights!$C$2:$C$89,$A63,Fact_SortedWeights!$B$2:$B$89,$B63,Fact_SortedWeights!$D$2:$D$89,$C63)/SUMIFS(Fact_SortedWeights!$E$2:$E$89,Fact_SortedWeights!$C$2:$C$89,$A63,Fact_SortedWeights!$B$2:$B$89,$B63)*(IF($B63="Cardboard Recycling",SUMIFS(Fact_SortedWeights!$E$2:$E$89,Fact_SortedWeights!$C$2:$C$89,$A63,Fact_SortedWeights!$B$2:$B$89,$B63),SUMIFS(Fact_PreSortWeights!$E$2:$E$186,Fact_PreSortWeights!$C$2:$C$186,$A63,Fact_PreSortWeights!$B$2:$B$186,$B63))))</f>
        <v>0</v>
      </c>
      <c r="G63" s="0" t="n">
        <f aca="false">IF(AND(IF($B63="Trash",INDEX('Materials Master'!$F$2:$F$27,MATCH($C63,'Materials Master'!$A$2:$A$27,0)),IF($B63="GMPC Recycling",INDEX('Materials Master'!$G$2:$G$27,MATCH($C63,'Materials Master'!$A$2:$A$27,0)),IF($B63="Organics Recycling",INDEX('Materials Master'!$H$2:$H$27,MATCH($C63,'Materials Master'!$A$2:$A$27,0)),IF($B63="Cardboard Recycling",INDEX('Materials Master'!$I$2:$I$27,MATCH($C63,'Materials Master'!$A$2:$A$27,0)),IF($B63="Paper Recycling",INDEX('Materials Master'!$J$2:$J$27,MATCH($C63,'Materials Master'!$A$2:$A$27,0)),IF($B63="Terracycle",INDEX('Materials Master'!$K$2:$K$27,MATCH($C63,'Materials Master'!$A$2:$A$27,0)),"No"))))))="Yes",INDEX('Materials Master'!$E$2:$E$27,MATCH($C63,'Materials Master'!$A$2:$A$27,0))="Yes",$B63&lt;&gt;"Trash"),1,0)</f>
        <v>0</v>
      </c>
      <c r="H63" s="0" t="str">
        <f aca="false">INDEX('Materials Master'!$E$2:$E$27,MATCH($C63,'Materials Master'!$A$2:$A$27,0))</f>
        <v>No</v>
      </c>
      <c r="I63" s="0" t="str">
        <f aca="false">IFERROR(INDEX(Areas!$C$2:$C$6,MATCH($A63,Areas!$B$2:$B$6,0)),"")</f>
        <v>Rest of Building</v>
      </c>
      <c r="J63" s="0" t="n">
        <f aca="false">IF(IF($B63="Trash",INDEX('Materials Master'!$F$2:$F$27,MATCH($C63,'Materials Master'!$A$2:$A$27,0)),IF($B63="GMPC Recycling",INDEX('Materials Master'!$G$2:$G$27,MATCH($C63,'Materials Master'!$A$2:$A$27,0)),IF($B63="Organics Recycling",INDEX('Materials Master'!$H$2:$H$27,MATCH($C63,'Materials Master'!$A$2:$A$27,0)),IF($B63="Cardboard Recycling",INDEX('Materials Master'!$I$2:$I$27,MATCH($C63,'Materials Master'!$A$2:$A$27,0)),IF($B63="Paper Recycling",INDEX('Materials Master'!$J$2:$J$27,MATCH($C63,'Materials Master'!$A$2:$A$27,0)),IF($B63="Terracycle",INDEX('Materials Master'!$K$2:$K$27,MATCH($C63,'Materials Master'!$A$2:$A$27,0)),"No"))))))="Yes",1,0)</f>
        <v>0</v>
      </c>
    </row>
    <row r="64" customFormat="false" ht="15" hidden="false" customHeight="false" outlineLevel="0" collapsed="false">
      <c r="A64" s="0" t="s">
        <v>92</v>
      </c>
      <c r="B64" s="0" t="s">
        <v>105</v>
      </c>
      <c r="C64" s="0" t="s">
        <v>52</v>
      </c>
      <c r="D64" s="0" t="str">
        <f aca="false">IFERROR(INDEX('Materials Master'!$B$2:$B$27,MATCH($C64,'Materials Master'!$A$2:$A$27,0)),"")</f>
        <v>Aluminum &amp; Bi-Metal Containers</v>
      </c>
      <c r="E64" s="0" t="str">
        <f aca="false">IFERROR(INDEX('Materials Master'!$C$2:$C$27,MATCH($C64,'Materials Master'!$A$2:$A$27,0)),"")</f>
        <v>Metals</v>
      </c>
      <c r="F64" s="0" t="n">
        <f aca="false">IF(SUMIFS(Fact_SortedWeights!$E$2:$E$89,Fact_SortedWeights!$C$2:$C$89,$A64,Fact_SortedWeights!$B$2:$B$89,$B64)=0,0,SUMIFS(Fact_SortedWeights!$E$2:$E$89,Fact_SortedWeights!$C$2:$C$89,$A64,Fact_SortedWeights!$B$2:$B$89,$B64,Fact_SortedWeights!$D$2:$D$89,$C64)/SUMIFS(Fact_SortedWeights!$E$2:$E$89,Fact_SortedWeights!$C$2:$C$89,$A64,Fact_SortedWeights!$B$2:$B$89,$B64)*(IF($B64="Cardboard Recycling",SUMIFS(Fact_SortedWeights!$E$2:$E$89,Fact_SortedWeights!$C$2:$C$89,$A64,Fact_SortedWeights!$B$2:$B$89,$B64),SUMIFS(Fact_PreSortWeights!$E$2:$E$186,Fact_PreSortWeights!$C$2:$C$186,$A64,Fact_PreSortWeights!$B$2:$B$186,$B64))))</f>
        <v>1.58588122371179</v>
      </c>
      <c r="G64" s="0" t="n">
        <f aca="false">IF(AND(IF($B64="Trash",INDEX('Materials Master'!$F$2:$F$27,MATCH($C64,'Materials Master'!$A$2:$A$27,0)),IF($B64="GMPC Recycling",INDEX('Materials Master'!$G$2:$G$27,MATCH($C64,'Materials Master'!$A$2:$A$27,0)),IF($B64="Organics Recycling",INDEX('Materials Master'!$H$2:$H$27,MATCH($C64,'Materials Master'!$A$2:$A$27,0)),IF($B64="Cardboard Recycling",INDEX('Materials Master'!$I$2:$I$27,MATCH($C64,'Materials Master'!$A$2:$A$27,0)),IF($B64="Paper Recycling",INDEX('Materials Master'!$J$2:$J$27,MATCH($C64,'Materials Master'!$A$2:$A$27,0)),IF($B64="Terracycle",INDEX('Materials Master'!$K$2:$K$27,MATCH($C64,'Materials Master'!$A$2:$A$27,0)),"No"))))))="Yes",INDEX('Materials Master'!$E$2:$E$27,MATCH($C64,'Materials Master'!$A$2:$A$27,0))="Yes",$B64&lt;&gt;"Trash"),1,0)</f>
        <v>0</v>
      </c>
      <c r="H64" s="0" t="str">
        <f aca="false">INDEX('Materials Master'!$E$2:$E$27,MATCH($C64,'Materials Master'!$A$2:$A$27,0))</f>
        <v>Yes</v>
      </c>
      <c r="I64" s="0" t="str">
        <f aca="false">IFERROR(INDEX(Areas!$C$2:$C$6,MATCH($A64,Areas!$B$2:$B$6,0)),"")</f>
        <v>Rest of Building</v>
      </c>
      <c r="J64" s="0" t="n">
        <f aca="false">IF(IF($B64="Trash",INDEX('Materials Master'!$F$2:$F$27,MATCH($C64,'Materials Master'!$A$2:$A$27,0)),IF($B64="GMPC Recycling",INDEX('Materials Master'!$G$2:$G$27,MATCH($C64,'Materials Master'!$A$2:$A$27,0)),IF($B64="Organics Recycling",INDEX('Materials Master'!$H$2:$H$27,MATCH($C64,'Materials Master'!$A$2:$A$27,0)),IF($B64="Cardboard Recycling",INDEX('Materials Master'!$I$2:$I$27,MATCH($C64,'Materials Master'!$A$2:$A$27,0)),IF($B64="Paper Recycling",INDEX('Materials Master'!$J$2:$J$27,MATCH($C64,'Materials Master'!$A$2:$A$27,0)),IF($B64="Terracycle",INDEX('Materials Master'!$K$2:$K$27,MATCH($C64,'Materials Master'!$A$2:$A$27,0)),"No"))))))="Yes",1,0)</f>
        <v>0</v>
      </c>
    </row>
    <row r="65" customFormat="false" ht="15" hidden="false" customHeight="false" outlineLevel="0" collapsed="false">
      <c r="A65" s="0" t="s">
        <v>92</v>
      </c>
      <c r="B65" s="0" t="s">
        <v>105</v>
      </c>
      <c r="C65" s="0" t="s">
        <v>55</v>
      </c>
      <c r="D65" s="0" t="str">
        <f aca="false">IFERROR(INDEX('Materials Master'!$B$2:$B$27,MATCH($C65,'Materials Master'!$A$2:$A$27,0)),"")</f>
        <v>Soiled Metals</v>
      </c>
      <c r="E65" s="0" t="str">
        <f aca="false">IFERROR(INDEX('Materials Master'!$C$2:$C$27,MATCH($C65,'Materials Master'!$A$2:$A$27,0)),"")</f>
        <v>Metals</v>
      </c>
      <c r="F65" s="0" t="n">
        <f aca="false">IF(SUMIFS(Fact_SortedWeights!$E$2:$E$89,Fact_SortedWeights!$C$2:$C$89,$A65,Fact_SortedWeights!$B$2:$B$89,$B65)=0,0,SUMIFS(Fact_SortedWeights!$E$2:$E$89,Fact_SortedWeights!$C$2:$C$89,$A65,Fact_SortedWeights!$B$2:$B$89,$B65,Fact_SortedWeights!$D$2:$D$89,$C65)/SUMIFS(Fact_SortedWeights!$E$2:$E$89,Fact_SortedWeights!$C$2:$C$89,$A65,Fact_SortedWeights!$B$2:$B$89,$B65)*(IF($B65="Cardboard Recycling",SUMIFS(Fact_SortedWeights!$E$2:$E$89,Fact_SortedWeights!$C$2:$C$89,$A65,Fact_SortedWeights!$B$2:$B$89,$B65),SUMIFS(Fact_PreSortWeights!$E$2:$E$186,Fact_PreSortWeights!$C$2:$C$186,$A65,Fact_PreSortWeights!$B$2:$B$186,$B65))))</f>
        <v>0</v>
      </c>
      <c r="G65" s="0" t="n">
        <f aca="false">IF(AND(IF($B65="Trash",INDEX('Materials Master'!$F$2:$F$27,MATCH($C65,'Materials Master'!$A$2:$A$27,0)),IF($B65="GMPC Recycling",INDEX('Materials Master'!$G$2:$G$27,MATCH($C65,'Materials Master'!$A$2:$A$27,0)),IF($B65="Organics Recycling",INDEX('Materials Master'!$H$2:$H$27,MATCH($C65,'Materials Master'!$A$2:$A$27,0)),IF($B65="Cardboard Recycling",INDEX('Materials Master'!$I$2:$I$27,MATCH($C65,'Materials Master'!$A$2:$A$27,0)),IF($B65="Paper Recycling",INDEX('Materials Master'!$J$2:$J$27,MATCH($C65,'Materials Master'!$A$2:$A$27,0)),IF($B65="Terracycle",INDEX('Materials Master'!$K$2:$K$27,MATCH($C65,'Materials Master'!$A$2:$A$27,0)),"No"))))))="Yes",INDEX('Materials Master'!$E$2:$E$27,MATCH($C65,'Materials Master'!$A$2:$A$27,0))="Yes",$B65&lt;&gt;"Trash"),1,0)</f>
        <v>0</v>
      </c>
      <c r="H65" s="0" t="str">
        <f aca="false">INDEX('Materials Master'!$E$2:$E$27,MATCH($C65,'Materials Master'!$A$2:$A$27,0))</f>
        <v>No</v>
      </c>
      <c r="I65" s="0" t="str">
        <f aca="false">IFERROR(INDEX(Areas!$C$2:$C$6,MATCH($A65,Areas!$B$2:$B$6,0)),"")</f>
        <v>Rest of Building</v>
      </c>
      <c r="J65" s="0" t="n">
        <f aca="false">IF(IF($B65="Trash",INDEX('Materials Master'!$F$2:$F$27,MATCH($C65,'Materials Master'!$A$2:$A$27,0)),IF($B65="GMPC Recycling",INDEX('Materials Master'!$G$2:$G$27,MATCH($C65,'Materials Master'!$A$2:$A$27,0)),IF($B65="Organics Recycling",INDEX('Materials Master'!$H$2:$H$27,MATCH($C65,'Materials Master'!$A$2:$A$27,0)),IF($B65="Cardboard Recycling",INDEX('Materials Master'!$I$2:$I$27,MATCH($C65,'Materials Master'!$A$2:$A$27,0)),IF($B65="Paper Recycling",INDEX('Materials Master'!$J$2:$J$27,MATCH($C65,'Materials Master'!$A$2:$A$27,0)),IF($B65="Terracycle",INDEX('Materials Master'!$K$2:$K$27,MATCH($C65,'Materials Master'!$A$2:$A$27,0)),"No"))))))="Yes",1,0)</f>
        <v>0</v>
      </c>
    </row>
    <row r="66" customFormat="false" ht="15" hidden="false" customHeight="false" outlineLevel="0" collapsed="false">
      <c r="A66" s="0" t="s">
        <v>92</v>
      </c>
      <c r="B66" s="0" t="s">
        <v>105</v>
      </c>
      <c r="C66" s="0" t="s">
        <v>57</v>
      </c>
      <c r="D66" s="0" t="str">
        <f aca="false">IFERROR(INDEX('Materials Master'!$B$2:$B$27,MATCH($C66,'Materials Master'!$A$2:$A$27,0)),"")</f>
        <v>Rigid Plastics (1-6)</v>
      </c>
      <c r="E66" s="0" t="str">
        <f aca="false">IFERROR(INDEX('Materials Master'!$C$2:$C$27,MATCH($C66,'Materials Master'!$A$2:$A$27,0)),"")</f>
        <v>Plastics</v>
      </c>
      <c r="F66" s="0" t="n">
        <f aca="false">IF(SUMIFS(Fact_SortedWeights!$E$2:$E$89,Fact_SortedWeights!$C$2:$C$89,$A66,Fact_SortedWeights!$B$2:$B$89,$B66)=0,0,SUMIFS(Fact_SortedWeights!$E$2:$E$89,Fact_SortedWeights!$C$2:$C$89,$A66,Fact_SortedWeights!$B$2:$B$89,$B66,Fact_SortedWeights!$D$2:$D$89,$C66)/SUMIFS(Fact_SortedWeights!$E$2:$E$89,Fact_SortedWeights!$C$2:$C$89,$A66,Fact_SortedWeights!$B$2:$B$89,$B66)*(IF($B66="Cardboard Recycling",SUMIFS(Fact_SortedWeights!$E$2:$E$89,Fact_SortedWeights!$C$2:$C$89,$A66,Fact_SortedWeights!$B$2:$B$89,$B66),SUMIFS(Fact_PreSortWeights!$E$2:$E$186,Fact_PreSortWeights!$C$2:$C$186,$A66,Fact_PreSortWeights!$B$2:$B$186,$B66))))</f>
        <v>43.6117336520743</v>
      </c>
      <c r="G66" s="0" t="n">
        <f aca="false">IF(AND(IF($B66="Trash",INDEX('Materials Master'!$F$2:$F$27,MATCH($C66,'Materials Master'!$A$2:$A$27,0)),IF($B66="GMPC Recycling",INDEX('Materials Master'!$G$2:$G$27,MATCH($C66,'Materials Master'!$A$2:$A$27,0)),IF($B66="Organics Recycling",INDEX('Materials Master'!$H$2:$H$27,MATCH($C66,'Materials Master'!$A$2:$A$27,0)),IF($B66="Cardboard Recycling",INDEX('Materials Master'!$I$2:$I$27,MATCH($C66,'Materials Master'!$A$2:$A$27,0)),IF($B66="Paper Recycling",INDEX('Materials Master'!$J$2:$J$27,MATCH($C66,'Materials Master'!$A$2:$A$27,0)),IF($B66="Terracycle",INDEX('Materials Master'!$K$2:$K$27,MATCH($C66,'Materials Master'!$A$2:$A$27,0)),"No"))))))="Yes",INDEX('Materials Master'!$E$2:$E$27,MATCH($C66,'Materials Master'!$A$2:$A$27,0))="Yes",$B66&lt;&gt;"Trash"),1,0)</f>
        <v>0</v>
      </c>
      <c r="H66" s="0" t="str">
        <f aca="false">INDEX('Materials Master'!$E$2:$E$27,MATCH($C66,'Materials Master'!$A$2:$A$27,0))</f>
        <v>Yes</v>
      </c>
      <c r="I66" s="0" t="str">
        <f aca="false">IFERROR(INDEX(Areas!$C$2:$C$6,MATCH($A66,Areas!$B$2:$B$6,0)),"")</f>
        <v>Rest of Building</v>
      </c>
      <c r="J66" s="0" t="n">
        <f aca="false">IF(IF($B66="Trash",INDEX('Materials Master'!$F$2:$F$27,MATCH($C66,'Materials Master'!$A$2:$A$27,0)),IF($B66="GMPC Recycling",INDEX('Materials Master'!$G$2:$G$27,MATCH($C66,'Materials Master'!$A$2:$A$27,0)),IF($B66="Organics Recycling",INDEX('Materials Master'!$H$2:$H$27,MATCH($C66,'Materials Master'!$A$2:$A$27,0)),IF($B66="Cardboard Recycling",INDEX('Materials Master'!$I$2:$I$27,MATCH($C66,'Materials Master'!$A$2:$A$27,0)),IF($B66="Paper Recycling",INDEX('Materials Master'!$J$2:$J$27,MATCH($C66,'Materials Master'!$A$2:$A$27,0)),IF($B66="Terracycle",INDEX('Materials Master'!$K$2:$K$27,MATCH($C66,'Materials Master'!$A$2:$A$27,0)),"No"))))))="Yes",1,0)</f>
        <v>0</v>
      </c>
    </row>
    <row r="67" customFormat="false" ht="15" hidden="false" customHeight="false" outlineLevel="0" collapsed="false">
      <c r="A67" s="0" t="s">
        <v>92</v>
      </c>
      <c r="B67" s="0" t="s">
        <v>105</v>
      </c>
      <c r="C67" s="0" t="s">
        <v>60</v>
      </c>
      <c r="D67" s="0" t="str">
        <f aca="false">IFERROR(INDEX('Materials Master'!$B$2:$B$27,MATCH($C67,'Materials Master'!$A$2:$A$27,0)),"")</f>
        <v>Soiled Rigid Plastics</v>
      </c>
      <c r="E67" s="0" t="str">
        <f aca="false">IFERROR(INDEX('Materials Master'!$C$2:$C$27,MATCH($C67,'Materials Master'!$A$2:$A$27,0)),"")</f>
        <v>Plastics</v>
      </c>
      <c r="F67" s="0" t="n">
        <f aca="false">IF(SUMIFS(Fact_SortedWeights!$E$2:$E$89,Fact_SortedWeights!$C$2:$C$89,$A67,Fact_SortedWeights!$B$2:$B$89,$B67)=0,0,SUMIFS(Fact_SortedWeights!$E$2:$E$89,Fact_SortedWeights!$C$2:$C$89,$A67,Fact_SortedWeights!$B$2:$B$89,$B67,Fact_SortedWeights!$D$2:$D$89,$C67)/SUMIFS(Fact_SortedWeights!$E$2:$E$89,Fact_SortedWeights!$C$2:$C$89,$A67,Fact_SortedWeights!$B$2:$B$89,$B67)*(IF($B67="Cardboard Recycling",SUMIFS(Fact_SortedWeights!$E$2:$E$89,Fact_SortedWeights!$C$2:$C$89,$A67,Fact_SortedWeights!$B$2:$B$89,$B67),SUMIFS(Fact_PreSortWeights!$E$2:$E$186,Fact_PreSortWeights!$C$2:$C$186,$A67,Fact_PreSortWeights!$B$2:$B$186,$B67))))</f>
        <v>0</v>
      </c>
      <c r="G67" s="0" t="n">
        <f aca="false">IF(AND(IF($B67="Trash",INDEX('Materials Master'!$F$2:$F$27,MATCH($C67,'Materials Master'!$A$2:$A$27,0)),IF($B67="GMPC Recycling",INDEX('Materials Master'!$G$2:$G$27,MATCH($C67,'Materials Master'!$A$2:$A$27,0)),IF($B67="Organics Recycling",INDEX('Materials Master'!$H$2:$H$27,MATCH($C67,'Materials Master'!$A$2:$A$27,0)),IF($B67="Cardboard Recycling",INDEX('Materials Master'!$I$2:$I$27,MATCH($C67,'Materials Master'!$A$2:$A$27,0)),IF($B67="Paper Recycling",INDEX('Materials Master'!$J$2:$J$27,MATCH($C67,'Materials Master'!$A$2:$A$27,0)),IF($B67="Terracycle",INDEX('Materials Master'!$K$2:$K$27,MATCH($C67,'Materials Master'!$A$2:$A$27,0)),"No"))))))="Yes",INDEX('Materials Master'!$E$2:$E$27,MATCH($C67,'Materials Master'!$A$2:$A$27,0))="Yes",$B67&lt;&gt;"Trash"),1,0)</f>
        <v>0</v>
      </c>
      <c r="H67" s="0" t="str">
        <f aca="false">INDEX('Materials Master'!$E$2:$E$27,MATCH($C67,'Materials Master'!$A$2:$A$27,0))</f>
        <v>No</v>
      </c>
      <c r="I67" s="0" t="str">
        <f aca="false">IFERROR(INDEX(Areas!$C$2:$C$6,MATCH($A67,Areas!$B$2:$B$6,0)),"")</f>
        <v>Rest of Building</v>
      </c>
      <c r="J67" s="0" t="n">
        <f aca="false">IF(IF($B67="Trash",INDEX('Materials Master'!$F$2:$F$27,MATCH($C67,'Materials Master'!$A$2:$A$27,0)),IF($B67="GMPC Recycling",INDEX('Materials Master'!$G$2:$G$27,MATCH($C67,'Materials Master'!$A$2:$A$27,0)),IF($B67="Organics Recycling",INDEX('Materials Master'!$H$2:$H$27,MATCH($C67,'Materials Master'!$A$2:$A$27,0)),IF($B67="Cardboard Recycling",INDEX('Materials Master'!$I$2:$I$27,MATCH($C67,'Materials Master'!$A$2:$A$27,0)),IF($B67="Paper Recycling",INDEX('Materials Master'!$J$2:$J$27,MATCH($C67,'Materials Master'!$A$2:$A$27,0)),IF($B67="Terracycle",INDEX('Materials Master'!$K$2:$K$27,MATCH($C67,'Materials Master'!$A$2:$A$27,0)),"No"))))))="Yes",1,0)</f>
        <v>0</v>
      </c>
    </row>
    <row r="68" customFormat="false" ht="15" hidden="false" customHeight="false" outlineLevel="0" collapsed="false">
      <c r="A68" s="0" t="s">
        <v>92</v>
      </c>
      <c r="B68" s="0" t="s">
        <v>105</v>
      </c>
      <c r="C68" s="0" t="s">
        <v>62</v>
      </c>
      <c r="D68" s="0" t="str">
        <f aca="false">IFERROR(INDEX('Materials Master'!$B$2:$B$27,MATCH($C68,'Materials Master'!$A$2:$A$27,0)),"")</f>
        <v>Film Plastics</v>
      </c>
      <c r="E68" s="0" t="str">
        <f aca="false">IFERROR(INDEX('Materials Master'!$C$2:$C$27,MATCH($C68,'Materials Master'!$A$2:$A$27,0)),"")</f>
        <v>Plastics</v>
      </c>
      <c r="F68" s="0" t="n">
        <f aca="false">IF(SUMIFS(Fact_SortedWeights!$E$2:$E$89,Fact_SortedWeights!$C$2:$C$89,$A68,Fact_SortedWeights!$B$2:$B$89,$B68)=0,0,SUMIFS(Fact_SortedWeights!$E$2:$E$89,Fact_SortedWeights!$C$2:$C$89,$A68,Fact_SortedWeights!$B$2:$B$89,$B68,Fact_SortedWeights!$D$2:$D$89,$C68)/SUMIFS(Fact_SortedWeights!$E$2:$E$89,Fact_SortedWeights!$C$2:$C$89,$A68,Fact_SortedWeights!$B$2:$B$89,$B68)*(IF($B68="Cardboard Recycling",SUMIFS(Fact_SortedWeights!$E$2:$E$89,Fact_SortedWeights!$C$2:$C$89,$A68,Fact_SortedWeights!$B$2:$B$89,$B68),SUMIFS(Fact_PreSortWeights!$E$2:$E$186,Fact_PreSortWeights!$C$2:$C$186,$A68,Fact_PreSortWeights!$B$2:$B$186,$B68))))</f>
        <v>11.4976388719105</v>
      </c>
      <c r="G68" s="0" t="n">
        <f aca="false">IF(AND(IF($B68="Trash",INDEX('Materials Master'!$F$2:$F$27,MATCH($C68,'Materials Master'!$A$2:$A$27,0)),IF($B68="GMPC Recycling",INDEX('Materials Master'!$G$2:$G$27,MATCH($C68,'Materials Master'!$A$2:$A$27,0)),IF($B68="Organics Recycling",INDEX('Materials Master'!$H$2:$H$27,MATCH($C68,'Materials Master'!$A$2:$A$27,0)),IF($B68="Cardboard Recycling",INDEX('Materials Master'!$I$2:$I$27,MATCH($C68,'Materials Master'!$A$2:$A$27,0)),IF($B68="Paper Recycling",INDEX('Materials Master'!$J$2:$J$27,MATCH($C68,'Materials Master'!$A$2:$A$27,0)),IF($B68="Terracycle",INDEX('Materials Master'!$K$2:$K$27,MATCH($C68,'Materials Master'!$A$2:$A$27,0)),"No"))))))="Yes",INDEX('Materials Master'!$E$2:$E$27,MATCH($C68,'Materials Master'!$A$2:$A$27,0))="Yes",$B68&lt;&gt;"Trash"),1,0)</f>
        <v>0</v>
      </c>
      <c r="H68" s="0" t="str">
        <f aca="false">INDEX('Materials Master'!$E$2:$E$27,MATCH($C68,'Materials Master'!$A$2:$A$27,0))</f>
        <v>No</v>
      </c>
      <c r="I68" s="0" t="str">
        <f aca="false">IFERROR(INDEX(Areas!$C$2:$C$6,MATCH($A68,Areas!$B$2:$B$6,0)),"")</f>
        <v>Rest of Building</v>
      </c>
      <c r="J68" s="0" t="n">
        <f aca="false">IF(IF($B68="Trash",INDEX('Materials Master'!$F$2:$F$27,MATCH($C68,'Materials Master'!$A$2:$A$27,0)),IF($B68="GMPC Recycling",INDEX('Materials Master'!$G$2:$G$27,MATCH($C68,'Materials Master'!$A$2:$A$27,0)),IF($B68="Organics Recycling",INDEX('Materials Master'!$H$2:$H$27,MATCH($C68,'Materials Master'!$A$2:$A$27,0)),IF($B68="Cardboard Recycling",INDEX('Materials Master'!$I$2:$I$27,MATCH($C68,'Materials Master'!$A$2:$A$27,0)),IF($B68="Paper Recycling",INDEX('Materials Master'!$J$2:$J$27,MATCH($C68,'Materials Master'!$A$2:$A$27,0)),IF($B68="Terracycle",INDEX('Materials Master'!$K$2:$K$27,MATCH($C68,'Materials Master'!$A$2:$A$27,0)),"No"))))))="Yes",1,0)</f>
        <v>0</v>
      </c>
    </row>
    <row r="69" customFormat="false" ht="15" hidden="false" customHeight="false" outlineLevel="0" collapsed="false">
      <c r="A69" s="0" t="s">
        <v>92</v>
      </c>
      <c r="B69" s="0" t="s">
        <v>105</v>
      </c>
      <c r="C69" s="0" t="s">
        <v>64</v>
      </c>
      <c r="D69" s="0" t="str">
        <f aca="false">IFERROR(INDEX('Materials Master'!$B$2:$B$27,MATCH($C69,'Materials Master'!$A$2:$A$27,0)),"")</f>
        <v>Foams</v>
      </c>
      <c r="E69" s="0" t="str">
        <f aca="false">IFERROR(INDEX('Materials Master'!$C$2:$C$27,MATCH($C69,'Materials Master'!$A$2:$A$27,0)),"")</f>
        <v>Plastics</v>
      </c>
      <c r="F69" s="0" t="n">
        <f aca="false">IF(SUMIFS(Fact_SortedWeights!$E$2:$E$89,Fact_SortedWeights!$C$2:$C$89,$A69,Fact_SortedWeights!$B$2:$B$89,$B69)=0,0,SUMIFS(Fact_SortedWeights!$E$2:$E$89,Fact_SortedWeights!$C$2:$C$89,$A69,Fact_SortedWeights!$B$2:$B$89,$B69,Fact_SortedWeights!$D$2:$D$89,$C69)/SUMIFS(Fact_SortedWeights!$E$2:$E$89,Fact_SortedWeights!$C$2:$C$89,$A69,Fact_SortedWeights!$B$2:$B$89,$B69)*(IF($B69="Cardboard Recycling",SUMIFS(Fact_SortedWeights!$E$2:$E$89,Fact_SortedWeights!$C$2:$C$89,$A69,Fact_SortedWeights!$B$2:$B$89,$B69),SUMIFS(Fact_PreSortWeights!$E$2:$E$186,Fact_PreSortWeights!$C$2:$C$186,$A69,Fact_PreSortWeights!$B$2:$B$186,$B69))))</f>
        <v>0</v>
      </c>
      <c r="G69" s="0" t="n">
        <f aca="false">IF(AND(IF($B69="Trash",INDEX('Materials Master'!$F$2:$F$27,MATCH($C69,'Materials Master'!$A$2:$A$27,0)),IF($B69="GMPC Recycling",INDEX('Materials Master'!$G$2:$G$27,MATCH($C69,'Materials Master'!$A$2:$A$27,0)),IF($B69="Organics Recycling",INDEX('Materials Master'!$H$2:$H$27,MATCH($C69,'Materials Master'!$A$2:$A$27,0)),IF($B69="Cardboard Recycling",INDEX('Materials Master'!$I$2:$I$27,MATCH($C69,'Materials Master'!$A$2:$A$27,0)),IF($B69="Paper Recycling",INDEX('Materials Master'!$J$2:$J$27,MATCH($C69,'Materials Master'!$A$2:$A$27,0)),IF($B69="Terracycle",INDEX('Materials Master'!$K$2:$K$27,MATCH($C69,'Materials Master'!$A$2:$A$27,0)),"No"))))))="Yes",INDEX('Materials Master'!$E$2:$E$27,MATCH($C69,'Materials Master'!$A$2:$A$27,0))="Yes",$B69&lt;&gt;"Trash"),1,0)</f>
        <v>0</v>
      </c>
      <c r="H69" s="0" t="str">
        <f aca="false">INDEX('Materials Master'!$E$2:$E$27,MATCH($C69,'Materials Master'!$A$2:$A$27,0))</f>
        <v>No</v>
      </c>
      <c r="I69" s="0" t="str">
        <f aca="false">IFERROR(INDEX(Areas!$C$2:$C$6,MATCH($A69,Areas!$B$2:$B$6,0)),"")</f>
        <v>Rest of Building</v>
      </c>
      <c r="J69" s="0" t="n">
        <f aca="false">IF(IF($B69="Trash",INDEX('Materials Master'!$F$2:$F$27,MATCH($C69,'Materials Master'!$A$2:$A$27,0)),IF($B69="GMPC Recycling",INDEX('Materials Master'!$G$2:$G$27,MATCH($C69,'Materials Master'!$A$2:$A$27,0)),IF($B69="Organics Recycling",INDEX('Materials Master'!$H$2:$H$27,MATCH($C69,'Materials Master'!$A$2:$A$27,0)),IF($B69="Cardboard Recycling",INDEX('Materials Master'!$I$2:$I$27,MATCH($C69,'Materials Master'!$A$2:$A$27,0)),IF($B69="Paper Recycling",INDEX('Materials Master'!$J$2:$J$27,MATCH($C69,'Materials Master'!$A$2:$A$27,0)),IF($B69="Terracycle",INDEX('Materials Master'!$K$2:$K$27,MATCH($C69,'Materials Master'!$A$2:$A$27,0)),"No"))))))="Yes",1,0)</f>
        <v>0</v>
      </c>
    </row>
    <row r="70" customFormat="false" ht="15" hidden="false" customHeight="false" outlineLevel="0" collapsed="false">
      <c r="A70" s="0" t="s">
        <v>92</v>
      </c>
      <c r="B70" s="0" t="s">
        <v>105</v>
      </c>
      <c r="C70" s="0" t="s">
        <v>66</v>
      </c>
      <c r="D70" s="0" t="str">
        <f aca="false">IFERROR(INDEX('Materials Master'!$B$2:$B$27,MATCH($C70,'Materials Master'!$A$2:$A$27,0)),"")</f>
        <v>Food Waste</v>
      </c>
      <c r="E70" s="0" t="str">
        <f aca="false">IFERROR(INDEX('Materials Master'!$C$2:$C$27,MATCH($C70,'Materials Master'!$A$2:$A$27,0)),"")</f>
        <v>Organics</v>
      </c>
      <c r="F70" s="0" t="n">
        <f aca="false">IF(SUMIFS(Fact_SortedWeights!$E$2:$E$89,Fact_SortedWeights!$C$2:$C$89,$A70,Fact_SortedWeights!$B$2:$B$89,$B70)=0,0,SUMIFS(Fact_SortedWeights!$E$2:$E$89,Fact_SortedWeights!$C$2:$C$89,$A70,Fact_SortedWeights!$B$2:$B$89,$B70,Fact_SortedWeights!$D$2:$D$89,$C70)/SUMIFS(Fact_SortedWeights!$E$2:$E$89,Fact_SortedWeights!$C$2:$C$89,$A70,Fact_SortedWeights!$B$2:$B$89,$B70)*(IF($B70="Cardboard Recycling",SUMIFS(Fact_SortedWeights!$E$2:$E$89,Fact_SortedWeights!$C$2:$C$89,$A70,Fact_SortedWeights!$B$2:$B$89,$B70),SUMIFS(Fact_PreSortWeights!$E$2:$E$186,Fact_PreSortWeights!$C$2:$C$186,$A70,Fact_PreSortWeights!$B$2:$B$186,$B70))))</f>
        <v>179.997518891288</v>
      </c>
      <c r="G70" s="0" t="n">
        <f aca="false">IF(AND(IF($B70="Trash",INDEX('Materials Master'!$F$2:$F$27,MATCH($C70,'Materials Master'!$A$2:$A$27,0)),IF($B70="GMPC Recycling",INDEX('Materials Master'!$G$2:$G$27,MATCH($C70,'Materials Master'!$A$2:$A$27,0)),IF($B70="Organics Recycling",INDEX('Materials Master'!$H$2:$H$27,MATCH($C70,'Materials Master'!$A$2:$A$27,0)),IF($B70="Cardboard Recycling",INDEX('Materials Master'!$I$2:$I$27,MATCH($C70,'Materials Master'!$A$2:$A$27,0)),IF($B70="Paper Recycling",INDEX('Materials Master'!$J$2:$J$27,MATCH($C70,'Materials Master'!$A$2:$A$27,0)),IF($B70="Terracycle",INDEX('Materials Master'!$K$2:$K$27,MATCH($C70,'Materials Master'!$A$2:$A$27,0)),"No"))))))="Yes",INDEX('Materials Master'!$E$2:$E$27,MATCH($C70,'Materials Master'!$A$2:$A$27,0))="Yes",$B70&lt;&gt;"Trash"),1,0)</f>
        <v>1</v>
      </c>
      <c r="H70" s="0" t="str">
        <f aca="false">INDEX('Materials Master'!$E$2:$E$27,MATCH($C70,'Materials Master'!$A$2:$A$27,0))</f>
        <v>Yes</v>
      </c>
      <c r="I70" s="0" t="str">
        <f aca="false">IFERROR(INDEX(Areas!$C$2:$C$6,MATCH($A70,Areas!$B$2:$B$6,0)),"")</f>
        <v>Rest of Building</v>
      </c>
      <c r="J70" s="0" t="n">
        <f aca="false">IF(IF($B70="Trash",INDEX('Materials Master'!$F$2:$F$27,MATCH($C70,'Materials Master'!$A$2:$A$27,0)),IF($B70="GMPC Recycling",INDEX('Materials Master'!$G$2:$G$27,MATCH($C70,'Materials Master'!$A$2:$A$27,0)),IF($B70="Organics Recycling",INDEX('Materials Master'!$H$2:$H$27,MATCH($C70,'Materials Master'!$A$2:$A$27,0)),IF($B70="Cardboard Recycling",INDEX('Materials Master'!$I$2:$I$27,MATCH($C70,'Materials Master'!$A$2:$A$27,0)),IF($B70="Paper Recycling",INDEX('Materials Master'!$J$2:$J$27,MATCH($C70,'Materials Master'!$A$2:$A$27,0)),IF($B70="Terracycle",INDEX('Materials Master'!$K$2:$K$27,MATCH($C70,'Materials Master'!$A$2:$A$27,0)),"No"))))))="Yes",1,0)</f>
        <v>1</v>
      </c>
    </row>
    <row r="71" customFormat="false" ht="15" hidden="false" customHeight="false" outlineLevel="0" collapsed="false">
      <c r="A71" s="0" t="s">
        <v>92</v>
      </c>
      <c r="B71" s="0" t="s">
        <v>105</v>
      </c>
      <c r="C71" s="0" t="s">
        <v>69</v>
      </c>
      <c r="D71" s="0" t="str">
        <f aca="false">IFERROR(INDEX('Materials Master'!$B$2:$B$27,MATCH($C71,'Materials Master'!$A$2:$A$27,0)),"")</f>
        <v>Paper Fibers and Food-Soiled Paper (FSP)</v>
      </c>
      <c r="E71" s="0" t="str">
        <f aca="false">IFERROR(INDEX('Materials Master'!$C$2:$C$27,MATCH($C71,'Materials Master'!$A$2:$A$27,0)),"")</f>
        <v>Organics</v>
      </c>
      <c r="F71" s="0" t="n">
        <f aca="false">IF(SUMIFS(Fact_SortedWeights!$E$2:$E$89,Fact_SortedWeights!$C$2:$C$89,$A71,Fact_SortedWeights!$B$2:$B$89,$B71)=0,0,SUMIFS(Fact_SortedWeights!$E$2:$E$89,Fact_SortedWeights!$C$2:$C$89,$A71,Fact_SortedWeights!$B$2:$B$89,$B71,Fact_SortedWeights!$D$2:$D$89,$C71)/SUMIFS(Fact_SortedWeights!$E$2:$E$89,Fact_SortedWeights!$C$2:$C$89,$A71,Fact_SortedWeights!$B$2:$B$89,$B71)*(IF($B71="Cardboard Recycling",SUMIFS(Fact_SortedWeights!$E$2:$E$89,Fact_SortedWeights!$C$2:$C$89,$A71,Fact_SortedWeights!$B$2:$B$89,$B71),SUMIFS(Fact_PreSortWeights!$E$2:$E$186,Fact_PreSortWeights!$C$2:$C$186,$A71,Fact_PreSortWeights!$B$2:$B$186,$B71))))</f>
        <v>57.0917240536245</v>
      </c>
      <c r="G71" s="0" t="n">
        <f aca="false">IF(AND(IF($B71="Trash",INDEX('Materials Master'!$F$2:$F$27,MATCH($C71,'Materials Master'!$A$2:$A$27,0)),IF($B71="GMPC Recycling",INDEX('Materials Master'!$G$2:$G$27,MATCH($C71,'Materials Master'!$A$2:$A$27,0)),IF($B71="Organics Recycling",INDEX('Materials Master'!$H$2:$H$27,MATCH($C71,'Materials Master'!$A$2:$A$27,0)),IF($B71="Cardboard Recycling",INDEX('Materials Master'!$I$2:$I$27,MATCH($C71,'Materials Master'!$A$2:$A$27,0)),IF($B71="Paper Recycling",INDEX('Materials Master'!$J$2:$J$27,MATCH($C71,'Materials Master'!$A$2:$A$27,0)),IF($B71="Terracycle",INDEX('Materials Master'!$K$2:$K$27,MATCH($C71,'Materials Master'!$A$2:$A$27,0)),"No"))))))="Yes",INDEX('Materials Master'!$E$2:$E$27,MATCH($C71,'Materials Master'!$A$2:$A$27,0))="Yes",$B71&lt;&gt;"Trash"),1,0)</f>
        <v>0</v>
      </c>
      <c r="H71" s="0" t="str">
        <f aca="false">INDEX('Materials Master'!$E$2:$E$27,MATCH($C71,'Materials Master'!$A$2:$A$27,0))</f>
        <v>No</v>
      </c>
      <c r="I71" s="0" t="str">
        <f aca="false">IFERROR(INDEX(Areas!$C$2:$C$6,MATCH($A71,Areas!$B$2:$B$6,0)),"")</f>
        <v>Rest of Building</v>
      </c>
      <c r="J71" s="0" t="n">
        <f aca="false">IF(IF($B71="Trash",INDEX('Materials Master'!$F$2:$F$27,MATCH($C71,'Materials Master'!$A$2:$A$27,0)),IF($B71="GMPC Recycling",INDEX('Materials Master'!$G$2:$G$27,MATCH($C71,'Materials Master'!$A$2:$A$27,0)),IF($B71="Organics Recycling",INDEX('Materials Master'!$H$2:$H$27,MATCH($C71,'Materials Master'!$A$2:$A$27,0)),IF($B71="Cardboard Recycling",INDEX('Materials Master'!$I$2:$I$27,MATCH($C71,'Materials Master'!$A$2:$A$27,0)),IF($B71="Paper Recycling",INDEX('Materials Master'!$J$2:$J$27,MATCH($C71,'Materials Master'!$A$2:$A$27,0)),IF($B71="Terracycle",INDEX('Materials Master'!$K$2:$K$27,MATCH($C71,'Materials Master'!$A$2:$A$27,0)),"No"))))))="Yes",1,0)</f>
        <v>0</v>
      </c>
    </row>
    <row r="72" customFormat="false" ht="15" hidden="false" customHeight="false" outlineLevel="0" collapsed="false">
      <c r="A72" s="0" t="s">
        <v>92</v>
      </c>
      <c r="B72" s="0" t="s">
        <v>105</v>
      </c>
      <c r="C72" s="0" t="s">
        <v>71</v>
      </c>
      <c r="D72" s="0" t="str">
        <f aca="false">IFERROR(INDEX('Materials Master'!$B$2:$B$27,MATCH($C72,'Materials Master'!$A$2:$A$27,0)),"")</f>
        <v>Fiber-based Compostable Serviceware</v>
      </c>
      <c r="E72" s="0" t="str">
        <f aca="false">IFERROR(INDEX('Materials Master'!$C$2:$C$27,MATCH($C72,'Materials Master'!$A$2:$A$27,0)),"")</f>
        <v>Organics</v>
      </c>
      <c r="F72" s="0" t="n">
        <f aca="false">IF(SUMIFS(Fact_SortedWeights!$E$2:$E$89,Fact_SortedWeights!$C$2:$C$89,$A72,Fact_SortedWeights!$B$2:$B$89,$B72)=0,0,SUMIFS(Fact_SortedWeights!$E$2:$E$89,Fact_SortedWeights!$C$2:$C$89,$A72,Fact_SortedWeights!$B$2:$B$89,$B72,Fact_SortedWeights!$D$2:$D$89,$C72)/SUMIFS(Fact_SortedWeights!$E$2:$E$89,Fact_SortedWeights!$C$2:$C$89,$A72,Fact_SortedWeights!$B$2:$B$89,$B72)*(IF($B72="Cardboard Recycling",SUMIFS(Fact_SortedWeights!$E$2:$E$89,Fact_SortedWeights!$C$2:$C$89,$A72,Fact_SortedWeights!$B$2:$B$89,$B72),SUMIFS(Fact_PreSortWeights!$E$2:$E$186,Fact_PreSortWeights!$C$2:$C$186,$A72,Fact_PreSortWeights!$B$2:$B$186,$B72))))</f>
        <v>141.539899216278</v>
      </c>
      <c r="G72" s="0" t="n">
        <f aca="false">IF(AND(IF($B72="Trash",INDEX('Materials Master'!$F$2:$F$27,MATCH($C72,'Materials Master'!$A$2:$A$27,0)),IF($B72="GMPC Recycling",INDEX('Materials Master'!$G$2:$G$27,MATCH($C72,'Materials Master'!$A$2:$A$27,0)),IF($B72="Organics Recycling",INDEX('Materials Master'!$H$2:$H$27,MATCH($C72,'Materials Master'!$A$2:$A$27,0)),IF($B72="Cardboard Recycling",INDEX('Materials Master'!$I$2:$I$27,MATCH($C72,'Materials Master'!$A$2:$A$27,0)),IF($B72="Paper Recycling",INDEX('Materials Master'!$J$2:$J$27,MATCH($C72,'Materials Master'!$A$2:$A$27,0)),IF($B72="Terracycle",INDEX('Materials Master'!$K$2:$K$27,MATCH($C72,'Materials Master'!$A$2:$A$27,0)),"No"))))))="Yes",INDEX('Materials Master'!$E$2:$E$27,MATCH($C72,'Materials Master'!$A$2:$A$27,0))="Yes",$B72&lt;&gt;"Trash"),1,0)</f>
        <v>0</v>
      </c>
      <c r="H72" s="0" t="str">
        <f aca="false">INDEX('Materials Master'!$E$2:$E$27,MATCH($C72,'Materials Master'!$A$2:$A$27,0))</f>
        <v>No</v>
      </c>
      <c r="I72" s="0" t="str">
        <f aca="false">IFERROR(INDEX(Areas!$C$2:$C$6,MATCH($A72,Areas!$B$2:$B$6,0)),"")</f>
        <v>Rest of Building</v>
      </c>
      <c r="J72" s="0" t="n">
        <f aca="false">IF(IF($B72="Trash",INDEX('Materials Master'!$F$2:$F$27,MATCH($C72,'Materials Master'!$A$2:$A$27,0)),IF($B72="GMPC Recycling",INDEX('Materials Master'!$G$2:$G$27,MATCH($C72,'Materials Master'!$A$2:$A$27,0)),IF($B72="Organics Recycling",INDEX('Materials Master'!$H$2:$H$27,MATCH($C72,'Materials Master'!$A$2:$A$27,0)),IF($B72="Cardboard Recycling",INDEX('Materials Master'!$I$2:$I$27,MATCH($C72,'Materials Master'!$A$2:$A$27,0)),IF($B72="Paper Recycling",INDEX('Materials Master'!$J$2:$J$27,MATCH($C72,'Materials Master'!$A$2:$A$27,0)),IF($B72="Terracycle",INDEX('Materials Master'!$K$2:$K$27,MATCH($C72,'Materials Master'!$A$2:$A$27,0)),"No"))))))="Yes",1,0)</f>
        <v>0</v>
      </c>
    </row>
    <row r="73" customFormat="false" ht="15" hidden="false" customHeight="false" outlineLevel="0" collapsed="false">
      <c r="A73" s="0" t="s">
        <v>92</v>
      </c>
      <c r="B73" s="0" t="s">
        <v>105</v>
      </c>
      <c r="C73" s="0" t="s">
        <v>73</v>
      </c>
      <c r="D73" s="0" t="str">
        <f aca="false">IFERROR(INDEX('Materials Master'!$B$2:$B$27,MATCH($C73,'Materials Master'!$A$2:$A$27,0)),"")</f>
        <v>PLA Compostable Serviceware</v>
      </c>
      <c r="E73" s="0" t="str">
        <f aca="false">IFERROR(INDEX('Materials Master'!$C$2:$C$27,MATCH($C73,'Materials Master'!$A$2:$A$27,0)),"")</f>
        <v>Organics</v>
      </c>
      <c r="F73" s="0" t="n">
        <f aca="false">IF(SUMIFS(Fact_SortedWeights!$E$2:$E$89,Fact_SortedWeights!$C$2:$C$89,$A73,Fact_SortedWeights!$B$2:$B$89,$B73)=0,0,SUMIFS(Fact_SortedWeights!$E$2:$E$89,Fact_SortedWeights!$C$2:$C$89,$A73,Fact_SortedWeights!$B$2:$B$89,$B73,Fact_SortedWeights!$D$2:$D$89,$C73)/SUMIFS(Fact_SortedWeights!$E$2:$E$89,Fact_SortedWeights!$C$2:$C$89,$A73,Fact_SortedWeights!$B$2:$B$89,$B73)*(IF($B73="Cardboard Recycling",SUMIFS(Fact_SortedWeights!$E$2:$E$89,Fact_SortedWeights!$C$2:$C$89,$A73,Fact_SortedWeights!$B$2:$B$89,$B73),SUMIFS(Fact_PreSortWeights!$E$2:$E$186,Fact_PreSortWeights!$C$2:$C$186,$A73,Fact_PreSortWeights!$B$2:$B$186,$B73))))</f>
        <v>67.7964223136791</v>
      </c>
      <c r="G73" s="0" t="n">
        <f aca="false">IF(AND(IF($B73="Trash",INDEX('Materials Master'!$F$2:$F$27,MATCH($C73,'Materials Master'!$A$2:$A$27,0)),IF($B73="GMPC Recycling",INDEX('Materials Master'!$G$2:$G$27,MATCH($C73,'Materials Master'!$A$2:$A$27,0)),IF($B73="Organics Recycling",INDEX('Materials Master'!$H$2:$H$27,MATCH($C73,'Materials Master'!$A$2:$A$27,0)),IF($B73="Cardboard Recycling",INDEX('Materials Master'!$I$2:$I$27,MATCH($C73,'Materials Master'!$A$2:$A$27,0)),IF($B73="Paper Recycling",INDEX('Materials Master'!$J$2:$J$27,MATCH($C73,'Materials Master'!$A$2:$A$27,0)),IF($B73="Terracycle",INDEX('Materials Master'!$K$2:$K$27,MATCH($C73,'Materials Master'!$A$2:$A$27,0)),"No"))))))="Yes",INDEX('Materials Master'!$E$2:$E$27,MATCH($C73,'Materials Master'!$A$2:$A$27,0))="Yes",$B73&lt;&gt;"Trash"),1,0)</f>
        <v>0</v>
      </c>
      <c r="H73" s="0" t="str">
        <f aca="false">INDEX('Materials Master'!$E$2:$E$27,MATCH($C73,'Materials Master'!$A$2:$A$27,0))</f>
        <v>No</v>
      </c>
      <c r="I73" s="0" t="str">
        <f aca="false">IFERROR(INDEX(Areas!$C$2:$C$6,MATCH($A73,Areas!$B$2:$B$6,0)),"")</f>
        <v>Rest of Building</v>
      </c>
      <c r="J73" s="0" t="n">
        <f aca="false">IF(IF($B73="Trash",INDEX('Materials Master'!$F$2:$F$27,MATCH($C73,'Materials Master'!$A$2:$A$27,0)),IF($B73="GMPC Recycling",INDEX('Materials Master'!$G$2:$G$27,MATCH($C73,'Materials Master'!$A$2:$A$27,0)),IF($B73="Organics Recycling",INDEX('Materials Master'!$H$2:$H$27,MATCH($C73,'Materials Master'!$A$2:$A$27,0)),IF($B73="Cardboard Recycling",INDEX('Materials Master'!$I$2:$I$27,MATCH($C73,'Materials Master'!$A$2:$A$27,0)),IF($B73="Paper Recycling",INDEX('Materials Master'!$J$2:$J$27,MATCH($C73,'Materials Master'!$A$2:$A$27,0)),IF($B73="Terracycle",INDEX('Materials Master'!$K$2:$K$27,MATCH($C73,'Materials Master'!$A$2:$A$27,0)),"No"))))))="Yes",1,0)</f>
        <v>0</v>
      </c>
    </row>
    <row r="74" customFormat="false" ht="15" hidden="false" customHeight="false" outlineLevel="0" collapsed="false">
      <c r="A74" s="0" t="s">
        <v>92</v>
      </c>
      <c r="B74" s="0" t="s">
        <v>105</v>
      </c>
      <c r="C74" s="0" t="s">
        <v>75</v>
      </c>
      <c r="D74" s="0" t="str">
        <f aca="false">IFERROR(INDEX('Materials Master'!$B$2:$B$27,MATCH($C74,'Materials Master'!$A$2:$A$27,0)),"")</f>
        <v>E/U Waste</v>
      </c>
      <c r="E74" s="0" t="str">
        <f aca="false">IFERROR(INDEX('Materials Master'!$C$2:$C$27,MATCH($C74,'Materials Master'!$A$2:$A$27,0)),"")</f>
        <v>Unacceptable</v>
      </c>
      <c r="F74" s="0" t="n">
        <f aca="false">IF(SUMIFS(Fact_SortedWeights!$E$2:$E$89,Fact_SortedWeights!$C$2:$C$89,$A74,Fact_SortedWeights!$B$2:$B$89,$B74)=0,0,SUMIFS(Fact_SortedWeights!$E$2:$E$89,Fact_SortedWeights!$C$2:$C$89,$A74,Fact_SortedWeights!$B$2:$B$89,$B74,Fact_SortedWeights!$D$2:$D$89,$C74)/SUMIFS(Fact_SortedWeights!$E$2:$E$89,Fact_SortedWeights!$C$2:$C$89,$A74,Fact_SortedWeights!$B$2:$B$89,$B74)*(IF($B74="Cardboard Recycling",SUMIFS(Fact_SortedWeights!$E$2:$E$89,Fact_SortedWeights!$C$2:$C$89,$A74,Fact_SortedWeights!$B$2:$B$89,$B74),SUMIFS(Fact_PreSortWeights!$E$2:$E$186,Fact_PreSortWeights!$C$2:$C$186,$A74,Fact_PreSortWeights!$B$2:$B$186,$B74))))</f>
        <v>0</v>
      </c>
      <c r="G74" s="0" t="n">
        <f aca="false">IF(AND(IF($B74="Trash",INDEX('Materials Master'!$F$2:$F$27,MATCH($C74,'Materials Master'!$A$2:$A$27,0)),IF($B74="GMPC Recycling",INDEX('Materials Master'!$G$2:$G$27,MATCH($C74,'Materials Master'!$A$2:$A$27,0)),IF($B74="Organics Recycling",INDEX('Materials Master'!$H$2:$H$27,MATCH($C74,'Materials Master'!$A$2:$A$27,0)),IF($B74="Cardboard Recycling",INDEX('Materials Master'!$I$2:$I$27,MATCH($C74,'Materials Master'!$A$2:$A$27,0)),IF($B74="Paper Recycling",INDEX('Materials Master'!$J$2:$J$27,MATCH($C74,'Materials Master'!$A$2:$A$27,0)),IF($B74="Terracycle",INDEX('Materials Master'!$K$2:$K$27,MATCH($C74,'Materials Master'!$A$2:$A$27,0)),"No"))))))="Yes",INDEX('Materials Master'!$E$2:$E$27,MATCH($C74,'Materials Master'!$A$2:$A$27,0))="Yes",$B74&lt;&gt;"Trash"),1,0)</f>
        <v>0</v>
      </c>
      <c r="H74" s="0" t="str">
        <f aca="false">INDEX('Materials Master'!$E$2:$E$27,MATCH($C74,'Materials Master'!$A$2:$A$27,0))</f>
        <v>No</v>
      </c>
      <c r="I74" s="0" t="str">
        <f aca="false">IFERROR(INDEX(Areas!$C$2:$C$6,MATCH($A74,Areas!$B$2:$B$6,0)),"")</f>
        <v>Rest of Building</v>
      </c>
      <c r="J74" s="0" t="n">
        <f aca="false">IF(IF($B74="Trash",INDEX('Materials Master'!$F$2:$F$27,MATCH($C74,'Materials Master'!$A$2:$A$27,0)),IF($B74="GMPC Recycling",INDEX('Materials Master'!$G$2:$G$27,MATCH($C74,'Materials Master'!$A$2:$A$27,0)),IF($B74="Organics Recycling",INDEX('Materials Master'!$H$2:$H$27,MATCH($C74,'Materials Master'!$A$2:$A$27,0)),IF($B74="Cardboard Recycling",INDEX('Materials Master'!$I$2:$I$27,MATCH($C74,'Materials Master'!$A$2:$A$27,0)),IF($B74="Paper Recycling",INDEX('Materials Master'!$J$2:$J$27,MATCH($C74,'Materials Master'!$A$2:$A$27,0)),IF($B74="Terracycle",INDEX('Materials Master'!$K$2:$K$27,MATCH($C74,'Materials Master'!$A$2:$A$27,0)),"No"))))))="Yes",1,0)</f>
        <v>0</v>
      </c>
    </row>
    <row r="75" customFormat="false" ht="15" hidden="false" customHeight="false" outlineLevel="0" collapsed="false">
      <c r="A75" s="0" t="s">
        <v>92</v>
      </c>
      <c r="B75" s="0" t="s">
        <v>105</v>
      </c>
      <c r="C75" s="0" t="s">
        <v>78</v>
      </c>
      <c r="D75" s="0" t="str">
        <f aca="false">IFERROR(INDEX('Materials Master'!$B$2:$B$27,MATCH($C75,'Materials Master'!$A$2:$A$27,0)),"")</f>
        <v>Textiles</v>
      </c>
      <c r="E75" s="0" t="str">
        <f aca="false">IFERROR(INDEX('Materials Master'!$C$2:$C$27,MATCH($C75,'Materials Master'!$A$2:$A$27,0)),"")</f>
        <v>Unacceptable</v>
      </c>
      <c r="F75" s="0" t="n">
        <f aca="false">IF(SUMIFS(Fact_SortedWeights!$E$2:$E$89,Fact_SortedWeights!$C$2:$C$89,$A75,Fact_SortedWeights!$B$2:$B$89,$B75)=0,0,SUMIFS(Fact_SortedWeights!$E$2:$E$89,Fact_SortedWeights!$C$2:$C$89,$A75,Fact_SortedWeights!$B$2:$B$89,$B75,Fact_SortedWeights!$D$2:$D$89,$C75)/SUMIFS(Fact_SortedWeights!$E$2:$E$89,Fact_SortedWeights!$C$2:$C$89,$A75,Fact_SortedWeights!$B$2:$B$89,$B75)*(IF($B75="Cardboard Recycling",SUMIFS(Fact_SortedWeights!$E$2:$E$89,Fact_SortedWeights!$C$2:$C$89,$A75,Fact_SortedWeights!$B$2:$B$89,$B75),SUMIFS(Fact_PreSortWeights!$E$2:$E$186,Fact_PreSortWeights!$C$2:$C$186,$A75,Fact_PreSortWeights!$B$2:$B$186,$B75))))</f>
        <v>0</v>
      </c>
      <c r="G75" s="0" t="n">
        <f aca="false">IF(AND(IF($B75="Trash",INDEX('Materials Master'!$F$2:$F$27,MATCH($C75,'Materials Master'!$A$2:$A$27,0)),IF($B75="GMPC Recycling",INDEX('Materials Master'!$G$2:$G$27,MATCH($C75,'Materials Master'!$A$2:$A$27,0)),IF($B75="Organics Recycling",INDEX('Materials Master'!$H$2:$H$27,MATCH($C75,'Materials Master'!$A$2:$A$27,0)),IF($B75="Cardboard Recycling",INDEX('Materials Master'!$I$2:$I$27,MATCH($C75,'Materials Master'!$A$2:$A$27,0)),IF($B75="Paper Recycling",INDEX('Materials Master'!$J$2:$J$27,MATCH($C75,'Materials Master'!$A$2:$A$27,0)),IF($B75="Terracycle",INDEX('Materials Master'!$K$2:$K$27,MATCH($C75,'Materials Master'!$A$2:$A$27,0)),"No"))))))="Yes",INDEX('Materials Master'!$E$2:$E$27,MATCH($C75,'Materials Master'!$A$2:$A$27,0))="Yes",$B75&lt;&gt;"Trash"),1,0)</f>
        <v>0</v>
      </c>
      <c r="H75" s="0" t="str">
        <f aca="false">INDEX('Materials Master'!$E$2:$E$27,MATCH($C75,'Materials Master'!$A$2:$A$27,0))</f>
        <v>No</v>
      </c>
      <c r="I75" s="0" t="str">
        <f aca="false">IFERROR(INDEX(Areas!$C$2:$C$6,MATCH($A75,Areas!$B$2:$B$6,0)),"")</f>
        <v>Rest of Building</v>
      </c>
      <c r="J75" s="0" t="n">
        <f aca="false">IF(IF($B75="Trash",INDEX('Materials Master'!$F$2:$F$27,MATCH($C75,'Materials Master'!$A$2:$A$27,0)),IF($B75="GMPC Recycling",INDEX('Materials Master'!$G$2:$G$27,MATCH($C75,'Materials Master'!$A$2:$A$27,0)),IF($B75="Organics Recycling",INDEX('Materials Master'!$H$2:$H$27,MATCH($C75,'Materials Master'!$A$2:$A$27,0)),IF($B75="Cardboard Recycling",INDEX('Materials Master'!$I$2:$I$27,MATCH($C75,'Materials Master'!$A$2:$A$27,0)),IF($B75="Paper Recycling",INDEX('Materials Master'!$J$2:$J$27,MATCH($C75,'Materials Master'!$A$2:$A$27,0)),IF($B75="Terracycle",INDEX('Materials Master'!$K$2:$K$27,MATCH($C75,'Materials Master'!$A$2:$A$27,0)),"No"))))))="Yes",1,0)</f>
        <v>0</v>
      </c>
    </row>
    <row r="76" customFormat="false" ht="15" hidden="false" customHeight="false" outlineLevel="0" collapsed="false">
      <c r="A76" s="0" t="s">
        <v>92</v>
      </c>
      <c r="B76" s="0" t="s">
        <v>105</v>
      </c>
      <c r="C76" s="0" t="s">
        <v>80</v>
      </c>
      <c r="D76" s="0" t="str">
        <f aca="false">IFERROR(INDEX('Materials Master'!$B$2:$B$27,MATCH($C76,'Materials Master'!$A$2:$A$27,0)),"")</f>
        <v>Other Unacceptable (specify)</v>
      </c>
      <c r="E76" s="0" t="str">
        <f aca="false">IFERROR(INDEX('Materials Master'!$C$2:$C$27,MATCH($C76,'Materials Master'!$A$2:$A$27,0)),"")</f>
        <v>Unacceptable</v>
      </c>
      <c r="F76" s="0" t="n">
        <f aca="false">IF(SUMIFS(Fact_SortedWeights!$E$2:$E$89,Fact_SortedWeights!$C$2:$C$89,$A76,Fact_SortedWeights!$B$2:$B$89,$B76)=0,0,SUMIFS(Fact_SortedWeights!$E$2:$E$89,Fact_SortedWeights!$C$2:$C$89,$A76,Fact_SortedWeights!$B$2:$B$89,$B76,Fact_SortedWeights!$D$2:$D$89,$C76)/SUMIFS(Fact_SortedWeights!$E$2:$E$89,Fact_SortedWeights!$C$2:$C$89,$A76,Fact_SortedWeights!$B$2:$B$89,$B76)*(IF($B76="Cardboard Recycling",SUMIFS(Fact_SortedWeights!$E$2:$E$89,Fact_SortedWeights!$C$2:$C$89,$A76,Fact_SortedWeights!$B$2:$B$89,$B76),SUMIFS(Fact_PreSortWeights!$E$2:$E$186,Fact_PreSortWeights!$C$2:$C$186,$A76,Fact_PreSortWeights!$B$2:$B$186,$B76))))</f>
        <v>3.28574766037787</v>
      </c>
      <c r="G76" s="0" t="n">
        <f aca="false">IF(AND(IF($B76="Trash",INDEX('Materials Master'!$F$2:$F$27,MATCH($C76,'Materials Master'!$A$2:$A$27,0)),IF($B76="GMPC Recycling",INDEX('Materials Master'!$G$2:$G$27,MATCH($C76,'Materials Master'!$A$2:$A$27,0)),IF($B76="Organics Recycling",INDEX('Materials Master'!$H$2:$H$27,MATCH($C76,'Materials Master'!$A$2:$A$27,0)),IF($B76="Cardboard Recycling",INDEX('Materials Master'!$I$2:$I$27,MATCH($C76,'Materials Master'!$A$2:$A$27,0)),IF($B76="Paper Recycling",INDEX('Materials Master'!$J$2:$J$27,MATCH($C76,'Materials Master'!$A$2:$A$27,0)),IF($B76="Terracycle",INDEX('Materials Master'!$K$2:$K$27,MATCH($C76,'Materials Master'!$A$2:$A$27,0)),"No"))))))="Yes",INDEX('Materials Master'!$E$2:$E$27,MATCH($C76,'Materials Master'!$A$2:$A$27,0))="Yes",$B76&lt;&gt;"Trash"),1,0)</f>
        <v>0</v>
      </c>
      <c r="H76" s="0" t="str">
        <f aca="false">INDEX('Materials Master'!$E$2:$E$27,MATCH($C76,'Materials Master'!$A$2:$A$27,0))</f>
        <v>No</v>
      </c>
      <c r="I76" s="0" t="str">
        <f aca="false">IFERROR(INDEX(Areas!$C$2:$C$6,MATCH($A76,Areas!$B$2:$B$6,0)),"")</f>
        <v>Rest of Building</v>
      </c>
      <c r="J76" s="0" t="n">
        <f aca="false">IF(IF($B76="Trash",INDEX('Materials Master'!$F$2:$F$27,MATCH($C76,'Materials Master'!$A$2:$A$27,0)),IF($B76="GMPC Recycling",INDEX('Materials Master'!$G$2:$G$27,MATCH($C76,'Materials Master'!$A$2:$A$27,0)),IF($B76="Organics Recycling",INDEX('Materials Master'!$H$2:$H$27,MATCH($C76,'Materials Master'!$A$2:$A$27,0)),IF($B76="Cardboard Recycling",INDEX('Materials Master'!$I$2:$I$27,MATCH($C76,'Materials Master'!$A$2:$A$27,0)),IF($B76="Paper Recycling",INDEX('Materials Master'!$J$2:$J$27,MATCH($C76,'Materials Master'!$A$2:$A$27,0)),IF($B76="Terracycle",INDEX('Materials Master'!$K$2:$K$27,MATCH($C76,'Materials Master'!$A$2:$A$27,0)),"No"))))))="Yes",1,0)</f>
        <v>0</v>
      </c>
    </row>
    <row r="77" customFormat="false" ht="15" hidden="false" customHeight="false" outlineLevel="0" collapsed="false">
      <c r="A77" s="0" t="s">
        <v>92</v>
      </c>
      <c r="B77" s="0" t="s">
        <v>105</v>
      </c>
      <c r="C77" s="0" t="s">
        <v>82</v>
      </c>
      <c r="D77" s="0" t="str">
        <f aca="false">IFERROR(INDEX('Materials Master'!$B$2:$B$27,MATCH($C77,'Materials Master'!$A$2:$A$27,0)),"")</f>
        <v>Liquids</v>
      </c>
      <c r="E77" s="0" t="str">
        <f aca="false">IFERROR(INDEX('Materials Master'!$C$2:$C$27,MATCH($C77,'Materials Master'!$A$2:$A$27,0)),"")</f>
        <v>Unacceptable</v>
      </c>
      <c r="F77" s="0" t="n">
        <f aca="false">IF(SUMIFS(Fact_SortedWeights!$E$2:$E$89,Fact_SortedWeights!$C$2:$C$89,$A77,Fact_SortedWeights!$B$2:$B$89,$B77)=0,0,SUMIFS(Fact_SortedWeights!$E$2:$E$89,Fact_SortedWeights!$C$2:$C$89,$A77,Fact_SortedWeights!$B$2:$B$89,$B77,Fact_SortedWeights!$D$2:$D$89,$C77)/SUMIFS(Fact_SortedWeights!$E$2:$E$89,Fact_SortedWeights!$C$2:$C$89,$A77,Fact_SortedWeights!$B$2:$B$89,$B77)*(IF($B77="Cardboard Recycling",SUMIFS(Fact_SortedWeights!$E$2:$E$89,Fact_SortedWeights!$C$2:$C$89,$A77,Fact_SortedWeights!$B$2:$B$89,$B77),SUMIFS(Fact_PreSortWeights!$E$2:$E$186,Fact_PreSortWeights!$C$2:$C$186,$A77,Fact_PreSortWeights!$B$2:$B$186,$B77))))</f>
        <v>22.598807437893</v>
      </c>
      <c r="G77" s="0" t="n">
        <f aca="false">IF(AND(IF($B77="Trash",INDEX('Materials Master'!$F$2:$F$27,MATCH($C77,'Materials Master'!$A$2:$A$27,0)),IF($B77="GMPC Recycling",INDEX('Materials Master'!$G$2:$G$27,MATCH($C77,'Materials Master'!$A$2:$A$27,0)),IF($B77="Organics Recycling",INDEX('Materials Master'!$H$2:$H$27,MATCH($C77,'Materials Master'!$A$2:$A$27,0)),IF($B77="Cardboard Recycling",INDEX('Materials Master'!$I$2:$I$27,MATCH($C77,'Materials Master'!$A$2:$A$27,0)),IF($B77="Paper Recycling",INDEX('Materials Master'!$J$2:$J$27,MATCH($C77,'Materials Master'!$A$2:$A$27,0)),IF($B77="Terracycle",INDEX('Materials Master'!$K$2:$K$27,MATCH($C77,'Materials Master'!$A$2:$A$27,0)),"No"))))))="Yes",INDEX('Materials Master'!$E$2:$E$27,MATCH($C77,'Materials Master'!$A$2:$A$27,0))="Yes",$B77&lt;&gt;"Trash"),1,0)</f>
        <v>0</v>
      </c>
      <c r="H77" s="0" t="str">
        <f aca="false">INDEX('Materials Master'!$E$2:$E$27,MATCH($C77,'Materials Master'!$A$2:$A$27,0))</f>
        <v>No</v>
      </c>
      <c r="I77" s="0" t="str">
        <f aca="false">IFERROR(INDEX(Areas!$C$2:$C$6,MATCH($A77,Areas!$B$2:$B$6,0)),"")</f>
        <v>Rest of Building</v>
      </c>
      <c r="J77" s="0" t="n">
        <f aca="false">IF(IF($B77="Trash",INDEX('Materials Master'!$F$2:$F$27,MATCH($C77,'Materials Master'!$A$2:$A$27,0)),IF($B77="GMPC Recycling",INDEX('Materials Master'!$G$2:$G$27,MATCH($C77,'Materials Master'!$A$2:$A$27,0)),IF($B77="Organics Recycling",INDEX('Materials Master'!$H$2:$H$27,MATCH($C77,'Materials Master'!$A$2:$A$27,0)),IF($B77="Cardboard Recycling",INDEX('Materials Master'!$I$2:$I$27,MATCH($C77,'Materials Master'!$A$2:$A$27,0)),IF($B77="Paper Recycling",INDEX('Materials Master'!$J$2:$J$27,MATCH($C77,'Materials Master'!$A$2:$A$27,0)),IF($B77="Terracycle",INDEX('Materials Master'!$K$2:$K$27,MATCH($C77,'Materials Master'!$A$2:$A$27,0)),"No"))))))="Yes",1,0)</f>
        <v>0</v>
      </c>
    </row>
    <row r="78" customFormat="false" ht="15" hidden="false" customHeight="false" outlineLevel="0" collapsed="false">
      <c r="A78" s="0" t="s">
        <v>92</v>
      </c>
      <c r="B78" s="0" t="s">
        <v>105</v>
      </c>
      <c r="C78" s="0" t="s">
        <v>84</v>
      </c>
      <c r="D78" s="0" t="str">
        <f aca="false">IFERROR(INDEX('Materials Master'!$B$2:$B$27,MATCH($C78,'Materials Master'!$A$2:$A$27,0)),"")</f>
        <v>Snack Wrappers (Composites)</v>
      </c>
      <c r="E78" s="0" t="str">
        <f aca="false">IFERROR(INDEX('Materials Master'!$C$2:$C$27,MATCH($C78,'Materials Master'!$A$2:$A$27,0)),"")</f>
        <v>Other</v>
      </c>
      <c r="F78" s="0" t="n">
        <f aca="false">IF(SUMIFS(Fact_SortedWeights!$E$2:$E$89,Fact_SortedWeights!$C$2:$C$89,$A78,Fact_SortedWeights!$B$2:$B$89,$B78)=0,0,SUMIFS(Fact_SortedWeights!$E$2:$E$89,Fact_SortedWeights!$C$2:$C$89,$A78,Fact_SortedWeights!$B$2:$B$89,$B78,Fact_SortedWeights!$D$2:$D$89,$C78)/SUMIFS(Fact_SortedWeights!$E$2:$E$89,Fact_SortedWeights!$C$2:$C$89,$A78,Fact_SortedWeights!$B$2:$B$89,$B78)*(IF($B78="Cardboard Recycling",SUMIFS(Fact_SortedWeights!$E$2:$E$89,Fact_SortedWeights!$C$2:$C$89,$A78,Fact_SortedWeights!$B$2:$B$89,$B78),SUMIFS(Fact_PreSortWeights!$E$2:$E$186,Fact_PreSortWeights!$C$2:$C$186,$A78,Fact_PreSortWeights!$B$2:$B$186,$B78))))</f>
        <v>3.17176244742359</v>
      </c>
      <c r="G78" s="0" t="n">
        <f aca="false">IF(AND(IF($B78="Trash",INDEX('Materials Master'!$F$2:$F$27,MATCH($C78,'Materials Master'!$A$2:$A$27,0)),IF($B78="GMPC Recycling",INDEX('Materials Master'!$G$2:$G$27,MATCH($C78,'Materials Master'!$A$2:$A$27,0)),IF($B78="Organics Recycling",INDEX('Materials Master'!$H$2:$H$27,MATCH($C78,'Materials Master'!$A$2:$A$27,0)),IF($B78="Cardboard Recycling",INDEX('Materials Master'!$I$2:$I$27,MATCH($C78,'Materials Master'!$A$2:$A$27,0)),IF($B78="Paper Recycling",INDEX('Materials Master'!$J$2:$J$27,MATCH($C78,'Materials Master'!$A$2:$A$27,0)),IF($B78="Terracycle",INDEX('Materials Master'!$K$2:$K$27,MATCH($C78,'Materials Master'!$A$2:$A$27,0)),"No"))))))="Yes",INDEX('Materials Master'!$E$2:$E$27,MATCH($C78,'Materials Master'!$A$2:$A$27,0))="Yes",$B78&lt;&gt;"Trash"),1,0)</f>
        <v>0</v>
      </c>
      <c r="H78" s="0" t="str">
        <f aca="false">INDEX('Materials Master'!$E$2:$E$27,MATCH($C78,'Materials Master'!$A$2:$A$27,0))</f>
        <v>Yes</v>
      </c>
      <c r="I78" s="0" t="str">
        <f aca="false">IFERROR(INDEX(Areas!$C$2:$C$6,MATCH($A78,Areas!$B$2:$B$6,0)),"")</f>
        <v>Rest of Building</v>
      </c>
      <c r="J78" s="0" t="n">
        <f aca="false">IF(IF($B78="Trash",INDEX('Materials Master'!$F$2:$F$27,MATCH($C78,'Materials Master'!$A$2:$A$27,0)),IF($B78="GMPC Recycling",INDEX('Materials Master'!$G$2:$G$27,MATCH($C78,'Materials Master'!$A$2:$A$27,0)),IF($B78="Organics Recycling",INDEX('Materials Master'!$H$2:$H$27,MATCH($C78,'Materials Master'!$A$2:$A$27,0)),IF($B78="Cardboard Recycling",INDEX('Materials Master'!$I$2:$I$27,MATCH($C78,'Materials Master'!$A$2:$A$27,0)),IF($B78="Paper Recycling",INDEX('Materials Master'!$J$2:$J$27,MATCH($C78,'Materials Master'!$A$2:$A$27,0)),IF($B78="Terracycle",INDEX('Materials Master'!$K$2:$K$27,MATCH($C78,'Materials Master'!$A$2:$A$27,0)),"No"))))))="Yes",1,0)</f>
        <v>0</v>
      </c>
    </row>
    <row r="79" customFormat="false" ht="15" hidden="false" customHeight="false" outlineLevel="0" collapsed="false">
      <c r="A79" s="0" t="s">
        <v>92</v>
      </c>
      <c r="B79" s="0" t="s">
        <v>105</v>
      </c>
      <c r="C79" s="0" t="s">
        <v>87</v>
      </c>
      <c r="D79" s="0" t="str">
        <f aca="false">IFERROR(INDEX('Materials Master'!$B$2:$B$27,MATCH($C79,'Materials Master'!$A$2:$A$27,0)),"")</f>
        <v>Other/Residual Materials</v>
      </c>
      <c r="E79" s="0" t="str">
        <f aca="false">IFERROR(INDEX('Materials Master'!$C$2:$C$27,MATCH($C79,'Materials Master'!$A$2:$A$27,0)),"")</f>
        <v>Other</v>
      </c>
      <c r="F79" s="0" t="n">
        <f aca="false">IF(SUMIFS(Fact_SortedWeights!$E$2:$E$89,Fact_SortedWeights!$C$2:$C$89,$A79,Fact_SortedWeights!$B$2:$B$89,$B79)=0,0,SUMIFS(Fact_SortedWeights!$E$2:$E$89,Fact_SortedWeights!$C$2:$C$89,$A79,Fact_SortedWeights!$B$2:$B$89,$B79,Fact_SortedWeights!$D$2:$D$89,$C79)/SUMIFS(Fact_SortedWeights!$E$2:$E$89,Fact_SortedWeights!$C$2:$C$89,$A79,Fact_SortedWeights!$B$2:$B$89,$B79)*(IF($B79="Cardboard Recycling",SUMIFS(Fact_SortedWeights!$E$2:$E$89,Fact_SortedWeights!$C$2:$C$89,$A79,Fact_SortedWeights!$B$2:$B$89,$B79),SUMIFS(Fact_PreSortWeights!$E$2:$E$186,Fact_PreSortWeights!$C$2:$C$186,$A79,Fact_PreSortWeights!$B$2:$B$186,$B79))))</f>
        <v>4.36117336520743</v>
      </c>
      <c r="G79" s="0" t="n">
        <f aca="false">IF(AND(IF($B79="Trash",INDEX('Materials Master'!$F$2:$F$27,MATCH($C79,'Materials Master'!$A$2:$A$27,0)),IF($B79="GMPC Recycling",INDEX('Materials Master'!$G$2:$G$27,MATCH($C79,'Materials Master'!$A$2:$A$27,0)),IF($B79="Organics Recycling",INDEX('Materials Master'!$H$2:$H$27,MATCH($C79,'Materials Master'!$A$2:$A$27,0)),IF($B79="Cardboard Recycling",INDEX('Materials Master'!$I$2:$I$27,MATCH($C79,'Materials Master'!$A$2:$A$27,0)),IF($B79="Paper Recycling",INDEX('Materials Master'!$J$2:$J$27,MATCH($C79,'Materials Master'!$A$2:$A$27,0)),IF($B79="Terracycle",INDEX('Materials Master'!$K$2:$K$27,MATCH($C79,'Materials Master'!$A$2:$A$27,0)),"No"))))))="Yes",INDEX('Materials Master'!$E$2:$E$27,MATCH($C79,'Materials Master'!$A$2:$A$27,0))="Yes",$B79&lt;&gt;"Trash"),1,0)</f>
        <v>0</v>
      </c>
      <c r="H79" s="0" t="str">
        <f aca="false">INDEX('Materials Master'!$E$2:$E$27,MATCH($C79,'Materials Master'!$A$2:$A$27,0))</f>
        <v>No</v>
      </c>
      <c r="I79" s="0" t="str">
        <f aca="false">IFERROR(INDEX(Areas!$C$2:$C$6,MATCH($A79,Areas!$B$2:$B$6,0)),"")</f>
        <v>Rest of Building</v>
      </c>
      <c r="J79" s="0" t="n">
        <f aca="false">IF(IF($B79="Trash",INDEX('Materials Master'!$F$2:$F$27,MATCH($C79,'Materials Master'!$A$2:$A$27,0)),IF($B79="GMPC Recycling",INDEX('Materials Master'!$G$2:$G$27,MATCH($C79,'Materials Master'!$A$2:$A$27,0)),IF($B79="Organics Recycling",INDEX('Materials Master'!$H$2:$H$27,MATCH($C79,'Materials Master'!$A$2:$A$27,0)),IF($B79="Cardboard Recycling",INDEX('Materials Master'!$I$2:$I$27,MATCH($C79,'Materials Master'!$A$2:$A$27,0)),IF($B79="Paper Recycling",INDEX('Materials Master'!$J$2:$J$27,MATCH($C79,'Materials Master'!$A$2:$A$27,0)),IF($B79="Terracycle",INDEX('Materials Master'!$K$2:$K$27,MATCH($C79,'Materials Master'!$A$2:$A$27,0)),"No"))))))="Yes",1,0)</f>
        <v>0</v>
      </c>
    </row>
    <row r="80" customFormat="false" ht="15" hidden="false" customHeight="false" outlineLevel="0" collapsed="false">
      <c r="A80" s="0" t="s">
        <v>92</v>
      </c>
      <c r="B80" s="0" t="s">
        <v>106</v>
      </c>
      <c r="C80" s="0" t="s">
        <v>28</v>
      </c>
      <c r="D80" s="0" t="str">
        <f aca="false">IFERROR(INDEX('Materials Master'!$B$2:$B$27,MATCH($C80,'Materials Master'!$A$2:$A$27,0)),"")</f>
        <v>Corrugated Cardboard</v>
      </c>
      <c r="E80" s="0" t="str">
        <f aca="false">IFERROR(INDEX('Materials Master'!$C$2:$C$27,MATCH($C80,'Materials Master'!$A$2:$A$27,0)),"")</f>
        <v>Fibers</v>
      </c>
      <c r="F80" s="0" t="n">
        <f aca="false">IF(SUMIFS(Fact_SortedWeights!$E$2:$E$89,Fact_SortedWeights!$C$2:$C$89,$A80,Fact_SortedWeights!$B$2:$B$89,$B80)=0,0,SUMIFS(Fact_SortedWeights!$E$2:$E$89,Fact_SortedWeights!$C$2:$C$89,$A80,Fact_SortedWeights!$B$2:$B$89,$B80,Fact_SortedWeights!$D$2:$D$89,$C80)/SUMIFS(Fact_SortedWeights!$E$2:$E$89,Fact_SortedWeights!$C$2:$C$89,$A80,Fact_SortedWeights!$B$2:$B$89,$B80)*(IF($B80="Cardboard Recycling",SUMIFS(Fact_SortedWeights!$E$2:$E$89,Fact_SortedWeights!$C$2:$C$89,$A80,Fact_SortedWeights!$B$2:$B$89,$B80),SUMIFS(Fact_PreSortWeights!$E$2:$E$186,Fact_PreSortWeights!$C$2:$C$186,$A80,Fact_PreSortWeights!$B$2:$B$186,$B80))))</f>
        <v>301.78</v>
      </c>
      <c r="G80" s="0" t="n">
        <f aca="false">IF(AND(IF($B80="Trash",INDEX('Materials Master'!$F$2:$F$27,MATCH($C80,'Materials Master'!$A$2:$A$27,0)),IF($B80="GMPC Recycling",INDEX('Materials Master'!$G$2:$G$27,MATCH($C80,'Materials Master'!$A$2:$A$27,0)),IF($B80="Organics Recycling",INDEX('Materials Master'!$H$2:$H$27,MATCH($C80,'Materials Master'!$A$2:$A$27,0)),IF($B80="Cardboard Recycling",INDEX('Materials Master'!$I$2:$I$27,MATCH($C80,'Materials Master'!$A$2:$A$27,0)),IF($B80="Paper Recycling",INDEX('Materials Master'!$J$2:$J$27,MATCH($C80,'Materials Master'!$A$2:$A$27,0)),IF($B80="Terracycle",INDEX('Materials Master'!$K$2:$K$27,MATCH($C80,'Materials Master'!$A$2:$A$27,0)),"No"))))))="Yes",INDEX('Materials Master'!$E$2:$E$27,MATCH($C80,'Materials Master'!$A$2:$A$27,0))="Yes",$B80&lt;&gt;"Trash"),1,0)</f>
        <v>1</v>
      </c>
      <c r="H80" s="0" t="str">
        <f aca="false">INDEX('Materials Master'!$E$2:$E$27,MATCH($C80,'Materials Master'!$A$2:$A$27,0))</f>
        <v>Yes</v>
      </c>
      <c r="I80" s="0" t="str">
        <f aca="false">IFERROR(INDEX(Areas!$C$2:$C$6,MATCH($A80,Areas!$B$2:$B$6,0)),"")</f>
        <v>Rest of Building</v>
      </c>
      <c r="J80" s="0" t="n">
        <f aca="false">IF(IF($B80="Trash",INDEX('Materials Master'!$F$2:$F$27,MATCH($C80,'Materials Master'!$A$2:$A$27,0)),IF($B80="GMPC Recycling",INDEX('Materials Master'!$G$2:$G$27,MATCH($C80,'Materials Master'!$A$2:$A$27,0)),IF($B80="Organics Recycling",INDEX('Materials Master'!$H$2:$H$27,MATCH($C80,'Materials Master'!$A$2:$A$27,0)),IF($B80="Cardboard Recycling",INDEX('Materials Master'!$I$2:$I$27,MATCH($C80,'Materials Master'!$A$2:$A$27,0)),IF($B80="Paper Recycling",INDEX('Materials Master'!$J$2:$J$27,MATCH($C80,'Materials Master'!$A$2:$A$27,0)),IF($B80="Terracycle",INDEX('Materials Master'!$K$2:$K$27,MATCH($C80,'Materials Master'!$A$2:$A$27,0)),"No"))))))="Yes",1,0)</f>
        <v>1</v>
      </c>
    </row>
    <row r="81" customFormat="false" ht="15" hidden="false" customHeight="false" outlineLevel="0" collapsed="false">
      <c r="A81" s="0" t="s">
        <v>92</v>
      </c>
      <c r="B81" s="0" t="s">
        <v>106</v>
      </c>
      <c r="C81" s="0" t="s">
        <v>33</v>
      </c>
      <c r="D81" s="0" t="str">
        <f aca="false">IFERROR(INDEX('Materials Master'!$B$2:$B$27,MATCH($C81,'Materials Master'!$A$2:$A$27,0)),"")</f>
        <v>Soiled Cardboard</v>
      </c>
      <c r="E81" s="0" t="str">
        <f aca="false">IFERROR(INDEX('Materials Master'!$C$2:$C$27,MATCH($C81,'Materials Master'!$A$2:$A$27,0)),"")</f>
        <v>Fibers</v>
      </c>
      <c r="F81" s="0" t="n">
        <f aca="false">IF(SUMIFS(Fact_SortedWeights!$E$2:$E$89,Fact_SortedWeights!$C$2:$C$89,$A81,Fact_SortedWeights!$B$2:$B$89,$B81)=0,0,SUMIFS(Fact_SortedWeights!$E$2:$E$89,Fact_SortedWeights!$C$2:$C$89,$A81,Fact_SortedWeights!$B$2:$B$89,$B81,Fact_SortedWeights!$D$2:$D$89,$C81)/SUMIFS(Fact_SortedWeights!$E$2:$E$89,Fact_SortedWeights!$C$2:$C$89,$A81,Fact_SortedWeights!$B$2:$B$89,$B81)*(IF($B81="Cardboard Recycling",SUMIFS(Fact_SortedWeights!$E$2:$E$89,Fact_SortedWeights!$C$2:$C$89,$A81,Fact_SortedWeights!$B$2:$B$89,$B81),SUMIFS(Fact_PreSortWeights!$E$2:$E$186,Fact_PreSortWeights!$C$2:$C$186,$A81,Fact_PreSortWeights!$B$2:$B$186,$B81))))</f>
        <v>0</v>
      </c>
      <c r="G81" s="0" t="n">
        <f aca="false">IF(AND(IF($B81="Trash",INDEX('Materials Master'!$F$2:$F$27,MATCH($C81,'Materials Master'!$A$2:$A$27,0)),IF($B81="GMPC Recycling",INDEX('Materials Master'!$G$2:$G$27,MATCH($C81,'Materials Master'!$A$2:$A$27,0)),IF($B81="Organics Recycling",INDEX('Materials Master'!$H$2:$H$27,MATCH($C81,'Materials Master'!$A$2:$A$27,0)),IF($B81="Cardboard Recycling",INDEX('Materials Master'!$I$2:$I$27,MATCH($C81,'Materials Master'!$A$2:$A$27,0)),IF($B81="Paper Recycling",INDEX('Materials Master'!$J$2:$J$27,MATCH($C81,'Materials Master'!$A$2:$A$27,0)),IF($B81="Terracycle",INDEX('Materials Master'!$K$2:$K$27,MATCH($C81,'Materials Master'!$A$2:$A$27,0)),"No"))))))="Yes",INDEX('Materials Master'!$E$2:$E$27,MATCH($C81,'Materials Master'!$A$2:$A$27,0))="Yes",$B81&lt;&gt;"Trash"),1,0)</f>
        <v>0</v>
      </c>
      <c r="H81" s="0" t="str">
        <f aca="false">INDEX('Materials Master'!$E$2:$E$27,MATCH($C81,'Materials Master'!$A$2:$A$27,0))</f>
        <v>No</v>
      </c>
      <c r="I81" s="0" t="str">
        <f aca="false">IFERROR(INDEX(Areas!$C$2:$C$6,MATCH($A81,Areas!$B$2:$B$6,0)),"")</f>
        <v>Rest of Building</v>
      </c>
      <c r="J81" s="0" t="n">
        <f aca="false">IF(IF($B81="Trash",INDEX('Materials Master'!$F$2:$F$27,MATCH($C81,'Materials Master'!$A$2:$A$27,0)),IF($B81="GMPC Recycling",INDEX('Materials Master'!$G$2:$G$27,MATCH($C81,'Materials Master'!$A$2:$A$27,0)),IF($B81="Organics Recycling",INDEX('Materials Master'!$H$2:$H$27,MATCH($C81,'Materials Master'!$A$2:$A$27,0)),IF($B81="Cardboard Recycling",INDEX('Materials Master'!$I$2:$I$27,MATCH($C81,'Materials Master'!$A$2:$A$27,0)),IF($B81="Paper Recycling",INDEX('Materials Master'!$J$2:$J$27,MATCH($C81,'Materials Master'!$A$2:$A$27,0)),IF($B81="Terracycle",INDEX('Materials Master'!$K$2:$K$27,MATCH($C81,'Materials Master'!$A$2:$A$27,0)),"No"))))))="Yes",1,0)</f>
        <v>0</v>
      </c>
    </row>
    <row r="82" customFormat="false" ht="15" hidden="false" customHeight="false" outlineLevel="0" collapsed="false">
      <c r="A82" s="0" t="s">
        <v>92</v>
      </c>
      <c r="B82" s="0" t="s">
        <v>106</v>
      </c>
      <c r="C82" s="0" t="s">
        <v>35</v>
      </c>
      <c r="D82" s="0" t="str">
        <f aca="false">IFERROR(INDEX('Materials Master'!$B$2:$B$27,MATCH($C82,'Materials Master'!$A$2:$A$27,0)),"")</f>
        <v>Waxed Cardboard</v>
      </c>
      <c r="E82" s="0" t="str">
        <f aca="false">IFERROR(INDEX('Materials Master'!$C$2:$C$27,MATCH($C82,'Materials Master'!$A$2:$A$27,0)),"")</f>
        <v>Fibers</v>
      </c>
      <c r="F82" s="0" t="n">
        <f aca="false">IF(SUMIFS(Fact_SortedWeights!$E$2:$E$89,Fact_SortedWeights!$C$2:$C$89,$A82,Fact_SortedWeights!$B$2:$B$89,$B82)=0,0,SUMIFS(Fact_SortedWeights!$E$2:$E$89,Fact_SortedWeights!$C$2:$C$89,$A82,Fact_SortedWeights!$B$2:$B$89,$B82,Fact_SortedWeights!$D$2:$D$89,$C82)/SUMIFS(Fact_SortedWeights!$E$2:$E$89,Fact_SortedWeights!$C$2:$C$89,$A82,Fact_SortedWeights!$B$2:$B$89,$B82)*(IF($B82="Cardboard Recycling",SUMIFS(Fact_SortedWeights!$E$2:$E$89,Fact_SortedWeights!$C$2:$C$89,$A82,Fact_SortedWeights!$B$2:$B$89,$B82),SUMIFS(Fact_PreSortWeights!$E$2:$E$186,Fact_PreSortWeights!$C$2:$C$186,$A82,Fact_PreSortWeights!$B$2:$B$186,$B82))))</f>
        <v>4.4</v>
      </c>
      <c r="G82" s="0" t="n">
        <f aca="false">IF(AND(IF($B82="Trash",INDEX('Materials Master'!$F$2:$F$27,MATCH($C82,'Materials Master'!$A$2:$A$27,0)),IF($B82="GMPC Recycling",INDEX('Materials Master'!$G$2:$G$27,MATCH($C82,'Materials Master'!$A$2:$A$27,0)),IF($B82="Organics Recycling",INDEX('Materials Master'!$H$2:$H$27,MATCH($C82,'Materials Master'!$A$2:$A$27,0)),IF($B82="Cardboard Recycling",INDEX('Materials Master'!$I$2:$I$27,MATCH($C82,'Materials Master'!$A$2:$A$27,0)),IF($B82="Paper Recycling",INDEX('Materials Master'!$J$2:$J$27,MATCH($C82,'Materials Master'!$A$2:$A$27,0)),IF($B82="Terracycle",INDEX('Materials Master'!$K$2:$K$27,MATCH($C82,'Materials Master'!$A$2:$A$27,0)),"No"))))))="Yes",INDEX('Materials Master'!$E$2:$E$27,MATCH($C82,'Materials Master'!$A$2:$A$27,0))="Yes",$B82&lt;&gt;"Trash"),1,0)</f>
        <v>0</v>
      </c>
      <c r="H82" s="0" t="str">
        <f aca="false">INDEX('Materials Master'!$E$2:$E$27,MATCH($C82,'Materials Master'!$A$2:$A$27,0))</f>
        <v>No</v>
      </c>
      <c r="I82" s="0" t="str">
        <f aca="false">IFERROR(INDEX(Areas!$C$2:$C$6,MATCH($A82,Areas!$B$2:$B$6,0)),"")</f>
        <v>Rest of Building</v>
      </c>
      <c r="J82" s="0" t="n">
        <f aca="false">IF(IF($B82="Trash",INDEX('Materials Master'!$F$2:$F$27,MATCH($C82,'Materials Master'!$A$2:$A$27,0)),IF($B82="GMPC Recycling",INDEX('Materials Master'!$G$2:$G$27,MATCH($C82,'Materials Master'!$A$2:$A$27,0)),IF($B82="Organics Recycling",INDEX('Materials Master'!$H$2:$H$27,MATCH($C82,'Materials Master'!$A$2:$A$27,0)),IF($B82="Cardboard Recycling",INDEX('Materials Master'!$I$2:$I$27,MATCH($C82,'Materials Master'!$A$2:$A$27,0)),IF($B82="Paper Recycling",INDEX('Materials Master'!$J$2:$J$27,MATCH($C82,'Materials Master'!$A$2:$A$27,0)),IF($B82="Terracycle",INDEX('Materials Master'!$K$2:$K$27,MATCH($C82,'Materials Master'!$A$2:$A$27,0)),"No"))))))="Yes",1,0)</f>
        <v>0</v>
      </c>
    </row>
    <row r="83" customFormat="false" ht="15" hidden="false" customHeight="false" outlineLevel="0" collapsed="false">
      <c r="A83" s="0" t="s">
        <v>92</v>
      </c>
      <c r="B83" s="0" t="s">
        <v>106</v>
      </c>
      <c r="C83" s="0" t="s">
        <v>37</v>
      </c>
      <c r="D83" s="0" t="str">
        <f aca="false">IFERROR(INDEX('Materials Master'!$B$2:$B$27,MATCH($C83,'Materials Master'!$A$2:$A$27,0)),"")</f>
        <v>Mixed Paper</v>
      </c>
      <c r="E83" s="0" t="str">
        <f aca="false">IFERROR(INDEX('Materials Master'!$C$2:$C$27,MATCH($C83,'Materials Master'!$A$2:$A$27,0)),"")</f>
        <v>Fibers</v>
      </c>
      <c r="F83" s="0" t="n">
        <f aca="false">IF(SUMIFS(Fact_SortedWeights!$E$2:$E$89,Fact_SortedWeights!$C$2:$C$89,$A83,Fact_SortedWeights!$B$2:$B$89,$B83)=0,0,SUMIFS(Fact_SortedWeights!$E$2:$E$89,Fact_SortedWeights!$C$2:$C$89,$A83,Fact_SortedWeights!$B$2:$B$89,$B83,Fact_SortedWeights!$D$2:$D$89,$C83)/SUMIFS(Fact_SortedWeights!$E$2:$E$89,Fact_SortedWeights!$C$2:$C$89,$A83,Fact_SortedWeights!$B$2:$B$89,$B83)*(IF($B83="Cardboard Recycling",SUMIFS(Fact_SortedWeights!$E$2:$E$89,Fact_SortedWeights!$C$2:$C$89,$A83,Fact_SortedWeights!$B$2:$B$89,$B83),SUMIFS(Fact_PreSortWeights!$E$2:$E$186,Fact_PreSortWeights!$C$2:$C$186,$A83,Fact_PreSortWeights!$B$2:$B$186,$B83))))</f>
        <v>33.2</v>
      </c>
      <c r="G83" s="0" t="n">
        <f aca="false">IF(AND(IF($B83="Trash",INDEX('Materials Master'!$F$2:$F$27,MATCH($C83,'Materials Master'!$A$2:$A$27,0)),IF($B83="GMPC Recycling",INDEX('Materials Master'!$G$2:$G$27,MATCH($C83,'Materials Master'!$A$2:$A$27,0)),IF($B83="Organics Recycling",INDEX('Materials Master'!$H$2:$H$27,MATCH($C83,'Materials Master'!$A$2:$A$27,0)),IF($B83="Cardboard Recycling",INDEX('Materials Master'!$I$2:$I$27,MATCH($C83,'Materials Master'!$A$2:$A$27,0)),IF($B83="Paper Recycling",INDEX('Materials Master'!$J$2:$J$27,MATCH($C83,'Materials Master'!$A$2:$A$27,0)),IF($B83="Terracycle",INDEX('Materials Master'!$K$2:$K$27,MATCH($C83,'Materials Master'!$A$2:$A$27,0)),"No"))))))="Yes",INDEX('Materials Master'!$E$2:$E$27,MATCH($C83,'Materials Master'!$A$2:$A$27,0))="Yes",$B83&lt;&gt;"Trash"),1,0)</f>
        <v>1</v>
      </c>
      <c r="H83" s="0" t="str">
        <f aca="false">INDEX('Materials Master'!$E$2:$E$27,MATCH($C83,'Materials Master'!$A$2:$A$27,0))</f>
        <v>Yes</v>
      </c>
      <c r="I83" s="0" t="str">
        <f aca="false">IFERROR(INDEX(Areas!$C$2:$C$6,MATCH($A83,Areas!$B$2:$B$6,0)),"")</f>
        <v>Rest of Building</v>
      </c>
      <c r="J83" s="0" t="n">
        <f aca="false">IF(IF($B83="Trash",INDEX('Materials Master'!$F$2:$F$27,MATCH($C83,'Materials Master'!$A$2:$A$27,0)),IF($B83="GMPC Recycling",INDEX('Materials Master'!$G$2:$G$27,MATCH($C83,'Materials Master'!$A$2:$A$27,0)),IF($B83="Organics Recycling",INDEX('Materials Master'!$H$2:$H$27,MATCH($C83,'Materials Master'!$A$2:$A$27,0)),IF($B83="Cardboard Recycling",INDEX('Materials Master'!$I$2:$I$27,MATCH($C83,'Materials Master'!$A$2:$A$27,0)),IF($B83="Paper Recycling",INDEX('Materials Master'!$J$2:$J$27,MATCH($C83,'Materials Master'!$A$2:$A$27,0)),IF($B83="Terracycle",INDEX('Materials Master'!$K$2:$K$27,MATCH($C83,'Materials Master'!$A$2:$A$27,0)),"No"))))))="Yes",1,0)</f>
        <v>1</v>
      </c>
    </row>
    <row r="84" customFormat="false" ht="15" hidden="false" customHeight="false" outlineLevel="0" collapsed="false">
      <c r="A84" s="0" t="s">
        <v>92</v>
      </c>
      <c r="B84" s="0" t="s">
        <v>106</v>
      </c>
      <c r="C84" s="0" t="s">
        <v>39</v>
      </c>
      <c r="D84" s="0" t="str">
        <f aca="false">IFERROR(INDEX('Materials Master'!$B$2:$B$27,MATCH($C84,'Materials Master'!$A$2:$A$27,0)),"")</f>
        <v>Soiled Paper</v>
      </c>
      <c r="E84" s="0" t="str">
        <f aca="false">IFERROR(INDEX('Materials Master'!$C$2:$C$27,MATCH($C84,'Materials Master'!$A$2:$A$27,0)),"")</f>
        <v>Fibers</v>
      </c>
      <c r="F84" s="0" t="n">
        <f aca="false">IF(SUMIFS(Fact_SortedWeights!$E$2:$E$89,Fact_SortedWeights!$C$2:$C$89,$A84,Fact_SortedWeights!$B$2:$B$89,$B84)=0,0,SUMIFS(Fact_SortedWeights!$E$2:$E$89,Fact_SortedWeights!$C$2:$C$89,$A84,Fact_SortedWeights!$B$2:$B$89,$B84,Fact_SortedWeights!$D$2:$D$89,$C84)/SUMIFS(Fact_SortedWeights!$E$2:$E$89,Fact_SortedWeights!$C$2:$C$89,$A84,Fact_SortedWeights!$B$2:$B$89,$B84)*(IF($B84="Cardboard Recycling",SUMIFS(Fact_SortedWeights!$E$2:$E$89,Fact_SortedWeights!$C$2:$C$89,$A84,Fact_SortedWeights!$B$2:$B$89,$B84),SUMIFS(Fact_PreSortWeights!$E$2:$E$186,Fact_PreSortWeights!$C$2:$C$186,$A84,Fact_PreSortWeights!$B$2:$B$186,$B84))))</f>
        <v>0</v>
      </c>
      <c r="G84" s="0" t="n">
        <f aca="false">IF(AND(IF($B84="Trash",INDEX('Materials Master'!$F$2:$F$27,MATCH($C84,'Materials Master'!$A$2:$A$27,0)),IF($B84="GMPC Recycling",INDEX('Materials Master'!$G$2:$G$27,MATCH($C84,'Materials Master'!$A$2:$A$27,0)),IF($B84="Organics Recycling",INDEX('Materials Master'!$H$2:$H$27,MATCH($C84,'Materials Master'!$A$2:$A$27,0)),IF($B84="Cardboard Recycling",INDEX('Materials Master'!$I$2:$I$27,MATCH($C84,'Materials Master'!$A$2:$A$27,0)),IF($B84="Paper Recycling",INDEX('Materials Master'!$J$2:$J$27,MATCH($C84,'Materials Master'!$A$2:$A$27,0)),IF($B84="Terracycle",INDEX('Materials Master'!$K$2:$K$27,MATCH($C84,'Materials Master'!$A$2:$A$27,0)),"No"))))))="Yes",INDEX('Materials Master'!$E$2:$E$27,MATCH($C84,'Materials Master'!$A$2:$A$27,0))="Yes",$B84&lt;&gt;"Trash"),1,0)</f>
        <v>0</v>
      </c>
      <c r="H84" s="0" t="str">
        <f aca="false">INDEX('Materials Master'!$E$2:$E$27,MATCH($C84,'Materials Master'!$A$2:$A$27,0))</f>
        <v>No</v>
      </c>
      <c r="I84" s="0" t="str">
        <f aca="false">IFERROR(INDEX(Areas!$C$2:$C$6,MATCH($A84,Areas!$B$2:$B$6,0)),"")</f>
        <v>Rest of Building</v>
      </c>
      <c r="J84" s="0" t="n">
        <f aca="false">IF(IF($B84="Trash",INDEX('Materials Master'!$F$2:$F$27,MATCH($C84,'Materials Master'!$A$2:$A$27,0)),IF($B84="GMPC Recycling",INDEX('Materials Master'!$G$2:$G$27,MATCH($C84,'Materials Master'!$A$2:$A$27,0)),IF($B84="Organics Recycling",INDEX('Materials Master'!$H$2:$H$27,MATCH($C84,'Materials Master'!$A$2:$A$27,0)),IF($B84="Cardboard Recycling",INDEX('Materials Master'!$I$2:$I$27,MATCH($C84,'Materials Master'!$A$2:$A$27,0)),IF($B84="Paper Recycling",INDEX('Materials Master'!$J$2:$J$27,MATCH($C84,'Materials Master'!$A$2:$A$27,0)),IF($B84="Terracycle",INDEX('Materials Master'!$K$2:$K$27,MATCH($C84,'Materials Master'!$A$2:$A$27,0)),"No"))))))="Yes",1,0)</f>
        <v>0</v>
      </c>
    </row>
    <row r="85" customFormat="false" ht="15" hidden="false" customHeight="false" outlineLevel="0" collapsed="false">
      <c r="A85" s="0" t="s">
        <v>92</v>
      </c>
      <c r="B85" s="0" t="s">
        <v>106</v>
      </c>
      <c r="C85" s="0" t="s">
        <v>41</v>
      </c>
      <c r="D85" s="0" t="str">
        <f aca="false">IFERROR(INDEX('Materials Master'!$B$2:$B$27,MATCH($C85,'Materials Master'!$A$2:$A$27,0)),"")</f>
        <v>Beverage Cartons</v>
      </c>
      <c r="E85" s="0" t="str">
        <f aca="false">IFERROR(INDEX('Materials Master'!$C$2:$C$27,MATCH($C85,'Materials Master'!$A$2:$A$27,0)),"")</f>
        <v>Fibers</v>
      </c>
      <c r="F85" s="0" t="n">
        <f aca="false">IF(SUMIFS(Fact_SortedWeights!$E$2:$E$89,Fact_SortedWeights!$C$2:$C$89,$A85,Fact_SortedWeights!$B$2:$B$89,$B85)=0,0,SUMIFS(Fact_SortedWeights!$E$2:$E$89,Fact_SortedWeights!$C$2:$C$89,$A85,Fact_SortedWeights!$B$2:$B$89,$B85,Fact_SortedWeights!$D$2:$D$89,$C85)/SUMIFS(Fact_SortedWeights!$E$2:$E$89,Fact_SortedWeights!$C$2:$C$89,$A85,Fact_SortedWeights!$B$2:$B$89,$B85)*(IF($B85="Cardboard Recycling",SUMIFS(Fact_SortedWeights!$E$2:$E$89,Fact_SortedWeights!$C$2:$C$89,$A85,Fact_SortedWeights!$B$2:$B$89,$B85),SUMIFS(Fact_PreSortWeights!$E$2:$E$186,Fact_PreSortWeights!$C$2:$C$186,$A85,Fact_PreSortWeights!$B$2:$B$186,$B85))))</f>
        <v>0.163125</v>
      </c>
      <c r="G85" s="0" t="n">
        <f aca="false">IF(AND(IF($B85="Trash",INDEX('Materials Master'!$F$2:$F$27,MATCH($C85,'Materials Master'!$A$2:$A$27,0)),IF($B85="GMPC Recycling",INDEX('Materials Master'!$G$2:$G$27,MATCH($C85,'Materials Master'!$A$2:$A$27,0)),IF($B85="Organics Recycling",INDEX('Materials Master'!$H$2:$H$27,MATCH($C85,'Materials Master'!$A$2:$A$27,0)),IF($B85="Cardboard Recycling",INDEX('Materials Master'!$I$2:$I$27,MATCH($C85,'Materials Master'!$A$2:$A$27,0)),IF($B85="Paper Recycling",INDEX('Materials Master'!$J$2:$J$27,MATCH($C85,'Materials Master'!$A$2:$A$27,0)),IF($B85="Terracycle",INDEX('Materials Master'!$K$2:$K$27,MATCH($C85,'Materials Master'!$A$2:$A$27,0)),"No"))))))="Yes",INDEX('Materials Master'!$E$2:$E$27,MATCH($C85,'Materials Master'!$A$2:$A$27,0))="Yes",$B85&lt;&gt;"Trash"),1,0)</f>
        <v>1</v>
      </c>
      <c r="H85" s="0" t="str">
        <f aca="false">INDEX('Materials Master'!$E$2:$E$27,MATCH($C85,'Materials Master'!$A$2:$A$27,0))</f>
        <v>Yes</v>
      </c>
      <c r="I85" s="0" t="str">
        <f aca="false">IFERROR(INDEX(Areas!$C$2:$C$6,MATCH($A85,Areas!$B$2:$B$6,0)),"")</f>
        <v>Rest of Building</v>
      </c>
      <c r="J85" s="0" t="n">
        <f aca="false">IF(IF($B85="Trash",INDEX('Materials Master'!$F$2:$F$27,MATCH($C85,'Materials Master'!$A$2:$A$27,0)),IF($B85="GMPC Recycling",INDEX('Materials Master'!$G$2:$G$27,MATCH($C85,'Materials Master'!$A$2:$A$27,0)),IF($B85="Organics Recycling",INDEX('Materials Master'!$H$2:$H$27,MATCH($C85,'Materials Master'!$A$2:$A$27,0)),IF($B85="Cardboard Recycling",INDEX('Materials Master'!$I$2:$I$27,MATCH($C85,'Materials Master'!$A$2:$A$27,0)),IF($B85="Paper Recycling",INDEX('Materials Master'!$J$2:$J$27,MATCH($C85,'Materials Master'!$A$2:$A$27,0)),IF($B85="Terracycle",INDEX('Materials Master'!$K$2:$K$27,MATCH($C85,'Materials Master'!$A$2:$A$27,0)),"No"))))))="Yes",1,0)</f>
        <v>1</v>
      </c>
    </row>
    <row r="86" customFormat="false" ht="15" hidden="false" customHeight="false" outlineLevel="0" collapsed="false">
      <c r="A86" s="0" t="s">
        <v>92</v>
      </c>
      <c r="B86" s="0" t="s">
        <v>106</v>
      </c>
      <c r="C86" s="0" t="s">
        <v>43</v>
      </c>
      <c r="D86" s="0" t="str">
        <f aca="false">IFERROR(INDEX('Materials Master'!$B$2:$B$27,MATCH($C86,'Materials Master'!$A$2:$A$27,0)),"")</f>
        <v>Soiled Beverage Cartons</v>
      </c>
      <c r="E86" s="0" t="str">
        <f aca="false">IFERROR(INDEX('Materials Master'!$C$2:$C$27,MATCH($C86,'Materials Master'!$A$2:$A$27,0)),"")</f>
        <v>Fibers</v>
      </c>
      <c r="F86" s="0" t="n">
        <f aca="false">IF(SUMIFS(Fact_SortedWeights!$E$2:$E$89,Fact_SortedWeights!$C$2:$C$89,$A86,Fact_SortedWeights!$B$2:$B$89,$B86)=0,0,SUMIFS(Fact_SortedWeights!$E$2:$E$89,Fact_SortedWeights!$C$2:$C$89,$A86,Fact_SortedWeights!$B$2:$B$89,$B86,Fact_SortedWeights!$D$2:$D$89,$C86)/SUMIFS(Fact_SortedWeights!$E$2:$E$89,Fact_SortedWeights!$C$2:$C$89,$A86,Fact_SortedWeights!$B$2:$B$89,$B86)*(IF($B86="Cardboard Recycling",SUMIFS(Fact_SortedWeights!$E$2:$E$89,Fact_SortedWeights!$C$2:$C$89,$A86,Fact_SortedWeights!$B$2:$B$89,$B86),SUMIFS(Fact_PreSortWeights!$E$2:$E$186,Fact_PreSortWeights!$C$2:$C$186,$A86,Fact_PreSortWeights!$B$2:$B$186,$B86))))</f>
        <v>0</v>
      </c>
      <c r="G86" s="0" t="n">
        <f aca="false">IF(AND(IF($B86="Trash",INDEX('Materials Master'!$F$2:$F$27,MATCH($C86,'Materials Master'!$A$2:$A$27,0)),IF($B86="GMPC Recycling",INDEX('Materials Master'!$G$2:$G$27,MATCH($C86,'Materials Master'!$A$2:$A$27,0)),IF($B86="Organics Recycling",INDEX('Materials Master'!$H$2:$H$27,MATCH($C86,'Materials Master'!$A$2:$A$27,0)),IF($B86="Cardboard Recycling",INDEX('Materials Master'!$I$2:$I$27,MATCH($C86,'Materials Master'!$A$2:$A$27,0)),IF($B86="Paper Recycling",INDEX('Materials Master'!$J$2:$J$27,MATCH($C86,'Materials Master'!$A$2:$A$27,0)),IF($B86="Terracycle",INDEX('Materials Master'!$K$2:$K$27,MATCH($C86,'Materials Master'!$A$2:$A$27,0)),"No"))))))="Yes",INDEX('Materials Master'!$E$2:$E$27,MATCH($C86,'Materials Master'!$A$2:$A$27,0))="Yes",$B86&lt;&gt;"Trash"),1,0)</f>
        <v>0</v>
      </c>
      <c r="H86" s="0" t="str">
        <f aca="false">INDEX('Materials Master'!$E$2:$E$27,MATCH($C86,'Materials Master'!$A$2:$A$27,0))</f>
        <v>No</v>
      </c>
      <c r="I86" s="0" t="str">
        <f aca="false">IFERROR(INDEX(Areas!$C$2:$C$6,MATCH($A86,Areas!$B$2:$B$6,0)),"")</f>
        <v>Rest of Building</v>
      </c>
      <c r="J86" s="0" t="n">
        <f aca="false">IF(IF($B86="Trash",INDEX('Materials Master'!$F$2:$F$27,MATCH($C86,'Materials Master'!$A$2:$A$27,0)),IF($B86="GMPC Recycling",INDEX('Materials Master'!$G$2:$G$27,MATCH($C86,'Materials Master'!$A$2:$A$27,0)),IF($B86="Organics Recycling",INDEX('Materials Master'!$H$2:$H$27,MATCH($C86,'Materials Master'!$A$2:$A$27,0)),IF($B86="Cardboard Recycling",INDEX('Materials Master'!$I$2:$I$27,MATCH($C86,'Materials Master'!$A$2:$A$27,0)),IF($B86="Paper Recycling",INDEX('Materials Master'!$J$2:$J$27,MATCH($C86,'Materials Master'!$A$2:$A$27,0)),IF($B86="Terracycle",INDEX('Materials Master'!$K$2:$K$27,MATCH($C86,'Materials Master'!$A$2:$A$27,0)),"No"))))))="Yes",1,0)</f>
        <v>0</v>
      </c>
    </row>
    <row r="87" customFormat="false" ht="15" hidden="false" customHeight="false" outlineLevel="0" collapsed="false">
      <c r="A87" s="0" t="s">
        <v>92</v>
      </c>
      <c r="B87" s="0" t="s">
        <v>106</v>
      </c>
      <c r="C87" s="0" t="s">
        <v>45</v>
      </c>
      <c r="D87" s="0" t="str">
        <f aca="false">IFERROR(INDEX('Materials Master'!$B$2:$B$27,MATCH($C87,'Materials Master'!$A$2:$A$27,0)),"")</f>
        <v>Paper Cups / Other Coated Paper Containers</v>
      </c>
      <c r="E87" s="0" t="str">
        <f aca="false">IFERROR(INDEX('Materials Master'!$C$2:$C$27,MATCH($C87,'Materials Master'!$A$2:$A$27,0)),"")</f>
        <v>Fibers</v>
      </c>
      <c r="F87" s="0" t="n">
        <f aca="false">IF(SUMIFS(Fact_SortedWeights!$E$2:$E$89,Fact_SortedWeights!$C$2:$C$89,$A87,Fact_SortedWeights!$B$2:$B$89,$B87)=0,0,SUMIFS(Fact_SortedWeights!$E$2:$E$89,Fact_SortedWeights!$C$2:$C$89,$A87,Fact_SortedWeights!$B$2:$B$89,$B87,Fact_SortedWeights!$D$2:$D$89,$C87)/SUMIFS(Fact_SortedWeights!$E$2:$E$89,Fact_SortedWeights!$C$2:$C$89,$A87,Fact_SortedWeights!$B$2:$B$89,$B87)*(IF($B87="Cardboard Recycling",SUMIFS(Fact_SortedWeights!$E$2:$E$89,Fact_SortedWeights!$C$2:$C$89,$A87,Fact_SortedWeights!$B$2:$B$89,$B87),SUMIFS(Fact_PreSortWeights!$E$2:$E$186,Fact_PreSortWeights!$C$2:$C$186,$A87,Fact_PreSortWeights!$B$2:$B$186,$B87))))</f>
        <v>0</v>
      </c>
      <c r="G87" s="0" t="n">
        <f aca="false">IF(AND(IF($B87="Trash",INDEX('Materials Master'!$F$2:$F$27,MATCH($C87,'Materials Master'!$A$2:$A$27,0)),IF($B87="GMPC Recycling",INDEX('Materials Master'!$G$2:$G$27,MATCH($C87,'Materials Master'!$A$2:$A$27,0)),IF($B87="Organics Recycling",INDEX('Materials Master'!$H$2:$H$27,MATCH($C87,'Materials Master'!$A$2:$A$27,0)),IF($B87="Cardboard Recycling",INDEX('Materials Master'!$I$2:$I$27,MATCH($C87,'Materials Master'!$A$2:$A$27,0)),IF($B87="Paper Recycling",INDEX('Materials Master'!$J$2:$J$27,MATCH($C87,'Materials Master'!$A$2:$A$27,0)),IF($B87="Terracycle",INDEX('Materials Master'!$K$2:$K$27,MATCH($C87,'Materials Master'!$A$2:$A$27,0)),"No"))))))="Yes",INDEX('Materials Master'!$E$2:$E$27,MATCH($C87,'Materials Master'!$A$2:$A$27,0))="Yes",$B87&lt;&gt;"Trash"),1,0)</f>
        <v>0</v>
      </c>
      <c r="H87" s="0" t="str">
        <f aca="false">INDEX('Materials Master'!$E$2:$E$27,MATCH($C87,'Materials Master'!$A$2:$A$27,0))</f>
        <v>No</v>
      </c>
      <c r="I87" s="0" t="str">
        <f aca="false">IFERROR(INDEX(Areas!$C$2:$C$6,MATCH($A87,Areas!$B$2:$B$6,0)),"")</f>
        <v>Rest of Building</v>
      </c>
      <c r="J87" s="0" t="n">
        <f aca="false">IF(IF($B87="Trash",INDEX('Materials Master'!$F$2:$F$27,MATCH($C87,'Materials Master'!$A$2:$A$27,0)),IF($B87="GMPC Recycling",INDEX('Materials Master'!$G$2:$G$27,MATCH($C87,'Materials Master'!$A$2:$A$27,0)),IF($B87="Organics Recycling",INDEX('Materials Master'!$H$2:$H$27,MATCH($C87,'Materials Master'!$A$2:$A$27,0)),IF($B87="Cardboard Recycling",INDEX('Materials Master'!$I$2:$I$27,MATCH($C87,'Materials Master'!$A$2:$A$27,0)),IF($B87="Paper Recycling",INDEX('Materials Master'!$J$2:$J$27,MATCH($C87,'Materials Master'!$A$2:$A$27,0)),IF($B87="Terracycle",INDEX('Materials Master'!$K$2:$K$27,MATCH($C87,'Materials Master'!$A$2:$A$27,0)),"No"))))))="Yes",1,0)</f>
        <v>0</v>
      </c>
    </row>
    <row r="88" customFormat="false" ht="15" hidden="false" customHeight="false" outlineLevel="0" collapsed="false">
      <c r="A88" s="0" t="s">
        <v>92</v>
      </c>
      <c r="B88" s="0" t="s">
        <v>106</v>
      </c>
      <c r="C88" s="0" t="s">
        <v>47</v>
      </c>
      <c r="D88" s="0" t="str">
        <f aca="false">IFERROR(INDEX('Materials Master'!$B$2:$B$27,MATCH($C88,'Materials Master'!$A$2:$A$27,0)),"")</f>
        <v>Glass Bottles &amp; Jars</v>
      </c>
      <c r="E88" s="0" t="str">
        <f aca="false">IFERROR(INDEX('Materials Master'!$C$2:$C$27,MATCH($C88,'Materials Master'!$A$2:$A$27,0)),"")</f>
        <v>Glass</v>
      </c>
      <c r="F88" s="0" t="n">
        <f aca="false">IF(SUMIFS(Fact_SortedWeights!$E$2:$E$89,Fact_SortedWeights!$C$2:$C$89,$A88,Fact_SortedWeights!$B$2:$B$89,$B88)=0,0,SUMIFS(Fact_SortedWeights!$E$2:$E$89,Fact_SortedWeights!$C$2:$C$89,$A88,Fact_SortedWeights!$B$2:$B$89,$B88,Fact_SortedWeights!$D$2:$D$89,$C88)/SUMIFS(Fact_SortedWeights!$E$2:$E$89,Fact_SortedWeights!$C$2:$C$89,$A88,Fact_SortedWeights!$B$2:$B$89,$B88)*(IF($B88="Cardboard Recycling",SUMIFS(Fact_SortedWeights!$E$2:$E$89,Fact_SortedWeights!$C$2:$C$89,$A88,Fact_SortedWeights!$B$2:$B$89,$B88),SUMIFS(Fact_PreSortWeights!$E$2:$E$186,Fact_PreSortWeights!$C$2:$C$186,$A88,Fact_PreSortWeights!$B$2:$B$186,$B88))))</f>
        <v>0</v>
      </c>
      <c r="G88" s="0" t="n">
        <f aca="false">IF(AND(IF($B88="Trash",INDEX('Materials Master'!$F$2:$F$27,MATCH($C88,'Materials Master'!$A$2:$A$27,0)),IF($B88="GMPC Recycling",INDEX('Materials Master'!$G$2:$G$27,MATCH($C88,'Materials Master'!$A$2:$A$27,0)),IF($B88="Organics Recycling",INDEX('Materials Master'!$H$2:$H$27,MATCH($C88,'Materials Master'!$A$2:$A$27,0)),IF($B88="Cardboard Recycling",INDEX('Materials Master'!$I$2:$I$27,MATCH($C88,'Materials Master'!$A$2:$A$27,0)),IF($B88="Paper Recycling",INDEX('Materials Master'!$J$2:$J$27,MATCH($C88,'Materials Master'!$A$2:$A$27,0)),IF($B88="Terracycle",INDEX('Materials Master'!$K$2:$K$27,MATCH($C88,'Materials Master'!$A$2:$A$27,0)),"No"))))))="Yes",INDEX('Materials Master'!$E$2:$E$27,MATCH($C88,'Materials Master'!$A$2:$A$27,0))="Yes",$B88&lt;&gt;"Trash"),1,0)</f>
        <v>1</v>
      </c>
      <c r="H88" s="0" t="str">
        <f aca="false">INDEX('Materials Master'!$E$2:$E$27,MATCH($C88,'Materials Master'!$A$2:$A$27,0))</f>
        <v>Yes</v>
      </c>
      <c r="I88" s="0" t="str">
        <f aca="false">IFERROR(INDEX(Areas!$C$2:$C$6,MATCH($A88,Areas!$B$2:$B$6,0)),"")</f>
        <v>Rest of Building</v>
      </c>
      <c r="J88" s="0" t="n">
        <f aca="false">IF(IF($B88="Trash",INDEX('Materials Master'!$F$2:$F$27,MATCH($C88,'Materials Master'!$A$2:$A$27,0)),IF($B88="GMPC Recycling",INDEX('Materials Master'!$G$2:$G$27,MATCH($C88,'Materials Master'!$A$2:$A$27,0)),IF($B88="Organics Recycling",INDEX('Materials Master'!$H$2:$H$27,MATCH($C88,'Materials Master'!$A$2:$A$27,0)),IF($B88="Cardboard Recycling",INDEX('Materials Master'!$I$2:$I$27,MATCH($C88,'Materials Master'!$A$2:$A$27,0)),IF($B88="Paper Recycling",INDEX('Materials Master'!$J$2:$J$27,MATCH($C88,'Materials Master'!$A$2:$A$27,0)),IF($B88="Terracycle",INDEX('Materials Master'!$K$2:$K$27,MATCH($C88,'Materials Master'!$A$2:$A$27,0)),"No"))))))="Yes",1,0)</f>
        <v>1</v>
      </c>
    </row>
    <row r="89" customFormat="false" ht="15" hidden="false" customHeight="false" outlineLevel="0" collapsed="false">
      <c r="A89" s="0" t="s">
        <v>92</v>
      </c>
      <c r="B89" s="0" t="s">
        <v>106</v>
      </c>
      <c r="C89" s="0" t="s">
        <v>50</v>
      </c>
      <c r="D89" s="0" t="str">
        <f aca="false">IFERROR(INDEX('Materials Master'!$B$2:$B$27,MATCH($C89,'Materials Master'!$A$2:$A$27,0)),"")</f>
        <v>Soiled Glass</v>
      </c>
      <c r="E89" s="0" t="str">
        <f aca="false">IFERROR(INDEX('Materials Master'!$C$2:$C$27,MATCH($C89,'Materials Master'!$A$2:$A$27,0)),"")</f>
        <v>Glass</v>
      </c>
      <c r="F89" s="0" t="n">
        <f aca="false">IF(SUMIFS(Fact_SortedWeights!$E$2:$E$89,Fact_SortedWeights!$C$2:$C$89,$A89,Fact_SortedWeights!$B$2:$B$89,$B89)=0,0,SUMIFS(Fact_SortedWeights!$E$2:$E$89,Fact_SortedWeights!$C$2:$C$89,$A89,Fact_SortedWeights!$B$2:$B$89,$B89,Fact_SortedWeights!$D$2:$D$89,$C89)/SUMIFS(Fact_SortedWeights!$E$2:$E$89,Fact_SortedWeights!$C$2:$C$89,$A89,Fact_SortedWeights!$B$2:$B$89,$B89)*(IF($B89="Cardboard Recycling",SUMIFS(Fact_SortedWeights!$E$2:$E$89,Fact_SortedWeights!$C$2:$C$89,$A89,Fact_SortedWeights!$B$2:$B$89,$B89),SUMIFS(Fact_PreSortWeights!$E$2:$E$186,Fact_PreSortWeights!$C$2:$C$186,$A89,Fact_PreSortWeights!$B$2:$B$186,$B89))))</f>
        <v>0</v>
      </c>
      <c r="G89" s="0" t="n">
        <f aca="false">IF(AND(IF($B89="Trash",INDEX('Materials Master'!$F$2:$F$27,MATCH($C89,'Materials Master'!$A$2:$A$27,0)),IF($B89="GMPC Recycling",INDEX('Materials Master'!$G$2:$G$27,MATCH($C89,'Materials Master'!$A$2:$A$27,0)),IF($B89="Organics Recycling",INDEX('Materials Master'!$H$2:$H$27,MATCH($C89,'Materials Master'!$A$2:$A$27,0)),IF($B89="Cardboard Recycling",INDEX('Materials Master'!$I$2:$I$27,MATCH($C89,'Materials Master'!$A$2:$A$27,0)),IF($B89="Paper Recycling",INDEX('Materials Master'!$J$2:$J$27,MATCH($C89,'Materials Master'!$A$2:$A$27,0)),IF($B89="Terracycle",INDEX('Materials Master'!$K$2:$K$27,MATCH($C89,'Materials Master'!$A$2:$A$27,0)),"No"))))))="Yes",INDEX('Materials Master'!$E$2:$E$27,MATCH($C89,'Materials Master'!$A$2:$A$27,0))="Yes",$B89&lt;&gt;"Trash"),1,0)</f>
        <v>0</v>
      </c>
      <c r="H89" s="0" t="str">
        <f aca="false">INDEX('Materials Master'!$E$2:$E$27,MATCH($C89,'Materials Master'!$A$2:$A$27,0))</f>
        <v>No</v>
      </c>
      <c r="I89" s="0" t="str">
        <f aca="false">IFERROR(INDEX(Areas!$C$2:$C$6,MATCH($A89,Areas!$B$2:$B$6,0)),"")</f>
        <v>Rest of Building</v>
      </c>
      <c r="J89" s="0" t="n">
        <f aca="false">IF(IF($B89="Trash",INDEX('Materials Master'!$F$2:$F$27,MATCH($C89,'Materials Master'!$A$2:$A$27,0)),IF($B89="GMPC Recycling",INDEX('Materials Master'!$G$2:$G$27,MATCH($C89,'Materials Master'!$A$2:$A$27,0)),IF($B89="Organics Recycling",INDEX('Materials Master'!$H$2:$H$27,MATCH($C89,'Materials Master'!$A$2:$A$27,0)),IF($B89="Cardboard Recycling",INDEX('Materials Master'!$I$2:$I$27,MATCH($C89,'Materials Master'!$A$2:$A$27,0)),IF($B89="Paper Recycling",INDEX('Materials Master'!$J$2:$J$27,MATCH($C89,'Materials Master'!$A$2:$A$27,0)),IF($B89="Terracycle",INDEX('Materials Master'!$K$2:$K$27,MATCH($C89,'Materials Master'!$A$2:$A$27,0)),"No"))))))="Yes",1,0)</f>
        <v>0</v>
      </c>
    </row>
    <row r="90" customFormat="false" ht="15" hidden="false" customHeight="false" outlineLevel="0" collapsed="false">
      <c r="A90" s="0" t="s">
        <v>92</v>
      </c>
      <c r="B90" s="0" t="s">
        <v>106</v>
      </c>
      <c r="C90" s="0" t="s">
        <v>52</v>
      </c>
      <c r="D90" s="0" t="str">
        <f aca="false">IFERROR(INDEX('Materials Master'!$B$2:$B$27,MATCH($C90,'Materials Master'!$A$2:$A$27,0)),"")</f>
        <v>Aluminum &amp; Bi-Metal Containers</v>
      </c>
      <c r="E90" s="0" t="str">
        <f aca="false">IFERROR(INDEX('Materials Master'!$C$2:$C$27,MATCH($C90,'Materials Master'!$A$2:$A$27,0)),"")</f>
        <v>Metals</v>
      </c>
      <c r="F90" s="0" t="n">
        <f aca="false">IF(SUMIFS(Fact_SortedWeights!$E$2:$E$89,Fact_SortedWeights!$C$2:$C$89,$A90,Fact_SortedWeights!$B$2:$B$89,$B90)=0,0,SUMIFS(Fact_SortedWeights!$E$2:$E$89,Fact_SortedWeights!$C$2:$C$89,$A90,Fact_SortedWeights!$B$2:$B$89,$B90,Fact_SortedWeights!$D$2:$D$89,$C90)/SUMIFS(Fact_SortedWeights!$E$2:$E$89,Fact_SortedWeights!$C$2:$C$89,$A90,Fact_SortedWeights!$B$2:$B$89,$B90)*(IF($B90="Cardboard Recycling",SUMIFS(Fact_SortedWeights!$E$2:$E$89,Fact_SortedWeights!$C$2:$C$89,$A90,Fact_SortedWeights!$B$2:$B$89,$B90),SUMIFS(Fact_PreSortWeights!$E$2:$E$186,Fact_PreSortWeights!$C$2:$C$186,$A90,Fact_PreSortWeights!$B$2:$B$186,$B90))))</f>
        <v>0</v>
      </c>
      <c r="G90" s="0" t="n">
        <f aca="false">IF(AND(IF($B90="Trash",INDEX('Materials Master'!$F$2:$F$27,MATCH($C90,'Materials Master'!$A$2:$A$27,0)),IF($B90="GMPC Recycling",INDEX('Materials Master'!$G$2:$G$27,MATCH($C90,'Materials Master'!$A$2:$A$27,0)),IF($B90="Organics Recycling",INDEX('Materials Master'!$H$2:$H$27,MATCH($C90,'Materials Master'!$A$2:$A$27,0)),IF($B90="Cardboard Recycling",INDEX('Materials Master'!$I$2:$I$27,MATCH($C90,'Materials Master'!$A$2:$A$27,0)),IF($B90="Paper Recycling",INDEX('Materials Master'!$J$2:$J$27,MATCH($C90,'Materials Master'!$A$2:$A$27,0)),IF($B90="Terracycle",INDEX('Materials Master'!$K$2:$K$27,MATCH($C90,'Materials Master'!$A$2:$A$27,0)),"No"))))))="Yes",INDEX('Materials Master'!$E$2:$E$27,MATCH($C90,'Materials Master'!$A$2:$A$27,0))="Yes",$B90&lt;&gt;"Trash"),1,0)</f>
        <v>1</v>
      </c>
      <c r="H90" s="0" t="str">
        <f aca="false">INDEX('Materials Master'!$E$2:$E$27,MATCH($C90,'Materials Master'!$A$2:$A$27,0))</f>
        <v>Yes</v>
      </c>
      <c r="I90" s="0" t="str">
        <f aca="false">IFERROR(INDEX(Areas!$C$2:$C$6,MATCH($A90,Areas!$B$2:$B$6,0)),"")</f>
        <v>Rest of Building</v>
      </c>
      <c r="J90" s="0" t="n">
        <f aca="false">IF(IF($B90="Trash",INDEX('Materials Master'!$F$2:$F$27,MATCH($C90,'Materials Master'!$A$2:$A$27,0)),IF($B90="GMPC Recycling",INDEX('Materials Master'!$G$2:$G$27,MATCH($C90,'Materials Master'!$A$2:$A$27,0)),IF($B90="Organics Recycling",INDEX('Materials Master'!$H$2:$H$27,MATCH($C90,'Materials Master'!$A$2:$A$27,0)),IF($B90="Cardboard Recycling",INDEX('Materials Master'!$I$2:$I$27,MATCH($C90,'Materials Master'!$A$2:$A$27,0)),IF($B90="Paper Recycling",INDEX('Materials Master'!$J$2:$J$27,MATCH($C90,'Materials Master'!$A$2:$A$27,0)),IF($B90="Terracycle",INDEX('Materials Master'!$K$2:$K$27,MATCH($C90,'Materials Master'!$A$2:$A$27,0)),"No"))))))="Yes",1,0)</f>
        <v>1</v>
      </c>
    </row>
    <row r="91" customFormat="false" ht="15" hidden="false" customHeight="false" outlineLevel="0" collapsed="false">
      <c r="A91" s="0" t="s">
        <v>92</v>
      </c>
      <c r="B91" s="0" t="s">
        <v>106</v>
      </c>
      <c r="C91" s="0" t="s">
        <v>55</v>
      </c>
      <c r="D91" s="0" t="str">
        <f aca="false">IFERROR(INDEX('Materials Master'!$B$2:$B$27,MATCH($C91,'Materials Master'!$A$2:$A$27,0)),"")</f>
        <v>Soiled Metals</v>
      </c>
      <c r="E91" s="0" t="str">
        <f aca="false">IFERROR(INDEX('Materials Master'!$C$2:$C$27,MATCH($C91,'Materials Master'!$A$2:$A$27,0)),"")</f>
        <v>Metals</v>
      </c>
      <c r="F91" s="0" t="n">
        <f aca="false">IF(SUMIFS(Fact_SortedWeights!$E$2:$E$89,Fact_SortedWeights!$C$2:$C$89,$A91,Fact_SortedWeights!$B$2:$B$89,$B91)=0,0,SUMIFS(Fact_SortedWeights!$E$2:$E$89,Fact_SortedWeights!$C$2:$C$89,$A91,Fact_SortedWeights!$B$2:$B$89,$B91,Fact_SortedWeights!$D$2:$D$89,$C91)/SUMIFS(Fact_SortedWeights!$E$2:$E$89,Fact_SortedWeights!$C$2:$C$89,$A91,Fact_SortedWeights!$B$2:$B$89,$B91)*(IF($B91="Cardboard Recycling",SUMIFS(Fact_SortedWeights!$E$2:$E$89,Fact_SortedWeights!$C$2:$C$89,$A91,Fact_SortedWeights!$B$2:$B$89,$B91),SUMIFS(Fact_PreSortWeights!$E$2:$E$186,Fact_PreSortWeights!$C$2:$C$186,$A91,Fact_PreSortWeights!$B$2:$B$186,$B91))))</f>
        <v>0</v>
      </c>
      <c r="G91" s="0" t="n">
        <f aca="false">IF(AND(IF($B91="Trash",INDEX('Materials Master'!$F$2:$F$27,MATCH($C91,'Materials Master'!$A$2:$A$27,0)),IF($B91="GMPC Recycling",INDEX('Materials Master'!$G$2:$G$27,MATCH($C91,'Materials Master'!$A$2:$A$27,0)),IF($B91="Organics Recycling",INDEX('Materials Master'!$H$2:$H$27,MATCH($C91,'Materials Master'!$A$2:$A$27,0)),IF($B91="Cardboard Recycling",INDEX('Materials Master'!$I$2:$I$27,MATCH($C91,'Materials Master'!$A$2:$A$27,0)),IF($B91="Paper Recycling",INDEX('Materials Master'!$J$2:$J$27,MATCH($C91,'Materials Master'!$A$2:$A$27,0)),IF($B91="Terracycle",INDEX('Materials Master'!$K$2:$K$27,MATCH($C91,'Materials Master'!$A$2:$A$27,0)),"No"))))))="Yes",INDEX('Materials Master'!$E$2:$E$27,MATCH($C91,'Materials Master'!$A$2:$A$27,0))="Yes",$B91&lt;&gt;"Trash"),1,0)</f>
        <v>0</v>
      </c>
      <c r="H91" s="0" t="str">
        <f aca="false">INDEX('Materials Master'!$E$2:$E$27,MATCH($C91,'Materials Master'!$A$2:$A$27,0))</f>
        <v>No</v>
      </c>
      <c r="I91" s="0" t="str">
        <f aca="false">IFERROR(INDEX(Areas!$C$2:$C$6,MATCH($A91,Areas!$B$2:$B$6,0)),"")</f>
        <v>Rest of Building</v>
      </c>
      <c r="J91" s="0" t="n">
        <f aca="false">IF(IF($B91="Trash",INDEX('Materials Master'!$F$2:$F$27,MATCH($C91,'Materials Master'!$A$2:$A$27,0)),IF($B91="GMPC Recycling",INDEX('Materials Master'!$G$2:$G$27,MATCH($C91,'Materials Master'!$A$2:$A$27,0)),IF($B91="Organics Recycling",INDEX('Materials Master'!$H$2:$H$27,MATCH($C91,'Materials Master'!$A$2:$A$27,0)),IF($B91="Cardboard Recycling",INDEX('Materials Master'!$I$2:$I$27,MATCH($C91,'Materials Master'!$A$2:$A$27,0)),IF($B91="Paper Recycling",INDEX('Materials Master'!$J$2:$J$27,MATCH($C91,'Materials Master'!$A$2:$A$27,0)),IF($B91="Terracycle",INDEX('Materials Master'!$K$2:$K$27,MATCH($C91,'Materials Master'!$A$2:$A$27,0)),"No"))))))="Yes",1,0)</f>
        <v>0</v>
      </c>
    </row>
    <row r="92" customFormat="false" ht="15" hidden="false" customHeight="false" outlineLevel="0" collapsed="false">
      <c r="A92" s="0" t="s">
        <v>92</v>
      </c>
      <c r="B92" s="0" t="s">
        <v>106</v>
      </c>
      <c r="C92" s="0" t="s">
        <v>57</v>
      </c>
      <c r="D92" s="0" t="str">
        <f aca="false">IFERROR(INDEX('Materials Master'!$B$2:$B$27,MATCH($C92,'Materials Master'!$A$2:$A$27,0)),"")</f>
        <v>Rigid Plastics (1-6)</v>
      </c>
      <c r="E92" s="0" t="str">
        <f aca="false">IFERROR(INDEX('Materials Master'!$C$2:$C$27,MATCH($C92,'Materials Master'!$A$2:$A$27,0)),"")</f>
        <v>Plastics</v>
      </c>
      <c r="F92" s="0" t="n">
        <f aca="false">IF(SUMIFS(Fact_SortedWeights!$E$2:$E$89,Fact_SortedWeights!$C$2:$C$89,$A92,Fact_SortedWeights!$B$2:$B$89,$B92)=0,0,SUMIFS(Fact_SortedWeights!$E$2:$E$89,Fact_SortedWeights!$C$2:$C$89,$A92,Fact_SortedWeights!$B$2:$B$89,$B92,Fact_SortedWeights!$D$2:$D$89,$C92)/SUMIFS(Fact_SortedWeights!$E$2:$E$89,Fact_SortedWeights!$C$2:$C$89,$A92,Fact_SortedWeights!$B$2:$B$89,$B92)*(IF($B92="Cardboard Recycling",SUMIFS(Fact_SortedWeights!$E$2:$E$89,Fact_SortedWeights!$C$2:$C$89,$A92,Fact_SortedWeights!$B$2:$B$89,$B92),SUMIFS(Fact_PreSortWeights!$E$2:$E$186,Fact_PreSortWeights!$C$2:$C$186,$A92,Fact_PreSortWeights!$B$2:$B$186,$B92))))</f>
        <v>0</v>
      </c>
      <c r="G92" s="0" t="n">
        <f aca="false">IF(AND(IF($B92="Trash",INDEX('Materials Master'!$F$2:$F$27,MATCH($C92,'Materials Master'!$A$2:$A$27,0)),IF($B92="GMPC Recycling",INDEX('Materials Master'!$G$2:$G$27,MATCH($C92,'Materials Master'!$A$2:$A$27,0)),IF($B92="Organics Recycling",INDEX('Materials Master'!$H$2:$H$27,MATCH($C92,'Materials Master'!$A$2:$A$27,0)),IF($B92="Cardboard Recycling",INDEX('Materials Master'!$I$2:$I$27,MATCH($C92,'Materials Master'!$A$2:$A$27,0)),IF($B92="Paper Recycling",INDEX('Materials Master'!$J$2:$J$27,MATCH($C92,'Materials Master'!$A$2:$A$27,0)),IF($B92="Terracycle",INDEX('Materials Master'!$K$2:$K$27,MATCH($C92,'Materials Master'!$A$2:$A$27,0)),"No"))))))="Yes",INDEX('Materials Master'!$E$2:$E$27,MATCH($C92,'Materials Master'!$A$2:$A$27,0))="Yes",$B92&lt;&gt;"Trash"),1,0)</f>
        <v>1</v>
      </c>
      <c r="H92" s="0" t="str">
        <f aca="false">INDEX('Materials Master'!$E$2:$E$27,MATCH($C92,'Materials Master'!$A$2:$A$27,0))</f>
        <v>Yes</v>
      </c>
      <c r="I92" s="0" t="str">
        <f aca="false">IFERROR(INDEX(Areas!$C$2:$C$6,MATCH($A92,Areas!$B$2:$B$6,0)),"")</f>
        <v>Rest of Building</v>
      </c>
      <c r="J92" s="0" t="n">
        <f aca="false">IF(IF($B92="Trash",INDEX('Materials Master'!$F$2:$F$27,MATCH($C92,'Materials Master'!$A$2:$A$27,0)),IF($B92="GMPC Recycling",INDEX('Materials Master'!$G$2:$G$27,MATCH($C92,'Materials Master'!$A$2:$A$27,0)),IF($B92="Organics Recycling",INDEX('Materials Master'!$H$2:$H$27,MATCH($C92,'Materials Master'!$A$2:$A$27,0)),IF($B92="Cardboard Recycling",INDEX('Materials Master'!$I$2:$I$27,MATCH($C92,'Materials Master'!$A$2:$A$27,0)),IF($B92="Paper Recycling",INDEX('Materials Master'!$J$2:$J$27,MATCH($C92,'Materials Master'!$A$2:$A$27,0)),IF($B92="Terracycle",INDEX('Materials Master'!$K$2:$K$27,MATCH($C92,'Materials Master'!$A$2:$A$27,0)),"No"))))))="Yes",1,0)</f>
        <v>1</v>
      </c>
    </row>
    <row r="93" customFormat="false" ht="15" hidden="false" customHeight="false" outlineLevel="0" collapsed="false">
      <c r="A93" s="0" t="s">
        <v>92</v>
      </c>
      <c r="B93" s="0" t="s">
        <v>106</v>
      </c>
      <c r="C93" s="0" t="s">
        <v>60</v>
      </c>
      <c r="D93" s="0" t="str">
        <f aca="false">IFERROR(INDEX('Materials Master'!$B$2:$B$27,MATCH($C93,'Materials Master'!$A$2:$A$27,0)),"")</f>
        <v>Soiled Rigid Plastics</v>
      </c>
      <c r="E93" s="0" t="str">
        <f aca="false">IFERROR(INDEX('Materials Master'!$C$2:$C$27,MATCH($C93,'Materials Master'!$A$2:$A$27,0)),"")</f>
        <v>Plastics</v>
      </c>
      <c r="F93" s="0" t="n">
        <f aca="false">IF(SUMIFS(Fact_SortedWeights!$E$2:$E$89,Fact_SortedWeights!$C$2:$C$89,$A93,Fact_SortedWeights!$B$2:$B$89,$B93)=0,0,SUMIFS(Fact_SortedWeights!$E$2:$E$89,Fact_SortedWeights!$C$2:$C$89,$A93,Fact_SortedWeights!$B$2:$B$89,$B93,Fact_SortedWeights!$D$2:$D$89,$C93)/SUMIFS(Fact_SortedWeights!$E$2:$E$89,Fact_SortedWeights!$C$2:$C$89,$A93,Fact_SortedWeights!$B$2:$B$89,$B93)*(IF($B93="Cardboard Recycling",SUMIFS(Fact_SortedWeights!$E$2:$E$89,Fact_SortedWeights!$C$2:$C$89,$A93,Fact_SortedWeights!$B$2:$B$89,$B93),SUMIFS(Fact_PreSortWeights!$E$2:$E$186,Fact_PreSortWeights!$C$2:$C$186,$A93,Fact_PreSortWeights!$B$2:$B$186,$B93))))</f>
        <v>0</v>
      </c>
      <c r="G93" s="0" t="n">
        <f aca="false">IF(AND(IF($B93="Trash",INDEX('Materials Master'!$F$2:$F$27,MATCH($C93,'Materials Master'!$A$2:$A$27,0)),IF($B93="GMPC Recycling",INDEX('Materials Master'!$G$2:$G$27,MATCH($C93,'Materials Master'!$A$2:$A$27,0)),IF($B93="Organics Recycling",INDEX('Materials Master'!$H$2:$H$27,MATCH($C93,'Materials Master'!$A$2:$A$27,0)),IF($B93="Cardboard Recycling",INDEX('Materials Master'!$I$2:$I$27,MATCH($C93,'Materials Master'!$A$2:$A$27,0)),IF($B93="Paper Recycling",INDEX('Materials Master'!$J$2:$J$27,MATCH($C93,'Materials Master'!$A$2:$A$27,0)),IF($B93="Terracycle",INDEX('Materials Master'!$K$2:$K$27,MATCH($C93,'Materials Master'!$A$2:$A$27,0)),"No"))))))="Yes",INDEX('Materials Master'!$E$2:$E$27,MATCH($C93,'Materials Master'!$A$2:$A$27,0))="Yes",$B93&lt;&gt;"Trash"),1,0)</f>
        <v>0</v>
      </c>
      <c r="H93" s="0" t="str">
        <f aca="false">INDEX('Materials Master'!$E$2:$E$27,MATCH($C93,'Materials Master'!$A$2:$A$27,0))</f>
        <v>No</v>
      </c>
      <c r="I93" s="0" t="str">
        <f aca="false">IFERROR(INDEX(Areas!$C$2:$C$6,MATCH($A93,Areas!$B$2:$B$6,0)),"")</f>
        <v>Rest of Building</v>
      </c>
      <c r="J93" s="0" t="n">
        <f aca="false">IF(IF($B93="Trash",INDEX('Materials Master'!$F$2:$F$27,MATCH($C93,'Materials Master'!$A$2:$A$27,0)),IF($B93="GMPC Recycling",INDEX('Materials Master'!$G$2:$G$27,MATCH($C93,'Materials Master'!$A$2:$A$27,0)),IF($B93="Organics Recycling",INDEX('Materials Master'!$H$2:$H$27,MATCH($C93,'Materials Master'!$A$2:$A$27,0)),IF($B93="Cardboard Recycling",INDEX('Materials Master'!$I$2:$I$27,MATCH($C93,'Materials Master'!$A$2:$A$27,0)),IF($B93="Paper Recycling",INDEX('Materials Master'!$J$2:$J$27,MATCH($C93,'Materials Master'!$A$2:$A$27,0)),IF($B93="Terracycle",INDEX('Materials Master'!$K$2:$K$27,MATCH($C93,'Materials Master'!$A$2:$A$27,0)),"No"))))))="Yes",1,0)</f>
        <v>0</v>
      </c>
    </row>
    <row r="94" customFormat="false" ht="15" hidden="false" customHeight="false" outlineLevel="0" collapsed="false">
      <c r="A94" s="0" t="s">
        <v>92</v>
      </c>
      <c r="B94" s="0" t="s">
        <v>106</v>
      </c>
      <c r="C94" s="0" t="s">
        <v>62</v>
      </c>
      <c r="D94" s="0" t="str">
        <f aca="false">IFERROR(INDEX('Materials Master'!$B$2:$B$27,MATCH($C94,'Materials Master'!$A$2:$A$27,0)),"")</f>
        <v>Film Plastics</v>
      </c>
      <c r="E94" s="0" t="str">
        <f aca="false">IFERROR(INDEX('Materials Master'!$C$2:$C$27,MATCH($C94,'Materials Master'!$A$2:$A$27,0)),"")</f>
        <v>Plastics</v>
      </c>
      <c r="F94" s="0" t="n">
        <f aca="false">IF(SUMIFS(Fact_SortedWeights!$E$2:$E$89,Fact_SortedWeights!$C$2:$C$89,$A94,Fact_SortedWeights!$B$2:$B$89,$B94)=0,0,SUMIFS(Fact_SortedWeights!$E$2:$E$89,Fact_SortedWeights!$C$2:$C$89,$A94,Fact_SortedWeights!$B$2:$B$89,$B94,Fact_SortedWeights!$D$2:$D$89,$C94)/SUMIFS(Fact_SortedWeights!$E$2:$E$89,Fact_SortedWeights!$C$2:$C$89,$A94,Fact_SortedWeights!$B$2:$B$89,$B94)*(IF($B94="Cardboard Recycling",SUMIFS(Fact_SortedWeights!$E$2:$E$89,Fact_SortedWeights!$C$2:$C$89,$A94,Fact_SortedWeights!$B$2:$B$89,$B94),SUMIFS(Fact_PreSortWeights!$E$2:$E$186,Fact_PreSortWeights!$C$2:$C$186,$A94,Fact_PreSortWeights!$B$2:$B$186,$B94))))</f>
        <v>1.716875</v>
      </c>
      <c r="G94" s="0" t="n">
        <f aca="false">IF(AND(IF($B94="Trash",INDEX('Materials Master'!$F$2:$F$27,MATCH($C94,'Materials Master'!$A$2:$A$27,0)),IF($B94="GMPC Recycling",INDEX('Materials Master'!$G$2:$G$27,MATCH($C94,'Materials Master'!$A$2:$A$27,0)),IF($B94="Organics Recycling",INDEX('Materials Master'!$H$2:$H$27,MATCH($C94,'Materials Master'!$A$2:$A$27,0)),IF($B94="Cardboard Recycling",INDEX('Materials Master'!$I$2:$I$27,MATCH($C94,'Materials Master'!$A$2:$A$27,0)),IF($B94="Paper Recycling",INDEX('Materials Master'!$J$2:$J$27,MATCH($C94,'Materials Master'!$A$2:$A$27,0)),IF($B94="Terracycle",INDEX('Materials Master'!$K$2:$K$27,MATCH($C94,'Materials Master'!$A$2:$A$27,0)),"No"))))))="Yes",INDEX('Materials Master'!$E$2:$E$27,MATCH($C94,'Materials Master'!$A$2:$A$27,0))="Yes",$B94&lt;&gt;"Trash"),1,0)</f>
        <v>0</v>
      </c>
      <c r="H94" s="0" t="str">
        <f aca="false">INDEX('Materials Master'!$E$2:$E$27,MATCH($C94,'Materials Master'!$A$2:$A$27,0))</f>
        <v>No</v>
      </c>
      <c r="I94" s="0" t="str">
        <f aca="false">IFERROR(INDEX(Areas!$C$2:$C$6,MATCH($A94,Areas!$B$2:$B$6,0)),"")</f>
        <v>Rest of Building</v>
      </c>
      <c r="J94" s="0" t="n">
        <f aca="false">IF(IF($B94="Trash",INDEX('Materials Master'!$F$2:$F$27,MATCH($C94,'Materials Master'!$A$2:$A$27,0)),IF($B94="GMPC Recycling",INDEX('Materials Master'!$G$2:$G$27,MATCH($C94,'Materials Master'!$A$2:$A$27,0)),IF($B94="Organics Recycling",INDEX('Materials Master'!$H$2:$H$27,MATCH($C94,'Materials Master'!$A$2:$A$27,0)),IF($B94="Cardboard Recycling",INDEX('Materials Master'!$I$2:$I$27,MATCH($C94,'Materials Master'!$A$2:$A$27,0)),IF($B94="Paper Recycling",INDEX('Materials Master'!$J$2:$J$27,MATCH($C94,'Materials Master'!$A$2:$A$27,0)),IF($B94="Terracycle",INDEX('Materials Master'!$K$2:$K$27,MATCH($C94,'Materials Master'!$A$2:$A$27,0)),"No"))))))="Yes",1,0)</f>
        <v>0</v>
      </c>
    </row>
    <row r="95" customFormat="false" ht="15" hidden="false" customHeight="false" outlineLevel="0" collapsed="false">
      <c r="A95" s="0" t="s">
        <v>92</v>
      </c>
      <c r="B95" s="0" t="s">
        <v>106</v>
      </c>
      <c r="C95" s="0" t="s">
        <v>64</v>
      </c>
      <c r="D95" s="0" t="str">
        <f aca="false">IFERROR(INDEX('Materials Master'!$B$2:$B$27,MATCH($C95,'Materials Master'!$A$2:$A$27,0)),"")</f>
        <v>Foams</v>
      </c>
      <c r="E95" s="0" t="str">
        <f aca="false">IFERROR(INDEX('Materials Master'!$C$2:$C$27,MATCH($C95,'Materials Master'!$A$2:$A$27,0)),"")</f>
        <v>Plastics</v>
      </c>
      <c r="F95" s="0" t="n">
        <f aca="false">IF(SUMIFS(Fact_SortedWeights!$E$2:$E$89,Fact_SortedWeights!$C$2:$C$89,$A95,Fact_SortedWeights!$B$2:$B$89,$B95)=0,0,SUMIFS(Fact_SortedWeights!$E$2:$E$89,Fact_SortedWeights!$C$2:$C$89,$A95,Fact_SortedWeights!$B$2:$B$89,$B95,Fact_SortedWeights!$D$2:$D$89,$C95)/SUMIFS(Fact_SortedWeights!$E$2:$E$89,Fact_SortedWeights!$C$2:$C$89,$A95,Fact_SortedWeights!$B$2:$B$89,$B95)*(IF($B95="Cardboard Recycling",SUMIFS(Fact_SortedWeights!$E$2:$E$89,Fact_SortedWeights!$C$2:$C$89,$A95,Fact_SortedWeights!$B$2:$B$89,$B95),SUMIFS(Fact_PreSortWeights!$E$2:$E$186,Fact_PreSortWeights!$C$2:$C$186,$A95,Fact_PreSortWeights!$B$2:$B$186,$B95))))</f>
        <v>0.15</v>
      </c>
      <c r="G95" s="0" t="n">
        <f aca="false">IF(AND(IF($B95="Trash",INDEX('Materials Master'!$F$2:$F$27,MATCH($C95,'Materials Master'!$A$2:$A$27,0)),IF($B95="GMPC Recycling",INDEX('Materials Master'!$G$2:$G$27,MATCH($C95,'Materials Master'!$A$2:$A$27,0)),IF($B95="Organics Recycling",INDEX('Materials Master'!$H$2:$H$27,MATCH($C95,'Materials Master'!$A$2:$A$27,0)),IF($B95="Cardboard Recycling",INDEX('Materials Master'!$I$2:$I$27,MATCH($C95,'Materials Master'!$A$2:$A$27,0)),IF($B95="Paper Recycling",INDEX('Materials Master'!$J$2:$J$27,MATCH($C95,'Materials Master'!$A$2:$A$27,0)),IF($B95="Terracycle",INDEX('Materials Master'!$K$2:$K$27,MATCH($C95,'Materials Master'!$A$2:$A$27,0)),"No"))))))="Yes",INDEX('Materials Master'!$E$2:$E$27,MATCH($C95,'Materials Master'!$A$2:$A$27,0))="Yes",$B95&lt;&gt;"Trash"),1,0)</f>
        <v>0</v>
      </c>
      <c r="H95" s="0" t="str">
        <f aca="false">INDEX('Materials Master'!$E$2:$E$27,MATCH($C95,'Materials Master'!$A$2:$A$27,0))</f>
        <v>No</v>
      </c>
      <c r="I95" s="0" t="str">
        <f aca="false">IFERROR(INDEX(Areas!$C$2:$C$6,MATCH($A95,Areas!$B$2:$B$6,0)),"")</f>
        <v>Rest of Building</v>
      </c>
      <c r="J95" s="0" t="n">
        <f aca="false">IF(IF($B95="Trash",INDEX('Materials Master'!$F$2:$F$27,MATCH($C95,'Materials Master'!$A$2:$A$27,0)),IF($B95="GMPC Recycling",INDEX('Materials Master'!$G$2:$G$27,MATCH($C95,'Materials Master'!$A$2:$A$27,0)),IF($B95="Organics Recycling",INDEX('Materials Master'!$H$2:$H$27,MATCH($C95,'Materials Master'!$A$2:$A$27,0)),IF($B95="Cardboard Recycling",INDEX('Materials Master'!$I$2:$I$27,MATCH($C95,'Materials Master'!$A$2:$A$27,0)),IF($B95="Paper Recycling",INDEX('Materials Master'!$J$2:$J$27,MATCH($C95,'Materials Master'!$A$2:$A$27,0)),IF($B95="Terracycle",INDEX('Materials Master'!$K$2:$K$27,MATCH($C95,'Materials Master'!$A$2:$A$27,0)),"No"))))))="Yes",1,0)</f>
        <v>0</v>
      </c>
    </row>
    <row r="96" customFormat="false" ht="15" hidden="false" customHeight="false" outlineLevel="0" collapsed="false">
      <c r="A96" s="0" t="s">
        <v>92</v>
      </c>
      <c r="B96" s="0" t="s">
        <v>106</v>
      </c>
      <c r="C96" s="0" t="s">
        <v>66</v>
      </c>
      <c r="D96" s="0" t="str">
        <f aca="false">IFERROR(INDEX('Materials Master'!$B$2:$B$27,MATCH($C96,'Materials Master'!$A$2:$A$27,0)),"")</f>
        <v>Food Waste</v>
      </c>
      <c r="E96" s="0" t="str">
        <f aca="false">IFERROR(INDEX('Materials Master'!$C$2:$C$27,MATCH($C96,'Materials Master'!$A$2:$A$27,0)),"")</f>
        <v>Organics</v>
      </c>
      <c r="F96" s="0" t="n">
        <f aca="false">IF(SUMIFS(Fact_SortedWeights!$E$2:$E$89,Fact_SortedWeights!$C$2:$C$89,$A96,Fact_SortedWeights!$B$2:$B$89,$B96)=0,0,SUMIFS(Fact_SortedWeights!$E$2:$E$89,Fact_SortedWeights!$C$2:$C$89,$A96,Fact_SortedWeights!$B$2:$B$89,$B96,Fact_SortedWeights!$D$2:$D$89,$C96)/SUMIFS(Fact_SortedWeights!$E$2:$E$89,Fact_SortedWeights!$C$2:$C$89,$A96,Fact_SortedWeights!$B$2:$B$89,$B96)*(IF($B96="Cardboard Recycling",SUMIFS(Fact_SortedWeights!$E$2:$E$89,Fact_SortedWeights!$C$2:$C$89,$A96,Fact_SortedWeights!$B$2:$B$89,$B96),SUMIFS(Fact_PreSortWeights!$E$2:$E$186,Fact_PreSortWeights!$C$2:$C$186,$A96,Fact_PreSortWeights!$B$2:$B$186,$B96))))</f>
        <v>0.024375</v>
      </c>
      <c r="G96" s="0" t="n">
        <f aca="false">IF(AND(IF($B96="Trash",INDEX('Materials Master'!$F$2:$F$27,MATCH($C96,'Materials Master'!$A$2:$A$27,0)),IF($B96="GMPC Recycling",INDEX('Materials Master'!$G$2:$G$27,MATCH($C96,'Materials Master'!$A$2:$A$27,0)),IF($B96="Organics Recycling",INDEX('Materials Master'!$H$2:$H$27,MATCH($C96,'Materials Master'!$A$2:$A$27,0)),IF($B96="Cardboard Recycling",INDEX('Materials Master'!$I$2:$I$27,MATCH($C96,'Materials Master'!$A$2:$A$27,0)),IF($B96="Paper Recycling",INDEX('Materials Master'!$J$2:$J$27,MATCH($C96,'Materials Master'!$A$2:$A$27,0)),IF($B96="Terracycle",INDEX('Materials Master'!$K$2:$K$27,MATCH($C96,'Materials Master'!$A$2:$A$27,0)),"No"))))))="Yes",INDEX('Materials Master'!$E$2:$E$27,MATCH($C96,'Materials Master'!$A$2:$A$27,0))="Yes",$B96&lt;&gt;"Trash"),1,0)</f>
        <v>0</v>
      </c>
      <c r="H96" s="0" t="str">
        <f aca="false">INDEX('Materials Master'!$E$2:$E$27,MATCH($C96,'Materials Master'!$A$2:$A$27,0))</f>
        <v>Yes</v>
      </c>
      <c r="I96" s="0" t="str">
        <f aca="false">IFERROR(INDEX(Areas!$C$2:$C$6,MATCH($A96,Areas!$B$2:$B$6,0)),"")</f>
        <v>Rest of Building</v>
      </c>
      <c r="J96" s="0" t="n">
        <f aca="false">IF(IF($B96="Trash",INDEX('Materials Master'!$F$2:$F$27,MATCH($C96,'Materials Master'!$A$2:$A$27,0)),IF($B96="GMPC Recycling",INDEX('Materials Master'!$G$2:$G$27,MATCH($C96,'Materials Master'!$A$2:$A$27,0)),IF($B96="Organics Recycling",INDEX('Materials Master'!$H$2:$H$27,MATCH($C96,'Materials Master'!$A$2:$A$27,0)),IF($B96="Cardboard Recycling",INDEX('Materials Master'!$I$2:$I$27,MATCH($C96,'Materials Master'!$A$2:$A$27,0)),IF($B96="Paper Recycling",INDEX('Materials Master'!$J$2:$J$27,MATCH($C96,'Materials Master'!$A$2:$A$27,0)),IF($B96="Terracycle",INDEX('Materials Master'!$K$2:$K$27,MATCH($C96,'Materials Master'!$A$2:$A$27,0)),"No"))))))="Yes",1,0)</f>
        <v>0</v>
      </c>
    </row>
    <row r="97" customFormat="false" ht="15" hidden="false" customHeight="false" outlineLevel="0" collapsed="false">
      <c r="A97" s="0" t="s">
        <v>92</v>
      </c>
      <c r="B97" s="0" t="s">
        <v>106</v>
      </c>
      <c r="C97" s="0" t="s">
        <v>69</v>
      </c>
      <c r="D97" s="0" t="str">
        <f aca="false">IFERROR(INDEX('Materials Master'!$B$2:$B$27,MATCH($C97,'Materials Master'!$A$2:$A$27,0)),"")</f>
        <v>Paper Fibers and Food-Soiled Paper (FSP)</v>
      </c>
      <c r="E97" s="0" t="str">
        <f aca="false">IFERROR(INDEX('Materials Master'!$C$2:$C$27,MATCH($C97,'Materials Master'!$A$2:$A$27,0)),"")</f>
        <v>Organics</v>
      </c>
      <c r="F97" s="0" t="n">
        <f aca="false">IF(SUMIFS(Fact_SortedWeights!$E$2:$E$89,Fact_SortedWeights!$C$2:$C$89,$A97,Fact_SortedWeights!$B$2:$B$89,$B97)=0,0,SUMIFS(Fact_SortedWeights!$E$2:$E$89,Fact_SortedWeights!$C$2:$C$89,$A97,Fact_SortedWeights!$B$2:$B$89,$B97,Fact_SortedWeights!$D$2:$D$89,$C97)/SUMIFS(Fact_SortedWeights!$E$2:$E$89,Fact_SortedWeights!$C$2:$C$89,$A97,Fact_SortedWeights!$B$2:$B$89,$B97)*(IF($B97="Cardboard Recycling",SUMIFS(Fact_SortedWeights!$E$2:$E$89,Fact_SortedWeights!$C$2:$C$89,$A97,Fact_SortedWeights!$B$2:$B$89,$B97),SUMIFS(Fact_PreSortWeights!$E$2:$E$186,Fact_PreSortWeights!$C$2:$C$186,$A97,Fact_PreSortWeights!$B$2:$B$186,$B97))))</f>
        <v>0.0575</v>
      </c>
      <c r="G97" s="0" t="n">
        <f aca="false">IF(AND(IF($B97="Trash",INDEX('Materials Master'!$F$2:$F$27,MATCH($C97,'Materials Master'!$A$2:$A$27,0)),IF($B97="GMPC Recycling",INDEX('Materials Master'!$G$2:$G$27,MATCH($C97,'Materials Master'!$A$2:$A$27,0)),IF($B97="Organics Recycling",INDEX('Materials Master'!$H$2:$H$27,MATCH($C97,'Materials Master'!$A$2:$A$27,0)),IF($B97="Cardboard Recycling",INDEX('Materials Master'!$I$2:$I$27,MATCH($C97,'Materials Master'!$A$2:$A$27,0)),IF($B97="Paper Recycling",INDEX('Materials Master'!$J$2:$J$27,MATCH($C97,'Materials Master'!$A$2:$A$27,0)),IF($B97="Terracycle",INDEX('Materials Master'!$K$2:$K$27,MATCH($C97,'Materials Master'!$A$2:$A$27,0)),"No"))))))="Yes",INDEX('Materials Master'!$E$2:$E$27,MATCH($C97,'Materials Master'!$A$2:$A$27,0))="Yes",$B97&lt;&gt;"Trash"),1,0)</f>
        <v>0</v>
      </c>
      <c r="H97" s="0" t="str">
        <f aca="false">INDEX('Materials Master'!$E$2:$E$27,MATCH($C97,'Materials Master'!$A$2:$A$27,0))</f>
        <v>No</v>
      </c>
      <c r="I97" s="0" t="str">
        <f aca="false">IFERROR(INDEX(Areas!$C$2:$C$6,MATCH($A97,Areas!$B$2:$B$6,0)),"")</f>
        <v>Rest of Building</v>
      </c>
      <c r="J97" s="0" t="n">
        <f aca="false">IF(IF($B97="Trash",INDEX('Materials Master'!$F$2:$F$27,MATCH($C97,'Materials Master'!$A$2:$A$27,0)),IF($B97="GMPC Recycling",INDEX('Materials Master'!$G$2:$G$27,MATCH($C97,'Materials Master'!$A$2:$A$27,0)),IF($B97="Organics Recycling",INDEX('Materials Master'!$H$2:$H$27,MATCH($C97,'Materials Master'!$A$2:$A$27,0)),IF($B97="Cardboard Recycling",INDEX('Materials Master'!$I$2:$I$27,MATCH($C97,'Materials Master'!$A$2:$A$27,0)),IF($B97="Paper Recycling",INDEX('Materials Master'!$J$2:$J$27,MATCH($C97,'Materials Master'!$A$2:$A$27,0)),IF($B97="Terracycle",INDEX('Materials Master'!$K$2:$K$27,MATCH($C97,'Materials Master'!$A$2:$A$27,0)),"No"))))))="Yes",1,0)</f>
        <v>0</v>
      </c>
    </row>
    <row r="98" customFormat="false" ht="15" hidden="false" customHeight="false" outlineLevel="0" collapsed="false">
      <c r="A98" s="0" t="s">
        <v>92</v>
      </c>
      <c r="B98" s="0" t="s">
        <v>106</v>
      </c>
      <c r="C98" s="0" t="s">
        <v>71</v>
      </c>
      <c r="D98" s="0" t="str">
        <f aca="false">IFERROR(INDEX('Materials Master'!$B$2:$B$27,MATCH($C98,'Materials Master'!$A$2:$A$27,0)),"")</f>
        <v>Fiber-based Compostable Serviceware</v>
      </c>
      <c r="E98" s="0" t="str">
        <f aca="false">IFERROR(INDEX('Materials Master'!$C$2:$C$27,MATCH($C98,'Materials Master'!$A$2:$A$27,0)),"")</f>
        <v>Organics</v>
      </c>
      <c r="F98" s="0" t="n">
        <f aca="false">IF(SUMIFS(Fact_SortedWeights!$E$2:$E$89,Fact_SortedWeights!$C$2:$C$89,$A98,Fact_SortedWeights!$B$2:$B$89,$B98)=0,0,SUMIFS(Fact_SortedWeights!$E$2:$E$89,Fact_SortedWeights!$C$2:$C$89,$A98,Fact_SortedWeights!$B$2:$B$89,$B98,Fact_SortedWeights!$D$2:$D$89,$C98)/SUMIFS(Fact_SortedWeights!$E$2:$E$89,Fact_SortedWeights!$C$2:$C$89,$A98,Fact_SortedWeights!$B$2:$B$89,$B98)*(IF($B98="Cardboard Recycling",SUMIFS(Fact_SortedWeights!$E$2:$E$89,Fact_SortedWeights!$C$2:$C$89,$A98,Fact_SortedWeights!$B$2:$B$89,$B98),SUMIFS(Fact_PreSortWeights!$E$2:$E$186,Fact_PreSortWeights!$C$2:$C$186,$A98,Fact_PreSortWeights!$B$2:$B$186,$B98))))</f>
        <v>0</v>
      </c>
      <c r="G98" s="0" t="n">
        <f aca="false">IF(AND(IF($B98="Trash",INDEX('Materials Master'!$F$2:$F$27,MATCH($C98,'Materials Master'!$A$2:$A$27,0)),IF($B98="GMPC Recycling",INDEX('Materials Master'!$G$2:$G$27,MATCH($C98,'Materials Master'!$A$2:$A$27,0)),IF($B98="Organics Recycling",INDEX('Materials Master'!$H$2:$H$27,MATCH($C98,'Materials Master'!$A$2:$A$27,0)),IF($B98="Cardboard Recycling",INDEX('Materials Master'!$I$2:$I$27,MATCH($C98,'Materials Master'!$A$2:$A$27,0)),IF($B98="Paper Recycling",INDEX('Materials Master'!$J$2:$J$27,MATCH($C98,'Materials Master'!$A$2:$A$27,0)),IF($B98="Terracycle",INDEX('Materials Master'!$K$2:$K$27,MATCH($C98,'Materials Master'!$A$2:$A$27,0)),"No"))))))="Yes",INDEX('Materials Master'!$E$2:$E$27,MATCH($C98,'Materials Master'!$A$2:$A$27,0))="Yes",$B98&lt;&gt;"Trash"),1,0)</f>
        <v>0</v>
      </c>
      <c r="H98" s="0" t="str">
        <f aca="false">INDEX('Materials Master'!$E$2:$E$27,MATCH($C98,'Materials Master'!$A$2:$A$27,0))</f>
        <v>No</v>
      </c>
      <c r="I98" s="0" t="str">
        <f aca="false">IFERROR(INDEX(Areas!$C$2:$C$6,MATCH($A98,Areas!$B$2:$B$6,0)),"")</f>
        <v>Rest of Building</v>
      </c>
      <c r="J98" s="0" t="n">
        <f aca="false">IF(IF($B98="Trash",INDEX('Materials Master'!$F$2:$F$27,MATCH($C98,'Materials Master'!$A$2:$A$27,0)),IF($B98="GMPC Recycling",INDEX('Materials Master'!$G$2:$G$27,MATCH($C98,'Materials Master'!$A$2:$A$27,0)),IF($B98="Organics Recycling",INDEX('Materials Master'!$H$2:$H$27,MATCH($C98,'Materials Master'!$A$2:$A$27,0)),IF($B98="Cardboard Recycling",INDEX('Materials Master'!$I$2:$I$27,MATCH($C98,'Materials Master'!$A$2:$A$27,0)),IF($B98="Paper Recycling",INDEX('Materials Master'!$J$2:$J$27,MATCH($C98,'Materials Master'!$A$2:$A$27,0)),IF($B98="Terracycle",INDEX('Materials Master'!$K$2:$K$27,MATCH($C98,'Materials Master'!$A$2:$A$27,0)),"No"))))))="Yes",1,0)</f>
        <v>0</v>
      </c>
    </row>
    <row r="99" customFormat="false" ht="15" hidden="false" customHeight="false" outlineLevel="0" collapsed="false">
      <c r="A99" s="0" t="s">
        <v>92</v>
      </c>
      <c r="B99" s="0" t="s">
        <v>106</v>
      </c>
      <c r="C99" s="0" t="s">
        <v>73</v>
      </c>
      <c r="D99" s="0" t="str">
        <f aca="false">IFERROR(INDEX('Materials Master'!$B$2:$B$27,MATCH($C99,'Materials Master'!$A$2:$A$27,0)),"")</f>
        <v>PLA Compostable Serviceware</v>
      </c>
      <c r="E99" s="0" t="str">
        <f aca="false">IFERROR(INDEX('Materials Master'!$C$2:$C$27,MATCH($C99,'Materials Master'!$A$2:$A$27,0)),"")</f>
        <v>Organics</v>
      </c>
      <c r="F99" s="0" t="n">
        <f aca="false">IF(SUMIFS(Fact_SortedWeights!$E$2:$E$89,Fact_SortedWeights!$C$2:$C$89,$A99,Fact_SortedWeights!$B$2:$B$89,$B99)=0,0,SUMIFS(Fact_SortedWeights!$E$2:$E$89,Fact_SortedWeights!$C$2:$C$89,$A99,Fact_SortedWeights!$B$2:$B$89,$B99,Fact_SortedWeights!$D$2:$D$89,$C99)/SUMIFS(Fact_SortedWeights!$E$2:$E$89,Fact_SortedWeights!$C$2:$C$89,$A99,Fact_SortedWeights!$B$2:$B$89,$B99)*(IF($B99="Cardboard Recycling",SUMIFS(Fact_SortedWeights!$E$2:$E$89,Fact_SortedWeights!$C$2:$C$89,$A99,Fact_SortedWeights!$B$2:$B$89,$B99),SUMIFS(Fact_PreSortWeights!$E$2:$E$186,Fact_PreSortWeights!$C$2:$C$186,$A99,Fact_PreSortWeights!$B$2:$B$186,$B99))))</f>
        <v>0.035</v>
      </c>
      <c r="G99" s="0" t="n">
        <f aca="false">IF(AND(IF($B99="Trash",INDEX('Materials Master'!$F$2:$F$27,MATCH($C99,'Materials Master'!$A$2:$A$27,0)),IF($B99="GMPC Recycling",INDEX('Materials Master'!$G$2:$G$27,MATCH($C99,'Materials Master'!$A$2:$A$27,0)),IF($B99="Organics Recycling",INDEX('Materials Master'!$H$2:$H$27,MATCH($C99,'Materials Master'!$A$2:$A$27,0)),IF($B99="Cardboard Recycling",INDEX('Materials Master'!$I$2:$I$27,MATCH($C99,'Materials Master'!$A$2:$A$27,0)),IF($B99="Paper Recycling",INDEX('Materials Master'!$J$2:$J$27,MATCH($C99,'Materials Master'!$A$2:$A$27,0)),IF($B99="Terracycle",INDEX('Materials Master'!$K$2:$K$27,MATCH($C99,'Materials Master'!$A$2:$A$27,0)),"No"))))))="Yes",INDEX('Materials Master'!$E$2:$E$27,MATCH($C99,'Materials Master'!$A$2:$A$27,0))="Yes",$B99&lt;&gt;"Trash"),1,0)</f>
        <v>0</v>
      </c>
      <c r="H99" s="0" t="str">
        <f aca="false">INDEX('Materials Master'!$E$2:$E$27,MATCH($C99,'Materials Master'!$A$2:$A$27,0))</f>
        <v>No</v>
      </c>
      <c r="I99" s="0" t="str">
        <f aca="false">IFERROR(INDEX(Areas!$C$2:$C$6,MATCH($A99,Areas!$B$2:$B$6,0)),"")</f>
        <v>Rest of Building</v>
      </c>
      <c r="J99" s="0" t="n">
        <f aca="false">IF(IF($B99="Trash",INDEX('Materials Master'!$F$2:$F$27,MATCH($C99,'Materials Master'!$A$2:$A$27,0)),IF($B99="GMPC Recycling",INDEX('Materials Master'!$G$2:$G$27,MATCH($C99,'Materials Master'!$A$2:$A$27,0)),IF($B99="Organics Recycling",INDEX('Materials Master'!$H$2:$H$27,MATCH($C99,'Materials Master'!$A$2:$A$27,0)),IF($B99="Cardboard Recycling",INDEX('Materials Master'!$I$2:$I$27,MATCH($C99,'Materials Master'!$A$2:$A$27,0)),IF($B99="Paper Recycling",INDEX('Materials Master'!$J$2:$J$27,MATCH($C99,'Materials Master'!$A$2:$A$27,0)),IF($B99="Terracycle",INDEX('Materials Master'!$K$2:$K$27,MATCH($C99,'Materials Master'!$A$2:$A$27,0)),"No"))))))="Yes",1,0)</f>
        <v>0</v>
      </c>
    </row>
    <row r="100" customFormat="false" ht="15" hidden="false" customHeight="false" outlineLevel="0" collapsed="false">
      <c r="A100" s="0" t="s">
        <v>92</v>
      </c>
      <c r="B100" s="0" t="s">
        <v>106</v>
      </c>
      <c r="C100" s="0" t="s">
        <v>75</v>
      </c>
      <c r="D100" s="0" t="str">
        <f aca="false">IFERROR(INDEX('Materials Master'!$B$2:$B$27,MATCH($C100,'Materials Master'!$A$2:$A$27,0)),"")</f>
        <v>E/U Waste</v>
      </c>
      <c r="E100" s="0" t="str">
        <f aca="false">IFERROR(INDEX('Materials Master'!$C$2:$C$27,MATCH($C100,'Materials Master'!$A$2:$A$27,0)),"")</f>
        <v>Unacceptable</v>
      </c>
      <c r="F100" s="0" t="n">
        <f aca="false">IF(SUMIFS(Fact_SortedWeights!$E$2:$E$89,Fact_SortedWeights!$C$2:$C$89,$A100,Fact_SortedWeights!$B$2:$B$89,$B100)=0,0,SUMIFS(Fact_SortedWeights!$E$2:$E$89,Fact_SortedWeights!$C$2:$C$89,$A100,Fact_SortedWeights!$B$2:$B$89,$B100,Fact_SortedWeights!$D$2:$D$89,$C100)/SUMIFS(Fact_SortedWeights!$E$2:$E$89,Fact_SortedWeights!$C$2:$C$89,$A100,Fact_SortedWeights!$B$2:$B$89,$B100)*(IF($B100="Cardboard Recycling",SUMIFS(Fact_SortedWeights!$E$2:$E$89,Fact_SortedWeights!$C$2:$C$89,$A100,Fact_SortedWeights!$B$2:$B$89,$B100),SUMIFS(Fact_PreSortWeights!$E$2:$E$186,Fact_PreSortWeights!$C$2:$C$186,$A100,Fact_PreSortWeights!$B$2:$B$186,$B100))))</f>
        <v>0</v>
      </c>
      <c r="G100" s="0" t="n">
        <f aca="false">IF(AND(IF($B100="Trash",INDEX('Materials Master'!$F$2:$F$27,MATCH($C100,'Materials Master'!$A$2:$A$27,0)),IF($B100="GMPC Recycling",INDEX('Materials Master'!$G$2:$G$27,MATCH($C100,'Materials Master'!$A$2:$A$27,0)),IF($B100="Organics Recycling",INDEX('Materials Master'!$H$2:$H$27,MATCH($C100,'Materials Master'!$A$2:$A$27,0)),IF($B100="Cardboard Recycling",INDEX('Materials Master'!$I$2:$I$27,MATCH($C100,'Materials Master'!$A$2:$A$27,0)),IF($B100="Paper Recycling",INDEX('Materials Master'!$J$2:$J$27,MATCH($C100,'Materials Master'!$A$2:$A$27,0)),IF($B100="Terracycle",INDEX('Materials Master'!$K$2:$K$27,MATCH($C100,'Materials Master'!$A$2:$A$27,0)),"No"))))))="Yes",INDEX('Materials Master'!$E$2:$E$27,MATCH($C100,'Materials Master'!$A$2:$A$27,0))="Yes",$B100&lt;&gt;"Trash"),1,0)</f>
        <v>0</v>
      </c>
      <c r="H100" s="0" t="str">
        <f aca="false">INDEX('Materials Master'!$E$2:$E$27,MATCH($C100,'Materials Master'!$A$2:$A$27,0))</f>
        <v>No</v>
      </c>
      <c r="I100" s="0" t="str">
        <f aca="false">IFERROR(INDEX(Areas!$C$2:$C$6,MATCH($A100,Areas!$B$2:$B$6,0)),"")</f>
        <v>Rest of Building</v>
      </c>
      <c r="J100" s="0" t="n">
        <f aca="false">IF(IF($B100="Trash",INDEX('Materials Master'!$F$2:$F$27,MATCH($C100,'Materials Master'!$A$2:$A$27,0)),IF($B100="GMPC Recycling",INDEX('Materials Master'!$G$2:$G$27,MATCH($C100,'Materials Master'!$A$2:$A$27,0)),IF($B100="Organics Recycling",INDEX('Materials Master'!$H$2:$H$27,MATCH($C100,'Materials Master'!$A$2:$A$27,0)),IF($B100="Cardboard Recycling",INDEX('Materials Master'!$I$2:$I$27,MATCH($C100,'Materials Master'!$A$2:$A$27,0)),IF($B100="Paper Recycling",INDEX('Materials Master'!$J$2:$J$27,MATCH($C100,'Materials Master'!$A$2:$A$27,0)),IF($B100="Terracycle",INDEX('Materials Master'!$K$2:$K$27,MATCH($C100,'Materials Master'!$A$2:$A$27,0)),"No"))))))="Yes",1,0)</f>
        <v>0</v>
      </c>
    </row>
    <row r="101" customFormat="false" ht="15" hidden="false" customHeight="false" outlineLevel="0" collapsed="false">
      <c r="A101" s="0" t="s">
        <v>92</v>
      </c>
      <c r="B101" s="0" t="s">
        <v>106</v>
      </c>
      <c r="C101" s="0" t="s">
        <v>78</v>
      </c>
      <c r="D101" s="0" t="str">
        <f aca="false">IFERROR(INDEX('Materials Master'!$B$2:$B$27,MATCH($C101,'Materials Master'!$A$2:$A$27,0)),"")</f>
        <v>Textiles</v>
      </c>
      <c r="E101" s="0" t="str">
        <f aca="false">IFERROR(INDEX('Materials Master'!$C$2:$C$27,MATCH($C101,'Materials Master'!$A$2:$A$27,0)),"")</f>
        <v>Unacceptable</v>
      </c>
      <c r="F101" s="0" t="n">
        <f aca="false">IF(SUMIFS(Fact_SortedWeights!$E$2:$E$89,Fact_SortedWeights!$C$2:$C$89,$A101,Fact_SortedWeights!$B$2:$B$89,$B101)=0,0,SUMIFS(Fact_SortedWeights!$E$2:$E$89,Fact_SortedWeights!$C$2:$C$89,$A101,Fact_SortedWeights!$B$2:$B$89,$B101,Fact_SortedWeights!$D$2:$D$89,$C101)/SUMIFS(Fact_SortedWeights!$E$2:$E$89,Fact_SortedWeights!$C$2:$C$89,$A101,Fact_SortedWeights!$B$2:$B$89,$B101)*(IF($B101="Cardboard Recycling",SUMIFS(Fact_SortedWeights!$E$2:$E$89,Fact_SortedWeights!$C$2:$C$89,$A101,Fact_SortedWeights!$B$2:$B$89,$B101),SUMIFS(Fact_PreSortWeights!$E$2:$E$186,Fact_PreSortWeights!$C$2:$C$186,$A101,Fact_PreSortWeights!$B$2:$B$186,$B101))))</f>
        <v>0</v>
      </c>
      <c r="G101" s="0" t="n">
        <f aca="false">IF(AND(IF($B101="Trash",INDEX('Materials Master'!$F$2:$F$27,MATCH($C101,'Materials Master'!$A$2:$A$27,0)),IF($B101="GMPC Recycling",INDEX('Materials Master'!$G$2:$G$27,MATCH($C101,'Materials Master'!$A$2:$A$27,0)),IF($B101="Organics Recycling",INDEX('Materials Master'!$H$2:$H$27,MATCH($C101,'Materials Master'!$A$2:$A$27,0)),IF($B101="Cardboard Recycling",INDEX('Materials Master'!$I$2:$I$27,MATCH($C101,'Materials Master'!$A$2:$A$27,0)),IF($B101="Paper Recycling",INDEX('Materials Master'!$J$2:$J$27,MATCH($C101,'Materials Master'!$A$2:$A$27,0)),IF($B101="Terracycle",INDEX('Materials Master'!$K$2:$K$27,MATCH($C101,'Materials Master'!$A$2:$A$27,0)),"No"))))))="Yes",INDEX('Materials Master'!$E$2:$E$27,MATCH($C101,'Materials Master'!$A$2:$A$27,0))="Yes",$B101&lt;&gt;"Trash"),1,0)</f>
        <v>0</v>
      </c>
      <c r="H101" s="0" t="str">
        <f aca="false">INDEX('Materials Master'!$E$2:$E$27,MATCH($C101,'Materials Master'!$A$2:$A$27,0))</f>
        <v>No</v>
      </c>
      <c r="I101" s="0" t="str">
        <f aca="false">IFERROR(INDEX(Areas!$C$2:$C$6,MATCH($A101,Areas!$B$2:$B$6,0)),"")</f>
        <v>Rest of Building</v>
      </c>
      <c r="J101" s="0" t="n">
        <f aca="false">IF(IF($B101="Trash",INDEX('Materials Master'!$F$2:$F$27,MATCH($C101,'Materials Master'!$A$2:$A$27,0)),IF($B101="GMPC Recycling",INDEX('Materials Master'!$G$2:$G$27,MATCH($C101,'Materials Master'!$A$2:$A$27,0)),IF($B101="Organics Recycling",INDEX('Materials Master'!$H$2:$H$27,MATCH($C101,'Materials Master'!$A$2:$A$27,0)),IF($B101="Cardboard Recycling",INDEX('Materials Master'!$I$2:$I$27,MATCH($C101,'Materials Master'!$A$2:$A$27,0)),IF($B101="Paper Recycling",INDEX('Materials Master'!$J$2:$J$27,MATCH($C101,'Materials Master'!$A$2:$A$27,0)),IF($B101="Terracycle",INDEX('Materials Master'!$K$2:$K$27,MATCH($C101,'Materials Master'!$A$2:$A$27,0)),"No"))))))="Yes",1,0)</f>
        <v>0</v>
      </c>
    </row>
    <row r="102" customFormat="false" ht="15" hidden="false" customHeight="false" outlineLevel="0" collapsed="false">
      <c r="A102" s="0" t="s">
        <v>92</v>
      </c>
      <c r="B102" s="0" t="s">
        <v>106</v>
      </c>
      <c r="C102" s="0" t="s">
        <v>80</v>
      </c>
      <c r="D102" s="0" t="str">
        <f aca="false">IFERROR(INDEX('Materials Master'!$B$2:$B$27,MATCH($C102,'Materials Master'!$A$2:$A$27,0)),"")</f>
        <v>Other Unacceptable (specify)</v>
      </c>
      <c r="E102" s="0" t="str">
        <f aca="false">IFERROR(INDEX('Materials Master'!$C$2:$C$27,MATCH($C102,'Materials Master'!$A$2:$A$27,0)),"")</f>
        <v>Unacceptable</v>
      </c>
      <c r="F102" s="0" t="n">
        <f aca="false">IF(SUMIFS(Fact_SortedWeights!$E$2:$E$89,Fact_SortedWeights!$C$2:$C$89,$A102,Fact_SortedWeights!$B$2:$B$89,$B102)=0,0,SUMIFS(Fact_SortedWeights!$E$2:$E$89,Fact_SortedWeights!$C$2:$C$89,$A102,Fact_SortedWeights!$B$2:$B$89,$B102,Fact_SortedWeights!$D$2:$D$89,$C102)/SUMIFS(Fact_SortedWeights!$E$2:$E$89,Fact_SortedWeights!$C$2:$C$89,$A102,Fact_SortedWeights!$B$2:$B$89,$B102)*(IF($B102="Cardboard Recycling",SUMIFS(Fact_SortedWeights!$E$2:$E$89,Fact_SortedWeights!$C$2:$C$89,$A102,Fact_SortedWeights!$B$2:$B$89,$B102),SUMIFS(Fact_PreSortWeights!$E$2:$E$186,Fact_PreSortWeights!$C$2:$C$186,$A102,Fact_PreSortWeights!$B$2:$B$186,$B102))))</f>
        <v>0</v>
      </c>
      <c r="G102" s="0" t="n">
        <f aca="false">IF(AND(IF($B102="Trash",INDEX('Materials Master'!$F$2:$F$27,MATCH($C102,'Materials Master'!$A$2:$A$27,0)),IF($B102="GMPC Recycling",INDEX('Materials Master'!$G$2:$G$27,MATCH($C102,'Materials Master'!$A$2:$A$27,0)),IF($B102="Organics Recycling",INDEX('Materials Master'!$H$2:$H$27,MATCH($C102,'Materials Master'!$A$2:$A$27,0)),IF($B102="Cardboard Recycling",INDEX('Materials Master'!$I$2:$I$27,MATCH($C102,'Materials Master'!$A$2:$A$27,0)),IF($B102="Paper Recycling",INDEX('Materials Master'!$J$2:$J$27,MATCH($C102,'Materials Master'!$A$2:$A$27,0)),IF($B102="Terracycle",INDEX('Materials Master'!$K$2:$K$27,MATCH($C102,'Materials Master'!$A$2:$A$27,0)),"No"))))))="Yes",INDEX('Materials Master'!$E$2:$E$27,MATCH($C102,'Materials Master'!$A$2:$A$27,0))="Yes",$B102&lt;&gt;"Trash"),1,0)</f>
        <v>0</v>
      </c>
      <c r="H102" s="0" t="str">
        <f aca="false">INDEX('Materials Master'!$E$2:$E$27,MATCH($C102,'Materials Master'!$A$2:$A$27,0))</f>
        <v>No</v>
      </c>
      <c r="I102" s="0" t="str">
        <f aca="false">IFERROR(INDEX(Areas!$C$2:$C$6,MATCH($A102,Areas!$B$2:$B$6,0)),"")</f>
        <v>Rest of Building</v>
      </c>
      <c r="J102" s="0" t="n">
        <f aca="false">IF(IF($B102="Trash",INDEX('Materials Master'!$F$2:$F$27,MATCH($C102,'Materials Master'!$A$2:$A$27,0)),IF($B102="GMPC Recycling",INDEX('Materials Master'!$G$2:$G$27,MATCH($C102,'Materials Master'!$A$2:$A$27,0)),IF($B102="Organics Recycling",INDEX('Materials Master'!$H$2:$H$27,MATCH($C102,'Materials Master'!$A$2:$A$27,0)),IF($B102="Cardboard Recycling",INDEX('Materials Master'!$I$2:$I$27,MATCH($C102,'Materials Master'!$A$2:$A$27,0)),IF($B102="Paper Recycling",INDEX('Materials Master'!$J$2:$J$27,MATCH($C102,'Materials Master'!$A$2:$A$27,0)),IF($B102="Terracycle",INDEX('Materials Master'!$K$2:$K$27,MATCH($C102,'Materials Master'!$A$2:$A$27,0)),"No"))))))="Yes",1,0)</f>
        <v>0</v>
      </c>
    </row>
    <row r="103" customFormat="false" ht="15" hidden="false" customHeight="false" outlineLevel="0" collapsed="false">
      <c r="A103" s="0" t="s">
        <v>92</v>
      </c>
      <c r="B103" s="0" t="s">
        <v>106</v>
      </c>
      <c r="C103" s="0" t="s">
        <v>82</v>
      </c>
      <c r="D103" s="0" t="str">
        <f aca="false">IFERROR(INDEX('Materials Master'!$B$2:$B$27,MATCH($C103,'Materials Master'!$A$2:$A$27,0)),"")</f>
        <v>Liquids</v>
      </c>
      <c r="E103" s="0" t="str">
        <f aca="false">IFERROR(INDEX('Materials Master'!$C$2:$C$27,MATCH($C103,'Materials Master'!$A$2:$A$27,0)),"")</f>
        <v>Unacceptable</v>
      </c>
      <c r="F103" s="0" t="n">
        <f aca="false">IF(SUMIFS(Fact_SortedWeights!$E$2:$E$89,Fact_SortedWeights!$C$2:$C$89,$A103,Fact_SortedWeights!$B$2:$B$89,$B103)=0,0,SUMIFS(Fact_SortedWeights!$E$2:$E$89,Fact_SortedWeights!$C$2:$C$89,$A103,Fact_SortedWeights!$B$2:$B$89,$B103,Fact_SortedWeights!$D$2:$D$89,$C103)/SUMIFS(Fact_SortedWeights!$E$2:$E$89,Fact_SortedWeights!$C$2:$C$89,$A103,Fact_SortedWeights!$B$2:$B$89,$B103)*(IF($B103="Cardboard Recycling",SUMIFS(Fact_SortedWeights!$E$2:$E$89,Fact_SortedWeights!$C$2:$C$89,$A103,Fact_SortedWeights!$B$2:$B$89,$B103),SUMIFS(Fact_PreSortWeights!$E$2:$E$186,Fact_PreSortWeights!$C$2:$C$186,$A103,Fact_PreSortWeights!$B$2:$B$186,$B103))))</f>
        <v>0</v>
      </c>
      <c r="G103" s="0" t="n">
        <f aca="false">IF(AND(IF($B103="Trash",INDEX('Materials Master'!$F$2:$F$27,MATCH($C103,'Materials Master'!$A$2:$A$27,0)),IF($B103="GMPC Recycling",INDEX('Materials Master'!$G$2:$G$27,MATCH($C103,'Materials Master'!$A$2:$A$27,0)),IF($B103="Organics Recycling",INDEX('Materials Master'!$H$2:$H$27,MATCH($C103,'Materials Master'!$A$2:$A$27,0)),IF($B103="Cardboard Recycling",INDEX('Materials Master'!$I$2:$I$27,MATCH($C103,'Materials Master'!$A$2:$A$27,0)),IF($B103="Paper Recycling",INDEX('Materials Master'!$J$2:$J$27,MATCH($C103,'Materials Master'!$A$2:$A$27,0)),IF($B103="Terracycle",INDEX('Materials Master'!$K$2:$K$27,MATCH($C103,'Materials Master'!$A$2:$A$27,0)),"No"))))))="Yes",INDEX('Materials Master'!$E$2:$E$27,MATCH($C103,'Materials Master'!$A$2:$A$27,0))="Yes",$B103&lt;&gt;"Trash"),1,0)</f>
        <v>0</v>
      </c>
      <c r="H103" s="0" t="str">
        <f aca="false">INDEX('Materials Master'!$E$2:$E$27,MATCH($C103,'Materials Master'!$A$2:$A$27,0))</f>
        <v>No</v>
      </c>
      <c r="I103" s="0" t="str">
        <f aca="false">IFERROR(INDEX(Areas!$C$2:$C$6,MATCH($A103,Areas!$B$2:$B$6,0)),"")</f>
        <v>Rest of Building</v>
      </c>
      <c r="J103" s="0" t="n">
        <f aca="false">IF(IF($B103="Trash",INDEX('Materials Master'!$F$2:$F$27,MATCH($C103,'Materials Master'!$A$2:$A$27,0)),IF($B103="GMPC Recycling",INDEX('Materials Master'!$G$2:$G$27,MATCH($C103,'Materials Master'!$A$2:$A$27,0)),IF($B103="Organics Recycling",INDEX('Materials Master'!$H$2:$H$27,MATCH($C103,'Materials Master'!$A$2:$A$27,0)),IF($B103="Cardboard Recycling",INDEX('Materials Master'!$I$2:$I$27,MATCH($C103,'Materials Master'!$A$2:$A$27,0)),IF($B103="Paper Recycling",INDEX('Materials Master'!$J$2:$J$27,MATCH($C103,'Materials Master'!$A$2:$A$27,0)),IF($B103="Terracycle",INDEX('Materials Master'!$K$2:$K$27,MATCH($C103,'Materials Master'!$A$2:$A$27,0)),"No"))))))="Yes",1,0)</f>
        <v>0</v>
      </c>
    </row>
    <row r="104" customFormat="false" ht="15" hidden="false" customHeight="false" outlineLevel="0" collapsed="false">
      <c r="A104" s="0" t="s">
        <v>92</v>
      </c>
      <c r="B104" s="0" t="s">
        <v>106</v>
      </c>
      <c r="C104" s="0" t="s">
        <v>84</v>
      </c>
      <c r="D104" s="0" t="str">
        <f aca="false">IFERROR(INDEX('Materials Master'!$B$2:$B$27,MATCH($C104,'Materials Master'!$A$2:$A$27,0)),"")</f>
        <v>Snack Wrappers (Composites)</v>
      </c>
      <c r="E104" s="0" t="str">
        <f aca="false">IFERROR(INDEX('Materials Master'!$C$2:$C$27,MATCH($C104,'Materials Master'!$A$2:$A$27,0)),"")</f>
        <v>Other</v>
      </c>
      <c r="F104" s="0" t="n">
        <f aca="false">IF(SUMIFS(Fact_SortedWeights!$E$2:$E$89,Fact_SortedWeights!$C$2:$C$89,$A104,Fact_SortedWeights!$B$2:$B$89,$B104)=0,0,SUMIFS(Fact_SortedWeights!$E$2:$E$89,Fact_SortedWeights!$C$2:$C$89,$A104,Fact_SortedWeights!$B$2:$B$89,$B104,Fact_SortedWeights!$D$2:$D$89,$C104)/SUMIFS(Fact_SortedWeights!$E$2:$E$89,Fact_SortedWeights!$C$2:$C$89,$A104,Fact_SortedWeights!$B$2:$B$89,$B104)*(IF($B104="Cardboard Recycling",SUMIFS(Fact_SortedWeights!$E$2:$E$89,Fact_SortedWeights!$C$2:$C$89,$A104,Fact_SortedWeights!$B$2:$B$89,$B104),SUMIFS(Fact_PreSortWeights!$E$2:$E$186,Fact_PreSortWeights!$C$2:$C$186,$A104,Fact_PreSortWeights!$B$2:$B$186,$B104))))</f>
        <v>0.1</v>
      </c>
      <c r="G104" s="0" t="n">
        <f aca="false">IF(AND(IF($B104="Trash",INDEX('Materials Master'!$F$2:$F$27,MATCH($C104,'Materials Master'!$A$2:$A$27,0)),IF($B104="GMPC Recycling",INDEX('Materials Master'!$G$2:$G$27,MATCH($C104,'Materials Master'!$A$2:$A$27,0)),IF($B104="Organics Recycling",INDEX('Materials Master'!$H$2:$H$27,MATCH($C104,'Materials Master'!$A$2:$A$27,0)),IF($B104="Cardboard Recycling",INDEX('Materials Master'!$I$2:$I$27,MATCH($C104,'Materials Master'!$A$2:$A$27,0)),IF($B104="Paper Recycling",INDEX('Materials Master'!$J$2:$J$27,MATCH($C104,'Materials Master'!$A$2:$A$27,0)),IF($B104="Terracycle",INDEX('Materials Master'!$K$2:$K$27,MATCH($C104,'Materials Master'!$A$2:$A$27,0)),"No"))))))="Yes",INDEX('Materials Master'!$E$2:$E$27,MATCH($C104,'Materials Master'!$A$2:$A$27,0))="Yes",$B104&lt;&gt;"Trash"),1,0)</f>
        <v>0</v>
      </c>
      <c r="H104" s="0" t="str">
        <f aca="false">INDEX('Materials Master'!$E$2:$E$27,MATCH($C104,'Materials Master'!$A$2:$A$27,0))</f>
        <v>Yes</v>
      </c>
      <c r="I104" s="0" t="str">
        <f aca="false">IFERROR(INDEX(Areas!$C$2:$C$6,MATCH($A104,Areas!$B$2:$B$6,0)),"")</f>
        <v>Rest of Building</v>
      </c>
      <c r="J104" s="0" t="n">
        <f aca="false">IF(IF($B104="Trash",INDEX('Materials Master'!$F$2:$F$27,MATCH($C104,'Materials Master'!$A$2:$A$27,0)),IF($B104="GMPC Recycling",INDEX('Materials Master'!$G$2:$G$27,MATCH($C104,'Materials Master'!$A$2:$A$27,0)),IF($B104="Organics Recycling",INDEX('Materials Master'!$H$2:$H$27,MATCH($C104,'Materials Master'!$A$2:$A$27,0)),IF($B104="Cardboard Recycling",INDEX('Materials Master'!$I$2:$I$27,MATCH($C104,'Materials Master'!$A$2:$A$27,0)),IF($B104="Paper Recycling",INDEX('Materials Master'!$J$2:$J$27,MATCH($C104,'Materials Master'!$A$2:$A$27,0)),IF($B104="Terracycle",INDEX('Materials Master'!$K$2:$K$27,MATCH($C104,'Materials Master'!$A$2:$A$27,0)),"No"))))))="Yes",1,0)</f>
        <v>0</v>
      </c>
    </row>
    <row r="105" customFormat="false" ht="15" hidden="false" customHeight="false" outlineLevel="0" collapsed="false">
      <c r="A105" s="0" t="s">
        <v>92</v>
      </c>
      <c r="B105" s="0" t="s">
        <v>106</v>
      </c>
      <c r="C105" s="0" t="s">
        <v>87</v>
      </c>
      <c r="D105" s="0" t="str">
        <f aca="false">IFERROR(INDEX('Materials Master'!$B$2:$B$27,MATCH($C105,'Materials Master'!$A$2:$A$27,0)),"")</f>
        <v>Other/Residual Materials</v>
      </c>
      <c r="E105" s="0" t="str">
        <f aca="false">IFERROR(INDEX('Materials Master'!$C$2:$C$27,MATCH($C105,'Materials Master'!$A$2:$A$27,0)),"")</f>
        <v>Other</v>
      </c>
      <c r="F105" s="0" t="n">
        <f aca="false">IF(SUMIFS(Fact_SortedWeights!$E$2:$E$89,Fact_SortedWeights!$C$2:$C$89,$A105,Fact_SortedWeights!$B$2:$B$89,$B105)=0,0,SUMIFS(Fact_SortedWeights!$E$2:$E$89,Fact_SortedWeights!$C$2:$C$89,$A105,Fact_SortedWeights!$B$2:$B$89,$B105,Fact_SortedWeights!$D$2:$D$89,$C105)/SUMIFS(Fact_SortedWeights!$E$2:$E$89,Fact_SortedWeights!$C$2:$C$89,$A105,Fact_SortedWeights!$B$2:$B$89,$B105)*(IF($B105="Cardboard Recycling",SUMIFS(Fact_SortedWeights!$E$2:$E$89,Fact_SortedWeights!$C$2:$C$89,$A105,Fact_SortedWeights!$B$2:$B$89,$B105),SUMIFS(Fact_PreSortWeights!$E$2:$E$186,Fact_PreSortWeights!$C$2:$C$186,$A105,Fact_PreSortWeights!$B$2:$B$186,$B105))))</f>
        <v>8.2</v>
      </c>
      <c r="G105" s="0" t="n">
        <f aca="false">IF(AND(IF($B105="Trash",INDEX('Materials Master'!$F$2:$F$27,MATCH($C105,'Materials Master'!$A$2:$A$27,0)),IF($B105="GMPC Recycling",INDEX('Materials Master'!$G$2:$G$27,MATCH($C105,'Materials Master'!$A$2:$A$27,0)),IF($B105="Organics Recycling",INDEX('Materials Master'!$H$2:$H$27,MATCH($C105,'Materials Master'!$A$2:$A$27,0)),IF($B105="Cardboard Recycling",INDEX('Materials Master'!$I$2:$I$27,MATCH($C105,'Materials Master'!$A$2:$A$27,0)),IF($B105="Paper Recycling",INDEX('Materials Master'!$J$2:$J$27,MATCH($C105,'Materials Master'!$A$2:$A$27,0)),IF($B105="Terracycle",INDEX('Materials Master'!$K$2:$K$27,MATCH($C105,'Materials Master'!$A$2:$A$27,0)),"No"))))))="Yes",INDEX('Materials Master'!$E$2:$E$27,MATCH($C105,'Materials Master'!$A$2:$A$27,0))="Yes",$B105&lt;&gt;"Trash"),1,0)</f>
        <v>0</v>
      </c>
      <c r="H105" s="0" t="str">
        <f aca="false">INDEX('Materials Master'!$E$2:$E$27,MATCH($C105,'Materials Master'!$A$2:$A$27,0))</f>
        <v>No</v>
      </c>
      <c r="I105" s="0" t="str">
        <f aca="false">IFERROR(INDEX(Areas!$C$2:$C$6,MATCH($A105,Areas!$B$2:$B$6,0)),"")</f>
        <v>Rest of Building</v>
      </c>
      <c r="J105" s="0" t="n">
        <f aca="false">IF(IF($B105="Trash",INDEX('Materials Master'!$F$2:$F$27,MATCH($C105,'Materials Master'!$A$2:$A$27,0)),IF($B105="GMPC Recycling",INDEX('Materials Master'!$G$2:$G$27,MATCH($C105,'Materials Master'!$A$2:$A$27,0)),IF($B105="Organics Recycling",INDEX('Materials Master'!$H$2:$H$27,MATCH($C105,'Materials Master'!$A$2:$A$27,0)),IF($B105="Cardboard Recycling",INDEX('Materials Master'!$I$2:$I$27,MATCH($C105,'Materials Master'!$A$2:$A$27,0)),IF($B105="Paper Recycling",INDEX('Materials Master'!$J$2:$J$27,MATCH($C105,'Materials Master'!$A$2:$A$27,0)),IF($B105="Terracycle",INDEX('Materials Master'!$K$2:$K$27,MATCH($C105,'Materials Master'!$A$2:$A$27,0)),"No"))))))="Yes",1,0)</f>
        <v>0</v>
      </c>
    </row>
    <row r="106" customFormat="false" ht="15" hidden="false" customHeight="false" outlineLevel="0" collapsed="false">
      <c r="A106" s="0" t="s">
        <v>92</v>
      </c>
      <c r="B106" s="0" t="s">
        <v>107</v>
      </c>
      <c r="C106" s="0" t="s">
        <v>28</v>
      </c>
      <c r="D106" s="0" t="str">
        <f aca="false">IFERROR(INDEX('Materials Master'!$B$2:$B$27,MATCH($C106,'Materials Master'!$A$2:$A$27,0)),"")</f>
        <v>Corrugated Cardboard</v>
      </c>
      <c r="E106" s="0" t="str">
        <f aca="false">IFERROR(INDEX('Materials Master'!$C$2:$C$27,MATCH($C106,'Materials Master'!$A$2:$A$27,0)),"")</f>
        <v>Fibers</v>
      </c>
      <c r="F106" s="0" t="n">
        <f aca="false">IF(SUMIFS(Fact_SortedWeights!$E$2:$E$89,Fact_SortedWeights!$C$2:$C$89,$A106,Fact_SortedWeights!$B$2:$B$89,$B106)=0,0,SUMIFS(Fact_SortedWeights!$E$2:$E$89,Fact_SortedWeights!$C$2:$C$89,$A106,Fact_SortedWeights!$B$2:$B$89,$B106,Fact_SortedWeights!$D$2:$D$89,$C106)/SUMIFS(Fact_SortedWeights!$E$2:$E$89,Fact_SortedWeights!$C$2:$C$89,$A106,Fact_SortedWeights!$B$2:$B$89,$B106)*(IF($B106="Cardboard Recycling",SUMIFS(Fact_SortedWeights!$E$2:$E$89,Fact_SortedWeights!$C$2:$C$89,$A106,Fact_SortedWeights!$B$2:$B$89,$B106),SUMIFS(Fact_PreSortWeights!$E$2:$E$186,Fact_PreSortWeights!$C$2:$C$186,$A106,Fact_PreSortWeights!$B$2:$B$186,$B106))))</f>
        <v>0</v>
      </c>
      <c r="G106" s="0" t="n">
        <f aca="false">IF(AND(IF($B106="Trash",INDEX('Materials Master'!$F$2:$F$27,MATCH($C106,'Materials Master'!$A$2:$A$27,0)),IF($B106="GMPC Recycling",INDEX('Materials Master'!$G$2:$G$27,MATCH($C106,'Materials Master'!$A$2:$A$27,0)),IF($B106="Organics Recycling",INDEX('Materials Master'!$H$2:$H$27,MATCH($C106,'Materials Master'!$A$2:$A$27,0)),IF($B106="Cardboard Recycling",INDEX('Materials Master'!$I$2:$I$27,MATCH($C106,'Materials Master'!$A$2:$A$27,0)),IF($B106="Paper Recycling",INDEX('Materials Master'!$J$2:$J$27,MATCH($C106,'Materials Master'!$A$2:$A$27,0)),IF($B106="Terracycle",INDEX('Materials Master'!$K$2:$K$27,MATCH($C106,'Materials Master'!$A$2:$A$27,0)),"No"))))))="Yes",INDEX('Materials Master'!$E$2:$E$27,MATCH($C106,'Materials Master'!$A$2:$A$27,0))="Yes",$B106&lt;&gt;"Trash"),1,0)</f>
        <v>1</v>
      </c>
      <c r="H106" s="0" t="str">
        <f aca="false">INDEX('Materials Master'!$E$2:$E$27,MATCH($C106,'Materials Master'!$A$2:$A$27,0))</f>
        <v>Yes</v>
      </c>
      <c r="I106" s="0" t="str">
        <f aca="false">IFERROR(INDEX(Areas!$C$2:$C$6,MATCH($A106,Areas!$B$2:$B$6,0)),"")</f>
        <v>Rest of Building</v>
      </c>
      <c r="J106" s="0" t="n">
        <f aca="false">IF(IF($B106="Trash",INDEX('Materials Master'!$F$2:$F$27,MATCH($C106,'Materials Master'!$A$2:$A$27,0)),IF($B106="GMPC Recycling",INDEX('Materials Master'!$G$2:$G$27,MATCH($C106,'Materials Master'!$A$2:$A$27,0)),IF($B106="Organics Recycling",INDEX('Materials Master'!$H$2:$H$27,MATCH($C106,'Materials Master'!$A$2:$A$27,0)),IF($B106="Cardboard Recycling",INDEX('Materials Master'!$I$2:$I$27,MATCH($C106,'Materials Master'!$A$2:$A$27,0)),IF($B106="Paper Recycling",INDEX('Materials Master'!$J$2:$J$27,MATCH($C106,'Materials Master'!$A$2:$A$27,0)),IF($B106="Terracycle",INDEX('Materials Master'!$K$2:$K$27,MATCH($C106,'Materials Master'!$A$2:$A$27,0)),"No"))))))="Yes",1,0)</f>
        <v>1</v>
      </c>
    </row>
    <row r="107" customFormat="false" ht="15" hidden="false" customHeight="false" outlineLevel="0" collapsed="false">
      <c r="A107" s="0" t="s">
        <v>92</v>
      </c>
      <c r="B107" s="0" t="s">
        <v>107</v>
      </c>
      <c r="C107" s="0" t="s">
        <v>33</v>
      </c>
      <c r="D107" s="0" t="str">
        <f aca="false">IFERROR(INDEX('Materials Master'!$B$2:$B$27,MATCH($C107,'Materials Master'!$A$2:$A$27,0)),"")</f>
        <v>Soiled Cardboard</v>
      </c>
      <c r="E107" s="0" t="str">
        <f aca="false">IFERROR(INDEX('Materials Master'!$C$2:$C$27,MATCH($C107,'Materials Master'!$A$2:$A$27,0)),"")</f>
        <v>Fibers</v>
      </c>
      <c r="F107" s="0" t="n">
        <f aca="false">IF(SUMIFS(Fact_SortedWeights!$E$2:$E$89,Fact_SortedWeights!$C$2:$C$89,$A107,Fact_SortedWeights!$B$2:$B$89,$B107)=0,0,SUMIFS(Fact_SortedWeights!$E$2:$E$89,Fact_SortedWeights!$C$2:$C$89,$A107,Fact_SortedWeights!$B$2:$B$89,$B107,Fact_SortedWeights!$D$2:$D$89,$C107)/SUMIFS(Fact_SortedWeights!$E$2:$E$89,Fact_SortedWeights!$C$2:$C$89,$A107,Fact_SortedWeights!$B$2:$B$89,$B107)*(IF($B107="Cardboard Recycling",SUMIFS(Fact_SortedWeights!$E$2:$E$89,Fact_SortedWeights!$C$2:$C$89,$A107,Fact_SortedWeights!$B$2:$B$89,$B107),SUMIFS(Fact_PreSortWeights!$E$2:$E$186,Fact_PreSortWeights!$C$2:$C$186,$A107,Fact_PreSortWeights!$B$2:$B$186,$B107))))</f>
        <v>0</v>
      </c>
      <c r="G107" s="0" t="n">
        <f aca="false">IF(AND(IF($B107="Trash",INDEX('Materials Master'!$F$2:$F$27,MATCH($C107,'Materials Master'!$A$2:$A$27,0)),IF($B107="GMPC Recycling",INDEX('Materials Master'!$G$2:$G$27,MATCH($C107,'Materials Master'!$A$2:$A$27,0)),IF($B107="Organics Recycling",INDEX('Materials Master'!$H$2:$H$27,MATCH($C107,'Materials Master'!$A$2:$A$27,0)),IF($B107="Cardboard Recycling",INDEX('Materials Master'!$I$2:$I$27,MATCH($C107,'Materials Master'!$A$2:$A$27,0)),IF($B107="Paper Recycling",INDEX('Materials Master'!$J$2:$J$27,MATCH($C107,'Materials Master'!$A$2:$A$27,0)),IF($B107="Terracycle",INDEX('Materials Master'!$K$2:$K$27,MATCH($C107,'Materials Master'!$A$2:$A$27,0)),"No"))))))="Yes",INDEX('Materials Master'!$E$2:$E$27,MATCH($C107,'Materials Master'!$A$2:$A$27,0))="Yes",$B107&lt;&gt;"Trash"),1,0)</f>
        <v>0</v>
      </c>
      <c r="H107" s="0" t="str">
        <f aca="false">INDEX('Materials Master'!$E$2:$E$27,MATCH($C107,'Materials Master'!$A$2:$A$27,0))</f>
        <v>No</v>
      </c>
      <c r="I107" s="0" t="str">
        <f aca="false">IFERROR(INDEX(Areas!$C$2:$C$6,MATCH($A107,Areas!$B$2:$B$6,0)),"")</f>
        <v>Rest of Building</v>
      </c>
      <c r="J107" s="0" t="n">
        <f aca="false">IF(IF($B107="Trash",INDEX('Materials Master'!$F$2:$F$27,MATCH($C107,'Materials Master'!$A$2:$A$27,0)),IF($B107="GMPC Recycling",INDEX('Materials Master'!$G$2:$G$27,MATCH($C107,'Materials Master'!$A$2:$A$27,0)),IF($B107="Organics Recycling",INDEX('Materials Master'!$H$2:$H$27,MATCH($C107,'Materials Master'!$A$2:$A$27,0)),IF($B107="Cardboard Recycling",INDEX('Materials Master'!$I$2:$I$27,MATCH($C107,'Materials Master'!$A$2:$A$27,0)),IF($B107="Paper Recycling",INDEX('Materials Master'!$J$2:$J$27,MATCH($C107,'Materials Master'!$A$2:$A$27,0)),IF($B107="Terracycle",INDEX('Materials Master'!$K$2:$K$27,MATCH($C107,'Materials Master'!$A$2:$A$27,0)),"No"))))))="Yes",1,0)</f>
        <v>0</v>
      </c>
    </row>
    <row r="108" customFormat="false" ht="15" hidden="false" customHeight="false" outlineLevel="0" collapsed="false">
      <c r="A108" s="0" t="s">
        <v>92</v>
      </c>
      <c r="B108" s="0" t="s">
        <v>107</v>
      </c>
      <c r="C108" s="0" t="s">
        <v>35</v>
      </c>
      <c r="D108" s="0" t="str">
        <f aca="false">IFERROR(INDEX('Materials Master'!$B$2:$B$27,MATCH($C108,'Materials Master'!$A$2:$A$27,0)),"")</f>
        <v>Waxed Cardboard</v>
      </c>
      <c r="E108" s="0" t="str">
        <f aca="false">IFERROR(INDEX('Materials Master'!$C$2:$C$27,MATCH($C108,'Materials Master'!$A$2:$A$27,0)),"")</f>
        <v>Fibers</v>
      </c>
      <c r="F108" s="0" t="n">
        <f aca="false">IF(SUMIFS(Fact_SortedWeights!$E$2:$E$89,Fact_SortedWeights!$C$2:$C$89,$A108,Fact_SortedWeights!$B$2:$B$89,$B108)=0,0,SUMIFS(Fact_SortedWeights!$E$2:$E$89,Fact_SortedWeights!$C$2:$C$89,$A108,Fact_SortedWeights!$B$2:$B$89,$B108,Fact_SortedWeights!$D$2:$D$89,$C108)/SUMIFS(Fact_SortedWeights!$E$2:$E$89,Fact_SortedWeights!$C$2:$C$89,$A108,Fact_SortedWeights!$B$2:$B$89,$B108)*(IF($B108="Cardboard Recycling",SUMIFS(Fact_SortedWeights!$E$2:$E$89,Fact_SortedWeights!$C$2:$C$89,$A108,Fact_SortedWeights!$B$2:$B$89,$B108),SUMIFS(Fact_PreSortWeights!$E$2:$E$186,Fact_PreSortWeights!$C$2:$C$186,$A108,Fact_PreSortWeights!$B$2:$B$186,$B108))))</f>
        <v>0</v>
      </c>
      <c r="G108" s="0" t="n">
        <f aca="false">IF(AND(IF($B108="Trash",INDEX('Materials Master'!$F$2:$F$27,MATCH($C108,'Materials Master'!$A$2:$A$27,0)),IF($B108="GMPC Recycling",INDEX('Materials Master'!$G$2:$G$27,MATCH($C108,'Materials Master'!$A$2:$A$27,0)),IF($B108="Organics Recycling",INDEX('Materials Master'!$H$2:$H$27,MATCH($C108,'Materials Master'!$A$2:$A$27,0)),IF($B108="Cardboard Recycling",INDEX('Materials Master'!$I$2:$I$27,MATCH($C108,'Materials Master'!$A$2:$A$27,0)),IF($B108="Paper Recycling",INDEX('Materials Master'!$J$2:$J$27,MATCH($C108,'Materials Master'!$A$2:$A$27,0)),IF($B108="Terracycle",INDEX('Materials Master'!$K$2:$K$27,MATCH($C108,'Materials Master'!$A$2:$A$27,0)),"No"))))))="Yes",INDEX('Materials Master'!$E$2:$E$27,MATCH($C108,'Materials Master'!$A$2:$A$27,0))="Yes",$B108&lt;&gt;"Trash"),1,0)</f>
        <v>0</v>
      </c>
      <c r="H108" s="0" t="str">
        <f aca="false">INDEX('Materials Master'!$E$2:$E$27,MATCH($C108,'Materials Master'!$A$2:$A$27,0))</f>
        <v>No</v>
      </c>
      <c r="I108" s="0" t="str">
        <f aca="false">IFERROR(INDEX(Areas!$C$2:$C$6,MATCH($A108,Areas!$B$2:$B$6,0)),"")</f>
        <v>Rest of Building</v>
      </c>
      <c r="J108" s="0" t="n">
        <f aca="false">IF(IF($B108="Trash",INDEX('Materials Master'!$F$2:$F$27,MATCH($C108,'Materials Master'!$A$2:$A$27,0)),IF($B108="GMPC Recycling",INDEX('Materials Master'!$G$2:$G$27,MATCH($C108,'Materials Master'!$A$2:$A$27,0)),IF($B108="Organics Recycling",INDEX('Materials Master'!$H$2:$H$27,MATCH($C108,'Materials Master'!$A$2:$A$27,0)),IF($B108="Cardboard Recycling",INDEX('Materials Master'!$I$2:$I$27,MATCH($C108,'Materials Master'!$A$2:$A$27,0)),IF($B108="Paper Recycling",INDEX('Materials Master'!$J$2:$J$27,MATCH($C108,'Materials Master'!$A$2:$A$27,0)),IF($B108="Terracycle",INDEX('Materials Master'!$K$2:$K$27,MATCH($C108,'Materials Master'!$A$2:$A$27,0)),"No"))))))="Yes",1,0)</f>
        <v>0</v>
      </c>
    </row>
    <row r="109" customFormat="false" ht="15" hidden="false" customHeight="false" outlineLevel="0" collapsed="false">
      <c r="A109" s="0" t="s">
        <v>92</v>
      </c>
      <c r="B109" s="0" t="s">
        <v>107</v>
      </c>
      <c r="C109" s="0" t="s">
        <v>37</v>
      </c>
      <c r="D109" s="0" t="str">
        <f aca="false">IFERROR(INDEX('Materials Master'!$B$2:$B$27,MATCH($C109,'Materials Master'!$A$2:$A$27,0)),"")</f>
        <v>Mixed Paper</v>
      </c>
      <c r="E109" s="0" t="str">
        <f aca="false">IFERROR(INDEX('Materials Master'!$C$2:$C$27,MATCH($C109,'Materials Master'!$A$2:$A$27,0)),"")</f>
        <v>Fibers</v>
      </c>
      <c r="F109" s="0" t="n">
        <f aca="false">IF(SUMIFS(Fact_SortedWeights!$E$2:$E$89,Fact_SortedWeights!$C$2:$C$89,$A109,Fact_SortedWeights!$B$2:$B$89,$B109)=0,0,SUMIFS(Fact_SortedWeights!$E$2:$E$89,Fact_SortedWeights!$C$2:$C$89,$A109,Fact_SortedWeights!$B$2:$B$89,$B109,Fact_SortedWeights!$D$2:$D$89,$C109)/SUMIFS(Fact_SortedWeights!$E$2:$E$89,Fact_SortedWeights!$C$2:$C$89,$A109,Fact_SortedWeights!$B$2:$B$89,$B109)*(IF($B109="Cardboard Recycling",SUMIFS(Fact_SortedWeights!$E$2:$E$89,Fact_SortedWeights!$C$2:$C$89,$A109,Fact_SortedWeights!$B$2:$B$89,$B109),SUMIFS(Fact_PreSortWeights!$E$2:$E$186,Fact_PreSortWeights!$C$2:$C$186,$A109,Fact_PreSortWeights!$B$2:$B$186,$B109))))</f>
        <v>16.6235473647142</v>
      </c>
      <c r="G109" s="0" t="n">
        <f aca="false">IF(AND(IF($B109="Trash",INDEX('Materials Master'!$F$2:$F$27,MATCH($C109,'Materials Master'!$A$2:$A$27,0)),IF($B109="GMPC Recycling",INDEX('Materials Master'!$G$2:$G$27,MATCH($C109,'Materials Master'!$A$2:$A$27,0)),IF($B109="Organics Recycling",INDEX('Materials Master'!$H$2:$H$27,MATCH($C109,'Materials Master'!$A$2:$A$27,0)),IF($B109="Cardboard Recycling",INDEX('Materials Master'!$I$2:$I$27,MATCH($C109,'Materials Master'!$A$2:$A$27,0)),IF($B109="Paper Recycling",INDEX('Materials Master'!$J$2:$J$27,MATCH($C109,'Materials Master'!$A$2:$A$27,0)),IF($B109="Terracycle",INDEX('Materials Master'!$K$2:$K$27,MATCH($C109,'Materials Master'!$A$2:$A$27,0)),"No"))))))="Yes",INDEX('Materials Master'!$E$2:$E$27,MATCH($C109,'Materials Master'!$A$2:$A$27,0))="Yes",$B109&lt;&gt;"Trash"),1,0)</f>
        <v>1</v>
      </c>
      <c r="H109" s="0" t="str">
        <f aca="false">INDEX('Materials Master'!$E$2:$E$27,MATCH($C109,'Materials Master'!$A$2:$A$27,0))</f>
        <v>Yes</v>
      </c>
      <c r="I109" s="0" t="str">
        <f aca="false">IFERROR(INDEX(Areas!$C$2:$C$6,MATCH($A109,Areas!$B$2:$B$6,0)),"")</f>
        <v>Rest of Building</v>
      </c>
      <c r="J109" s="0" t="n">
        <f aca="false">IF(IF($B109="Trash",INDEX('Materials Master'!$F$2:$F$27,MATCH($C109,'Materials Master'!$A$2:$A$27,0)),IF($B109="GMPC Recycling",INDEX('Materials Master'!$G$2:$G$27,MATCH($C109,'Materials Master'!$A$2:$A$27,0)),IF($B109="Organics Recycling",INDEX('Materials Master'!$H$2:$H$27,MATCH($C109,'Materials Master'!$A$2:$A$27,0)),IF($B109="Cardboard Recycling",INDEX('Materials Master'!$I$2:$I$27,MATCH($C109,'Materials Master'!$A$2:$A$27,0)),IF($B109="Paper Recycling",INDEX('Materials Master'!$J$2:$J$27,MATCH($C109,'Materials Master'!$A$2:$A$27,0)),IF($B109="Terracycle",INDEX('Materials Master'!$K$2:$K$27,MATCH($C109,'Materials Master'!$A$2:$A$27,0)),"No"))))))="Yes",1,0)</f>
        <v>1</v>
      </c>
    </row>
    <row r="110" customFormat="false" ht="15" hidden="false" customHeight="false" outlineLevel="0" collapsed="false">
      <c r="A110" s="0" t="s">
        <v>92</v>
      </c>
      <c r="B110" s="0" t="s">
        <v>107</v>
      </c>
      <c r="C110" s="0" t="s">
        <v>39</v>
      </c>
      <c r="D110" s="0" t="str">
        <f aca="false">IFERROR(INDEX('Materials Master'!$B$2:$B$27,MATCH($C110,'Materials Master'!$A$2:$A$27,0)),"")</f>
        <v>Soiled Paper</v>
      </c>
      <c r="E110" s="0" t="str">
        <f aca="false">IFERROR(INDEX('Materials Master'!$C$2:$C$27,MATCH($C110,'Materials Master'!$A$2:$A$27,0)),"")</f>
        <v>Fibers</v>
      </c>
      <c r="F110" s="0" t="n">
        <f aca="false">IF(SUMIFS(Fact_SortedWeights!$E$2:$E$89,Fact_SortedWeights!$C$2:$C$89,$A110,Fact_SortedWeights!$B$2:$B$89,$B110)=0,0,SUMIFS(Fact_SortedWeights!$E$2:$E$89,Fact_SortedWeights!$C$2:$C$89,$A110,Fact_SortedWeights!$B$2:$B$89,$B110,Fact_SortedWeights!$D$2:$D$89,$C110)/SUMIFS(Fact_SortedWeights!$E$2:$E$89,Fact_SortedWeights!$C$2:$C$89,$A110,Fact_SortedWeights!$B$2:$B$89,$B110)*(IF($B110="Cardboard Recycling",SUMIFS(Fact_SortedWeights!$E$2:$E$89,Fact_SortedWeights!$C$2:$C$89,$A110,Fact_SortedWeights!$B$2:$B$89,$B110),SUMIFS(Fact_PreSortWeights!$E$2:$E$186,Fact_PreSortWeights!$C$2:$C$186,$A110,Fact_PreSortWeights!$B$2:$B$186,$B110))))</f>
        <v>0</v>
      </c>
      <c r="G110" s="0" t="n">
        <f aca="false">IF(AND(IF($B110="Trash",INDEX('Materials Master'!$F$2:$F$27,MATCH($C110,'Materials Master'!$A$2:$A$27,0)),IF($B110="GMPC Recycling",INDEX('Materials Master'!$G$2:$G$27,MATCH($C110,'Materials Master'!$A$2:$A$27,0)),IF($B110="Organics Recycling",INDEX('Materials Master'!$H$2:$H$27,MATCH($C110,'Materials Master'!$A$2:$A$27,0)),IF($B110="Cardboard Recycling",INDEX('Materials Master'!$I$2:$I$27,MATCH($C110,'Materials Master'!$A$2:$A$27,0)),IF($B110="Paper Recycling",INDEX('Materials Master'!$J$2:$J$27,MATCH($C110,'Materials Master'!$A$2:$A$27,0)),IF($B110="Terracycle",INDEX('Materials Master'!$K$2:$K$27,MATCH($C110,'Materials Master'!$A$2:$A$27,0)),"No"))))))="Yes",INDEX('Materials Master'!$E$2:$E$27,MATCH($C110,'Materials Master'!$A$2:$A$27,0))="Yes",$B110&lt;&gt;"Trash"),1,0)</f>
        <v>0</v>
      </c>
      <c r="H110" s="0" t="str">
        <f aca="false">INDEX('Materials Master'!$E$2:$E$27,MATCH($C110,'Materials Master'!$A$2:$A$27,0))</f>
        <v>No</v>
      </c>
      <c r="I110" s="0" t="str">
        <f aca="false">IFERROR(INDEX(Areas!$C$2:$C$6,MATCH($A110,Areas!$B$2:$B$6,0)),"")</f>
        <v>Rest of Building</v>
      </c>
      <c r="J110" s="0" t="n">
        <f aca="false">IF(IF($B110="Trash",INDEX('Materials Master'!$F$2:$F$27,MATCH($C110,'Materials Master'!$A$2:$A$27,0)),IF($B110="GMPC Recycling",INDEX('Materials Master'!$G$2:$G$27,MATCH($C110,'Materials Master'!$A$2:$A$27,0)),IF($B110="Organics Recycling",INDEX('Materials Master'!$H$2:$H$27,MATCH($C110,'Materials Master'!$A$2:$A$27,0)),IF($B110="Cardboard Recycling",INDEX('Materials Master'!$I$2:$I$27,MATCH($C110,'Materials Master'!$A$2:$A$27,0)),IF($B110="Paper Recycling",INDEX('Materials Master'!$J$2:$J$27,MATCH($C110,'Materials Master'!$A$2:$A$27,0)),IF($B110="Terracycle",INDEX('Materials Master'!$K$2:$K$27,MATCH($C110,'Materials Master'!$A$2:$A$27,0)),"No"))))))="Yes",1,0)</f>
        <v>0</v>
      </c>
    </row>
    <row r="111" customFormat="false" ht="15" hidden="false" customHeight="false" outlineLevel="0" collapsed="false">
      <c r="A111" s="0" t="s">
        <v>92</v>
      </c>
      <c r="B111" s="0" t="s">
        <v>107</v>
      </c>
      <c r="C111" s="0" t="s">
        <v>41</v>
      </c>
      <c r="D111" s="0" t="str">
        <f aca="false">IFERROR(INDEX('Materials Master'!$B$2:$B$27,MATCH($C111,'Materials Master'!$A$2:$A$27,0)),"")</f>
        <v>Beverage Cartons</v>
      </c>
      <c r="E111" s="0" t="str">
        <f aca="false">IFERROR(INDEX('Materials Master'!$C$2:$C$27,MATCH($C111,'Materials Master'!$A$2:$A$27,0)),"")</f>
        <v>Fibers</v>
      </c>
      <c r="F111" s="0" t="n">
        <f aca="false">IF(SUMIFS(Fact_SortedWeights!$E$2:$E$89,Fact_SortedWeights!$C$2:$C$89,$A111,Fact_SortedWeights!$B$2:$B$89,$B111)=0,0,SUMIFS(Fact_SortedWeights!$E$2:$E$89,Fact_SortedWeights!$C$2:$C$89,$A111,Fact_SortedWeights!$B$2:$B$89,$B111,Fact_SortedWeights!$D$2:$D$89,$C111)/SUMIFS(Fact_SortedWeights!$E$2:$E$89,Fact_SortedWeights!$C$2:$C$89,$A111,Fact_SortedWeights!$B$2:$B$89,$B111)*(IF($B111="Cardboard Recycling",SUMIFS(Fact_SortedWeights!$E$2:$E$89,Fact_SortedWeights!$C$2:$C$89,$A111,Fact_SortedWeights!$B$2:$B$89,$B111),SUMIFS(Fact_PreSortWeights!$E$2:$E$186,Fact_PreSortWeights!$C$2:$C$186,$A111,Fact_PreSortWeights!$B$2:$B$186,$B111))))</f>
        <v>0</v>
      </c>
      <c r="G111" s="0" t="n">
        <f aca="false">IF(AND(IF($B111="Trash",INDEX('Materials Master'!$F$2:$F$27,MATCH($C111,'Materials Master'!$A$2:$A$27,0)),IF($B111="GMPC Recycling",INDEX('Materials Master'!$G$2:$G$27,MATCH($C111,'Materials Master'!$A$2:$A$27,0)),IF($B111="Organics Recycling",INDEX('Materials Master'!$H$2:$H$27,MATCH($C111,'Materials Master'!$A$2:$A$27,0)),IF($B111="Cardboard Recycling",INDEX('Materials Master'!$I$2:$I$27,MATCH($C111,'Materials Master'!$A$2:$A$27,0)),IF($B111="Paper Recycling",INDEX('Materials Master'!$J$2:$J$27,MATCH($C111,'Materials Master'!$A$2:$A$27,0)),IF($B111="Terracycle",INDEX('Materials Master'!$K$2:$K$27,MATCH($C111,'Materials Master'!$A$2:$A$27,0)),"No"))))))="Yes",INDEX('Materials Master'!$E$2:$E$27,MATCH($C111,'Materials Master'!$A$2:$A$27,0))="Yes",$B111&lt;&gt;"Trash"),1,0)</f>
        <v>1</v>
      </c>
      <c r="H111" s="0" t="str">
        <f aca="false">INDEX('Materials Master'!$E$2:$E$27,MATCH($C111,'Materials Master'!$A$2:$A$27,0))</f>
        <v>Yes</v>
      </c>
      <c r="I111" s="0" t="str">
        <f aca="false">IFERROR(INDEX(Areas!$C$2:$C$6,MATCH($A111,Areas!$B$2:$B$6,0)),"")</f>
        <v>Rest of Building</v>
      </c>
      <c r="J111" s="0" t="n">
        <f aca="false">IF(IF($B111="Trash",INDEX('Materials Master'!$F$2:$F$27,MATCH($C111,'Materials Master'!$A$2:$A$27,0)),IF($B111="GMPC Recycling",INDEX('Materials Master'!$G$2:$G$27,MATCH($C111,'Materials Master'!$A$2:$A$27,0)),IF($B111="Organics Recycling",INDEX('Materials Master'!$H$2:$H$27,MATCH($C111,'Materials Master'!$A$2:$A$27,0)),IF($B111="Cardboard Recycling",INDEX('Materials Master'!$I$2:$I$27,MATCH($C111,'Materials Master'!$A$2:$A$27,0)),IF($B111="Paper Recycling",INDEX('Materials Master'!$J$2:$J$27,MATCH($C111,'Materials Master'!$A$2:$A$27,0)),IF($B111="Terracycle",INDEX('Materials Master'!$K$2:$K$27,MATCH($C111,'Materials Master'!$A$2:$A$27,0)),"No"))))))="Yes",1,0)</f>
        <v>1</v>
      </c>
    </row>
    <row r="112" customFormat="false" ht="15" hidden="false" customHeight="false" outlineLevel="0" collapsed="false">
      <c r="A112" s="0" t="s">
        <v>92</v>
      </c>
      <c r="B112" s="0" t="s">
        <v>107</v>
      </c>
      <c r="C112" s="0" t="s">
        <v>43</v>
      </c>
      <c r="D112" s="0" t="str">
        <f aca="false">IFERROR(INDEX('Materials Master'!$B$2:$B$27,MATCH($C112,'Materials Master'!$A$2:$A$27,0)),"")</f>
        <v>Soiled Beverage Cartons</v>
      </c>
      <c r="E112" s="0" t="str">
        <f aca="false">IFERROR(INDEX('Materials Master'!$C$2:$C$27,MATCH($C112,'Materials Master'!$A$2:$A$27,0)),"")</f>
        <v>Fibers</v>
      </c>
      <c r="F112" s="0" t="n">
        <f aca="false">IF(SUMIFS(Fact_SortedWeights!$E$2:$E$89,Fact_SortedWeights!$C$2:$C$89,$A112,Fact_SortedWeights!$B$2:$B$89,$B112)=0,0,SUMIFS(Fact_SortedWeights!$E$2:$E$89,Fact_SortedWeights!$C$2:$C$89,$A112,Fact_SortedWeights!$B$2:$B$89,$B112,Fact_SortedWeights!$D$2:$D$89,$C112)/SUMIFS(Fact_SortedWeights!$E$2:$E$89,Fact_SortedWeights!$C$2:$C$89,$A112,Fact_SortedWeights!$B$2:$B$89,$B112)*(IF($B112="Cardboard Recycling",SUMIFS(Fact_SortedWeights!$E$2:$E$89,Fact_SortedWeights!$C$2:$C$89,$A112,Fact_SortedWeights!$B$2:$B$89,$B112),SUMIFS(Fact_PreSortWeights!$E$2:$E$186,Fact_PreSortWeights!$C$2:$C$186,$A112,Fact_PreSortWeights!$B$2:$B$186,$B112))))</f>
        <v>0</v>
      </c>
      <c r="G112" s="0" t="n">
        <f aca="false">IF(AND(IF($B112="Trash",INDEX('Materials Master'!$F$2:$F$27,MATCH($C112,'Materials Master'!$A$2:$A$27,0)),IF($B112="GMPC Recycling",INDEX('Materials Master'!$G$2:$G$27,MATCH($C112,'Materials Master'!$A$2:$A$27,0)),IF($B112="Organics Recycling",INDEX('Materials Master'!$H$2:$H$27,MATCH($C112,'Materials Master'!$A$2:$A$27,0)),IF($B112="Cardboard Recycling",INDEX('Materials Master'!$I$2:$I$27,MATCH($C112,'Materials Master'!$A$2:$A$27,0)),IF($B112="Paper Recycling",INDEX('Materials Master'!$J$2:$J$27,MATCH($C112,'Materials Master'!$A$2:$A$27,0)),IF($B112="Terracycle",INDEX('Materials Master'!$K$2:$K$27,MATCH($C112,'Materials Master'!$A$2:$A$27,0)),"No"))))))="Yes",INDEX('Materials Master'!$E$2:$E$27,MATCH($C112,'Materials Master'!$A$2:$A$27,0))="Yes",$B112&lt;&gt;"Trash"),1,0)</f>
        <v>0</v>
      </c>
      <c r="H112" s="0" t="str">
        <f aca="false">INDEX('Materials Master'!$E$2:$E$27,MATCH($C112,'Materials Master'!$A$2:$A$27,0))</f>
        <v>No</v>
      </c>
      <c r="I112" s="0" t="str">
        <f aca="false">IFERROR(INDEX(Areas!$C$2:$C$6,MATCH($A112,Areas!$B$2:$B$6,0)),"")</f>
        <v>Rest of Building</v>
      </c>
      <c r="J112" s="0" t="n">
        <f aca="false">IF(IF($B112="Trash",INDEX('Materials Master'!$F$2:$F$27,MATCH($C112,'Materials Master'!$A$2:$A$27,0)),IF($B112="GMPC Recycling",INDEX('Materials Master'!$G$2:$G$27,MATCH($C112,'Materials Master'!$A$2:$A$27,0)),IF($B112="Organics Recycling",INDEX('Materials Master'!$H$2:$H$27,MATCH($C112,'Materials Master'!$A$2:$A$27,0)),IF($B112="Cardboard Recycling",INDEX('Materials Master'!$I$2:$I$27,MATCH($C112,'Materials Master'!$A$2:$A$27,0)),IF($B112="Paper Recycling",INDEX('Materials Master'!$J$2:$J$27,MATCH($C112,'Materials Master'!$A$2:$A$27,0)),IF($B112="Terracycle",INDEX('Materials Master'!$K$2:$K$27,MATCH($C112,'Materials Master'!$A$2:$A$27,0)),"No"))))))="Yes",1,0)</f>
        <v>0</v>
      </c>
    </row>
    <row r="113" customFormat="false" ht="15" hidden="false" customHeight="false" outlineLevel="0" collapsed="false">
      <c r="A113" s="0" t="s">
        <v>92</v>
      </c>
      <c r="B113" s="0" t="s">
        <v>107</v>
      </c>
      <c r="C113" s="0" t="s">
        <v>45</v>
      </c>
      <c r="D113" s="0" t="str">
        <f aca="false">IFERROR(INDEX('Materials Master'!$B$2:$B$27,MATCH($C113,'Materials Master'!$A$2:$A$27,0)),"")</f>
        <v>Paper Cups / Other Coated Paper Containers</v>
      </c>
      <c r="E113" s="0" t="str">
        <f aca="false">IFERROR(INDEX('Materials Master'!$C$2:$C$27,MATCH($C113,'Materials Master'!$A$2:$A$27,0)),"")</f>
        <v>Fibers</v>
      </c>
      <c r="F113" s="0" t="n">
        <f aca="false">IF(SUMIFS(Fact_SortedWeights!$E$2:$E$89,Fact_SortedWeights!$C$2:$C$89,$A113,Fact_SortedWeights!$B$2:$B$89,$B113)=0,0,SUMIFS(Fact_SortedWeights!$E$2:$E$89,Fact_SortedWeights!$C$2:$C$89,$A113,Fact_SortedWeights!$B$2:$B$89,$B113,Fact_SortedWeights!$D$2:$D$89,$C113)/SUMIFS(Fact_SortedWeights!$E$2:$E$89,Fact_SortedWeights!$C$2:$C$89,$A113,Fact_SortedWeights!$B$2:$B$89,$B113)*(IF($B113="Cardboard Recycling",SUMIFS(Fact_SortedWeights!$E$2:$E$89,Fact_SortedWeights!$C$2:$C$89,$A113,Fact_SortedWeights!$B$2:$B$89,$B113),SUMIFS(Fact_PreSortWeights!$E$2:$E$186,Fact_PreSortWeights!$C$2:$C$186,$A113,Fact_PreSortWeights!$B$2:$B$186,$B113))))</f>
        <v>0</v>
      </c>
      <c r="G113" s="0" t="n">
        <f aca="false">IF(AND(IF($B113="Trash",INDEX('Materials Master'!$F$2:$F$27,MATCH($C113,'Materials Master'!$A$2:$A$27,0)),IF($B113="GMPC Recycling",INDEX('Materials Master'!$G$2:$G$27,MATCH($C113,'Materials Master'!$A$2:$A$27,0)),IF($B113="Organics Recycling",INDEX('Materials Master'!$H$2:$H$27,MATCH($C113,'Materials Master'!$A$2:$A$27,0)),IF($B113="Cardboard Recycling",INDEX('Materials Master'!$I$2:$I$27,MATCH($C113,'Materials Master'!$A$2:$A$27,0)),IF($B113="Paper Recycling",INDEX('Materials Master'!$J$2:$J$27,MATCH($C113,'Materials Master'!$A$2:$A$27,0)),IF($B113="Terracycle",INDEX('Materials Master'!$K$2:$K$27,MATCH($C113,'Materials Master'!$A$2:$A$27,0)),"No"))))))="Yes",INDEX('Materials Master'!$E$2:$E$27,MATCH($C113,'Materials Master'!$A$2:$A$27,0))="Yes",$B113&lt;&gt;"Trash"),1,0)</f>
        <v>0</v>
      </c>
      <c r="H113" s="0" t="str">
        <f aca="false">INDEX('Materials Master'!$E$2:$E$27,MATCH($C113,'Materials Master'!$A$2:$A$27,0))</f>
        <v>No</v>
      </c>
      <c r="I113" s="0" t="str">
        <f aca="false">IFERROR(INDEX(Areas!$C$2:$C$6,MATCH($A113,Areas!$B$2:$B$6,0)),"")</f>
        <v>Rest of Building</v>
      </c>
      <c r="J113" s="0" t="n">
        <f aca="false">IF(IF($B113="Trash",INDEX('Materials Master'!$F$2:$F$27,MATCH($C113,'Materials Master'!$A$2:$A$27,0)),IF($B113="GMPC Recycling",INDEX('Materials Master'!$G$2:$G$27,MATCH($C113,'Materials Master'!$A$2:$A$27,0)),IF($B113="Organics Recycling",INDEX('Materials Master'!$H$2:$H$27,MATCH($C113,'Materials Master'!$A$2:$A$27,0)),IF($B113="Cardboard Recycling",INDEX('Materials Master'!$I$2:$I$27,MATCH($C113,'Materials Master'!$A$2:$A$27,0)),IF($B113="Paper Recycling",INDEX('Materials Master'!$J$2:$J$27,MATCH($C113,'Materials Master'!$A$2:$A$27,0)),IF($B113="Terracycle",INDEX('Materials Master'!$K$2:$K$27,MATCH($C113,'Materials Master'!$A$2:$A$27,0)),"No"))))))="Yes",1,0)</f>
        <v>0</v>
      </c>
    </row>
    <row r="114" customFormat="false" ht="15" hidden="false" customHeight="false" outlineLevel="0" collapsed="false">
      <c r="A114" s="0" t="s">
        <v>92</v>
      </c>
      <c r="B114" s="0" t="s">
        <v>107</v>
      </c>
      <c r="C114" s="0" t="s">
        <v>47</v>
      </c>
      <c r="D114" s="0" t="str">
        <f aca="false">IFERROR(INDEX('Materials Master'!$B$2:$B$27,MATCH($C114,'Materials Master'!$A$2:$A$27,0)),"")</f>
        <v>Glass Bottles &amp; Jars</v>
      </c>
      <c r="E114" s="0" t="str">
        <f aca="false">IFERROR(INDEX('Materials Master'!$C$2:$C$27,MATCH($C114,'Materials Master'!$A$2:$A$27,0)),"")</f>
        <v>Glass</v>
      </c>
      <c r="F114" s="0" t="n">
        <f aca="false">IF(SUMIFS(Fact_SortedWeights!$E$2:$E$89,Fact_SortedWeights!$C$2:$C$89,$A114,Fact_SortedWeights!$B$2:$B$89,$B114)=0,0,SUMIFS(Fact_SortedWeights!$E$2:$E$89,Fact_SortedWeights!$C$2:$C$89,$A114,Fact_SortedWeights!$B$2:$B$89,$B114,Fact_SortedWeights!$D$2:$D$89,$C114)/SUMIFS(Fact_SortedWeights!$E$2:$E$89,Fact_SortedWeights!$C$2:$C$89,$A114,Fact_SortedWeights!$B$2:$B$89,$B114)*(IF($B114="Cardboard Recycling",SUMIFS(Fact_SortedWeights!$E$2:$E$89,Fact_SortedWeights!$C$2:$C$89,$A114,Fact_SortedWeights!$B$2:$B$89,$B114),SUMIFS(Fact_PreSortWeights!$E$2:$E$186,Fact_PreSortWeights!$C$2:$C$186,$A114,Fact_PreSortWeights!$B$2:$B$186,$B114))))</f>
        <v>0</v>
      </c>
      <c r="G114" s="0" t="n">
        <f aca="false">IF(AND(IF($B114="Trash",INDEX('Materials Master'!$F$2:$F$27,MATCH($C114,'Materials Master'!$A$2:$A$27,0)),IF($B114="GMPC Recycling",INDEX('Materials Master'!$G$2:$G$27,MATCH($C114,'Materials Master'!$A$2:$A$27,0)),IF($B114="Organics Recycling",INDEX('Materials Master'!$H$2:$H$27,MATCH($C114,'Materials Master'!$A$2:$A$27,0)),IF($B114="Cardboard Recycling",INDEX('Materials Master'!$I$2:$I$27,MATCH($C114,'Materials Master'!$A$2:$A$27,0)),IF($B114="Paper Recycling",INDEX('Materials Master'!$J$2:$J$27,MATCH($C114,'Materials Master'!$A$2:$A$27,0)),IF($B114="Terracycle",INDEX('Materials Master'!$K$2:$K$27,MATCH($C114,'Materials Master'!$A$2:$A$27,0)),"No"))))))="Yes",INDEX('Materials Master'!$E$2:$E$27,MATCH($C114,'Materials Master'!$A$2:$A$27,0))="Yes",$B114&lt;&gt;"Trash"),1,0)</f>
        <v>1</v>
      </c>
      <c r="H114" s="0" t="str">
        <f aca="false">INDEX('Materials Master'!$E$2:$E$27,MATCH($C114,'Materials Master'!$A$2:$A$27,0))</f>
        <v>Yes</v>
      </c>
      <c r="I114" s="0" t="str">
        <f aca="false">IFERROR(INDEX(Areas!$C$2:$C$6,MATCH($A114,Areas!$B$2:$B$6,0)),"")</f>
        <v>Rest of Building</v>
      </c>
      <c r="J114" s="0" t="n">
        <f aca="false">IF(IF($B114="Trash",INDEX('Materials Master'!$F$2:$F$27,MATCH($C114,'Materials Master'!$A$2:$A$27,0)),IF($B114="GMPC Recycling",INDEX('Materials Master'!$G$2:$G$27,MATCH($C114,'Materials Master'!$A$2:$A$27,0)),IF($B114="Organics Recycling",INDEX('Materials Master'!$H$2:$H$27,MATCH($C114,'Materials Master'!$A$2:$A$27,0)),IF($B114="Cardboard Recycling",INDEX('Materials Master'!$I$2:$I$27,MATCH($C114,'Materials Master'!$A$2:$A$27,0)),IF($B114="Paper Recycling",INDEX('Materials Master'!$J$2:$J$27,MATCH($C114,'Materials Master'!$A$2:$A$27,0)),IF($B114="Terracycle",INDEX('Materials Master'!$K$2:$K$27,MATCH($C114,'Materials Master'!$A$2:$A$27,0)),"No"))))))="Yes",1,0)</f>
        <v>1</v>
      </c>
    </row>
    <row r="115" customFormat="false" ht="15" hidden="false" customHeight="false" outlineLevel="0" collapsed="false">
      <c r="A115" s="0" t="s">
        <v>92</v>
      </c>
      <c r="B115" s="0" t="s">
        <v>107</v>
      </c>
      <c r="C115" s="0" t="s">
        <v>50</v>
      </c>
      <c r="D115" s="0" t="str">
        <f aca="false">IFERROR(INDEX('Materials Master'!$B$2:$B$27,MATCH($C115,'Materials Master'!$A$2:$A$27,0)),"")</f>
        <v>Soiled Glass</v>
      </c>
      <c r="E115" s="0" t="str">
        <f aca="false">IFERROR(INDEX('Materials Master'!$C$2:$C$27,MATCH($C115,'Materials Master'!$A$2:$A$27,0)),"")</f>
        <v>Glass</v>
      </c>
      <c r="F115" s="0" t="n">
        <f aca="false">IF(SUMIFS(Fact_SortedWeights!$E$2:$E$89,Fact_SortedWeights!$C$2:$C$89,$A115,Fact_SortedWeights!$B$2:$B$89,$B115)=0,0,SUMIFS(Fact_SortedWeights!$E$2:$E$89,Fact_SortedWeights!$C$2:$C$89,$A115,Fact_SortedWeights!$B$2:$B$89,$B115,Fact_SortedWeights!$D$2:$D$89,$C115)/SUMIFS(Fact_SortedWeights!$E$2:$E$89,Fact_SortedWeights!$C$2:$C$89,$A115,Fact_SortedWeights!$B$2:$B$89,$B115)*(IF($B115="Cardboard Recycling",SUMIFS(Fact_SortedWeights!$E$2:$E$89,Fact_SortedWeights!$C$2:$C$89,$A115,Fact_SortedWeights!$B$2:$B$89,$B115),SUMIFS(Fact_PreSortWeights!$E$2:$E$186,Fact_PreSortWeights!$C$2:$C$186,$A115,Fact_PreSortWeights!$B$2:$B$186,$B115))))</f>
        <v>0</v>
      </c>
      <c r="G115" s="0" t="n">
        <f aca="false">IF(AND(IF($B115="Trash",INDEX('Materials Master'!$F$2:$F$27,MATCH($C115,'Materials Master'!$A$2:$A$27,0)),IF($B115="GMPC Recycling",INDEX('Materials Master'!$G$2:$G$27,MATCH($C115,'Materials Master'!$A$2:$A$27,0)),IF($B115="Organics Recycling",INDEX('Materials Master'!$H$2:$H$27,MATCH($C115,'Materials Master'!$A$2:$A$27,0)),IF($B115="Cardboard Recycling",INDEX('Materials Master'!$I$2:$I$27,MATCH($C115,'Materials Master'!$A$2:$A$27,0)),IF($B115="Paper Recycling",INDEX('Materials Master'!$J$2:$J$27,MATCH($C115,'Materials Master'!$A$2:$A$27,0)),IF($B115="Terracycle",INDEX('Materials Master'!$K$2:$K$27,MATCH($C115,'Materials Master'!$A$2:$A$27,0)),"No"))))))="Yes",INDEX('Materials Master'!$E$2:$E$27,MATCH($C115,'Materials Master'!$A$2:$A$27,0))="Yes",$B115&lt;&gt;"Trash"),1,0)</f>
        <v>0</v>
      </c>
      <c r="H115" s="0" t="str">
        <f aca="false">INDEX('Materials Master'!$E$2:$E$27,MATCH($C115,'Materials Master'!$A$2:$A$27,0))</f>
        <v>No</v>
      </c>
      <c r="I115" s="0" t="str">
        <f aca="false">IFERROR(INDEX(Areas!$C$2:$C$6,MATCH($A115,Areas!$B$2:$B$6,0)),"")</f>
        <v>Rest of Building</v>
      </c>
      <c r="J115" s="0" t="n">
        <f aca="false">IF(IF($B115="Trash",INDEX('Materials Master'!$F$2:$F$27,MATCH($C115,'Materials Master'!$A$2:$A$27,0)),IF($B115="GMPC Recycling",INDEX('Materials Master'!$G$2:$G$27,MATCH($C115,'Materials Master'!$A$2:$A$27,0)),IF($B115="Organics Recycling",INDEX('Materials Master'!$H$2:$H$27,MATCH($C115,'Materials Master'!$A$2:$A$27,0)),IF($B115="Cardboard Recycling",INDEX('Materials Master'!$I$2:$I$27,MATCH($C115,'Materials Master'!$A$2:$A$27,0)),IF($B115="Paper Recycling",INDEX('Materials Master'!$J$2:$J$27,MATCH($C115,'Materials Master'!$A$2:$A$27,0)),IF($B115="Terracycle",INDEX('Materials Master'!$K$2:$K$27,MATCH($C115,'Materials Master'!$A$2:$A$27,0)),"No"))))))="Yes",1,0)</f>
        <v>0</v>
      </c>
    </row>
    <row r="116" customFormat="false" ht="15" hidden="false" customHeight="false" outlineLevel="0" collapsed="false">
      <c r="A116" s="0" t="s">
        <v>92</v>
      </c>
      <c r="B116" s="0" t="s">
        <v>107</v>
      </c>
      <c r="C116" s="0" t="s">
        <v>52</v>
      </c>
      <c r="D116" s="0" t="str">
        <f aca="false">IFERROR(INDEX('Materials Master'!$B$2:$B$27,MATCH($C116,'Materials Master'!$A$2:$A$27,0)),"")</f>
        <v>Aluminum &amp; Bi-Metal Containers</v>
      </c>
      <c r="E116" s="0" t="str">
        <f aca="false">IFERROR(INDEX('Materials Master'!$C$2:$C$27,MATCH($C116,'Materials Master'!$A$2:$A$27,0)),"")</f>
        <v>Metals</v>
      </c>
      <c r="F116" s="0" t="n">
        <f aca="false">IF(SUMIFS(Fact_SortedWeights!$E$2:$E$89,Fact_SortedWeights!$C$2:$C$89,$A116,Fact_SortedWeights!$B$2:$B$89,$B116)=0,0,SUMIFS(Fact_SortedWeights!$E$2:$E$89,Fact_SortedWeights!$C$2:$C$89,$A116,Fact_SortedWeights!$B$2:$B$89,$B116,Fact_SortedWeights!$D$2:$D$89,$C116)/SUMIFS(Fact_SortedWeights!$E$2:$E$89,Fact_SortedWeights!$C$2:$C$89,$A116,Fact_SortedWeights!$B$2:$B$89,$B116)*(IF($B116="Cardboard Recycling",SUMIFS(Fact_SortedWeights!$E$2:$E$89,Fact_SortedWeights!$C$2:$C$89,$A116,Fact_SortedWeights!$B$2:$B$89,$B116),SUMIFS(Fact_PreSortWeights!$E$2:$E$186,Fact_PreSortWeights!$C$2:$C$186,$A116,Fact_PreSortWeights!$B$2:$B$186,$B116))))</f>
        <v>0</v>
      </c>
      <c r="G116" s="0" t="n">
        <f aca="false">IF(AND(IF($B116="Trash",INDEX('Materials Master'!$F$2:$F$27,MATCH($C116,'Materials Master'!$A$2:$A$27,0)),IF($B116="GMPC Recycling",INDEX('Materials Master'!$G$2:$G$27,MATCH($C116,'Materials Master'!$A$2:$A$27,0)),IF($B116="Organics Recycling",INDEX('Materials Master'!$H$2:$H$27,MATCH($C116,'Materials Master'!$A$2:$A$27,0)),IF($B116="Cardboard Recycling",INDEX('Materials Master'!$I$2:$I$27,MATCH($C116,'Materials Master'!$A$2:$A$27,0)),IF($B116="Paper Recycling",INDEX('Materials Master'!$J$2:$J$27,MATCH($C116,'Materials Master'!$A$2:$A$27,0)),IF($B116="Terracycle",INDEX('Materials Master'!$K$2:$K$27,MATCH($C116,'Materials Master'!$A$2:$A$27,0)),"No"))))))="Yes",INDEX('Materials Master'!$E$2:$E$27,MATCH($C116,'Materials Master'!$A$2:$A$27,0))="Yes",$B116&lt;&gt;"Trash"),1,0)</f>
        <v>1</v>
      </c>
      <c r="H116" s="0" t="str">
        <f aca="false">INDEX('Materials Master'!$E$2:$E$27,MATCH($C116,'Materials Master'!$A$2:$A$27,0))</f>
        <v>Yes</v>
      </c>
      <c r="I116" s="0" t="str">
        <f aca="false">IFERROR(INDEX(Areas!$C$2:$C$6,MATCH($A116,Areas!$B$2:$B$6,0)),"")</f>
        <v>Rest of Building</v>
      </c>
      <c r="J116" s="0" t="n">
        <f aca="false">IF(IF($B116="Trash",INDEX('Materials Master'!$F$2:$F$27,MATCH($C116,'Materials Master'!$A$2:$A$27,0)),IF($B116="GMPC Recycling",INDEX('Materials Master'!$G$2:$G$27,MATCH($C116,'Materials Master'!$A$2:$A$27,0)),IF($B116="Organics Recycling",INDEX('Materials Master'!$H$2:$H$27,MATCH($C116,'Materials Master'!$A$2:$A$27,0)),IF($B116="Cardboard Recycling",INDEX('Materials Master'!$I$2:$I$27,MATCH($C116,'Materials Master'!$A$2:$A$27,0)),IF($B116="Paper Recycling",INDEX('Materials Master'!$J$2:$J$27,MATCH($C116,'Materials Master'!$A$2:$A$27,0)),IF($B116="Terracycle",INDEX('Materials Master'!$K$2:$K$27,MATCH($C116,'Materials Master'!$A$2:$A$27,0)),"No"))))))="Yes",1,0)</f>
        <v>1</v>
      </c>
    </row>
    <row r="117" customFormat="false" ht="15" hidden="false" customHeight="false" outlineLevel="0" collapsed="false">
      <c r="A117" s="0" t="s">
        <v>92</v>
      </c>
      <c r="B117" s="0" t="s">
        <v>107</v>
      </c>
      <c r="C117" s="0" t="s">
        <v>55</v>
      </c>
      <c r="D117" s="0" t="str">
        <f aca="false">IFERROR(INDEX('Materials Master'!$B$2:$B$27,MATCH($C117,'Materials Master'!$A$2:$A$27,0)),"")</f>
        <v>Soiled Metals</v>
      </c>
      <c r="E117" s="0" t="str">
        <f aca="false">IFERROR(INDEX('Materials Master'!$C$2:$C$27,MATCH($C117,'Materials Master'!$A$2:$A$27,0)),"")</f>
        <v>Metals</v>
      </c>
      <c r="F117" s="0" t="n">
        <f aca="false">IF(SUMIFS(Fact_SortedWeights!$E$2:$E$89,Fact_SortedWeights!$C$2:$C$89,$A117,Fact_SortedWeights!$B$2:$B$89,$B117)=0,0,SUMIFS(Fact_SortedWeights!$E$2:$E$89,Fact_SortedWeights!$C$2:$C$89,$A117,Fact_SortedWeights!$B$2:$B$89,$B117,Fact_SortedWeights!$D$2:$D$89,$C117)/SUMIFS(Fact_SortedWeights!$E$2:$E$89,Fact_SortedWeights!$C$2:$C$89,$A117,Fact_SortedWeights!$B$2:$B$89,$B117)*(IF($B117="Cardboard Recycling",SUMIFS(Fact_SortedWeights!$E$2:$E$89,Fact_SortedWeights!$C$2:$C$89,$A117,Fact_SortedWeights!$B$2:$B$89,$B117),SUMIFS(Fact_PreSortWeights!$E$2:$E$186,Fact_PreSortWeights!$C$2:$C$186,$A117,Fact_PreSortWeights!$B$2:$B$186,$B117))))</f>
        <v>0</v>
      </c>
      <c r="G117" s="0" t="n">
        <f aca="false">IF(AND(IF($B117="Trash",INDEX('Materials Master'!$F$2:$F$27,MATCH($C117,'Materials Master'!$A$2:$A$27,0)),IF($B117="GMPC Recycling",INDEX('Materials Master'!$G$2:$G$27,MATCH($C117,'Materials Master'!$A$2:$A$27,0)),IF($B117="Organics Recycling",INDEX('Materials Master'!$H$2:$H$27,MATCH($C117,'Materials Master'!$A$2:$A$27,0)),IF($B117="Cardboard Recycling",INDEX('Materials Master'!$I$2:$I$27,MATCH($C117,'Materials Master'!$A$2:$A$27,0)),IF($B117="Paper Recycling",INDEX('Materials Master'!$J$2:$J$27,MATCH($C117,'Materials Master'!$A$2:$A$27,0)),IF($B117="Terracycle",INDEX('Materials Master'!$K$2:$K$27,MATCH($C117,'Materials Master'!$A$2:$A$27,0)),"No"))))))="Yes",INDEX('Materials Master'!$E$2:$E$27,MATCH($C117,'Materials Master'!$A$2:$A$27,0))="Yes",$B117&lt;&gt;"Trash"),1,0)</f>
        <v>0</v>
      </c>
      <c r="H117" s="0" t="str">
        <f aca="false">INDEX('Materials Master'!$E$2:$E$27,MATCH($C117,'Materials Master'!$A$2:$A$27,0))</f>
        <v>No</v>
      </c>
      <c r="I117" s="0" t="str">
        <f aca="false">IFERROR(INDEX(Areas!$C$2:$C$6,MATCH($A117,Areas!$B$2:$B$6,0)),"")</f>
        <v>Rest of Building</v>
      </c>
      <c r="J117" s="0" t="n">
        <f aca="false">IF(IF($B117="Trash",INDEX('Materials Master'!$F$2:$F$27,MATCH($C117,'Materials Master'!$A$2:$A$27,0)),IF($B117="GMPC Recycling",INDEX('Materials Master'!$G$2:$G$27,MATCH($C117,'Materials Master'!$A$2:$A$27,0)),IF($B117="Organics Recycling",INDEX('Materials Master'!$H$2:$H$27,MATCH($C117,'Materials Master'!$A$2:$A$27,0)),IF($B117="Cardboard Recycling",INDEX('Materials Master'!$I$2:$I$27,MATCH($C117,'Materials Master'!$A$2:$A$27,0)),IF($B117="Paper Recycling",INDEX('Materials Master'!$J$2:$J$27,MATCH($C117,'Materials Master'!$A$2:$A$27,0)),IF($B117="Terracycle",INDEX('Materials Master'!$K$2:$K$27,MATCH($C117,'Materials Master'!$A$2:$A$27,0)),"No"))))))="Yes",1,0)</f>
        <v>0</v>
      </c>
    </row>
    <row r="118" customFormat="false" ht="15" hidden="false" customHeight="false" outlineLevel="0" collapsed="false">
      <c r="A118" s="0" t="s">
        <v>92</v>
      </c>
      <c r="B118" s="0" t="s">
        <v>107</v>
      </c>
      <c r="C118" s="0" t="s">
        <v>57</v>
      </c>
      <c r="D118" s="0" t="str">
        <f aca="false">IFERROR(INDEX('Materials Master'!$B$2:$B$27,MATCH($C118,'Materials Master'!$A$2:$A$27,0)),"")</f>
        <v>Rigid Plastics (1-6)</v>
      </c>
      <c r="E118" s="0" t="str">
        <f aca="false">IFERROR(INDEX('Materials Master'!$C$2:$C$27,MATCH($C118,'Materials Master'!$A$2:$A$27,0)),"")</f>
        <v>Plastics</v>
      </c>
      <c r="F118" s="0" t="n">
        <f aca="false">IF(SUMIFS(Fact_SortedWeights!$E$2:$E$89,Fact_SortedWeights!$C$2:$C$89,$A118,Fact_SortedWeights!$B$2:$B$89,$B118)=0,0,SUMIFS(Fact_SortedWeights!$E$2:$E$89,Fact_SortedWeights!$C$2:$C$89,$A118,Fact_SortedWeights!$B$2:$B$89,$B118,Fact_SortedWeights!$D$2:$D$89,$C118)/SUMIFS(Fact_SortedWeights!$E$2:$E$89,Fact_SortedWeights!$C$2:$C$89,$A118,Fact_SortedWeights!$B$2:$B$89,$B118)*(IF($B118="Cardboard Recycling",SUMIFS(Fact_SortedWeights!$E$2:$E$89,Fact_SortedWeights!$C$2:$C$89,$A118,Fact_SortedWeights!$B$2:$B$89,$B118),SUMIFS(Fact_PreSortWeights!$E$2:$E$186,Fact_PreSortWeights!$C$2:$C$186,$A118,Fact_PreSortWeights!$B$2:$B$186,$B118))))</f>
        <v>0</v>
      </c>
      <c r="G118" s="0" t="n">
        <f aca="false">IF(AND(IF($B118="Trash",INDEX('Materials Master'!$F$2:$F$27,MATCH($C118,'Materials Master'!$A$2:$A$27,0)),IF($B118="GMPC Recycling",INDEX('Materials Master'!$G$2:$G$27,MATCH($C118,'Materials Master'!$A$2:$A$27,0)),IF($B118="Organics Recycling",INDEX('Materials Master'!$H$2:$H$27,MATCH($C118,'Materials Master'!$A$2:$A$27,0)),IF($B118="Cardboard Recycling",INDEX('Materials Master'!$I$2:$I$27,MATCH($C118,'Materials Master'!$A$2:$A$27,0)),IF($B118="Paper Recycling",INDEX('Materials Master'!$J$2:$J$27,MATCH($C118,'Materials Master'!$A$2:$A$27,0)),IF($B118="Terracycle",INDEX('Materials Master'!$K$2:$K$27,MATCH($C118,'Materials Master'!$A$2:$A$27,0)),"No"))))))="Yes",INDEX('Materials Master'!$E$2:$E$27,MATCH($C118,'Materials Master'!$A$2:$A$27,0))="Yes",$B118&lt;&gt;"Trash"),1,0)</f>
        <v>1</v>
      </c>
      <c r="H118" s="0" t="str">
        <f aca="false">INDEX('Materials Master'!$E$2:$E$27,MATCH($C118,'Materials Master'!$A$2:$A$27,0))</f>
        <v>Yes</v>
      </c>
      <c r="I118" s="0" t="str">
        <f aca="false">IFERROR(INDEX(Areas!$C$2:$C$6,MATCH($A118,Areas!$B$2:$B$6,0)),"")</f>
        <v>Rest of Building</v>
      </c>
      <c r="J118" s="0" t="n">
        <f aca="false">IF(IF($B118="Trash",INDEX('Materials Master'!$F$2:$F$27,MATCH($C118,'Materials Master'!$A$2:$A$27,0)),IF($B118="GMPC Recycling",INDEX('Materials Master'!$G$2:$G$27,MATCH($C118,'Materials Master'!$A$2:$A$27,0)),IF($B118="Organics Recycling",INDEX('Materials Master'!$H$2:$H$27,MATCH($C118,'Materials Master'!$A$2:$A$27,0)),IF($B118="Cardboard Recycling",INDEX('Materials Master'!$I$2:$I$27,MATCH($C118,'Materials Master'!$A$2:$A$27,0)),IF($B118="Paper Recycling",INDEX('Materials Master'!$J$2:$J$27,MATCH($C118,'Materials Master'!$A$2:$A$27,0)),IF($B118="Terracycle",INDEX('Materials Master'!$K$2:$K$27,MATCH($C118,'Materials Master'!$A$2:$A$27,0)),"No"))))))="Yes",1,0)</f>
        <v>1</v>
      </c>
    </row>
    <row r="119" customFormat="false" ht="15" hidden="false" customHeight="false" outlineLevel="0" collapsed="false">
      <c r="A119" s="0" t="s">
        <v>92</v>
      </c>
      <c r="B119" s="0" t="s">
        <v>107</v>
      </c>
      <c r="C119" s="0" t="s">
        <v>60</v>
      </c>
      <c r="D119" s="0" t="str">
        <f aca="false">IFERROR(INDEX('Materials Master'!$B$2:$B$27,MATCH($C119,'Materials Master'!$A$2:$A$27,0)),"")</f>
        <v>Soiled Rigid Plastics</v>
      </c>
      <c r="E119" s="0" t="str">
        <f aca="false">IFERROR(INDEX('Materials Master'!$C$2:$C$27,MATCH($C119,'Materials Master'!$A$2:$A$27,0)),"")</f>
        <v>Plastics</v>
      </c>
      <c r="F119" s="0" t="n">
        <f aca="false">IF(SUMIFS(Fact_SortedWeights!$E$2:$E$89,Fact_SortedWeights!$C$2:$C$89,$A119,Fact_SortedWeights!$B$2:$B$89,$B119)=0,0,SUMIFS(Fact_SortedWeights!$E$2:$E$89,Fact_SortedWeights!$C$2:$C$89,$A119,Fact_SortedWeights!$B$2:$B$89,$B119,Fact_SortedWeights!$D$2:$D$89,$C119)/SUMIFS(Fact_SortedWeights!$E$2:$E$89,Fact_SortedWeights!$C$2:$C$89,$A119,Fact_SortedWeights!$B$2:$B$89,$B119)*(IF($B119="Cardboard Recycling",SUMIFS(Fact_SortedWeights!$E$2:$E$89,Fact_SortedWeights!$C$2:$C$89,$A119,Fact_SortedWeights!$B$2:$B$89,$B119),SUMIFS(Fact_PreSortWeights!$E$2:$E$186,Fact_PreSortWeights!$C$2:$C$186,$A119,Fact_PreSortWeights!$B$2:$B$186,$B119))))</f>
        <v>0</v>
      </c>
      <c r="G119" s="0" t="n">
        <f aca="false">IF(AND(IF($B119="Trash",INDEX('Materials Master'!$F$2:$F$27,MATCH($C119,'Materials Master'!$A$2:$A$27,0)),IF($B119="GMPC Recycling",INDEX('Materials Master'!$G$2:$G$27,MATCH($C119,'Materials Master'!$A$2:$A$27,0)),IF($B119="Organics Recycling",INDEX('Materials Master'!$H$2:$H$27,MATCH($C119,'Materials Master'!$A$2:$A$27,0)),IF($B119="Cardboard Recycling",INDEX('Materials Master'!$I$2:$I$27,MATCH($C119,'Materials Master'!$A$2:$A$27,0)),IF($B119="Paper Recycling",INDEX('Materials Master'!$J$2:$J$27,MATCH($C119,'Materials Master'!$A$2:$A$27,0)),IF($B119="Terracycle",INDEX('Materials Master'!$K$2:$K$27,MATCH($C119,'Materials Master'!$A$2:$A$27,0)),"No"))))))="Yes",INDEX('Materials Master'!$E$2:$E$27,MATCH($C119,'Materials Master'!$A$2:$A$27,0))="Yes",$B119&lt;&gt;"Trash"),1,0)</f>
        <v>0</v>
      </c>
      <c r="H119" s="0" t="str">
        <f aca="false">INDEX('Materials Master'!$E$2:$E$27,MATCH($C119,'Materials Master'!$A$2:$A$27,0))</f>
        <v>No</v>
      </c>
      <c r="I119" s="0" t="str">
        <f aca="false">IFERROR(INDEX(Areas!$C$2:$C$6,MATCH($A119,Areas!$B$2:$B$6,0)),"")</f>
        <v>Rest of Building</v>
      </c>
      <c r="J119" s="0" t="n">
        <f aca="false">IF(IF($B119="Trash",INDEX('Materials Master'!$F$2:$F$27,MATCH($C119,'Materials Master'!$A$2:$A$27,0)),IF($B119="GMPC Recycling",INDEX('Materials Master'!$G$2:$G$27,MATCH($C119,'Materials Master'!$A$2:$A$27,0)),IF($B119="Organics Recycling",INDEX('Materials Master'!$H$2:$H$27,MATCH($C119,'Materials Master'!$A$2:$A$27,0)),IF($B119="Cardboard Recycling",INDEX('Materials Master'!$I$2:$I$27,MATCH($C119,'Materials Master'!$A$2:$A$27,0)),IF($B119="Paper Recycling",INDEX('Materials Master'!$J$2:$J$27,MATCH($C119,'Materials Master'!$A$2:$A$27,0)),IF($B119="Terracycle",INDEX('Materials Master'!$K$2:$K$27,MATCH($C119,'Materials Master'!$A$2:$A$27,0)),"No"))))))="Yes",1,0)</f>
        <v>0</v>
      </c>
    </row>
    <row r="120" customFormat="false" ht="15" hidden="false" customHeight="false" outlineLevel="0" collapsed="false">
      <c r="A120" s="0" t="s">
        <v>92</v>
      </c>
      <c r="B120" s="0" t="s">
        <v>107</v>
      </c>
      <c r="C120" s="0" t="s">
        <v>62</v>
      </c>
      <c r="D120" s="0" t="str">
        <f aca="false">IFERROR(INDEX('Materials Master'!$B$2:$B$27,MATCH($C120,'Materials Master'!$A$2:$A$27,0)),"")</f>
        <v>Film Plastics</v>
      </c>
      <c r="E120" s="0" t="str">
        <f aca="false">IFERROR(INDEX('Materials Master'!$C$2:$C$27,MATCH($C120,'Materials Master'!$A$2:$A$27,0)),"")</f>
        <v>Plastics</v>
      </c>
      <c r="F120" s="0" t="n">
        <f aca="false">IF(SUMIFS(Fact_SortedWeights!$E$2:$E$89,Fact_SortedWeights!$C$2:$C$89,$A120,Fact_SortedWeights!$B$2:$B$89,$B120)=0,0,SUMIFS(Fact_SortedWeights!$E$2:$E$89,Fact_SortedWeights!$C$2:$C$89,$A120,Fact_SortedWeights!$B$2:$B$89,$B120,Fact_SortedWeights!$D$2:$D$89,$C120)/SUMIFS(Fact_SortedWeights!$E$2:$E$89,Fact_SortedWeights!$C$2:$C$89,$A120,Fact_SortedWeights!$B$2:$B$89,$B120)*(IF($B120="Cardboard Recycling",SUMIFS(Fact_SortedWeights!$E$2:$E$89,Fact_SortedWeights!$C$2:$C$89,$A120,Fact_SortedWeights!$B$2:$B$89,$B120),SUMIFS(Fact_PreSortWeights!$E$2:$E$186,Fact_PreSortWeights!$C$2:$C$186,$A120,Fact_PreSortWeights!$B$2:$B$186,$B120))))</f>
        <v>0</v>
      </c>
      <c r="G120" s="0" t="n">
        <f aca="false">IF(AND(IF($B120="Trash",INDEX('Materials Master'!$F$2:$F$27,MATCH($C120,'Materials Master'!$A$2:$A$27,0)),IF($B120="GMPC Recycling",INDEX('Materials Master'!$G$2:$G$27,MATCH($C120,'Materials Master'!$A$2:$A$27,0)),IF($B120="Organics Recycling",INDEX('Materials Master'!$H$2:$H$27,MATCH($C120,'Materials Master'!$A$2:$A$27,0)),IF($B120="Cardboard Recycling",INDEX('Materials Master'!$I$2:$I$27,MATCH($C120,'Materials Master'!$A$2:$A$27,0)),IF($B120="Paper Recycling",INDEX('Materials Master'!$J$2:$J$27,MATCH($C120,'Materials Master'!$A$2:$A$27,0)),IF($B120="Terracycle",INDEX('Materials Master'!$K$2:$K$27,MATCH($C120,'Materials Master'!$A$2:$A$27,0)),"No"))))))="Yes",INDEX('Materials Master'!$E$2:$E$27,MATCH($C120,'Materials Master'!$A$2:$A$27,0))="Yes",$B120&lt;&gt;"Trash"),1,0)</f>
        <v>0</v>
      </c>
      <c r="H120" s="0" t="str">
        <f aca="false">INDEX('Materials Master'!$E$2:$E$27,MATCH($C120,'Materials Master'!$A$2:$A$27,0))</f>
        <v>No</v>
      </c>
      <c r="I120" s="0" t="str">
        <f aca="false">IFERROR(INDEX(Areas!$C$2:$C$6,MATCH($A120,Areas!$B$2:$B$6,0)),"")</f>
        <v>Rest of Building</v>
      </c>
      <c r="J120" s="0" t="n">
        <f aca="false">IF(IF($B120="Trash",INDEX('Materials Master'!$F$2:$F$27,MATCH($C120,'Materials Master'!$A$2:$A$27,0)),IF($B120="GMPC Recycling",INDEX('Materials Master'!$G$2:$G$27,MATCH($C120,'Materials Master'!$A$2:$A$27,0)),IF($B120="Organics Recycling",INDEX('Materials Master'!$H$2:$H$27,MATCH($C120,'Materials Master'!$A$2:$A$27,0)),IF($B120="Cardboard Recycling",INDEX('Materials Master'!$I$2:$I$27,MATCH($C120,'Materials Master'!$A$2:$A$27,0)),IF($B120="Paper Recycling",INDEX('Materials Master'!$J$2:$J$27,MATCH($C120,'Materials Master'!$A$2:$A$27,0)),IF($B120="Terracycle",INDEX('Materials Master'!$K$2:$K$27,MATCH($C120,'Materials Master'!$A$2:$A$27,0)),"No"))))))="Yes",1,0)</f>
        <v>0</v>
      </c>
    </row>
    <row r="121" customFormat="false" ht="15" hidden="false" customHeight="false" outlineLevel="0" collapsed="false">
      <c r="A121" s="0" t="s">
        <v>92</v>
      </c>
      <c r="B121" s="0" t="s">
        <v>107</v>
      </c>
      <c r="C121" s="0" t="s">
        <v>64</v>
      </c>
      <c r="D121" s="0" t="str">
        <f aca="false">IFERROR(INDEX('Materials Master'!$B$2:$B$27,MATCH($C121,'Materials Master'!$A$2:$A$27,0)),"")</f>
        <v>Foams</v>
      </c>
      <c r="E121" s="0" t="str">
        <f aca="false">IFERROR(INDEX('Materials Master'!$C$2:$C$27,MATCH($C121,'Materials Master'!$A$2:$A$27,0)),"")</f>
        <v>Plastics</v>
      </c>
      <c r="F121" s="0" t="n">
        <f aca="false">IF(SUMIFS(Fact_SortedWeights!$E$2:$E$89,Fact_SortedWeights!$C$2:$C$89,$A121,Fact_SortedWeights!$B$2:$B$89,$B121)=0,0,SUMIFS(Fact_SortedWeights!$E$2:$E$89,Fact_SortedWeights!$C$2:$C$89,$A121,Fact_SortedWeights!$B$2:$B$89,$B121,Fact_SortedWeights!$D$2:$D$89,$C121)/SUMIFS(Fact_SortedWeights!$E$2:$E$89,Fact_SortedWeights!$C$2:$C$89,$A121,Fact_SortedWeights!$B$2:$B$89,$B121)*(IF($B121="Cardboard Recycling",SUMIFS(Fact_SortedWeights!$E$2:$E$89,Fact_SortedWeights!$C$2:$C$89,$A121,Fact_SortedWeights!$B$2:$B$89,$B121),SUMIFS(Fact_PreSortWeights!$E$2:$E$186,Fact_PreSortWeights!$C$2:$C$186,$A121,Fact_PreSortWeights!$B$2:$B$186,$B121))))</f>
        <v>0</v>
      </c>
      <c r="G121" s="0" t="n">
        <f aca="false">IF(AND(IF($B121="Trash",INDEX('Materials Master'!$F$2:$F$27,MATCH($C121,'Materials Master'!$A$2:$A$27,0)),IF($B121="GMPC Recycling",INDEX('Materials Master'!$G$2:$G$27,MATCH($C121,'Materials Master'!$A$2:$A$27,0)),IF($B121="Organics Recycling",INDEX('Materials Master'!$H$2:$H$27,MATCH($C121,'Materials Master'!$A$2:$A$27,0)),IF($B121="Cardboard Recycling",INDEX('Materials Master'!$I$2:$I$27,MATCH($C121,'Materials Master'!$A$2:$A$27,0)),IF($B121="Paper Recycling",INDEX('Materials Master'!$J$2:$J$27,MATCH($C121,'Materials Master'!$A$2:$A$27,0)),IF($B121="Terracycle",INDEX('Materials Master'!$K$2:$K$27,MATCH($C121,'Materials Master'!$A$2:$A$27,0)),"No"))))))="Yes",INDEX('Materials Master'!$E$2:$E$27,MATCH($C121,'Materials Master'!$A$2:$A$27,0))="Yes",$B121&lt;&gt;"Trash"),1,0)</f>
        <v>0</v>
      </c>
      <c r="H121" s="0" t="str">
        <f aca="false">INDEX('Materials Master'!$E$2:$E$27,MATCH($C121,'Materials Master'!$A$2:$A$27,0))</f>
        <v>No</v>
      </c>
      <c r="I121" s="0" t="str">
        <f aca="false">IFERROR(INDEX(Areas!$C$2:$C$6,MATCH($A121,Areas!$B$2:$B$6,0)),"")</f>
        <v>Rest of Building</v>
      </c>
      <c r="J121" s="0" t="n">
        <f aca="false">IF(IF($B121="Trash",INDEX('Materials Master'!$F$2:$F$27,MATCH($C121,'Materials Master'!$A$2:$A$27,0)),IF($B121="GMPC Recycling",INDEX('Materials Master'!$G$2:$G$27,MATCH($C121,'Materials Master'!$A$2:$A$27,0)),IF($B121="Organics Recycling",INDEX('Materials Master'!$H$2:$H$27,MATCH($C121,'Materials Master'!$A$2:$A$27,0)),IF($B121="Cardboard Recycling",INDEX('Materials Master'!$I$2:$I$27,MATCH($C121,'Materials Master'!$A$2:$A$27,0)),IF($B121="Paper Recycling",INDEX('Materials Master'!$J$2:$J$27,MATCH($C121,'Materials Master'!$A$2:$A$27,0)),IF($B121="Terracycle",INDEX('Materials Master'!$K$2:$K$27,MATCH($C121,'Materials Master'!$A$2:$A$27,0)),"No"))))))="Yes",1,0)</f>
        <v>0</v>
      </c>
    </row>
    <row r="122" customFormat="false" ht="15" hidden="false" customHeight="false" outlineLevel="0" collapsed="false">
      <c r="A122" s="0" t="s">
        <v>92</v>
      </c>
      <c r="B122" s="0" t="s">
        <v>107</v>
      </c>
      <c r="C122" s="0" t="s">
        <v>66</v>
      </c>
      <c r="D122" s="0" t="str">
        <f aca="false">IFERROR(INDEX('Materials Master'!$B$2:$B$27,MATCH($C122,'Materials Master'!$A$2:$A$27,0)),"")</f>
        <v>Food Waste</v>
      </c>
      <c r="E122" s="0" t="str">
        <f aca="false">IFERROR(INDEX('Materials Master'!$C$2:$C$27,MATCH($C122,'Materials Master'!$A$2:$A$27,0)),"")</f>
        <v>Organics</v>
      </c>
      <c r="F122" s="0" t="n">
        <f aca="false">IF(SUMIFS(Fact_SortedWeights!$E$2:$E$89,Fact_SortedWeights!$C$2:$C$89,$A122,Fact_SortedWeights!$B$2:$B$89,$B122)=0,0,SUMIFS(Fact_SortedWeights!$E$2:$E$89,Fact_SortedWeights!$C$2:$C$89,$A122,Fact_SortedWeights!$B$2:$B$89,$B122,Fact_SortedWeights!$D$2:$D$89,$C122)/SUMIFS(Fact_SortedWeights!$E$2:$E$89,Fact_SortedWeights!$C$2:$C$89,$A122,Fact_SortedWeights!$B$2:$B$89,$B122)*(IF($B122="Cardboard Recycling",SUMIFS(Fact_SortedWeights!$E$2:$E$89,Fact_SortedWeights!$C$2:$C$89,$A122,Fact_SortedWeights!$B$2:$B$89,$B122),SUMIFS(Fact_PreSortWeights!$E$2:$E$186,Fact_PreSortWeights!$C$2:$C$186,$A122,Fact_PreSortWeights!$B$2:$B$186,$B122))))</f>
        <v>0</v>
      </c>
      <c r="G122" s="0" t="n">
        <f aca="false">IF(AND(IF($B122="Trash",INDEX('Materials Master'!$F$2:$F$27,MATCH($C122,'Materials Master'!$A$2:$A$27,0)),IF($B122="GMPC Recycling",INDEX('Materials Master'!$G$2:$G$27,MATCH($C122,'Materials Master'!$A$2:$A$27,0)),IF($B122="Organics Recycling",INDEX('Materials Master'!$H$2:$H$27,MATCH($C122,'Materials Master'!$A$2:$A$27,0)),IF($B122="Cardboard Recycling",INDEX('Materials Master'!$I$2:$I$27,MATCH($C122,'Materials Master'!$A$2:$A$27,0)),IF($B122="Paper Recycling",INDEX('Materials Master'!$J$2:$J$27,MATCH($C122,'Materials Master'!$A$2:$A$27,0)),IF($B122="Terracycle",INDEX('Materials Master'!$K$2:$K$27,MATCH($C122,'Materials Master'!$A$2:$A$27,0)),"No"))))))="Yes",INDEX('Materials Master'!$E$2:$E$27,MATCH($C122,'Materials Master'!$A$2:$A$27,0))="Yes",$B122&lt;&gt;"Trash"),1,0)</f>
        <v>0</v>
      </c>
      <c r="H122" s="0" t="str">
        <f aca="false">INDEX('Materials Master'!$E$2:$E$27,MATCH($C122,'Materials Master'!$A$2:$A$27,0))</f>
        <v>Yes</v>
      </c>
      <c r="I122" s="0" t="str">
        <f aca="false">IFERROR(INDEX(Areas!$C$2:$C$6,MATCH($A122,Areas!$B$2:$B$6,0)),"")</f>
        <v>Rest of Building</v>
      </c>
      <c r="J122" s="0" t="n">
        <f aca="false">IF(IF($B122="Trash",INDEX('Materials Master'!$F$2:$F$27,MATCH($C122,'Materials Master'!$A$2:$A$27,0)),IF($B122="GMPC Recycling",INDEX('Materials Master'!$G$2:$G$27,MATCH($C122,'Materials Master'!$A$2:$A$27,0)),IF($B122="Organics Recycling",INDEX('Materials Master'!$H$2:$H$27,MATCH($C122,'Materials Master'!$A$2:$A$27,0)),IF($B122="Cardboard Recycling",INDEX('Materials Master'!$I$2:$I$27,MATCH($C122,'Materials Master'!$A$2:$A$27,0)),IF($B122="Paper Recycling",INDEX('Materials Master'!$J$2:$J$27,MATCH($C122,'Materials Master'!$A$2:$A$27,0)),IF($B122="Terracycle",INDEX('Materials Master'!$K$2:$K$27,MATCH($C122,'Materials Master'!$A$2:$A$27,0)),"No"))))))="Yes",1,0)</f>
        <v>0</v>
      </c>
    </row>
    <row r="123" customFormat="false" ht="15" hidden="false" customHeight="false" outlineLevel="0" collapsed="false">
      <c r="A123" s="0" t="s">
        <v>92</v>
      </c>
      <c r="B123" s="0" t="s">
        <v>107</v>
      </c>
      <c r="C123" s="0" t="s">
        <v>69</v>
      </c>
      <c r="D123" s="0" t="str">
        <f aca="false">IFERROR(INDEX('Materials Master'!$B$2:$B$27,MATCH($C123,'Materials Master'!$A$2:$A$27,0)),"")</f>
        <v>Paper Fibers and Food-Soiled Paper (FSP)</v>
      </c>
      <c r="E123" s="0" t="str">
        <f aca="false">IFERROR(INDEX('Materials Master'!$C$2:$C$27,MATCH($C123,'Materials Master'!$A$2:$A$27,0)),"")</f>
        <v>Organics</v>
      </c>
      <c r="F123" s="0" t="n">
        <f aca="false">IF(SUMIFS(Fact_SortedWeights!$E$2:$E$89,Fact_SortedWeights!$C$2:$C$89,$A123,Fact_SortedWeights!$B$2:$B$89,$B123)=0,0,SUMIFS(Fact_SortedWeights!$E$2:$E$89,Fact_SortedWeights!$C$2:$C$89,$A123,Fact_SortedWeights!$B$2:$B$89,$B123,Fact_SortedWeights!$D$2:$D$89,$C123)/SUMIFS(Fact_SortedWeights!$E$2:$E$89,Fact_SortedWeights!$C$2:$C$89,$A123,Fact_SortedWeights!$B$2:$B$89,$B123)*(IF($B123="Cardboard Recycling",SUMIFS(Fact_SortedWeights!$E$2:$E$89,Fact_SortedWeights!$C$2:$C$89,$A123,Fact_SortedWeights!$B$2:$B$89,$B123),SUMIFS(Fact_PreSortWeights!$E$2:$E$186,Fact_PreSortWeights!$C$2:$C$186,$A123,Fact_PreSortWeights!$B$2:$B$186,$B123))))</f>
        <v>0.0764526352858317</v>
      </c>
      <c r="G123" s="0" t="n">
        <f aca="false">IF(AND(IF($B123="Trash",INDEX('Materials Master'!$F$2:$F$27,MATCH($C123,'Materials Master'!$A$2:$A$27,0)),IF($B123="GMPC Recycling",INDEX('Materials Master'!$G$2:$G$27,MATCH($C123,'Materials Master'!$A$2:$A$27,0)),IF($B123="Organics Recycling",INDEX('Materials Master'!$H$2:$H$27,MATCH($C123,'Materials Master'!$A$2:$A$27,0)),IF($B123="Cardboard Recycling",INDEX('Materials Master'!$I$2:$I$27,MATCH($C123,'Materials Master'!$A$2:$A$27,0)),IF($B123="Paper Recycling",INDEX('Materials Master'!$J$2:$J$27,MATCH($C123,'Materials Master'!$A$2:$A$27,0)),IF($B123="Terracycle",INDEX('Materials Master'!$K$2:$K$27,MATCH($C123,'Materials Master'!$A$2:$A$27,0)),"No"))))))="Yes",INDEX('Materials Master'!$E$2:$E$27,MATCH($C123,'Materials Master'!$A$2:$A$27,0))="Yes",$B123&lt;&gt;"Trash"),1,0)</f>
        <v>0</v>
      </c>
      <c r="H123" s="0" t="str">
        <f aca="false">INDEX('Materials Master'!$E$2:$E$27,MATCH($C123,'Materials Master'!$A$2:$A$27,0))</f>
        <v>No</v>
      </c>
      <c r="I123" s="0" t="str">
        <f aca="false">IFERROR(INDEX(Areas!$C$2:$C$6,MATCH($A123,Areas!$B$2:$B$6,0)),"")</f>
        <v>Rest of Building</v>
      </c>
      <c r="J123" s="0" t="n">
        <f aca="false">IF(IF($B123="Trash",INDEX('Materials Master'!$F$2:$F$27,MATCH($C123,'Materials Master'!$A$2:$A$27,0)),IF($B123="GMPC Recycling",INDEX('Materials Master'!$G$2:$G$27,MATCH($C123,'Materials Master'!$A$2:$A$27,0)),IF($B123="Organics Recycling",INDEX('Materials Master'!$H$2:$H$27,MATCH($C123,'Materials Master'!$A$2:$A$27,0)),IF($B123="Cardboard Recycling",INDEX('Materials Master'!$I$2:$I$27,MATCH($C123,'Materials Master'!$A$2:$A$27,0)),IF($B123="Paper Recycling",INDEX('Materials Master'!$J$2:$J$27,MATCH($C123,'Materials Master'!$A$2:$A$27,0)),IF($B123="Terracycle",INDEX('Materials Master'!$K$2:$K$27,MATCH($C123,'Materials Master'!$A$2:$A$27,0)),"No"))))))="Yes",1,0)</f>
        <v>0</v>
      </c>
    </row>
    <row r="124" customFormat="false" ht="15" hidden="false" customHeight="false" outlineLevel="0" collapsed="false">
      <c r="A124" s="0" t="s">
        <v>92</v>
      </c>
      <c r="B124" s="0" t="s">
        <v>107</v>
      </c>
      <c r="C124" s="0" t="s">
        <v>71</v>
      </c>
      <c r="D124" s="0" t="str">
        <f aca="false">IFERROR(INDEX('Materials Master'!$B$2:$B$27,MATCH($C124,'Materials Master'!$A$2:$A$27,0)),"")</f>
        <v>Fiber-based Compostable Serviceware</v>
      </c>
      <c r="E124" s="0" t="str">
        <f aca="false">IFERROR(INDEX('Materials Master'!$C$2:$C$27,MATCH($C124,'Materials Master'!$A$2:$A$27,0)),"")</f>
        <v>Organics</v>
      </c>
      <c r="F124" s="0" t="n">
        <f aca="false">IF(SUMIFS(Fact_SortedWeights!$E$2:$E$89,Fact_SortedWeights!$C$2:$C$89,$A124,Fact_SortedWeights!$B$2:$B$89,$B124)=0,0,SUMIFS(Fact_SortedWeights!$E$2:$E$89,Fact_SortedWeights!$C$2:$C$89,$A124,Fact_SortedWeights!$B$2:$B$89,$B124,Fact_SortedWeights!$D$2:$D$89,$C124)/SUMIFS(Fact_SortedWeights!$E$2:$E$89,Fact_SortedWeights!$C$2:$C$89,$A124,Fact_SortedWeights!$B$2:$B$89,$B124)*(IF($B124="Cardboard Recycling",SUMIFS(Fact_SortedWeights!$E$2:$E$89,Fact_SortedWeights!$C$2:$C$89,$A124,Fact_SortedWeights!$B$2:$B$89,$B124),SUMIFS(Fact_PreSortWeights!$E$2:$E$186,Fact_PreSortWeights!$C$2:$C$186,$A124,Fact_PreSortWeights!$B$2:$B$186,$B124))))</f>
        <v>0</v>
      </c>
      <c r="G124" s="0" t="n">
        <f aca="false">IF(AND(IF($B124="Trash",INDEX('Materials Master'!$F$2:$F$27,MATCH($C124,'Materials Master'!$A$2:$A$27,0)),IF($B124="GMPC Recycling",INDEX('Materials Master'!$G$2:$G$27,MATCH($C124,'Materials Master'!$A$2:$A$27,0)),IF($B124="Organics Recycling",INDEX('Materials Master'!$H$2:$H$27,MATCH($C124,'Materials Master'!$A$2:$A$27,0)),IF($B124="Cardboard Recycling",INDEX('Materials Master'!$I$2:$I$27,MATCH($C124,'Materials Master'!$A$2:$A$27,0)),IF($B124="Paper Recycling",INDEX('Materials Master'!$J$2:$J$27,MATCH($C124,'Materials Master'!$A$2:$A$27,0)),IF($B124="Terracycle",INDEX('Materials Master'!$K$2:$K$27,MATCH($C124,'Materials Master'!$A$2:$A$27,0)),"No"))))))="Yes",INDEX('Materials Master'!$E$2:$E$27,MATCH($C124,'Materials Master'!$A$2:$A$27,0))="Yes",$B124&lt;&gt;"Trash"),1,0)</f>
        <v>0</v>
      </c>
      <c r="H124" s="0" t="str">
        <f aca="false">INDEX('Materials Master'!$E$2:$E$27,MATCH($C124,'Materials Master'!$A$2:$A$27,0))</f>
        <v>No</v>
      </c>
      <c r="I124" s="0" t="str">
        <f aca="false">IFERROR(INDEX(Areas!$C$2:$C$6,MATCH($A124,Areas!$B$2:$B$6,0)),"")</f>
        <v>Rest of Building</v>
      </c>
      <c r="J124" s="0" t="n">
        <f aca="false">IF(IF($B124="Trash",INDEX('Materials Master'!$F$2:$F$27,MATCH($C124,'Materials Master'!$A$2:$A$27,0)),IF($B124="GMPC Recycling",INDEX('Materials Master'!$G$2:$G$27,MATCH($C124,'Materials Master'!$A$2:$A$27,0)),IF($B124="Organics Recycling",INDEX('Materials Master'!$H$2:$H$27,MATCH($C124,'Materials Master'!$A$2:$A$27,0)),IF($B124="Cardboard Recycling",INDEX('Materials Master'!$I$2:$I$27,MATCH($C124,'Materials Master'!$A$2:$A$27,0)),IF($B124="Paper Recycling",INDEX('Materials Master'!$J$2:$J$27,MATCH($C124,'Materials Master'!$A$2:$A$27,0)),IF($B124="Terracycle",INDEX('Materials Master'!$K$2:$K$27,MATCH($C124,'Materials Master'!$A$2:$A$27,0)),"No"))))))="Yes",1,0)</f>
        <v>0</v>
      </c>
    </row>
    <row r="125" customFormat="false" ht="15" hidden="false" customHeight="false" outlineLevel="0" collapsed="false">
      <c r="A125" s="0" t="s">
        <v>92</v>
      </c>
      <c r="B125" s="0" t="s">
        <v>107</v>
      </c>
      <c r="C125" s="0" t="s">
        <v>73</v>
      </c>
      <c r="D125" s="0" t="str">
        <f aca="false">IFERROR(INDEX('Materials Master'!$B$2:$B$27,MATCH($C125,'Materials Master'!$A$2:$A$27,0)),"")</f>
        <v>PLA Compostable Serviceware</v>
      </c>
      <c r="E125" s="0" t="str">
        <f aca="false">IFERROR(INDEX('Materials Master'!$C$2:$C$27,MATCH($C125,'Materials Master'!$A$2:$A$27,0)),"")</f>
        <v>Organics</v>
      </c>
      <c r="F125" s="0" t="n">
        <f aca="false">IF(SUMIFS(Fact_SortedWeights!$E$2:$E$89,Fact_SortedWeights!$C$2:$C$89,$A125,Fact_SortedWeights!$B$2:$B$89,$B125)=0,0,SUMIFS(Fact_SortedWeights!$E$2:$E$89,Fact_SortedWeights!$C$2:$C$89,$A125,Fact_SortedWeights!$B$2:$B$89,$B125,Fact_SortedWeights!$D$2:$D$89,$C125)/SUMIFS(Fact_SortedWeights!$E$2:$E$89,Fact_SortedWeights!$C$2:$C$89,$A125,Fact_SortedWeights!$B$2:$B$89,$B125)*(IF($B125="Cardboard Recycling",SUMIFS(Fact_SortedWeights!$E$2:$E$89,Fact_SortedWeights!$C$2:$C$89,$A125,Fact_SortedWeights!$B$2:$B$89,$B125),SUMIFS(Fact_PreSortWeights!$E$2:$E$186,Fact_PreSortWeights!$C$2:$C$186,$A125,Fact_PreSortWeights!$B$2:$B$186,$B125))))</f>
        <v>0</v>
      </c>
      <c r="G125" s="0" t="n">
        <f aca="false">IF(AND(IF($B125="Trash",INDEX('Materials Master'!$F$2:$F$27,MATCH($C125,'Materials Master'!$A$2:$A$27,0)),IF($B125="GMPC Recycling",INDEX('Materials Master'!$G$2:$G$27,MATCH($C125,'Materials Master'!$A$2:$A$27,0)),IF($B125="Organics Recycling",INDEX('Materials Master'!$H$2:$H$27,MATCH($C125,'Materials Master'!$A$2:$A$27,0)),IF($B125="Cardboard Recycling",INDEX('Materials Master'!$I$2:$I$27,MATCH($C125,'Materials Master'!$A$2:$A$27,0)),IF($B125="Paper Recycling",INDEX('Materials Master'!$J$2:$J$27,MATCH($C125,'Materials Master'!$A$2:$A$27,0)),IF($B125="Terracycle",INDEX('Materials Master'!$K$2:$K$27,MATCH($C125,'Materials Master'!$A$2:$A$27,0)),"No"))))))="Yes",INDEX('Materials Master'!$E$2:$E$27,MATCH($C125,'Materials Master'!$A$2:$A$27,0))="Yes",$B125&lt;&gt;"Trash"),1,0)</f>
        <v>0</v>
      </c>
      <c r="H125" s="0" t="str">
        <f aca="false">INDEX('Materials Master'!$E$2:$E$27,MATCH($C125,'Materials Master'!$A$2:$A$27,0))</f>
        <v>No</v>
      </c>
      <c r="I125" s="0" t="str">
        <f aca="false">IFERROR(INDEX(Areas!$C$2:$C$6,MATCH($A125,Areas!$B$2:$B$6,0)),"")</f>
        <v>Rest of Building</v>
      </c>
      <c r="J125" s="0" t="n">
        <f aca="false">IF(IF($B125="Trash",INDEX('Materials Master'!$F$2:$F$27,MATCH($C125,'Materials Master'!$A$2:$A$27,0)),IF($B125="GMPC Recycling",INDEX('Materials Master'!$G$2:$G$27,MATCH($C125,'Materials Master'!$A$2:$A$27,0)),IF($B125="Organics Recycling",INDEX('Materials Master'!$H$2:$H$27,MATCH($C125,'Materials Master'!$A$2:$A$27,0)),IF($B125="Cardboard Recycling",INDEX('Materials Master'!$I$2:$I$27,MATCH($C125,'Materials Master'!$A$2:$A$27,0)),IF($B125="Paper Recycling",INDEX('Materials Master'!$J$2:$J$27,MATCH($C125,'Materials Master'!$A$2:$A$27,0)),IF($B125="Terracycle",INDEX('Materials Master'!$K$2:$K$27,MATCH($C125,'Materials Master'!$A$2:$A$27,0)),"No"))))))="Yes",1,0)</f>
        <v>0</v>
      </c>
    </row>
    <row r="126" customFormat="false" ht="15" hidden="false" customHeight="false" outlineLevel="0" collapsed="false">
      <c r="A126" s="0" t="s">
        <v>92</v>
      </c>
      <c r="B126" s="0" t="s">
        <v>107</v>
      </c>
      <c r="C126" s="0" t="s">
        <v>75</v>
      </c>
      <c r="D126" s="0" t="str">
        <f aca="false">IFERROR(INDEX('Materials Master'!$B$2:$B$27,MATCH($C126,'Materials Master'!$A$2:$A$27,0)),"")</f>
        <v>E/U Waste</v>
      </c>
      <c r="E126" s="0" t="str">
        <f aca="false">IFERROR(INDEX('Materials Master'!$C$2:$C$27,MATCH($C126,'Materials Master'!$A$2:$A$27,0)),"")</f>
        <v>Unacceptable</v>
      </c>
      <c r="F126" s="0" t="n">
        <f aca="false">IF(SUMIFS(Fact_SortedWeights!$E$2:$E$89,Fact_SortedWeights!$C$2:$C$89,$A126,Fact_SortedWeights!$B$2:$B$89,$B126)=0,0,SUMIFS(Fact_SortedWeights!$E$2:$E$89,Fact_SortedWeights!$C$2:$C$89,$A126,Fact_SortedWeights!$B$2:$B$89,$B126,Fact_SortedWeights!$D$2:$D$89,$C126)/SUMIFS(Fact_SortedWeights!$E$2:$E$89,Fact_SortedWeights!$C$2:$C$89,$A126,Fact_SortedWeights!$B$2:$B$89,$B126)*(IF($B126="Cardboard Recycling",SUMIFS(Fact_SortedWeights!$E$2:$E$89,Fact_SortedWeights!$C$2:$C$89,$A126,Fact_SortedWeights!$B$2:$B$89,$B126),SUMIFS(Fact_PreSortWeights!$E$2:$E$186,Fact_PreSortWeights!$C$2:$C$186,$A126,Fact_PreSortWeights!$B$2:$B$186,$B126))))</f>
        <v>0</v>
      </c>
      <c r="G126" s="0" t="n">
        <f aca="false">IF(AND(IF($B126="Trash",INDEX('Materials Master'!$F$2:$F$27,MATCH($C126,'Materials Master'!$A$2:$A$27,0)),IF($B126="GMPC Recycling",INDEX('Materials Master'!$G$2:$G$27,MATCH($C126,'Materials Master'!$A$2:$A$27,0)),IF($B126="Organics Recycling",INDEX('Materials Master'!$H$2:$H$27,MATCH($C126,'Materials Master'!$A$2:$A$27,0)),IF($B126="Cardboard Recycling",INDEX('Materials Master'!$I$2:$I$27,MATCH($C126,'Materials Master'!$A$2:$A$27,0)),IF($B126="Paper Recycling",INDEX('Materials Master'!$J$2:$J$27,MATCH($C126,'Materials Master'!$A$2:$A$27,0)),IF($B126="Terracycle",INDEX('Materials Master'!$K$2:$K$27,MATCH($C126,'Materials Master'!$A$2:$A$27,0)),"No"))))))="Yes",INDEX('Materials Master'!$E$2:$E$27,MATCH($C126,'Materials Master'!$A$2:$A$27,0))="Yes",$B126&lt;&gt;"Trash"),1,0)</f>
        <v>0</v>
      </c>
      <c r="H126" s="0" t="str">
        <f aca="false">INDEX('Materials Master'!$E$2:$E$27,MATCH($C126,'Materials Master'!$A$2:$A$27,0))</f>
        <v>No</v>
      </c>
      <c r="I126" s="0" t="str">
        <f aca="false">IFERROR(INDEX(Areas!$C$2:$C$6,MATCH($A126,Areas!$B$2:$B$6,0)),"")</f>
        <v>Rest of Building</v>
      </c>
      <c r="J126" s="0" t="n">
        <f aca="false">IF(IF($B126="Trash",INDEX('Materials Master'!$F$2:$F$27,MATCH($C126,'Materials Master'!$A$2:$A$27,0)),IF($B126="GMPC Recycling",INDEX('Materials Master'!$G$2:$G$27,MATCH($C126,'Materials Master'!$A$2:$A$27,0)),IF($B126="Organics Recycling",INDEX('Materials Master'!$H$2:$H$27,MATCH($C126,'Materials Master'!$A$2:$A$27,0)),IF($B126="Cardboard Recycling",INDEX('Materials Master'!$I$2:$I$27,MATCH($C126,'Materials Master'!$A$2:$A$27,0)),IF($B126="Paper Recycling",INDEX('Materials Master'!$J$2:$J$27,MATCH($C126,'Materials Master'!$A$2:$A$27,0)),IF($B126="Terracycle",INDEX('Materials Master'!$K$2:$K$27,MATCH($C126,'Materials Master'!$A$2:$A$27,0)),"No"))))))="Yes",1,0)</f>
        <v>0</v>
      </c>
    </row>
    <row r="127" customFormat="false" ht="15" hidden="false" customHeight="false" outlineLevel="0" collapsed="false">
      <c r="A127" s="0" t="s">
        <v>92</v>
      </c>
      <c r="B127" s="0" t="s">
        <v>107</v>
      </c>
      <c r="C127" s="0" t="s">
        <v>78</v>
      </c>
      <c r="D127" s="0" t="str">
        <f aca="false">IFERROR(INDEX('Materials Master'!$B$2:$B$27,MATCH($C127,'Materials Master'!$A$2:$A$27,0)),"")</f>
        <v>Textiles</v>
      </c>
      <c r="E127" s="0" t="str">
        <f aca="false">IFERROR(INDEX('Materials Master'!$C$2:$C$27,MATCH($C127,'Materials Master'!$A$2:$A$27,0)),"")</f>
        <v>Unacceptable</v>
      </c>
      <c r="F127" s="0" t="n">
        <f aca="false">IF(SUMIFS(Fact_SortedWeights!$E$2:$E$89,Fact_SortedWeights!$C$2:$C$89,$A127,Fact_SortedWeights!$B$2:$B$89,$B127)=0,0,SUMIFS(Fact_SortedWeights!$E$2:$E$89,Fact_SortedWeights!$C$2:$C$89,$A127,Fact_SortedWeights!$B$2:$B$89,$B127,Fact_SortedWeights!$D$2:$D$89,$C127)/SUMIFS(Fact_SortedWeights!$E$2:$E$89,Fact_SortedWeights!$C$2:$C$89,$A127,Fact_SortedWeights!$B$2:$B$89,$B127)*(IF($B127="Cardboard Recycling",SUMIFS(Fact_SortedWeights!$E$2:$E$89,Fact_SortedWeights!$C$2:$C$89,$A127,Fact_SortedWeights!$B$2:$B$89,$B127),SUMIFS(Fact_PreSortWeights!$E$2:$E$186,Fact_PreSortWeights!$C$2:$C$186,$A127,Fact_PreSortWeights!$B$2:$B$186,$B127))))</f>
        <v>0</v>
      </c>
      <c r="G127" s="0" t="n">
        <f aca="false">IF(AND(IF($B127="Trash",INDEX('Materials Master'!$F$2:$F$27,MATCH($C127,'Materials Master'!$A$2:$A$27,0)),IF($B127="GMPC Recycling",INDEX('Materials Master'!$G$2:$G$27,MATCH($C127,'Materials Master'!$A$2:$A$27,0)),IF($B127="Organics Recycling",INDEX('Materials Master'!$H$2:$H$27,MATCH($C127,'Materials Master'!$A$2:$A$27,0)),IF($B127="Cardboard Recycling",INDEX('Materials Master'!$I$2:$I$27,MATCH($C127,'Materials Master'!$A$2:$A$27,0)),IF($B127="Paper Recycling",INDEX('Materials Master'!$J$2:$J$27,MATCH($C127,'Materials Master'!$A$2:$A$27,0)),IF($B127="Terracycle",INDEX('Materials Master'!$K$2:$K$27,MATCH($C127,'Materials Master'!$A$2:$A$27,0)),"No"))))))="Yes",INDEX('Materials Master'!$E$2:$E$27,MATCH($C127,'Materials Master'!$A$2:$A$27,0))="Yes",$B127&lt;&gt;"Trash"),1,0)</f>
        <v>0</v>
      </c>
      <c r="H127" s="0" t="str">
        <f aca="false">INDEX('Materials Master'!$E$2:$E$27,MATCH($C127,'Materials Master'!$A$2:$A$27,0))</f>
        <v>No</v>
      </c>
      <c r="I127" s="0" t="str">
        <f aca="false">IFERROR(INDEX(Areas!$C$2:$C$6,MATCH($A127,Areas!$B$2:$B$6,0)),"")</f>
        <v>Rest of Building</v>
      </c>
      <c r="J127" s="0" t="n">
        <f aca="false">IF(IF($B127="Trash",INDEX('Materials Master'!$F$2:$F$27,MATCH($C127,'Materials Master'!$A$2:$A$27,0)),IF($B127="GMPC Recycling",INDEX('Materials Master'!$G$2:$G$27,MATCH($C127,'Materials Master'!$A$2:$A$27,0)),IF($B127="Organics Recycling",INDEX('Materials Master'!$H$2:$H$27,MATCH($C127,'Materials Master'!$A$2:$A$27,0)),IF($B127="Cardboard Recycling",INDEX('Materials Master'!$I$2:$I$27,MATCH($C127,'Materials Master'!$A$2:$A$27,0)),IF($B127="Paper Recycling",INDEX('Materials Master'!$J$2:$J$27,MATCH($C127,'Materials Master'!$A$2:$A$27,0)),IF($B127="Terracycle",INDEX('Materials Master'!$K$2:$K$27,MATCH($C127,'Materials Master'!$A$2:$A$27,0)),"No"))))))="Yes",1,0)</f>
        <v>0</v>
      </c>
    </row>
    <row r="128" customFormat="false" ht="15" hidden="false" customHeight="false" outlineLevel="0" collapsed="false">
      <c r="A128" s="0" t="s">
        <v>92</v>
      </c>
      <c r="B128" s="0" t="s">
        <v>107</v>
      </c>
      <c r="C128" s="0" t="s">
        <v>80</v>
      </c>
      <c r="D128" s="0" t="str">
        <f aca="false">IFERROR(INDEX('Materials Master'!$B$2:$B$27,MATCH($C128,'Materials Master'!$A$2:$A$27,0)),"")</f>
        <v>Other Unacceptable (specify)</v>
      </c>
      <c r="E128" s="0" t="str">
        <f aca="false">IFERROR(INDEX('Materials Master'!$C$2:$C$27,MATCH($C128,'Materials Master'!$A$2:$A$27,0)),"")</f>
        <v>Unacceptable</v>
      </c>
      <c r="F128" s="0" t="n">
        <f aca="false">IF(SUMIFS(Fact_SortedWeights!$E$2:$E$89,Fact_SortedWeights!$C$2:$C$89,$A128,Fact_SortedWeights!$B$2:$B$89,$B128)=0,0,SUMIFS(Fact_SortedWeights!$E$2:$E$89,Fact_SortedWeights!$C$2:$C$89,$A128,Fact_SortedWeights!$B$2:$B$89,$B128,Fact_SortedWeights!$D$2:$D$89,$C128)/SUMIFS(Fact_SortedWeights!$E$2:$E$89,Fact_SortedWeights!$C$2:$C$89,$A128,Fact_SortedWeights!$B$2:$B$89,$B128)*(IF($B128="Cardboard Recycling",SUMIFS(Fact_SortedWeights!$E$2:$E$89,Fact_SortedWeights!$C$2:$C$89,$A128,Fact_SortedWeights!$B$2:$B$89,$B128),SUMIFS(Fact_PreSortWeights!$E$2:$E$186,Fact_PreSortWeights!$C$2:$C$186,$A128,Fact_PreSortWeights!$B$2:$B$186,$B128))))</f>
        <v>0</v>
      </c>
      <c r="G128" s="0" t="n">
        <f aca="false">IF(AND(IF($B128="Trash",INDEX('Materials Master'!$F$2:$F$27,MATCH($C128,'Materials Master'!$A$2:$A$27,0)),IF($B128="GMPC Recycling",INDEX('Materials Master'!$G$2:$G$27,MATCH($C128,'Materials Master'!$A$2:$A$27,0)),IF($B128="Organics Recycling",INDEX('Materials Master'!$H$2:$H$27,MATCH($C128,'Materials Master'!$A$2:$A$27,0)),IF($B128="Cardboard Recycling",INDEX('Materials Master'!$I$2:$I$27,MATCH($C128,'Materials Master'!$A$2:$A$27,0)),IF($B128="Paper Recycling",INDEX('Materials Master'!$J$2:$J$27,MATCH($C128,'Materials Master'!$A$2:$A$27,0)),IF($B128="Terracycle",INDEX('Materials Master'!$K$2:$K$27,MATCH($C128,'Materials Master'!$A$2:$A$27,0)),"No"))))))="Yes",INDEX('Materials Master'!$E$2:$E$27,MATCH($C128,'Materials Master'!$A$2:$A$27,0))="Yes",$B128&lt;&gt;"Trash"),1,0)</f>
        <v>0</v>
      </c>
      <c r="H128" s="0" t="str">
        <f aca="false">INDEX('Materials Master'!$E$2:$E$27,MATCH($C128,'Materials Master'!$A$2:$A$27,0))</f>
        <v>No</v>
      </c>
      <c r="I128" s="0" t="str">
        <f aca="false">IFERROR(INDEX(Areas!$C$2:$C$6,MATCH($A128,Areas!$B$2:$B$6,0)),"")</f>
        <v>Rest of Building</v>
      </c>
      <c r="J128" s="0" t="n">
        <f aca="false">IF(IF($B128="Trash",INDEX('Materials Master'!$F$2:$F$27,MATCH($C128,'Materials Master'!$A$2:$A$27,0)),IF($B128="GMPC Recycling",INDEX('Materials Master'!$G$2:$G$27,MATCH($C128,'Materials Master'!$A$2:$A$27,0)),IF($B128="Organics Recycling",INDEX('Materials Master'!$H$2:$H$27,MATCH($C128,'Materials Master'!$A$2:$A$27,0)),IF($B128="Cardboard Recycling",INDEX('Materials Master'!$I$2:$I$27,MATCH($C128,'Materials Master'!$A$2:$A$27,0)),IF($B128="Paper Recycling",INDEX('Materials Master'!$J$2:$J$27,MATCH($C128,'Materials Master'!$A$2:$A$27,0)),IF($B128="Terracycle",INDEX('Materials Master'!$K$2:$K$27,MATCH($C128,'Materials Master'!$A$2:$A$27,0)),"No"))))))="Yes",1,0)</f>
        <v>0</v>
      </c>
    </row>
    <row r="129" customFormat="false" ht="15" hidden="false" customHeight="false" outlineLevel="0" collapsed="false">
      <c r="A129" s="0" t="s">
        <v>92</v>
      </c>
      <c r="B129" s="0" t="s">
        <v>107</v>
      </c>
      <c r="C129" s="0" t="s">
        <v>82</v>
      </c>
      <c r="D129" s="0" t="str">
        <f aca="false">IFERROR(INDEX('Materials Master'!$B$2:$B$27,MATCH($C129,'Materials Master'!$A$2:$A$27,0)),"")</f>
        <v>Liquids</v>
      </c>
      <c r="E129" s="0" t="str">
        <f aca="false">IFERROR(INDEX('Materials Master'!$C$2:$C$27,MATCH($C129,'Materials Master'!$A$2:$A$27,0)),"")</f>
        <v>Unacceptable</v>
      </c>
      <c r="F129" s="0" t="n">
        <f aca="false">IF(SUMIFS(Fact_SortedWeights!$E$2:$E$89,Fact_SortedWeights!$C$2:$C$89,$A129,Fact_SortedWeights!$B$2:$B$89,$B129)=0,0,SUMIFS(Fact_SortedWeights!$E$2:$E$89,Fact_SortedWeights!$C$2:$C$89,$A129,Fact_SortedWeights!$B$2:$B$89,$B129,Fact_SortedWeights!$D$2:$D$89,$C129)/SUMIFS(Fact_SortedWeights!$E$2:$E$89,Fact_SortedWeights!$C$2:$C$89,$A129,Fact_SortedWeights!$B$2:$B$89,$B129)*(IF($B129="Cardboard Recycling",SUMIFS(Fact_SortedWeights!$E$2:$E$89,Fact_SortedWeights!$C$2:$C$89,$A129,Fact_SortedWeights!$B$2:$B$89,$B129),SUMIFS(Fact_PreSortWeights!$E$2:$E$186,Fact_PreSortWeights!$C$2:$C$186,$A129,Fact_PreSortWeights!$B$2:$B$186,$B129))))</f>
        <v>0</v>
      </c>
      <c r="G129" s="0" t="n">
        <f aca="false">IF(AND(IF($B129="Trash",INDEX('Materials Master'!$F$2:$F$27,MATCH($C129,'Materials Master'!$A$2:$A$27,0)),IF($B129="GMPC Recycling",INDEX('Materials Master'!$G$2:$G$27,MATCH($C129,'Materials Master'!$A$2:$A$27,0)),IF($B129="Organics Recycling",INDEX('Materials Master'!$H$2:$H$27,MATCH($C129,'Materials Master'!$A$2:$A$27,0)),IF($B129="Cardboard Recycling",INDEX('Materials Master'!$I$2:$I$27,MATCH($C129,'Materials Master'!$A$2:$A$27,0)),IF($B129="Paper Recycling",INDEX('Materials Master'!$J$2:$J$27,MATCH($C129,'Materials Master'!$A$2:$A$27,0)),IF($B129="Terracycle",INDEX('Materials Master'!$K$2:$K$27,MATCH($C129,'Materials Master'!$A$2:$A$27,0)),"No"))))))="Yes",INDEX('Materials Master'!$E$2:$E$27,MATCH($C129,'Materials Master'!$A$2:$A$27,0))="Yes",$B129&lt;&gt;"Trash"),1,0)</f>
        <v>0</v>
      </c>
      <c r="H129" s="0" t="str">
        <f aca="false">INDEX('Materials Master'!$E$2:$E$27,MATCH($C129,'Materials Master'!$A$2:$A$27,0))</f>
        <v>No</v>
      </c>
      <c r="I129" s="0" t="str">
        <f aca="false">IFERROR(INDEX(Areas!$C$2:$C$6,MATCH($A129,Areas!$B$2:$B$6,0)),"")</f>
        <v>Rest of Building</v>
      </c>
      <c r="J129" s="0" t="n">
        <f aca="false">IF(IF($B129="Trash",INDEX('Materials Master'!$F$2:$F$27,MATCH($C129,'Materials Master'!$A$2:$A$27,0)),IF($B129="GMPC Recycling",INDEX('Materials Master'!$G$2:$G$27,MATCH($C129,'Materials Master'!$A$2:$A$27,0)),IF($B129="Organics Recycling",INDEX('Materials Master'!$H$2:$H$27,MATCH($C129,'Materials Master'!$A$2:$A$27,0)),IF($B129="Cardboard Recycling",INDEX('Materials Master'!$I$2:$I$27,MATCH($C129,'Materials Master'!$A$2:$A$27,0)),IF($B129="Paper Recycling",INDEX('Materials Master'!$J$2:$J$27,MATCH($C129,'Materials Master'!$A$2:$A$27,0)),IF($B129="Terracycle",INDEX('Materials Master'!$K$2:$K$27,MATCH($C129,'Materials Master'!$A$2:$A$27,0)),"No"))))))="Yes",1,0)</f>
        <v>0</v>
      </c>
    </row>
    <row r="130" customFormat="false" ht="15" hidden="false" customHeight="false" outlineLevel="0" collapsed="false">
      <c r="A130" s="0" t="s">
        <v>92</v>
      </c>
      <c r="B130" s="0" t="s">
        <v>107</v>
      </c>
      <c r="C130" s="0" t="s">
        <v>84</v>
      </c>
      <c r="D130" s="0" t="str">
        <f aca="false">IFERROR(INDEX('Materials Master'!$B$2:$B$27,MATCH($C130,'Materials Master'!$A$2:$A$27,0)),"")</f>
        <v>Snack Wrappers (Composites)</v>
      </c>
      <c r="E130" s="0" t="str">
        <f aca="false">IFERROR(INDEX('Materials Master'!$C$2:$C$27,MATCH($C130,'Materials Master'!$A$2:$A$27,0)),"")</f>
        <v>Other</v>
      </c>
      <c r="F130" s="0" t="n">
        <f aca="false">IF(SUMIFS(Fact_SortedWeights!$E$2:$E$89,Fact_SortedWeights!$C$2:$C$89,$A130,Fact_SortedWeights!$B$2:$B$89,$B130)=0,0,SUMIFS(Fact_SortedWeights!$E$2:$E$89,Fact_SortedWeights!$C$2:$C$89,$A130,Fact_SortedWeights!$B$2:$B$89,$B130,Fact_SortedWeights!$D$2:$D$89,$C130)/SUMIFS(Fact_SortedWeights!$E$2:$E$89,Fact_SortedWeights!$C$2:$C$89,$A130,Fact_SortedWeights!$B$2:$B$89,$B130)*(IF($B130="Cardboard Recycling",SUMIFS(Fact_SortedWeights!$E$2:$E$89,Fact_SortedWeights!$C$2:$C$89,$A130,Fact_SortedWeights!$B$2:$B$89,$B130),SUMIFS(Fact_PreSortWeights!$E$2:$E$186,Fact_PreSortWeights!$C$2:$C$186,$A130,Fact_PreSortWeights!$B$2:$B$186,$B130))))</f>
        <v>0</v>
      </c>
      <c r="G130" s="0" t="n">
        <f aca="false">IF(AND(IF($B130="Trash",INDEX('Materials Master'!$F$2:$F$27,MATCH($C130,'Materials Master'!$A$2:$A$27,0)),IF($B130="GMPC Recycling",INDEX('Materials Master'!$G$2:$G$27,MATCH($C130,'Materials Master'!$A$2:$A$27,0)),IF($B130="Organics Recycling",INDEX('Materials Master'!$H$2:$H$27,MATCH($C130,'Materials Master'!$A$2:$A$27,0)),IF($B130="Cardboard Recycling",INDEX('Materials Master'!$I$2:$I$27,MATCH($C130,'Materials Master'!$A$2:$A$27,0)),IF($B130="Paper Recycling",INDEX('Materials Master'!$J$2:$J$27,MATCH($C130,'Materials Master'!$A$2:$A$27,0)),IF($B130="Terracycle",INDEX('Materials Master'!$K$2:$K$27,MATCH($C130,'Materials Master'!$A$2:$A$27,0)),"No"))))))="Yes",INDEX('Materials Master'!$E$2:$E$27,MATCH($C130,'Materials Master'!$A$2:$A$27,0))="Yes",$B130&lt;&gt;"Trash"),1,0)</f>
        <v>0</v>
      </c>
      <c r="H130" s="0" t="str">
        <f aca="false">INDEX('Materials Master'!$E$2:$E$27,MATCH($C130,'Materials Master'!$A$2:$A$27,0))</f>
        <v>Yes</v>
      </c>
      <c r="I130" s="0" t="str">
        <f aca="false">IFERROR(INDEX(Areas!$C$2:$C$6,MATCH($A130,Areas!$B$2:$B$6,0)),"")</f>
        <v>Rest of Building</v>
      </c>
      <c r="J130" s="0" t="n">
        <f aca="false">IF(IF($B130="Trash",INDEX('Materials Master'!$F$2:$F$27,MATCH($C130,'Materials Master'!$A$2:$A$27,0)),IF($B130="GMPC Recycling",INDEX('Materials Master'!$G$2:$G$27,MATCH($C130,'Materials Master'!$A$2:$A$27,0)),IF($B130="Organics Recycling",INDEX('Materials Master'!$H$2:$H$27,MATCH($C130,'Materials Master'!$A$2:$A$27,0)),IF($B130="Cardboard Recycling",INDEX('Materials Master'!$I$2:$I$27,MATCH($C130,'Materials Master'!$A$2:$A$27,0)),IF($B130="Paper Recycling",INDEX('Materials Master'!$J$2:$J$27,MATCH($C130,'Materials Master'!$A$2:$A$27,0)),IF($B130="Terracycle",INDEX('Materials Master'!$K$2:$K$27,MATCH($C130,'Materials Master'!$A$2:$A$27,0)),"No"))))))="Yes",1,0)</f>
        <v>0</v>
      </c>
    </row>
    <row r="131" customFormat="false" ht="15" hidden="false" customHeight="false" outlineLevel="0" collapsed="false">
      <c r="A131" s="0" t="s">
        <v>92</v>
      </c>
      <c r="B131" s="0" t="s">
        <v>107</v>
      </c>
      <c r="C131" s="0" t="s">
        <v>87</v>
      </c>
      <c r="D131" s="0" t="str">
        <f aca="false">IFERROR(INDEX('Materials Master'!$B$2:$B$27,MATCH($C131,'Materials Master'!$A$2:$A$27,0)),"")</f>
        <v>Other/Residual Materials</v>
      </c>
      <c r="E131" s="0" t="str">
        <f aca="false">IFERROR(INDEX('Materials Master'!$C$2:$C$27,MATCH($C131,'Materials Master'!$A$2:$A$27,0)),"")</f>
        <v>Other</v>
      </c>
      <c r="F131" s="0" t="n">
        <f aca="false">IF(SUMIFS(Fact_SortedWeights!$E$2:$E$89,Fact_SortedWeights!$C$2:$C$89,$A131,Fact_SortedWeights!$B$2:$B$89,$B131)=0,0,SUMIFS(Fact_SortedWeights!$E$2:$E$89,Fact_SortedWeights!$C$2:$C$89,$A131,Fact_SortedWeights!$B$2:$B$89,$B131,Fact_SortedWeights!$D$2:$D$89,$C131)/SUMIFS(Fact_SortedWeights!$E$2:$E$89,Fact_SortedWeights!$C$2:$C$89,$A131,Fact_SortedWeights!$B$2:$B$89,$B131)*(IF($B131="Cardboard Recycling",SUMIFS(Fact_SortedWeights!$E$2:$E$89,Fact_SortedWeights!$C$2:$C$89,$A131,Fact_SortedWeights!$B$2:$B$89,$B131),SUMIFS(Fact_PreSortWeights!$E$2:$E$186,Fact_PreSortWeights!$C$2:$C$186,$A131,Fact_PreSortWeights!$B$2:$B$186,$B131))))</f>
        <v>0</v>
      </c>
      <c r="G131" s="0" t="n">
        <f aca="false">IF(AND(IF($B131="Trash",INDEX('Materials Master'!$F$2:$F$27,MATCH($C131,'Materials Master'!$A$2:$A$27,0)),IF($B131="GMPC Recycling",INDEX('Materials Master'!$G$2:$G$27,MATCH($C131,'Materials Master'!$A$2:$A$27,0)),IF($B131="Organics Recycling",INDEX('Materials Master'!$H$2:$H$27,MATCH($C131,'Materials Master'!$A$2:$A$27,0)),IF($B131="Cardboard Recycling",INDEX('Materials Master'!$I$2:$I$27,MATCH($C131,'Materials Master'!$A$2:$A$27,0)),IF($B131="Paper Recycling",INDEX('Materials Master'!$J$2:$J$27,MATCH($C131,'Materials Master'!$A$2:$A$27,0)),IF($B131="Terracycle",INDEX('Materials Master'!$K$2:$K$27,MATCH($C131,'Materials Master'!$A$2:$A$27,0)),"No"))))))="Yes",INDEX('Materials Master'!$E$2:$E$27,MATCH($C131,'Materials Master'!$A$2:$A$27,0))="Yes",$B131&lt;&gt;"Trash"),1,0)</f>
        <v>0</v>
      </c>
      <c r="H131" s="0" t="str">
        <f aca="false">INDEX('Materials Master'!$E$2:$E$27,MATCH($C131,'Materials Master'!$A$2:$A$27,0))</f>
        <v>No</v>
      </c>
      <c r="I131" s="0" t="str">
        <f aca="false">IFERROR(INDEX(Areas!$C$2:$C$6,MATCH($A131,Areas!$B$2:$B$6,0)),"")</f>
        <v>Rest of Building</v>
      </c>
      <c r="J131" s="0" t="n">
        <f aca="false">IF(IF($B131="Trash",INDEX('Materials Master'!$F$2:$F$27,MATCH($C131,'Materials Master'!$A$2:$A$27,0)),IF($B131="GMPC Recycling",INDEX('Materials Master'!$G$2:$G$27,MATCH($C131,'Materials Master'!$A$2:$A$27,0)),IF($B131="Organics Recycling",INDEX('Materials Master'!$H$2:$H$27,MATCH($C131,'Materials Master'!$A$2:$A$27,0)),IF($B131="Cardboard Recycling",INDEX('Materials Master'!$I$2:$I$27,MATCH($C131,'Materials Master'!$A$2:$A$27,0)),IF($B131="Paper Recycling",INDEX('Materials Master'!$J$2:$J$27,MATCH($C131,'Materials Master'!$A$2:$A$27,0)),IF($B131="Terracycle",INDEX('Materials Master'!$K$2:$K$27,MATCH($C131,'Materials Master'!$A$2:$A$27,0)),"No"))))))="Yes",1,0)</f>
        <v>0</v>
      </c>
    </row>
    <row r="132" customFormat="false" ht="15" hidden="false" customHeight="false" outlineLevel="0" collapsed="false">
      <c r="A132" s="0" t="s">
        <v>92</v>
      </c>
      <c r="B132" s="0" t="s">
        <v>108</v>
      </c>
      <c r="C132" s="0" t="s">
        <v>28</v>
      </c>
      <c r="D132" s="0" t="str">
        <f aca="false">IFERROR(INDEX('Materials Master'!$B$2:$B$27,MATCH($C132,'Materials Master'!$A$2:$A$27,0)),"")</f>
        <v>Corrugated Cardboard</v>
      </c>
      <c r="E132" s="0" t="str">
        <f aca="false">IFERROR(INDEX('Materials Master'!$C$2:$C$27,MATCH($C132,'Materials Master'!$A$2:$A$27,0)),"")</f>
        <v>Fibers</v>
      </c>
      <c r="F132" s="0" t="n">
        <f aca="false">IF(SUMIFS(Fact_SortedWeights!$E$2:$E$89,Fact_SortedWeights!$C$2:$C$89,$A132,Fact_SortedWeights!$B$2:$B$89,$B132)=0,0,SUMIFS(Fact_SortedWeights!$E$2:$E$89,Fact_SortedWeights!$C$2:$C$89,$A132,Fact_SortedWeights!$B$2:$B$89,$B132,Fact_SortedWeights!$D$2:$D$89,$C132)/SUMIFS(Fact_SortedWeights!$E$2:$E$89,Fact_SortedWeights!$C$2:$C$89,$A132,Fact_SortedWeights!$B$2:$B$89,$B132)*(IF($B132="Cardboard Recycling",SUMIFS(Fact_SortedWeights!$E$2:$E$89,Fact_SortedWeights!$C$2:$C$89,$A132,Fact_SortedWeights!$B$2:$B$89,$B132),SUMIFS(Fact_PreSortWeights!$E$2:$E$186,Fact_PreSortWeights!$C$2:$C$186,$A132,Fact_PreSortWeights!$B$2:$B$186,$B132))))</f>
        <v>0</v>
      </c>
      <c r="G132" s="0" t="n">
        <f aca="false">IF(AND(IF($B132="Trash",INDEX('Materials Master'!$F$2:$F$27,MATCH($C132,'Materials Master'!$A$2:$A$27,0)),IF($B132="GMPC Recycling",INDEX('Materials Master'!$G$2:$G$27,MATCH($C132,'Materials Master'!$A$2:$A$27,0)),IF($B132="Organics Recycling",INDEX('Materials Master'!$H$2:$H$27,MATCH($C132,'Materials Master'!$A$2:$A$27,0)),IF($B132="Cardboard Recycling",INDEX('Materials Master'!$I$2:$I$27,MATCH($C132,'Materials Master'!$A$2:$A$27,0)),IF($B132="Paper Recycling",INDEX('Materials Master'!$J$2:$J$27,MATCH($C132,'Materials Master'!$A$2:$A$27,0)),IF($B132="Terracycle",INDEX('Materials Master'!$K$2:$K$27,MATCH($C132,'Materials Master'!$A$2:$A$27,0)),"No"))))))="Yes",INDEX('Materials Master'!$E$2:$E$27,MATCH($C132,'Materials Master'!$A$2:$A$27,0))="Yes",$B132&lt;&gt;"Trash"),1,0)</f>
        <v>0</v>
      </c>
      <c r="H132" s="0" t="str">
        <f aca="false">INDEX('Materials Master'!$E$2:$E$27,MATCH($C132,'Materials Master'!$A$2:$A$27,0))</f>
        <v>Yes</v>
      </c>
      <c r="I132" s="0" t="str">
        <f aca="false">IFERROR(INDEX(Areas!$C$2:$C$6,MATCH($A132,Areas!$B$2:$B$6,0)),"")</f>
        <v>Rest of Building</v>
      </c>
      <c r="J132" s="0" t="n">
        <f aca="false">IF(IF($B132="Trash",INDEX('Materials Master'!$F$2:$F$27,MATCH($C132,'Materials Master'!$A$2:$A$27,0)),IF($B132="GMPC Recycling",INDEX('Materials Master'!$G$2:$G$27,MATCH($C132,'Materials Master'!$A$2:$A$27,0)),IF($B132="Organics Recycling",INDEX('Materials Master'!$H$2:$H$27,MATCH($C132,'Materials Master'!$A$2:$A$27,0)),IF($B132="Cardboard Recycling",INDEX('Materials Master'!$I$2:$I$27,MATCH($C132,'Materials Master'!$A$2:$A$27,0)),IF($B132="Paper Recycling",INDEX('Materials Master'!$J$2:$J$27,MATCH($C132,'Materials Master'!$A$2:$A$27,0)),IF($B132="Terracycle",INDEX('Materials Master'!$K$2:$K$27,MATCH($C132,'Materials Master'!$A$2:$A$27,0)),"No"))))))="Yes",1,0)</f>
        <v>0</v>
      </c>
    </row>
    <row r="133" customFormat="false" ht="15" hidden="false" customHeight="false" outlineLevel="0" collapsed="false">
      <c r="A133" s="0" t="s">
        <v>92</v>
      </c>
      <c r="B133" s="0" t="s">
        <v>108</v>
      </c>
      <c r="C133" s="0" t="s">
        <v>33</v>
      </c>
      <c r="D133" s="0" t="str">
        <f aca="false">IFERROR(INDEX('Materials Master'!$B$2:$B$27,MATCH($C133,'Materials Master'!$A$2:$A$27,0)),"")</f>
        <v>Soiled Cardboard</v>
      </c>
      <c r="E133" s="0" t="str">
        <f aca="false">IFERROR(INDEX('Materials Master'!$C$2:$C$27,MATCH($C133,'Materials Master'!$A$2:$A$27,0)),"")</f>
        <v>Fibers</v>
      </c>
      <c r="F133" s="0" t="n">
        <f aca="false">IF(SUMIFS(Fact_SortedWeights!$E$2:$E$89,Fact_SortedWeights!$C$2:$C$89,$A133,Fact_SortedWeights!$B$2:$B$89,$B133)=0,0,SUMIFS(Fact_SortedWeights!$E$2:$E$89,Fact_SortedWeights!$C$2:$C$89,$A133,Fact_SortedWeights!$B$2:$B$89,$B133,Fact_SortedWeights!$D$2:$D$89,$C133)/SUMIFS(Fact_SortedWeights!$E$2:$E$89,Fact_SortedWeights!$C$2:$C$89,$A133,Fact_SortedWeights!$B$2:$B$89,$B133)*(IF($B133="Cardboard Recycling",SUMIFS(Fact_SortedWeights!$E$2:$E$89,Fact_SortedWeights!$C$2:$C$89,$A133,Fact_SortedWeights!$B$2:$B$89,$B133),SUMIFS(Fact_PreSortWeights!$E$2:$E$186,Fact_PreSortWeights!$C$2:$C$186,$A133,Fact_PreSortWeights!$B$2:$B$186,$B133))))</f>
        <v>0</v>
      </c>
      <c r="G133" s="0" t="n">
        <f aca="false">IF(AND(IF($B133="Trash",INDEX('Materials Master'!$F$2:$F$27,MATCH($C133,'Materials Master'!$A$2:$A$27,0)),IF($B133="GMPC Recycling",INDEX('Materials Master'!$G$2:$G$27,MATCH($C133,'Materials Master'!$A$2:$A$27,0)),IF($B133="Organics Recycling",INDEX('Materials Master'!$H$2:$H$27,MATCH($C133,'Materials Master'!$A$2:$A$27,0)),IF($B133="Cardboard Recycling",INDEX('Materials Master'!$I$2:$I$27,MATCH($C133,'Materials Master'!$A$2:$A$27,0)),IF($B133="Paper Recycling",INDEX('Materials Master'!$J$2:$J$27,MATCH($C133,'Materials Master'!$A$2:$A$27,0)),IF($B133="Terracycle",INDEX('Materials Master'!$K$2:$K$27,MATCH($C133,'Materials Master'!$A$2:$A$27,0)),"No"))))))="Yes",INDEX('Materials Master'!$E$2:$E$27,MATCH($C133,'Materials Master'!$A$2:$A$27,0))="Yes",$B133&lt;&gt;"Trash"),1,0)</f>
        <v>0</v>
      </c>
      <c r="H133" s="0" t="str">
        <f aca="false">INDEX('Materials Master'!$E$2:$E$27,MATCH($C133,'Materials Master'!$A$2:$A$27,0))</f>
        <v>No</v>
      </c>
      <c r="I133" s="0" t="str">
        <f aca="false">IFERROR(INDEX(Areas!$C$2:$C$6,MATCH($A133,Areas!$B$2:$B$6,0)),"")</f>
        <v>Rest of Building</v>
      </c>
      <c r="J133" s="0" t="n">
        <f aca="false">IF(IF($B133="Trash",INDEX('Materials Master'!$F$2:$F$27,MATCH($C133,'Materials Master'!$A$2:$A$27,0)),IF($B133="GMPC Recycling",INDEX('Materials Master'!$G$2:$G$27,MATCH($C133,'Materials Master'!$A$2:$A$27,0)),IF($B133="Organics Recycling",INDEX('Materials Master'!$H$2:$H$27,MATCH($C133,'Materials Master'!$A$2:$A$27,0)),IF($B133="Cardboard Recycling",INDEX('Materials Master'!$I$2:$I$27,MATCH($C133,'Materials Master'!$A$2:$A$27,0)),IF($B133="Paper Recycling",INDEX('Materials Master'!$J$2:$J$27,MATCH($C133,'Materials Master'!$A$2:$A$27,0)),IF($B133="Terracycle",INDEX('Materials Master'!$K$2:$K$27,MATCH($C133,'Materials Master'!$A$2:$A$27,0)),"No"))))))="Yes",1,0)</f>
        <v>0</v>
      </c>
    </row>
    <row r="134" customFormat="false" ht="15" hidden="false" customHeight="false" outlineLevel="0" collapsed="false">
      <c r="A134" s="0" t="s">
        <v>92</v>
      </c>
      <c r="B134" s="0" t="s">
        <v>108</v>
      </c>
      <c r="C134" s="0" t="s">
        <v>35</v>
      </c>
      <c r="D134" s="0" t="str">
        <f aca="false">IFERROR(INDEX('Materials Master'!$B$2:$B$27,MATCH($C134,'Materials Master'!$A$2:$A$27,0)),"")</f>
        <v>Waxed Cardboard</v>
      </c>
      <c r="E134" s="0" t="str">
        <f aca="false">IFERROR(INDEX('Materials Master'!$C$2:$C$27,MATCH($C134,'Materials Master'!$A$2:$A$27,0)),"")</f>
        <v>Fibers</v>
      </c>
      <c r="F134" s="0" t="n">
        <f aca="false">IF(SUMIFS(Fact_SortedWeights!$E$2:$E$89,Fact_SortedWeights!$C$2:$C$89,$A134,Fact_SortedWeights!$B$2:$B$89,$B134)=0,0,SUMIFS(Fact_SortedWeights!$E$2:$E$89,Fact_SortedWeights!$C$2:$C$89,$A134,Fact_SortedWeights!$B$2:$B$89,$B134,Fact_SortedWeights!$D$2:$D$89,$C134)/SUMIFS(Fact_SortedWeights!$E$2:$E$89,Fact_SortedWeights!$C$2:$C$89,$A134,Fact_SortedWeights!$B$2:$B$89,$B134)*(IF($B134="Cardboard Recycling",SUMIFS(Fact_SortedWeights!$E$2:$E$89,Fact_SortedWeights!$C$2:$C$89,$A134,Fact_SortedWeights!$B$2:$B$89,$B134),SUMIFS(Fact_PreSortWeights!$E$2:$E$186,Fact_PreSortWeights!$C$2:$C$186,$A134,Fact_PreSortWeights!$B$2:$B$186,$B134))))</f>
        <v>0</v>
      </c>
      <c r="G134" s="0" t="n">
        <f aca="false">IF(AND(IF($B134="Trash",INDEX('Materials Master'!$F$2:$F$27,MATCH($C134,'Materials Master'!$A$2:$A$27,0)),IF($B134="GMPC Recycling",INDEX('Materials Master'!$G$2:$G$27,MATCH($C134,'Materials Master'!$A$2:$A$27,0)),IF($B134="Organics Recycling",INDEX('Materials Master'!$H$2:$H$27,MATCH($C134,'Materials Master'!$A$2:$A$27,0)),IF($B134="Cardboard Recycling",INDEX('Materials Master'!$I$2:$I$27,MATCH($C134,'Materials Master'!$A$2:$A$27,0)),IF($B134="Paper Recycling",INDEX('Materials Master'!$J$2:$J$27,MATCH($C134,'Materials Master'!$A$2:$A$27,0)),IF($B134="Terracycle",INDEX('Materials Master'!$K$2:$K$27,MATCH($C134,'Materials Master'!$A$2:$A$27,0)),"No"))))))="Yes",INDEX('Materials Master'!$E$2:$E$27,MATCH($C134,'Materials Master'!$A$2:$A$27,0))="Yes",$B134&lt;&gt;"Trash"),1,0)</f>
        <v>0</v>
      </c>
      <c r="H134" s="0" t="str">
        <f aca="false">INDEX('Materials Master'!$E$2:$E$27,MATCH($C134,'Materials Master'!$A$2:$A$27,0))</f>
        <v>No</v>
      </c>
      <c r="I134" s="0" t="str">
        <f aca="false">IFERROR(INDEX(Areas!$C$2:$C$6,MATCH($A134,Areas!$B$2:$B$6,0)),"")</f>
        <v>Rest of Building</v>
      </c>
      <c r="J134" s="0" t="n">
        <f aca="false">IF(IF($B134="Trash",INDEX('Materials Master'!$F$2:$F$27,MATCH($C134,'Materials Master'!$A$2:$A$27,0)),IF($B134="GMPC Recycling",INDEX('Materials Master'!$G$2:$G$27,MATCH($C134,'Materials Master'!$A$2:$A$27,0)),IF($B134="Organics Recycling",INDEX('Materials Master'!$H$2:$H$27,MATCH($C134,'Materials Master'!$A$2:$A$27,0)),IF($B134="Cardboard Recycling",INDEX('Materials Master'!$I$2:$I$27,MATCH($C134,'Materials Master'!$A$2:$A$27,0)),IF($B134="Paper Recycling",INDEX('Materials Master'!$J$2:$J$27,MATCH($C134,'Materials Master'!$A$2:$A$27,0)),IF($B134="Terracycle",INDEX('Materials Master'!$K$2:$K$27,MATCH($C134,'Materials Master'!$A$2:$A$27,0)),"No"))))))="Yes",1,0)</f>
        <v>0</v>
      </c>
    </row>
    <row r="135" customFormat="false" ht="15" hidden="false" customHeight="false" outlineLevel="0" collapsed="false">
      <c r="A135" s="0" t="s">
        <v>92</v>
      </c>
      <c r="B135" s="0" t="s">
        <v>108</v>
      </c>
      <c r="C135" s="0" t="s">
        <v>37</v>
      </c>
      <c r="D135" s="0" t="str">
        <f aca="false">IFERROR(INDEX('Materials Master'!$B$2:$B$27,MATCH($C135,'Materials Master'!$A$2:$A$27,0)),"")</f>
        <v>Mixed Paper</v>
      </c>
      <c r="E135" s="0" t="str">
        <f aca="false">IFERROR(INDEX('Materials Master'!$C$2:$C$27,MATCH($C135,'Materials Master'!$A$2:$A$27,0)),"")</f>
        <v>Fibers</v>
      </c>
      <c r="F135" s="0" t="n">
        <f aca="false">IF(SUMIFS(Fact_SortedWeights!$E$2:$E$89,Fact_SortedWeights!$C$2:$C$89,$A135,Fact_SortedWeights!$B$2:$B$89,$B135)=0,0,SUMIFS(Fact_SortedWeights!$E$2:$E$89,Fact_SortedWeights!$C$2:$C$89,$A135,Fact_SortedWeights!$B$2:$B$89,$B135,Fact_SortedWeights!$D$2:$D$89,$C135)/SUMIFS(Fact_SortedWeights!$E$2:$E$89,Fact_SortedWeights!$C$2:$C$89,$A135,Fact_SortedWeights!$B$2:$B$89,$B135)*(IF($B135="Cardboard Recycling",SUMIFS(Fact_SortedWeights!$E$2:$E$89,Fact_SortedWeights!$C$2:$C$89,$A135,Fact_SortedWeights!$B$2:$B$89,$B135),SUMIFS(Fact_PreSortWeights!$E$2:$E$186,Fact_PreSortWeights!$C$2:$C$186,$A135,Fact_PreSortWeights!$B$2:$B$186,$B135))))</f>
        <v>0</v>
      </c>
      <c r="G135" s="0" t="n">
        <f aca="false">IF(AND(IF($B135="Trash",INDEX('Materials Master'!$F$2:$F$27,MATCH($C135,'Materials Master'!$A$2:$A$27,0)),IF($B135="GMPC Recycling",INDEX('Materials Master'!$G$2:$G$27,MATCH($C135,'Materials Master'!$A$2:$A$27,0)),IF($B135="Organics Recycling",INDEX('Materials Master'!$H$2:$H$27,MATCH($C135,'Materials Master'!$A$2:$A$27,0)),IF($B135="Cardboard Recycling",INDEX('Materials Master'!$I$2:$I$27,MATCH($C135,'Materials Master'!$A$2:$A$27,0)),IF($B135="Paper Recycling",INDEX('Materials Master'!$J$2:$J$27,MATCH($C135,'Materials Master'!$A$2:$A$27,0)),IF($B135="Terracycle",INDEX('Materials Master'!$K$2:$K$27,MATCH($C135,'Materials Master'!$A$2:$A$27,0)),"No"))))))="Yes",INDEX('Materials Master'!$E$2:$E$27,MATCH($C135,'Materials Master'!$A$2:$A$27,0))="Yes",$B135&lt;&gt;"Trash"),1,0)</f>
        <v>0</v>
      </c>
      <c r="H135" s="0" t="str">
        <f aca="false">INDEX('Materials Master'!$E$2:$E$27,MATCH($C135,'Materials Master'!$A$2:$A$27,0))</f>
        <v>Yes</v>
      </c>
      <c r="I135" s="0" t="str">
        <f aca="false">IFERROR(INDEX(Areas!$C$2:$C$6,MATCH($A135,Areas!$B$2:$B$6,0)),"")</f>
        <v>Rest of Building</v>
      </c>
      <c r="J135" s="0" t="n">
        <f aca="false">IF(IF($B135="Trash",INDEX('Materials Master'!$F$2:$F$27,MATCH($C135,'Materials Master'!$A$2:$A$27,0)),IF($B135="GMPC Recycling",INDEX('Materials Master'!$G$2:$G$27,MATCH($C135,'Materials Master'!$A$2:$A$27,0)),IF($B135="Organics Recycling",INDEX('Materials Master'!$H$2:$H$27,MATCH($C135,'Materials Master'!$A$2:$A$27,0)),IF($B135="Cardboard Recycling",INDEX('Materials Master'!$I$2:$I$27,MATCH($C135,'Materials Master'!$A$2:$A$27,0)),IF($B135="Paper Recycling",INDEX('Materials Master'!$J$2:$J$27,MATCH($C135,'Materials Master'!$A$2:$A$27,0)),IF($B135="Terracycle",INDEX('Materials Master'!$K$2:$K$27,MATCH($C135,'Materials Master'!$A$2:$A$27,0)),"No"))))))="Yes",1,0)</f>
        <v>0</v>
      </c>
    </row>
    <row r="136" customFormat="false" ht="15" hidden="false" customHeight="false" outlineLevel="0" collapsed="false">
      <c r="A136" s="0" t="s">
        <v>92</v>
      </c>
      <c r="B136" s="0" t="s">
        <v>108</v>
      </c>
      <c r="C136" s="0" t="s">
        <v>39</v>
      </c>
      <c r="D136" s="0" t="str">
        <f aca="false">IFERROR(INDEX('Materials Master'!$B$2:$B$27,MATCH($C136,'Materials Master'!$A$2:$A$27,0)),"")</f>
        <v>Soiled Paper</v>
      </c>
      <c r="E136" s="0" t="str">
        <f aca="false">IFERROR(INDEX('Materials Master'!$C$2:$C$27,MATCH($C136,'Materials Master'!$A$2:$A$27,0)),"")</f>
        <v>Fibers</v>
      </c>
      <c r="F136" s="0" t="n">
        <f aca="false">IF(SUMIFS(Fact_SortedWeights!$E$2:$E$89,Fact_SortedWeights!$C$2:$C$89,$A136,Fact_SortedWeights!$B$2:$B$89,$B136)=0,0,SUMIFS(Fact_SortedWeights!$E$2:$E$89,Fact_SortedWeights!$C$2:$C$89,$A136,Fact_SortedWeights!$B$2:$B$89,$B136,Fact_SortedWeights!$D$2:$D$89,$C136)/SUMIFS(Fact_SortedWeights!$E$2:$E$89,Fact_SortedWeights!$C$2:$C$89,$A136,Fact_SortedWeights!$B$2:$B$89,$B136)*(IF($B136="Cardboard Recycling",SUMIFS(Fact_SortedWeights!$E$2:$E$89,Fact_SortedWeights!$C$2:$C$89,$A136,Fact_SortedWeights!$B$2:$B$89,$B136),SUMIFS(Fact_PreSortWeights!$E$2:$E$186,Fact_PreSortWeights!$C$2:$C$186,$A136,Fact_PreSortWeights!$B$2:$B$186,$B136))))</f>
        <v>0</v>
      </c>
      <c r="G136" s="0" t="n">
        <f aca="false">IF(AND(IF($B136="Trash",INDEX('Materials Master'!$F$2:$F$27,MATCH($C136,'Materials Master'!$A$2:$A$27,0)),IF($B136="GMPC Recycling",INDEX('Materials Master'!$G$2:$G$27,MATCH($C136,'Materials Master'!$A$2:$A$27,0)),IF($B136="Organics Recycling",INDEX('Materials Master'!$H$2:$H$27,MATCH($C136,'Materials Master'!$A$2:$A$27,0)),IF($B136="Cardboard Recycling",INDEX('Materials Master'!$I$2:$I$27,MATCH($C136,'Materials Master'!$A$2:$A$27,0)),IF($B136="Paper Recycling",INDEX('Materials Master'!$J$2:$J$27,MATCH($C136,'Materials Master'!$A$2:$A$27,0)),IF($B136="Terracycle",INDEX('Materials Master'!$K$2:$K$27,MATCH($C136,'Materials Master'!$A$2:$A$27,0)),"No"))))))="Yes",INDEX('Materials Master'!$E$2:$E$27,MATCH($C136,'Materials Master'!$A$2:$A$27,0))="Yes",$B136&lt;&gt;"Trash"),1,0)</f>
        <v>0</v>
      </c>
      <c r="H136" s="0" t="str">
        <f aca="false">INDEX('Materials Master'!$E$2:$E$27,MATCH($C136,'Materials Master'!$A$2:$A$27,0))</f>
        <v>No</v>
      </c>
      <c r="I136" s="0" t="str">
        <f aca="false">IFERROR(INDEX(Areas!$C$2:$C$6,MATCH($A136,Areas!$B$2:$B$6,0)),"")</f>
        <v>Rest of Building</v>
      </c>
      <c r="J136" s="0" t="n">
        <f aca="false">IF(IF($B136="Trash",INDEX('Materials Master'!$F$2:$F$27,MATCH($C136,'Materials Master'!$A$2:$A$27,0)),IF($B136="GMPC Recycling",INDEX('Materials Master'!$G$2:$G$27,MATCH($C136,'Materials Master'!$A$2:$A$27,0)),IF($B136="Organics Recycling",INDEX('Materials Master'!$H$2:$H$27,MATCH($C136,'Materials Master'!$A$2:$A$27,0)),IF($B136="Cardboard Recycling",INDEX('Materials Master'!$I$2:$I$27,MATCH($C136,'Materials Master'!$A$2:$A$27,0)),IF($B136="Paper Recycling",INDEX('Materials Master'!$J$2:$J$27,MATCH($C136,'Materials Master'!$A$2:$A$27,0)),IF($B136="Terracycle",INDEX('Materials Master'!$K$2:$K$27,MATCH($C136,'Materials Master'!$A$2:$A$27,0)),"No"))))))="Yes",1,0)</f>
        <v>0</v>
      </c>
    </row>
    <row r="137" customFormat="false" ht="15" hidden="false" customHeight="false" outlineLevel="0" collapsed="false">
      <c r="A137" s="0" t="s">
        <v>92</v>
      </c>
      <c r="B137" s="0" t="s">
        <v>108</v>
      </c>
      <c r="C137" s="0" t="s">
        <v>41</v>
      </c>
      <c r="D137" s="0" t="str">
        <f aca="false">IFERROR(INDEX('Materials Master'!$B$2:$B$27,MATCH($C137,'Materials Master'!$A$2:$A$27,0)),"")</f>
        <v>Beverage Cartons</v>
      </c>
      <c r="E137" s="0" t="str">
        <f aca="false">IFERROR(INDEX('Materials Master'!$C$2:$C$27,MATCH($C137,'Materials Master'!$A$2:$A$27,0)),"")</f>
        <v>Fibers</v>
      </c>
      <c r="F137" s="0" t="n">
        <f aca="false">IF(SUMIFS(Fact_SortedWeights!$E$2:$E$89,Fact_SortedWeights!$C$2:$C$89,$A137,Fact_SortedWeights!$B$2:$B$89,$B137)=0,0,SUMIFS(Fact_SortedWeights!$E$2:$E$89,Fact_SortedWeights!$C$2:$C$89,$A137,Fact_SortedWeights!$B$2:$B$89,$B137,Fact_SortedWeights!$D$2:$D$89,$C137)/SUMIFS(Fact_SortedWeights!$E$2:$E$89,Fact_SortedWeights!$C$2:$C$89,$A137,Fact_SortedWeights!$B$2:$B$89,$B137)*(IF($B137="Cardboard Recycling",SUMIFS(Fact_SortedWeights!$E$2:$E$89,Fact_SortedWeights!$C$2:$C$89,$A137,Fact_SortedWeights!$B$2:$B$89,$B137),SUMIFS(Fact_PreSortWeights!$E$2:$E$186,Fact_PreSortWeights!$C$2:$C$186,$A137,Fact_PreSortWeights!$B$2:$B$186,$B137))))</f>
        <v>0</v>
      </c>
      <c r="G137" s="0" t="n">
        <f aca="false">IF(AND(IF($B137="Trash",INDEX('Materials Master'!$F$2:$F$27,MATCH($C137,'Materials Master'!$A$2:$A$27,0)),IF($B137="GMPC Recycling",INDEX('Materials Master'!$G$2:$G$27,MATCH($C137,'Materials Master'!$A$2:$A$27,0)),IF($B137="Organics Recycling",INDEX('Materials Master'!$H$2:$H$27,MATCH($C137,'Materials Master'!$A$2:$A$27,0)),IF($B137="Cardboard Recycling",INDEX('Materials Master'!$I$2:$I$27,MATCH($C137,'Materials Master'!$A$2:$A$27,0)),IF($B137="Paper Recycling",INDEX('Materials Master'!$J$2:$J$27,MATCH($C137,'Materials Master'!$A$2:$A$27,0)),IF($B137="Terracycle",INDEX('Materials Master'!$K$2:$K$27,MATCH($C137,'Materials Master'!$A$2:$A$27,0)),"No"))))))="Yes",INDEX('Materials Master'!$E$2:$E$27,MATCH($C137,'Materials Master'!$A$2:$A$27,0))="Yes",$B137&lt;&gt;"Trash"),1,0)</f>
        <v>0</v>
      </c>
      <c r="H137" s="0" t="str">
        <f aca="false">INDEX('Materials Master'!$E$2:$E$27,MATCH($C137,'Materials Master'!$A$2:$A$27,0))</f>
        <v>Yes</v>
      </c>
      <c r="I137" s="0" t="str">
        <f aca="false">IFERROR(INDEX(Areas!$C$2:$C$6,MATCH($A137,Areas!$B$2:$B$6,0)),"")</f>
        <v>Rest of Building</v>
      </c>
      <c r="J137" s="0" t="n">
        <f aca="false">IF(IF($B137="Trash",INDEX('Materials Master'!$F$2:$F$27,MATCH($C137,'Materials Master'!$A$2:$A$27,0)),IF($B137="GMPC Recycling",INDEX('Materials Master'!$G$2:$G$27,MATCH($C137,'Materials Master'!$A$2:$A$27,0)),IF($B137="Organics Recycling",INDEX('Materials Master'!$H$2:$H$27,MATCH($C137,'Materials Master'!$A$2:$A$27,0)),IF($B137="Cardboard Recycling",INDEX('Materials Master'!$I$2:$I$27,MATCH($C137,'Materials Master'!$A$2:$A$27,0)),IF($B137="Paper Recycling",INDEX('Materials Master'!$J$2:$J$27,MATCH($C137,'Materials Master'!$A$2:$A$27,0)),IF($B137="Terracycle",INDEX('Materials Master'!$K$2:$K$27,MATCH($C137,'Materials Master'!$A$2:$A$27,0)),"No"))))))="Yes",1,0)</f>
        <v>0</v>
      </c>
    </row>
    <row r="138" customFormat="false" ht="15" hidden="false" customHeight="false" outlineLevel="0" collapsed="false">
      <c r="A138" s="0" t="s">
        <v>92</v>
      </c>
      <c r="B138" s="0" t="s">
        <v>108</v>
      </c>
      <c r="C138" s="0" t="s">
        <v>43</v>
      </c>
      <c r="D138" s="0" t="str">
        <f aca="false">IFERROR(INDEX('Materials Master'!$B$2:$B$27,MATCH($C138,'Materials Master'!$A$2:$A$27,0)),"")</f>
        <v>Soiled Beverage Cartons</v>
      </c>
      <c r="E138" s="0" t="str">
        <f aca="false">IFERROR(INDEX('Materials Master'!$C$2:$C$27,MATCH($C138,'Materials Master'!$A$2:$A$27,0)),"")</f>
        <v>Fibers</v>
      </c>
      <c r="F138" s="0" t="n">
        <f aca="false">IF(SUMIFS(Fact_SortedWeights!$E$2:$E$89,Fact_SortedWeights!$C$2:$C$89,$A138,Fact_SortedWeights!$B$2:$B$89,$B138)=0,0,SUMIFS(Fact_SortedWeights!$E$2:$E$89,Fact_SortedWeights!$C$2:$C$89,$A138,Fact_SortedWeights!$B$2:$B$89,$B138,Fact_SortedWeights!$D$2:$D$89,$C138)/SUMIFS(Fact_SortedWeights!$E$2:$E$89,Fact_SortedWeights!$C$2:$C$89,$A138,Fact_SortedWeights!$B$2:$B$89,$B138)*(IF($B138="Cardboard Recycling",SUMIFS(Fact_SortedWeights!$E$2:$E$89,Fact_SortedWeights!$C$2:$C$89,$A138,Fact_SortedWeights!$B$2:$B$89,$B138),SUMIFS(Fact_PreSortWeights!$E$2:$E$186,Fact_PreSortWeights!$C$2:$C$186,$A138,Fact_PreSortWeights!$B$2:$B$186,$B138))))</f>
        <v>0</v>
      </c>
      <c r="G138" s="0" t="n">
        <f aca="false">IF(AND(IF($B138="Trash",INDEX('Materials Master'!$F$2:$F$27,MATCH($C138,'Materials Master'!$A$2:$A$27,0)),IF($B138="GMPC Recycling",INDEX('Materials Master'!$G$2:$G$27,MATCH($C138,'Materials Master'!$A$2:$A$27,0)),IF($B138="Organics Recycling",INDEX('Materials Master'!$H$2:$H$27,MATCH($C138,'Materials Master'!$A$2:$A$27,0)),IF($B138="Cardboard Recycling",INDEX('Materials Master'!$I$2:$I$27,MATCH($C138,'Materials Master'!$A$2:$A$27,0)),IF($B138="Paper Recycling",INDEX('Materials Master'!$J$2:$J$27,MATCH($C138,'Materials Master'!$A$2:$A$27,0)),IF($B138="Terracycle",INDEX('Materials Master'!$K$2:$K$27,MATCH($C138,'Materials Master'!$A$2:$A$27,0)),"No"))))))="Yes",INDEX('Materials Master'!$E$2:$E$27,MATCH($C138,'Materials Master'!$A$2:$A$27,0))="Yes",$B138&lt;&gt;"Trash"),1,0)</f>
        <v>0</v>
      </c>
      <c r="H138" s="0" t="str">
        <f aca="false">INDEX('Materials Master'!$E$2:$E$27,MATCH($C138,'Materials Master'!$A$2:$A$27,0))</f>
        <v>No</v>
      </c>
      <c r="I138" s="0" t="str">
        <f aca="false">IFERROR(INDEX(Areas!$C$2:$C$6,MATCH($A138,Areas!$B$2:$B$6,0)),"")</f>
        <v>Rest of Building</v>
      </c>
      <c r="J138" s="0" t="n">
        <f aca="false">IF(IF($B138="Trash",INDEX('Materials Master'!$F$2:$F$27,MATCH($C138,'Materials Master'!$A$2:$A$27,0)),IF($B138="GMPC Recycling",INDEX('Materials Master'!$G$2:$G$27,MATCH($C138,'Materials Master'!$A$2:$A$27,0)),IF($B138="Organics Recycling",INDEX('Materials Master'!$H$2:$H$27,MATCH($C138,'Materials Master'!$A$2:$A$27,0)),IF($B138="Cardboard Recycling",INDEX('Materials Master'!$I$2:$I$27,MATCH($C138,'Materials Master'!$A$2:$A$27,0)),IF($B138="Paper Recycling",INDEX('Materials Master'!$J$2:$J$27,MATCH($C138,'Materials Master'!$A$2:$A$27,0)),IF($B138="Terracycle",INDEX('Materials Master'!$K$2:$K$27,MATCH($C138,'Materials Master'!$A$2:$A$27,0)),"No"))))))="Yes",1,0)</f>
        <v>0</v>
      </c>
    </row>
    <row r="139" customFormat="false" ht="15" hidden="false" customHeight="false" outlineLevel="0" collapsed="false">
      <c r="A139" s="0" t="s">
        <v>92</v>
      </c>
      <c r="B139" s="0" t="s">
        <v>108</v>
      </c>
      <c r="C139" s="0" t="s">
        <v>45</v>
      </c>
      <c r="D139" s="0" t="str">
        <f aca="false">IFERROR(INDEX('Materials Master'!$B$2:$B$27,MATCH($C139,'Materials Master'!$A$2:$A$27,0)),"")</f>
        <v>Paper Cups / Other Coated Paper Containers</v>
      </c>
      <c r="E139" s="0" t="str">
        <f aca="false">IFERROR(INDEX('Materials Master'!$C$2:$C$27,MATCH($C139,'Materials Master'!$A$2:$A$27,0)),"")</f>
        <v>Fibers</v>
      </c>
      <c r="F139" s="0" t="n">
        <f aca="false">IF(SUMIFS(Fact_SortedWeights!$E$2:$E$89,Fact_SortedWeights!$C$2:$C$89,$A139,Fact_SortedWeights!$B$2:$B$89,$B139)=0,0,SUMIFS(Fact_SortedWeights!$E$2:$E$89,Fact_SortedWeights!$C$2:$C$89,$A139,Fact_SortedWeights!$B$2:$B$89,$B139,Fact_SortedWeights!$D$2:$D$89,$C139)/SUMIFS(Fact_SortedWeights!$E$2:$E$89,Fact_SortedWeights!$C$2:$C$89,$A139,Fact_SortedWeights!$B$2:$B$89,$B139)*(IF($B139="Cardboard Recycling",SUMIFS(Fact_SortedWeights!$E$2:$E$89,Fact_SortedWeights!$C$2:$C$89,$A139,Fact_SortedWeights!$B$2:$B$89,$B139),SUMIFS(Fact_PreSortWeights!$E$2:$E$186,Fact_PreSortWeights!$C$2:$C$186,$A139,Fact_PreSortWeights!$B$2:$B$186,$B139))))</f>
        <v>0</v>
      </c>
      <c r="G139" s="0" t="n">
        <f aca="false">IF(AND(IF($B139="Trash",INDEX('Materials Master'!$F$2:$F$27,MATCH($C139,'Materials Master'!$A$2:$A$27,0)),IF($B139="GMPC Recycling",INDEX('Materials Master'!$G$2:$G$27,MATCH($C139,'Materials Master'!$A$2:$A$27,0)),IF($B139="Organics Recycling",INDEX('Materials Master'!$H$2:$H$27,MATCH($C139,'Materials Master'!$A$2:$A$27,0)),IF($B139="Cardboard Recycling",INDEX('Materials Master'!$I$2:$I$27,MATCH($C139,'Materials Master'!$A$2:$A$27,0)),IF($B139="Paper Recycling",INDEX('Materials Master'!$J$2:$J$27,MATCH($C139,'Materials Master'!$A$2:$A$27,0)),IF($B139="Terracycle",INDEX('Materials Master'!$K$2:$K$27,MATCH($C139,'Materials Master'!$A$2:$A$27,0)),"No"))))))="Yes",INDEX('Materials Master'!$E$2:$E$27,MATCH($C139,'Materials Master'!$A$2:$A$27,0))="Yes",$B139&lt;&gt;"Trash"),1,0)</f>
        <v>0</v>
      </c>
      <c r="H139" s="0" t="str">
        <f aca="false">INDEX('Materials Master'!$E$2:$E$27,MATCH($C139,'Materials Master'!$A$2:$A$27,0))</f>
        <v>No</v>
      </c>
      <c r="I139" s="0" t="str">
        <f aca="false">IFERROR(INDEX(Areas!$C$2:$C$6,MATCH($A139,Areas!$B$2:$B$6,0)),"")</f>
        <v>Rest of Building</v>
      </c>
      <c r="J139" s="0" t="n">
        <f aca="false">IF(IF($B139="Trash",INDEX('Materials Master'!$F$2:$F$27,MATCH($C139,'Materials Master'!$A$2:$A$27,0)),IF($B139="GMPC Recycling",INDEX('Materials Master'!$G$2:$G$27,MATCH($C139,'Materials Master'!$A$2:$A$27,0)),IF($B139="Organics Recycling",INDEX('Materials Master'!$H$2:$H$27,MATCH($C139,'Materials Master'!$A$2:$A$27,0)),IF($B139="Cardboard Recycling",INDEX('Materials Master'!$I$2:$I$27,MATCH($C139,'Materials Master'!$A$2:$A$27,0)),IF($B139="Paper Recycling",INDEX('Materials Master'!$J$2:$J$27,MATCH($C139,'Materials Master'!$A$2:$A$27,0)),IF($B139="Terracycle",INDEX('Materials Master'!$K$2:$K$27,MATCH($C139,'Materials Master'!$A$2:$A$27,0)),"No"))))))="Yes",1,0)</f>
        <v>0</v>
      </c>
    </row>
    <row r="140" customFormat="false" ht="15" hidden="false" customHeight="false" outlineLevel="0" collapsed="false">
      <c r="A140" s="0" t="s">
        <v>92</v>
      </c>
      <c r="B140" s="0" t="s">
        <v>108</v>
      </c>
      <c r="C140" s="0" t="s">
        <v>47</v>
      </c>
      <c r="D140" s="0" t="str">
        <f aca="false">IFERROR(INDEX('Materials Master'!$B$2:$B$27,MATCH($C140,'Materials Master'!$A$2:$A$27,0)),"")</f>
        <v>Glass Bottles &amp; Jars</v>
      </c>
      <c r="E140" s="0" t="str">
        <f aca="false">IFERROR(INDEX('Materials Master'!$C$2:$C$27,MATCH($C140,'Materials Master'!$A$2:$A$27,0)),"")</f>
        <v>Glass</v>
      </c>
      <c r="F140" s="0" t="n">
        <f aca="false">IF(SUMIFS(Fact_SortedWeights!$E$2:$E$89,Fact_SortedWeights!$C$2:$C$89,$A140,Fact_SortedWeights!$B$2:$B$89,$B140)=0,0,SUMIFS(Fact_SortedWeights!$E$2:$E$89,Fact_SortedWeights!$C$2:$C$89,$A140,Fact_SortedWeights!$B$2:$B$89,$B140,Fact_SortedWeights!$D$2:$D$89,$C140)/SUMIFS(Fact_SortedWeights!$E$2:$E$89,Fact_SortedWeights!$C$2:$C$89,$A140,Fact_SortedWeights!$B$2:$B$89,$B140)*(IF($B140="Cardboard Recycling",SUMIFS(Fact_SortedWeights!$E$2:$E$89,Fact_SortedWeights!$C$2:$C$89,$A140,Fact_SortedWeights!$B$2:$B$89,$B140),SUMIFS(Fact_PreSortWeights!$E$2:$E$186,Fact_PreSortWeights!$C$2:$C$186,$A140,Fact_PreSortWeights!$B$2:$B$186,$B140))))</f>
        <v>0</v>
      </c>
      <c r="G140" s="0" t="n">
        <f aca="false">IF(AND(IF($B140="Trash",INDEX('Materials Master'!$F$2:$F$27,MATCH($C140,'Materials Master'!$A$2:$A$27,0)),IF($B140="GMPC Recycling",INDEX('Materials Master'!$G$2:$G$27,MATCH($C140,'Materials Master'!$A$2:$A$27,0)),IF($B140="Organics Recycling",INDEX('Materials Master'!$H$2:$H$27,MATCH($C140,'Materials Master'!$A$2:$A$27,0)),IF($B140="Cardboard Recycling",INDEX('Materials Master'!$I$2:$I$27,MATCH($C140,'Materials Master'!$A$2:$A$27,0)),IF($B140="Paper Recycling",INDEX('Materials Master'!$J$2:$J$27,MATCH($C140,'Materials Master'!$A$2:$A$27,0)),IF($B140="Terracycle",INDEX('Materials Master'!$K$2:$K$27,MATCH($C140,'Materials Master'!$A$2:$A$27,0)),"No"))))))="Yes",INDEX('Materials Master'!$E$2:$E$27,MATCH($C140,'Materials Master'!$A$2:$A$27,0))="Yes",$B140&lt;&gt;"Trash"),1,0)</f>
        <v>0</v>
      </c>
      <c r="H140" s="0" t="str">
        <f aca="false">INDEX('Materials Master'!$E$2:$E$27,MATCH($C140,'Materials Master'!$A$2:$A$27,0))</f>
        <v>Yes</v>
      </c>
      <c r="I140" s="0" t="str">
        <f aca="false">IFERROR(INDEX(Areas!$C$2:$C$6,MATCH($A140,Areas!$B$2:$B$6,0)),"")</f>
        <v>Rest of Building</v>
      </c>
      <c r="J140" s="0" t="n">
        <f aca="false">IF(IF($B140="Trash",INDEX('Materials Master'!$F$2:$F$27,MATCH($C140,'Materials Master'!$A$2:$A$27,0)),IF($B140="GMPC Recycling",INDEX('Materials Master'!$G$2:$G$27,MATCH($C140,'Materials Master'!$A$2:$A$27,0)),IF($B140="Organics Recycling",INDEX('Materials Master'!$H$2:$H$27,MATCH($C140,'Materials Master'!$A$2:$A$27,0)),IF($B140="Cardboard Recycling",INDEX('Materials Master'!$I$2:$I$27,MATCH($C140,'Materials Master'!$A$2:$A$27,0)),IF($B140="Paper Recycling",INDEX('Materials Master'!$J$2:$J$27,MATCH($C140,'Materials Master'!$A$2:$A$27,0)),IF($B140="Terracycle",INDEX('Materials Master'!$K$2:$K$27,MATCH($C140,'Materials Master'!$A$2:$A$27,0)),"No"))))))="Yes",1,0)</f>
        <v>0</v>
      </c>
    </row>
    <row r="141" customFormat="false" ht="15" hidden="false" customHeight="false" outlineLevel="0" collapsed="false">
      <c r="A141" s="0" t="s">
        <v>92</v>
      </c>
      <c r="B141" s="0" t="s">
        <v>108</v>
      </c>
      <c r="C141" s="0" t="s">
        <v>50</v>
      </c>
      <c r="D141" s="0" t="str">
        <f aca="false">IFERROR(INDEX('Materials Master'!$B$2:$B$27,MATCH($C141,'Materials Master'!$A$2:$A$27,0)),"")</f>
        <v>Soiled Glass</v>
      </c>
      <c r="E141" s="0" t="str">
        <f aca="false">IFERROR(INDEX('Materials Master'!$C$2:$C$27,MATCH($C141,'Materials Master'!$A$2:$A$27,0)),"")</f>
        <v>Glass</v>
      </c>
      <c r="F141" s="0" t="n">
        <f aca="false">IF(SUMIFS(Fact_SortedWeights!$E$2:$E$89,Fact_SortedWeights!$C$2:$C$89,$A141,Fact_SortedWeights!$B$2:$B$89,$B141)=0,0,SUMIFS(Fact_SortedWeights!$E$2:$E$89,Fact_SortedWeights!$C$2:$C$89,$A141,Fact_SortedWeights!$B$2:$B$89,$B141,Fact_SortedWeights!$D$2:$D$89,$C141)/SUMIFS(Fact_SortedWeights!$E$2:$E$89,Fact_SortedWeights!$C$2:$C$89,$A141,Fact_SortedWeights!$B$2:$B$89,$B141)*(IF($B141="Cardboard Recycling",SUMIFS(Fact_SortedWeights!$E$2:$E$89,Fact_SortedWeights!$C$2:$C$89,$A141,Fact_SortedWeights!$B$2:$B$89,$B141),SUMIFS(Fact_PreSortWeights!$E$2:$E$186,Fact_PreSortWeights!$C$2:$C$186,$A141,Fact_PreSortWeights!$B$2:$B$186,$B141))))</f>
        <v>0</v>
      </c>
      <c r="G141" s="0" t="n">
        <f aca="false">IF(AND(IF($B141="Trash",INDEX('Materials Master'!$F$2:$F$27,MATCH($C141,'Materials Master'!$A$2:$A$27,0)),IF($B141="GMPC Recycling",INDEX('Materials Master'!$G$2:$G$27,MATCH($C141,'Materials Master'!$A$2:$A$27,0)),IF($B141="Organics Recycling",INDEX('Materials Master'!$H$2:$H$27,MATCH($C141,'Materials Master'!$A$2:$A$27,0)),IF($B141="Cardboard Recycling",INDEX('Materials Master'!$I$2:$I$27,MATCH($C141,'Materials Master'!$A$2:$A$27,0)),IF($B141="Paper Recycling",INDEX('Materials Master'!$J$2:$J$27,MATCH($C141,'Materials Master'!$A$2:$A$27,0)),IF($B141="Terracycle",INDEX('Materials Master'!$K$2:$K$27,MATCH($C141,'Materials Master'!$A$2:$A$27,0)),"No"))))))="Yes",INDEX('Materials Master'!$E$2:$E$27,MATCH($C141,'Materials Master'!$A$2:$A$27,0))="Yes",$B141&lt;&gt;"Trash"),1,0)</f>
        <v>0</v>
      </c>
      <c r="H141" s="0" t="str">
        <f aca="false">INDEX('Materials Master'!$E$2:$E$27,MATCH($C141,'Materials Master'!$A$2:$A$27,0))</f>
        <v>No</v>
      </c>
      <c r="I141" s="0" t="str">
        <f aca="false">IFERROR(INDEX(Areas!$C$2:$C$6,MATCH($A141,Areas!$B$2:$B$6,0)),"")</f>
        <v>Rest of Building</v>
      </c>
      <c r="J141" s="0" t="n">
        <f aca="false">IF(IF($B141="Trash",INDEX('Materials Master'!$F$2:$F$27,MATCH($C141,'Materials Master'!$A$2:$A$27,0)),IF($B141="GMPC Recycling",INDEX('Materials Master'!$G$2:$G$27,MATCH($C141,'Materials Master'!$A$2:$A$27,0)),IF($B141="Organics Recycling",INDEX('Materials Master'!$H$2:$H$27,MATCH($C141,'Materials Master'!$A$2:$A$27,0)),IF($B141="Cardboard Recycling",INDEX('Materials Master'!$I$2:$I$27,MATCH($C141,'Materials Master'!$A$2:$A$27,0)),IF($B141="Paper Recycling",INDEX('Materials Master'!$J$2:$J$27,MATCH($C141,'Materials Master'!$A$2:$A$27,0)),IF($B141="Terracycle",INDEX('Materials Master'!$K$2:$K$27,MATCH($C141,'Materials Master'!$A$2:$A$27,0)),"No"))))))="Yes",1,0)</f>
        <v>0</v>
      </c>
    </row>
    <row r="142" customFormat="false" ht="15" hidden="false" customHeight="false" outlineLevel="0" collapsed="false">
      <c r="A142" s="0" t="s">
        <v>92</v>
      </c>
      <c r="B142" s="0" t="s">
        <v>108</v>
      </c>
      <c r="C142" s="0" t="s">
        <v>52</v>
      </c>
      <c r="D142" s="0" t="str">
        <f aca="false">IFERROR(INDEX('Materials Master'!$B$2:$B$27,MATCH($C142,'Materials Master'!$A$2:$A$27,0)),"")</f>
        <v>Aluminum &amp; Bi-Metal Containers</v>
      </c>
      <c r="E142" s="0" t="str">
        <f aca="false">IFERROR(INDEX('Materials Master'!$C$2:$C$27,MATCH($C142,'Materials Master'!$A$2:$A$27,0)),"")</f>
        <v>Metals</v>
      </c>
      <c r="F142" s="0" t="n">
        <f aca="false">IF(SUMIFS(Fact_SortedWeights!$E$2:$E$89,Fact_SortedWeights!$C$2:$C$89,$A142,Fact_SortedWeights!$B$2:$B$89,$B142)=0,0,SUMIFS(Fact_SortedWeights!$E$2:$E$89,Fact_SortedWeights!$C$2:$C$89,$A142,Fact_SortedWeights!$B$2:$B$89,$B142,Fact_SortedWeights!$D$2:$D$89,$C142)/SUMIFS(Fact_SortedWeights!$E$2:$E$89,Fact_SortedWeights!$C$2:$C$89,$A142,Fact_SortedWeights!$B$2:$B$89,$B142)*(IF($B142="Cardboard Recycling",SUMIFS(Fact_SortedWeights!$E$2:$E$89,Fact_SortedWeights!$C$2:$C$89,$A142,Fact_SortedWeights!$B$2:$B$89,$B142),SUMIFS(Fact_PreSortWeights!$E$2:$E$186,Fact_PreSortWeights!$C$2:$C$186,$A142,Fact_PreSortWeights!$B$2:$B$186,$B142))))</f>
        <v>0</v>
      </c>
      <c r="G142" s="0" t="n">
        <f aca="false">IF(AND(IF($B142="Trash",INDEX('Materials Master'!$F$2:$F$27,MATCH($C142,'Materials Master'!$A$2:$A$27,0)),IF($B142="GMPC Recycling",INDEX('Materials Master'!$G$2:$G$27,MATCH($C142,'Materials Master'!$A$2:$A$27,0)),IF($B142="Organics Recycling",INDEX('Materials Master'!$H$2:$H$27,MATCH($C142,'Materials Master'!$A$2:$A$27,0)),IF($B142="Cardboard Recycling",INDEX('Materials Master'!$I$2:$I$27,MATCH($C142,'Materials Master'!$A$2:$A$27,0)),IF($B142="Paper Recycling",INDEX('Materials Master'!$J$2:$J$27,MATCH($C142,'Materials Master'!$A$2:$A$27,0)),IF($B142="Terracycle",INDEX('Materials Master'!$K$2:$K$27,MATCH($C142,'Materials Master'!$A$2:$A$27,0)),"No"))))))="Yes",INDEX('Materials Master'!$E$2:$E$27,MATCH($C142,'Materials Master'!$A$2:$A$27,0))="Yes",$B142&lt;&gt;"Trash"),1,0)</f>
        <v>0</v>
      </c>
      <c r="H142" s="0" t="str">
        <f aca="false">INDEX('Materials Master'!$E$2:$E$27,MATCH($C142,'Materials Master'!$A$2:$A$27,0))</f>
        <v>Yes</v>
      </c>
      <c r="I142" s="0" t="str">
        <f aca="false">IFERROR(INDEX(Areas!$C$2:$C$6,MATCH($A142,Areas!$B$2:$B$6,0)),"")</f>
        <v>Rest of Building</v>
      </c>
      <c r="J142" s="0" t="n">
        <f aca="false">IF(IF($B142="Trash",INDEX('Materials Master'!$F$2:$F$27,MATCH($C142,'Materials Master'!$A$2:$A$27,0)),IF($B142="GMPC Recycling",INDEX('Materials Master'!$G$2:$G$27,MATCH($C142,'Materials Master'!$A$2:$A$27,0)),IF($B142="Organics Recycling",INDEX('Materials Master'!$H$2:$H$27,MATCH($C142,'Materials Master'!$A$2:$A$27,0)),IF($B142="Cardboard Recycling",INDEX('Materials Master'!$I$2:$I$27,MATCH($C142,'Materials Master'!$A$2:$A$27,0)),IF($B142="Paper Recycling",INDEX('Materials Master'!$J$2:$J$27,MATCH($C142,'Materials Master'!$A$2:$A$27,0)),IF($B142="Terracycle",INDEX('Materials Master'!$K$2:$K$27,MATCH($C142,'Materials Master'!$A$2:$A$27,0)),"No"))))))="Yes",1,0)</f>
        <v>0</v>
      </c>
    </row>
    <row r="143" customFormat="false" ht="15" hidden="false" customHeight="false" outlineLevel="0" collapsed="false">
      <c r="A143" s="0" t="s">
        <v>92</v>
      </c>
      <c r="B143" s="0" t="s">
        <v>108</v>
      </c>
      <c r="C143" s="0" t="s">
        <v>55</v>
      </c>
      <c r="D143" s="0" t="str">
        <f aca="false">IFERROR(INDEX('Materials Master'!$B$2:$B$27,MATCH($C143,'Materials Master'!$A$2:$A$27,0)),"")</f>
        <v>Soiled Metals</v>
      </c>
      <c r="E143" s="0" t="str">
        <f aca="false">IFERROR(INDEX('Materials Master'!$C$2:$C$27,MATCH($C143,'Materials Master'!$A$2:$A$27,0)),"")</f>
        <v>Metals</v>
      </c>
      <c r="F143" s="0" t="n">
        <f aca="false">IF(SUMIFS(Fact_SortedWeights!$E$2:$E$89,Fact_SortedWeights!$C$2:$C$89,$A143,Fact_SortedWeights!$B$2:$B$89,$B143)=0,0,SUMIFS(Fact_SortedWeights!$E$2:$E$89,Fact_SortedWeights!$C$2:$C$89,$A143,Fact_SortedWeights!$B$2:$B$89,$B143,Fact_SortedWeights!$D$2:$D$89,$C143)/SUMIFS(Fact_SortedWeights!$E$2:$E$89,Fact_SortedWeights!$C$2:$C$89,$A143,Fact_SortedWeights!$B$2:$B$89,$B143)*(IF($B143="Cardboard Recycling",SUMIFS(Fact_SortedWeights!$E$2:$E$89,Fact_SortedWeights!$C$2:$C$89,$A143,Fact_SortedWeights!$B$2:$B$89,$B143),SUMIFS(Fact_PreSortWeights!$E$2:$E$186,Fact_PreSortWeights!$C$2:$C$186,$A143,Fact_PreSortWeights!$B$2:$B$186,$B143))))</f>
        <v>0</v>
      </c>
      <c r="G143" s="0" t="n">
        <f aca="false">IF(AND(IF($B143="Trash",INDEX('Materials Master'!$F$2:$F$27,MATCH($C143,'Materials Master'!$A$2:$A$27,0)),IF($B143="GMPC Recycling",INDEX('Materials Master'!$G$2:$G$27,MATCH($C143,'Materials Master'!$A$2:$A$27,0)),IF($B143="Organics Recycling",INDEX('Materials Master'!$H$2:$H$27,MATCH($C143,'Materials Master'!$A$2:$A$27,0)),IF($B143="Cardboard Recycling",INDEX('Materials Master'!$I$2:$I$27,MATCH($C143,'Materials Master'!$A$2:$A$27,0)),IF($B143="Paper Recycling",INDEX('Materials Master'!$J$2:$J$27,MATCH($C143,'Materials Master'!$A$2:$A$27,0)),IF($B143="Terracycle",INDEX('Materials Master'!$K$2:$K$27,MATCH($C143,'Materials Master'!$A$2:$A$27,0)),"No"))))))="Yes",INDEX('Materials Master'!$E$2:$E$27,MATCH($C143,'Materials Master'!$A$2:$A$27,0))="Yes",$B143&lt;&gt;"Trash"),1,0)</f>
        <v>0</v>
      </c>
      <c r="H143" s="0" t="str">
        <f aca="false">INDEX('Materials Master'!$E$2:$E$27,MATCH($C143,'Materials Master'!$A$2:$A$27,0))</f>
        <v>No</v>
      </c>
      <c r="I143" s="0" t="str">
        <f aca="false">IFERROR(INDEX(Areas!$C$2:$C$6,MATCH($A143,Areas!$B$2:$B$6,0)),"")</f>
        <v>Rest of Building</v>
      </c>
      <c r="J143" s="0" t="n">
        <f aca="false">IF(IF($B143="Trash",INDEX('Materials Master'!$F$2:$F$27,MATCH($C143,'Materials Master'!$A$2:$A$27,0)),IF($B143="GMPC Recycling",INDEX('Materials Master'!$G$2:$G$27,MATCH($C143,'Materials Master'!$A$2:$A$27,0)),IF($B143="Organics Recycling",INDEX('Materials Master'!$H$2:$H$27,MATCH($C143,'Materials Master'!$A$2:$A$27,0)),IF($B143="Cardboard Recycling",INDEX('Materials Master'!$I$2:$I$27,MATCH($C143,'Materials Master'!$A$2:$A$27,0)),IF($B143="Paper Recycling",INDEX('Materials Master'!$J$2:$J$27,MATCH($C143,'Materials Master'!$A$2:$A$27,0)),IF($B143="Terracycle",INDEX('Materials Master'!$K$2:$K$27,MATCH($C143,'Materials Master'!$A$2:$A$27,0)),"No"))))))="Yes",1,0)</f>
        <v>0</v>
      </c>
    </row>
    <row r="144" customFormat="false" ht="15" hidden="false" customHeight="false" outlineLevel="0" collapsed="false">
      <c r="A144" s="0" t="s">
        <v>92</v>
      </c>
      <c r="B144" s="0" t="s">
        <v>108</v>
      </c>
      <c r="C144" s="0" t="s">
        <v>57</v>
      </c>
      <c r="D144" s="0" t="str">
        <f aca="false">IFERROR(INDEX('Materials Master'!$B$2:$B$27,MATCH($C144,'Materials Master'!$A$2:$A$27,0)),"")</f>
        <v>Rigid Plastics (1-6)</v>
      </c>
      <c r="E144" s="0" t="str">
        <f aca="false">IFERROR(INDEX('Materials Master'!$C$2:$C$27,MATCH($C144,'Materials Master'!$A$2:$A$27,0)),"")</f>
        <v>Plastics</v>
      </c>
      <c r="F144" s="0" t="n">
        <f aca="false">IF(SUMIFS(Fact_SortedWeights!$E$2:$E$89,Fact_SortedWeights!$C$2:$C$89,$A144,Fact_SortedWeights!$B$2:$B$89,$B144)=0,0,SUMIFS(Fact_SortedWeights!$E$2:$E$89,Fact_SortedWeights!$C$2:$C$89,$A144,Fact_SortedWeights!$B$2:$B$89,$B144,Fact_SortedWeights!$D$2:$D$89,$C144)/SUMIFS(Fact_SortedWeights!$E$2:$E$89,Fact_SortedWeights!$C$2:$C$89,$A144,Fact_SortedWeights!$B$2:$B$89,$B144)*(IF($B144="Cardboard Recycling",SUMIFS(Fact_SortedWeights!$E$2:$E$89,Fact_SortedWeights!$C$2:$C$89,$A144,Fact_SortedWeights!$B$2:$B$89,$B144),SUMIFS(Fact_PreSortWeights!$E$2:$E$186,Fact_PreSortWeights!$C$2:$C$186,$A144,Fact_PreSortWeights!$B$2:$B$186,$B144))))</f>
        <v>0</v>
      </c>
      <c r="G144" s="0" t="n">
        <f aca="false">IF(AND(IF($B144="Trash",INDEX('Materials Master'!$F$2:$F$27,MATCH($C144,'Materials Master'!$A$2:$A$27,0)),IF($B144="GMPC Recycling",INDEX('Materials Master'!$G$2:$G$27,MATCH($C144,'Materials Master'!$A$2:$A$27,0)),IF($B144="Organics Recycling",INDEX('Materials Master'!$H$2:$H$27,MATCH($C144,'Materials Master'!$A$2:$A$27,0)),IF($B144="Cardboard Recycling",INDEX('Materials Master'!$I$2:$I$27,MATCH($C144,'Materials Master'!$A$2:$A$27,0)),IF($B144="Paper Recycling",INDEX('Materials Master'!$J$2:$J$27,MATCH($C144,'Materials Master'!$A$2:$A$27,0)),IF($B144="Terracycle",INDEX('Materials Master'!$K$2:$K$27,MATCH($C144,'Materials Master'!$A$2:$A$27,0)),"No"))))))="Yes",INDEX('Materials Master'!$E$2:$E$27,MATCH($C144,'Materials Master'!$A$2:$A$27,0))="Yes",$B144&lt;&gt;"Trash"),1,0)</f>
        <v>0</v>
      </c>
      <c r="H144" s="0" t="str">
        <f aca="false">INDEX('Materials Master'!$E$2:$E$27,MATCH($C144,'Materials Master'!$A$2:$A$27,0))</f>
        <v>Yes</v>
      </c>
      <c r="I144" s="0" t="str">
        <f aca="false">IFERROR(INDEX(Areas!$C$2:$C$6,MATCH($A144,Areas!$B$2:$B$6,0)),"")</f>
        <v>Rest of Building</v>
      </c>
      <c r="J144" s="0" t="n">
        <f aca="false">IF(IF($B144="Trash",INDEX('Materials Master'!$F$2:$F$27,MATCH($C144,'Materials Master'!$A$2:$A$27,0)),IF($B144="GMPC Recycling",INDEX('Materials Master'!$G$2:$G$27,MATCH($C144,'Materials Master'!$A$2:$A$27,0)),IF($B144="Organics Recycling",INDEX('Materials Master'!$H$2:$H$27,MATCH($C144,'Materials Master'!$A$2:$A$27,0)),IF($B144="Cardboard Recycling",INDEX('Materials Master'!$I$2:$I$27,MATCH($C144,'Materials Master'!$A$2:$A$27,0)),IF($B144="Paper Recycling",INDEX('Materials Master'!$J$2:$J$27,MATCH($C144,'Materials Master'!$A$2:$A$27,0)),IF($B144="Terracycle",INDEX('Materials Master'!$K$2:$K$27,MATCH($C144,'Materials Master'!$A$2:$A$27,0)),"No"))))))="Yes",1,0)</f>
        <v>0</v>
      </c>
    </row>
    <row r="145" customFormat="false" ht="15" hidden="false" customHeight="false" outlineLevel="0" collapsed="false">
      <c r="A145" s="0" t="s">
        <v>92</v>
      </c>
      <c r="B145" s="0" t="s">
        <v>108</v>
      </c>
      <c r="C145" s="0" t="s">
        <v>60</v>
      </c>
      <c r="D145" s="0" t="str">
        <f aca="false">IFERROR(INDEX('Materials Master'!$B$2:$B$27,MATCH($C145,'Materials Master'!$A$2:$A$27,0)),"")</f>
        <v>Soiled Rigid Plastics</v>
      </c>
      <c r="E145" s="0" t="str">
        <f aca="false">IFERROR(INDEX('Materials Master'!$C$2:$C$27,MATCH($C145,'Materials Master'!$A$2:$A$27,0)),"")</f>
        <v>Plastics</v>
      </c>
      <c r="F145" s="0" t="n">
        <f aca="false">IF(SUMIFS(Fact_SortedWeights!$E$2:$E$89,Fact_SortedWeights!$C$2:$C$89,$A145,Fact_SortedWeights!$B$2:$B$89,$B145)=0,0,SUMIFS(Fact_SortedWeights!$E$2:$E$89,Fact_SortedWeights!$C$2:$C$89,$A145,Fact_SortedWeights!$B$2:$B$89,$B145,Fact_SortedWeights!$D$2:$D$89,$C145)/SUMIFS(Fact_SortedWeights!$E$2:$E$89,Fact_SortedWeights!$C$2:$C$89,$A145,Fact_SortedWeights!$B$2:$B$89,$B145)*(IF($B145="Cardboard Recycling",SUMIFS(Fact_SortedWeights!$E$2:$E$89,Fact_SortedWeights!$C$2:$C$89,$A145,Fact_SortedWeights!$B$2:$B$89,$B145),SUMIFS(Fact_PreSortWeights!$E$2:$E$186,Fact_PreSortWeights!$C$2:$C$186,$A145,Fact_PreSortWeights!$B$2:$B$186,$B145))))</f>
        <v>0</v>
      </c>
      <c r="G145" s="0" t="n">
        <f aca="false">IF(AND(IF($B145="Trash",INDEX('Materials Master'!$F$2:$F$27,MATCH($C145,'Materials Master'!$A$2:$A$27,0)),IF($B145="GMPC Recycling",INDEX('Materials Master'!$G$2:$G$27,MATCH($C145,'Materials Master'!$A$2:$A$27,0)),IF($B145="Organics Recycling",INDEX('Materials Master'!$H$2:$H$27,MATCH($C145,'Materials Master'!$A$2:$A$27,0)),IF($B145="Cardboard Recycling",INDEX('Materials Master'!$I$2:$I$27,MATCH($C145,'Materials Master'!$A$2:$A$27,0)),IF($B145="Paper Recycling",INDEX('Materials Master'!$J$2:$J$27,MATCH($C145,'Materials Master'!$A$2:$A$27,0)),IF($B145="Terracycle",INDEX('Materials Master'!$K$2:$K$27,MATCH($C145,'Materials Master'!$A$2:$A$27,0)),"No"))))))="Yes",INDEX('Materials Master'!$E$2:$E$27,MATCH($C145,'Materials Master'!$A$2:$A$27,0))="Yes",$B145&lt;&gt;"Trash"),1,0)</f>
        <v>0</v>
      </c>
      <c r="H145" s="0" t="str">
        <f aca="false">INDEX('Materials Master'!$E$2:$E$27,MATCH($C145,'Materials Master'!$A$2:$A$27,0))</f>
        <v>No</v>
      </c>
      <c r="I145" s="0" t="str">
        <f aca="false">IFERROR(INDEX(Areas!$C$2:$C$6,MATCH($A145,Areas!$B$2:$B$6,0)),"")</f>
        <v>Rest of Building</v>
      </c>
      <c r="J145" s="0" t="n">
        <f aca="false">IF(IF($B145="Trash",INDEX('Materials Master'!$F$2:$F$27,MATCH($C145,'Materials Master'!$A$2:$A$27,0)),IF($B145="GMPC Recycling",INDEX('Materials Master'!$G$2:$G$27,MATCH($C145,'Materials Master'!$A$2:$A$27,0)),IF($B145="Organics Recycling",INDEX('Materials Master'!$H$2:$H$27,MATCH($C145,'Materials Master'!$A$2:$A$27,0)),IF($B145="Cardboard Recycling",INDEX('Materials Master'!$I$2:$I$27,MATCH($C145,'Materials Master'!$A$2:$A$27,0)),IF($B145="Paper Recycling",INDEX('Materials Master'!$J$2:$J$27,MATCH($C145,'Materials Master'!$A$2:$A$27,0)),IF($B145="Terracycle",INDEX('Materials Master'!$K$2:$K$27,MATCH($C145,'Materials Master'!$A$2:$A$27,0)),"No"))))))="Yes",1,0)</f>
        <v>0</v>
      </c>
    </row>
    <row r="146" customFormat="false" ht="15" hidden="false" customHeight="false" outlineLevel="0" collapsed="false">
      <c r="A146" s="0" t="s">
        <v>92</v>
      </c>
      <c r="B146" s="0" t="s">
        <v>108</v>
      </c>
      <c r="C146" s="0" t="s">
        <v>62</v>
      </c>
      <c r="D146" s="0" t="str">
        <f aca="false">IFERROR(INDEX('Materials Master'!$B$2:$B$27,MATCH($C146,'Materials Master'!$A$2:$A$27,0)),"")</f>
        <v>Film Plastics</v>
      </c>
      <c r="E146" s="0" t="str">
        <f aca="false">IFERROR(INDEX('Materials Master'!$C$2:$C$27,MATCH($C146,'Materials Master'!$A$2:$A$27,0)),"")</f>
        <v>Plastics</v>
      </c>
      <c r="F146" s="0" t="n">
        <f aca="false">IF(SUMIFS(Fact_SortedWeights!$E$2:$E$89,Fact_SortedWeights!$C$2:$C$89,$A146,Fact_SortedWeights!$B$2:$B$89,$B146)=0,0,SUMIFS(Fact_SortedWeights!$E$2:$E$89,Fact_SortedWeights!$C$2:$C$89,$A146,Fact_SortedWeights!$B$2:$B$89,$B146,Fact_SortedWeights!$D$2:$D$89,$C146)/SUMIFS(Fact_SortedWeights!$E$2:$E$89,Fact_SortedWeights!$C$2:$C$89,$A146,Fact_SortedWeights!$B$2:$B$89,$B146)*(IF($B146="Cardboard Recycling",SUMIFS(Fact_SortedWeights!$E$2:$E$89,Fact_SortedWeights!$C$2:$C$89,$A146,Fact_SortedWeights!$B$2:$B$89,$B146),SUMIFS(Fact_PreSortWeights!$E$2:$E$186,Fact_PreSortWeights!$C$2:$C$186,$A146,Fact_PreSortWeights!$B$2:$B$186,$B146))))</f>
        <v>0.0156341606410006</v>
      </c>
      <c r="G146" s="0" t="n">
        <f aca="false">IF(AND(IF($B146="Trash",INDEX('Materials Master'!$F$2:$F$27,MATCH($C146,'Materials Master'!$A$2:$A$27,0)),IF($B146="GMPC Recycling",INDEX('Materials Master'!$G$2:$G$27,MATCH($C146,'Materials Master'!$A$2:$A$27,0)),IF($B146="Organics Recycling",INDEX('Materials Master'!$H$2:$H$27,MATCH($C146,'Materials Master'!$A$2:$A$27,0)),IF($B146="Cardboard Recycling",INDEX('Materials Master'!$I$2:$I$27,MATCH($C146,'Materials Master'!$A$2:$A$27,0)),IF($B146="Paper Recycling",INDEX('Materials Master'!$J$2:$J$27,MATCH($C146,'Materials Master'!$A$2:$A$27,0)),IF($B146="Terracycle",INDEX('Materials Master'!$K$2:$K$27,MATCH($C146,'Materials Master'!$A$2:$A$27,0)),"No"))))))="Yes",INDEX('Materials Master'!$E$2:$E$27,MATCH($C146,'Materials Master'!$A$2:$A$27,0))="Yes",$B146&lt;&gt;"Trash"),1,0)</f>
        <v>0</v>
      </c>
      <c r="H146" s="0" t="str">
        <f aca="false">INDEX('Materials Master'!$E$2:$E$27,MATCH($C146,'Materials Master'!$A$2:$A$27,0))</f>
        <v>No</v>
      </c>
      <c r="I146" s="0" t="str">
        <f aca="false">IFERROR(INDEX(Areas!$C$2:$C$6,MATCH($A146,Areas!$B$2:$B$6,0)),"")</f>
        <v>Rest of Building</v>
      </c>
      <c r="J146" s="0" t="n">
        <f aca="false">IF(IF($B146="Trash",INDEX('Materials Master'!$F$2:$F$27,MATCH($C146,'Materials Master'!$A$2:$A$27,0)),IF($B146="GMPC Recycling",INDEX('Materials Master'!$G$2:$G$27,MATCH($C146,'Materials Master'!$A$2:$A$27,0)),IF($B146="Organics Recycling",INDEX('Materials Master'!$H$2:$H$27,MATCH($C146,'Materials Master'!$A$2:$A$27,0)),IF($B146="Cardboard Recycling",INDEX('Materials Master'!$I$2:$I$27,MATCH($C146,'Materials Master'!$A$2:$A$27,0)),IF($B146="Paper Recycling",INDEX('Materials Master'!$J$2:$J$27,MATCH($C146,'Materials Master'!$A$2:$A$27,0)),IF($B146="Terracycle",INDEX('Materials Master'!$K$2:$K$27,MATCH($C146,'Materials Master'!$A$2:$A$27,0)),"No"))))))="Yes",1,0)</f>
        <v>0</v>
      </c>
    </row>
    <row r="147" customFormat="false" ht="15" hidden="false" customHeight="false" outlineLevel="0" collapsed="false">
      <c r="A147" s="0" t="s">
        <v>92</v>
      </c>
      <c r="B147" s="0" t="s">
        <v>108</v>
      </c>
      <c r="C147" s="0" t="s">
        <v>64</v>
      </c>
      <c r="D147" s="0" t="str">
        <f aca="false">IFERROR(INDEX('Materials Master'!$B$2:$B$27,MATCH($C147,'Materials Master'!$A$2:$A$27,0)),"")</f>
        <v>Foams</v>
      </c>
      <c r="E147" s="0" t="str">
        <f aca="false">IFERROR(INDEX('Materials Master'!$C$2:$C$27,MATCH($C147,'Materials Master'!$A$2:$A$27,0)),"")</f>
        <v>Plastics</v>
      </c>
      <c r="F147" s="0" t="n">
        <f aca="false">IF(SUMIFS(Fact_SortedWeights!$E$2:$E$89,Fact_SortedWeights!$C$2:$C$89,$A147,Fact_SortedWeights!$B$2:$B$89,$B147)=0,0,SUMIFS(Fact_SortedWeights!$E$2:$E$89,Fact_SortedWeights!$C$2:$C$89,$A147,Fact_SortedWeights!$B$2:$B$89,$B147,Fact_SortedWeights!$D$2:$D$89,$C147)/SUMIFS(Fact_SortedWeights!$E$2:$E$89,Fact_SortedWeights!$C$2:$C$89,$A147,Fact_SortedWeights!$B$2:$B$89,$B147)*(IF($B147="Cardboard Recycling",SUMIFS(Fact_SortedWeights!$E$2:$E$89,Fact_SortedWeights!$C$2:$C$89,$A147,Fact_SortedWeights!$B$2:$B$89,$B147),SUMIFS(Fact_PreSortWeights!$E$2:$E$186,Fact_PreSortWeights!$C$2:$C$186,$A147,Fact_PreSortWeights!$B$2:$B$186,$B147))))</f>
        <v>0</v>
      </c>
      <c r="G147" s="0" t="n">
        <f aca="false">IF(AND(IF($B147="Trash",INDEX('Materials Master'!$F$2:$F$27,MATCH($C147,'Materials Master'!$A$2:$A$27,0)),IF($B147="GMPC Recycling",INDEX('Materials Master'!$G$2:$G$27,MATCH($C147,'Materials Master'!$A$2:$A$27,0)),IF($B147="Organics Recycling",INDEX('Materials Master'!$H$2:$H$27,MATCH($C147,'Materials Master'!$A$2:$A$27,0)),IF($B147="Cardboard Recycling",INDEX('Materials Master'!$I$2:$I$27,MATCH($C147,'Materials Master'!$A$2:$A$27,0)),IF($B147="Paper Recycling",INDEX('Materials Master'!$J$2:$J$27,MATCH($C147,'Materials Master'!$A$2:$A$27,0)),IF($B147="Terracycle",INDEX('Materials Master'!$K$2:$K$27,MATCH($C147,'Materials Master'!$A$2:$A$27,0)),"No"))))))="Yes",INDEX('Materials Master'!$E$2:$E$27,MATCH($C147,'Materials Master'!$A$2:$A$27,0))="Yes",$B147&lt;&gt;"Trash"),1,0)</f>
        <v>0</v>
      </c>
      <c r="H147" s="0" t="str">
        <f aca="false">INDEX('Materials Master'!$E$2:$E$27,MATCH($C147,'Materials Master'!$A$2:$A$27,0))</f>
        <v>No</v>
      </c>
      <c r="I147" s="0" t="str">
        <f aca="false">IFERROR(INDEX(Areas!$C$2:$C$6,MATCH($A147,Areas!$B$2:$B$6,0)),"")</f>
        <v>Rest of Building</v>
      </c>
      <c r="J147" s="0" t="n">
        <f aca="false">IF(IF($B147="Trash",INDEX('Materials Master'!$F$2:$F$27,MATCH($C147,'Materials Master'!$A$2:$A$27,0)),IF($B147="GMPC Recycling",INDEX('Materials Master'!$G$2:$G$27,MATCH($C147,'Materials Master'!$A$2:$A$27,0)),IF($B147="Organics Recycling",INDEX('Materials Master'!$H$2:$H$27,MATCH($C147,'Materials Master'!$A$2:$A$27,0)),IF($B147="Cardboard Recycling",INDEX('Materials Master'!$I$2:$I$27,MATCH($C147,'Materials Master'!$A$2:$A$27,0)),IF($B147="Paper Recycling",INDEX('Materials Master'!$J$2:$J$27,MATCH($C147,'Materials Master'!$A$2:$A$27,0)),IF($B147="Terracycle",INDEX('Materials Master'!$K$2:$K$27,MATCH($C147,'Materials Master'!$A$2:$A$27,0)),"No"))))))="Yes",1,0)</f>
        <v>0</v>
      </c>
    </row>
    <row r="148" customFormat="false" ht="15" hidden="false" customHeight="false" outlineLevel="0" collapsed="false">
      <c r="A148" s="0" t="s">
        <v>92</v>
      </c>
      <c r="B148" s="0" t="s">
        <v>108</v>
      </c>
      <c r="C148" s="0" t="s">
        <v>66</v>
      </c>
      <c r="D148" s="0" t="str">
        <f aca="false">IFERROR(INDEX('Materials Master'!$B$2:$B$27,MATCH($C148,'Materials Master'!$A$2:$A$27,0)),"")</f>
        <v>Food Waste</v>
      </c>
      <c r="E148" s="0" t="str">
        <f aca="false">IFERROR(INDEX('Materials Master'!$C$2:$C$27,MATCH($C148,'Materials Master'!$A$2:$A$27,0)),"")</f>
        <v>Organics</v>
      </c>
      <c r="F148" s="0" t="n">
        <f aca="false">IF(SUMIFS(Fact_SortedWeights!$E$2:$E$89,Fact_SortedWeights!$C$2:$C$89,$A148,Fact_SortedWeights!$B$2:$B$89,$B148)=0,0,SUMIFS(Fact_SortedWeights!$E$2:$E$89,Fact_SortedWeights!$C$2:$C$89,$A148,Fact_SortedWeights!$B$2:$B$89,$B148,Fact_SortedWeights!$D$2:$D$89,$C148)/SUMIFS(Fact_SortedWeights!$E$2:$E$89,Fact_SortedWeights!$C$2:$C$89,$A148,Fact_SortedWeights!$B$2:$B$89,$B148)*(IF($B148="Cardboard Recycling",SUMIFS(Fact_SortedWeights!$E$2:$E$89,Fact_SortedWeights!$C$2:$C$89,$A148,Fact_SortedWeights!$B$2:$B$89,$B148),SUMIFS(Fact_PreSortWeights!$E$2:$E$186,Fact_PreSortWeights!$C$2:$C$186,$A148,Fact_PreSortWeights!$B$2:$B$186,$B148))))</f>
        <v>0.0844244674614032</v>
      </c>
      <c r="G148" s="0" t="n">
        <f aca="false">IF(AND(IF($B148="Trash",INDEX('Materials Master'!$F$2:$F$27,MATCH($C148,'Materials Master'!$A$2:$A$27,0)),IF($B148="GMPC Recycling",INDEX('Materials Master'!$G$2:$G$27,MATCH($C148,'Materials Master'!$A$2:$A$27,0)),IF($B148="Organics Recycling",INDEX('Materials Master'!$H$2:$H$27,MATCH($C148,'Materials Master'!$A$2:$A$27,0)),IF($B148="Cardboard Recycling",INDEX('Materials Master'!$I$2:$I$27,MATCH($C148,'Materials Master'!$A$2:$A$27,0)),IF($B148="Paper Recycling",INDEX('Materials Master'!$J$2:$J$27,MATCH($C148,'Materials Master'!$A$2:$A$27,0)),IF($B148="Terracycle",INDEX('Materials Master'!$K$2:$K$27,MATCH($C148,'Materials Master'!$A$2:$A$27,0)),"No"))))))="Yes",INDEX('Materials Master'!$E$2:$E$27,MATCH($C148,'Materials Master'!$A$2:$A$27,0))="Yes",$B148&lt;&gt;"Trash"),1,0)</f>
        <v>0</v>
      </c>
      <c r="H148" s="0" t="str">
        <f aca="false">INDEX('Materials Master'!$E$2:$E$27,MATCH($C148,'Materials Master'!$A$2:$A$27,0))</f>
        <v>Yes</v>
      </c>
      <c r="I148" s="0" t="str">
        <f aca="false">IFERROR(INDEX(Areas!$C$2:$C$6,MATCH($A148,Areas!$B$2:$B$6,0)),"")</f>
        <v>Rest of Building</v>
      </c>
      <c r="J148" s="0" t="n">
        <f aca="false">IF(IF($B148="Trash",INDEX('Materials Master'!$F$2:$F$27,MATCH($C148,'Materials Master'!$A$2:$A$27,0)),IF($B148="GMPC Recycling",INDEX('Materials Master'!$G$2:$G$27,MATCH($C148,'Materials Master'!$A$2:$A$27,0)),IF($B148="Organics Recycling",INDEX('Materials Master'!$H$2:$H$27,MATCH($C148,'Materials Master'!$A$2:$A$27,0)),IF($B148="Cardboard Recycling",INDEX('Materials Master'!$I$2:$I$27,MATCH($C148,'Materials Master'!$A$2:$A$27,0)),IF($B148="Paper Recycling",INDEX('Materials Master'!$J$2:$J$27,MATCH($C148,'Materials Master'!$A$2:$A$27,0)),IF($B148="Terracycle",INDEX('Materials Master'!$K$2:$K$27,MATCH($C148,'Materials Master'!$A$2:$A$27,0)),"No"))))))="Yes",1,0)</f>
        <v>0</v>
      </c>
    </row>
    <row r="149" customFormat="false" ht="15" hidden="false" customHeight="false" outlineLevel="0" collapsed="false">
      <c r="A149" s="0" t="s">
        <v>92</v>
      </c>
      <c r="B149" s="0" t="s">
        <v>108</v>
      </c>
      <c r="C149" s="0" t="s">
        <v>69</v>
      </c>
      <c r="D149" s="0" t="str">
        <f aca="false">IFERROR(INDEX('Materials Master'!$B$2:$B$27,MATCH($C149,'Materials Master'!$A$2:$A$27,0)),"")</f>
        <v>Paper Fibers and Food-Soiled Paper (FSP)</v>
      </c>
      <c r="E149" s="0" t="str">
        <f aca="false">IFERROR(INDEX('Materials Master'!$C$2:$C$27,MATCH($C149,'Materials Master'!$A$2:$A$27,0)),"")</f>
        <v>Organics</v>
      </c>
      <c r="F149" s="0" t="n">
        <f aca="false">IF(SUMIFS(Fact_SortedWeights!$E$2:$E$89,Fact_SortedWeights!$C$2:$C$89,$A149,Fact_SortedWeights!$B$2:$B$89,$B149)=0,0,SUMIFS(Fact_SortedWeights!$E$2:$E$89,Fact_SortedWeights!$C$2:$C$89,$A149,Fact_SortedWeights!$B$2:$B$89,$B149,Fact_SortedWeights!$D$2:$D$89,$C149)/SUMIFS(Fact_SortedWeights!$E$2:$E$89,Fact_SortedWeights!$C$2:$C$89,$A149,Fact_SortedWeights!$B$2:$B$89,$B149)*(IF($B149="Cardboard Recycling",SUMIFS(Fact_SortedWeights!$E$2:$E$89,Fact_SortedWeights!$C$2:$C$89,$A149,Fact_SortedWeights!$B$2:$B$89,$B149),SUMIFS(Fact_PreSortWeights!$E$2:$E$186,Fact_PreSortWeights!$C$2:$C$186,$A149,Fact_PreSortWeights!$B$2:$B$186,$B149))))</f>
        <v>0.0281414891538011</v>
      </c>
      <c r="G149" s="0" t="n">
        <f aca="false">IF(AND(IF($B149="Trash",INDEX('Materials Master'!$F$2:$F$27,MATCH($C149,'Materials Master'!$A$2:$A$27,0)),IF($B149="GMPC Recycling",INDEX('Materials Master'!$G$2:$G$27,MATCH($C149,'Materials Master'!$A$2:$A$27,0)),IF($B149="Organics Recycling",INDEX('Materials Master'!$H$2:$H$27,MATCH($C149,'Materials Master'!$A$2:$A$27,0)),IF($B149="Cardboard Recycling",INDEX('Materials Master'!$I$2:$I$27,MATCH($C149,'Materials Master'!$A$2:$A$27,0)),IF($B149="Paper Recycling",INDEX('Materials Master'!$J$2:$J$27,MATCH($C149,'Materials Master'!$A$2:$A$27,0)),IF($B149="Terracycle",INDEX('Materials Master'!$K$2:$K$27,MATCH($C149,'Materials Master'!$A$2:$A$27,0)),"No"))))))="Yes",INDEX('Materials Master'!$E$2:$E$27,MATCH($C149,'Materials Master'!$A$2:$A$27,0))="Yes",$B149&lt;&gt;"Trash"),1,0)</f>
        <v>0</v>
      </c>
      <c r="H149" s="0" t="str">
        <f aca="false">INDEX('Materials Master'!$E$2:$E$27,MATCH($C149,'Materials Master'!$A$2:$A$27,0))</f>
        <v>No</v>
      </c>
      <c r="I149" s="0" t="str">
        <f aca="false">IFERROR(INDEX(Areas!$C$2:$C$6,MATCH($A149,Areas!$B$2:$B$6,0)),"")</f>
        <v>Rest of Building</v>
      </c>
      <c r="J149" s="0" t="n">
        <f aca="false">IF(IF($B149="Trash",INDEX('Materials Master'!$F$2:$F$27,MATCH($C149,'Materials Master'!$A$2:$A$27,0)),IF($B149="GMPC Recycling",INDEX('Materials Master'!$G$2:$G$27,MATCH($C149,'Materials Master'!$A$2:$A$27,0)),IF($B149="Organics Recycling",INDEX('Materials Master'!$H$2:$H$27,MATCH($C149,'Materials Master'!$A$2:$A$27,0)),IF($B149="Cardboard Recycling",INDEX('Materials Master'!$I$2:$I$27,MATCH($C149,'Materials Master'!$A$2:$A$27,0)),IF($B149="Paper Recycling",INDEX('Materials Master'!$J$2:$J$27,MATCH($C149,'Materials Master'!$A$2:$A$27,0)),IF($B149="Terracycle",INDEX('Materials Master'!$K$2:$K$27,MATCH($C149,'Materials Master'!$A$2:$A$27,0)),"No"))))))="Yes",1,0)</f>
        <v>0</v>
      </c>
    </row>
    <row r="150" customFormat="false" ht="15" hidden="false" customHeight="false" outlineLevel="0" collapsed="false">
      <c r="A150" s="0" t="s">
        <v>92</v>
      </c>
      <c r="B150" s="0" t="s">
        <v>108</v>
      </c>
      <c r="C150" s="0" t="s">
        <v>71</v>
      </c>
      <c r="D150" s="0" t="str">
        <f aca="false">IFERROR(INDEX('Materials Master'!$B$2:$B$27,MATCH($C150,'Materials Master'!$A$2:$A$27,0)),"")</f>
        <v>Fiber-based Compostable Serviceware</v>
      </c>
      <c r="E150" s="0" t="str">
        <f aca="false">IFERROR(INDEX('Materials Master'!$C$2:$C$27,MATCH($C150,'Materials Master'!$A$2:$A$27,0)),"")</f>
        <v>Organics</v>
      </c>
      <c r="F150" s="0" t="n">
        <f aca="false">IF(SUMIFS(Fact_SortedWeights!$E$2:$E$89,Fact_SortedWeights!$C$2:$C$89,$A150,Fact_SortedWeights!$B$2:$B$89,$B150)=0,0,SUMIFS(Fact_SortedWeights!$E$2:$E$89,Fact_SortedWeights!$C$2:$C$89,$A150,Fact_SortedWeights!$B$2:$B$89,$B150,Fact_SortedWeights!$D$2:$D$89,$C150)/SUMIFS(Fact_SortedWeights!$E$2:$E$89,Fact_SortedWeights!$C$2:$C$89,$A150,Fact_SortedWeights!$B$2:$B$89,$B150)*(IF($B150="Cardboard Recycling",SUMIFS(Fact_SortedWeights!$E$2:$E$89,Fact_SortedWeights!$C$2:$C$89,$A150,Fact_SortedWeights!$B$2:$B$89,$B150),SUMIFS(Fact_PreSortWeights!$E$2:$E$186,Fact_PreSortWeights!$C$2:$C$186,$A150,Fact_PreSortWeights!$B$2:$B$186,$B150))))</f>
        <v>0</v>
      </c>
      <c r="G150" s="0" t="n">
        <f aca="false">IF(AND(IF($B150="Trash",INDEX('Materials Master'!$F$2:$F$27,MATCH($C150,'Materials Master'!$A$2:$A$27,0)),IF($B150="GMPC Recycling",INDEX('Materials Master'!$G$2:$G$27,MATCH($C150,'Materials Master'!$A$2:$A$27,0)),IF($B150="Organics Recycling",INDEX('Materials Master'!$H$2:$H$27,MATCH($C150,'Materials Master'!$A$2:$A$27,0)),IF($B150="Cardboard Recycling",INDEX('Materials Master'!$I$2:$I$27,MATCH($C150,'Materials Master'!$A$2:$A$27,0)),IF($B150="Paper Recycling",INDEX('Materials Master'!$J$2:$J$27,MATCH($C150,'Materials Master'!$A$2:$A$27,0)),IF($B150="Terracycle",INDEX('Materials Master'!$K$2:$K$27,MATCH($C150,'Materials Master'!$A$2:$A$27,0)),"No"))))))="Yes",INDEX('Materials Master'!$E$2:$E$27,MATCH($C150,'Materials Master'!$A$2:$A$27,0))="Yes",$B150&lt;&gt;"Trash"),1,0)</f>
        <v>0</v>
      </c>
      <c r="H150" s="0" t="str">
        <f aca="false">INDEX('Materials Master'!$E$2:$E$27,MATCH($C150,'Materials Master'!$A$2:$A$27,0))</f>
        <v>No</v>
      </c>
      <c r="I150" s="0" t="str">
        <f aca="false">IFERROR(INDEX(Areas!$C$2:$C$6,MATCH($A150,Areas!$B$2:$B$6,0)),"")</f>
        <v>Rest of Building</v>
      </c>
      <c r="J150" s="0" t="n">
        <f aca="false">IF(IF($B150="Trash",INDEX('Materials Master'!$F$2:$F$27,MATCH($C150,'Materials Master'!$A$2:$A$27,0)),IF($B150="GMPC Recycling",INDEX('Materials Master'!$G$2:$G$27,MATCH($C150,'Materials Master'!$A$2:$A$27,0)),IF($B150="Organics Recycling",INDEX('Materials Master'!$H$2:$H$27,MATCH($C150,'Materials Master'!$A$2:$A$27,0)),IF($B150="Cardboard Recycling",INDEX('Materials Master'!$I$2:$I$27,MATCH($C150,'Materials Master'!$A$2:$A$27,0)),IF($B150="Paper Recycling",INDEX('Materials Master'!$J$2:$J$27,MATCH($C150,'Materials Master'!$A$2:$A$27,0)),IF($B150="Terracycle",INDEX('Materials Master'!$K$2:$K$27,MATCH($C150,'Materials Master'!$A$2:$A$27,0)),"No"))))))="Yes",1,0)</f>
        <v>0</v>
      </c>
    </row>
    <row r="151" customFormat="false" ht="15" hidden="false" customHeight="false" outlineLevel="0" collapsed="false">
      <c r="A151" s="0" t="s">
        <v>92</v>
      </c>
      <c r="B151" s="0" t="s">
        <v>108</v>
      </c>
      <c r="C151" s="0" t="s">
        <v>73</v>
      </c>
      <c r="D151" s="0" t="str">
        <f aca="false">IFERROR(INDEX('Materials Master'!$B$2:$B$27,MATCH($C151,'Materials Master'!$A$2:$A$27,0)),"")</f>
        <v>PLA Compostable Serviceware</v>
      </c>
      <c r="E151" s="0" t="str">
        <f aca="false">IFERROR(INDEX('Materials Master'!$C$2:$C$27,MATCH($C151,'Materials Master'!$A$2:$A$27,0)),"")</f>
        <v>Organics</v>
      </c>
      <c r="F151" s="0" t="n">
        <f aca="false">IF(SUMIFS(Fact_SortedWeights!$E$2:$E$89,Fact_SortedWeights!$C$2:$C$89,$A151,Fact_SortedWeights!$B$2:$B$89,$B151)=0,0,SUMIFS(Fact_SortedWeights!$E$2:$E$89,Fact_SortedWeights!$C$2:$C$89,$A151,Fact_SortedWeights!$B$2:$B$89,$B151,Fact_SortedWeights!$D$2:$D$89,$C151)/SUMIFS(Fact_SortedWeights!$E$2:$E$89,Fact_SortedWeights!$C$2:$C$89,$A151,Fact_SortedWeights!$B$2:$B$89,$B151)*(IF($B151="Cardboard Recycling",SUMIFS(Fact_SortedWeights!$E$2:$E$89,Fact_SortedWeights!$C$2:$C$89,$A151,Fact_SortedWeights!$B$2:$B$89,$B151),SUMIFS(Fact_PreSortWeights!$E$2:$E$186,Fact_PreSortWeights!$C$2:$C$186,$A151,Fact_PreSortWeights!$B$2:$B$186,$B151))))</f>
        <v>0</v>
      </c>
      <c r="G151" s="0" t="n">
        <f aca="false">IF(AND(IF($B151="Trash",INDEX('Materials Master'!$F$2:$F$27,MATCH($C151,'Materials Master'!$A$2:$A$27,0)),IF($B151="GMPC Recycling",INDEX('Materials Master'!$G$2:$G$27,MATCH($C151,'Materials Master'!$A$2:$A$27,0)),IF($B151="Organics Recycling",INDEX('Materials Master'!$H$2:$H$27,MATCH($C151,'Materials Master'!$A$2:$A$27,0)),IF($B151="Cardboard Recycling",INDEX('Materials Master'!$I$2:$I$27,MATCH($C151,'Materials Master'!$A$2:$A$27,0)),IF($B151="Paper Recycling",INDEX('Materials Master'!$J$2:$J$27,MATCH($C151,'Materials Master'!$A$2:$A$27,0)),IF($B151="Terracycle",INDEX('Materials Master'!$K$2:$K$27,MATCH($C151,'Materials Master'!$A$2:$A$27,0)),"No"))))))="Yes",INDEX('Materials Master'!$E$2:$E$27,MATCH($C151,'Materials Master'!$A$2:$A$27,0))="Yes",$B151&lt;&gt;"Trash"),1,0)</f>
        <v>0</v>
      </c>
      <c r="H151" s="0" t="str">
        <f aca="false">INDEX('Materials Master'!$E$2:$E$27,MATCH($C151,'Materials Master'!$A$2:$A$27,0))</f>
        <v>No</v>
      </c>
      <c r="I151" s="0" t="str">
        <f aca="false">IFERROR(INDEX(Areas!$C$2:$C$6,MATCH($A151,Areas!$B$2:$B$6,0)),"")</f>
        <v>Rest of Building</v>
      </c>
      <c r="J151" s="0" t="n">
        <f aca="false">IF(IF($B151="Trash",INDEX('Materials Master'!$F$2:$F$27,MATCH($C151,'Materials Master'!$A$2:$A$27,0)),IF($B151="GMPC Recycling",INDEX('Materials Master'!$G$2:$G$27,MATCH($C151,'Materials Master'!$A$2:$A$27,0)),IF($B151="Organics Recycling",INDEX('Materials Master'!$H$2:$H$27,MATCH($C151,'Materials Master'!$A$2:$A$27,0)),IF($B151="Cardboard Recycling",INDEX('Materials Master'!$I$2:$I$27,MATCH($C151,'Materials Master'!$A$2:$A$27,0)),IF($B151="Paper Recycling",INDEX('Materials Master'!$J$2:$J$27,MATCH($C151,'Materials Master'!$A$2:$A$27,0)),IF($B151="Terracycle",INDEX('Materials Master'!$K$2:$K$27,MATCH($C151,'Materials Master'!$A$2:$A$27,0)),"No"))))))="Yes",1,0)</f>
        <v>0</v>
      </c>
    </row>
    <row r="152" customFormat="false" ht="15" hidden="false" customHeight="false" outlineLevel="0" collapsed="false">
      <c r="A152" s="0" t="s">
        <v>92</v>
      </c>
      <c r="B152" s="0" t="s">
        <v>108</v>
      </c>
      <c r="C152" s="0" t="s">
        <v>75</v>
      </c>
      <c r="D152" s="0" t="str">
        <f aca="false">IFERROR(INDEX('Materials Master'!$B$2:$B$27,MATCH($C152,'Materials Master'!$A$2:$A$27,0)),"")</f>
        <v>E/U Waste</v>
      </c>
      <c r="E152" s="0" t="str">
        <f aca="false">IFERROR(INDEX('Materials Master'!$C$2:$C$27,MATCH($C152,'Materials Master'!$A$2:$A$27,0)),"")</f>
        <v>Unacceptable</v>
      </c>
      <c r="F152" s="0" t="n">
        <f aca="false">IF(SUMIFS(Fact_SortedWeights!$E$2:$E$89,Fact_SortedWeights!$C$2:$C$89,$A152,Fact_SortedWeights!$B$2:$B$89,$B152)=0,0,SUMIFS(Fact_SortedWeights!$E$2:$E$89,Fact_SortedWeights!$C$2:$C$89,$A152,Fact_SortedWeights!$B$2:$B$89,$B152,Fact_SortedWeights!$D$2:$D$89,$C152)/SUMIFS(Fact_SortedWeights!$E$2:$E$89,Fact_SortedWeights!$C$2:$C$89,$A152,Fact_SortedWeights!$B$2:$B$89,$B152)*(IF($B152="Cardboard Recycling",SUMIFS(Fact_SortedWeights!$E$2:$E$89,Fact_SortedWeights!$C$2:$C$89,$A152,Fact_SortedWeights!$B$2:$B$89,$B152),SUMIFS(Fact_PreSortWeights!$E$2:$E$186,Fact_PreSortWeights!$C$2:$C$186,$A152,Fact_PreSortWeights!$B$2:$B$186,$B152))))</f>
        <v>0</v>
      </c>
      <c r="G152" s="0" t="n">
        <f aca="false">IF(AND(IF($B152="Trash",INDEX('Materials Master'!$F$2:$F$27,MATCH($C152,'Materials Master'!$A$2:$A$27,0)),IF($B152="GMPC Recycling",INDEX('Materials Master'!$G$2:$G$27,MATCH($C152,'Materials Master'!$A$2:$A$27,0)),IF($B152="Organics Recycling",INDEX('Materials Master'!$H$2:$H$27,MATCH($C152,'Materials Master'!$A$2:$A$27,0)),IF($B152="Cardboard Recycling",INDEX('Materials Master'!$I$2:$I$27,MATCH($C152,'Materials Master'!$A$2:$A$27,0)),IF($B152="Paper Recycling",INDEX('Materials Master'!$J$2:$J$27,MATCH($C152,'Materials Master'!$A$2:$A$27,0)),IF($B152="Terracycle",INDEX('Materials Master'!$K$2:$K$27,MATCH($C152,'Materials Master'!$A$2:$A$27,0)),"No"))))))="Yes",INDEX('Materials Master'!$E$2:$E$27,MATCH($C152,'Materials Master'!$A$2:$A$27,0))="Yes",$B152&lt;&gt;"Trash"),1,0)</f>
        <v>0</v>
      </c>
      <c r="H152" s="0" t="str">
        <f aca="false">INDEX('Materials Master'!$E$2:$E$27,MATCH($C152,'Materials Master'!$A$2:$A$27,0))</f>
        <v>No</v>
      </c>
      <c r="I152" s="0" t="str">
        <f aca="false">IFERROR(INDEX(Areas!$C$2:$C$6,MATCH($A152,Areas!$B$2:$B$6,0)),"")</f>
        <v>Rest of Building</v>
      </c>
      <c r="J152" s="0" t="n">
        <f aca="false">IF(IF($B152="Trash",INDEX('Materials Master'!$F$2:$F$27,MATCH($C152,'Materials Master'!$A$2:$A$27,0)),IF($B152="GMPC Recycling",INDEX('Materials Master'!$G$2:$G$27,MATCH($C152,'Materials Master'!$A$2:$A$27,0)),IF($B152="Organics Recycling",INDEX('Materials Master'!$H$2:$H$27,MATCH($C152,'Materials Master'!$A$2:$A$27,0)),IF($B152="Cardboard Recycling",INDEX('Materials Master'!$I$2:$I$27,MATCH($C152,'Materials Master'!$A$2:$A$27,0)),IF($B152="Paper Recycling",INDEX('Materials Master'!$J$2:$J$27,MATCH($C152,'Materials Master'!$A$2:$A$27,0)),IF($B152="Terracycle",INDEX('Materials Master'!$K$2:$K$27,MATCH($C152,'Materials Master'!$A$2:$A$27,0)),"No"))))))="Yes",1,0)</f>
        <v>0</v>
      </c>
    </row>
    <row r="153" customFormat="false" ht="15" hidden="false" customHeight="false" outlineLevel="0" collapsed="false">
      <c r="A153" s="0" t="s">
        <v>92</v>
      </c>
      <c r="B153" s="0" t="s">
        <v>108</v>
      </c>
      <c r="C153" s="0" t="s">
        <v>78</v>
      </c>
      <c r="D153" s="0" t="str">
        <f aca="false">IFERROR(INDEX('Materials Master'!$B$2:$B$27,MATCH($C153,'Materials Master'!$A$2:$A$27,0)),"")</f>
        <v>Textiles</v>
      </c>
      <c r="E153" s="0" t="str">
        <f aca="false">IFERROR(INDEX('Materials Master'!$C$2:$C$27,MATCH($C153,'Materials Master'!$A$2:$A$27,0)),"")</f>
        <v>Unacceptable</v>
      </c>
      <c r="F153" s="0" t="n">
        <f aca="false">IF(SUMIFS(Fact_SortedWeights!$E$2:$E$89,Fact_SortedWeights!$C$2:$C$89,$A153,Fact_SortedWeights!$B$2:$B$89,$B153)=0,0,SUMIFS(Fact_SortedWeights!$E$2:$E$89,Fact_SortedWeights!$C$2:$C$89,$A153,Fact_SortedWeights!$B$2:$B$89,$B153,Fact_SortedWeights!$D$2:$D$89,$C153)/SUMIFS(Fact_SortedWeights!$E$2:$E$89,Fact_SortedWeights!$C$2:$C$89,$A153,Fact_SortedWeights!$B$2:$B$89,$B153)*(IF($B153="Cardboard Recycling",SUMIFS(Fact_SortedWeights!$E$2:$E$89,Fact_SortedWeights!$C$2:$C$89,$A153,Fact_SortedWeights!$B$2:$B$89,$B153),SUMIFS(Fact_PreSortWeights!$E$2:$E$186,Fact_PreSortWeights!$C$2:$C$186,$A153,Fact_PreSortWeights!$B$2:$B$186,$B153))))</f>
        <v>0</v>
      </c>
      <c r="G153" s="0" t="n">
        <f aca="false">IF(AND(IF($B153="Trash",INDEX('Materials Master'!$F$2:$F$27,MATCH($C153,'Materials Master'!$A$2:$A$27,0)),IF($B153="GMPC Recycling",INDEX('Materials Master'!$G$2:$G$27,MATCH($C153,'Materials Master'!$A$2:$A$27,0)),IF($B153="Organics Recycling",INDEX('Materials Master'!$H$2:$H$27,MATCH($C153,'Materials Master'!$A$2:$A$27,0)),IF($B153="Cardboard Recycling",INDEX('Materials Master'!$I$2:$I$27,MATCH($C153,'Materials Master'!$A$2:$A$27,0)),IF($B153="Paper Recycling",INDEX('Materials Master'!$J$2:$J$27,MATCH($C153,'Materials Master'!$A$2:$A$27,0)),IF($B153="Terracycle",INDEX('Materials Master'!$K$2:$K$27,MATCH($C153,'Materials Master'!$A$2:$A$27,0)),"No"))))))="Yes",INDEX('Materials Master'!$E$2:$E$27,MATCH($C153,'Materials Master'!$A$2:$A$27,0))="Yes",$B153&lt;&gt;"Trash"),1,0)</f>
        <v>0</v>
      </c>
      <c r="H153" s="0" t="str">
        <f aca="false">INDEX('Materials Master'!$E$2:$E$27,MATCH($C153,'Materials Master'!$A$2:$A$27,0))</f>
        <v>No</v>
      </c>
      <c r="I153" s="0" t="str">
        <f aca="false">IFERROR(INDEX(Areas!$C$2:$C$6,MATCH($A153,Areas!$B$2:$B$6,0)),"")</f>
        <v>Rest of Building</v>
      </c>
      <c r="J153" s="0" t="n">
        <f aca="false">IF(IF($B153="Trash",INDEX('Materials Master'!$F$2:$F$27,MATCH($C153,'Materials Master'!$A$2:$A$27,0)),IF($B153="GMPC Recycling",INDEX('Materials Master'!$G$2:$G$27,MATCH($C153,'Materials Master'!$A$2:$A$27,0)),IF($B153="Organics Recycling",INDEX('Materials Master'!$H$2:$H$27,MATCH($C153,'Materials Master'!$A$2:$A$27,0)),IF($B153="Cardboard Recycling",INDEX('Materials Master'!$I$2:$I$27,MATCH($C153,'Materials Master'!$A$2:$A$27,0)),IF($B153="Paper Recycling",INDEX('Materials Master'!$J$2:$J$27,MATCH($C153,'Materials Master'!$A$2:$A$27,0)),IF($B153="Terracycle",INDEX('Materials Master'!$K$2:$K$27,MATCH($C153,'Materials Master'!$A$2:$A$27,0)),"No"))))))="Yes",1,0)</f>
        <v>0</v>
      </c>
    </row>
    <row r="154" customFormat="false" ht="15" hidden="false" customHeight="false" outlineLevel="0" collapsed="false">
      <c r="A154" s="0" t="s">
        <v>92</v>
      </c>
      <c r="B154" s="0" t="s">
        <v>108</v>
      </c>
      <c r="C154" s="0" t="s">
        <v>80</v>
      </c>
      <c r="D154" s="0" t="str">
        <f aca="false">IFERROR(INDEX('Materials Master'!$B$2:$B$27,MATCH($C154,'Materials Master'!$A$2:$A$27,0)),"")</f>
        <v>Other Unacceptable (specify)</v>
      </c>
      <c r="E154" s="0" t="str">
        <f aca="false">IFERROR(INDEX('Materials Master'!$C$2:$C$27,MATCH($C154,'Materials Master'!$A$2:$A$27,0)),"")</f>
        <v>Unacceptable</v>
      </c>
      <c r="F154" s="0" t="n">
        <f aca="false">IF(SUMIFS(Fact_SortedWeights!$E$2:$E$89,Fact_SortedWeights!$C$2:$C$89,$A154,Fact_SortedWeights!$B$2:$B$89,$B154)=0,0,SUMIFS(Fact_SortedWeights!$E$2:$E$89,Fact_SortedWeights!$C$2:$C$89,$A154,Fact_SortedWeights!$B$2:$B$89,$B154,Fact_SortedWeights!$D$2:$D$89,$C154)/SUMIFS(Fact_SortedWeights!$E$2:$E$89,Fact_SortedWeights!$C$2:$C$89,$A154,Fact_SortedWeights!$B$2:$B$89,$B154)*(IF($B154="Cardboard Recycling",SUMIFS(Fact_SortedWeights!$E$2:$E$89,Fact_SortedWeights!$C$2:$C$89,$A154,Fact_SortedWeights!$B$2:$B$89,$B154),SUMIFS(Fact_PreSortWeights!$E$2:$E$186,Fact_PreSortWeights!$C$2:$C$186,$A154,Fact_PreSortWeights!$B$2:$B$186,$B154))))</f>
        <v>0</v>
      </c>
      <c r="G154" s="0" t="n">
        <f aca="false">IF(AND(IF($B154="Trash",INDEX('Materials Master'!$F$2:$F$27,MATCH($C154,'Materials Master'!$A$2:$A$27,0)),IF($B154="GMPC Recycling",INDEX('Materials Master'!$G$2:$G$27,MATCH($C154,'Materials Master'!$A$2:$A$27,0)),IF($B154="Organics Recycling",INDEX('Materials Master'!$H$2:$H$27,MATCH($C154,'Materials Master'!$A$2:$A$27,0)),IF($B154="Cardboard Recycling",INDEX('Materials Master'!$I$2:$I$27,MATCH($C154,'Materials Master'!$A$2:$A$27,0)),IF($B154="Paper Recycling",INDEX('Materials Master'!$J$2:$J$27,MATCH($C154,'Materials Master'!$A$2:$A$27,0)),IF($B154="Terracycle",INDEX('Materials Master'!$K$2:$K$27,MATCH($C154,'Materials Master'!$A$2:$A$27,0)),"No"))))))="Yes",INDEX('Materials Master'!$E$2:$E$27,MATCH($C154,'Materials Master'!$A$2:$A$27,0))="Yes",$B154&lt;&gt;"Trash"),1,0)</f>
        <v>0</v>
      </c>
      <c r="H154" s="0" t="str">
        <f aca="false">INDEX('Materials Master'!$E$2:$E$27,MATCH($C154,'Materials Master'!$A$2:$A$27,0))</f>
        <v>No</v>
      </c>
      <c r="I154" s="0" t="str">
        <f aca="false">IFERROR(INDEX(Areas!$C$2:$C$6,MATCH($A154,Areas!$B$2:$B$6,0)),"")</f>
        <v>Rest of Building</v>
      </c>
      <c r="J154" s="0" t="n">
        <f aca="false">IF(IF($B154="Trash",INDEX('Materials Master'!$F$2:$F$27,MATCH($C154,'Materials Master'!$A$2:$A$27,0)),IF($B154="GMPC Recycling",INDEX('Materials Master'!$G$2:$G$27,MATCH($C154,'Materials Master'!$A$2:$A$27,0)),IF($B154="Organics Recycling",INDEX('Materials Master'!$H$2:$H$27,MATCH($C154,'Materials Master'!$A$2:$A$27,0)),IF($B154="Cardboard Recycling",INDEX('Materials Master'!$I$2:$I$27,MATCH($C154,'Materials Master'!$A$2:$A$27,0)),IF($B154="Paper Recycling",INDEX('Materials Master'!$J$2:$J$27,MATCH($C154,'Materials Master'!$A$2:$A$27,0)),IF($B154="Terracycle",INDEX('Materials Master'!$K$2:$K$27,MATCH($C154,'Materials Master'!$A$2:$A$27,0)),"No"))))))="Yes",1,0)</f>
        <v>0</v>
      </c>
    </row>
    <row r="155" customFormat="false" ht="15" hidden="false" customHeight="false" outlineLevel="0" collapsed="false">
      <c r="A155" s="0" t="s">
        <v>92</v>
      </c>
      <c r="B155" s="0" t="s">
        <v>108</v>
      </c>
      <c r="C155" s="0" t="s">
        <v>82</v>
      </c>
      <c r="D155" s="0" t="str">
        <f aca="false">IFERROR(INDEX('Materials Master'!$B$2:$B$27,MATCH($C155,'Materials Master'!$A$2:$A$27,0)),"")</f>
        <v>Liquids</v>
      </c>
      <c r="E155" s="0" t="str">
        <f aca="false">IFERROR(INDEX('Materials Master'!$C$2:$C$27,MATCH($C155,'Materials Master'!$A$2:$A$27,0)),"")</f>
        <v>Unacceptable</v>
      </c>
      <c r="F155" s="0" t="n">
        <f aca="false">IF(SUMIFS(Fact_SortedWeights!$E$2:$E$89,Fact_SortedWeights!$C$2:$C$89,$A155,Fact_SortedWeights!$B$2:$B$89,$B155)=0,0,SUMIFS(Fact_SortedWeights!$E$2:$E$89,Fact_SortedWeights!$C$2:$C$89,$A155,Fact_SortedWeights!$B$2:$B$89,$B155,Fact_SortedWeights!$D$2:$D$89,$C155)/SUMIFS(Fact_SortedWeights!$E$2:$E$89,Fact_SortedWeights!$C$2:$C$89,$A155,Fact_SortedWeights!$B$2:$B$89,$B155)*(IF($B155="Cardboard Recycling",SUMIFS(Fact_SortedWeights!$E$2:$E$89,Fact_SortedWeights!$C$2:$C$89,$A155,Fact_SortedWeights!$B$2:$B$89,$B155),SUMIFS(Fact_PreSortWeights!$E$2:$E$186,Fact_PreSortWeights!$C$2:$C$186,$A155,Fact_PreSortWeights!$B$2:$B$186,$B155))))</f>
        <v>0</v>
      </c>
      <c r="G155" s="0" t="n">
        <f aca="false">IF(AND(IF($B155="Trash",INDEX('Materials Master'!$F$2:$F$27,MATCH($C155,'Materials Master'!$A$2:$A$27,0)),IF($B155="GMPC Recycling",INDEX('Materials Master'!$G$2:$G$27,MATCH($C155,'Materials Master'!$A$2:$A$27,0)),IF($B155="Organics Recycling",INDEX('Materials Master'!$H$2:$H$27,MATCH($C155,'Materials Master'!$A$2:$A$27,0)),IF($B155="Cardboard Recycling",INDEX('Materials Master'!$I$2:$I$27,MATCH($C155,'Materials Master'!$A$2:$A$27,0)),IF($B155="Paper Recycling",INDEX('Materials Master'!$J$2:$J$27,MATCH($C155,'Materials Master'!$A$2:$A$27,0)),IF($B155="Terracycle",INDEX('Materials Master'!$K$2:$K$27,MATCH($C155,'Materials Master'!$A$2:$A$27,0)),"No"))))))="Yes",INDEX('Materials Master'!$E$2:$E$27,MATCH($C155,'Materials Master'!$A$2:$A$27,0))="Yes",$B155&lt;&gt;"Trash"),1,0)</f>
        <v>0</v>
      </c>
      <c r="H155" s="0" t="str">
        <f aca="false">INDEX('Materials Master'!$E$2:$E$27,MATCH($C155,'Materials Master'!$A$2:$A$27,0))</f>
        <v>No</v>
      </c>
      <c r="I155" s="0" t="str">
        <f aca="false">IFERROR(INDEX(Areas!$C$2:$C$6,MATCH($A155,Areas!$B$2:$B$6,0)),"")</f>
        <v>Rest of Building</v>
      </c>
      <c r="J155" s="0" t="n">
        <f aca="false">IF(IF($B155="Trash",INDEX('Materials Master'!$F$2:$F$27,MATCH($C155,'Materials Master'!$A$2:$A$27,0)),IF($B155="GMPC Recycling",INDEX('Materials Master'!$G$2:$G$27,MATCH($C155,'Materials Master'!$A$2:$A$27,0)),IF($B155="Organics Recycling",INDEX('Materials Master'!$H$2:$H$27,MATCH($C155,'Materials Master'!$A$2:$A$27,0)),IF($B155="Cardboard Recycling",INDEX('Materials Master'!$I$2:$I$27,MATCH($C155,'Materials Master'!$A$2:$A$27,0)),IF($B155="Paper Recycling",INDEX('Materials Master'!$J$2:$J$27,MATCH($C155,'Materials Master'!$A$2:$A$27,0)),IF($B155="Terracycle",INDEX('Materials Master'!$K$2:$K$27,MATCH($C155,'Materials Master'!$A$2:$A$27,0)),"No"))))))="Yes",1,0)</f>
        <v>0</v>
      </c>
    </row>
    <row r="156" customFormat="false" ht="15" hidden="false" customHeight="false" outlineLevel="0" collapsed="false">
      <c r="A156" s="0" t="s">
        <v>92</v>
      </c>
      <c r="B156" s="0" t="s">
        <v>108</v>
      </c>
      <c r="C156" s="0" t="s">
        <v>84</v>
      </c>
      <c r="D156" s="0" t="str">
        <f aca="false">IFERROR(INDEX('Materials Master'!$B$2:$B$27,MATCH($C156,'Materials Master'!$A$2:$A$27,0)),"")</f>
        <v>Snack Wrappers (Composites)</v>
      </c>
      <c r="E156" s="0" t="str">
        <f aca="false">IFERROR(INDEX('Materials Master'!$C$2:$C$27,MATCH($C156,'Materials Master'!$A$2:$A$27,0)),"")</f>
        <v>Other</v>
      </c>
      <c r="F156" s="0" t="n">
        <f aca="false">IF(SUMIFS(Fact_SortedWeights!$E$2:$E$89,Fact_SortedWeights!$C$2:$C$89,$A156,Fact_SortedWeights!$B$2:$B$89,$B156)=0,0,SUMIFS(Fact_SortedWeights!$E$2:$E$89,Fact_SortedWeights!$C$2:$C$89,$A156,Fact_SortedWeights!$B$2:$B$89,$B156,Fact_SortedWeights!$D$2:$D$89,$C156)/SUMIFS(Fact_SortedWeights!$E$2:$E$89,Fact_SortedWeights!$C$2:$C$89,$A156,Fact_SortedWeights!$B$2:$B$89,$B156)*(IF($B156="Cardboard Recycling",SUMIFS(Fact_SortedWeights!$E$2:$E$89,Fact_SortedWeights!$C$2:$C$89,$A156,Fact_SortedWeights!$B$2:$B$89,$B156),SUMIFS(Fact_PreSortWeights!$E$2:$E$186,Fact_PreSortWeights!$C$2:$C$186,$A156,Fact_PreSortWeights!$B$2:$B$186,$B156))))</f>
        <v>3.0717998827438</v>
      </c>
      <c r="G156" s="0" t="n">
        <f aca="false">IF(AND(IF($B156="Trash",INDEX('Materials Master'!$F$2:$F$27,MATCH($C156,'Materials Master'!$A$2:$A$27,0)),IF($B156="GMPC Recycling",INDEX('Materials Master'!$G$2:$G$27,MATCH($C156,'Materials Master'!$A$2:$A$27,0)),IF($B156="Organics Recycling",INDEX('Materials Master'!$H$2:$H$27,MATCH($C156,'Materials Master'!$A$2:$A$27,0)),IF($B156="Cardboard Recycling",INDEX('Materials Master'!$I$2:$I$27,MATCH($C156,'Materials Master'!$A$2:$A$27,0)),IF($B156="Paper Recycling",INDEX('Materials Master'!$J$2:$J$27,MATCH($C156,'Materials Master'!$A$2:$A$27,0)),IF($B156="Terracycle",INDEX('Materials Master'!$K$2:$K$27,MATCH($C156,'Materials Master'!$A$2:$A$27,0)),"No"))))))="Yes",INDEX('Materials Master'!$E$2:$E$27,MATCH($C156,'Materials Master'!$A$2:$A$27,0))="Yes",$B156&lt;&gt;"Trash"),1,0)</f>
        <v>1</v>
      </c>
      <c r="H156" s="0" t="str">
        <f aca="false">INDEX('Materials Master'!$E$2:$E$27,MATCH($C156,'Materials Master'!$A$2:$A$27,0))</f>
        <v>Yes</v>
      </c>
      <c r="I156" s="0" t="str">
        <f aca="false">IFERROR(INDEX(Areas!$C$2:$C$6,MATCH($A156,Areas!$B$2:$B$6,0)),"")</f>
        <v>Rest of Building</v>
      </c>
      <c r="J156" s="0" t="n">
        <f aca="false">IF(IF($B156="Trash",INDEX('Materials Master'!$F$2:$F$27,MATCH($C156,'Materials Master'!$A$2:$A$27,0)),IF($B156="GMPC Recycling",INDEX('Materials Master'!$G$2:$G$27,MATCH($C156,'Materials Master'!$A$2:$A$27,0)),IF($B156="Organics Recycling",INDEX('Materials Master'!$H$2:$H$27,MATCH($C156,'Materials Master'!$A$2:$A$27,0)),IF($B156="Cardboard Recycling",INDEX('Materials Master'!$I$2:$I$27,MATCH($C156,'Materials Master'!$A$2:$A$27,0)),IF($B156="Paper Recycling",INDEX('Materials Master'!$J$2:$J$27,MATCH($C156,'Materials Master'!$A$2:$A$27,0)),IF($B156="Terracycle",INDEX('Materials Master'!$K$2:$K$27,MATCH($C156,'Materials Master'!$A$2:$A$27,0)),"No"))))))="Yes",1,0)</f>
        <v>1</v>
      </c>
    </row>
    <row r="157" customFormat="false" ht="15" hidden="false" customHeight="false" outlineLevel="0" collapsed="false">
      <c r="A157" s="0" t="s">
        <v>92</v>
      </c>
      <c r="B157" s="0" t="s">
        <v>108</v>
      </c>
      <c r="C157" s="0" t="s">
        <v>87</v>
      </c>
      <c r="D157" s="0" t="str">
        <f aca="false">IFERROR(INDEX('Materials Master'!$B$2:$B$27,MATCH($C157,'Materials Master'!$A$2:$A$27,0)),"")</f>
        <v>Other/Residual Materials</v>
      </c>
      <c r="E157" s="0" t="str">
        <f aca="false">IFERROR(INDEX('Materials Master'!$C$2:$C$27,MATCH($C157,'Materials Master'!$A$2:$A$27,0)),"")</f>
        <v>Other</v>
      </c>
      <c r="F157" s="0" t="n">
        <f aca="false">IF(SUMIFS(Fact_SortedWeights!$E$2:$E$89,Fact_SortedWeights!$C$2:$C$89,$A157,Fact_SortedWeights!$B$2:$B$89,$B157)=0,0,SUMIFS(Fact_SortedWeights!$E$2:$E$89,Fact_SortedWeights!$C$2:$C$89,$A157,Fact_SortedWeights!$B$2:$B$89,$B157,Fact_SortedWeights!$D$2:$D$89,$C157)/SUMIFS(Fact_SortedWeights!$E$2:$E$89,Fact_SortedWeights!$C$2:$C$89,$A157,Fact_SortedWeights!$B$2:$B$89,$B157)*(IF($B157="Cardboard Recycling",SUMIFS(Fact_SortedWeights!$E$2:$E$89,Fact_SortedWeights!$C$2:$C$89,$A157,Fact_SortedWeights!$B$2:$B$89,$B157),SUMIFS(Fact_PreSortWeights!$E$2:$E$186,Fact_PreSortWeights!$C$2:$C$186,$A157,Fact_PreSortWeights!$B$2:$B$186,$B157))))</f>
        <v>0</v>
      </c>
      <c r="G157" s="0" t="n">
        <f aca="false">IF(AND(IF($B157="Trash",INDEX('Materials Master'!$F$2:$F$27,MATCH($C157,'Materials Master'!$A$2:$A$27,0)),IF($B157="GMPC Recycling",INDEX('Materials Master'!$G$2:$G$27,MATCH($C157,'Materials Master'!$A$2:$A$27,0)),IF($B157="Organics Recycling",INDEX('Materials Master'!$H$2:$H$27,MATCH($C157,'Materials Master'!$A$2:$A$27,0)),IF($B157="Cardboard Recycling",INDEX('Materials Master'!$I$2:$I$27,MATCH($C157,'Materials Master'!$A$2:$A$27,0)),IF($B157="Paper Recycling",INDEX('Materials Master'!$J$2:$J$27,MATCH($C157,'Materials Master'!$A$2:$A$27,0)),IF($B157="Terracycle",INDEX('Materials Master'!$K$2:$K$27,MATCH($C157,'Materials Master'!$A$2:$A$27,0)),"No"))))))="Yes",INDEX('Materials Master'!$E$2:$E$27,MATCH($C157,'Materials Master'!$A$2:$A$27,0))="Yes",$B157&lt;&gt;"Trash"),1,0)</f>
        <v>0</v>
      </c>
      <c r="H157" s="0" t="str">
        <f aca="false">INDEX('Materials Master'!$E$2:$E$27,MATCH($C157,'Materials Master'!$A$2:$A$27,0))</f>
        <v>No</v>
      </c>
      <c r="I157" s="0" t="str">
        <f aca="false">IFERROR(INDEX(Areas!$C$2:$C$6,MATCH($A157,Areas!$B$2:$B$6,0)),"")</f>
        <v>Rest of Building</v>
      </c>
      <c r="J157" s="0" t="n">
        <f aca="false">IF(IF($B157="Trash",INDEX('Materials Master'!$F$2:$F$27,MATCH($C157,'Materials Master'!$A$2:$A$27,0)),IF($B157="GMPC Recycling",INDEX('Materials Master'!$G$2:$G$27,MATCH($C157,'Materials Master'!$A$2:$A$27,0)),IF($B157="Organics Recycling",INDEX('Materials Master'!$H$2:$H$27,MATCH($C157,'Materials Master'!$A$2:$A$27,0)),IF($B157="Cardboard Recycling",INDEX('Materials Master'!$I$2:$I$27,MATCH($C157,'Materials Master'!$A$2:$A$27,0)),IF($B157="Paper Recycling",INDEX('Materials Master'!$J$2:$J$27,MATCH($C157,'Materials Master'!$A$2:$A$27,0)),IF($B157="Terracycle",INDEX('Materials Master'!$K$2:$K$27,MATCH($C157,'Materials Master'!$A$2:$A$27,0)),"No"))))))="Yes",1,0)</f>
        <v>0</v>
      </c>
    </row>
    <row r="158" customFormat="false" ht="15" hidden="false" customHeight="false" outlineLevel="0" collapsed="false">
      <c r="A158" s="0" t="s">
        <v>95</v>
      </c>
      <c r="B158" s="0" t="s">
        <v>103</v>
      </c>
      <c r="C158" s="0" t="s">
        <v>28</v>
      </c>
      <c r="D158" s="0" t="str">
        <f aca="false">IFERROR(INDEX('Materials Master'!$B$2:$B$27,MATCH($C158,'Materials Master'!$A$2:$A$27,0)),"")</f>
        <v>Corrugated Cardboard</v>
      </c>
      <c r="E158" s="0" t="str">
        <f aca="false">IFERROR(INDEX('Materials Master'!$C$2:$C$27,MATCH($C158,'Materials Master'!$A$2:$A$27,0)),"")</f>
        <v>Fibers</v>
      </c>
      <c r="F158" s="0" t="n">
        <f aca="false">IF(SUMIFS(Fact_SortedWeights!$E$2:$E$89,Fact_SortedWeights!$C$2:$C$89,$A158,Fact_SortedWeights!$B$2:$B$89,$B158)=0,0,SUMIFS(Fact_SortedWeights!$E$2:$E$89,Fact_SortedWeights!$C$2:$C$89,$A158,Fact_SortedWeights!$B$2:$B$89,$B158,Fact_SortedWeights!$D$2:$D$89,$C158)/SUMIFS(Fact_SortedWeights!$E$2:$E$89,Fact_SortedWeights!$C$2:$C$89,$A158,Fact_SortedWeights!$B$2:$B$89,$B158)*(IF($B158="Cardboard Recycling",SUMIFS(Fact_SortedWeights!$E$2:$E$89,Fact_SortedWeights!$C$2:$C$89,$A158,Fact_SortedWeights!$B$2:$B$89,$B158),SUMIFS(Fact_PreSortWeights!$E$2:$E$186,Fact_PreSortWeights!$C$2:$C$186,$A158,Fact_PreSortWeights!$B$2:$B$186,$B158))))</f>
        <v>0</v>
      </c>
      <c r="G158" s="0" t="n">
        <f aca="false">IF(AND(IF($B158="Trash",INDEX('Materials Master'!$F$2:$F$27,MATCH($C158,'Materials Master'!$A$2:$A$27,0)),IF($B158="GMPC Recycling",INDEX('Materials Master'!$G$2:$G$27,MATCH($C158,'Materials Master'!$A$2:$A$27,0)),IF($B158="Organics Recycling",INDEX('Materials Master'!$H$2:$H$27,MATCH($C158,'Materials Master'!$A$2:$A$27,0)),IF($B158="Cardboard Recycling",INDEX('Materials Master'!$I$2:$I$27,MATCH($C158,'Materials Master'!$A$2:$A$27,0)),IF($B158="Paper Recycling",INDEX('Materials Master'!$J$2:$J$27,MATCH($C158,'Materials Master'!$A$2:$A$27,0)),IF($B158="Terracycle",INDEX('Materials Master'!$K$2:$K$27,MATCH($C158,'Materials Master'!$A$2:$A$27,0)),"No"))))))="Yes",INDEX('Materials Master'!$E$2:$E$27,MATCH($C158,'Materials Master'!$A$2:$A$27,0))="Yes",$B158&lt;&gt;"Trash"),1,0)</f>
        <v>0</v>
      </c>
      <c r="H158" s="0" t="str">
        <f aca="false">INDEX('Materials Master'!$E$2:$E$27,MATCH($C158,'Materials Master'!$A$2:$A$27,0))</f>
        <v>Yes</v>
      </c>
      <c r="I158" s="0" t="str">
        <f aca="false">IFERROR(INDEX(Areas!$C$2:$C$6,MATCH($A158,Areas!$B$2:$B$6,0)),"")</f>
        <v>BOH</v>
      </c>
      <c r="J158" s="0" t="n">
        <f aca="false">IF(IF($B158="Trash",INDEX('Materials Master'!$F$2:$F$27,MATCH($C158,'Materials Master'!$A$2:$A$27,0)),IF($B158="GMPC Recycling",INDEX('Materials Master'!$G$2:$G$27,MATCH($C158,'Materials Master'!$A$2:$A$27,0)),IF($B158="Organics Recycling",INDEX('Materials Master'!$H$2:$H$27,MATCH($C158,'Materials Master'!$A$2:$A$27,0)),IF($B158="Cardboard Recycling",INDEX('Materials Master'!$I$2:$I$27,MATCH($C158,'Materials Master'!$A$2:$A$27,0)),IF($B158="Paper Recycling",INDEX('Materials Master'!$J$2:$J$27,MATCH($C158,'Materials Master'!$A$2:$A$27,0)),IF($B158="Terracycle",INDEX('Materials Master'!$K$2:$K$27,MATCH($C158,'Materials Master'!$A$2:$A$27,0)),"No"))))))="Yes",1,0)</f>
        <v>0</v>
      </c>
    </row>
    <row r="159" customFormat="false" ht="15" hidden="false" customHeight="false" outlineLevel="0" collapsed="false">
      <c r="A159" s="0" t="s">
        <v>95</v>
      </c>
      <c r="B159" s="0" t="s">
        <v>103</v>
      </c>
      <c r="C159" s="0" t="s">
        <v>33</v>
      </c>
      <c r="D159" s="0" t="str">
        <f aca="false">IFERROR(INDEX('Materials Master'!$B$2:$B$27,MATCH($C159,'Materials Master'!$A$2:$A$27,0)),"")</f>
        <v>Soiled Cardboard</v>
      </c>
      <c r="E159" s="0" t="str">
        <f aca="false">IFERROR(INDEX('Materials Master'!$C$2:$C$27,MATCH($C159,'Materials Master'!$A$2:$A$27,0)),"")</f>
        <v>Fibers</v>
      </c>
      <c r="F159" s="0" t="n">
        <f aca="false">IF(SUMIFS(Fact_SortedWeights!$E$2:$E$89,Fact_SortedWeights!$C$2:$C$89,$A159,Fact_SortedWeights!$B$2:$B$89,$B159)=0,0,SUMIFS(Fact_SortedWeights!$E$2:$E$89,Fact_SortedWeights!$C$2:$C$89,$A159,Fact_SortedWeights!$B$2:$B$89,$B159,Fact_SortedWeights!$D$2:$D$89,$C159)/SUMIFS(Fact_SortedWeights!$E$2:$E$89,Fact_SortedWeights!$C$2:$C$89,$A159,Fact_SortedWeights!$B$2:$B$89,$B159)*(IF($B159="Cardboard Recycling",SUMIFS(Fact_SortedWeights!$E$2:$E$89,Fact_SortedWeights!$C$2:$C$89,$A159,Fact_SortedWeights!$B$2:$B$89,$B159),SUMIFS(Fact_PreSortWeights!$E$2:$E$186,Fact_PreSortWeights!$C$2:$C$186,$A159,Fact_PreSortWeights!$B$2:$B$186,$B159))))</f>
        <v>0</v>
      </c>
      <c r="G159" s="0" t="n">
        <f aca="false">IF(AND(IF($B159="Trash",INDEX('Materials Master'!$F$2:$F$27,MATCH($C159,'Materials Master'!$A$2:$A$27,0)),IF($B159="GMPC Recycling",INDEX('Materials Master'!$G$2:$G$27,MATCH($C159,'Materials Master'!$A$2:$A$27,0)),IF($B159="Organics Recycling",INDEX('Materials Master'!$H$2:$H$27,MATCH($C159,'Materials Master'!$A$2:$A$27,0)),IF($B159="Cardboard Recycling",INDEX('Materials Master'!$I$2:$I$27,MATCH($C159,'Materials Master'!$A$2:$A$27,0)),IF($B159="Paper Recycling",INDEX('Materials Master'!$J$2:$J$27,MATCH($C159,'Materials Master'!$A$2:$A$27,0)),IF($B159="Terracycle",INDEX('Materials Master'!$K$2:$K$27,MATCH($C159,'Materials Master'!$A$2:$A$27,0)),"No"))))))="Yes",INDEX('Materials Master'!$E$2:$E$27,MATCH($C159,'Materials Master'!$A$2:$A$27,0))="Yes",$B159&lt;&gt;"Trash"),1,0)</f>
        <v>0</v>
      </c>
      <c r="H159" s="0" t="str">
        <f aca="false">INDEX('Materials Master'!$E$2:$E$27,MATCH($C159,'Materials Master'!$A$2:$A$27,0))</f>
        <v>No</v>
      </c>
      <c r="I159" s="0" t="str">
        <f aca="false">IFERROR(INDEX(Areas!$C$2:$C$6,MATCH($A159,Areas!$B$2:$B$6,0)),"")</f>
        <v>BOH</v>
      </c>
      <c r="J159" s="0" t="n">
        <f aca="false">IF(IF($B159="Trash",INDEX('Materials Master'!$F$2:$F$27,MATCH($C159,'Materials Master'!$A$2:$A$27,0)),IF($B159="GMPC Recycling",INDEX('Materials Master'!$G$2:$G$27,MATCH($C159,'Materials Master'!$A$2:$A$27,0)),IF($B159="Organics Recycling",INDEX('Materials Master'!$H$2:$H$27,MATCH($C159,'Materials Master'!$A$2:$A$27,0)),IF($B159="Cardboard Recycling",INDEX('Materials Master'!$I$2:$I$27,MATCH($C159,'Materials Master'!$A$2:$A$27,0)),IF($B159="Paper Recycling",INDEX('Materials Master'!$J$2:$J$27,MATCH($C159,'Materials Master'!$A$2:$A$27,0)),IF($B159="Terracycle",INDEX('Materials Master'!$K$2:$K$27,MATCH($C159,'Materials Master'!$A$2:$A$27,0)),"No"))))))="Yes",1,0)</f>
        <v>1</v>
      </c>
    </row>
    <row r="160" customFormat="false" ht="15" hidden="false" customHeight="false" outlineLevel="0" collapsed="false">
      <c r="A160" s="0" t="s">
        <v>95</v>
      </c>
      <c r="B160" s="0" t="s">
        <v>103</v>
      </c>
      <c r="C160" s="0" t="s">
        <v>35</v>
      </c>
      <c r="D160" s="0" t="str">
        <f aca="false">IFERROR(INDEX('Materials Master'!$B$2:$B$27,MATCH($C160,'Materials Master'!$A$2:$A$27,0)),"")</f>
        <v>Waxed Cardboard</v>
      </c>
      <c r="E160" s="0" t="str">
        <f aca="false">IFERROR(INDEX('Materials Master'!$C$2:$C$27,MATCH($C160,'Materials Master'!$A$2:$A$27,0)),"")</f>
        <v>Fibers</v>
      </c>
      <c r="F160" s="0" t="n">
        <f aca="false">IF(SUMIFS(Fact_SortedWeights!$E$2:$E$89,Fact_SortedWeights!$C$2:$C$89,$A160,Fact_SortedWeights!$B$2:$B$89,$B160)=0,0,SUMIFS(Fact_SortedWeights!$E$2:$E$89,Fact_SortedWeights!$C$2:$C$89,$A160,Fact_SortedWeights!$B$2:$B$89,$B160,Fact_SortedWeights!$D$2:$D$89,$C160)/SUMIFS(Fact_SortedWeights!$E$2:$E$89,Fact_SortedWeights!$C$2:$C$89,$A160,Fact_SortedWeights!$B$2:$B$89,$B160)*(IF($B160="Cardboard Recycling",SUMIFS(Fact_SortedWeights!$E$2:$E$89,Fact_SortedWeights!$C$2:$C$89,$A160,Fact_SortedWeights!$B$2:$B$89,$B160),SUMIFS(Fact_PreSortWeights!$E$2:$E$186,Fact_PreSortWeights!$C$2:$C$186,$A160,Fact_PreSortWeights!$B$2:$B$186,$B160))))</f>
        <v>0</v>
      </c>
      <c r="G160" s="0" t="n">
        <f aca="false">IF(AND(IF($B160="Trash",INDEX('Materials Master'!$F$2:$F$27,MATCH($C160,'Materials Master'!$A$2:$A$27,0)),IF($B160="GMPC Recycling",INDEX('Materials Master'!$G$2:$G$27,MATCH($C160,'Materials Master'!$A$2:$A$27,0)),IF($B160="Organics Recycling",INDEX('Materials Master'!$H$2:$H$27,MATCH($C160,'Materials Master'!$A$2:$A$27,0)),IF($B160="Cardboard Recycling",INDEX('Materials Master'!$I$2:$I$27,MATCH($C160,'Materials Master'!$A$2:$A$27,0)),IF($B160="Paper Recycling",INDEX('Materials Master'!$J$2:$J$27,MATCH($C160,'Materials Master'!$A$2:$A$27,0)),IF($B160="Terracycle",INDEX('Materials Master'!$K$2:$K$27,MATCH($C160,'Materials Master'!$A$2:$A$27,0)),"No"))))))="Yes",INDEX('Materials Master'!$E$2:$E$27,MATCH($C160,'Materials Master'!$A$2:$A$27,0))="Yes",$B160&lt;&gt;"Trash"),1,0)</f>
        <v>0</v>
      </c>
      <c r="H160" s="0" t="str">
        <f aca="false">INDEX('Materials Master'!$E$2:$E$27,MATCH($C160,'Materials Master'!$A$2:$A$27,0))</f>
        <v>No</v>
      </c>
      <c r="I160" s="0" t="str">
        <f aca="false">IFERROR(INDEX(Areas!$C$2:$C$6,MATCH($A160,Areas!$B$2:$B$6,0)),"")</f>
        <v>BOH</v>
      </c>
      <c r="J160" s="0" t="n">
        <f aca="false">IF(IF($B160="Trash",INDEX('Materials Master'!$F$2:$F$27,MATCH($C160,'Materials Master'!$A$2:$A$27,0)),IF($B160="GMPC Recycling",INDEX('Materials Master'!$G$2:$G$27,MATCH($C160,'Materials Master'!$A$2:$A$27,0)),IF($B160="Organics Recycling",INDEX('Materials Master'!$H$2:$H$27,MATCH($C160,'Materials Master'!$A$2:$A$27,0)),IF($B160="Cardboard Recycling",INDEX('Materials Master'!$I$2:$I$27,MATCH($C160,'Materials Master'!$A$2:$A$27,0)),IF($B160="Paper Recycling",INDEX('Materials Master'!$J$2:$J$27,MATCH($C160,'Materials Master'!$A$2:$A$27,0)),IF($B160="Terracycle",INDEX('Materials Master'!$K$2:$K$27,MATCH($C160,'Materials Master'!$A$2:$A$27,0)),"No"))))))="Yes",1,0)</f>
        <v>1</v>
      </c>
    </row>
    <row r="161" customFormat="false" ht="15" hidden="false" customHeight="false" outlineLevel="0" collapsed="false">
      <c r="A161" s="0" t="s">
        <v>95</v>
      </c>
      <c r="B161" s="0" t="s">
        <v>103</v>
      </c>
      <c r="C161" s="0" t="s">
        <v>37</v>
      </c>
      <c r="D161" s="0" t="str">
        <f aca="false">IFERROR(INDEX('Materials Master'!$B$2:$B$27,MATCH($C161,'Materials Master'!$A$2:$A$27,0)),"")</f>
        <v>Mixed Paper</v>
      </c>
      <c r="E161" s="0" t="str">
        <f aca="false">IFERROR(INDEX('Materials Master'!$C$2:$C$27,MATCH($C161,'Materials Master'!$A$2:$A$27,0)),"")</f>
        <v>Fibers</v>
      </c>
      <c r="F161" s="0" t="n">
        <f aca="false">IF(SUMIFS(Fact_SortedWeights!$E$2:$E$89,Fact_SortedWeights!$C$2:$C$89,$A161,Fact_SortedWeights!$B$2:$B$89,$B161)=0,0,SUMIFS(Fact_SortedWeights!$E$2:$E$89,Fact_SortedWeights!$C$2:$C$89,$A161,Fact_SortedWeights!$B$2:$B$89,$B161,Fact_SortedWeights!$D$2:$D$89,$C161)/SUMIFS(Fact_SortedWeights!$E$2:$E$89,Fact_SortedWeights!$C$2:$C$89,$A161,Fact_SortedWeights!$B$2:$B$89,$B161)*(IF($B161="Cardboard Recycling",SUMIFS(Fact_SortedWeights!$E$2:$E$89,Fact_SortedWeights!$C$2:$C$89,$A161,Fact_SortedWeights!$B$2:$B$89,$B161),SUMIFS(Fact_PreSortWeights!$E$2:$E$186,Fact_PreSortWeights!$C$2:$C$186,$A161,Fact_PreSortWeights!$B$2:$B$186,$B161))))</f>
        <v>56.8519532451554</v>
      </c>
      <c r="G161" s="0" t="n">
        <f aca="false">IF(AND(IF($B161="Trash",INDEX('Materials Master'!$F$2:$F$27,MATCH($C161,'Materials Master'!$A$2:$A$27,0)),IF($B161="GMPC Recycling",INDEX('Materials Master'!$G$2:$G$27,MATCH($C161,'Materials Master'!$A$2:$A$27,0)),IF($B161="Organics Recycling",INDEX('Materials Master'!$H$2:$H$27,MATCH($C161,'Materials Master'!$A$2:$A$27,0)),IF($B161="Cardboard Recycling",INDEX('Materials Master'!$I$2:$I$27,MATCH($C161,'Materials Master'!$A$2:$A$27,0)),IF($B161="Paper Recycling",INDEX('Materials Master'!$J$2:$J$27,MATCH($C161,'Materials Master'!$A$2:$A$27,0)),IF($B161="Terracycle",INDEX('Materials Master'!$K$2:$K$27,MATCH($C161,'Materials Master'!$A$2:$A$27,0)),"No"))))))="Yes",INDEX('Materials Master'!$E$2:$E$27,MATCH($C161,'Materials Master'!$A$2:$A$27,0))="Yes",$B161&lt;&gt;"Trash"),1,0)</f>
        <v>0</v>
      </c>
      <c r="H161" s="0" t="str">
        <f aca="false">INDEX('Materials Master'!$E$2:$E$27,MATCH($C161,'Materials Master'!$A$2:$A$27,0))</f>
        <v>Yes</v>
      </c>
      <c r="I161" s="0" t="str">
        <f aca="false">IFERROR(INDEX(Areas!$C$2:$C$6,MATCH($A161,Areas!$B$2:$B$6,0)),"")</f>
        <v>BOH</v>
      </c>
      <c r="J161" s="0" t="n">
        <f aca="false">IF(IF($B161="Trash",INDEX('Materials Master'!$F$2:$F$27,MATCH($C161,'Materials Master'!$A$2:$A$27,0)),IF($B161="GMPC Recycling",INDEX('Materials Master'!$G$2:$G$27,MATCH($C161,'Materials Master'!$A$2:$A$27,0)),IF($B161="Organics Recycling",INDEX('Materials Master'!$H$2:$H$27,MATCH($C161,'Materials Master'!$A$2:$A$27,0)),IF($B161="Cardboard Recycling",INDEX('Materials Master'!$I$2:$I$27,MATCH($C161,'Materials Master'!$A$2:$A$27,0)),IF($B161="Paper Recycling",INDEX('Materials Master'!$J$2:$J$27,MATCH($C161,'Materials Master'!$A$2:$A$27,0)),IF($B161="Terracycle",INDEX('Materials Master'!$K$2:$K$27,MATCH($C161,'Materials Master'!$A$2:$A$27,0)),"No"))))))="Yes",1,0)</f>
        <v>0</v>
      </c>
    </row>
    <row r="162" customFormat="false" ht="15" hidden="false" customHeight="false" outlineLevel="0" collapsed="false">
      <c r="A162" s="0" t="s">
        <v>95</v>
      </c>
      <c r="B162" s="0" t="s">
        <v>103</v>
      </c>
      <c r="C162" s="0" t="s">
        <v>39</v>
      </c>
      <c r="D162" s="0" t="str">
        <f aca="false">IFERROR(INDEX('Materials Master'!$B$2:$B$27,MATCH($C162,'Materials Master'!$A$2:$A$27,0)),"")</f>
        <v>Soiled Paper</v>
      </c>
      <c r="E162" s="0" t="str">
        <f aca="false">IFERROR(INDEX('Materials Master'!$C$2:$C$27,MATCH($C162,'Materials Master'!$A$2:$A$27,0)),"")</f>
        <v>Fibers</v>
      </c>
      <c r="F162" s="0" t="n">
        <f aca="false">IF(SUMIFS(Fact_SortedWeights!$E$2:$E$89,Fact_SortedWeights!$C$2:$C$89,$A162,Fact_SortedWeights!$B$2:$B$89,$B162)=0,0,SUMIFS(Fact_SortedWeights!$E$2:$E$89,Fact_SortedWeights!$C$2:$C$89,$A162,Fact_SortedWeights!$B$2:$B$89,$B162,Fact_SortedWeights!$D$2:$D$89,$C162)/SUMIFS(Fact_SortedWeights!$E$2:$E$89,Fact_SortedWeights!$C$2:$C$89,$A162,Fact_SortedWeights!$B$2:$B$89,$B162)*(IF($B162="Cardboard Recycling",SUMIFS(Fact_SortedWeights!$E$2:$E$89,Fact_SortedWeights!$C$2:$C$89,$A162,Fact_SortedWeights!$B$2:$B$89,$B162),SUMIFS(Fact_PreSortWeights!$E$2:$E$186,Fact_PreSortWeights!$C$2:$C$186,$A162,Fact_PreSortWeights!$B$2:$B$186,$B162))))</f>
        <v>0</v>
      </c>
      <c r="G162" s="0" t="n">
        <f aca="false">IF(AND(IF($B162="Trash",INDEX('Materials Master'!$F$2:$F$27,MATCH($C162,'Materials Master'!$A$2:$A$27,0)),IF($B162="GMPC Recycling",INDEX('Materials Master'!$G$2:$G$27,MATCH($C162,'Materials Master'!$A$2:$A$27,0)),IF($B162="Organics Recycling",INDEX('Materials Master'!$H$2:$H$27,MATCH($C162,'Materials Master'!$A$2:$A$27,0)),IF($B162="Cardboard Recycling",INDEX('Materials Master'!$I$2:$I$27,MATCH($C162,'Materials Master'!$A$2:$A$27,0)),IF($B162="Paper Recycling",INDEX('Materials Master'!$J$2:$J$27,MATCH($C162,'Materials Master'!$A$2:$A$27,0)),IF($B162="Terracycle",INDEX('Materials Master'!$K$2:$K$27,MATCH($C162,'Materials Master'!$A$2:$A$27,0)),"No"))))))="Yes",INDEX('Materials Master'!$E$2:$E$27,MATCH($C162,'Materials Master'!$A$2:$A$27,0))="Yes",$B162&lt;&gt;"Trash"),1,0)</f>
        <v>0</v>
      </c>
      <c r="H162" s="0" t="str">
        <f aca="false">INDEX('Materials Master'!$E$2:$E$27,MATCH($C162,'Materials Master'!$A$2:$A$27,0))</f>
        <v>No</v>
      </c>
      <c r="I162" s="0" t="str">
        <f aca="false">IFERROR(INDEX(Areas!$C$2:$C$6,MATCH($A162,Areas!$B$2:$B$6,0)),"")</f>
        <v>BOH</v>
      </c>
      <c r="J162" s="0" t="n">
        <f aca="false">IF(IF($B162="Trash",INDEX('Materials Master'!$F$2:$F$27,MATCH($C162,'Materials Master'!$A$2:$A$27,0)),IF($B162="GMPC Recycling",INDEX('Materials Master'!$G$2:$G$27,MATCH($C162,'Materials Master'!$A$2:$A$27,0)),IF($B162="Organics Recycling",INDEX('Materials Master'!$H$2:$H$27,MATCH($C162,'Materials Master'!$A$2:$A$27,0)),IF($B162="Cardboard Recycling",INDEX('Materials Master'!$I$2:$I$27,MATCH($C162,'Materials Master'!$A$2:$A$27,0)),IF($B162="Paper Recycling",INDEX('Materials Master'!$J$2:$J$27,MATCH($C162,'Materials Master'!$A$2:$A$27,0)),IF($B162="Terracycle",INDEX('Materials Master'!$K$2:$K$27,MATCH($C162,'Materials Master'!$A$2:$A$27,0)),"No"))))))="Yes",1,0)</f>
        <v>1</v>
      </c>
    </row>
    <row r="163" customFormat="false" ht="15" hidden="false" customHeight="false" outlineLevel="0" collapsed="false">
      <c r="A163" s="0" t="s">
        <v>95</v>
      </c>
      <c r="B163" s="0" t="s">
        <v>103</v>
      </c>
      <c r="C163" s="0" t="s">
        <v>41</v>
      </c>
      <c r="D163" s="0" t="str">
        <f aca="false">IFERROR(INDEX('Materials Master'!$B$2:$B$27,MATCH($C163,'Materials Master'!$A$2:$A$27,0)),"")</f>
        <v>Beverage Cartons</v>
      </c>
      <c r="E163" s="0" t="str">
        <f aca="false">IFERROR(INDEX('Materials Master'!$C$2:$C$27,MATCH($C163,'Materials Master'!$A$2:$A$27,0)),"")</f>
        <v>Fibers</v>
      </c>
      <c r="F163" s="0" t="n">
        <f aca="false">IF(SUMIFS(Fact_SortedWeights!$E$2:$E$89,Fact_SortedWeights!$C$2:$C$89,$A163,Fact_SortedWeights!$B$2:$B$89,$B163)=0,0,SUMIFS(Fact_SortedWeights!$E$2:$E$89,Fact_SortedWeights!$C$2:$C$89,$A163,Fact_SortedWeights!$B$2:$B$89,$B163,Fact_SortedWeights!$D$2:$D$89,$C163)/SUMIFS(Fact_SortedWeights!$E$2:$E$89,Fact_SortedWeights!$C$2:$C$89,$A163,Fact_SortedWeights!$B$2:$B$89,$B163)*(IF($B163="Cardboard Recycling",SUMIFS(Fact_SortedWeights!$E$2:$E$89,Fact_SortedWeights!$C$2:$C$89,$A163,Fact_SortedWeights!$B$2:$B$89,$B163),SUMIFS(Fact_PreSortWeights!$E$2:$E$186,Fact_PreSortWeights!$C$2:$C$186,$A163,Fact_PreSortWeights!$B$2:$B$186,$B163))))</f>
        <v>10.1147646877884</v>
      </c>
      <c r="G163" s="0" t="n">
        <f aca="false">IF(AND(IF($B163="Trash",INDEX('Materials Master'!$F$2:$F$27,MATCH($C163,'Materials Master'!$A$2:$A$27,0)),IF($B163="GMPC Recycling",INDEX('Materials Master'!$G$2:$G$27,MATCH($C163,'Materials Master'!$A$2:$A$27,0)),IF($B163="Organics Recycling",INDEX('Materials Master'!$H$2:$H$27,MATCH($C163,'Materials Master'!$A$2:$A$27,0)),IF($B163="Cardboard Recycling",INDEX('Materials Master'!$I$2:$I$27,MATCH($C163,'Materials Master'!$A$2:$A$27,0)),IF($B163="Paper Recycling",INDEX('Materials Master'!$J$2:$J$27,MATCH($C163,'Materials Master'!$A$2:$A$27,0)),IF($B163="Terracycle",INDEX('Materials Master'!$K$2:$K$27,MATCH($C163,'Materials Master'!$A$2:$A$27,0)),"No"))))))="Yes",INDEX('Materials Master'!$E$2:$E$27,MATCH($C163,'Materials Master'!$A$2:$A$27,0))="Yes",$B163&lt;&gt;"Trash"),1,0)</f>
        <v>0</v>
      </c>
      <c r="H163" s="0" t="str">
        <f aca="false">INDEX('Materials Master'!$E$2:$E$27,MATCH($C163,'Materials Master'!$A$2:$A$27,0))</f>
        <v>Yes</v>
      </c>
      <c r="I163" s="0" t="str">
        <f aca="false">IFERROR(INDEX(Areas!$C$2:$C$6,MATCH($A163,Areas!$B$2:$B$6,0)),"")</f>
        <v>BOH</v>
      </c>
      <c r="J163" s="0" t="n">
        <f aca="false">IF(IF($B163="Trash",INDEX('Materials Master'!$F$2:$F$27,MATCH($C163,'Materials Master'!$A$2:$A$27,0)),IF($B163="GMPC Recycling",INDEX('Materials Master'!$G$2:$G$27,MATCH($C163,'Materials Master'!$A$2:$A$27,0)),IF($B163="Organics Recycling",INDEX('Materials Master'!$H$2:$H$27,MATCH($C163,'Materials Master'!$A$2:$A$27,0)),IF($B163="Cardboard Recycling",INDEX('Materials Master'!$I$2:$I$27,MATCH($C163,'Materials Master'!$A$2:$A$27,0)),IF($B163="Paper Recycling",INDEX('Materials Master'!$J$2:$J$27,MATCH($C163,'Materials Master'!$A$2:$A$27,0)),IF($B163="Terracycle",INDEX('Materials Master'!$K$2:$K$27,MATCH($C163,'Materials Master'!$A$2:$A$27,0)),"No"))))))="Yes",1,0)</f>
        <v>0</v>
      </c>
    </row>
    <row r="164" customFormat="false" ht="15" hidden="false" customHeight="false" outlineLevel="0" collapsed="false">
      <c r="A164" s="0" t="s">
        <v>95</v>
      </c>
      <c r="B164" s="0" t="s">
        <v>103</v>
      </c>
      <c r="C164" s="0" t="s">
        <v>43</v>
      </c>
      <c r="D164" s="0" t="str">
        <f aca="false">IFERROR(INDEX('Materials Master'!$B$2:$B$27,MATCH($C164,'Materials Master'!$A$2:$A$27,0)),"")</f>
        <v>Soiled Beverage Cartons</v>
      </c>
      <c r="E164" s="0" t="str">
        <f aca="false">IFERROR(INDEX('Materials Master'!$C$2:$C$27,MATCH($C164,'Materials Master'!$A$2:$A$27,0)),"")</f>
        <v>Fibers</v>
      </c>
      <c r="F164" s="0" t="n">
        <f aca="false">IF(SUMIFS(Fact_SortedWeights!$E$2:$E$89,Fact_SortedWeights!$C$2:$C$89,$A164,Fact_SortedWeights!$B$2:$B$89,$B164)=0,0,SUMIFS(Fact_SortedWeights!$E$2:$E$89,Fact_SortedWeights!$C$2:$C$89,$A164,Fact_SortedWeights!$B$2:$B$89,$B164,Fact_SortedWeights!$D$2:$D$89,$C164)/SUMIFS(Fact_SortedWeights!$E$2:$E$89,Fact_SortedWeights!$C$2:$C$89,$A164,Fact_SortedWeights!$B$2:$B$89,$B164)*(IF($B164="Cardboard Recycling",SUMIFS(Fact_SortedWeights!$E$2:$E$89,Fact_SortedWeights!$C$2:$C$89,$A164,Fact_SortedWeights!$B$2:$B$89,$B164),SUMIFS(Fact_PreSortWeights!$E$2:$E$186,Fact_PreSortWeights!$C$2:$C$186,$A164,Fact_PreSortWeights!$B$2:$B$186,$B164))))</f>
        <v>0</v>
      </c>
      <c r="G164" s="0" t="n">
        <f aca="false">IF(AND(IF($B164="Trash",INDEX('Materials Master'!$F$2:$F$27,MATCH($C164,'Materials Master'!$A$2:$A$27,0)),IF($B164="GMPC Recycling",INDEX('Materials Master'!$G$2:$G$27,MATCH($C164,'Materials Master'!$A$2:$A$27,0)),IF($B164="Organics Recycling",INDEX('Materials Master'!$H$2:$H$27,MATCH($C164,'Materials Master'!$A$2:$A$27,0)),IF($B164="Cardboard Recycling",INDEX('Materials Master'!$I$2:$I$27,MATCH($C164,'Materials Master'!$A$2:$A$27,0)),IF($B164="Paper Recycling",INDEX('Materials Master'!$J$2:$J$27,MATCH($C164,'Materials Master'!$A$2:$A$27,0)),IF($B164="Terracycle",INDEX('Materials Master'!$K$2:$K$27,MATCH($C164,'Materials Master'!$A$2:$A$27,0)),"No"))))))="Yes",INDEX('Materials Master'!$E$2:$E$27,MATCH($C164,'Materials Master'!$A$2:$A$27,0))="Yes",$B164&lt;&gt;"Trash"),1,0)</f>
        <v>0</v>
      </c>
      <c r="H164" s="0" t="str">
        <f aca="false">INDEX('Materials Master'!$E$2:$E$27,MATCH($C164,'Materials Master'!$A$2:$A$27,0))</f>
        <v>No</v>
      </c>
      <c r="I164" s="0" t="str">
        <f aca="false">IFERROR(INDEX(Areas!$C$2:$C$6,MATCH($A164,Areas!$B$2:$B$6,0)),"")</f>
        <v>BOH</v>
      </c>
      <c r="J164" s="0" t="n">
        <f aca="false">IF(IF($B164="Trash",INDEX('Materials Master'!$F$2:$F$27,MATCH($C164,'Materials Master'!$A$2:$A$27,0)),IF($B164="GMPC Recycling",INDEX('Materials Master'!$G$2:$G$27,MATCH($C164,'Materials Master'!$A$2:$A$27,0)),IF($B164="Organics Recycling",INDEX('Materials Master'!$H$2:$H$27,MATCH($C164,'Materials Master'!$A$2:$A$27,0)),IF($B164="Cardboard Recycling",INDEX('Materials Master'!$I$2:$I$27,MATCH($C164,'Materials Master'!$A$2:$A$27,0)),IF($B164="Paper Recycling",INDEX('Materials Master'!$J$2:$J$27,MATCH($C164,'Materials Master'!$A$2:$A$27,0)),IF($B164="Terracycle",INDEX('Materials Master'!$K$2:$K$27,MATCH($C164,'Materials Master'!$A$2:$A$27,0)),"No"))))))="Yes",1,0)</f>
        <v>1</v>
      </c>
    </row>
    <row r="165" customFormat="false" ht="15" hidden="false" customHeight="false" outlineLevel="0" collapsed="false">
      <c r="A165" s="0" t="s">
        <v>95</v>
      </c>
      <c r="B165" s="0" t="s">
        <v>103</v>
      </c>
      <c r="C165" s="0" t="s">
        <v>45</v>
      </c>
      <c r="D165" s="0" t="str">
        <f aca="false">IFERROR(INDEX('Materials Master'!$B$2:$B$27,MATCH($C165,'Materials Master'!$A$2:$A$27,0)),"")</f>
        <v>Paper Cups / Other Coated Paper Containers</v>
      </c>
      <c r="E165" s="0" t="str">
        <f aca="false">IFERROR(INDEX('Materials Master'!$C$2:$C$27,MATCH($C165,'Materials Master'!$A$2:$A$27,0)),"")</f>
        <v>Fibers</v>
      </c>
      <c r="F165" s="0" t="n">
        <f aca="false">IF(SUMIFS(Fact_SortedWeights!$E$2:$E$89,Fact_SortedWeights!$C$2:$C$89,$A165,Fact_SortedWeights!$B$2:$B$89,$B165)=0,0,SUMIFS(Fact_SortedWeights!$E$2:$E$89,Fact_SortedWeights!$C$2:$C$89,$A165,Fact_SortedWeights!$B$2:$B$89,$B165,Fact_SortedWeights!$D$2:$D$89,$C165)/SUMIFS(Fact_SortedWeights!$E$2:$E$89,Fact_SortedWeights!$C$2:$C$89,$A165,Fact_SortedWeights!$B$2:$B$89,$B165)*(IF($B165="Cardboard Recycling",SUMIFS(Fact_SortedWeights!$E$2:$E$89,Fact_SortedWeights!$C$2:$C$89,$A165,Fact_SortedWeights!$B$2:$B$89,$B165),SUMIFS(Fact_PreSortWeights!$E$2:$E$186,Fact_PreSortWeights!$C$2:$C$186,$A165,Fact_PreSortWeights!$B$2:$B$186,$B165))))</f>
        <v>0</v>
      </c>
      <c r="G165" s="0" t="n">
        <f aca="false">IF(AND(IF($B165="Trash",INDEX('Materials Master'!$F$2:$F$27,MATCH($C165,'Materials Master'!$A$2:$A$27,0)),IF($B165="GMPC Recycling",INDEX('Materials Master'!$G$2:$G$27,MATCH($C165,'Materials Master'!$A$2:$A$27,0)),IF($B165="Organics Recycling",INDEX('Materials Master'!$H$2:$H$27,MATCH($C165,'Materials Master'!$A$2:$A$27,0)),IF($B165="Cardboard Recycling",INDEX('Materials Master'!$I$2:$I$27,MATCH($C165,'Materials Master'!$A$2:$A$27,0)),IF($B165="Paper Recycling",INDEX('Materials Master'!$J$2:$J$27,MATCH($C165,'Materials Master'!$A$2:$A$27,0)),IF($B165="Terracycle",INDEX('Materials Master'!$K$2:$K$27,MATCH($C165,'Materials Master'!$A$2:$A$27,0)),"No"))))))="Yes",INDEX('Materials Master'!$E$2:$E$27,MATCH($C165,'Materials Master'!$A$2:$A$27,0))="Yes",$B165&lt;&gt;"Trash"),1,0)</f>
        <v>0</v>
      </c>
      <c r="H165" s="0" t="str">
        <f aca="false">INDEX('Materials Master'!$E$2:$E$27,MATCH($C165,'Materials Master'!$A$2:$A$27,0))</f>
        <v>No</v>
      </c>
      <c r="I165" s="0" t="str">
        <f aca="false">IFERROR(INDEX(Areas!$C$2:$C$6,MATCH($A165,Areas!$B$2:$B$6,0)),"")</f>
        <v>BOH</v>
      </c>
      <c r="J165" s="0" t="n">
        <f aca="false">IF(IF($B165="Trash",INDEX('Materials Master'!$F$2:$F$27,MATCH($C165,'Materials Master'!$A$2:$A$27,0)),IF($B165="GMPC Recycling",INDEX('Materials Master'!$G$2:$G$27,MATCH($C165,'Materials Master'!$A$2:$A$27,0)),IF($B165="Organics Recycling",INDEX('Materials Master'!$H$2:$H$27,MATCH($C165,'Materials Master'!$A$2:$A$27,0)),IF($B165="Cardboard Recycling",INDEX('Materials Master'!$I$2:$I$27,MATCH($C165,'Materials Master'!$A$2:$A$27,0)),IF($B165="Paper Recycling",INDEX('Materials Master'!$J$2:$J$27,MATCH($C165,'Materials Master'!$A$2:$A$27,0)),IF($B165="Terracycle",INDEX('Materials Master'!$K$2:$K$27,MATCH($C165,'Materials Master'!$A$2:$A$27,0)),"No"))))))="Yes",1,0)</f>
        <v>1</v>
      </c>
    </row>
    <row r="166" customFormat="false" ht="15" hidden="false" customHeight="false" outlineLevel="0" collapsed="false">
      <c r="A166" s="0" t="s">
        <v>95</v>
      </c>
      <c r="B166" s="0" t="s">
        <v>103</v>
      </c>
      <c r="C166" s="0" t="s">
        <v>47</v>
      </c>
      <c r="D166" s="0" t="str">
        <f aca="false">IFERROR(INDEX('Materials Master'!$B$2:$B$27,MATCH($C166,'Materials Master'!$A$2:$A$27,0)),"")</f>
        <v>Glass Bottles &amp; Jars</v>
      </c>
      <c r="E166" s="0" t="str">
        <f aca="false">IFERROR(INDEX('Materials Master'!$C$2:$C$27,MATCH($C166,'Materials Master'!$A$2:$A$27,0)),"")</f>
        <v>Glass</v>
      </c>
      <c r="F166" s="0" t="n">
        <f aca="false">IF(SUMIFS(Fact_SortedWeights!$E$2:$E$89,Fact_SortedWeights!$C$2:$C$89,$A166,Fact_SortedWeights!$B$2:$B$89,$B166)=0,0,SUMIFS(Fact_SortedWeights!$E$2:$E$89,Fact_SortedWeights!$C$2:$C$89,$A166,Fact_SortedWeights!$B$2:$B$89,$B166,Fact_SortedWeights!$D$2:$D$89,$C166)/SUMIFS(Fact_SortedWeights!$E$2:$E$89,Fact_SortedWeights!$C$2:$C$89,$A166,Fact_SortedWeights!$B$2:$B$89,$B166)*(IF($B166="Cardboard Recycling",SUMIFS(Fact_SortedWeights!$E$2:$E$89,Fact_SortedWeights!$C$2:$C$89,$A166,Fact_SortedWeights!$B$2:$B$89,$B166),SUMIFS(Fact_PreSortWeights!$E$2:$E$186,Fact_PreSortWeights!$C$2:$C$186,$A166,Fact_PreSortWeights!$B$2:$B$186,$B166))))</f>
        <v>0</v>
      </c>
      <c r="G166" s="0" t="n">
        <f aca="false">IF(AND(IF($B166="Trash",INDEX('Materials Master'!$F$2:$F$27,MATCH($C166,'Materials Master'!$A$2:$A$27,0)),IF($B166="GMPC Recycling",INDEX('Materials Master'!$G$2:$G$27,MATCH($C166,'Materials Master'!$A$2:$A$27,0)),IF($B166="Organics Recycling",INDEX('Materials Master'!$H$2:$H$27,MATCH($C166,'Materials Master'!$A$2:$A$27,0)),IF($B166="Cardboard Recycling",INDEX('Materials Master'!$I$2:$I$27,MATCH($C166,'Materials Master'!$A$2:$A$27,0)),IF($B166="Paper Recycling",INDEX('Materials Master'!$J$2:$J$27,MATCH($C166,'Materials Master'!$A$2:$A$27,0)),IF($B166="Terracycle",INDEX('Materials Master'!$K$2:$K$27,MATCH($C166,'Materials Master'!$A$2:$A$27,0)),"No"))))))="Yes",INDEX('Materials Master'!$E$2:$E$27,MATCH($C166,'Materials Master'!$A$2:$A$27,0))="Yes",$B166&lt;&gt;"Trash"),1,0)</f>
        <v>0</v>
      </c>
      <c r="H166" s="0" t="str">
        <f aca="false">INDEX('Materials Master'!$E$2:$E$27,MATCH($C166,'Materials Master'!$A$2:$A$27,0))</f>
        <v>Yes</v>
      </c>
      <c r="I166" s="0" t="str">
        <f aca="false">IFERROR(INDEX(Areas!$C$2:$C$6,MATCH($A166,Areas!$B$2:$B$6,0)),"")</f>
        <v>BOH</v>
      </c>
      <c r="J166" s="0" t="n">
        <f aca="false">IF(IF($B166="Trash",INDEX('Materials Master'!$F$2:$F$27,MATCH($C166,'Materials Master'!$A$2:$A$27,0)),IF($B166="GMPC Recycling",INDEX('Materials Master'!$G$2:$G$27,MATCH($C166,'Materials Master'!$A$2:$A$27,0)),IF($B166="Organics Recycling",INDEX('Materials Master'!$H$2:$H$27,MATCH($C166,'Materials Master'!$A$2:$A$27,0)),IF($B166="Cardboard Recycling",INDEX('Materials Master'!$I$2:$I$27,MATCH($C166,'Materials Master'!$A$2:$A$27,0)),IF($B166="Paper Recycling",INDEX('Materials Master'!$J$2:$J$27,MATCH($C166,'Materials Master'!$A$2:$A$27,0)),IF($B166="Terracycle",INDEX('Materials Master'!$K$2:$K$27,MATCH($C166,'Materials Master'!$A$2:$A$27,0)),"No"))))))="Yes",1,0)</f>
        <v>0</v>
      </c>
    </row>
    <row r="167" customFormat="false" ht="15" hidden="false" customHeight="false" outlineLevel="0" collapsed="false">
      <c r="A167" s="0" t="s">
        <v>95</v>
      </c>
      <c r="B167" s="0" t="s">
        <v>103</v>
      </c>
      <c r="C167" s="0" t="s">
        <v>50</v>
      </c>
      <c r="D167" s="0" t="str">
        <f aca="false">IFERROR(INDEX('Materials Master'!$B$2:$B$27,MATCH($C167,'Materials Master'!$A$2:$A$27,0)),"")</f>
        <v>Soiled Glass</v>
      </c>
      <c r="E167" s="0" t="str">
        <f aca="false">IFERROR(INDEX('Materials Master'!$C$2:$C$27,MATCH($C167,'Materials Master'!$A$2:$A$27,0)),"")</f>
        <v>Glass</v>
      </c>
      <c r="F167" s="0" t="n">
        <f aca="false">IF(SUMIFS(Fact_SortedWeights!$E$2:$E$89,Fact_SortedWeights!$C$2:$C$89,$A167,Fact_SortedWeights!$B$2:$B$89,$B167)=0,0,SUMIFS(Fact_SortedWeights!$E$2:$E$89,Fact_SortedWeights!$C$2:$C$89,$A167,Fact_SortedWeights!$B$2:$B$89,$B167,Fact_SortedWeights!$D$2:$D$89,$C167)/SUMIFS(Fact_SortedWeights!$E$2:$E$89,Fact_SortedWeights!$C$2:$C$89,$A167,Fact_SortedWeights!$B$2:$B$89,$B167)*(IF($B167="Cardboard Recycling",SUMIFS(Fact_SortedWeights!$E$2:$E$89,Fact_SortedWeights!$C$2:$C$89,$A167,Fact_SortedWeights!$B$2:$B$89,$B167),SUMIFS(Fact_PreSortWeights!$E$2:$E$186,Fact_PreSortWeights!$C$2:$C$186,$A167,Fact_PreSortWeights!$B$2:$B$186,$B167))))</f>
        <v>0</v>
      </c>
      <c r="G167" s="0" t="n">
        <f aca="false">IF(AND(IF($B167="Trash",INDEX('Materials Master'!$F$2:$F$27,MATCH($C167,'Materials Master'!$A$2:$A$27,0)),IF($B167="GMPC Recycling",INDEX('Materials Master'!$G$2:$G$27,MATCH($C167,'Materials Master'!$A$2:$A$27,0)),IF($B167="Organics Recycling",INDEX('Materials Master'!$H$2:$H$27,MATCH($C167,'Materials Master'!$A$2:$A$27,0)),IF($B167="Cardboard Recycling",INDEX('Materials Master'!$I$2:$I$27,MATCH($C167,'Materials Master'!$A$2:$A$27,0)),IF($B167="Paper Recycling",INDEX('Materials Master'!$J$2:$J$27,MATCH($C167,'Materials Master'!$A$2:$A$27,0)),IF($B167="Terracycle",INDEX('Materials Master'!$K$2:$K$27,MATCH($C167,'Materials Master'!$A$2:$A$27,0)),"No"))))))="Yes",INDEX('Materials Master'!$E$2:$E$27,MATCH($C167,'Materials Master'!$A$2:$A$27,0))="Yes",$B167&lt;&gt;"Trash"),1,0)</f>
        <v>0</v>
      </c>
      <c r="H167" s="0" t="str">
        <f aca="false">INDEX('Materials Master'!$E$2:$E$27,MATCH($C167,'Materials Master'!$A$2:$A$27,0))</f>
        <v>No</v>
      </c>
      <c r="I167" s="0" t="str">
        <f aca="false">IFERROR(INDEX(Areas!$C$2:$C$6,MATCH($A167,Areas!$B$2:$B$6,0)),"")</f>
        <v>BOH</v>
      </c>
      <c r="J167" s="0" t="n">
        <f aca="false">IF(IF($B167="Trash",INDEX('Materials Master'!$F$2:$F$27,MATCH($C167,'Materials Master'!$A$2:$A$27,0)),IF($B167="GMPC Recycling",INDEX('Materials Master'!$G$2:$G$27,MATCH($C167,'Materials Master'!$A$2:$A$27,0)),IF($B167="Organics Recycling",INDEX('Materials Master'!$H$2:$H$27,MATCH($C167,'Materials Master'!$A$2:$A$27,0)),IF($B167="Cardboard Recycling",INDEX('Materials Master'!$I$2:$I$27,MATCH($C167,'Materials Master'!$A$2:$A$27,0)),IF($B167="Paper Recycling",INDEX('Materials Master'!$J$2:$J$27,MATCH($C167,'Materials Master'!$A$2:$A$27,0)),IF($B167="Terracycle",INDEX('Materials Master'!$K$2:$K$27,MATCH($C167,'Materials Master'!$A$2:$A$27,0)),"No"))))))="Yes",1,0)</f>
        <v>1</v>
      </c>
    </row>
    <row r="168" customFormat="false" ht="15" hidden="false" customHeight="false" outlineLevel="0" collapsed="false">
      <c r="A168" s="0" t="s">
        <v>95</v>
      </c>
      <c r="B168" s="0" t="s">
        <v>103</v>
      </c>
      <c r="C168" s="0" t="s">
        <v>52</v>
      </c>
      <c r="D168" s="0" t="str">
        <f aca="false">IFERROR(INDEX('Materials Master'!$B$2:$B$27,MATCH($C168,'Materials Master'!$A$2:$A$27,0)),"")</f>
        <v>Aluminum &amp; Bi-Metal Containers</v>
      </c>
      <c r="E168" s="0" t="str">
        <f aca="false">IFERROR(INDEX('Materials Master'!$C$2:$C$27,MATCH($C168,'Materials Master'!$A$2:$A$27,0)),"")</f>
        <v>Metals</v>
      </c>
      <c r="F168" s="0" t="n">
        <f aca="false">IF(SUMIFS(Fact_SortedWeights!$E$2:$E$89,Fact_SortedWeights!$C$2:$C$89,$A168,Fact_SortedWeights!$B$2:$B$89,$B168)=0,0,SUMIFS(Fact_SortedWeights!$E$2:$E$89,Fact_SortedWeights!$C$2:$C$89,$A168,Fact_SortedWeights!$B$2:$B$89,$B168,Fact_SortedWeights!$D$2:$D$89,$C168)/SUMIFS(Fact_SortedWeights!$E$2:$E$89,Fact_SortedWeights!$C$2:$C$89,$A168,Fact_SortedWeights!$B$2:$B$89,$B168)*(IF($B168="Cardboard Recycling",SUMIFS(Fact_SortedWeights!$E$2:$E$89,Fact_SortedWeights!$C$2:$C$89,$A168,Fact_SortedWeights!$B$2:$B$89,$B168),SUMIFS(Fact_PreSortWeights!$E$2:$E$186,Fact_PreSortWeights!$C$2:$C$186,$A168,Fact_PreSortWeights!$B$2:$B$186,$B168))))</f>
        <v>1.74392494617041</v>
      </c>
      <c r="G168" s="0" t="n">
        <f aca="false">IF(AND(IF($B168="Trash",INDEX('Materials Master'!$F$2:$F$27,MATCH($C168,'Materials Master'!$A$2:$A$27,0)),IF($B168="GMPC Recycling",INDEX('Materials Master'!$G$2:$G$27,MATCH($C168,'Materials Master'!$A$2:$A$27,0)),IF($B168="Organics Recycling",INDEX('Materials Master'!$H$2:$H$27,MATCH($C168,'Materials Master'!$A$2:$A$27,0)),IF($B168="Cardboard Recycling",INDEX('Materials Master'!$I$2:$I$27,MATCH($C168,'Materials Master'!$A$2:$A$27,0)),IF($B168="Paper Recycling",INDEX('Materials Master'!$J$2:$J$27,MATCH($C168,'Materials Master'!$A$2:$A$27,0)),IF($B168="Terracycle",INDEX('Materials Master'!$K$2:$K$27,MATCH($C168,'Materials Master'!$A$2:$A$27,0)),"No"))))))="Yes",INDEX('Materials Master'!$E$2:$E$27,MATCH($C168,'Materials Master'!$A$2:$A$27,0))="Yes",$B168&lt;&gt;"Trash"),1,0)</f>
        <v>0</v>
      </c>
      <c r="H168" s="0" t="str">
        <f aca="false">INDEX('Materials Master'!$E$2:$E$27,MATCH($C168,'Materials Master'!$A$2:$A$27,0))</f>
        <v>Yes</v>
      </c>
      <c r="I168" s="0" t="str">
        <f aca="false">IFERROR(INDEX(Areas!$C$2:$C$6,MATCH($A168,Areas!$B$2:$B$6,0)),"")</f>
        <v>BOH</v>
      </c>
      <c r="J168" s="0" t="n">
        <f aca="false">IF(IF($B168="Trash",INDEX('Materials Master'!$F$2:$F$27,MATCH($C168,'Materials Master'!$A$2:$A$27,0)),IF($B168="GMPC Recycling",INDEX('Materials Master'!$G$2:$G$27,MATCH($C168,'Materials Master'!$A$2:$A$27,0)),IF($B168="Organics Recycling",INDEX('Materials Master'!$H$2:$H$27,MATCH($C168,'Materials Master'!$A$2:$A$27,0)),IF($B168="Cardboard Recycling",INDEX('Materials Master'!$I$2:$I$27,MATCH($C168,'Materials Master'!$A$2:$A$27,0)),IF($B168="Paper Recycling",INDEX('Materials Master'!$J$2:$J$27,MATCH($C168,'Materials Master'!$A$2:$A$27,0)),IF($B168="Terracycle",INDEX('Materials Master'!$K$2:$K$27,MATCH($C168,'Materials Master'!$A$2:$A$27,0)),"No"))))))="Yes",1,0)</f>
        <v>0</v>
      </c>
    </row>
    <row r="169" customFormat="false" ht="15" hidden="false" customHeight="false" outlineLevel="0" collapsed="false">
      <c r="A169" s="0" t="s">
        <v>95</v>
      </c>
      <c r="B169" s="0" t="s">
        <v>103</v>
      </c>
      <c r="C169" s="0" t="s">
        <v>55</v>
      </c>
      <c r="D169" s="0" t="str">
        <f aca="false">IFERROR(INDEX('Materials Master'!$B$2:$B$27,MATCH($C169,'Materials Master'!$A$2:$A$27,0)),"")</f>
        <v>Soiled Metals</v>
      </c>
      <c r="E169" s="0" t="str">
        <f aca="false">IFERROR(INDEX('Materials Master'!$C$2:$C$27,MATCH($C169,'Materials Master'!$A$2:$A$27,0)),"")</f>
        <v>Metals</v>
      </c>
      <c r="F169" s="0" t="n">
        <f aca="false">IF(SUMIFS(Fact_SortedWeights!$E$2:$E$89,Fact_SortedWeights!$C$2:$C$89,$A169,Fact_SortedWeights!$B$2:$B$89,$B169)=0,0,SUMIFS(Fact_SortedWeights!$E$2:$E$89,Fact_SortedWeights!$C$2:$C$89,$A169,Fact_SortedWeights!$B$2:$B$89,$B169,Fact_SortedWeights!$D$2:$D$89,$C169)/SUMIFS(Fact_SortedWeights!$E$2:$E$89,Fact_SortedWeights!$C$2:$C$89,$A169,Fact_SortedWeights!$B$2:$B$89,$B169)*(IF($B169="Cardboard Recycling",SUMIFS(Fact_SortedWeights!$E$2:$E$89,Fact_SortedWeights!$C$2:$C$89,$A169,Fact_SortedWeights!$B$2:$B$89,$B169),SUMIFS(Fact_PreSortWeights!$E$2:$E$186,Fact_PreSortWeights!$C$2:$C$186,$A169,Fact_PreSortWeights!$B$2:$B$186,$B169))))</f>
        <v>0</v>
      </c>
      <c r="G169" s="0" t="n">
        <f aca="false">IF(AND(IF($B169="Trash",INDEX('Materials Master'!$F$2:$F$27,MATCH($C169,'Materials Master'!$A$2:$A$27,0)),IF($B169="GMPC Recycling",INDEX('Materials Master'!$G$2:$G$27,MATCH($C169,'Materials Master'!$A$2:$A$27,0)),IF($B169="Organics Recycling",INDEX('Materials Master'!$H$2:$H$27,MATCH($C169,'Materials Master'!$A$2:$A$27,0)),IF($B169="Cardboard Recycling",INDEX('Materials Master'!$I$2:$I$27,MATCH($C169,'Materials Master'!$A$2:$A$27,0)),IF($B169="Paper Recycling",INDEX('Materials Master'!$J$2:$J$27,MATCH($C169,'Materials Master'!$A$2:$A$27,0)),IF($B169="Terracycle",INDEX('Materials Master'!$K$2:$K$27,MATCH($C169,'Materials Master'!$A$2:$A$27,0)),"No"))))))="Yes",INDEX('Materials Master'!$E$2:$E$27,MATCH($C169,'Materials Master'!$A$2:$A$27,0))="Yes",$B169&lt;&gt;"Trash"),1,0)</f>
        <v>0</v>
      </c>
      <c r="H169" s="0" t="str">
        <f aca="false">INDEX('Materials Master'!$E$2:$E$27,MATCH($C169,'Materials Master'!$A$2:$A$27,0))</f>
        <v>No</v>
      </c>
      <c r="I169" s="0" t="str">
        <f aca="false">IFERROR(INDEX(Areas!$C$2:$C$6,MATCH($A169,Areas!$B$2:$B$6,0)),"")</f>
        <v>BOH</v>
      </c>
      <c r="J169" s="0" t="n">
        <f aca="false">IF(IF($B169="Trash",INDEX('Materials Master'!$F$2:$F$27,MATCH($C169,'Materials Master'!$A$2:$A$27,0)),IF($B169="GMPC Recycling",INDEX('Materials Master'!$G$2:$G$27,MATCH($C169,'Materials Master'!$A$2:$A$27,0)),IF($B169="Organics Recycling",INDEX('Materials Master'!$H$2:$H$27,MATCH($C169,'Materials Master'!$A$2:$A$27,0)),IF($B169="Cardboard Recycling",INDEX('Materials Master'!$I$2:$I$27,MATCH($C169,'Materials Master'!$A$2:$A$27,0)),IF($B169="Paper Recycling",INDEX('Materials Master'!$J$2:$J$27,MATCH($C169,'Materials Master'!$A$2:$A$27,0)),IF($B169="Terracycle",INDEX('Materials Master'!$K$2:$K$27,MATCH($C169,'Materials Master'!$A$2:$A$27,0)),"No"))))))="Yes",1,0)</f>
        <v>1</v>
      </c>
    </row>
    <row r="170" customFormat="false" ht="15" hidden="false" customHeight="false" outlineLevel="0" collapsed="false">
      <c r="A170" s="0" t="s">
        <v>95</v>
      </c>
      <c r="B170" s="0" t="s">
        <v>103</v>
      </c>
      <c r="C170" s="0" t="s">
        <v>57</v>
      </c>
      <c r="D170" s="0" t="str">
        <f aca="false">IFERROR(INDEX('Materials Master'!$B$2:$B$27,MATCH($C170,'Materials Master'!$A$2:$A$27,0)),"")</f>
        <v>Rigid Plastics (1-6)</v>
      </c>
      <c r="E170" s="0" t="str">
        <f aca="false">IFERROR(INDEX('Materials Master'!$C$2:$C$27,MATCH($C170,'Materials Master'!$A$2:$A$27,0)),"")</f>
        <v>Plastics</v>
      </c>
      <c r="F170" s="0" t="n">
        <f aca="false">IF(SUMIFS(Fact_SortedWeights!$E$2:$E$89,Fact_SortedWeights!$C$2:$C$89,$A170,Fact_SortedWeights!$B$2:$B$89,$B170)=0,0,SUMIFS(Fact_SortedWeights!$E$2:$E$89,Fact_SortedWeights!$C$2:$C$89,$A170,Fact_SortedWeights!$B$2:$B$89,$B170,Fact_SortedWeights!$D$2:$D$89,$C170)/SUMIFS(Fact_SortedWeights!$E$2:$E$89,Fact_SortedWeights!$C$2:$C$89,$A170,Fact_SortedWeights!$B$2:$B$89,$B170)*(IF($B170="Cardboard Recycling",SUMIFS(Fact_SortedWeights!$E$2:$E$89,Fact_SortedWeights!$C$2:$C$89,$A170,Fact_SortedWeights!$B$2:$B$89,$B170),SUMIFS(Fact_PreSortWeights!$E$2:$E$186,Fact_PreSortWeights!$C$2:$C$186,$A170,Fact_PreSortWeights!$B$2:$B$186,$B170))))</f>
        <v>103.240356813288</v>
      </c>
      <c r="G170" s="0" t="n">
        <f aca="false">IF(AND(IF($B170="Trash",INDEX('Materials Master'!$F$2:$F$27,MATCH($C170,'Materials Master'!$A$2:$A$27,0)),IF($B170="GMPC Recycling",INDEX('Materials Master'!$G$2:$G$27,MATCH($C170,'Materials Master'!$A$2:$A$27,0)),IF($B170="Organics Recycling",INDEX('Materials Master'!$H$2:$H$27,MATCH($C170,'Materials Master'!$A$2:$A$27,0)),IF($B170="Cardboard Recycling",INDEX('Materials Master'!$I$2:$I$27,MATCH($C170,'Materials Master'!$A$2:$A$27,0)),IF($B170="Paper Recycling",INDEX('Materials Master'!$J$2:$J$27,MATCH($C170,'Materials Master'!$A$2:$A$27,0)),IF($B170="Terracycle",INDEX('Materials Master'!$K$2:$K$27,MATCH($C170,'Materials Master'!$A$2:$A$27,0)),"No"))))))="Yes",INDEX('Materials Master'!$E$2:$E$27,MATCH($C170,'Materials Master'!$A$2:$A$27,0))="Yes",$B170&lt;&gt;"Trash"),1,0)</f>
        <v>0</v>
      </c>
      <c r="H170" s="0" t="str">
        <f aca="false">INDEX('Materials Master'!$E$2:$E$27,MATCH($C170,'Materials Master'!$A$2:$A$27,0))</f>
        <v>Yes</v>
      </c>
      <c r="I170" s="0" t="str">
        <f aca="false">IFERROR(INDEX(Areas!$C$2:$C$6,MATCH($A170,Areas!$B$2:$B$6,0)),"")</f>
        <v>BOH</v>
      </c>
      <c r="J170" s="0" t="n">
        <f aca="false">IF(IF($B170="Trash",INDEX('Materials Master'!$F$2:$F$27,MATCH($C170,'Materials Master'!$A$2:$A$27,0)),IF($B170="GMPC Recycling",INDEX('Materials Master'!$G$2:$G$27,MATCH($C170,'Materials Master'!$A$2:$A$27,0)),IF($B170="Organics Recycling",INDEX('Materials Master'!$H$2:$H$27,MATCH($C170,'Materials Master'!$A$2:$A$27,0)),IF($B170="Cardboard Recycling",INDEX('Materials Master'!$I$2:$I$27,MATCH($C170,'Materials Master'!$A$2:$A$27,0)),IF($B170="Paper Recycling",INDEX('Materials Master'!$J$2:$J$27,MATCH($C170,'Materials Master'!$A$2:$A$27,0)),IF($B170="Terracycle",INDEX('Materials Master'!$K$2:$K$27,MATCH($C170,'Materials Master'!$A$2:$A$27,0)),"No"))))))="Yes",1,0)</f>
        <v>0</v>
      </c>
    </row>
    <row r="171" customFormat="false" ht="15" hidden="false" customHeight="false" outlineLevel="0" collapsed="false">
      <c r="A171" s="0" t="s">
        <v>95</v>
      </c>
      <c r="B171" s="0" t="s">
        <v>103</v>
      </c>
      <c r="C171" s="0" t="s">
        <v>60</v>
      </c>
      <c r="D171" s="0" t="str">
        <f aca="false">IFERROR(INDEX('Materials Master'!$B$2:$B$27,MATCH($C171,'Materials Master'!$A$2:$A$27,0)),"")</f>
        <v>Soiled Rigid Plastics</v>
      </c>
      <c r="E171" s="0" t="str">
        <f aca="false">IFERROR(INDEX('Materials Master'!$C$2:$C$27,MATCH($C171,'Materials Master'!$A$2:$A$27,0)),"")</f>
        <v>Plastics</v>
      </c>
      <c r="F171" s="0" t="n">
        <f aca="false">IF(SUMIFS(Fact_SortedWeights!$E$2:$E$89,Fact_SortedWeights!$C$2:$C$89,$A171,Fact_SortedWeights!$B$2:$B$89,$B171)=0,0,SUMIFS(Fact_SortedWeights!$E$2:$E$89,Fact_SortedWeights!$C$2:$C$89,$A171,Fact_SortedWeights!$B$2:$B$89,$B171,Fact_SortedWeights!$D$2:$D$89,$C171)/SUMIFS(Fact_SortedWeights!$E$2:$E$89,Fact_SortedWeights!$C$2:$C$89,$A171,Fact_SortedWeights!$B$2:$B$89,$B171)*(IF($B171="Cardboard Recycling",SUMIFS(Fact_SortedWeights!$E$2:$E$89,Fact_SortedWeights!$C$2:$C$89,$A171,Fact_SortedWeights!$B$2:$B$89,$B171),SUMIFS(Fact_PreSortWeights!$E$2:$E$186,Fact_PreSortWeights!$C$2:$C$186,$A171,Fact_PreSortWeights!$B$2:$B$186,$B171))))</f>
        <v>0</v>
      </c>
      <c r="G171" s="0" t="n">
        <f aca="false">IF(AND(IF($B171="Trash",INDEX('Materials Master'!$F$2:$F$27,MATCH($C171,'Materials Master'!$A$2:$A$27,0)),IF($B171="GMPC Recycling",INDEX('Materials Master'!$G$2:$G$27,MATCH($C171,'Materials Master'!$A$2:$A$27,0)),IF($B171="Organics Recycling",INDEX('Materials Master'!$H$2:$H$27,MATCH($C171,'Materials Master'!$A$2:$A$27,0)),IF($B171="Cardboard Recycling",INDEX('Materials Master'!$I$2:$I$27,MATCH($C171,'Materials Master'!$A$2:$A$27,0)),IF($B171="Paper Recycling",INDEX('Materials Master'!$J$2:$J$27,MATCH($C171,'Materials Master'!$A$2:$A$27,0)),IF($B171="Terracycle",INDEX('Materials Master'!$K$2:$K$27,MATCH($C171,'Materials Master'!$A$2:$A$27,0)),"No"))))))="Yes",INDEX('Materials Master'!$E$2:$E$27,MATCH($C171,'Materials Master'!$A$2:$A$27,0))="Yes",$B171&lt;&gt;"Trash"),1,0)</f>
        <v>0</v>
      </c>
      <c r="H171" s="0" t="str">
        <f aca="false">INDEX('Materials Master'!$E$2:$E$27,MATCH($C171,'Materials Master'!$A$2:$A$27,0))</f>
        <v>No</v>
      </c>
      <c r="I171" s="0" t="str">
        <f aca="false">IFERROR(INDEX(Areas!$C$2:$C$6,MATCH($A171,Areas!$B$2:$B$6,0)),"")</f>
        <v>BOH</v>
      </c>
      <c r="J171" s="0" t="n">
        <f aca="false">IF(IF($B171="Trash",INDEX('Materials Master'!$F$2:$F$27,MATCH($C171,'Materials Master'!$A$2:$A$27,0)),IF($B171="GMPC Recycling",INDEX('Materials Master'!$G$2:$G$27,MATCH($C171,'Materials Master'!$A$2:$A$27,0)),IF($B171="Organics Recycling",INDEX('Materials Master'!$H$2:$H$27,MATCH($C171,'Materials Master'!$A$2:$A$27,0)),IF($B171="Cardboard Recycling",INDEX('Materials Master'!$I$2:$I$27,MATCH($C171,'Materials Master'!$A$2:$A$27,0)),IF($B171="Paper Recycling",INDEX('Materials Master'!$J$2:$J$27,MATCH($C171,'Materials Master'!$A$2:$A$27,0)),IF($B171="Terracycle",INDEX('Materials Master'!$K$2:$K$27,MATCH($C171,'Materials Master'!$A$2:$A$27,0)),"No"))))))="Yes",1,0)</f>
        <v>1</v>
      </c>
    </row>
    <row r="172" customFormat="false" ht="15" hidden="false" customHeight="false" outlineLevel="0" collapsed="false">
      <c r="A172" s="0" t="s">
        <v>95</v>
      </c>
      <c r="B172" s="0" t="s">
        <v>103</v>
      </c>
      <c r="C172" s="0" t="s">
        <v>62</v>
      </c>
      <c r="D172" s="0" t="str">
        <f aca="false">IFERROR(INDEX('Materials Master'!$B$2:$B$27,MATCH($C172,'Materials Master'!$A$2:$A$27,0)),"")</f>
        <v>Film Plastics</v>
      </c>
      <c r="E172" s="0" t="str">
        <f aca="false">IFERROR(INDEX('Materials Master'!$C$2:$C$27,MATCH($C172,'Materials Master'!$A$2:$A$27,0)),"")</f>
        <v>Plastics</v>
      </c>
      <c r="F172" s="0" t="n">
        <f aca="false">IF(SUMIFS(Fact_SortedWeights!$E$2:$E$89,Fact_SortedWeights!$C$2:$C$89,$A172,Fact_SortedWeights!$B$2:$B$89,$B172)=0,0,SUMIFS(Fact_SortedWeights!$E$2:$E$89,Fact_SortedWeights!$C$2:$C$89,$A172,Fact_SortedWeights!$B$2:$B$89,$B172,Fact_SortedWeights!$D$2:$D$89,$C172)/SUMIFS(Fact_SortedWeights!$E$2:$E$89,Fact_SortedWeights!$C$2:$C$89,$A172,Fact_SortedWeights!$B$2:$B$89,$B172)*(IF($B172="Cardboard Recycling",SUMIFS(Fact_SortedWeights!$E$2:$E$89,Fact_SortedWeights!$C$2:$C$89,$A172,Fact_SortedWeights!$B$2:$B$89,$B172),SUMIFS(Fact_PreSortWeights!$E$2:$E$186,Fact_PreSortWeights!$C$2:$C$186,$A172,Fact_PreSortWeights!$B$2:$B$186,$B172))))</f>
        <v>93.4743771147339</v>
      </c>
      <c r="G172" s="0" t="n">
        <f aca="false">IF(AND(IF($B172="Trash",INDEX('Materials Master'!$F$2:$F$27,MATCH($C172,'Materials Master'!$A$2:$A$27,0)),IF($B172="GMPC Recycling",INDEX('Materials Master'!$G$2:$G$27,MATCH($C172,'Materials Master'!$A$2:$A$27,0)),IF($B172="Organics Recycling",INDEX('Materials Master'!$H$2:$H$27,MATCH($C172,'Materials Master'!$A$2:$A$27,0)),IF($B172="Cardboard Recycling",INDEX('Materials Master'!$I$2:$I$27,MATCH($C172,'Materials Master'!$A$2:$A$27,0)),IF($B172="Paper Recycling",INDEX('Materials Master'!$J$2:$J$27,MATCH($C172,'Materials Master'!$A$2:$A$27,0)),IF($B172="Terracycle",INDEX('Materials Master'!$K$2:$K$27,MATCH($C172,'Materials Master'!$A$2:$A$27,0)),"No"))))))="Yes",INDEX('Materials Master'!$E$2:$E$27,MATCH($C172,'Materials Master'!$A$2:$A$27,0))="Yes",$B172&lt;&gt;"Trash"),1,0)</f>
        <v>0</v>
      </c>
      <c r="H172" s="0" t="str">
        <f aca="false">INDEX('Materials Master'!$E$2:$E$27,MATCH($C172,'Materials Master'!$A$2:$A$27,0))</f>
        <v>No</v>
      </c>
      <c r="I172" s="0" t="str">
        <f aca="false">IFERROR(INDEX(Areas!$C$2:$C$6,MATCH($A172,Areas!$B$2:$B$6,0)),"")</f>
        <v>BOH</v>
      </c>
      <c r="J172" s="0" t="n">
        <f aca="false">IF(IF($B172="Trash",INDEX('Materials Master'!$F$2:$F$27,MATCH($C172,'Materials Master'!$A$2:$A$27,0)),IF($B172="GMPC Recycling",INDEX('Materials Master'!$G$2:$G$27,MATCH($C172,'Materials Master'!$A$2:$A$27,0)),IF($B172="Organics Recycling",INDEX('Materials Master'!$H$2:$H$27,MATCH($C172,'Materials Master'!$A$2:$A$27,0)),IF($B172="Cardboard Recycling",INDEX('Materials Master'!$I$2:$I$27,MATCH($C172,'Materials Master'!$A$2:$A$27,0)),IF($B172="Paper Recycling",INDEX('Materials Master'!$J$2:$J$27,MATCH($C172,'Materials Master'!$A$2:$A$27,0)),IF($B172="Terracycle",INDEX('Materials Master'!$K$2:$K$27,MATCH($C172,'Materials Master'!$A$2:$A$27,0)),"No"))))))="Yes",1,0)</f>
        <v>1</v>
      </c>
    </row>
    <row r="173" customFormat="false" ht="15" hidden="false" customHeight="false" outlineLevel="0" collapsed="false">
      <c r="A173" s="0" t="s">
        <v>95</v>
      </c>
      <c r="B173" s="0" t="s">
        <v>103</v>
      </c>
      <c r="C173" s="0" t="s">
        <v>64</v>
      </c>
      <c r="D173" s="0" t="str">
        <f aca="false">IFERROR(INDEX('Materials Master'!$B$2:$B$27,MATCH($C173,'Materials Master'!$A$2:$A$27,0)),"")</f>
        <v>Foams</v>
      </c>
      <c r="E173" s="0" t="str">
        <f aca="false">IFERROR(INDEX('Materials Master'!$C$2:$C$27,MATCH($C173,'Materials Master'!$A$2:$A$27,0)),"")</f>
        <v>Plastics</v>
      </c>
      <c r="F173" s="0" t="n">
        <f aca="false">IF(SUMIFS(Fact_SortedWeights!$E$2:$E$89,Fact_SortedWeights!$C$2:$C$89,$A173,Fact_SortedWeights!$B$2:$B$89,$B173)=0,0,SUMIFS(Fact_SortedWeights!$E$2:$E$89,Fact_SortedWeights!$C$2:$C$89,$A173,Fact_SortedWeights!$B$2:$B$89,$B173,Fact_SortedWeights!$D$2:$D$89,$C173)/SUMIFS(Fact_SortedWeights!$E$2:$E$89,Fact_SortedWeights!$C$2:$C$89,$A173,Fact_SortedWeights!$B$2:$B$89,$B173)*(IF($B173="Cardboard Recycling",SUMIFS(Fact_SortedWeights!$E$2:$E$89,Fact_SortedWeights!$C$2:$C$89,$A173,Fact_SortedWeights!$B$2:$B$89,$B173),SUMIFS(Fact_PreSortWeights!$E$2:$E$186,Fact_PreSortWeights!$C$2:$C$186,$A173,Fact_PreSortWeights!$B$2:$B$186,$B173))))</f>
        <v>2.79027991387266</v>
      </c>
      <c r="G173" s="0" t="n">
        <f aca="false">IF(AND(IF($B173="Trash",INDEX('Materials Master'!$F$2:$F$27,MATCH($C173,'Materials Master'!$A$2:$A$27,0)),IF($B173="GMPC Recycling",INDEX('Materials Master'!$G$2:$G$27,MATCH($C173,'Materials Master'!$A$2:$A$27,0)),IF($B173="Organics Recycling",INDEX('Materials Master'!$H$2:$H$27,MATCH($C173,'Materials Master'!$A$2:$A$27,0)),IF($B173="Cardboard Recycling",INDEX('Materials Master'!$I$2:$I$27,MATCH($C173,'Materials Master'!$A$2:$A$27,0)),IF($B173="Paper Recycling",INDEX('Materials Master'!$J$2:$J$27,MATCH($C173,'Materials Master'!$A$2:$A$27,0)),IF($B173="Terracycle",INDEX('Materials Master'!$K$2:$K$27,MATCH($C173,'Materials Master'!$A$2:$A$27,0)),"No"))))))="Yes",INDEX('Materials Master'!$E$2:$E$27,MATCH($C173,'Materials Master'!$A$2:$A$27,0))="Yes",$B173&lt;&gt;"Trash"),1,0)</f>
        <v>0</v>
      </c>
      <c r="H173" s="0" t="str">
        <f aca="false">INDEX('Materials Master'!$E$2:$E$27,MATCH($C173,'Materials Master'!$A$2:$A$27,0))</f>
        <v>No</v>
      </c>
      <c r="I173" s="0" t="str">
        <f aca="false">IFERROR(INDEX(Areas!$C$2:$C$6,MATCH($A173,Areas!$B$2:$B$6,0)),"")</f>
        <v>BOH</v>
      </c>
      <c r="J173" s="0" t="n">
        <f aca="false">IF(IF($B173="Trash",INDEX('Materials Master'!$F$2:$F$27,MATCH($C173,'Materials Master'!$A$2:$A$27,0)),IF($B173="GMPC Recycling",INDEX('Materials Master'!$G$2:$G$27,MATCH($C173,'Materials Master'!$A$2:$A$27,0)),IF($B173="Organics Recycling",INDEX('Materials Master'!$H$2:$H$27,MATCH($C173,'Materials Master'!$A$2:$A$27,0)),IF($B173="Cardboard Recycling",INDEX('Materials Master'!$I$2:$I$27,MATCH($C173,'Materials Master'!$A$2:$A$27,0)),IF($B173="Paper Recycling",INDEX('Materials Master'!$J$2:$J$27,MATCH($C173,'Materials Master'!$A$2:$A$27,0)),IF($B173="Terracycle",INDEX('Materials Master'!$K$2:$K$27,MATCH($C173,'Materials Master'!$A$2:$A$27,0)),"No"))))))="Yes",1,0)</f>
        <v>1</v>
      </c>
    </row>
    <row r="174" customFormat="false" ht="15" hidden="false" customHeight="false" outlineLevel="0" collapsed="false">
      <c r="A174" s="0" t="s">
        <v>95</v>
      </c>
      <c r="B174" s="0" t="s">
        <v>103</v>
      </c>
      <c r="C174" s="0" t="s">
        <v>66</v>
      </c>
      <c r="D174" s="0" t="str">
        <f aca="false">IFERROR(INDEX('Materials Master'!$B$2:$B$27,MATCH($C174,'Materials Master'!$A$2:$A$27,0)),"")</f>
        <v>Food Waste</v>
      </c>
      <c r="E174" s="0" t="str">
        <f aca="false">IFERROR(INDEX('Materials Master'!$C$2:$C$27,MATCH($C174,'Materials Master'!$A$2:$A$27,0)),"")</f>
        <v>Organics</v>
      </c>
      <c r="F174" s="0" t="n">
        <f aca="false">IF(SUMIFS(Fact_SortedWeights!$E$2:$E$89,Fact_SortedWeights!$C$2:$C$89,$A174,Fact_SortedWeights!$B$2:$B$89,$B174)=0,0,SUMIFS(Fact_SortedWeights!$E$2:$E$89,Fact_SortedWeights!$C$2:$C$89,$A174,Fact_SortedWeights!$B$2:$B$89,$B174,Fact_SortedWeights!$D$2:$D$89,$C174)/SUMIFS(Fact_SortedWeights!$E$2:$E$89,Fact_SortedWeights!$C$2:$C$89,$A174,Fact_SortedWeights!$B$2:$B$89,$B174)*(IF($B174="Cardboard Recycling",SUMIFS(Fact_SortedWeights!$E$2:$E$89,Fact_SortedWeights!$C$2:$C$89,$A174,Fact_SortedWeights!$B$2:$B$89,$B174),SUMIFS(Fact_PreSortWeights!$E$2:$E$186,Fact_PreSortWeights!$C$2:$C$186,$A174,Fact_PreSortWeights!$B$2:$B$186,$B174))))</f>
        <v>583.168501999385</v>
      </c>
      <c r="G174" s="0" t="n">
        <f aca="false">IF(AND(IF($B174="Trash",INDEX('Materials Master'!$F$2:$F$27,MATCH($C174,'Materials Master'!$A$2:$A$27,0)),IF($B174="GMPC Recycling",INDEX('Materials Master'!$G$2:$G$27,MATCH($C174,'Materials Master'!$A$2:$A$27,0)),IF($B174="Organics Recycling",INDEX('Materials Master'!$H$2:$H$27,MATCH($C174,'Materials Master'!$A$2:$A$27,0)),IF($B174="Cardboard Recycling",INDEX('Materials Master'!$I$2:$I$27,MATCH($C174,'Materials Master'!$A$2:$A$27,0)),IF($B174="Paper Recycling",INDEX('Materials Master'!$J$2:$J$27,MATCH($C174,'Materials Master'!$A$2:$A$27,0)),IF($B174="Terracycle",INDEX('Materials Master'!$K$2:$K$27,MATCH($C174,'Materials Master'!$A$2:$A$27,0)),"No"))))))="Yes",INDEX('Materials Master'!$E$2:$E$27,MATCH($C174,'Materials Master'!$A$2:$A$27,0))="Yes",$B174&lt;&gt;"Trash"),1,0)</f>
        <v>0</v>
      </c>
      <c r="H174" s="0" t="str">
        <f aca="false">INDEX('Materials Master'!$E$2:$E$27,MATCH($C174,'Materials Master'!$A$2:$A$27,0))</f>
        <v>Yes</v>
      </c>
      <c r="I174" s="0" t="str">
        <f aca="false">IFERROR(INDEX(Areas!$C$2:$C$6,MATCH($A174,Areas!$B$2:$B$6,0)),"")</f>
        <v>BOH</v>
      </c>
      <c r="J174" s="0" t="n">
        <f aca="false">IF(IF($B174="Trash",INDEX('Materials Master'!$F$2:$F$27,MATCH($C174,'Materials Master'!$A$2:$A$27,0)),IF($B174="GMPC Recycling",INDEX('Materials Master'!$G$2:$G$27,MATCH($C174,'Materials Master'!$A$2:$A$27,0)),IF($B174="Organics Recycling",INDEX('Materials Master'!$H$2:$H$27,MATCH($C174,'Materials Master'!$A$2:$A$27,0)),IF($B174="Cardboard Recycling",INDEX('Materials Master'!$I$2:$I$27,MATCH($C174,'Materials Master'!$A$2:$A$27,0)),IF($B174="Paper Recycling",INDEX('Materials Master'!$J$2:$J$27,MATCH($C174,'Materials Master'!$A$2:$A$27,0)),IF($B174="Terracycle",INDEX('Materials Master'!$K$2:$K$27,MATCH($C174,'Materials Master'!$A$2:$A$27,0)),"No"))))))="Yes",1,0)</f>
        <v>0</v>
      </c>
    </row>
    <row r="175" customFormat="false" ht="15" hidden="false" customHeight="false" outlineLevel="0" collapsed="false">
      <c r="A175" s="0" t="s">
        <v>95</v>
      </c>
      <c r="B175" s="0" t="s">
        <v>103</v>
      </c>
      <c r="C175" s="0" t="s">
        <v>69</v>
      </c>
      <c r="D175" s="0" t="str">
        <f aca="false">IFERROR(INDEX('Materials Master'!$B$2:$B$27,MATCH($C175,'Materials Master'!$A$2:$A$27,0)),"")</f>
        <v>Paper Fibers and Food-Soiled Paper (FSP)</v>
      </c>
      <c r="E175" s="0" t="str">
        <f aca="false">IFERROR(INDEX('Materials Master'!$C$2:$C$27,MATCH($C175,'Materials Master'!$A$2:$A$27,0)),"")</f>
        <v>Organics</v>
      </c>
      <c r="F175" s="0" t="n">
        <f aca="false">IF(SUMIFS(Fact_SortedWeights!$E$2:$E$89,Fact_SortedWeights!$C$2:$C$89,$A175,Fact_SortedWeights!$B$2:$B$89,$B175)=0,0,SUMIFS(Fact_SortedWeights!$E$2:$E$89,Fact_SortedWeights!$C$2:$C$89,$A175,Fact_SortedWeights!$B$2:$B$89,$B175,Fact_SortedWeights!$D$2:$D$89,$C175)/SUMIFS(Fact_SortedWeights!$E$2:$E$89,Fact_SortedWeights!$C$2:$C$89,$A175,Fact_SortedWeights!$B$2:$B$89,$B175)*(IF($B175="Cardboard Recycling",SUMIFS(Fact_SortedWeights!$E$2:$E$89,Fact_SortedWeights!$C$2:$C$89,$A175,Fact_SortedWeights!$B$2:$B$89,$B175),SUMIFS(Fact_PreSortWeights!$E$2:$E$186,Fact_PreSortWeights!$C$2:$C$186,$A175,Fact_PreSortWeights!$B$2:$B$186,$B175))))</f>
        <v>59.2934481697939</v>
      </c>
      <c r="G175" s="0" t="n">
        <f aca="false">IF(AND(IF($B175="Trash",INDEX('Materials Master'!$F$2:$F$27,MATCH($C175,'Materials Master'!$A$2:$A$27,0)),IF($B175="GMPC Recycling",INDEX('Materials Master'!$G$2:$G$27,MATCH($C175,'Materials Master'!$A$2:$A$27,0)),IF($B175="Organics Recycling",INDEX('Materials Master'!$H$2:$H$27,MATCH($C175,'Materials Master'!$A$2:$A$27,0)),IF($B175="Cardboard Recycling",INDEX('Materials Master'!$I$2:$I$27,MATCH($C175,'Materials Master'!$A$2:$A$27,0)),IF($B175="Paper Recycling",INDEX('Materials Master'!$J$2:$J$27,MATCH($C175,'Materials Master'!$A$2:$A$27,0)),IF($B175="Terracycle",INDEX('Materials Master'!$K$2:$K$27,MATCH($C175,'Materials Master'!$A$2:$A$27,0)),"No"))))))="Yes",INDEX('Materials Master'!$E$2:$E$27,MATCH($C175,'Materials Master'!$A$2:$A$27,0))="Yes",$B175&lt;&gt;"Trash"),1,0)</f>
        <v>0</v>
      </c>
      <c r="H175" s="0" t="str">
        <f aca="false">INDEX('Materials Master'!$E$2:$E$27,MATCH($C175,'Materials Master'!$A$2:$A$27,0))</f>
        <v>No</v>
      </c>
      <c r="I175" s="0" t="str">
        <f aca="false">IFERROR(INDEX(Areas!$C$2:$C$6,MATCH($A175,Areas!$B$2:$B$6,0)),"")</f>
        <v>BOH</v>
      </c>
      <c r="J175" s="0" t="n">
        <f aca="false">IF(IF($B175="Trash",INDEX('Materials Master'!$F$2:$F$27,MATCH($C175,'Materials Master'!$A$2:$A$27,0)),IF($B175="GMPC Recycling",INDEX('Materials Master'!$G$2:$G$27,MATCH($C175,'Materials Master'!$A$2:$A$27,0)),IF($B175="Organics Recycling",INDEX('Materials Master'!$H$2:$H$27,MATCH($C175,'Materials Master'!$A$2:$A$27,0)),IF($B175="Cardboard Recycling",INDEX('Materials Master'!$I$2:$I$27,MATCH($C175,'Materials Master'!$A$2:$A$27,0)),IF($B175="Paper Recycling",INDEX('Materials Master'!$J$2:$J$27,MATCH($C175,'Materials Master'!$A$2:$A$27,0)),IF($B175="Terracycle",INDEX('Materials Master'!$K$2:$K$27,MATCH($C175,'Materials Master'!$A$2:$A$27,0)),"No"))))))="Yes",1,0)</f>
        <v>1</v>
      </c>
    </row>
    <row r="176" customFormat="false" ht="15" hidden="false" customHeight="false" outlineLevel="0" collapsed="false">
      <c r="A176" s="0" t="s">
        <v>95</v>
      </c>
      <c r="B176" s="0" t="s">
        <v>103</v>
      </c>
      <c r="C176" s="0" t="s">
        <v>71</v>
      </c>
      <c r="D176" s="0" t="str">
        <f aca="false">IFERROR(INDEX('Materials Master'!$B$2:$B$27,MATCH($C176,'Materials Master'!$A$2:$A$27,0)),"")</f>
        <v>Fiber-based Compostable Serviceware</v>
      </c>
      <c r="E176" s="0" t="str">
        <f aca="false">IFERROR(INDEX('Materials Master'!$C$2:$C$27,MATCH($C176,'Materials Master'!$A$2:$A$27,0)),"")</f>
        <v>Organics</v>
      </c>
      <c r="F176" s="0" t="n">
        <f aca="false">IF(SUMIFS(Fact_SortedWeights!$E$2:$E$89,Fact_SortedWeights!$C$2:$C$89,$A176,Fact_SortedWeights!$B$2:$B$89,$B176)=0,0,SUMIFS(Fact_SortedWeights!$E$2:$E$89,Fact_SortedWeights!$C$2:$C$89,$A176,Fact_SortedWeights!$B$2:$B$89,$B176,Fact_SortedWeights!$D$2:$D$89,$C176)/SUMIFS(Fact_SortedWeights!$E$2:$E$89,Fact_SortedWeights!$C$2:$C$89,$A176,Fact_SortedWeights!$B$2:$B$89,$B176)*(IF($B176="Cardboard Recycling",SUMIFS(Fact_SortedWeights!$E$2:$E$89,Fact_SortedWeights!$C$2:$C$89,$A176,Fact_SortedWeights!$B$2:$B$89,$B176),SUMIFS(Fact_PreSortWeights!$E$2:$E$186,Fact_PreSortWeights!$C$2:$C$186,$A176,Fact_PreSortWeights!$B$2:$B$186,$B176))))</f>
        <v>44.2956936327284</v>
      </c>
      <c r="G176" s="0" t="n">
        <f aca="false">IF(AND(IF($B176="Trash",INDEX('Materials Master'!$F$2:$F$27,MATCH($C176,'Materials Master'!$A$2:$A$27,0)),IF($B176="GMPC Recycling",INDEX('Materials Master'!$G$2:$G$27,MATCH($C176,'Materials Master'!$A$2:$A$27,0)),IF($B176="Organics Recycling",INDEX('Materials Master'!$H$2:$H$27,MATCH($C176,'Materials Master'!$A$2:$A$27,0)),IF($B176="Cardboard Recycling",INDEX('Materials Master'!$I$2:$I$27,MATCH($C176,'Materials Master'!$A$2:$A$27,0)),IF($B176="Paper Recycling",INDEX('Materials Master'!$J$2:$J$27,MATCH($C176,'Materials Master'!$A$2:$A$27,0)),IF($B176="Terracycle",INDEX('Materials Master'!$K$2:$K$27,MATCH($C176,'Materials Master'!$A$2:$A$27,0)),"No"))))))="Yes",INDEX('Materials Master'!$E$2:$E$27,MATCH($C176,'Materials Master'!$A$2:$A$27,0))="Yes",$B176&lt;&gt;"Trash"),1,0)</f>
        <v>0</v>
      </c>
      <c r="H176" s="0" t="str">
        <f aca="false">INDEX('Materials Master'!$E$2:$E$27,MATCH($C176,'Materials Master'!$A$2:$A$27,0))</f>
        <v>No</v>
      </c>
      <c r="I176" s="0" t="str">
        <f aca="false">IFERROR(INDEX(Areas!$C$2:$C$6,MATCH($A176,Areas!$B$2:$B$6,0)),"")</f>
        <v>BOH</v>
      </c>
      <c r="J176" s="0" t="n">
        <f aca="false">IF(IF($B176="Trash",INDEX('Materials Master'!$F$2:$F$27,MATCH($C176,'Materials Master'!$A$2:$A$27,0)),IF($B176="GMPC Recycling",INDEX('Materials Master'!$G$2:$G$27,MATCH($C176,'Materials Master'!$A$2:$A$27,0)),IF($B176="Organics Recycling",INDEX('Materials Master'!$H$2:$H$27,MATCH($C176,'Materials Master'!$A$2:$A$27,0)),IF($B176="Cardboard Recycling",INDEX('Materials Master'!$I$2:$I$27,MATCH($C176,'Materials Master'!$A$2:$A$27,0)),IF($B176="Paper Recycling",INDEX('Materials Master'!$J$2:$J$27,MATCH($C176,'Materials Master'!$A$2:$A$27,0)),IF($B176="Terracycle",INDEX('Materials Master'!$K$2:$K$27,MATCH($C176,'Materials Master'!$A$2:$A$27,0)),"No"))))))="Yes",1,0)</f>
        <v>1</v>
      </c>
    </row>
    <row r="177" customFormat="false" ht="15" hidden="false" customHeight="false" outlineLevel="0" collapsed="false">
      <c r="A177" s="0" t="s">
        <v>95</v>
      </c>
      <c r="B177" s="0" t="s">
        <v>103</v>
      </c>
      <c r="C177" s="0" t="s">
        <v>73</v>
      </c>
      <c r="D177" s="0" t="str">
        <f aca="false">IFERROR(INDEX('Materials Master'!$B$2:$B$27,MATCH($C177,'Materials Master'!$A$2:$A$27,0)),"")</f>
        <v>PLA Compostable Serviceware</v>
      </c>
      <c r="E177" s="0" t="str">
        <f aca="false">IFERROR(INDEX('Materials Master'!$C$2:$C$27,MATCH($C177,'Materials Master'!$A$2:$A$27,0)),"")</f>
        <v>Organics</v>
      </c>
      <c r="F177" s="0" t="n">
        <f aca="false">IF(SUMIFS(Fact_SortedWeights!$E$2:$E$89,Fact_SortedWeights!$C$2:$C$89,$A177,Fact_SortedWeights!$B$2:$B$89,$B177)=0,0,SUMIFS(Fact_SortedWeights!$E$2:$E$89,Fact_SortedWeights!$C$2:$C$89,$A177,Fact_SortedWeights!$B$2:$B$89,$B177,Fact_SortedWeights!$D$2:$D$89,$C177)/SUMIFS(Fact_SortedWeights!$E$2:$E$89,Fact_SortedWeights!$C$2:$C$89,$A177,Fact_SortedWeights!$B$2:$B$89,$B177)*(IF($B177="Cardboard Recycling",SUMIFS(Fact_SortedWeights!$E$2:$E$89,Fact_SortedWeights!$C$2:$C$89,$A177,Fact_SortedWeights!$B$2:$B$89,$B177),SUMIFS(Fact_PreSortWeights!$E$2:$E$186,Fact_PreSortWeights!$C$2:$C$186,$A177,Fact_PreSortWeights!$B$2:$B$186,$B177))))</f>
        <v>20.9270993540449</v>
      </c>
      <c r="G177" s="0" t="n">
        <f aca="false">IF(AND(IF($B177="Trash",INDEX('Materials Master'!$F$2:$F$27,MATCH($C177,'Materials Master'!$A$2:$A$27,0)),IF($B177="GMPC Recycling",INDEX('Materials Master'!$G$2:$G$27,MATCH($C177,'Materials Master'!$A$2:$A$27,0)),IF($B177="Organics Recycling",INDEX('Materials Master'!$H$2:$H$27,MATCH($C177,'Materials Master'!$A$2:$A$27,0)),IF($B177="Cardboard Recycling",INDEX('Materials Master'!$I$2:$I$27,MATCH($C177,'Materials Master'!$A$2:$A$27,0)),IF($B177="Paper Recycling",INDEX('Materials Master'!$J$2:$J$27,MATCH($C177,'Materials Master'!$A$2:$A$27,0)),IF($B177="Terracycle",INDEX('Materials Master'!$K$2:$K$27,MATCH($C177,'Materials Master'!$A$2:$A$27,0)),"No"))))))="Yes",INDEX('Materials Master'!$E$2:$E$27,MATCH($C177,'Materials Master'!$A$2:$A$27,0))="Yes",$B177&lt;&gt;"Trash"),1,0)</f>
        <v>0</v>
      </c>
      <c r="H177" s="0" t="str">
        <f aca="false">INDEX('Materials Master'!$E$2:$E$27,MATCH($C177,'Materials Master'!$A$2:$A$27,0))</f>
        <v>No</v>
      </c>
      <c r="I177" s="0" t="str">
        <f aca="false">IFERROR(INDEX(Areas!$C$2:$C$6,MATCH($A177,Areas!$B$2:$B$6,0)),"")</f>
        <v>BOH</v>
      </c>
      <c r="J177" s="0" t="n">
        <f aca="false">IF(IF($B177="Trash",INDEX('Materials Master'!$F$2:$F$27,MATCH($C177,'Materials Master'!$A$2:$A$27,0)),IF($B177="GMPC Recycling",INDEX('Materials Master'!$G$2:$G$27,MATCH($C177,'Materials Master'!$A$2:$A$27,0)),IF($B177="Organics Recycling",INDEX('Materials Master'!$H$2:$H$27,MATCH($C177,'Materials Master'!$A$2:$A$27,0)),IF($B177="Cardboard Recycling",INDEX('Materials Master'!$I$2:$I$27,MATCH($C177,'Materials Master'!$A$2:$A$27,0)),IF($B177="Paper Recycling",INDEX('Materials Master'!$J$2:$J$27,MATCH($C177,'Materials Master'!$A$2:$A$27,0)),IF($B177="Terracycle",INDEX('Materials Master'!$K$2:$K$27,MATCH($C177,'Materials Master'!$A$2:$A$27,0)),"No"))))))="Yes",1,0)</f>
        <v>1</v>
      </c>
    </row>
    <row r="178" customFormat="false" ht="15" hidden="false" customHeight="false" outlineLevel="0" collapsed="false">
      <c r="A178" s="0" t="s">
        <v>95</v>
      </c>
      <c r="B178" s="0" t="s">
        <v>103</v>
      </c>
      <c r="C178" s="0" t="s">
        <v>75</v>
      </c>
      <c r="D178" s="0" t="str">
        <f aca="false">IFERROR(INDEX('Materials Master'!$B$2:$B$27,MATCH($C178,'Materials Master'!$A$2:$A$27,0)),"")</f>
        <v>E/U Waste</v>
      </c>
      <c r="E178" s="0" t="str">
        <f aca="false">IFERROR(INDEX('Materials Master'!$C$2:$C$27,MATCH($C178,'Materials Master'!$A$2:$A$27,0)),"")</f>
        <v>Unacceptable</v>
      </c>
      <c r="F178" s="0" t="n">
        <f aca="false">IF(SUMIFS(Fact_SortedWeights!$E$2:$E$89,Fact_SortedWeights!$C$2:$C$89,$A178,Fact_SortedWeights!$B$2:$B$89,$B178)=0,0,SUMIFS(Fact_SortedWeights!$E$2:$E$89,Fact_SortedWeights!$C$2:$C$89,$A178,Fact_SortedWeights!$B$2:$B$89,$B178,Fact_SortedWeights!$D$2:$D$89,$C178)/SUMIFS(Fact_SortedWeights!$E$2:$E$89,Fact_SortedWeights!$C$2:$C$89,$A178,Fact_SortedWeights!$B$2:$B$89,$B178)*(IF($B178="Cardboard Recycling",SUMIFS(Fact_SortedWeights!$E$2:$E$89,Fact_SortedWeights!$C$2:$C$89,$A178,Fact_SortedWeights!$B$2:$B$89,$B178),SUMIFS(Fact_PreSortWeights!$E$2:$E$186,Fact_PreSortWeights!$C$2:$C$186,$A178,Fact_PreSortWeights!$B$2:$B$186,$B178))))</f>
        <v>0</v>
      </c>
      <c r="G178" s="0" t="n">
        <f aca="false">IF(AND(IF($B178="Trash",INDEX('Materials Master'!$F$2:$F$27,MATCH($C178,'Materials Master'!$A$2:$A$27,0)),IF($B178="GMPC Recycling",INDEX('Materials Master'!$G$2:$G$27,MATCH($C178,'Materials Master'!$A$2:$A$27,0)),IF($B178="Organics Recycling",INDEX('Materials Master'!$H$2:$H$27,MATCH($C178,'Materials Master'!$A$2:$A$27,0)),IF($B178="Cardboard Recycling",INDEX('Materials Master'!$I$2:$I$27,MATCH($C178,'Materials Master'!$A$2:$A$27,0)),IF($B178="Paper Recycling",INDEX('Materials Master'!$J$2:$J$27,MATCH($C178,'Materials Master'!$A$2:$A$27,0)),IF($B178="Terracycle",INDEX('Materials Master'!$K$2:$K$27,MATCH($C178,'Materials Master'!$A$2:$A$27,0)),"No"))))))="Yes",INDEX('Materials Master'!$E$2:$E$27,MATCH($C178,'Materials Master'!$A$2:$A$27,0))="Yes",$B178&lt;&gt;"Trash"),1,0)</f>
        <v>0</v>
      </c>
      <c r="H178" s="0" t="str">
        <f aca="false">INDEX('Materials Master'!$E$2:$E$27,MATCH($C178,'Materials Master'!$A$2:$A$27,0))</f>
        <v>No</v>
      </c>
      <c r="I178" s="0" t="str">
        <f aca="false">IFERROR(INDEX(Areas!$C$2:$C$6,MATCH($A178,Areas!$B$2:$B$6,0)),"")</f>
        <v>BOH</v>
      </c>
      <c r="J178" s="0" t="n">
        <f aca="false">IF(IF($B178="Trash",INDEX('Materials Master'!$F$2:$F$27,MATCH($C178,'Materials Master'!$A$2:$A$27,0)),IF($B178="GMPC Recycling",INDEX('Materials Master'!$G$2:$G$27,MATCH($C178,'Materials Master'!$A$2:$A$27,0)),IF($B178="Organics Recycling",INDEX('Materials Master'!$H$2:$H$27,MATCH($C178,'Materials Master'!$A$2:$A$27,0)),IF($B178="Cardboard Recycling",INDEX('Materials Master'!$I$2:$I$27,MATCH($C178,'Materials Master'!$A$2:$A$27,0)),IF($B178="Paper Recycling",INDEX('Materials Master'!$J$2:$J$27,MATCH($C178,'Materials Master'!$A$2:$A$27,0)),IF($B178="Terracycle",INDEX('Materials Master'!$K$2:$K$27,MATCH($C178,'Materials Master'!$A$2:$A$27,0)),"No"))))))="Yes",1,0)</f>
        <v>1</v>
      </c>
    </row>
    <row r="179" customFormat="false" ht="15" hidden="false" customHeight="false" outlineLevel="0" collapsed="false">
      <c r="A179" s="0" t="s">
        <v>95</v>
      </c>
      <c r="B179" s="0" t="s">
        <v>103</v>
      </c>
      <c r="C179" s="0" t="s">
        <v>78</v>
      </c>
      <c r="D179" s="0" t="str">
        <f aca="false">IFERROR(INDEX('Materials Master'!$B$2:$B$27,MATCH($C179,'Materials Master'!$A$2:$A$27,0)),"")</f>
        <v>Textiles</v>
      </c>
      <c r="E179" s="0" t="str">
        <f aca="false">IFERROR(INDEX('Materials Master'!$C$2:$C$27,MATCH($C179,'Materials Master'!$A$2:$A$27,0)),"")</f>
        <v>Unacceptable</v>
      </c>
      <c r="F179" s="0" t="n">
        <f aca="false">IF(SUMIFS(Fact_SortedWeights!$E$2:$E$89,Fact_SortedWeights!$C$2:$C$89,$A179,Fact_SortedWeights!$B$2:$B$89,$B179)=0,0,SUMIFS(Fact_SortedWeights!$E$2:$E$89,Fact_SortedWeights!$C$2:$C$89,$A179,Fact_SortedWeights!$B$2:$B$89,$B179,Fact_SortedWeights!$D$2:$D$89,$C179)/SUMIFS(Fact_SortedWeights!$E$2:$E$89,Fact_SortedWeights!$C$2:$C$89,$A179,Fact_SortedWeights!$B$2:$B$89,$B179)*(IF($B179="Cardboard Recycling",SUMIFS(Fact_SortedWeights!$E$2:$E$89,Fact_SortedWeights!$C$2:$C$89,$A179,Fact_SortedWeights!$B$2:$B$89,$B179),SUMIFS(Fact_PreSortWeights!$E$2:$E$186,Fact_PreSortWeights!$C$2:$C$186,$A179,Fact_PreSortWeights!$B$2:$B$186,$B179))))</f>
        <v>0</v>
      </c>
      <c r="G179" s="0" t="n">
        <f aca="false">IF(AND(IF($B179="Trash",INDEX('Materials Master'!$F$2:$F$27,MATCH($C179,'Materials Master'!$A$2:$A$27,0)),IF($B179="GMPC Recycling",INDEX('Materials Master'!$G$2:$G$27,MATCH($C179,'Materials Master'!$A$2:$A$27,0)),IF($B179="Organics Recycling",INDEX('Materials Master'!$H$2:$H$27,MATCH($C179,'Materials Master'!$A$2:$A$27,0)),IF($B179="Cardboard Recycling",INDEX('Materials Master'!$I$2:$I$27,MATCH($C179,'Materials Master'!$A$2:$A$27,0)),IF($B179="Paper Recycling",INDEX('Materials Master'!$J$2:$J$27,MATCH($C179,'Materials Master'!$A$2:$A$27,0)),IF($B179="Terracycle",INDEX('Materials Master'!$K$2:$K$27,MATCH($C179,'Materials Master'!$A$2:$A$27,0)),"No"))))))="Yes",INDEX('Materials Master'!$E$2:$E$27,MATCH($C179,'Materials Master'!$A$2:$A$27,0))="Yes",$B179&lt;&gt;"Trash"),1,0)</f>
        <v>0</v>
      </c>
      <c r="H179" s="0" t="str">
        <f aca="false">INDEX('Materials Master'!$E$2:$E$27,MATCH($C179,'Materials Master'!$A$2:$A$27,0))</f>
        <v>No</v>
      </c>
      <c r="I179" s="0" t="str">
        <f aca="false">IFERROR(INDEX(Areas!$C$2:$C$6,MATCH($A179,Areas!$B$2:$B$6,0)),"")</f>
        <v>BOH</v>
      </c>
      <c r="J179" s="0" t="n">
        <f aca="false">IF(IF($B179="Trash",INDEX('Materials Master'!$F$2:$F$27,MATCH($C179,'Materials Master'!$A$2:$A$27,0)),IF($B179="GMPC Recycling",INDEX('Materials Master'!$G$2:$G$27,MATCH($C179,'Materials Master'!$A$2:$A$27,0)),IF($B179="Organics Recycling",INDEX('Materials Master'!$H$2:$H$27,MATCH($C179,'Materials Master'!$A$2:$A$27,0)),IF($B179="Cardboard Recycling",INDEX('Materials Master'!$I$2:$I$27,MATCH($C179,'Materials Master'!$A$2:$A$27,0)),IF($B179="Paper Recycling",INDEX('Materials Master'!$J$2:$J$27,MATCH($C179,'Materials Master'!$A$2:$A$27,0)),IF($B179="Terracycle",INDEX('Materials Master'!$K$2:$K$27,MATCH($C179,'Materials Master'!$A$2:$A$27,0)),"No"))))))="Yes",1,0)</f>
        <v>1</v>
      </c>
    </row>
    <row r="180" customFormat="false" ht="15" hidden="false" customHeight="false" outlineLevel="0" collapsed="false">
      <c r="A180" s="0" t="s">
        <v>95</v>
      </c>
      <c r="B180" s="0" t="s">
        <v>103</v>
      </c>
      <c r="C180" s="0" t="s">
        <v>80</v>
      </c>
      <c r="D180" s="0" t="str">
        <f aca="false">IFERROR(INDEX('Materials Master'!$B$2:$B$27,MATCH($C180,'Materials Master'!$A$2:$A$27,0)),"")</f>
        <v>Other Unacceptable (specify)</v>
      </c>
      <c r="E180" s="0" t="str">
        <f aca="false">IFERROR(INDEX('Materials Master'!$C$2:$C$27,MATCH($C180,'Materials Master'!$A$2:$A$27,0)),"")</f>
        <v>Unacceptable</v>
      </c>
      <c r="F180" s="0" t="n">
        <f aca="false">IF(SUMIFS(Fact_SortedWeights!$E$2:$E$89,Fact_SortedWeights!$C$2:$C$89,$A180,Fact_SortedWeights!$B$2:$B$89,$B180)=0,0,SUMIFS(Fact_SortedWeights!$E$2:$E$89,Fact_SortedWeights!$C$2:$C$89,$A180,Fact_SortedWeights!$B$2:$B$89,$B180,Fact_SortedWeights!$D$2:$D$89,$C180)/SUMIFS(Fact_SortedWeights!$E$2:$E$89,Fact_SortedWeights!$C$2:$C$89,$A180,Fact_SortedWeights!$B$2:$B$89,$B180)*(IF($B180="Cardboard Recycling",SUMIFS(Fact_SortedWeights!$E$2:$E$89,Fact_SortedWeights!$C$2:$C$89,$A180,Fact_SortedWeights!$B$2:$B$89,$B180),SUMIFS(Fact_PreSortWeights!$E$2:$E$186,Fact_PreSortWeights!$C$2:$C$186,$A180,Fact_PreSortWeights!$B$2:$B$186,$B180))))</f>
        <v>0</v>
      </c>
      <c r="G180" s="0" t="n">
        <f aca="false">IF(AND(IF($B180="Trash",INDEX('Materials Master'!$F$2:$F$27,MATCH($C180,'Materials Master'!$A$2:$A$27,0)),IF($B180="GMPC Recycling",INDEX('Materials Master'!$G$2:$G$27,MATCH($C180,'Materials Master'!$A$2:$A$27,0)),IF($B180="Organics Recycling",INDEX('Materials Master'!$H$2:$H$27,MATCH($C180,'Materials Master'!$A$2:$A$27,0)),IF($B180="Cardboard Recycling",INDEX('Materials Master'!$I$2:$I$27,MATCH($C180,'Materials Master'!$A$2:$A$27,0)),IF($B180="Paper Recycling",INDEX('Materials Master'!$J$2:$J$27,MATCH($C180,'Materials Master'!$A$2:$A$27,0)),IF($B180="Terracycle",INDEX('Materials Master'!$K$2:$K$27,MATCH($C180,'Materials Master'!$A$2:$A$27,0)),"No"))))))="Yes",INDEX('Materials Master'!$E$2:$E$27,MATCH($C180,'Materials Master'!$A$2:$A$27,0))="Yes",$B180&lt;&gt;"Trash"),1,0)</f>
        <v>0</v>
      </c>
      <c r="H180" s="0" t="str">
        <f aca="false">INDEX('Materials Master'!$E$2:$E$27,MATCH($C180,'Materials Master'!$A$2:$A$27,0))</f>
        <v>No</v>
      </c>
      <c r="I180" s="0" t="str">
        <f aca="false">IFERROR(INDEX(Areas!$C$2:$C$6,MATCH($A180,Areas!$B$2:$B$6,0)),"")</f>
        <v>BOH</v>
      </c>
      <c r="J180" s="0" t="n">
        <f aca="false">IF(IF($B180="Trash",INDEX('Materials Master'!$F$2:$F$27,MATCH($C180,'Materials Master'!$A$2:$A$27,0)),IF($B180="GMPC Recycling",INDEX('Materials Master'!$G$2:$G$27,MATCH($C180,'Materials Master'!$A$2:$A$27,0)),IF($B180="Organics Recycling",INDEX('Materials Master'!$H$2:$H$27,MATCH($C180,'Materials Master'!$A$2:$A$27,0)),IF($B180="Cardboard Recycling",INDEX('Materials Master'!$I$2:$I$27,MATCH($C180,'Materials Master'!$A$2:$A$27,0)),IF($B180="Paper Recycling",INDEX('Materials Master'!$J$2:$J$27,MATCH($C180,'Materials Master'!$A$2:$A$27,0)),IF($B180="Terracycle",INDEX('Materials Master'!$K$2:$K$27,MATCH($C180,'Materials Master'!$A$2:$A$27,0)),"No"))))))="Yes",1,0)</f>
        <v>1</v>
      </c>
    </row>
    <row r="181" customFormat="false" ht="15" hidden="false" customHeight="false" outlineLevel="0" collapsed="false">
      <c r="A181" s="0" t="s">
        <v>95</v>
      </c>
      <c r="B181" s="0" t="s">
        <v>103</v>
      </c>
      <c r="C181" s="0" t="s">
        <v>82</v>
      </c>
      <c r="D181" s="0" t="str">
        <f aca="false">IFERROR(INDEX('Materials Master'!$B$2:$B$27,MATCH($C181,'Materials Master'!$A$2:$A$27,0)),"")</f>
        <v>Liquids</v>
      </c>
      <c r="E181" s="0" t="str">
        <f aca="false">IFERROR(INDEX('Materials Master'!$C$2:$C$27,MATCH($C181,'Materials Master'!$A$2:$A$27,0)),"")</f>
        <v>Unacceptable</v>
      </c>
      <c r="F181" s="0" t="n">
        <f aca="false">IF(SUMIFS(Fact_SortedWeights!$E$2:$E$89,Fact_SortedWeights!$C$2:$C$89,$A181,Fact_SortedWeights!$B$2:$B$89,$B181)=0,0,SUMIFS(Fact_SortedWeights!$E$2:$E$89,Fact_SortedWeights!$C$2:$C$89,$A181,Fact_SortedWeights!$B$2:$B$89,$B181,Fact_SortedWeights!$D$2:$D$89,$C181)/SUMIFS(Fact_SortedWeights!$E$2:$E$89,Fact_SortedWeights!$C$2:$C$89,$A181,Fact_SortedWeights!$B$2:$B$89,$B181)*(IF($B181="Cardboard Recycling",SUMIFS(Fact_SortedWeights!$E$2:$E$89,Fact_SortedWeights!$C$2:$C$89,$A181,Fact_SortedWeights!$B$2:$B$89,$B181),SUMIFS(Fact_PreSortWeights!$E$2:$E$186,Fact_PreSortWeights!$C$2:$C$186,$A181,Fact_PreSortWeights!$B$2:$B$186,$B181))))</f>
        <v>15.3465395262996</v>
      </c>
      <c r="G181" s="0" t="n">
        <f aca="false">IF(AND(IF($B181="Trash",INDEX('Materials Master'!$F$2:$F$27,MATCH($C181,'Materials Master'!$A$2:$A$27,0)),IF($B181="GMPC Recycling",INDEX('Materials Master'!$G$2:$G$27,MATCH($C181,'Materials Master'!$A$2:$A$27,0)),IF($B181="Organics Recycling",INDEX('Materials Master'!$H$2:$H$27,MATCH($C181,'Materials Master'!$A$2:$A$27,0)),IF($B181="Cardboard Recycling",INDEX('Materials Master'!$I$2:$I$27,MATCH($C181,'Materials Master'!$A$2:$A$27,0)),IF($B181="Paper Recycling",INDEX('Materials Master'!$J$2:$J$27,MATCH($C181,'Materials Master'!$A$2:$A$27,0)),IF($B181="Terracycle",INDEX('Materials Master'!$K$2:$K$27,MATCH($C181,'Materials Master'!$A$2:$A$27,0)),"No"))))))="Yes",INDEX('Materials Master'!$E$2:$E$27,MATCH($C181,'Materials Master'!$A$2:$A$27,0))="Yes",$B181&lt;&gt;"Trash"),1,0)</f>
        <v>0</v>
      </c>
      <c r="H181" s="0" t="str">
        <f aca="false">INDEX('Materials Master'!$E$2:$E$27,MATCH($C181,'Materials Master'!$A$2:$A$27,0))</f>
        <v>No</v>
      </c>
      <c r="I181" s="0" t="str">
        <f aca="false">IFERROR(INDEX(Areas!$C$2:$C$6,MATCH($A181,Areas!$B$2:$B$6,0)),"")</f>
        <v>BOH</v>
      </c>
      <c r="J181" s="0" t="n">
        <f aca="false">IF(IF($B181="Trash",INDEX('Materials Master'!$F$2:$F$27,MATCH($C181,'Materials Master'!$A$2:$A$27,0)),IF($B181="GMPC Recycling",INDEX('Materials Master'!$G$2:$G$27,MATCH($C181,'Materials Master'!$A$2:$A$27,0)),IF($B181="Organics Recycling",INDEX('Materials Master'!$H$2:$H$27,MATCH($C181,'Materials Master'!$A$2:$A$27,0)),IF($B181="Cardboard Recycling",INDEX('Materials Master'!$I$2:$I$27,MATCH($C181,'Materials Master'!$A$2:$A$27,0)),IF($B181="Paper Recycling",INDEX('Materials Master'!$J$2:$J$27,MATCH($C181,'Materials Master'!$A$2:$A$27,0)),IF($B181="Terracycle",INDEX('Materials Master'!$K$2:$K$27,MATCH($C181,'Materials Master'!$A$2:$A$27,0)),"No"))))))="Yes",1,0)</f>
        <v>1</v>
      </c>
    </row>
    <row r="182" customFormat="false" ht="15" hidden="false" customHeight="false" outlineLevel="0" collapsed="false">
      <c r="A182" s="0" t="s">
        <v>95</v>
      </c>
      <c r="B182" s="0" t="s">
        <v>103</v>
      </c>
      <c r="C182" s="0" t="s">
        <v>84</v>
      </c>
      <c r="D182" s="0" t="str">
        <f aca="false">IFERROR(INDEX('Materials Master'!$B$2:$B$27,MATCH($C182,'Materials Master'!$A$2:$A$27,0)),"")</f>
        <v>Snack Wrappers (Composites)</v>
      </c>
      <c r="E182" s="0" t="str">
        <f aca="false">IFERROR(INDEX('Materials Master'!$C$2:$C$27,MATCH($C182,'Materials Master'!$A$2:$A$27,0)),"")</f>
        <v>Other</v>
      </c>
      <c r="F182" s="0" t="n">
        <f aca="false">IF(SUMIFS(Fact_SortedWeights!$E$2:$E$89,Fact_SortedWeights!$C$2:$C$89,$A182,Fact_SortedWeights!$B$2:$B$89,$B182)=0,0,SUMIFS(Fact_SortedWeights!$E$2:$E$89,Fact_SortedWeights!$C$2:$C$89,$A182,Fact_SortedWeights!$B$2:$B$89,$B182,Fact_SortedWeights!$D$2:$D$89,$C182)/SUMIFS(Fact_SortedWeights!$E$2:$E$89,Fact_SortedWeights!$C$2:$C$89,$A182,Fact_SortedWeights!$B$2:$B$89,$B182)*(IF($B182="Cardboard Recycling",SUMIFS(Fact_SortedWeights!$E$2:$E$89,Fact_SortedWeights!$C$2:$C$89,$A182,Fact_SortedWeights!$B$2:$B$89,$B182),SUMIFS(Fact_PreSortWeights!$E$2:$E$186,Fact_PreSortWeights!$C$2:$C$186,$A182,Fact_PreSortWeights!$B$2:$B$186,$B182))))</f>
        <v>5.23177483851123</v>
      </c>
      <c r="G182" s="0" t="n">
        <f aca="false">IF(AND(IF($B182="Trash",INDEX('Materials Master'!$F$2:$F$27,MATCH($C182,'Materials Master'!$A$2:$A$27,0)),IF($B182="GMPC Recycling",INDEX('Materials Master'!$G$2:$G$27,MATCH($C182,'Materials Master'!$A$2:$A$27,0)),IF($B182="Organics Recycling",INDEX('Materials Master'!$H$2:$H$27,MATCH($C182,'Materials Master'!$A$2:$A$27,0)),IF($B182="Cardboard Recycling",INDEX('Materials Master'!$I$2:$I$27,MATCH($C182,'Materials Master'!$A$2:$A$27,0)),IF($B182="Paper Recycling",INDEX('Materials Master'!$J$2:$J$27,MATCH($C182,'Materials Master'!$A$2:$A$27,0)),IF($B182="Terracycle",INDEX('Materials Master'!$K$2:$K$27,MATCH($C182,'Materials Master'!$A$2:$A$27,0)),"No"))))))="Yes",INDEX('Materials Master'!$E$2:$E$27,MATCH($C182,'Materials Master'!$A$2:$A$27,0))="Yes",$B182&lt;&gt;"Trash"),1,0)</f>
        <v>0</v>
      </c>
      <c r="H182" s="0" t="str">
        <f aca="false">INDEX('Materials Master'!$E$2:$E$27,MATCH($C182,'Materials Master'!$A$2:$A$27,0))</f>
        <v>Yes</v>
      </c>
      <c r="I182" s="0" t="str">
        <f aca="false">IFERROR(INDEX(Areas!$C$2:$C$6,MATCH($A182,Areas!$B$2:$B$6,0)),"")</f>
        <v>BOH</v>
      </c>
      <c r="J182" s="0" t="n">
        <f aca="false">IF(IF($B182="Trash",INDEX('Materials Master'!$F$2:$F$27,MATCH($C182,'Materials Master'!$A$2:$A$27,0)),IF($B182="GMPC Recycling",INDEX('Materials Master'!$G$2:$G$27,MATCH($C182,'Materials Master'!$A$2:$A$27,0)),IF($B182="Organics Recycling",INDEX('Materials Master'!$H$2:$H$27,MATCH($C182,'Materials Master'!$A$2:$A$27,0)),IF($B182="Cardboard Recycling",INDEX('Materials Master'!$I$2:$I$27,MATCH($C182,'Materials Master'!$A$2:$A$27,0)),IF($B182="Paper Recycling",INDEX('Materials Master'!$J$2:$J$27,MATCH($C182,'Materials Master'!$A$2:$A$27,0)),IF($B182="Terracycle",INDEX('Materials Master'!$K$2:$K$27,MATCH($C182,'Materials Master'!$A$2:$A$27,0)),"No"))))))="Yes",1,0)</f>
        <v>0</v>
      </c>
    </row>
    <row r="183" customFormat="false" ht="15" hidden="false" customHeight="false" outlineLevel="0" collapsed="false">
      <c r="A183" s="0" t="s">
        <v>95</v>
      </c>
      <c r="B183" s="0" t="s">
        <v>103</v>
      </c>
      <c r="C183" s="0" t="s">
        <v>87</v>
      </c>
      <c r="D183" s="0" t="str">
        <f aca="false">IFERROR(INDEX('Materials Master'!$B$2:$B$27,MATCH($C183,'Materials Master'!$A$2:$A$27,0)),"")</f>
        <v>Other/Residual Materials</v>
      </c>
      <c r="E183" s="0" t="str">
        <f aca="false">IFERROR(INDEX('Materials Master'!$C$2:$C$27,MATCH($C183,'Materials Master'!$A$2:$A$27,0)),"")</f>
        <v>Other</v>
      </c>
      <c r="F183" s="0" t="n">
        <f aca="false">IF(SUMIFS(Fact_SortedWeights!$E$2:$E$89,Fact_SortedWeights!$C$2:$C$89,$A183,Fact_SortedWeights!$B$2:$B$89,$B183)=0,0,SUMIFS(Fact_SortedWeights!$E$2:$E$89,Fact_SortedWeights!$C$2:$C$89,$A183,Fact_SortedWeights!$B$2:$B$89,$B183,Fact_SortedWeights!$D$2:$D$89,$C183)/SUMIFS(Fact_SortedWeights!$E$2:$E$89,Fact_SortedWeights!$C$2:$C$89,$A183,Fact_SortedWeights!$B$2:$B$89,$B183)*(IF($B183="Cardboard Recycling",SUMIFS(Fact_SortedWeights!$E$2:$E$89,Fact_SortedWeights!$C$2:$C$89,$A183,Fact_SortedWeights!$B$2:$B$89,$B183),SUMIFS(Fact_PreSortWeights!$E$2:$E$186,Fact_PreSortWeights!$C$2:$C$186,$A183,Fact_PreSortWeights!$B$2:$B$186,$B183))))</f>
        <v>137.421285758228</v>
      </c>
      <c r="G183" s="0" t="n">
        <f aca="false">IF(AND(IF($B183="Trash",INDEX('Materials Master'!$F$2:$F$27,MATCH($C183,'Materials Master'!$A$2:$A$27,0)),IF($B183="GMPC Recycling",INDEX('Materials Master'!$G$2:$G$27,MATCH($C183,'Materials Master'!$A$2:$A$27,0)),IF($B183="Organics Recycling",INDEX('Materials Master'!$H$2:$H$27,MATCH($C183,'Materials Master'!$A$2:$A$27,0)),IF($B183="Cardboard Recycling",INDEX('Materials Master'!$I$2:$I$27,MATCH($C183,'Materials Master'!$A$2:$A$27,0)),IF($B183="Paper Recycling",INDEX('Materials Master'!$J$2:$J$27,MATCH($C183,'Materials Master'!$A$2:$A$27,0)),IF($B183="Terracycle",INDEX('Materials Master'!$K$2:$K$27,MATCH($C183,'Materials Master'!$A$2:$A$27,0)),"No"))))))="Yes",INDEX('Materials Master'!$E$2:$E$27,MATCH($C183,'Materials Master'!$A$2:$A$27,0))="Yes",$B183&lt;&gt;"Trash"),1,0)</f>
        <v>0</v>
      </c>
      <c r="H183" s="0" t="str">
        <f aca="false">INDEX('Materials Master'!$E$2:$E$27,MATCH($C183,'Materials Master'!$A$2:$A$27,0))</f>
        <v>No</v>
      </c>
      <c r="I183" s="0" t="str">
        <f aca="false">IFERROR(INDEX(Areas!$C$2:$C$6,MATCH($A183,Areas!$B$2:$B$6,0)),"")</f>
        <v>BOH</v>
      </c>
      <c r="J183" s="0" t="n">
        <f aca="false">IF(IF($B183="Trash",INDEX('Materials Master'!$F$2:$F$27,MATCH($C183,'Materials Master'!$A$2:$A$27,0)),IF($B183="GMPC Recycling",INDEX('Materials Master'!$G$2:$G$27,MATCH($C183,'Materials Master'!$A$2:$A$27,0)),IF($B183="Organics Recycling",INDEX('Materials Master'!$H$2:$H$27,MATCH($C183,'Materials Master'!$A$2:$A$27,0)),IF($B183="Cardboard Recycling",INDEX('Materials Master'!$I$2:$I$27,MATCH($C183,'Materials Master'!$A$2:$A$27,0)),IF($B183="Paper Recycling",INDEX('Materials Master'!$J$2:$J$27,MATCH($C183,'Materials Master'!$A$2:$A$27,0)),IF($B183="Terracycle",INDEX('Materials Master'!$K$2:$K$27,MATCH($C183,'Materials Master'!$A$2:$A$27,0)),"No"))))))="Yes",1,0)</f>
        <v>1</v>
      </c>
    </row>
    <row r="184" customFormat="false" ht="15" hidden="false" customHeight="false" outlineLevel="0" collapsed="false">
      <c r="A184" s="0" t="s">
        <v>95</v>
      </c>
      <c r="B184" s="0" t="s">
        <v>104</v>
      </c>
      <c r="C184" s="0" t="s">
        <v>28</v>
      </c>
      <c r="D184" s="0" t="str">
        <f aca="false">IFERROR(INDEX('Materials Master'!$B$2:$B$27,MATCH($C184,'Materials Master'!$A$2:$A$27,0)),"")</f>
        <v>Corrugated Cardboard</v>
      </c>
      <c r="E184" s="0" t="str">
        <f aca="false">IFERROR(INDEX('Materials Master'!$C$2:$C$27,MATCH($C184,'Materials Master'!$A$2:$A$27,0)),"")</f>
        <v>Fibers</v>
      </c>
      <c r="F184" s="0" t="n">
        <f aca="false">IF(SUMIFS(Fact_SortedWeights!$E$2:$E$89,Fact_SortedWeights!$C$2:$C$89,$A184,Fact_SortedWeights!$B$2:$B$89,$B184)=0,0,SUMIFS(Fact_SortedWeights!$E$2:$E$89,Fact_SortedWeights!$C$2:$C$89,$A184,Fact_SortedWeights!$B$2:$B$89,$B184,Fact_SortedWeights!$D$2:$D$89,$C184)/SUMIFS(Fact_SortedWeights!$E$2:$E$89,Fact_SortedWeights!$C$2:$C$89,$A184,Fact_SortedWeights!$B$2:$B$89,$B184)*(IF($B184="Cardboard Recycling",SUMIFS(Fact_SortedWeights!$E$2:$E$89,Fact_SortedWeights!$C$2:$C$89,$A184,Fact_SortedWeights!$B$2:$B$89,$B184),SUMIFS(Fact_PreSortWeights!$E$2:$E$186,Fact_PreSortWeights!$C$2:$C$186,$A184,Fact_PreSortWeights!$B$2:$B$186,$B184))))</f>
        <v>0</v>
      </c>
      <c r="G184" s="0" t="n">
        <f aca="false">IF(AND(IF($B184="Trash",INDEX('Materials Master'!$F$2:$F$27,MATCH($C184,'Materials Master'!$A$2:$A$27,0)),IF($B184="GMPC Recycling",INDEX('Materials Master'!$G$2:$G$27,MATCH($C184,'Materials Master'!$A$2:$A$27,0)),IF($B184="Organics Recycling",INDEX('Materials Master'!$H$2:$H$27,MATCH($C184,'Materials Master'!$A$2:$A$27,0)),IF($B184="Cardboard Recycling",INDEX('Materials Master'!$I$2:$I$27,MATCH($C184,'Materials Master'!$A$2:$A$27,0)),IF($B184="Paper Recycling",INDEX('Materials Master'!$J$2:$J$27,MATCH($C184,'Materials Master'!$A$2:$A$27,0)),IF($B184="Terracycle",INDEX('Materials Master'!$K$2:$K$27,MATCH($C184,'Materials Master'!$A$2:$A$27,0)),"No"))))))="Yes",INDEX('Materials Master'!$E$2:$E$27,MATCH($C184,'Materials Master'!$A$2:$A$27,0))="Yes",$B184&lt;&gt;"Trash"),1,0)</f>
        <v>1</v>
      </c>
      <c r="H184" s="0" t="str">
        <f aca="false">INDEX('Materials Master'!$E$2:$E$27,MATCH($C184,'Materials Master'!$A$2:$A$27,0))</f>
        <v>Yes</v>
      </c>
      <c r="I184" s="0" t="str">
        <f aca="false">IFERROR(INDEX(Areas!$C$2:$C$6,MATCH($A184,Areas!$B$2:$B$6,0)),"")</f>
        <v>BOH</v>
      </c>
      <c r="J184" s="0" t="n">
        <f aca="false">IF(IF($B184="Trash",INDEX('Materials Master'!$F$2:$F$27,MATCH($C184,'Materials Master'!$A$2:$A$27,0)),IF($B184="GMPC Recycling",INDEX('Materials Master'!$G$2:$G$27,MATCH($C184,'Materials Master'!$A$2:$A$27,0)),IF($B184="Organics Recycling",INDEX('Materials Master'!$H$2:$H$27,MATCH($C184,'Materials Master'!$A$2:$A$27,0)),IF($B184="Cardboard Recycling",INDEX('Materials Master'!$I$2:$I$27,MATCH($C184,'Materials Master'!$A$2:$A$27,0)),IF($B184="Paper Recycling",INDEX('Materials Master'!$J$2:$J$27,MATCH($C184,'Materials Master'!$A$2:$A$27,0)),IF($B184="Terracycle",INDEX('Materials Master'!$K$2:$K$27,MATCH($C184,'Materials Master'!$A$2:$A$27,0)),"No"))))))="Yes",1,0)</f>
        <v>1</v>
      </c>
    </row>
    <row r="185" customFormat="false" ht="15" hidden="false" customHeight="false" outlineLevel="0" collapsed="false">
      <c r="A185" s="0" t="s">
        <v>95</v>
      </c>
      <c r="B185" s="0" t="s">
        <v>104</v>
      </c>
      <c r="C185" s="0" t="s">
        <v>33</v>
      </c>
      <c r="D185" s="0" t="str">
        <f aca="false">IFERROR(INDEX('Materials Master'!$B$2:$B$27,MATCH($C185,'Materials Master'!$A$2:$A$27,0)),"")</f>
        <v>Soiled Cardboard</v>
      </c>
      <c r="E185" s="0" t="str">
        <f aca="false">IFERROR(INDEX('Materials Master'!$C$2:$C$27,MATCH($C185,'Materials Master'!$A$2:$A$27,0)),"")</f>
        <v>Fibers</v>
      </c>
      <c r="F185" s="0" t="n">
        <f aca="false">IF(SUMIFS(Fact_SortedWeights!$E$2:$E$89,Fact_SortedWeights!$C$2:$C$89,$A185,Fact_SortedWeights!$B$2:$B$89,$B185)=0,0,SUMIFS(Fact_SortedWeights!$E$2:$E$89,Fact_SortedWeights!$C$2:$C$89,$A185,Fact_SortedWeights!$B$2:$B$89,$B185,Fact_SortedWeights!$D$2:$D$89,$C185)/SUMIFS(Fact_SortedWeights!$E$2:$E$89,Fact_SortedWeights!$C$2:$C$89,$A185,Fact_SortedWeights!$B$2:$B$89,$B185)*(IF($B185="Cardboard Recycling",SUMIFS(Fact_SortedWeights!$E$2:$E$89,Fact_SortedWeights!$C$2:$C$89,$A185,Fact_SortedWeights!$B$2:$B$89,$B185),SUMIFS(Fact_PreSortWeights!$E$2:$E$186,Fact_PreSortWeights!$C$2:$C$186,$A185,Fact_PreSortWeights!$B$2:$B$186,$B185))))</f>
        <v>0</v>
      </c>
      <c r="G185" s="0" t="n">
        <f aca="false">IF(AND(IF($B185="Trash",INDEX('Materials Master'!$F$2:$F$27,MATCH($C185,'Materials Master'!$A$2:$A$27,0)),IF($B185="GMPC Recycling",INDEX('Materials Master'!$G$2:$G$27,MATCH($C185,'Materials Master'!$A$2:$A$27,0)),IF($B185="Organics Recycling",INDEX('Materials Master'!$H$2:$H$27,MATCH($C185,'Materials Master'!$A$2:$A$27,0)),IF($B185="Cardboard Recycling",INDEX('Materials Master'!$I$2:$I$27,MATCH($C185,'Materials Master'!$A$2:$A$27,0)),IF($B185="Paper Recycling",INDEX('Materials Master'!$J$2:$J$27,MATCH($C185,'Materials Master'!$A$2:$A$27,0)),IF($B185="Terracycle",INDEX('Materials Master'!$K$2:$K$27,MATCH($C185,'Materials Master'!$A$2:$A$27,0)),"No"))))))="Yes",INDEX('Materials Master'!$E$2:$E$27,MATCH($C185,'Materials Master'!$A$2:$A$27,0))="Yes",$B185&lt;&gt;"Trash"),1,0)</f>
        <v>0</v>
      </c>
      <c r="H185" s="0" t="str">
        <f aca="false">INDEX('Materials Master'!$E$2:$E$27,MATCH($C185,'Materials Master'!$A$2:$A$27,0))</f>
        <v>No</v>
      </c>
      <c r="I185" s="0" t="str">
        <f aca="false">IFERROR(INDEX(Areas!$C$2:$C$6,MATCH($A185,Areas!$B$2:$B$6,0)),"")</f>
        <v>BOH</v>
      </c>
      <c r="J185" s="0" t="n">
        <f aca="false">IF(IF($B185="Trash",INDEX('Materials Master'!$F$2:$F$27,MATCH($C185,'Materials Master'!$A$2:$A$27,0)),IF($B185="GMPC Recycling",INDEX('Materials Master'!$G$2:$G$27,MATCH($C185,'Materials Master'!$A$2:$A$27,0)),IF($B185="Organics Recycling",INDEX('Materials Master'!$H$2:$H$27,MATCH($C185,'Materials Master'!$A$2:$A$27,0)),IF($B185="Cardboard Recycling",INDEX('Materials Master'!$I$2:$I$27,MATCH($C185,'Materials Master'!$A$2:$A$27,0)),IF($B185="Paper Recycling",INDEX('Materials Master'!$J$2:$J$27,MATCH($C185,'Materials Master'!$A$2:$A$27,0)),IF($B185="Terracycle",INDEX('Materials Master'!$K$2:$K$27,MATCH($C185,'Materials Master'!$A$2:$A$27,0)),"No"))))))="Yes",1,0)</f>
        <v>0</v>
      </c>
    </row>
    <row r="186" customFormat="false" ht="15" hidden="false" customHeight="false" outlineLevel="0" collapsed="false">
      <c r="A186" s="0" t="s">
        <v>95</v>
      </c>
      <c r="B186" s="0" t="s">
        <v>104</v>
      </c>
      <c r="C186" s="0" t="s">
        <v>35</v>
      </c>
      <c r="D186" s="0" t="str">
        <f aca="false">IFERROR(INDEX('Materials Master'!$B$2:$B$27,MATCH($C186,'Materials Master'!$A$2:$A$27,0)),"")</f>
        <v>Waxed Cardboard</v>
      </c>
      <c r="E186" s="0" t="str">
        <f aca="false">IFERROR(INDEX('Materials Master'!$C$2:$C$27,MATCH($C186,'Materials Master'!$A$2:$A$27,0)),"")</f>
        <v>Fibers</v>
      </c>
      <c r="F186" s="0" t="n">
        <f aca="false">IF(SUMIFS(Fact_SortedWeights!$E$2:$E$89,Fact_SortedWeights!$C$2:$C$89,$A186,Fact_SortedWeights!$B$2:$B$89,$B186)=0,0,SUMIFS(Fact_SortedWeights!$E$2:$E$89,Fact_SortedWeights!$C$2:$C$89,$A186,Fact_SortedWeights!$B$2:$B$89,$B186,Fact_SortedWeights!$D$2:$D$89,$C186)/SUMIFS(Fact_SortedWeights!$E$2:$E$89,Fact_SortedWeights!$C$2:$C$89,$A186,Fact_SortedWeights!$B$2:$B$89,$B186)*(IF($B186="Cardboard Recycling",SUMIFS(Fact_SortedWeights!$E$2:$E$89,Fact_SortedWeights!$C$2:$C$89,$A186,Fact_SortedWeights!$B$2:$B$89,$B186),SUMIFS(Fact_PreSortWeights!$E$2:$E$186,Fact_PreSortWeights!$C$2:$C$186,$A186,Fact_PreSortWeights!$B$2:$B$186,$B186))))</f>
        <v>0</v>
      </c>
      <c r="G186" s="0" t="n">
        <f aca="false">IF(AND(IF($B186="Trash",INDEX('Materials Master'!$F$2:$F$27,MATCH($C186,'Materials Master'!$A$2:$A$27,0)),IF($B186="GMPC Recycling",INDEX('Materials Master'!$G$2:$G$27,MATCH($C186,'Materials Master'!$A$2:$A$27,0)),IF($B186="Organics Recycling",INDEX('Materials Master'!$H$2:$H$27,MATCH($C186,'Materials Master'!$A$2:$A$27,0)),IF($B186="Cardboard Recycling",INDEX('Materials Master'!$I$2:$I$27,MATCH($C186,'Materials Master'!$A$2:$A$27,0)),IF($B186="Paper Recycling",INDEX('Materials Master'!$J$2:$J$27,MATCH($C186,'Materials Master'!$A$2:$A$27,0)),IF($B186="Terracycle",INDEX('Materials Master'!$K$2:$K$27,MATCH($C186,'Materials Master'!$A$2:$A$27,0)),"No"))))))="Yes",INDEX('Materials Master'!$E$2:$E$27,MATCH($C186,'Materials Master'!$A$2:$A$27,0))="Yes",$B186&lt;&gt;"Trash"),1,0)</f>
        <v>0</v>
      </c>
      <c r="H186" s="0" t="str">
        <f aca="false">INDEX('Materials Master'!$E$2:$E$27,MATCH($C186,'Materials Master'!$A$2:$A$27,0))</f>
        <v>No</v>
      </c>
      <c r="I186" s="0" t="str">
        <f aca="false">IFERROR(INDEX(Areas!$C$2:$C$6,MATCH($A186,Areas!$B$2:$B$6,0)),"")</f>
        <v>BOH</v>
      </c>
      <c r="J186" s="0" t="n">
        <f aca="false">IF(IF($B186="Trash",INDEX('Materials Master'!$F$2:$F$27,MATCH($C186,'Materials Master'!$A$2:$A$27,0)),IF($B186="GMPC Recycling",INDEX('Materials Master'!$G$2:$G$27,MATCH($C186,'Materials Master'!$A$2:$A$27,0)),IF($B186="Organics Recycling",INDEX('Materials Master'!$H$2:$H$27,MATCH($C186,'Materials Master'!$A$2:$A$27,0)),IF($B186="Cardboard Recycling",INDEX('Materials Master'!$I$2:$I$27,MATCH($C186,'Materials Master'!$A$2:$A$27,0)),IF($B186="Paper Recycling",INDEX('Materials Master'!$J$2:$J$27,MATCH($C186,'Materials Master'!$A$2:$A$27,0)),IF($B186="Terracycle",INDEX('Materials Master'!$K$2:$K$27,MATCH($C186,'Materials Master'!$A$2:$A$27,0)),"No"))))))="Yes",1,0)</f>
        <v>0</v>
      </c>
    </row>
    <row r="187" customFormat="false" ht="15" hidden="false" customHeight="false" outlineLevel="0" collapsed="false">
      <c r="A187" s="0" t="s">
        <v>95</v>
      </c>
      <c r="B187" s="0" t="s">
        <v>104</v>
      </c>
      <c r="C187" s="0" t="s">
        <v>37</v>
      </c>
      <c r="D187" s="0" t="str">
        <f aca="false">IFERROR(INDEX('Materials Master'!$B$2:$B$27,MATCH($C187,'Materials Master'!$A$2:$A$27,0)),"")</f>
        <v>Mixed Paper</v>
      </c>
      <c r="E187" s="0" t="str">
        <f aca="false">IFERROR(INDEX('Materials Master'!$C$2:$C$27,MATCH($C187,'Materials Master'!$A$2:$A$27,0)),"")</f>
        <v>Fibers</v>
      </c>
      <c r="F187" s="0" t="n">
        <f aca="false">IF(SUMIFS(Fact_SortedWeights!$E$2:$E$89,Fact_SortedWeights!$C$2:$C$89,$A187,Fact_SortedWeights!$B$2:$B$89,$B187)=0,0,SUMIFS(Fact_SortedWeights!$E$2:$E$89,Fact_SortedWeights!$C$2:$C$89,$A187,Fact_SortedWeights!$B$2:$B$89,$B187,Fact_SortedWeights!$D$2:$D$89,$C187)/SUMIFS(Fact_SortedWeights!$E$2:$E$89,Fact_SortedWeights!$C$2:$C$89,$A187,Fact_SortedWeights!$B$2:$B$89,$B187)*(IF($B187="Cardboard Recycling",SUMIFS(Fact_SortedWeights!$E$2:$E$89,Fact_SortedWeights!$C$2:$C$89,$A187,Fact_SortedWeights!$B$2:$B$89,$B187),SUMIFS(Fact_PreSortWeights!$E$2:$E$186,Fact_PreSortWeights!$C$2:$C$186,$A187,Fact_PreSortWeights!$B$2:$B$186,$B187))))</f>
        <v>0.34811320754717</v>
      </c>
      <c r="G187" s="0" t="n">
        <f aca="false">IF(AND(IF($B187="Trash",INDEX('Materials Master'!$F$2:$F$27,MATCH($C187,'Materials Master'!$A$2:$A$27,0)),IF($B187="GMPC Recycling",INDEX('Materials Master'!$G$2:$G$27,MATCH($C187,'Materials Master'!$A$2:$A$27,0)),IF($B187="Organics Recycling",INDEX('Materials Master'!$H$2:$H$27,MATCH($C187,'Materials Master'!$A$2:$A$27,0)),IF($B187="Cardboard Recycling",INDEX('Materials Master'!$I$2:$I$27,MATCH($C187,'Materials Master'!$A$2:$A$27,0)),IF($B187="Paper Recycling",INDEX('Materials Master'!$J$2:$J$27,MATCH($C187,'Materials Master'!$A$2:$A$27,0)),IF($B187="Terracycle",INDEX('Materials Master'!$K$2:$K$27,MATCH($C187,'Materials Master'!$A$2:$A$27,0)),"No"))))))="Yes",INDEX('Materials Master'!$E$2:$E$27,MATCH($C187,'Materials Master'!$A$2:$A$27,0))="Yes",$B187&lt;&gt;"Trash"),1,0)</f>
        <v>1</v>
      </c>
      <c r="H187" s="0" t="str">
        <f aca="false">INDEX('Materials Master'!$E$2:$E$27,MATCH($C187,'Materials Master'!$A$2:$A$27,0))</f>
        <v>Yes</v>
      </c>
      <c r="I187" s="0" t="str">
        <f aca="false">IFERROR(INDEX(Areas!$C$2:$C$6,MATCH($A187,Areas!$B$2:$B$6,0)),"")</f>
        <v>BOH</v>
      </c>
      <c r="J187" s="0" t="n">
        <f aca="false">IF(IF($B187="Trash",INDEX('Materials Master'!$F$2:$F$27,MATCH($C187,'Materials Master'!$A$2:$A$27,0)),IF($B187="GMPC Recycling",INDEX('Materials Master'!$G$2:$G$27,MATCH($C187,'Materials Master'!$A$2:$A$27,0)),IF($B187="Organics Recycling",INDEX('Materials Master'!$H$2:$H$27,MATCH($C187,'Materials Master'!$A$2:$A$27,0)),IF($B187="Cardboard Recycling",INDEX('Materials Master'!$I$2:$I$27,MATCH($C187,'Materials Master'!$A$2:$A$27,0)),IF($B187="Paper Recycling",INDEX('Materials Master'!$J$2:$J$27,MATCH($C187,'Materials Master'!$A$2:$A$27,0)),IF($B187="Terracycle",INDEX('Materials Master'!$K$2:$K$27,MATCH($C187,'Materials Master'!$A$2:$A$27,0)),"No"))))))="Yes",1,0)</f>
        <v>1</v>
      </c>
    </row>
    <row r="188" customFormat="false" ht="15" hidden="false" customHeight="false" outlineLevel="0" collapsed="false">
      <c r="A188" s="0" t="s">
        <v>95</v>
      </c>
      <c r="B188" s="0" t="s">
        <v>104</v>
      </c>
      <c r="C188" s="0" t="s">
        <v>39</v>
      </c>
      <c r="D188" s="0" t="str">
        <f aca="false">IFERROR(INDEX('Materials Master'!$B$2:$B$27,MATCH($C188,'Materials Master'!$A$2:$A$27,0)),"")</f>
        <v>Soiled Paper</v>
      </c>
      <c r="E188" s="0" t="str">
        <f aca="false">IFERROR(INDEX('Materials Master'!$C$2:$C$27,MATCH($C188,'Materials Master'!$A$2:$A$27,0)),"")</f>
        <v>Fibers</v>
      </c>
      <c r="F188" s="0" t="n">
        <f aca="false">IF(SUMIFS(Fact_SortedWeights!$E$2:$E$89,Fact_SortedWeights!$C$2:$C$89,$A188,Fact_SortedWeights!$B$2:$B$89,$B188)=0,0,SUMIFS(Fact_SortedWeights!$E$2:$E$89,Fact_SortedWeights!$C$2:$C$89,$A188,Fact_SortedWeights!$B$2:$B$89,$B188,Fact_SortedWeights!$D$2:$D$89,$C188)/SUMIFS(Fact_SortedWeights!$E$2:$E$89,Fact_SortedWeights!$C$2:$C$89,$A188,Fact_SortedWeights!$B$2:$B$89,$B188)*(IF($B188="Cardboard Recycling",SUMIFS(Fact_SortedWeights!$E$2:$E$89,Fact_SortedWeights!$C$2:$C$89,$A188,Fact_SortedWeights!$B$2:$B$89,$B188),SUMIFS(Fact_PreSortWeights!$E$2:$E$186,Fact_PreSortWeights!$C$2:$C$186,$A188,Fact_PreSortWeights!$B$2:$B$186,$B188))))</f>
        <v>0</v>
      </c>
      <c r="G188" s="0" t="n">
        <f aca="false">IF(AND(IF($B188="Trash",INDEX('Materials Master'!$F$2:$F$27,MATCH($C188,'Materials Master'!$A$2:$A$27,0)),IF($B188="GMPC Recycling",INDEX('Materials Master'!$G$2:$G$27,MATCH($C188,'Materials Master'!$A$2:$A$27,0)),IF($B188="Organics Recycling",INDEX('Materials Master'!$H$2:$H$27,MATCH($C188,'Materials Master'!$A$2:$A$27,0)),IF($B188="Cardboard Recycling",INDEX('Materials Master'!$I$2:$I$27,MATCH($C188,'Materials Master'!$A$2:$A$27,0)),IF($B188="Paper Recycling",INDEX('Materials Master'!$J$2:$J$27,MATCH($C188,'Materials Master'!$A$2:$A$27,0)),IF($B188="Terracycle",INDEX('Materials Master'!$K$2:$K$27,MATCH($C188,'Materials Master'!$A$2:$A$27,0)),"No"))))))="Yes",INDEX('Materials Master'!$E$2:$E$27,MATCH($C188,'Materials Master'!$A$2:$A$27,0))="Yes",$B188&lt;&gt;"Trash"),1,0)</f>
        <v>0</v>
      </c>
      <c r="H188" s="0" t="str">
        <f aca="false">INDEX('Materials Master'!$E$2:$E$27,MATCH($C188,'Materials Master'!$A$2:$A$27,0))</f>
        <v>No</v>
      </c>
      <c r="I188" s="0" t="str">
        <f aca="false">IFERROR(INDEX(Areas!$C$2:$C$6,MATCH($A188,Areas!$B$2:$B$6,0)),"")</f>
        <v>BOH</v>
      </c>
      <c r="J188" s="0" t="n">
        <f aca="false">IF(IF($B188="Trash",INDEX('Materials Master'!$F$2:$F$27,MATCH($C188,'Materials Master'!$A$2:$A$27,0)),IF($B188="GMPC Recycling",INDEX('Materials Master'!$G$2:$G$27,MATCH($C188,'Materials Master'!$A$2:$A$27,0)),IF($B188="Organics Recycling",INDEX('Materials Master'!$H$2:$H$27,MATCH($C188,'Materials Master'!$A$2:$A$27,0)),IF($B188="Cardboard Recycling",INDEX('Materials Master'!$I$2:$I$27,MATCH($C188,'Materials Master'!$A$2:$A$27,0)),IF($B188="Paper Recycling",INDEX('Materials Master'!$J$2:$J$27,MATCH($C188,'Materials Master'!$A$2:$A$27,0)),IF($B188="Terracycle",INDEX('Materials Master'!$K$2:$K$27,MATCH($C188,'Materials Master'!$A$2:$A$27,0)),"No"))))))="Yes",1,0)</f>
        <v>0</v>
      </c>
    </row>
    <row r="189" customFormat="false" ht="15" hidden="false" customHeight="false" outlineLevel="0" collapsed="false">
      <c r="A189" s="0" t="s">
        <v>95</v>
      </c>
      <c r="B189" s="0" t="s">
        <v>104</v>
      </c>
      <c r="C189" s="0" t="s">
        <v>41</v>
      </c>
      <c r="D189" s="0" t="str">
        <f aca="false">IFERROR(INDEX('Materials Master'!$B$2:$B$27,MATCH($C189,'Materials Master'!$A$2:$A$27,0)),"")</f>
        <v>Beverage Cartons</v>
      </c>
      <c r="E189" s="0" t="str">
        <f aca="false">IFERROR(INDEX('Materials Master'!$C$2:$C$27,MATCH($C189,'Materials Master'!$A$2:$A$27,0)),"")</f>
        <v>Fibers</v>
      </c>
      <c r="F189" s="0" t="n">
        <f aca="false">IF(SUMIFS(Fact_SortedWeights!$E$2:$E$89,Fact_SortedWeights!$C$2:$C$89,$A189,Fact_SortedWeights!$B$2:$B$89,$B189)=0,0,SUMIFS(Fact_SortedWeights!$E$2:$E$89,Fact_SortedWeights!$C$2:$C$89,$A189,Fact_SortedWeights!$B$2:$B$89,$B189,Fact_SortedWeights!$D$2:$D$89,$C189)/SUMIFS(Fact_SortedWeights!$E$2:$E$89,Fact_SortedWeights!$C$2:$C$89,$A189,Fact_SortedWeights!$B$2:$B$89,$B189)*(IF($B189="Cardboard Recycling",SUMIFS(Fact_SortedWeights!$E$2:$E$89,Fact_SortedWeights!$C$2:$C$89,$A189,Fact_SortedWeights!$B$2:$B$89,$B189),SUMIFS(Fact_PreSortWeights!$E$2:$E$186,Fact_PreSortWeights!$C$2:$C$186,$A189,Fact_PreSortWeights!$B$2:$B$186,$B189))))</f>
        <v>0.687735849056604</v>
      </c>
      <c r="G189" s="0" t="n">
        <f aca="false">IF(AND(IF($B189="Trash",INDEX('Materials Master'!$F$2:$F$27,MATCH($C189,'Materials Master'!$A$2:$A$27,0)),IF($B189="GMPC Recycling",INDEX('Materials Master'!$G$2:$G$27,MATCH($C189,'Materials Master'!$A$2:$A$27,0)),IF($B189="Organics Recycling",INDEX('Materials Master'!$H$2:$H$27,MATCH($C189,'Materials Master'!$A$2:$A$27,0)),IF($B189="Cardboard Recycling",INDEX('Materials Master'!$I$2:$I$27,MATCH($C189,'Materials Master'!$A$2:$A$27,0)),IF($B189="Paper Recycling",INDEX('Materials Master'!$J$2:$J$27,MATCH($C189,'Materials Master'!$A$2:$A$27,0)),IF($B189="Terracycle",INDEX('Materials Master'!$K$2:$K$27,MATCH($C189,'Materials Master'!$A$2:$A$27,0)),"No"))))))="Yes",INDEX('Materials Master'!$E$2:$E$27,MATCH($C189,'Materials Master'!$A$2:$A$27,0))="Yes",$B189&lt;&gt;"Trash"),1,0)</f>
        <v>1</v>
      </c>
      <c r="H189" s="0" t="str">
        <f aca="false">INDEX('Materials Master'!$E$2:$E$27,MATCH($C189,'Materials Master'!$A$2:$A$27,0))</f>
        <v>Yes</v>
      </c>
      <c r="I189" s="0" t="str">
        <f aca="false">IFERROR(INDEX(Areas!$C$2:$C$6,MATCH($A189,Areas!$B$2:$B$6,0)),"")</f>
        <v>BOH</v>
      </c>
      <c r="J189" s="0" t="n">
        <f aca="false">IF(IF($B189="Trash",INDEX('Materials Master'!$F$2:$F$27,MATCH($C189,'Materials Master'!$A$2:$A$27,0)),IF($B189="GMPC Recycling",INDEX('Materials Master'!$G$2:$G$27,MATCH($C189,'Materials Master'!$A$2:$A$27,0)),IF($B189="Organics Recycling",INDEX('Materials Master'!$H$2:$H$27,MATCH($C189,'Materials Master'!$A$2:$A$27,0)),IF($B189="Cardboard Recycling",INDEX('Materials Master'!$I$2:$I$27,MATCH($C189,'Materials Master'!$A$2:$A$27,0)),IF($B189="Paper Recycling",INDEX('Materials Master'!$J$2:$J$27,MATCH($C189,'Materials Master'!$A$2:$A$27,0)),IF($B189="Terracycle",INDEX('Materials Master'!$K$2:$K$27,MATCH($C189,'Materials Master'!$A$2:$A$27,0)),"No"))))))="Yes",1,0)</f>
        <v>1</v>
      </c>
    </row>
    <row r="190" customFormat="false" ht="15" hidden="false" customHeight="false" outlineLevel="0" collapsed="false">
      <c r="A190" s="0" t="s">
        <v>95</v>
      </c>
      <c r="B190" s="0" t="s">
        <v>104</v>
      </c>
      <c r="C190" s="0" t="s">
        <v>43</v>
      </c>
      <c r="D190" s="0" t="str">
        <f aca="false">IFERROR(INDEX('Materials Master'!$B$2:$B$27,MATCH($C190,'Materials Master'!$A$2:$A$27,0)),"")</f>
        <v>Soiled Beverage Cartons</v>
      </c>
      <c r="E190" s="0" t="str">
        <f aca="false">IFERROR(INDEX('Materials Master'!$C$2:$C$27,MATCH($C190,'Materials Master'!$A$2:$A$27,0)),"")</f>
        <v>Fibers</v>
      </c>
      <c r="F190" s="0" t="n">
        <f aca="false">IF(SUMIFS(Fact_SortedWeights!$E$2:$E$89,Fact_SortedWeights!$C$2:$C$89,$A190,Fact_SortedWeights!$B$2:$B$89,$B190)=0,0,SUMIFS(Fact_SortedWeights!$E$2:$E$89,Fact_SortedWeights!$C$2:$C$89,$A190,Fact_SortedWeights!$B$2:$B$89,$B190,Fact_SortedWeights!$D$2:$D$89,$C190)/SUMIFS(Fact_SortedWeights!$E$2:$E$89,Fact_SortedWeights!$C$2:$C$89,$A190,Fact_SortedWeights!$B$2:$B$89,$B190)*(IF($B190="Cardboard Recycling",SUMIFS(Fact_SortedWeights!$E$2:$E$89,Fact_SortedWeights!$C$2:$C$89,$A190,Fact_SortedWeights!$B$2:$B$89,$B190),SUMIFS(Fact_PreSortWeights!$E$2:$E$186,Fact_PreSortWeights!$C$2:$C$186,$A190,Fact_PreSortWeights!$B$2:$B$186,$B190))))</f>
        <v>0</v>
      </c>
      <c r="G190" s="0" t="n">
        <f aca="false">IF(AND(IF($B190="Trash",INDEX('Materials Master'!$F$2:$F$27,MATCH($C190,'Materials Master'!$A$2:$A$27,0)),IF($B190="GMPC Recycling",INDEX('Materials Master'!$G$2:$G$27,MATCH($C190,'Materials Master'!$A$2:$A$27,0)),IF($B190="Organics Recycling",INDEX('Materials Master'!$H$2:$H$27,MATCH($C190,'Materials Master'!$A$2:$A$27,0)),IF($B190="Cardboard Recycling",INDEX('Materials Master'!$I$2:$I$27,MATCH($C190,'Materials Master'!$A$2:$A$27,0)),IF($B190="Paper Recycling",INDEX('Materials Master'!$J$2:$J$27,MATCH($C190,'Materials Master'!$A$2:$A$27,0)),IF($B190="Terracycle",INDEX('Materials Master'!$K$2:$K$27,MATCH($C190,'Materials Master'!$A$2:$A$27,0)),"No"))))))="Yes",INDEX('Materials Master'!$E$2:$E$27,MATCH($C190,'Materials Master'!$A$2:$A$27,0))="Yes",$B190&lt;&gt;"Trash"),1,0)</f>
        <v>0</v>
      </c>
      <c r="H190" s="0" t="str">
        <f aca="false">INDEX('Materials Master'!$E$2:$E$27,MATCH($C190,'Materials Master'!$A$2:$A$27,0))</f>
        <v>No</v>
      </c>
      <c r="I190" s="0" t="str">
        <f aca="false">IFERROR(INDEX(Areas!$C$2:$C$6,MATCH($A190,Areas!$B$2:$B$6,0)),"")</f>
        <v>BOH</v>
      </c>
      <c r="J190" s="0" t="n">
        <f aca="false">IF(IF($B190="Trash",INDEX('Materials Master'!$F$2:$F$27,MATCH($C190,'Materials Master'!$A$2:$A$27,0)),IF($B190="GMPC Recycling",INDEX('Materials Master'!$G$2:$G$27,MATCH($C190,'Materials Master'!$A$2:$A$27,0)),IF($B190="Organics Recycling",INDEX('Materials Master'!$H$2:$H$27,MATCH($C190,'Materials Master'!$A$2:$A$27,0)),IF($B190="Cardboard Recycling",INDEX('Materials Master'!$I$2:$I$27,MATCH($C190,'Materials Master'!$A$2:$A$27,0)),IF($B190="Paper Recycling",INDEX('Materials Master'!$J$2:$J$27,MATCH($C190,'Materials Master'!$A$2:$A$27,0)),IF($B190="Terracycle",INDEX('Materials Master'!$K$2:$K$27,MATCH($C190,'Materials Master'!$A$2:$A$27,0)),"No"))))))="Yes",1,0)</f>
        <v>0</v>
      </c>
    </row>
    <row r="191" customFormat="false" ht="15" hidden="false" customHeight="false" outlineLevel="0" collapsed="false">
      <c r="A191" s="0" t="s">
        <v>95</v>
      </c>
      <c r="B191" s="0" t="s">
        <v>104</v>
      </c>
      <c r="C191" s="0" t="s">
        <v>45</v>
      </c>
      <c r="D191" s="0" t="str">
        <f aca="false">IFERROR(INDEX('Materials Master'!$B$2:$B$27,MATCH($C191,'Materials Master'!$A$2:$A$27,0)),"")</f>
        <v>Paper Cups / Other Coated Paper Containers</v>
      </c>
      <c r="E191" s="0" t="str">
        <f aca="false">IFERROR(INDEX('Materials Master'!$C$2:$C$27,MATCH($C191,'Materials Master'!$A$2:$A$27,0)),"")</f>
        <v>Fibers</v>
      </c>
      <c r="F191" s="0" t="n">
        <f aca="false">IF(SUMIFS(Fact_SortedWeights!$E$2:$E$89,Fact_SortedWeights!$C$2:$C$89,$A191,Fact_SortedWeights!$B$2:$B$89,$B191)=0,0,SUMIFS(Fact_SortedWeights!$E$2:$E$89,Fact_SortedWeights!$C$2:$C$89,$A191,Fact_SortedWeights!$B$2:$B$89,$B191,Fact_SortedWeights!$D$2:$D$89,$C191)/SUMIFS(Fact_SortedWeights!$E$2:$E$89,Fact_SortedWeights!$C$2:$C$89,$A191,Fact_SortedWeights!$B$2:$B$89,$B191)*(IF($B191="Cardboard Recycling",SUMIFS(Fact_SortedWeights!$E$2:$E$89,Fact_SortedWeights!$C$2:$C$89,$A191,Fact_SortedWeights!$B$2:$B$89,$B191),SUMIFS(Fact_PreSortWeights!$E$2:$E$186,Fact_PreSortWeights!$C$2:$C$186,$A191,Fact_PreSortWeights!$B$2:$B$186,$B191))))</f>
        <v>0.809433962264151</v>
      </c>
      <c r="G191" s="0" t="n">
        <f aca="false">IF(AND(IF($B191="Trash",INDEX('Materials Master'!$F$2:$F$27,MATCH($C191,'Materials Master'!$A$2:$A$27,0)),IF($B191="GMPC Recycling",INDEX('Materials Master'!$G$2:$G$27,MATCH($C191,'Materials Master'!$A$2:$A$27,0)),IF($B191="Organics Recycling",INDEX('Materials Master'!$H$2:$H$27,MATCH($C191,'Materials Master'!$A$2:$A$27,0)),IF($B191="Cardboard Recycling",INDEX('Materials Master'!$I$2:$I$27,MATCH($C191,'Materials Master'!$A$2:$A$27,0)),IF($B191="Paper Recycling",INDEX('Materials Master'!$J$2:$J$27,MATCH($C191,'Materials Master'!$A$2:$A$27,0)),IF($B191="Terracycle",INDEX('Materials Master'!$K$2:$K$27,MATCH($C191,'Materials Master'!$A$2:$A$27,0)),"No"))))))="Yes",INDEX('Materials Master'!$E$2:$E$27,MATCH($C191,'Materials Master'!$A$2:$A$27,0))="Yes",$B191&lt;&gt;"Trash"),1,0)</f>
        <v>0</v>
      </c>
      <c r="H191" s="0" t="str">
        <f aca="false">INDEX('Materials Master'!$E$2:$E$27,MATCH($C191,'Materials Master'!$A$2:$A$27,0))</f>
        <v>No</v>
      </c>
      <c r="I191" s="0" t="str">
        <f aca="false">IFERROR(INDEX(Areas!$C$2:$C$6,MATCH($A191,Areas!$B$2:$B$6,0)),"")</f>
        <v>BOH</v>
      </c>
      <c r="J191" s="0" t="n">
        <f aca="false">IF(IF($B191="Trash",INDEX('Materials Master'!$F$2:$F$27,MATCH($C191,'Materials Master'!$A$2:$A$27,0)),IF($B191="GMPC Recycling",INDEX('Materials Master'!$G$2:$G$27,MATCH($C191,'Materials Master'!$A$2:$A$27,0)),IF($B191="Organics Recycling",INDEX('Materials Master'!$H$2:$H$27,MATCH($C191,'Materials Master'!$A$2:$A$27,0)),IF($B191="Cardboard Recycling",INDEX('Materials Master'!$I$2:$I$27,MATCH($C191,'Materials Master'!$A$2:$A$27,0)),IF($B191="Paper Recycling",INDEX('Materials Master'!$J$2:$J$27,MATCH($C191,'Materials Master'!$A$2:$A$27,0)),IF($B191="Terracycle",INDEX('Materials Master'!$K$2:$K$27,MATCH($C191,'Materials Master'!$A$2:$A$27,0)),"No"))))))="Yes",1,0)</f>
        <v>0</v>
      </c>
    </row>
    <row r="192" customFormat="false" ht="15" hidden="false" customHeight="false" outlineLevel="0" collapsed="false">
      <c r="A192" s="0" t="s">
        <v>95</v>
      </c>
      <c r="B192" s="0" t="s">
        <v>104</v>
      </c>
      <c r="C192" s="0" t="s">
        <v>47</v>
      </c>
      <c r="D192" s="0" t="str">
        <f aca="false">IFERROR(INDEX('Materials Master'!$B$2:$B$27,MATCH($C192,'Materials Master'!$A$2:$A$27,0)),"")</f>
        <v>Glass Bottles &amp; Jars</v>
      </c>
      <c r="E192" s="0" t="str">
        <f aca="false">IFERROR(INDEX('Materials Master'!$C$2:$C$27,MATCH($C192,'Materials Master'!$A$2:$A$27,0)),"")</f>
        <v>Glass</v>
      </c>
      <c r="F192" s="0" t="n">
        <f aca="false">IF(SUMIFS(Fact_SortedWeights!$E$2:$E$89,Fact_SortedWeights!$C$2:$C$89,$A192,Fact_SortedWeights!$B$2:$B$89,$B192)=0,0,SUMIFS(Fact_SortedWeights!$E$2:$E$89,Fact_SortedWeights!$C$2:$C$89,$A192,Fact_SortedWeights!$B$2:$B$89,$B192,Fact_SortedWeights!$D$2:$D$89,$C192)/SUMIFS(Fact_SortedWeights!$E$2:$E$89,Fact_SortedWeights!$C$2:$C$89,$A192,Fact_SortedWeights!$B$2:$B$89,$B192)*(IF($B192="Cardboard Recycling",SUMIFS(Fact_SortedWeights!$E$2:$E$89,Fact_SortedWeights!$C$2:$C$89,$A192,Fact_SortedWeights!$B$2:$B$89,$B192),SUMIFS(Fact_PreSortWeights!$E$2:$E$186,Fact_PreSortWeights!$C$2:$C$186,$A192,Fact_PreSortWeights!$B$2:$B$186,$B192))))</f>
        <v>0</v>
      </c>
      <c r="G192" s="0" t="n">
        <f aca="false">IF(AND(IF($B192="Trash",INDEX('Materials Master'!$F$2:$F$27,MATCH($C192,'Materials Master'!$A$2:$A$27,0)),IF($B192="GMPC Recycling",INDEX('Materials Master'!$G$2:$G$27,MATCH($C192,'Materials Master'!$A$2:$A$27,0)),IF($B192="Organics Recycling",INDEX('Materials Master'!$H$2:$H$27,MATCH($C192,'Materials Master'!$A$2:$A$27,0)),IF($B192="Cardboard Recycling",INDEX('Materials Master'!$I$2:$I$27,MATCH($C192,'Materials Master'!$A$2:$A$27,0)),IF($B192="Paper Recycling",INDEX('Materials Master'!$J$2:$J$27,MATCH($C192,'Materials Master'!$A$2:$A$27,0)),IF($B192="Terracycle",INDEX('Materials Master'!$K$2:$K$27,MATCH($C192,'Materials Master'!$A$2:$A$27,0)),"No"))))))="Yes",INDEX('Materials Master'!$E$2:$E$27,MATCH($C192,'Materials Master'!$A$2:$A$27,0))="Yes",$B192&lt;&gt;"Trash"),1,0)</f>
        <v>1</v>
      </c>
      <c r="H192" s="0" t="str">
        <f aca="false">INDEX('Materials Master'!$E$2:$E$27,MATCH($C192,'Materials Master'!$A$2:$A$27,0))</f>
        <v>Yes</v>
      </c>
      <c r="I192" s="0" t="str">
        <f aca="false">IFERROR(INDEX(Areas!$C$2:$C$6,MATCH($A192,Areas!$B$2:$B$6,0)),"")</f>
        <v>BOH</v>
      </c>
      <c r="J192" s="0" t="n">
        <f aca="false">IF(IF($B192="Trash",INDEX('Materials Master'!$F$2:$F$27,MATCH($C192,'Materials Master'!$A$2:$A$27,0)),IF($B192="GMPC Recycling",INDEX('Materials Master'!$G$2:$G$27,MATCH($C192,'Materials Master'!$A$2:$A$27,0)),IF($B192="Organics Recycling",INDEX('Materials Master'!$H$2:$H$27,MATCH($C192,'Materials Master'!$A$2:$A$27,0)),IF($B192="Cardboard Recycling",INDEX('Materials Master'!$I$2:$I$27,MATCH($C192,'Materials Master'!$A$2:$A$27,0)),IF($B192="Paper Recycling",INDEX('Materials Master'!$J$2:$J$27,MATCH($C192,'Materials Master'!$A$2:$A$27,0)),IF($B192="Terracycle",INDEX('Materials Master'!$K$2:$K$27,MATCH($C192,'Materials Master'!$A$2:$A$27,0)),"No"))))))="Yes",1,0)</f>
        <v>1</v>
      </c>
    </row>
    <row r="193" customFormat="false" ht="15" hidden="false" customHeight="false" outlineLevel="0" collapsed="false">
      <c r="A193" s="0" t="s">
        <v>95</v>
      </c>
      <c r="B193" s="0" t="s">
        <v>104</v>
      </c>
      <c r="C193" s="0" t="s">
        <v>50</v>
      </c>
      <c r="D193" s="0" t="str">
        <f aca="false">IFERROR(INDEX('Materials Master'!$B$2:$B$27,MATCH($C193,'Materials Master'!$A$2:$A$27,0)),"")</f>
        <v>Soiled Glass</v>
      </c>
      <c r="E193" s="0" t="str">
        <f aca="false">IFERROR(INDEX('Materials Master'!$C$2:$C$27,MATCH($C193,'Materials Master'!$A$2:$A$27,0)),"")</f>
        <v>Glass</v>
      </c>
      <c r="F193" s="0" t="n">
        <f aca="false">IF(SUMIFS(Fact_SortedWeights!$E$2:$E$89,Fact_SortedWeights!$C$2:$C$89,$A193,Fact_SortedWeights!$B$2:$B$89,$B193)=0,0,SUMIFS(Fact_SortedWeights!$E$2:$E$89,Fact_SortedWeights!$C$2:$C$89,$A193,Fact_SortedWeights!$B$2:$B$89,$B193,Fact_SortedWeights!$D$2:$D$89,$C193)/SUMIFS(Fact_SortedWeights!$E$2:$E$89,Fact_SortedWeights!$C$2:$C$89,$A193,Fact_SortedWeights!$B$2:$B$89,$B193)*(IF($B193="Cardboard Recycling",SUMIFS(Fact_SortedWeights!$E$2:$E$89,Fact_SortedWeights!$C$2:$C$89,$A193,Fact_SortedWeights!$B$2:$B$89,$B193),SUMIFS(Fact_PreSortWeights!$E$2:$E$186,Fact_PreSortWeights!$C$2:$C$186,$A193,Fact_PreSortWeights!$B$2:$B$186,$B193))))</f>
        <v>0</v>
      </c>
      <c r="G193" s="0" t="n">
        <f aca="false">IF(AND(IF($B193="Trash",INDEX('Materials Master'!$F$2:$F$27,MATCH($C193,'Materials Master'!$A$2:$A$27,0)),IF($B193="GMPC Recycling",INDEX('Materials Master'!$G$2:$G$27,MATCH($C193,'Materials Master'!$A$2:$A$27,0)),IF($B193="Organics Recycling",INDEX('Materials Master'!$H$2:$H$27,MATCH($C193,'Materials Master'!$A$2:$A$27,0)),IF($B193="Cardboard Recycling",INDEX('Materials Master'!$I$2:$I$27,MATCH($C193,'Materials Master'!$A$2:$A$27,0)),IF($B193="Paper Recycling",INDEX('Materials Master'!$J$2:$J$27,MATCH($C193,'Materials Master'!$A$2:$A$27,0)),IF($B193="Terracycle",INDEX('Materials Master'!$K$2:$K$27,MATCH($C193,'Materials Master'!$A$2:$A$27,0)),"No"))))))="Yes",INDEX('Materials Master'!$E$2:$E$27,MATCH($C193,'Materials Master'!$A$2:$A$27,0))="Yes",$B193&lt;&gt;"Trash"),1,0)</f>
        <v>0</v>
      </c>
      <c r="H193" s="0" t="str">
        <f aca="false">INDEX('Materials Master'!$E$2:$E$27,MATCH($C193,'Materials Master'!$A$2:$A$27,0))</f>
        <v>No</v>
      </c>
      <c r="I193" s="0" t="str">
        <f aca="false">IFERROR(INDEX(Areas!$C$2:$C$6,MATCH($A193,Areas!$B$2:$B$6,0)),"")</f>
        <v>BOH</v>
      </c>
      <c r="J193" s="0" t="n">
        <f aca="false">IF(IF($B193="Trash",INDEX('Materials Master'!$F$2:$F$27,MATCH($C193,'Materials Master'!$A$2:$A$27,0)),IF($B193="GMPC Recycling",INDEX('Materials Master'!$G$2:$G$27,MATCH($C193,'Materials Master'!$A$2:$A$27,0)),IF($B193="Organics Recycling",INDEX('Materials Master'!$H$2:$H$27,MATCH($C193,'Materials Master'!$A$2:$A$27,0)),IF($B193="Cardboard Recycling",INDEX('Materials Master'!$I$2:$I$27,MATCH($C193,'Materials Master'!$A$2:$A$27,0)),IF($B193="Paper Recycling",INDEX('Materials Master'!$J$2:$J$27,MATCH($C193,'Materials Master'!$A$2:$A$27,0)),IF($B193="Terracycle",INDEX('Materials Master'!$K$2:$K$27,MATCH($C193,'Materials Master'!$A$2:$A$27,0)),"No"))))))="Yes",1,0)</f>
        <v>0</v>
      </c>
    </row>
    <row r="194" customFormat="false" ht="15" hidden="false" customHeight="false" outlineLevel="0" collapsed="false">
      <c r="A194" s="0" t="s">
        <v>95</v>
      </c>
      <c r="B194" s="0" t="s">
        <v>104</v>
      </c>
      <c r="C194" s="0" t="s">
        <v>52</v>
      </c>
      <c r="D194" s="0" t="str">
        <f aca="false">IFERROR(INDEX('Materials Master'!$B$2:$B$27,MATCH($C194,'Materials Master'!$A$2:$A$27,0)),"")</f>
        <v>Aluminum &amp; Bi-Metal Containers</v>
      </c>
      <c r="E194" s="0" t="str">
        <f aca="false">IFERROR(INDEX('Materials Master'!$C$2:$C$27,MATCH($C194,'Materials Master'!$A$2:$A$27,0)),"")</f>
        <v>Metals</v>
      </c>
      <c r="F194" s="0" t="n">
        <f aca="false">IF(SUMIFS(Fact_SortedWeights!$E$2:$E$89,Fact_SortedWeights!$C$2:$C$89,$A194,Fact_SortedWeights!$B$2:$B$89,$B194)=0,0,SUMIFS(Fact_SortedWeights!$E$2:$E$89,Fact_SortedWeights!$C$2:$C$89,$A194,Fact_SortedWeights!$B$2:$B$89,$B194,Fact_SortedWeights!$D$2:$D$89,$C194)/SUMIFS(Fact_SortedWeights!$E$2:$E$89,Fact_SortedWeights!$C$2:$C$89,$A194,Fact_SortedWeights!$B$2:$B$89,$B194)*(IF($B194="Cardboard Recycling",SUMIFS(Fact_SortedWeights!$E$2:$E$89,Fact_SortedWeights!$C$2:$C$89,$A194,Fact_SortedWeights!$B$2:$B$89,$B194),SUMIFS(Fact_PreSortWeights!$E$2:$E$186,Fact_PreSortWeights!$C$2:$C$186,$A194,Fact_PreSortWeights!$B$2:$B$186,$B194))))</f>
        <v>0</v>
      </c>
      <c r="G194" s="0" t="n">
        <f aca="false">IF(AND(IF($B194="Trash",INDEX('Materials Master'!$F$2:$F$27,MATCH($C194,'Materials Master'!$A$2:$A$27,0)),IF($B194="GMPC Recycling",INDEX('Materials Master'!$G$2:$G$27,MATCH($C194,'Materials Master'!$A$2:$A$27,0)),IF($B194="Organics Recycling",INDEX('Materials Master'!$H$2:$H$27,MATCH($C194,'Materials Master'!$A$2:$A$27,0)),IF($B194="Cardboard Recycling",INDEX('Materials Master'!$I$2:$I$27,MATCH($C194,'Materials Master'!$A$2:$A$27,0)),IF($B194="Paper Recycling",INDEX('Materials Master'!$J$2:$J$27,MATCH($C194,'Materials Master'!$A$2:$A$27,0)),IF($B194="Terracycle",INDEX('Materials Master'!$K$2:$K$27,MATCH($C194,'Materials Master'!$A$2:$A$27,0)),"No"))))))="Yes",INDEX('Materials Master'!$E$2:$E$27,MATCH($C194,'Materials Master'!$A$2:$A$27,0))="Yes",$B194&lt;&gt;"Trash"),1,0)</f>
        <v>1</v>
      </c>
      <c r="H194" s="0" t="str">
        <f aca="false">INDEX('Materials Master'!$E$2:$E$27,MATCH($C194,'Materials Master'!$A$2:$A$27,0))</f>
        <v>Yes</v>
      </c>
      <c r="I194" s="0" t="str">
        <f aca="false">IFERROR(INDEX(Areas!$C$2:$C$6,MATCH($A194,Areas!$B$2:$B$6,0)),"")</f>
        <v>BOH</v>
      </c>
      <c r="J194" s="0" t="n">
        <f aca="false">IF(IF($B194="Trash",INDEX('Materials Master'!$F$2:$F$27,MATCH($C194,'Materials Master'!$A$2:$A$27,0)),IF($B194="GMPC Recycling",INDEX('Materials Master'!$G$2:$G$27,MATCH($C194,'Materials Master'!$A$2:$A$27,0)),IF($B194="Organics Recycling",INDEX('Materials Master'!$H$2:$H$27,MATCH($C194,'Materials Master'!$A$2:$A$27,0)),IF($B194="Cardboard Recycling",INDEX('Materials Master'!$I$2:$I$27,MATCH($C194,'Materials Master'!$A$2:$A$27,0)),IF($B194="Paper Recycling",INDEX('Materials Master'!$J$2:$J$27,MATCH($C194,'Materials Master'!$A$2:$A$27,0)),IF($B194="Terracycle",INDEX('Materials Master'!$K$2:$K$27,MATCH($C194,'Materials Master'!$A$2:$A$27,0)),"No"))))))="Yes",1,0)</f>
        <v>1</v>
      </c>
    </row>
    <row r="195" customFormat="false" ht="15" hidden="false" customHeight="false" outlineLevel="0" collapsed="false">
      <c r="A195" s="0" t="s">
        <v>95</v>
      </c>
      <c r="B195" s="0" t="s">
        <v>104</v>
      </c>
      <c r="C195" s="0" t="s">
        <v>55</v>
      </c>
      <c r="D195" s="0" t="str">
        <f aca="false">IFERROR(INDEX('Materials Master'!$B$2:$B$27,MATCH($C195,'Materials Master'!$A$2:$A$27,0)),"")</f>
        <v>Soiled Metals</v>
      </c>
      <c r="E195" s="0" t="str">
        <f aca="false">IFERROR(INDEX('Materials Master'!$C$2:$C$27,MATCH($C195,'Materials Master'!$A$2:$A$27,0)),"")</f>
        <v>Metals</v>
      </c>
      <c r="F195" s="0" t="n">
        <f aca="false">IF(SUMIFS(Fact_SortedWeights!$E$2:$E$89,Fact_SortedWeights!$C$2:$C$89,$A195,Fact_SortedWeights!$B$2:$B$89,$B195)=0,0,SUMIFS(Fact_SortedWeights!$E$2:$E$89,Fact_SortedWeights!$C$2:$C$89,$A195,Fact_SortedWeights!$B$2:$B$89,$B195,Fact_SortedWeights!$D$2:$D$89,$C195)/SUMIFS(Fact_SortedWeights!$E$2:$E$89,Fact_SortedWeights!$C$2:$C$89,$A195,Fact_SortedWeights!$B$2:$B$89,$B195)*(IF($B195="Cardboard Recycling",SUMIFS(Fact_SortedWeights!$E$2:$E$89,Fact_SortedWeights!$C$2:$C$89,$A195,Fact_SortedWeights!$B$2:$B$89,$B195),SUMIFS(Fact_PreSortWeights!$E$2:$E$186,Fact_PreSortWeights!$C$2:$C$186,$A195,Fact_PreSortWeights!$B$2:$B$186,$B195))))</f>
        <v>0</v>
      </c>
      <c r="G195" s="0" t="n">
        <f aca="false">IF(AND(IF($B195="Trash",INDEX('Materials Master'!$F$2:$F$27,MATCH($C195,'Materials Master'!$A$2:$A$27,0)),IF($B195="GMPC Recycling",INDEX('Materials Master'!$G$2:$G$27,MATCH($C195,'Materials Master'!$A$2:$A$27,0)),IF($B195="Organics Recycling",INDEX('Materials Master'!$H$2:$H$27,MATCH($C195,'Materials Master'!$A$2:$A$27,0)),IF($B195="Cardboard Recycling",INDEX('Materials Master'!$I$2:$I$27,MATCH($C195,'Materials Master'!$A$2:$A$27,0)),IF($B195="Paper Recycling",INDEX('Materials Master'!$J$2:$J$27,MATCH($C195,'Materials Master'!$A$2:$A$27,0)),IF($B195="Terracycle",INDEX('Materials Master'!$K$2:$K$27,MATCH($C195,'Materials Master'!$A$2:$A$27,0)),"No"))))))="Yes",INDEX('Materials Master'!$E$2:$E$27,MATCH($C195,'Materials Master'!$A$2:$A$27,0))="Yes",$B195&lt;&gt;"Trash"),1,0)</f>
        <v>0</v>
      </c>
      <c r="H195" s="0" t="str">
        <f aca="false">INDEX('Materials Master'!$E$2:$E$27,MATCH($C195,'Materials Master'!$A$2:$A$27,0))</f>
        <v>No</v>
      </c>
      <c r="I195" s="0" t="str">
        <f aca="false">IFERROR(INDEX(Areas!$C$2:$C$6,MATCH($A195,Areas!$B$2:$B$6,0)),"")</f>
        <v>BOH</v>
      </c>
      <c r="J195" s="0" t="n">
        <f aca="false">IF(IF($B195="Trash",INDEX('Materials Master'!$F$2:$F$27,MATCH($C195,'Materials Master'!$A$2:$A$27,0)),IF($B195="GMPC Recycling",INDEX('Materials Master'!$G$2:$G$27,MATCH($C195,'Materials Master'!$A$2:$A$27,0)),IF($B195="Organics Recycling",INDEX('Materials Master'!$H$2:$H$27,MATCH($C195,'Materials Master'!$A$2:$A$27,0)),IF($B195="Cardboard Recycling",INDEX('Materials Master'!$I$2:$I$27,MATCH($C195,'Materials Master'!$A$2:$A$27,0)),IF($B195="Paper Recycling",INDEX('Materials Master'!$J$2:$J$27,MATCH($C195,'Materials Master'!$A$2:$A$27,0)),IF($B195="Terracycle",INDEX('Materials Master'!$K$2:$K$27,MATCH($C195,'Materials Master'!$A$2:$A$27,0)),"No"))))))="Yes",1,0)</f>
        <v>0</v>
      </c>
    </row>
    <row r="196" customFormat="false" ht="15" hidden="false" customHeight="false" outlineLevel="0" collapsed="false">
      <c r="A196" s="0" t="s">
        <v>95</v>
      </c>
      <c r="B196" s="0" t="s">
        <v>104</v>
      </c>
      <c r="C196" s="0" t="s">
        <v>57</v>
      </c>
      <c r="D196" s="0" t="str">
        <f aca="false">IFERROR(INDEX('Materials Master'!$B$2:$B$27,MATCH($C196,'Materials Master'!$A$2:$A$27,0)),"")</f>
        <v>Rigid Plastics (1-6)</v>
      </c>
      <c r="E196" s="0" t="str">
        <f aca="false">IFERROR(INDEX('Materials Master'!$C$2:$C$27,MATCH($C196,'Materials Master'!$A$2:$A$27,0)),"")</f>
        <v>Plastics</v>
      </c>
      <c r="F196" s="0" t="n">
        <f aca="false">IF(SUMIFS(Fact_SortedWeights!$E$2:$E$89,Fact_SortedWeights!$C$2:$C$89,$A196,Fact_SortedWeights!$B$2:$B$89,$B196)=0,0,SUMIFS(Fact_SortedWeights!$E$2:$E$89,Fact_SortedWeights!$C$2:$C$89,$A196,Fact_SortedWeights!$B$2:$B$89,$B196,Fact_SortedWeights!$D$2:$D$89,$C196)/SUMIFS(Fact_SortedWeights!$E$2:$E$89,Fact_SortedWeights!$C$2:$C$89,$A196,Fact_SortedWeights!$B$2:$B$89,$B196)*(IF($B196="Cardboard Recycling",SUMIFS(Fact_SortedWeights!$E$2:$E$89,Fact_SortedWeights!$C$2:$C$89,$A196,Fact_SortedWeights!$B$2:$B$89,$B196),SUMIFS(Fact_PreSortWeights!$E$2:$E$186,Fact_PreSortWeights!$C$2:$C$186,$A196,Fact_PreSortWeights!$B$2:$B$186,$B196))))</f>
        <v>0</v>
      </c>
      <c r="G196" s="0" t="n">
        <f aca="false">IF(AND(IF($B196="Trash",INDEX('Materials Master'!$F$2:$F$27,MATCH($C196,'Materials Master'!$A$2:$A$27,0)),IF($B196="GMPC Recycling",INDEX('Materials Master'!$G$2:$G$27,MATCH($C196,'Materials Master'!$A$2:$A$27,0)),IF($B196="Organics Recycling",INDEX('Materials Master'!$H$2:$H$27,MATCH($C196,'Materials Master'!$A$2:$A$27,0)),IF($B196="Cardboard Recycling",INDEX('Materials Master'!$I$2:$I$27,MATCH($C196,'Materials Master'!$A$2:$A$27,0)),IF($B196="Paper Recycling",INDEX('Materials Master'!$J$2:$J$27,MATCH($C196,'Materials Master'!$A$2:$A$27,0)),IF($B196="Terracycle",INDEX('Materials Master'!$K$2:$K$27,MATCH($C196,'Materials Master'!$A$2:$A$27,0)),"No"))))))="Yes",INDEX('Materials Master'!$E$2:$E$27,MATCH($C196,'Materials Master'!$A$2:$A$27,0))="Yes",$B196&lt;&gt;"Trash"),1,0)</f>
        <v>1</v>
      </c>
      <c r="H196" s="0" t="str">
        <f aca="false">INDEX('Materials Master'!$E$2:$E$27,MATCH($C196,'Materials Master'!$A$2:$A$27,0))</f>
        <v>Yes</v>
      </c>
      <c r="I196" s="0" t="str">
        <f aca="false">IFERROR(INDEX(Areas!$C$2:$C$6,MATCH($A196,Areas!$B$2:$B$6,0)),"")</f>
        <v>BOH</v>
      </c>
      <c r="J196" s="0" t="n">
        <f aca="false">IF(IF($B196="Trash",INDEX('Materials Master'!$F$2:$F$27,MATCH($C196,'Materials Master'!$A$2:$A$27,0)),IF($B196="GMPC Recycling",INDEX('Materials Master'!$G$2:$G$27,MATCH($C196,'Materials Master'!$A$2:$A$27,0)),IF($B196="Organics Recycling",INDEX('Materials Master'!$H$2:$H$27,MATCH($C196,'Materials Master'!$A$2:$A$27,0)),IF($B196="Cardboard Recycling",INDEX('Materials Master'!$I$2:$I$27,MATCH($C196,'Materials Master'!$A$2:$A$27,0)),IF($B196="Paper Recycling",INDEX('Materials Master'!$J$2:$J$27,MATCH($C196,'Materials Master'!$A$2:$A$27,0)),IF($B196="Terracycle",INDEX('Materials Master'!$K$2:$K$27,MATCH($C196,'Materials Master'!$A$2:$A$27,0)),"No"))))))="Yes",1,0)</f>
        <v>1</v>
      </c>
    </row>
    <row r="197" customFormat="false" ht="15" hidden="false" customHeight="false" outlineLevel="0" collapsed="false">
      <c r="A197" s="0" t="s">
        <v>95</v>
      </c>
      <c r="B197" s="0" t="s">
        <v>104</v>
      </c>
      <c r="C197" s="0" t="s">
        <v>60</v>
      </c>
      <c r="D197" s="0" t="str">
        <f aca="false">IFERROR(INDEX('Materials Master'!$B$2:$B$27,MATCH($C197,'Materials Master'!$A$2:$A$27,0)),"")</f>
        <v>Soiled Rigid Plastics</v>
      </c>
      <c r="E197" s="0" t="str">
        <f aca="false">IFERROR(INDEX('Materials Master'!$C$2:$C$27,MATCH($C197,'Materials Master'!$A$2:$A$27,0)),"")</f>
        <v>Plastics</v>
      </c>
      <c r="F197" s="0" t="n">
        <f aca="false">IF(SUMIFS(Fact_SortedWeights!$E$2:$E$89,Fact_SortedWeights!$C$2:$C$89,$A197,Fact_SortedWeights!$B$2:$B$89,$B197)=0,0,SUMIFS(Fact_SortedWeights!$E$2:$E$89,Fact_SortedWeights!$C$2:$C$89,$A197,Fact_SortedWeights!$B$2:$B$89,$B197,Fact_SortedWeights!$D$2:$D$89,$C197)/SUMIFS(Fact_SortedWeights!$E$2:$E$89,Fact_SortedWeights!$C$2:$C$89,$A197,Fact_SortedWeights!$B$2:$B$89,$B197)*(IF($B197="Cardboard Recycling",SUMIFS(Fact_SortedWeights!$E$2:$E$89,Fact_SortedWeights!$C$2:$C$89,$A197,Fact_SortedWeights!$B$2:$B$89,$B197),SUMIFS(Fact_PreSortWeights!$E$2:$E$186,Fact_PreSortWeights!$C$2:$C$186,$A197,Fact_PreSortWeights!$B$2:$B$186,$B197))))</f>
        <v>0</v>
      </c>
      <c r="G197" s="0" t="n">
        <f aca="false">IF(AND(IF($B197="Trash",INDEX('Materials Master'!$F$2:$F$27,MATCH($C197,'Materials Master'!$A$2:$A$27,0)),IF($B197="GMPC Recycling",INDEX('Materials Master'!$G$2:$G$27,MATCH($C197,'Materials Master'!$A$2:$A$27,0)),IF($B197="Organics Recycling",INDEX('Materials Master'!$H$2:$H$27,MATCH($C197,'Materials Master'!$A$2:$A$27,0)),IF($B197="Cardboard Recycling",INDEX('Materials Master'!$I$2:$I$27,MATCH($C197,'Materials Master'!$A$2:$A$27,0)),IF($B197="Paper Recycling",INDEX('Materials Master'!$J$2:$J$27,MATCH($C197,'Materials Master'!$A$2:$A$27,0)),IF($B197="Terracycle",INDEX('Materials Master'!$K$2:$K$27,MATCH($C197,'Materials Master'!$A$2:$A$27,0)),"No"))))))="Yes",INDEX('Materials Master'!$E$2:$E$27,MATCH($C197,'Materials Master'!$A$2:$A$27,0))="Yes",$B197&lt;&gt;"Trash"),1,0)</f>
        <v>0</v>
      </c>
      <c r="H197" s="0" t="str">
        <f aca="false">INDEX('Materials Master'!$E$2:$E$27,MATCH($C197,'Materials Master'!$A$2:$A$27,0))</f>
        <v>No</v>
      </c>
      <c r="I197" s="0" t="str">
        <f aca="false">IFERROR(INDEX(Areas!$C$2:$C$6,MATCH($A197,Areas!$B$2:$B$6,0)),"")</f>
        <v>BOH</v>
      </c>
      <c r="J197" s="0" t="n">
        <f aca="false">IF(IF($B197="Trash",INDEX('Materials Master'!$F$2:$F$27,MATCH($C197,'Materials Master'!$A$2:$A$27,0)),IF($B197="GMPC Recycling",INDEX('Materials Master'!$G$2:$G$27,MATCH($C197,'Materials Master'!$A$2:$A$27,0)),IF($B197="Organics Recycling",INDEX('Materials Master'!$H$2:$H$27,MATCH($C197,'Materials Master'!$A$2:$A$27,0)),IF($B197="Cardboard Recycling",INDEX('Materials Master'!$I$2:$I$27,MATCH($C197,'Materials Master'!$A$2:$A$27,0)),IF($B197="Paper Recycling",INDEX('Materials Master'!$J$2:$J$27,MATCH($C197,'Materials Master'!$A$2:$A$27,0)),IF($B197="Terracycle",INDEX('Materials Master'!$K$2:$K$27,MATCH($C197,'Materials Master'!$A$2:$A$27,0)),"No"))))))="Yes",1,0)</f>
        <v>0</v>
      </c>
    </row>
    <row r="198" customFormat="false" ht="15" hidden="false" customHeight="false" outlineLevel="0" collapsed="false">
      <c r="A198" s="0" t="s">
        <v>95</v>
      </c>
      <c r="B198" s="0" t="s">
        <v>104</v>
      </c>
      <c r="C198" s="0" t="s">
        <v>62</v>
      </c>
      <c r="D198" s="0" t="str">
        <f aca="false">IFERROR(INDEX('Materials Master'!$B$2:$B$27,MATCH($C198,'Materials Master'!$A$2:$A$27,0)),"")</f>
        <v>Film Plastics</v>
      </c>
      <c r="E198" s="0" t="str">
        <f aca="false">IFERROR(INDEX('Materials Master'!$C$2:$C$27,MATCH($C198,'Materials Master'!$A$2:$A$27,0)),"")</f>
        <v>Plastics</v>
      </c>
      <c r="F198" s="0" t="n">
        <f aca="false">IF(SUMIFS(Fact_SortedWeights!$E$2:$E$89,Fact_SortedWeights!$C$2:$C$89,$A198,Fact_SortedWeights!$B$2:$B$89,$B198)=0,0,SUMIFS(Fact_SortedWeights!$E$2:$E$89,Fact_SortedWeights!$C$2:$C$89,$A198,Fact_SortedWeights!$B$2:$B$89,$B198,Fact_SortedWeights!$D$2:$D$89,$C198)/SUMIFS(Fact_SortedWeights!$E$2:$E$89,Fact_SortedWeights!$C$2:$C$89,$A198,Fact_SortedWeights!$B$2:$B$89,$B198)*(IF($B198="Cardboard Recycling",SUMIFS(Fact_SortedWeights!$E$2:$E$89,Fact_SortedWeights!$C$2:$C$89,$A198,Fact_SortedWeights!$B$2:$B$89,$B198),SUMIFS(Fact_PreSortWeights!$E$2:$E$186,Fact_PreSortWeights!$C$2:$C$186,$A198,Fact_PreSortWeights!$B$2:$B$186,$B198))))</f>
        <v>0</v>
      </c>
      <c r="G198" s="0" t="n">
        <f aca="false">IF(AND(IF($B198="Trash",INDEX('Materials Master'!$F$2:$F$27,MATCH($C198,'Materials Master'!$A$2:$A$27,0)),IF($B198="GMPC Recycling",INDEX('Materials Master'!$G$2:$G$27,MATCH($C198,'Materials Master'!$A$2:$A$27,0)),IF($B198="Organics Recycling",INDEX('Materials Master'!$H$2:$H$27,MATCH($C198,'Materials Master'!$A$2:$A$27,0)),IF($B198="Cardboard Recycling",INDEX('Materials Master'!$I$2:$I$27,MATCH($C198,'Materials Master'!$A$2:$A$27,0)),IF($B198="Paper Recycling",INDEX('Materials Master'!$J$2:$J$27,MATCH($C198,'Materials Master'!$A$2:$A$27,0)),IF($B198="Terracycle",INDEX('Materials Master'!$K$2:$K$27,MATCH($C198,'Materials Master'!$A$2:$A$27,0)),"No"))))))="Yes",INDEX('Materials Master'!$E$2:$E$27,MATCH($C198,'Materials Master'!$A$2:$A$27,0))="Yes",$B198&lt;&gt;"Trash"),1,0)</f>
        <v>0</v>
      </c>
      <c r="H198" s="0" t="str">
        <f aca="false">INDEX('Materials Master'!$E$2:$E$27,MATCH($C198,'Materials Master'!$A$2:$A$27,0))</f>
        <v>No</v>
      </c>
      <c r="I198" s="0" t="str">
        <f aca="false">IFERROR(INDEX(Areas!$C$2:$C$6,MATCH($A198,Areas!$B$2:$B$6,0)),"")</f>
        <v>BOH</v>
      </c>
      <c r="J198" s="0" t="n">
        <f aca="false">IF(IF($B198="Trash",INDEX('Materials Master'!$F$2:$F$27,MATCH($C198,'Materials Master'!$A$2:$A$27,0)),IF($B198="GMPC Recycling",INDEX('Materials Master'!$G$2:$G$27,MATCH($C198,'Materials Master'!$A$2:$A$27,0)),IF($B198="Organics Recycling",INDEX('Materials Master'!$H$2:$H$27,MATCH($C198,'Materials Master'!$A$2:$A$27,0)),IF($B198="Cardboard Recycling",INDEX('Materials Master'!$I$2:$I$27,MATCH($C198,'Materials Master'!$A$2:$A$27,0)),IF($B198="Paper Recycling",INDEX('Materials Master'!$J$2:$J$27,MATCH($C198,'Materials Master'!$A$2:$A$27,0)),IF($B198="Terracycle",INDEX('Materials Master'!$K$2:$K$27,MATCH($C198,'Materials Master'!$A$2:$A$27,0)),"No"))))))="Yes",1,0)</f>
        <v>0</v>
      </c>
    </row>
    <row r="199" customFormat="false" ht="15" hidden="false" customHeight="false" outlineLevel="0" collapsed="false">
      <c r="A199" s="0" t="s">
        <v>95</v>
      </c>
      <c r="B199" s="0" t="s">
        <v>104</v>
      </c>
      <c r="C199" s="0" t="s">
        <v>64</v>
      </c>
      <c r="D199" s="0" t="str">
        <f aca="false">IFERROR(INDEX('Materials Master'!$B$2:$B$27,MATCH($C199,'Materials Master'!$A$2:$A$27,0)),"")</f>
        <v>Foams</v>
      </c>
      <c r="E199" s="0" t="str">
        <f aca="false">IFERROR(INDEX('Materials Master'!$C$2:$C$27,MATCH($C199,'Materials Master'!$A$2:$A$27,0)),"")</f>
        <v>Plastics</v>
      </c>
      <c r="F199" s="0" t="n">
        <f aca="false">IF(SUMIFS(Fact_SortedWeights!$E$2:$E$89,Fact_SortedWeights!$C$2:$C$89,$A199,Fact_SortedWeights!$B$2:$B$89,$B199)=0,0,SUMIFS(Fact_SortedWeights!$E$2:$E$89,Fact_SortedWeights!$C$2:$C$89,$A199,Fact_SortedWeights!$B$2:$B$89,$B199,Fact_SortedWeights!$D$2:$D$89,$C199)/SUMIFS(Fact_SortedWeights!$E$2:$E$89,Fact_SortedWeights!$C$2:$C$89,$A199,Fact_SortedWeights!$B$2:$B$89,$B199)*(IF($B199="Cardboard Recycling",SUMIFS(Fact_SortedWeights!$E$2:$E$89,Fact_SortedWeights!$C$2:$C$89,$A199,Fact_SortedWeights!$B$2:$B$89,$B199),SUMIFS(Fact_PreSortWeights!$E$2:$E$186,Fact_PreSortWeights!$C$2:$C$186,$A199,Fact_PreSortWeights!$B$2:$B$186,$B199))))</f>
        <v>0</v>
      </c>
      <c r="G199" s="0" t="n">
        <f aca="false">IF(AND(IF($B199="Trash",INDEX('Materials Master'!$F$2:$F$27,MATCH($C199,'Materials Master'!$A$2:$A$27,0)),IF($B199="GMPC Recycling",INDEX('Materials Master'!$G$2:$G$27,MATCH($C199,'Materials Master'!$A$2:$A$27,0)),IF($B199="Organics Recycling",INDEX('Materials Master'!$H$2:$H$27,MATCH($C199,'Materials Master'!$A$2:$A$27,0)),IF($B199="Cardboard Recycling",INDEX('Materials Master'!$I$2:$I$27,MATCH($C199,'Materials Master'!$A$2:$A$27,0)),IF($B199="Paper Recycling",INDEX('Materials Master'!$J$2:$J$27,MATCH($C199,'Materials Master'!$A$2:$A$27,0)),IF($B199="Terracycle",INDEX('Materials Master'!$K$2:$K$27,MATCH($C199,'Materials Master'!$A$2:$A$27,0)),"No"))))))="Yes",INDEX('Materials Master'!$E$2:$E$27,MATCH($C199,'Materials Master'!$A$2:$A$27,0))="Yes",$B199&lt;&gt;"Trash"),1,0)</f>
        <v>0</v>
      </c>
      <c r="H199" s="0" t="str">
        <f aca="false">INDEX('Materials Master'!$E$2:$E$27,MATCH($C199,'Materials Master'!$A$2:$A$27,0))</f>
        <v>No</v>
      </c>
      <c r="I199" s="0" t="str">
        <f aca="false">IFERROR(INDEX(Areas!$C$2:$C$6,MATCH($A199,Areas!$B$2:$B$6,0)),"")</f>
        <v>BOH</v>
      </c>
      <c r="J199" s="0" t="n">
        <f aca="false">IF(IF($B199="Trash",INDEX('Materials Master'!$F$2:$F$27,MATCH($C199,'Materials Master'!$A$2:$A$27,0)),IF($B199="GMPC Recycling",INDEX('Materials Master'!$G$2:$G$27,MATCH($C199,'Materials Master'!$A$2:$A$27,0)),IF($B199="Organics Recycling",INDEX('Materials Master'!$H$2:$H$27,MATCH($C199,'Materials Master'!$A$2:$A$27,0)),IF($B199="Cardboard Recycling",INDEX('Materials Master'!$I$2:$I$27,MATCH($C199,'Materials Master'!$A$2:$A$27,0)),IF($B199="Paper Recycling",INDEX('Materials Master'!$J$2:$J$27,MATCH($C199,'Materials Master'!$A$2:$A$27,0)),IF($B199="Terracycle",INDEX('Materials Master'!$K$2:$K$27,MATCH($C199,'Materials Master'!$A$2:$A$27,0)),"No"))))))="Yes",1,0)</f>
        <v>0</v>
      </c>
    </row>
    <row r="200" customFormat="false" ht="15" hidden="false" customHeight="false" outlineLevel="0" collapsed="false">
      <c r="A200" s="0" t="s">
        <v>95</v>
      </c>
      <c r="B200" s="0" t="s">
        <v>104</v>
      </c>
      <c r="C200" s="0" t="s">
        <v>66</v>
      </c>
      <c r="D200" s="0" t="str">
        <f aca="false">IFERROR(INDEX('Materials Master'!$B$2:$B$27,MATCH($C200,'Materials Master'!$A$2:$A$27,0)),"")</f>
        <v>Food Waste</v>
      </c>
      <c r="E200" s="0" t="str">
        <f aca="false">IFERROR(INDEX('Materials Master'!$C$2:$C$27,MATCH($C200,'Materials Master'!$A$2:$A$27,0)),"")</f>
        <v>Organics</v>
      </c>
      <c r="F200" s="0" t="n">
        <f aca="false">IF(SUMIFS(Fact_SortedWeights!$E$2:$E$89,Fact_SortedWeights!$C$2:$C$89,$A200,Fact_SortedWeights!$B$2:$B$89,$B200)=0,0,SUMIFS(Fact_SortedWeights!$E$2:$E$89,Fact_SortedWeights!$C$2:$C$89,$A200,Fact_SortedWeights!$B$2:$B$89,$B200,Fact_SortedWeights!$D$2:$D$89,$C200)/SUMIFS(Fact_SortedWeights!$E$2:$E$89,Fact_SortedWeights!$C$2:$C$89,$A200,Fact_SortedWeights!$B$2:$B$89,$B200)*(IF($B200="Cardboard Recycling",SUMIFS(Fact_SortedWeights!$E$2:$E$89,Fact_SortedWeights!$C$2:$C$89,$A200,Fact_SortedWeights!$B$2:$B$89,$B200),SUMIFS(Fact_PreSortWeights!$E$2:$E$186,Fact_PreSortWeights!$C$2:$C$186,$A200,Fact_PreSortWeights!$B$2:$B$186,$B200))))</f>
        <v>0.809433962264151</v>
      </c>
      <c r="G200" s="0" t="n">
        <f aca="false">IF(AND(IF($B200="Trash",INDEX('Materials Master'!$F$2:$F$27,MATCH($C200,'Materials Master'!$A$2:$A$27,0)),IF($B200="GMPC Recycling",INDEX('Materials Master'!$G$2:$G$27,MATCH($C200,'Materials Master'!$A$2:$A$27,0)),IF($B200="Organics Recycling",INDEX('Materials Master'!$H$2:$H$27,MATCH($C200,'Materials Master'!$A$2:$A$27,0)),IF($B200="Cardboard Recycling",INDEX('Materials Master'!$I$2:$I$27,MATCH($C200,'Materials Master'!$A$2:$A$27,0)),IF($B200="Paper Recycling",INDEX('Materials Master'!$J$2:$J$27,MATCH($C200,'Materials Master'!$A$2:$A$27,0)),IF($B200="Terracycle",INDEX('Materials Master'!$K$2:$K$27,MATCH($C200,'Materials Master'!$A$2:$A$27,0)),"No"))))))="Yes",INDEX('Materials Master'!$E$2:$E$27,MATCH($C200,'Materials Master'!$A$2:$A$27,0))="Yes",$B200&lt;&gt;"Trash"),1,0)</f>
        <v>0</v>
      </c>
      <c r="H200" s="0" t="str">
        <f aca="false">INDEX('Materials Master'!$E$2:$E$27,MATCH($C200,'Materials Master'!$A$2:$A$27,0))</f>
        <v>Yes</v>
      </c>
      <c r="I200" s="0" t="str">
        <f aca="false">IFERROR(INDEX(Areas!$C$2:$C$6,MATCH($A200,Areas!$B$2:$B$6,0)),"")</f>
        <v>BOH</v>
      </c>
      <c r="J200" s="0" t="n">
        <f aca="false">IF(IF($B200="Trash",INDEX('Materials Master'!$F$2:$F$27,MATCH($C200,'Materials Master'!$A$2:$A$27,0)),IF($B200="GMPC Recycling",INDEX('Materials Master'!$G$2:$G$27,MATCH($C200,'Materials Master'!$A$2:$A$27,0)),IF($B200="Organics Recycling",INDEX('Materials Master'!$H$2:$H$27,MATCH($C200,'Materials Master'!$A$2:$A$27,0)),IF($B200="Cardboard Recycling",INDEX('Materials Master'!$I$2:$I$27,MATCH($C200,'Materials Master'!$A$2:$A$27,0)),IF($B200="Paper Recycling",INDEX('Materials Master'!$J$2:$J$27,MATCH($C200,'Materials Master'!$A$2:$A$27,0)),IF($B200="Terracycle",INDEX('Materials Master'!$K$2:$K$27,MATCH($C200,'Materials Master'!$A$2:$A$27,0)),"No"))))))="Yes",1,0)</f>
        <v>0</v>
      </c>
    </row>
    <row r="201" customFormat="false" ht="15" hidden="false" customHeight="false" outlineLevel="0" collapsed="false">
      <c r="A201" s="0" t="s">
        <v>95</v>
      </c>
      <c r="B201" s="0" t="s">
        <v>104</v>
      </c>
      <c r="C201" s="0" t="s">
        <v>69</v>
      </c>
      <c r="D201" s="0" t="str">
        <f aca="false">IFERROR(INDEX('Materials Master'!$B$2:$B$27,MATCH($C201,'Materials Master'!$A$2:$A$27,0)),"")</f>
        <v>Paper Fibers and Food-Soiled Paper (FSP)</v>
      </c>
      <c r="E201" s="0" t="str">
        <f aca="false">IFERROR(INDEX('Materials Master'!$C$2:$C$27,MATCH($C201,'Materials Master'!$A$2:$A$27,0)),"")</f>
        <v>Organics</v>
      </c>
      <c r="F201" s="0" t="n">
        <f aca="false">IF(SUMIFS(Fact_SortedWeights!$E$2:$E$89,Fact_SortedWeights!$C$2:$C$89,$A201,Fact_SortedWeights!$B$2:$B$89,$B201)=0,0,SUMIFS(Fact_SortedWeights!$E$2:$E$89,Fact_SortedWeights!$C$2:$C$89,$A201,Fact_SortedWeights!$B$2:$B$89,$B201,Fact_SortedWeights!$D$2:$D$89,$C201)/SUMIFS(Fact_SortedWeights!$E$2:$E$89,Fact_SortedWeights!$C$2:$C$89,$A201,Fact_SortedWeights!$B$2:$B$89,$B201)*(IF($B201="Cardboard Recycling",SUMIFS(Fact_SortedWeights!$E$2:$E$89,Fact_SortedWeights!$C$2:$C$89,$A201,Fact_SortedWeights!$B$2:$B$89,$B201),SUMIFS(Fact_PreSortWeights!$E$2:$E$186,Fact_PreSortWeights!$C$2:$C$186,$A201,Fact_PreSortWeights!$B$2:$B$186,$B201))))</f>
        <v>1.32735849056604</v>
      </c>
      <c r="G201" s="0" t="n">
        <f aca="false">IF(AND(IF($B201="Trash",INDEX('Materials Master'!$F$2:$F$27,MATCH($C201,'Materials Master'!$A$2:$A$27,0)),IF($B201="GMPC Recycling",INDEX('Materials Master'!$G$2:$G$27,MATCH($C201,'Materials Master'!$A$2:$A$27,0)),IF($B201="Organics Recycling",INDEX('Materials Master'!$H$2:$H$27,MATCH($C201,'Materials Master'!$A$2:$A$27,0)),IF($B201="Cardboard Recycling",INDEX('Materials Master'!$I$2:$I$27,MATCH($C201,'Materials Master'!$A$2:$A$27,0)),IF($B201="Paper Recycling",INDEX('Materials Master'!$J$2:$J$27,MATCH($C201,'Materials Master'!$A$2:$A$27,0)),IF($B201="Terracycle",INDEX('Materials Master'!$K$2:$K$27,MATCH($C201,'Materials Master'!$A$2:$A$27,0)),"No"))))))="Yes",INDEX('Materials Master'!$E$2:$E$27,MATCH($C201,'Materials Master'!$A$2:$A$27,0))="Yes",$B201&lt;&gt;"Trash"),1,0)</f>
        <v>0</v>
      </c>
      <c r="H201" s="0" t="str">
        <f aca="false">INDEX('Materials Master'!$E$2:$E$27,MATCH($C201,'Materials Master'!$A$2:$A$27,0))</f>
        <v>No</v>
      </c>
      <c r="I201" s="0" t="str">
        <f aca="false">IFERROR(INDEX(Areas!$C$2:$C$6,MATCH($A201,Areas!$B$2:$B$6,0)),"")</f>
        <v>BOH</v>
      </c>
      <c r="J201" s="0" t="n">
        <f aca="false">IF(IF($B201="Trash",INDEX('Materials Master'!$F$2:$F$27,MATCH($C201,'Materials Master'!$A$2:$A$27,0)),IF($B201="GMPC Recycling",INDEX('Materials Master'!$G$2:$G$27,MATCH($C201,'Materials Master'!$A$2:$A$27,0)),IF($B201="Organics Recycling",INDEX('Materials Master'!$H$2:$H$27,MATCH($C201,'Materials Master'!$A$2:$A$27,0)),IF($B201="Cardboard Recycling",INDEX('Materials Master'!$I$2:$I$27,MATCH($C201,'Materials Master'!$A$2:$A$27,0)),IF($B201="Paper Recycling",INDEX('Materials Master'!$J$2:$J$27,MATCH($C201,'Materials Master'!$A$2:$A$27,0)),IF($B201="Terracycle",INDEX('Materials Master'!$K$2:$K$27,MATCH($C201,'Materials Master'!$A$2:$A$27,0)),"No"))))))="Yes",1,0)</f>
        <v>0</v>
      </c>
    </row>
    <row r="202" customFormat="false" ht="15" hidden="false" customHeight="false" outlineLevel="0" collapsed="false">
      <c r="A202" s="0" t="s">
        <v>95</v>
      </c>
      <c r="B202" s="0" t="s">
        <v>104</v>
      </c>
      <c r="C202" s="0" t="s">
        <v>71</v>
      </c>
      <c r="D202" s="0" t="str">
        <f aca="false">IFERROR(INDEX('Materials Master'!$B$2:$B$27,MATCH($C202,'Materials Master'!$A$2:$A$27,0)),"")</f>
        <v>Fiber-based Compostable Serviceware</v>
      </c>
      <c r="E202" s="0" t="str">
        <f aca="false">IFERROR(INDEX('Materials Master'!$C$2:$C$27,MATCH($C202,'Materials Master'!$A$2:$A$27,0)),"")</f>
        <v>Organics</v>
      </c>
      <c r="F202" s="0" t="n">
        <f aca="false">IF(SUMIFS(Fact_SortedWeights!$E$2:$E$89,Fact_SortedWeights!$C$2:$C$89,$A202,Fact_SortedWeights!$B$2:$B$89,$B202)=0,0,SUMIFS(Fact_SortedWeights!$E$2:$E$89,Fact_SortedWeights!$C$2:$C$89,$A202,Fact_SortedWeights!$B$2:$B$89,$B202,Fact_SortedWeights!$D$2:$D$89,$C202)/SUMIFS(Fact_SortedWeights!$E$2:$E$89,Fact_SortedWeights!$C$2:$C$89,$A202,Fact_SortedWeights!$B$2:$B$89,$B202)*(IF($B202="Cardboard Recycling",SUMIFS(Fact_SortedWeights!$E$2:$E$89,Fact_SortedWeights!$C$2:$C$89,$A202,Fact_SortedWeights!$B$2:$B$89,$B202),SUMIFS(Fact_PreSortWeights!$E$2:$E$186,Fact_PreSortWeights!$C$2:$C$186,$A202,Fact_PreSortWeights!$B$2:$B$186,$B202))))</f>
        <v>0.478301886792453</v>
      </c>
      <c r="G202" s="0" t="n">
        <f aca="false">IF(AND(IF($B202="Trash",INDEX('Materials Master'!$F$2:$F$27,MATCH($C202,'Materials Master'!$A$2:$A$27,0)),IF($B202="GMPC Recycling",INDEX('Materials Master'!$G$2:$G$27,MATCH($C202,'Materials Master'!$A$2:$A$27,0)),IF($B202="Organics Recycling",INDEX('Materials Master'!$H$2:$H$27,MATCH($C202,'Materials Master'!$A$2:$A$27,0)),IF($B202="Cardboard Recycling",INDEX('Materials Master'!$I$2:$I$27,MATCH($C202,'Materials Master'!$A$2:$A$27,0)),IF($B202="Paper Recycling",INDEX('Materials Master'!$J$2:$J$27,MATCH($C202,'Materials Master'!$A$2:$A$27,0)),IF($B202="Terracycle",INDEX('Materials Master'!$K$2:$K$27,MATCH($C202,'Materials Master'!$A$2:$A$27,0)),"No"))))))="Yes",INDEX('Materials Master'!$E$2:$E$27,MATCH($C202,'Materials Master'!$A$2:$A$27,0))="Yes",$B202&lt;&gt;"Trash"),1,0)</f>
        <v>0</v>
      </c>
      <c r="H202" s="0" t="str">
        <f aca="false">INDEX('Materials Master'!$E$2:$E$27,MATCH($C202,'Materials Master'!$A$2:$A$27,0))</f>
        <v>No</v>
      </c>
      <c r="I202" s="0" t="str">
        <f aca="false">IFERROR(INDEX(Areas!$C$2:$C$6,MATCH($A202,Areas!$B$2:$B$6,0)),"")</f>
        <v>BOH</v>
      </c>
      <c r="J202" s="0" t="n">
        <f aca="false">IF(IF($B202="Trash",INDEX('Materials Master'!$F$2:$F$27,MATCH($C202,'Materials Master'!$A$2:$A$27,0)),IF($B202="GMPC Recycling",INDEX('Materials Master'!$G$2:$G$27,MATCH($C202,'Materials Master'!$A$2:$A$27,0)),IF($B202="Organics Recycling",INDEX('Materials Master'!$H$2:$H$27,MATCH($C202,'Materials Master'!$A$2:$A$27,0)),IF($B202="Cardboard Recycling",INDEX('Materials Master'!$I$2:$I$27,MATCH($C202,'Materials Master'!$A$2:$A$27,0)),IF($B202="Paper Recycling",INDEX('Materials Master'!$J$2:$J$27,MATCH($C202,'Materials Master'!$A$2:$A$27,0)),IF($B202="Terracycle",INDEX('Materials Master'!$K$2:$K$27,MATCH($C202,'Materials Master'!$A$2:$A$27,0)),"No"))))))="Yes",1,0)</f>
        <v>0</v>
      </c>
    </row>
    <row r="203" customFormat="false" ht="15" hidden="false" customHeight="false" outlineLevel="0" collapsed="false">
      <c r="A203" s="0" t="s">
        <v>95</v>
      </c>
      <c r="B203" s="0" t="s">
        <v>104</v>
      </c>
      <c r="C203" s="0" t="s">
        <v>73</v>
      </c>
      <c r="D203" s="0" t="str">
        <f aca="false">IFERROR(INDEX('Materials Master'!$B$2:$B$27,MATCH($C203,'Materials Master'!$A$2:$A$27,0)),"")</f>
        <v>PLA Compostable Serviceware</v>
      </c>
      <c r="E203" s="0" t="str">
        <f aca="false">IFERROR(INDEX('Materials Master'!$C$2:$C$27,MATCH($C203,'Materials Master'!$A$2:$A$27,0)),"")</f>
        <v>Organics</v>
      </c>
      <c r="F203" s="0" t="n">
        <f aca="false">IF(SUMIFS(Fact_SortedWeights!$E$2:$E$89,Fact_SortedWeights!$C$2:$C$89,$A203,Fact_SortedWeights!$B$2:$B$89,$B203)=0,0,SUMIFS(Fact_SortedWeights!$E$2:$E$89,Fact_SortedWeights!$C$2:$C$89,$A203,Fact_SortedWeights!$B$2:$B$89,$B203,Fact_SortedWeights!$D$2:$D$89,$C203)/SUMIFS(Fact_SortedWeights!$E$2:$E$89,Fact_SortedWeights!$C$2:$C$89,$A203,Fact_SortedWeights!$B$2:$B$89,$B203)*(IF($B203="Cardboard Recycling",SUMIFS(Fact_SortedWeights!$E$2:$E$89,Fact_SortedWeights!$C$2:$C$89,$A203,Fact_SortedWeights!$B$2:$B$89,$B203),SUMIFS(Fact_PreSortWeights!$E$2:$E$186,Fact_PreSortWeights!$C$2:$C$186,$A203,Fact_PreSortWeights!$B$2:$B$186,$B203))))</f>
        <v>0.229245283018868</v>
      </c>
      <c r="G203" s="0" t="n">
        <f aca="false">IF(AND(IF($B203="Trash",INDEX('Materials Master'!$F$2:$F$27,MATCH($C203,'Materials Master'!$A$2:$A$27,0)),IF($B203="GMPC Recycling",INDEX('Materials Master'!$G$2:$G$27,MATCH($C203,'Materials Master'!$A$2:$A$27,0)),IF($B203="Organics Recycling",INDEX('Materials Master'!$H$2:$H$27,MATCH($C203,'Materials Master'!$A$2:$A$27,0)),IF($B203="Cardboard Recycling",INDEX('Materials Master'!$I$2:$I$27,MATCH($C203,'Materials Master'!$A$2:$A$27,0)),IF($B203="Paper Recycling",INDEX('Materials Master'!$J$2:$J$27,MATCH($C203,'Materials Master'!$A$2:$A$27,0)),IF($B203="Terracycle",INDEX('Materials Master'!$K$2:$K$27,MATCH($C203,'Materials Master'!$A$2:$A$27,0)),"No"))))))="Yes",INDEX('Materials Master'!$E$2:$E$27,MATCH($C203,'Materials Master'!$A$2:$A$27,0))="Yes",$B203&lt;&gt;"Trash"),1,0)</f>
        <v>0</v>
      </c>
      <c r="H203" s="0" t="str">
        <f aca="false">INDEX('Materials Master'!$E$2:$E$27,MATCH($C203,'Materials Master'!$A$2:$A$27,0))</f>
        <v>No</v>
      </c>
      <c r="I203" s="0" t="str">
        <f aca="false">IFERROR(INDEX(Areas!$C$2:$C$6,MATCH($A203,Areas!$B$2:$B$6,0)),"")</f>
        <v>BOH</v>
      </c>
      <c r="J203" s="0" t="n">
        <f aca="false">IF(IF($B203="Trash",INDEX('Materials Master'!$F$2:$F$27,MATCH($C203,'Materials Master'!$A$2:$A$27,0)),IF($B203="GMPC Recycling",INDEX('Materials Master'!$G$2:$G$27,MATCH($C203,'Materials Master'!$A$2:$A$27,0)),IF($B203="Organics Recycling",INDEX('Materials Master'!$H$2:$H$27,MATCH($C203,'Materials Master'!$A$2:$A$27,0)),IF($B203="Cardboard Recycling",INDEX('Materials Master'!$I$2:$I$27,MATCH($C203,'Materials Master'!$A$2:$A$27,0)),IF($B203="Paper Recycling",INDEX('Materials Master'!$J$2:$J$27,MATCH($C203,'Materials Master'!$A$2:$A$27,0)),IF($B203="Terracycle",INDEX('Materials Master'!$K$2:$K$27,MATCH($C203,'Materials Master'!$A$2:$A$27,0)),"No"))))))="Yes",1,0)</f>
        <v>0</v>
      </c>
    </row>
    <row r="204" customFormat="false" ht="15" hidden="false" customHeight="false" outlineLevel="0" collapsed="false">
      <c r="A204" s="0" t="s">
        <v>95</v>
      </c>
      <c r="B204" s="0" t="s">
        <v>104</v>
      </c>
      <c r="C204" s="0" t="s">
        <v>75</v>
      </c>
      <c r="D204" s="0" t="str">
        <f aca="false">IFERROR(INDEX('Materials Master'!$B$2:$B$27,MATCH($C204,'Materials Master'!$A$2:$A$27,0)),"")</f>
        <v>E/U Waste</v>
      </c>
      <c r="E204" s="0" t="str">
        <f aca="false">IFERROR(INDEX('Materials Master'!$C$2:$C$27,MATCH($C204,'Materials Master'!$A$2:$A$27,0)),"")</f>
        <v>Unacceptable</v>
      </c>
      <c r="F204" s="0" t="n">
        <f aca="false">IF(SUMIFS(Fact_SortedWeights!$E$2:$E$89,Fact_SortedWeights!$C$2:$C$89,$A204,Fact_SortedWeights!$B$2:$B$89,$B204)=0,0,SUMIFS(Fact_SortedWeights!$E$2:$E$89,Fact_SortedWeights!$C$2:$C$89,$A204,Fact_SortedWeights!$B$2:$B$89,$B204,Fact_SortedWeights!$D$2:$D$89,$C204)/SUMIFS(Fact_SortedWeights!$E$2:$E$89,Fact_SortedWeights!$C$2:$C$89,$A204,Fact_SortedWeights!$B$2:$B$89,$B204)*(IF($B204="Cardboard Recycling",SUMIFS(Fact_SortedWeights!$E$2:$E$89,Fact_SortedWeights!$C$2:$C$89,$A204,Fact_SortedWeights!$B$2:$B$89,$B204),SUMIFS(Fact_PreSortWeights!$E$2:$E$186,Fact_PreSortWeights!$C$2:$C$186,$A204,Fact_PreSortWeights!$B$2:$B$186,$B204))))</f>
        <v>0</v>
      </c>
      <c r="G204" s="0" t="n">
        <f aca="false">IF(AND(IF($B204="Trash",INDEX('Materials Master'!$F$2:$F$27,MATCH($C204,'Materials Master'!$A$2:$A$27,0)),IF($B204="GMPC Recycling",INDEX('Materials Master'!$G$2:$G$27,MATCH($C204,'Materials Master'!$A$2:$A$27,0)),IF($B204="Organics Recycling",INDEX('Materials Master'!$H$2:$H$27,MATCH($C204,'Materials Master'!$A$2:$A$27,0)),IF($B204="Cardboard Recycling",INDEX('Materials Master'!$I$2:$I$27,MATCH($C204,'Materials Master'!$A$2:$A$27,0)),IF($B204="Paper Recycling",INDEX('Materials Master'!$J$2:$J$27,MATCH($C204,'Materials Master'!$A$2:$A$27,0)),IF($B204="Terracycle",INDEX('Materials Master'!$K$2:$K$27,MATCH($C204,'Materials Master'!$A$2:$A$27,0)),"No"))))))="Yes",INDEX('Materials Master'!$E$2:$E$27,MATCH($C204,'Materials Master'!$A$2:$A$27,0))="Yes",$B204&lt;&gt;"Trash"),1,0)</f>
        <v>0</v>
      </c>
      <c r="H204" s="0" t="str">
        <f aca="false">INDEX('Materials Master'!$E$2:$E$27,MATCH($C204,'Materials Master'!$A$2:$A$27,0))</f>
        <v>No</v>
      </c>
      <c r="I204" s="0" t="str">
        <f aca="false">IFERROR(INDEX(Areas!$C$2:$C$6,MATCH($A204,Areas!$B$2:$B$6,0)),"")</f>
        <v>BOH</v>
      </c>
      <c r="J204" s="0" t="n">
        <f aca="false">IF(IF($B204="Trash",INDEX('Materials Master'!$F$2:$F$27,MATCH($C204,'Materials Master'!$A$2:$A$27,0)),IF($B204="GMPC Recycling",INDEX('Materials Master'!$G$2:$G$27,MATCH($C204,'Materials Master'!$A$2:$A$27,0)),IF($B204="Organics Recycling",INDEX('Materials Master'!$H$2:$H$27,MATCH($C204,'Materials Master'!$A$2:$A$27,0)),IF($B204="Cardboard Recycling",INDEX('Materials Master'!$I$2:$I$27,MATCH($C204,'Materials Master'!$A$2:$A$27,0)),IF($B204="Paper Recycling",INDEX('Materials Master'!$J$2:$J$27,MATCH($C204,'Materials Master'!$A$2:$A$27,0)),IF($B204="Terracycle",INDEX('Materials Master'!$K$2:$K$27,MATCH($C204,'Materials Master'!$A$2:$A$27,0)),"No"))))))="Yes",1,0)</f>
        <v>0</v>
      </c>
    </row>
    <row r="205" customFormat="false" ht="15" hidden="false" customHeight="false" outlineLevel="0" collapsed="false">
      <c r="A205" s="0" t="s">
        <v>95</v>
      </c>
      <c r="B205" s="0" t="s">
        <v>104</v>
      </c>
      <c r="C205" s="0" t="s">
        <v>78</v>
      </c>
      <c r="D205" s="0" t="str">
        <f aca="false">IFERROR(INDEX('Materials Master'!$B$2:$B$27,MATCH($C205,'Materials Master'!$A$2:$A$27,0)),"")</f>
        <v>Textiles</v>
      </c>
      <c r="E205" s="0" t="str">
        <f aca="false">IFERROR(INDEX('Materials Master'!$C$2:$C$27,MATCH($C205,'Materials Master'!$A$2:$A$27,0)),"")</f>
        <v>Unacceptable</v>
      </c>
      <c r="F205" s="0" t="n">
        <f aca="false">IF(SUMIFS(Fact_SortedWeights!$E$2:$E$89,Fact_SortedWeights!$C$2:$C$89,$A205,Fact_SortedWeights!$B$2:$B$89,$B205)=0,0,SUMIFS(Fact_SortedWeights!$E$2:$E$89,Fact_SortedWeights!$C$2:$C$89,$A205,Fact_SortedWeights!$B$2:$B$89,$B205,Fact_SortedWeights!$D$2:$D$89,$C205)/SUMIFS(Fact_SortedWeights!$E$2:$E$89,Fact_SortedWeights!$C$2:$C$89,$A205,Fact_SortedWeights!$B$2:$B$89,$B205)*(IF($B205="Cardboard Recycling",SUMIFS(Fact_SortedWeights!$E$2:$E$89,Fact_SortedWeights!$C$2:$C$89,$A205,Fact_SortedWeights!$B$2:$B$89,$B205),SUMIFS(Fact_PreSortWeights!$E$2:$E$186,Fact_PreSortWeights!$C$2:$C$186,$A205,Fact_PreSortWeights!$B$2:$B$186,$B205))))</f>
        <v>0</v>
      </c>
      <c r="G205" s="0" t="n">
        <f aca="false">IF(AND(IF($B205="Trash",INDEX('Materials Master'!$F$2:$F$27,MATCH($C205,'Materials Master'!$A$2:$A$27,0)),IF($B205="GMPC Recycling",INDEX('Materials Master'!$G$2:$G$27,MATCH($C205,'Materials Master'!$A$2:$A$27,0)),IF($B205="Organics Recycling",INDEX('Materials Master'!$H$2:$H$27,MATCH($C205,'Materials Master'!$A$2:$A$27,0)),IF($B205="Cardboard Recycling",INDEX('Materials Master'!$I$2:$I$27,MATCH($C205,'Materials Master'!$A$2:$A$27,0)),IF($B205="Paper Recycling",INDEX('Materials Master'!$J$2:$J$27,MATCH($C205,'Materials Master'!$A$2:$A$27,0)),IF($B205="Terracycle",INDEX('Materials Master'!$K$2:$K$27,MATCH($C205,'Materials Master'!$A$2:$A$27,0)),"No"))))))="Yes",INDEX('Materials Master'!$E$2:$E$27,MATCH($C205,'Materials Master'!$A$2:$A$27,0))="Yes",$B205&lt;&gt;"Trash"),1,0)</f>
        <v>0</v>
      </c>
      <c r="H205" s="0" t="str">
        <f aca="false">INDEX('Materials Master'!$E$2:$E$27,MATCH($C205,'Materials Master'!$A$2:$A$27,0))</f>
        <v>No</v>
      </c>
      <c r="I205" s="0" t="str">
        <f aca="false">IFERROR(INDEX(Areas!$C$2:$C$6,MATCH($A205,Areas!$B$2:$B$6,0)),"")</f>
        <v>BOH</v>
      </c>
      <c r="J205" s="0" t="n">
        <f aca="false">IF(IF($B205="Trash",INDEX('Materials Master'!$F$2:$F$27,MATCH($C205,'Materials Master'!$A$2:$A$27,0)),IF($B205="GMPC Recycling",INDEX('Materials Master'!$G$2:$G$27,MATCH($C205,'Materials Master'!$A$2:$A$27,0)),IF($B205="Organics Recycling",INDEX('Materials Master'!$H$2:$H$27,MATCH($C205,'Materials Master'!$A$2:$A$27,0)),IF($B205="Cardboard Recycling",INDEX('Materials Master'!$I$2:$I$27,MATCH($C205,'Materials Master'!$A$2:$A$27,0)),IF($B205="Paper Recycling",INDEX('Materials Master'!$J$2:$J$27,MATCH($C205,'Materials Master'!$A$2:$A$27,0)),IF($B205="Terracycle",INDEX('Materials Master'!$K$2:$K$27,MATCH($C205,'Materials Master'!$A$2:$A$27,0)),"No"))))))="Yes",1,0)</f>
        <v>0</v>
      </c>
    </row>
    <row r="206" customFormat="false" ht="15" hidden="false" customHeight="false" outlineLevel="0" collapsed="false">
      <c r="A206" s="0" t="s">
        <v>95</v>
      </c>
      <c r="B206" s="0" t="s">
        <v>104</v>
      </c>
      <c r="C206" s="0" t="s">
        <v>80</v>
      </c>
      <c r="D206" s="0" t="str">
        <f aca="false">IFERROR(INDEX('Materials Master'!$B$2:$B$27,MATCH($C206,'Materials Master'!$A$2:$A$27,0)),"")</f>
        <v>Other Unacceptable (specify)</v>
      </c>
      <c r="E206" s="0" t="str">
        <f aca="false">IFERROR(INDEX('Materials Master'!$C$2:$C$27,MATCH($C206,'Materials Master'!$A$2:$A$27,0)),"")</f>
        <v>Unacceptable</v>
      </c>
      <c r="F206" s="0" t="n">
        <f aca="false">IF(SUMIFS(Fact_SortedWeights!$E$2:$E$89,Fact_SortedWeights!$C$2:$C$89,$A206,Fact_SortedWeights!$B$2:$B$89,$B206)=0,0,SUMIFS(Fact_SortedWeights!$E$2:$E$89,Fact_SortedWeights!$C$2:$C$89,$A206,Fact_SortedWeights!$B$2:$B$89,$B206,Fact_SortedWeights!$D$2:$D$89,$C206)/SUMIFS(Fact_SortedWeights!$E$2:$E$89,Fact_SortedWeights!$C$2:$C$89,$A206,Fact_SortedWeights!$B$2:$B$89,$B206)*(IF($B206="Cardboard Recycling",SUMIFS(Fact_SortedWeights!$E$2:$E$89,Fact_SortedWeights!$C$2:$C$89,$A206,Fact_SortedWeights!$B$2:$B$89,$B206),SUMIFS(Fact_PreSortWeights!$E$2:$E$186,Fact_PreSortWeights!$C$2:$C$186,$A206,Fact_PreSortWeights!$B$2:$B$186,$B206))))</f>
        <v>0</v>
      </c>
      <c r="G206" s="0" t="n">
        <f aca="false">IF(AND(IF($B206="Trash",INDEX('Materials Master'!$F$2:$F$27,MATCH($C206,'Materials Master'!$A$2:$A$27,0)),IF($B206="GMPC Recycling",INDEX('Materials Master'!$G$2:$G$27,MATCH($C206,'Materials Master'!$A$2:$A$27,0)),IF($B206="Organics Recycling",INDEX('Materials Master'!$H$2:$H$27,MATCH($C206,'Materials Master'!$A$2:$A$27,0)),IF($B206="Cardboard Recycling",INDEX('Materials Master'!$I$2:$I$27,MATCH($C206,'Materials Master'!$A$2:$A$27,0)),IF($B206="Paper Recycling",INDEX('Materials Master'!$J$2:$J$27,MATCH($C206,'Materials Master'!$A$2:$A$27,0)),IF($B206="Terracycle",INDEX('Materials Master'!$K$2:$K$27,MATCH($C206,'Materials Master'!$A$2:$A$27,0)),"No"))))))="Yes",INDEX('Materials Master'!$E$2:$E$27,MATCH($C206,'Materials Master'!$A$2:$A$27,0))="Yes",$B206&lt;&gt;"Trash"),1,0)</f>
        <v>0</v>
      </c>
      <c r="H206" s="0" t="str">
        <f aca="false">INDEX('Materials Master'!$E$2:$E$27,MATCH($C206,'Materials Master'!$A$2:$A$27,0))</f>
        <v>No</v>
      </c>
      <c r="I206" s="0" t="str">
        <f aca="false">IFERROR(INDEX(Areas!$C$2:$C$6,MATCH($A206,Areas!$B$2:$B$6,0)),"")</f>
        <v>BOH</v>
      </c>
      <c r="J206" s="0" t="n">
        <f aca="false">IF(IF($B206="Trash",INDEX('Materials Master'!$F$2:$F$27,MATCH($C206,'Materials Master'!$A$2:$A$27,0)),IF($B206="GMPC Recycling",INDEX('Materials Master'!$G$2:$G$27,MATCH($C206,'Materials Master'!$A$2:$A$27,0)),IF($B206="Organics Recycling",INDEX('Materials Master'!$H$2:$H$27,MATCH($C206,'Materials Master'!$A$2:$A$27,0)),IF($B206="Cardboard Recycling",INDEX('Materials Master'!$I$2:$I$27,MATCH($C206,'Materials Master'!$A$2:$A$27,0)),IF($B206="Paper Recycling",INDEX('Materials Master'!$J$2:$J$27,MATCH($C206,'Materials Master'!$A$2:$A$27,0)),IF($B206="Terracycle",INDEX('Materials Master'!$K$2:$K$27,MATCH($C206,'Materials Master'!$A$2:$A$27,0)),"No"))))))="Yes",1,0)</f>
        <v>0</v>
      </c>
    </row>
    <row r="207" customFormat="false" ht="15" hidden="false" customHeight="false" outlineLevel="0" collapsed="false">
      <c r="A207" s="0" t="s">
        <v>95</v>
      </c>
      <c r="B207" s="0" t="s">
        <v>104</v>
      </c>
      <c r="C207" s="0" t="s">
        <v>82</v>
      </c>
      <c r="D207" s="0" t="str">
        <f aca="false">IFERROR(INDEX('Materials Master'!$B$2:$B$27,MATCH($C207,'Materials Master'!$A$2:$A$27,0)),"")</f>
        <v>Liquids</v>
      </c>
      <c r="E207" s="0" t="str">
        <f aca="false">IFERROR(INDEX('Materials Master'!$C$2:$C$27,MATCH($C207,'Materials Master'!$A$2:$A$27,0)),"")</f>
        <v>Unacceptable</v>
      </c>
      <c r="F207" s="0" t="n">
        <f aca="false">IF(SUMIFS(Fact_SortedWeights!$E$2:$E$89,Fact_SortedWeights!$C$2:$C$89,$A207,Fact_SortedWeights!$B$2:$B$89,$B207)=0,0,SUMIFS(Fact_SortedWeights!$E$2:$E$89,Fact_SortedWeights!$C$2:$C$89,$A207,Fact_SortedWeights!$B$2:$B$89,$B207,Fact_SortedWeights!$D$2:$D$89,$C207)/SUMIFS(Fact_SortedWeights!$E$2:$E$89,Fact_SortedWeights!$C$2:$C$89,$A207,Fact_SortedWeights!$B$2:$B$89,$B207)*(IF($B207="Cardboard Recycling",SUMIFS(Fact_SortedWeights!$E$2:$E$89,Fact_SortedWeights!$C$2:$C$89,$A207,Fact_SortedWeights!$B$2:$B$89,$B207),SUMIFS(Fact_PreSortWeights!$E$2:$E$186,Fact_PreSortWeights!$C$2:$C$186,$A207,Fact_PreSortWeights!$B$2:$B$186,$B207))))</f>
        <v>0</v>
      </c>
      <c r="G207" s="0" t="n">
        <f aca="false">IF(AND(IF($B207="Trash",INDEX('Materials Master'!$F$2:$F$27,MATCH($C207,'Materials Master'!$A$2:$A$27,0)),IF($B207="GMPC Recycling",INDEX('Materials Master'!$G$2:$G$27,MATCH($C207,'Materials Master'!$A$2:$A$27,0)),IF($B207="Organics Recycling",INDEX('Materials Master'!$H$2:$H$27,MATCH($C207,'Materials Master'!$A$2:$A$27,0)),IF($B207="Cardboard Recycling",INDEX('Materials Master'!$I$2:$I$27,MATCH($C207,'Materials Master'!$A$2:$A$27,0)),IF($B207="Paper Recycling",INDEX('Materials Master'!$J$2:$J$27,MATCH($C207,'Materials Master'!$A$2:$A$27,0)),IF($B207="Terracycle",INDEX('Materials Master'!$K$2:$K$27,MATCH($C207,'Materials Master'!$A$2:$A$27,0)),"No"))))))="Yes",INDEX('Materials Master'!$E$2:$E$27,MATCH($C207,'Materials Master'!$A$2:$A$27,0))="Yes",$B207&lt;&gt;"Trash"),1,0)</f>
        <v>0</v>
      </c>
      <c r="H207" s="0" t="str">
        <f aca="false">INDEX('Materials Master'!$E$2:$E$27,MATCH($C207,'Materials Master'!$A$2:$A$27,0))</f>
        <v>No</v>
      </c>
      <c r="I207" s="0" t="str">
        <f aca="false">IFERROR(INDEX(Areas!$C$2:$C$6,MATCH($A207,Areas!$B$2:$B$6,0)),"")</f>
        <v>BOH</v>
      </c>
      <c r="J207" s="0" t="n">
        <f aca="false">IF(IF($B207="Trash",INDEX('Materials Master'!$F$2:$F$27,MATCH($C207,'Materials Master'!$A$2:$A$27,0)),IF($B207="GMPC Recycling",INDEX('Materials Master'!$G$2:$G$27,MATCH($C207,'Materials Master'!$A$2:$A$27,0)),IF($B207="Organics Recycling",INDEX('Materials Master'!$H$2:$H$27,MATCH($C207,'Materials Master'!$A$2:$A$27,0)),IF($B207="Cardboard Recycling",INDEX('Materials Master'!$I$2:$I$27,MATCH($C207,'Materials Master'!$A$2:$A$27,0)),IF($B207="Paper Recycling",INDEX('Materials Master'!$J$2:$J$27,MATCH($C207,'Materials Master'!$A$2:$A$27,0)),IF($B207="Terracycle",INDEX('Materials Master'!$K$2:$K$27,MATCH($C207,'Materials Master'!$A$2:$A$27,0)),"No"))))))="Yes",1,0)</f>
        <v>0</v>
      </c>
    </row>
    <row r="208" customFormat="false" ht="15" hidden="false" customHeight="false" outlineLevel="0" collapsed="false">
      <c r="A208" s="0" t="s">
        <v>95</v>
      </c>
      <c r="B208" s="0" t="s">
        <v>104</v>
      </c>
      <c r="C208" s="0" t="s">
        <v>84</v>
      </c>
      <c r="D208" s="0" t="str">
        <f aca="false">IFERROR(INDEX('Materials Master'!$B$2:$B$27,MATCH($C208,'Materials Master'!$A$2:$A$27,0)),"")</f>
        <v>Snack Wrappers (Composites)</v>
      </c>
      <c r="E208" s="0" t="str">
        <f aca="false">IFERROR(INDEX('Materials Master'!$C$2:$C$27,MATCH($C208,'Materials Master'!$A$2:$A$27,0)),"")</f>
        <v>Other</v>
      </c>
      <c r="F208" s="0" t="n">
        <f aca="false">IF(SUMIFS(Fact_SortedWeights!$E$2:$E$89,Fact_SortedWeights!$C$2:$C$89,$A208,Fact_SortedWeights!$B$2:$B$89,$B208)=0,0,SUMIFS(Fact_SortedWeights!$E$2:$E$89,Fact_SortedWeights!$C$2:$C$89,$A208,Fact_SortedWeights!$B$2:$B$89,$B208,Fact_SortedWeights!$D$2:$D$89,$C208)/SUMIFS(Fact_SortedWeights!$E$2:$E$89,Fact_SortedWeights!$C$2:$C$89,$A208,Fact_SortedWeights!$B$2:$B$89,$B208)*(IF($B208="Cardboard Recycling",SUMIFS(Fact_SortedWeights!$E$2:$E$89,Fact_SortedWeights!$C$2:$C$89,$A208,Fact_SortedWeights!$B$2:$B$89,$B208),SUMIFS(Fact_PreSortWeights!$E$2:$E$186,Fact_PreSortWeights!$C$2:$C$186,$A208,Fact_PreSortWeights!$B$2:$B$186,$B208))))</f>
        <v>0.110377358490566</v>
      </c>
      <c r="G208" s="0" t="n">
        <f aca="false">IF(AND(IF($B208="Trash",INDEX('Materials Master'!$F$2:$F$27,MATCH($C208,'Materials Master'!$A$2:$A$27,0)),IF($B208="GMPC Recycling",INDEX('Materials Master'!$G$2:$G$27,MATCH($C208,'Materials Master'!$A$2:$A$27,0)),IF($B208="Organics Recycling",INDEX('Materials Master'!$H$2:$H$27,MATCH($C208,'Materials Master'!$A$2:$A$27,0)),IF($B208="Cardboard Recycling",INDEX('Materials Master'!$I$2:$I$27,MATCH($C208,'Materials Master'!$A$2:$A$27,0)),IF($B208="Paper Recycling",INDEX('Materials Master'!$J$2:$J$27,MATCH($C208,'Materials Master'!$A$2:$A$27,0)),IF($B208="Terracycle",INDEX('Materials Master'!$K$2:$K$27,MATCH($C208,'Materials Master'!$A$2:$A$27,0)),"No"))))))="Yes",INDEX('Materials Master'!$E$2:$E$27,MATCH($C208,'Materials Master'!$A$2:$A$27,0))="Yes",$B208&lt;&gt;"Trash"),1,0)</f>
        <v>0</v>
      </c>
      <c r="H208" s="0" t="str">
        <f aca="false">INDEX('Materials Master'!$E$2:$E$27,MATCH($C208,'Materials Master'!$A$2:$A$27,0))</f>
        <v>Yes</v>
      </c>
      <c r="I208" s="0" t="str">
        <f aca="false">IFERROR(INDEX(Areas!$C$2:$C$6,MATCH($A208,Areas!$B$2:$B$6,0)),"")</f>
        <v>BOH</v>
      </c>
      <c r="J208" s="0" t="n">
        <f aca="false">IF(IF($B208="Trash",INDEX('Materials Master'!$F$2:$F$27,MATCH($C208,'Materials Master'!$A$2:$A$27,0)),IF($B208="GMPC Recycling",INDEX('Materials Master'!$G$2:$G$27,MATCH($C208,'Materials Master'!$A$2:$A$27,0)),IF($B208="Organics Recycling",INDEX('Materials Master'!$H$2:$H$27,MATCH($C208,'Materials Master'!$A$2:$A$27,0)),IF($B208="Cardboard Recycling",INDEX('Materials Master'!$I$2:$I$27,MATCH($C208,'Materials Master'!$A$2:$A$27,0)),IF($B208="Paper Recycling",INDEX('Materials Master'!$J$2:$J$27,MATCH($C208,'Materials Master'!$A$2:$A$27,0)),IF($B208="Terracycle",INDEX('Materials Master'!$K$2:$K$27,MATCH($C208,'Materials Master'!$A$2:$A$27,0)),"No"))))))="Yes",1,0)</f>
        <v>0</v>
      </c>
    </row>
    <row r="209" customFormat="false" ht="15" hidden="false" customHeight="false" outlineLevel="0" collapsed="false">
      <c r="A209" s="0" t="s">
        <v>95</v>
      </c>
      <c r="B209" s="0" t="s">
        <v>104</v>
      </c>
      <c r="C209" s="0" t="s">
        <v>87</v>
      </c>
      <c r="D209" s="0" t="str">
        <f aca="false">IFERROR(INDEX('Materials Master'!$B$2:$B$27,MATCH($C209,'Materials Master'!$A$2:$A$27,0)),"")</f>
        <v>Other/Residual Materials</v>
      </c>
      <c r="E209" s="0" t="str">
        <f aca="false">IFERROR(INDEX('Materials Master'!$C$2:$C$27,MATCH($C209,'Materials Master'!$A$2:$A$27,0)),"")</f>
        <v>Other</v>
      </c>
      <c r="F209" s="0" t="n">
        <f aca="false">IF(SUMIFS(Fact_SortedWeights!$E$2:$E$89,Fact_SortedWeights!$C$2:$C$89,$A209,Fact_SortedWeights!$B$2:$B$89,$B209)=0,0,SUMIFS(Fact_SortedWeights!$E$2:$E$89,Fact_SortedWeights!$C$2:$C$89,$A209,Fact_SortedWeights!$B$2:$B$89,$B209,Fact_SortedWeights!$D$2:$D$89,$C209)/SUMIFS(Fact_SortedWeights!$E$2:$E$89,Fact_SortedWeights!$C$2:$C$89,$A209,Fact_SortedWeights!$B$2:$B$89,$B209)*(IF($B209="Cardboard Recycling",SUMIFS(Fact_SortedWeights!$E$2:$E$89,Fact_SortedWeights!$C$2:$C$89,$A209,Fact_SortedWeights!$B$2:$B$89,$B209),SUMIFS(Fact_PreSortWeights!$E$2:$E$186,Fact_PreSortWeights!$C$2:$C$186,$A209,Fact_PreSortWeights!$B$2:$B$186,$B209))))</f>
        <v>0</v>
      </c>
      <c r="G209" s="0" t="n">
        <f aca="false">IF(AND(IF($B209="Trash",INDEX('Materials Master'!$F$2:$F$27,MATCH($C209,'Materials Master'!$A$2:$A$27,0)),IF($B209="GMPC Recycling",INDEX('Materials Master'!$G$2:$G$27,MATCH($C209,'Materials Master'!$A$2:$A$27,0)),IF($B209="Organics Recycling",INDEX('Materials Master'!$H$2:$H$27,MATCH($C209,'Materials Master'!$A$2:$A$27,0)),IF($B209="Cardboard Recycling",INDEX('Materials Master'!$I$2:$I$27,MATCH($C209,'Materials Master'!$A$2:$A$27,0)),IF($B209="Paper Recycling",INDEX('Materials Master'!$J$2:$J$27,MATCH($C209,'Materials Master'!$A$2:$A$27,0)),IF($B209="Terracycle",INDEX('Materials Master'!$K$2:$K$27,MATCH($C209,'Materials Master'!$A$2:$A$27,0)),"No"))))))="Yes",INDEX('Materials Master'!$E$2:$E$27,MATCH($C209,'Materials Master'!$A$2:$A$27,0))="Yes",$B209&lt;&gt;"Trash"),1,0)</f>
        <v>0</v>
      </c>
      <c r="H209" s="0" t="str">
        <f aca="false">INDEX('Materials Master'!$E$2:$E$27,MATCH($C209,'Materials Master'!$A$2:$A$27,0))</f>
        <v>No</v>
      </c>
      <c r="I209" s="0" t="str">
        <f aca="false">IFERROR(INDEX(Areas!$C$2:$C$6,MATCH($A209,Areas!$B$2:$B$6,0)),"")</f>
        <v>BOH</v>
      </c>
      <c r="J209" s="0" t="n">
        <f aca="false">IF(IF($B209="Trash",INDEX('Materials Master'!$F$2:$F$27,MATCH($C209,'Materials Master'!$A$2:$A$27,0)),IF($B209="GMPC Recycling",INDEX('Materials Master'!$G$2:$G$27,MATCH($C209,'Materials Master'!$A$2:$A$27,0)),IF($B209="Organics Recycling",INDEX('Materials Master'!$H$2:$H$27,MATCH($C209,'Materials Master'!$A$2:$A$27,0)),IF($B209="Cardboard Recycling",INDEX('Materials Master'!$I$2:$I$27,MATCH($C209,'Materials Master'!$A$2:$A$27,0)),IF($B209="Paper Recycling",INDEX('Materials Master'!$J$2:$J$27,MATCH($C209,'Materials Master'!$A$2:$A$27,0)),IF($B209="Terracycle",INDEX('Materials Master'!$K$2:$K$27,MATCH($C209,'Materials Master'!$A$2:$A$27,0)),"No"))))))="Yes",1,0)</f>
        <v>0</v>
      </c>
    </row>
    <row r="210" customFormat="false" ht="15" hidden="false" customHeight="false" outlineLevel="0" collapsed="false">
      <c r="A210" s="0" t="s">
        <v>95</v>
      </c>
      <c r="B210" s="0" t="s">
        <v>105</v>
      </c>
      <c r="C210" s="0" t="s">
        <v>28</v>
      </c>
      <c r="D210" s="0" t="str">
        <f aca="false">IFERROR(INDEX('Materials Master'!$B$2:$B$27,MATCH($C210,'Materials Master'!$A$2:$A$27,0)),"")</f>
        <v>Corrugated Cardboard</v>
      </c>
      <c r="E210" s="0" t="str">
        <f aca="false">IFERROR(INDEX('Materials Master'!$C$2:$C$27,MATCH($C210,'Materials Master'!$A$2:$A$27,0)),"")</f>
        <v>Fibers</v>
      </c>
      <c r="F210" s="0" t="n">
        <f aca="false">IF(SUMIFS(Fact_SortedWeights!$E$2:$E$89,Fact_SortedWeights!$C$2:$C$89,$A210,Fact_SortedWeights!$B$2:$B$89,$B210)=0,0,SUMIFS(Fact_SortedWeights!$E$2:$E$89,Fact_SortedWeights!$C$2:$C$89,$A210,Fact_SortedWeights!$B$2:$B$89,$B210,Fact_SortedWeights!$D$2:$D$89,$C210)/SUMIFS(Fact_SortedWeights!$E$2:$E$89,Fact_SortedWeights!$C$2:$C$89,$A210,Fact_SortedWeights!$B$2:$B$89,$B210)*(IF($B210="Cardboard Recycling",SUMIFS(Fact_SortedWeights!$E$2:$E$89,Fact_SortedWeights!$C$2:$C$89,$A210,Fact_SortedWeights!$B$2:$B$89,$B210),SUMIFS(Fact_PreSortWeights!$E$2:$E$186,Fact_PreSortWeights!$C$2:$C$186,$A210,Fact_PreSortWeights!$B$2:$B$186,$B210))))</f>
        <v>0</v>
      </c>
      <c r="G210" s="0" t="n">
        <f aca="false">IF(AND(IF($B210="Trash",INDEX('Materials Master'!$F$2:$F$27,MATCH($C210,'Materials Master'!$A$2:$A$27,0)),IF($B210="GMPC Recycling",INDEX('Materials Master'!$G$2:$G$27,MATCH($C210,'Materials Master'!$A$2:$A$27,0)),IF($B210="Organics Recycling",INDEX('Materials Master'!$H$2:$H$27,MATCH($C210,'Materials Master'!$A$2:$A$27,0)),IF($B210="Cardboard Recycling",INDEX('Materials Master'!$I$2:$I$27,MATCH($C210,'Materials Master'!$A$2:$A$27,0)),IF($B210="Paper Recycling",INDEX('Materials Master'!$J$2:$J$27,MATCH($C210,'Materials Master'!$A$2:$A$27,0)),IF($B210="Terracycle",INDEX('Materials Master'!$K$2:$K$27,MATCH($C210,'Materials Master'!$A$2:$A$27,0)),"No"))))))="Yes",INDEX('Materials Master'!$E$2:$E$27,MATCH($C210,'Materials Master'!$A$2:$A$27,0))="Yes",$B210&lt;&gt;"Trash"),1,0)</f>
        <v>0</v>
      </c>
      <c r="H210" s="0" t="str">
        <f aca="false">INDEX('Materials Master'!$E$2:$E$27,MATCH($C210,'Materials Master'!$A$2:$A$27,0))</f>
        <v>Yes</v>
      </c>
      <c r="I210" s="0" t="str">
        <f aca="false">IFERROR(INDEX(Areas!$C$2:$C$6,MATCH($A210,Areas!$B$2:$B$6,0)),"")</f>
        <v>BOH</v>
      </c>
      <c r="J210" s="0" t="n">
        <f aca="false">IF(IF($B210="Trash",INDEX('Materials Master'!$F$2:$F$27,MATCH($C210,'Materials Master'!$A$2:$A$27,0)),IF($B210="GMPC Recycling",INDEX('Materials Master'!$G$2:$G$27,MATCH($C210,'Materials Master'!$A$2:$A$27,0)),IF($B210="Organics Recycling",INDEX('Materials Master'!$H$2:$H$27,MATCH($C210,'Materials Master'!$A$2:$A$27,0)),IF($B210="Cardboard Recycling",INDEX('Materials Master'!$I$2:$I$27,MATCH($C210,'Materials Master'!$A$2:$A$27,0)),IF($B210="Paper Recycling",INDEX('Materials Master'!$J$2:$J$27,MATCH($C210,'Materials Master'!$A$2:$A$27,0)),IF($B210="Terracycle",INDEX('Materials Master'!$K$2:$K$27,MATCH($C210,'Materials Master'!$A$2:$A$27,0)),"No"))))))="Yes",1,0)</f>
        <v>0</v>
      </c>
    </row>
    <row r="211" customFormat="false" ht="15" hidden="false" customHeight="false" outlineLevel="0" collapsed="false">
      <c r="A211" s="0" t="s">
        <v>95</v>
      </c>
      <c r="B211" s="0" t="s">
        <v>105</v>
      </c>
      <c r="C211" s="0" t="s">
        <v>33</v>
      </c>
      <c r="D211" s="0" t="str">
        <f aca="false">IFERROR(INDEX('Materials Master'!$B$2:$B$27,MATCH($C211,'Materials Master'!$A$2:$A$27,0)),"")</f>
        <v>Soiled Cardboard</v>
      </c>
      <c r="E211" s="0" t="str">
        <f aca="false">IFERROR(INDEX('Materials Master'!$C$2:$C$27,MATCH($C211,'Materials Master'!$A$2:$A$27,0)),"")</f>
        <v>Fibers</v>
      </c>
      <c r="F211" s="0" t="n">
        <f aca="false">IF(SUMIFS(Fact_SortedWeights!$E$2:$E$89,Fact_SortedWeights!$C$2:$C$89,$A211,Fact_SortedWeights!$B$2:$B$89,$B211)=0,0,SUMIFS(Fact_SortedWeights!$E$2:$E$89,Fact_SortedWeights!$C$2:$C$89,$A211,Fact_SortedWeights!$B$2:$B$89,$B211,Fact_SortedWeights!$D$2:$D$89,$C211)/SUMIFS(Fact_SortedWeights!$E$2:$E$89,Fact_SortedWeights!$C$2:$C$89,$A211,Fact_SortedWeights!$B$2:$B$89,$B211)*(IF($B211="Cardboard Recycling",SUMIFS(Fact_SortedWeights!$E$2:$E$89,Fact_SortedWeights!$C$2:$C$89,$A211,Fact_SortedWeights!$B$2:$B$89,$B211),SUMIFS(Fact_PreSortWeights!$E$2:$E$186,Fact_PreSortWeights!$C$2:$C$186,$A211,Fact_PreSortWeights!$B$2:$B$186,$B211))))</f>
        <v>0</v>
      </c>
      <c r="G211" s="0" t="n">
        <f aca="false">IF(AND(IF($B211="Trash",INDEX('Materials Master'!$F$2:$F$27,MATCH($C211,'Materials Master'!$A$2:$A$27,0)),IF($B211="GMPC Recycling",INDEX('Materials Master'!$G$2:$G$27,MATCH($C211,'Materials Master'!$A$2:$A$27,0)),IF($B211="Organics Recycling",INDEX('Materials Master'!$H$2:$H$27,MATCH($C211,'Materials Master'!$A$2:$A$27,0)),IF($B211="Cardboard Recycling",INDEX('Materials Master'!$I$2:$I$27,MATCH($C211,'Materials Master'!$A$2:$A$27,0)),IF($B211="Paper Recycling",INDEX('Materials Master'!$J$2:$J$27,MATCH($C211,'Materials Master'!$A$2:$A$27,0)),IF($B211="Terracycle",INDEX('Materials Master'!$K$2:$K$27,MATCH($C211,'Materials Master'!$A$2:$A$27,0)),"No"))))))="Yes",INDEX('Materials Master'!$E$2:$E$27,MATCH($C211,'Materials Master'!$A$2:$A$27,0))="Yes",$B211&lt;&gt;"Trash"),1,0)</f>
        <v>0</v>
      </c>
      <c r="H211" s="0" t="str">
        <f aca="false">INDEX('Materials Master'!$E$2:$E$27,MATCH($C211,'Materials Master'!$A$2:$A$27,0))</f>
        <v>No</v>
      </c>
      <c r="I211" s="0" t="str">
        <f aca="false">IFERROR(INDEX(Areas!$C$2:$C$6,MATCH($A211,Areas!$B$2:$B$6,0)),"")</f>
        <v>BOH</v>
      </c>
      <c r="J211" s="0" t="n">
        <f aca="false">IF(IF($B211="Trash",INDEX('Materials Master'!$F$2:$F$27,MATCH($C211,'Materials Master'!$A$2:$A$27,0)),IF($B211="GMPC Recycling",INDEX('Materials Master'!$G$2:$G$27,MATCH($C211,'Materials Master'!$A$2:$A$27,0)),IF($B211="Organics Recycling",INDEX('Materials Master'!$H$2:$H$27,MATCH($C211,'Materials Master'!$A$2:$A$27,0)),IF($B211="Cardboard Recycling",INDEX('Materials Master'!$I$2:$I$27,MATCH($C211,'Materials Master'!$A$2:$A$27,0)),IF($B211="Paper Recycling",INDEX('Materials Master'!$J$2:$J$27,MATCH($C211,'Materials Master'!$A$2:$A$27,0)),IF($B211="Terracycle",INDEX('Materials Master'!$K$2:$K$27,MATCH($C211,'Materials Master'!$A$2:$A$27,0)),"No"))))))="Yes",1,0)</f>
        <v>0</v>
      </c>
    </row>
    <row r="212" customFormat="false" ht="15" hidden="false" customHeight="false" outlineLevel="0" collapsed="false">
      <c r="A212" s="0" t="s">
        <v>95</v>
      </c>
      <c r="B212" s="0" t="s">
        <v>105</v>
      </c>
      <c r="C212" s="0" t="s">
        <v>35</v>
      </c>
      <c r="D212" s="0" t="str">
        <f aca="false">IFERROR(INDEX('Materials Master'!$B$2:$B$27,MATCH($C212,'Materials Master'!$A$2:$A$27,0)),"")</f>
        <v>Waxed Cardboard</v>
      </c>
      <c r="E212" s="0" t="str">
        <f aca="false">IFERROR(INDEX('Materials Master'!$C$2:$C$27,MATCH($C212,'Materials Master'!$A$2:$A$27,0)),"")</f>
        <v>Fibers</v>
      </c>
      <c r="F212" s="0" t="n">
        <f aca="false">IF(SUMIFS(Fact_SortedWeights!$E$2:$E$89,Fact_SortedWeights!$C$2:$C$89,$A212,Fact_SortedWeights!$B$2:$B$89,$B212)=0,0,SUMIFS(Fact_SortedWeights!$E$2:$E$89,Fact_SortedWeights!$C$2:$C$89,$A212,Fact_SortedWeights!$B$2:$B$89,$B212,Fact_SortedWeights!$D$2:$D$89,$C212)/SUMIFS(Fact_SortedWeights!$E$2:$E$89,Fact_SortedWeights!$C$2:$C$89,$A212,Fact_SortedWeights!$B$2:$B$89,$B212)*(IF($B212="Cardboard Recycling",SUMIFS(Fact_SortedWeights!$E$2:$E$89,Fact_SortedWeights!$C$2:$C$89,$A212,Fact_SortedWeights!$B$2:$B$89,$B212),SUMIFS(Fact_PreSortWeights!$E$2:$E$186,Fact_PreSortWeights!$C$2:$C$186,$A212,Fact_PreSortWeights!$B$2:$B$186,$B212))))</f>
        <v>0</v>
      </c>
      <c r="G212" s="0" t="n">
        <f aca="false">IF(AND(IF($B212="Trash",INDEX('Materials Master'!$F$2:$F$27,MATCH($C212,'Materials Master'!$A$2:$A$27,0)),IF($B212="GMPC Recycling",INDEX('Materials Master'!$G$2:$G$27,MATCH($C212,'Materials Master'!$A$2:$A$27,0)),IF($B212="Organics Recycling",INDEX('Materials Master'!$H$2:$H$27,MATCH($C212,'Materials Master'!$A$2:$A$27,0)),IF($B212="Cardboard Recycling",INDEX('Materials Master'!$I$2:$I$27,MATCH($C212,'Materials Master'!$A$2:$A$27,0)),IF($B212="Paper Recycling",INDEX('Materials Master'!$J$2:$J$27,MATCH($C212,'Materials Master'!$A$2:$A$27,0)),IF($B212="Terracycle",INDEX('Materials Master'!$K$2:$K$27,MATCH($C212,'Materials Master'!$A$2:$A$27,0)),"No"))))))="Yes",INDEX('Materials Master'!$E$2:$E$27,MATCH($C212,'Materials Master'!$A$2:$A$27,0))="Yes",$B212&lt;&gt;"Trash"),1,0)</f>
        <v>0</v>
      </c>
      <c r="H212" s="0" t="str">
        <f aca="false">INDEX('Materials Master'!$E$2:$E$27,MATCH($C212,'Materials Master'!$A$2:$A$27,0))</f>
        <v>No</v>
      </c>
      <c r="I212" s="0" t="str">
        <f aca="false">IFERROR(INDEX(Areas!$C$2:$C$6,MATCH($A212,Areas!$B$2:$B$6,0)),"")</f>
        <v>BOH</v>
      </c>
      <c r="J212" s="0" t="n">
        <f aca="false">IF(IF($B212="Trash",INDEX('Materials Master'!$F$2:$F$27,MATCH($C212,'Materials Master'!$A$2:$A$27,0)),IF($B212="GMPC Recycling",INDEX('Materials Master'!$G$2:$G$27,MATCH($C212,'Materials Master'!$A$2:$A$27,0)),IF($B212="Organics Recycling",INDEX('Materials Master'!$H$2:$H$27,MATCH($C212,'Materials Master'!$A$2:$A$27,0)),IF($B212="Cardboard Recycling",INDEX('Materials Master'!$I$2:$I$27,MATCH($C212,'Materials Master'!$A$2:$A$27,0)),IF($B212="Paper Recycling",INDEX('Materials Master'!$J$2:$J$27,MATCH($C212,'Materials Master'!$A$2:$A$27,0)),IF($B212="Terracycle",INDEX('Materials Master'!$K$2:$K$27,MATCH($C212,'Materials Master'!$A$2:$A$27,0)),"No"))))))="Yes",1,0)</f>
        <v>0</v>
      </c>
    </row>
    <row r="213" customFormat="false" ht="15" hidden="false" customHeight="false" outlineLevel="0" collapsed="false">
      <c r="A213" s="0" t="s">
        <v>95</v>
      </c>
      <c r="B213" s="0" t="s">
        <v>105</v>
      </c>
      <c r="C213" s="0" t="s">
        <v>37</v>
      </c>
      <c r="D213" s="0" t="str">
        <f aca="false">IFERROR(INDEX('Materials Master'!$B$2:$B$27,MATCH($C213,'Materials Master'!$A$2:$A$27,0)),"")</f>
        <v>Mixed Paper</v>
      </c>
      <c r="E213" s="0" t="str">
        <f aca="false">IFERROR(INDEX('Materials Master'!$C$2:$C$27,MATCH($C213,'Materials Master'!$A$2:$A$27,0)),"")</f>
        <v>Fibers</v>
      </c>
      <c r="F213" s="0" t="n">
        <f aca="false">IF(SUMIFS(Fact_SortedWeights!$E$2:$E$89,Fact_SortedWeights!$C$2:$C$89,$A213,Fact_SortedWeights!$B$2:$B$89,$B213)=0,0,SUMIFS(Fact_SortedWeights!$E$2:$E$89,Fact_SortedWeights!$C$2:$C$89,$A213,Fact_SortedWeights!$B$2:$B$89,$B213,Fact_SortedWeights!$D$2:$D$89,$C213)/SUMIFS(Fact_SortedWeights!$E$2:$E$89,Fact_SortedWeights!$C$2:$C$89,$A213,Fact_SortedWeights!$B$2:$B$89,$B213)*(IF($B213="Cardboard Recycling",SUMIFS(Fact_SortedWeights!$E$2:$E$89,Fact_SortedWeights!$C$2:$C$89,$A213,Fact_SortedWeights!$B$2:$B$89,$B213),SUMIFS(Fact_PreSortWeights!$E$2:$E$186,Fact_PreSortWeights!$C$2:$C$186,$A213,Fact_PreSortWeights!$B$2:$B$186,$B213))))</f>
        <v>6.25629894831058</v>
      </c>
      <c r="G213" s="0" t="n">
        <f aca="false">IF(AND(IF($B213="Trash",INDEX('Materials Master'!$F$2:$F$27,MATCH($C213,'Materials Master'!$A$2:$A$27,0)),IF($B213="GMPC Recycling",INDEX('Materials Master'!$G$2:$G$27,MATCH($C213,'Materials Master'!$A$2:$A$27,0)),IF($B213="Organics Recycling",INDEX('Materials Master'!$H$2:$H$27,MATCH($C213,'Materials Master'!$A$2:$A$27,0)),IF($B213="Cardboard Recycling",INDEX('Materials Master'!$I$2:$I$27,MATCH($C213,'Materials Master'!$A$2:$A$27,0)),IF($B213="Paper Recycling",INDEX('Materials Master'!$J$2:$J$27,MATCH($C213,'Materials Master'!$A$2:$A$27,0)),IF($B213="Terracycle",INDEX('Materials Master'!$K$2:$K$27,MATCH($C213,'Materials Master'!$A$2:$A$27,0)),"No"))))))="Yes",INDEX('Materials Master'!$E$2:$E$27,MATCH($C213,'Materials Master'!$A$2:$A$27,0))="Yes",$B213&lt;&gt;"Trash"),1,0)</f>
        <v>0</v>
      </c>
      <c r="H213" s="0" t="str">
        <f aca="false">INDEX('Materials Master'!$E$2:$E$27,MATCH($C213,'Materials Master'!$A$2:$A$27,0))</f>
        <v>Yes</v>
      </c>
      <c r="I213" s="0" t="str">
        <f aca="false">IFERROR(INDEX(Areas!$C$2:$C$6,MATCH($A213,Areas!$B$2:$B$6,0)),"")</f>
        <v>BOH</v>
      </c>
      <c r="J213" s="0" t="n">
        <f aca="false">IF(IF($B213="Trash",INDEX('Materials Master'!$F$2:$F$27,MATCH($C213,'Materials Master'!$A$2:$A$27,0)),IF($B213="GMPC Recycling",INDEX('Materials Master'!$G$2:$G$27,MATCH($C213,'Materials Master'!$A$2:$A$27,0)),IF($B213="Organics Recycling",INDEX('Materials Master'!$H$2:$H$27,MATCH($C213,'Materials Master'!$A$2:$A$27,0)),IF($B213="Cardboard Recycling",INDEX('Materials Master'!$I$2:$I$27,MATCH($C213,'Materials Master'!$A$2:$A$27,0)),IF($B213="Paper Recycling",INDEX('Materials Master'!$J$2:$J$27,MATCH($C213,'Materials Master'!$A$2:$A$27,0)),IF($B213="Terracycle",INDEX('Materials Master'!$K$2:$K$27,MATCH($C213,'Materials Master'!$A$2:$A$27,0)),"No"))))))="Yes",1,0)</f>
        <v>0</v>
      </c>
    </row>
    <row r="214" customFormat="false" ht="15" hidden="false" customHeight="false" outlineLevel="0" collapsed="false">
      <c r="A214" s="0" t="s">
        <v>95</v>
      </c>
      <c r="B214" s="0" t="s">
        <v>105</v>
      </c>
      <c r="C214" s="0" t="s">
        <v>39</v>
      </c>
      <c r="D214" s="0" t="str">
        <f aca="false">IFERROR(INDEX('Materials Master'!$B$2:$B$27,MATCH($C214,'Materials Master'!$A$2:$A$27,0)),"")</f>
        <v>Soiled Paper</v>
      </c>
      <c r="E214" s="0" t="str">
        <f aca="false">IFERROR(INDEX('Materials Master'!$C$2:$C$27,MATCH($C214,'Materials Master'!$A$2:$A$27,0)),"")</f>
        <v>Fibers</v>
      </c>
      <c r="F214" s="0" t="n">
        <f aca="false">IF(SUMIFS(Fact_SortedWeights!$E$2:$E$89,Fact_SortedWeights!$C$2:$C$89,$A214,Fact_SortedWeights!$B$2:$B$89,$B214)=0,0,SUMIFS(Fact_SortedWeights!$E$2:$E$89,Fact_SortedWeights!$C$2:$C$89,$A214,Fact_SortedWeights!$B$2:$B$89,$B214,Fact_SortedWeights!$D$2:$D$89,$C214)/SUMIFS(Fact_SortedWeights!$E$2:$E$89,Fact_SortedWeights!$C$2:$C$89,$A214,Fact_SortedWeights!$B$2:$B$89,$B214)*(IF($B214="Cardboard Recycling",SUMIFS(Fact_SortedWeights!$E$2:$E$89,Fact_SortedWeights!$C$2:$C$89,$A214,Fact_SortedWeights!$B$2:$B$89,$B214),SUMIFS(Fact_PreSortWeights!$E$2:$E$186,Fact_PreSortWeights!$C$2:$C$186,$A214,Fact_PreSortWeights!$B$2:$B$186,$B214))))</f>
        <v>0</v>
      </c>
      <c r="G214" s="0" t="n">
        <f aca="false">IF(AND(IF($B214="Trash",INDEX('Materials Master'!$F$2:$F$27,MATCH($C214,'Materials Master'!$A$2:$A$27,0)),IF($B214="GMPC Recycling",INDEX('Materials Master'!$G$2:$G$27,MATCH($C214,'Materials Master'!$A$2:$A$27,0)),IF($B214="Organics Recycling",INDEX('Materials Master'!$H$2:$H$27,MATCH($C214,'Materials Master'!$A$2:$A$27,0)),IF($B214="Cardboard Recycling",INDEX('Materials Master'!$I$2:$I$27,MATCH($C214,'Materials Master'!$A$2:$A$27,0)),IF($B214="Paper Recycling",INDEX('Materials Master'!$J$2:$J$27,MATCH($C214,'Materials Master'!$A$2:$A$27,0)),IF($B214="Terracycle",INDEX('Materials Master'!$K$2:$K$27,MATCH($C214,'Materials Master'!$A$2:$A$27,0)),"No"))))))="Yes",INDEX('Materials Master'!$E$2:$E$27,MATCH($C214,'Materials Master'!$A$2:$A$27,0))="Yes",$B214&lt;&gt;"Trash"),1,0)</f>
        <v>0</v>
      </c>
      <c r="H214" s="0" t="str">
        <f aca="false">INDEX('Materials Master'!$E$2:$E$27,MATCH($C214,'Materials Master'!$A$2:$A$27,0))</f>
        <v>No</v>
      </c>
      <c r="I214" s="0" t="str">
        <f aca="false">IFERROR(INDEX(Areas!$C$2:$C$6,MATCH($A214,Areas!$B$2:$B$6,0)),"")</f>
        <v>BOH</v>
      </c>
      <c r="J214" s="0" t="n">
        <f aca="false">IF(IF($B214="Trash",INDEX('Materials Master'!$F$2:$F$27,MATCH($C214,'Materials Master'!$A$2:$A$27,0)),IF($B214="GMPC Recycling",INDEX('Materials Master'!$G$2:$G$27,MATCH($C214,'Materials Master'!$A$2:$A$27,0)),IF($B214="Organics Recycling",INDEX('Materials Master'!$H$2:$H$27,MATCH($C214,'Materials Master'!$A$2:$A$27,0)),IF($B214="Cardboard Recycling",INDEX('Materials Master'!$I$2:$I$27,MATCH($C214,'Materials Master'!$A$2:$A$27,0)),IF($B214="Paper Recycling",INDEX('Materials Master'!$J$2:$J$27,MATCH($C214,'Materials Master'!$A$2:$A$27,0)),IF($B214="Terracycle",INDEX('Materials Master'!$K$2:$K$27,MATCH($C214,'Materials Master'!$A$2:$A$27,0)),"No"))))))="Yes",1,0)</f>
        <v>0</v>
      </c>
    </row>
    <row r="215" customFormat="false" ht="15" hidden="false" customHeight="false" outlineLevel="0" collapsed="false">
      <c r="A215" s="0" t="s">
        <v>95</v>
      </c>
      <c r="B215" s="0" t="s">
        <v>105</v>
      </c>
      <c r="C215" s="0" t="s">
        <v>41</v>
      </c>
      <c r="D215" s="0" t="str">
        <f aca="false">IFERROR(INDEX('Materials Master'!$B$2:$B$27,MATCH($C215,'Materials Master'!$A$2:$A$27,0)),"")</f>
        <v>Beverage Cartons</v>
      </c>
      <c r="E215" s="0" t="str">
        <f aca="false">IFERROR(INDEX('Materials Master'!$C$2:$C$27,MATCH($C215,'Materials Master'!$A$2:$A$27,0)),"")</f>
        <v>Fibers</v>
      </c>
      <c r="F215" s="0" t="n">
        <f aca="false">IF(SUMIFS(Fact_SortedWeights!$E$2:$E$89,Fact_SortedWeights!$C$2:$C$89,$A215,Fact_SortedWeights!$B$2:$B$89,$B215)=0,0,SUMIFS(Fact_SortedWeights!$E$2:$E$89,Fact_SortedWeights!$C$2:$C$89,$A215,Fact_SortedWeights!$B$2:$B$89,$B215,Fact_SortedWeights!$D$2:$D$89,$C215)/SUMIFS(Fact_SortedWeights!$E$2:$E$89,Fact_SortedWeights!$C$2:$C$89,$A215,Fact_SortedWeights!$B$2:$B$89,$B215)*(IF($B215="Cardboard Recycling",SUMIFS(Fact_SortedWeights!$E$2:$E$89,Fact_SortedWeights!$C$2:$C$89,$A215,Fact_SortedWeights!$B$2:$B$89,$B215),SUMIFS(Fact_PreSortWeights!$E$2:$E$186,Fact_PreSortWeights!$C$2:$C$186,$A215,Fact_PreSortWeights!$B$2:$B$186,$B215))))</f>
        <v>0.175546160097043</v>
      </c>
      <c r="G215" s="0" t="n">
        <f aca="false">IF(AND(IF($B215="Trash",INDEX('Materials Master'!$F$2:$F$27,MATCH($C215,'Materials Master'!$A$2:$A$27,0)),IF($B215="GMPC Recycling",INDEX('Materials Master'!$G$2:$G$27,MATCH($C215,'Materials Master'!$A$2:$A$27,0)),IF($B215="Organics Recycling",INDEX('Materials Master'!$H$2:$H$27,MATCH($C215,'Materials Master'!$A$2:$A$27,0)),IF($B215="Cardboard Recycling",INDEX('Materials Master'!$I$2:$I$27,MATCH($C215,'Materials Master'!$A$2:$A$27,0)),IF($B215="Paper Recycling",INDEX('Materials Master'!$J$2:$J$27,MATCH($C215,'Materials Master'!$A$2:$A$27,0)),IF($B215="Terracycle",INDEX('Materials Master'!$K$2:$K$27,MATCH($C215,'Materials Master'!$A$2:$A$27,0)),"No"))))))="Yes",INDEX('Materials Master'!$E$2:$E$27,MATCH($C215,'Materials Master'!$A$2:$A$27,0))="Yes",$B215&lt;&gt;"Trash"),1,0)</f>
        <v>0</v>
      </c>
      <c r="H215" s="0" t="str">
        <f aca="false">INDEX('Materials Master'!$E$2:$E$27,MATCH($C215,'Materials Master'!$A$2:$A$27,0))</f>
        <v>Yes</v>
      </c>
      <c r="I215" s="0" t="str">
        <f aca="false">IFERROR(INDEX(Areas!$C$2:$C$6,MATCH($A215,Areas!$B$2:$B$6,0)),"")</f>
        <v>BOH</v>
      </c>
      <c r="J215" s="0" t="n">
        <f aca="false">IF(IF($B215="Trash",INDEX('Materials Master'!$F$2:$F$27,MATCH($C215,'Materials Master'!$A$2:$A$27,0)),IF($B215="GMPC Recycling",INDEX('Materials Master'!$G$2:$G$27,MATCH($C215,'Materials Master'!$A$2:$A$27,0)),IF($B215="Organics Recycling",INDEX('Materials Master'!$H$2:$H$27,MATCH($C215,'Materials Master'!$A$2:$A$27,0)),IF($B215="Cardboard Recycling",INDEX('Materials Master'!$I$2:$I$27,MATCH($C215,'Materials Master'!$A$2:$A$27,0)),IF($B215="Paper Recycling",INDEX('Materials Master'!$J$2:$J$27,MATCH($C215,'Materials Master'!$A$2:$A$27,0)),IF($B215="Terracycle",INDEX('Materials Master'!$K$2:$K$27,MATCH($C215,'Materials Master'!$A$2:$A$27,0)),"No"))))))="Yes",1,0)</f>
        <v>0</v>
      </c>
    </row>
    <row r="216" customFormat="false" ht="15" hidden="false" customHeight="false" outlineLevel="0" collapsed="false">
      <c r="A216" s="0" t="s">
        <v>95</v>
      </c>
      <c r="B216" s="0" t="s">
        <v>105</v>
      </c>
      <c r="C216" s="0" t="s">
        <v>43</v>
      </c>
      <c r="D216" s="0" t="str">
        <f aca="false">IFERROR(INDEX('Materials Master'!$B$2:$B$27,MATCH($C216,'Materials Master'!$A$2:$A$27,0)),"")</f>
        <v>Soiled Beverage Cartons</v>
      </c>
      <c r="E216" s="0" t="str">
        <f aca="false">IFERROR(INDEX('Materials Master'!$C$2:$C$27,MATCH($C216,'Materials Master'!$A$2:$A$27,0)),"")</f>
        <v>Fibers</v>
      </c>
      <c r="F216" s="0" t="n">
        <f aca="false">IF(SUMIFS(Fact_SortedWeights!$E$2:$E$89,Fact_SortedWeights!$C$2:$C$89,$A216,Fact_SortedWeights!$B$2:$B$89,$B216)=0,0,SUMIFS(Fact_SortedWeights!$E$2:$E$89,Fact_SortedWeights!$C$2:$C$89,$A216,Fact_SortedWeights!$B$2:$B$89,$B216,Fact_SortedWeights!$D$2:$D$89,$C216)/SUMIFS(Fact_SortedWeights!$E$2:$E$89,Fact_SortedWeights!$C$2:$C$89,$A216,Fact_SortedWeights!$B$2:$B$89,$B216)*(IF($B216="Cardboard Recycling",SUMIFS(Fact_SortedWeights!$E$2:$E$89,Fact_SortedWeights!$C$2:$C$89,$A216,Fact_SortedWeights!$B$2:$B$89,$B216),SUMIFS(Fact_PreSortWeights!$E$2:$E$186,Fact_PreSortWeights!$C$2:$C$186,$A216,Fact_PreSortWeights!$B$2:$B$186,$B216))))</f>
        <v>0</v>
      </c>
      <c r="G216" s="0" t="n">
        <f aca="false">IF(AND(IF($B216="Trash",INDEX('Materials Master'!$F$2:$F$27,MATCH($C216,'Materials Master'!$A$2:$A$27,0)),IF($B216="GMPC Recycling",INDEX('Materials Master'!$G$2:$G$27,MATCH($C216,'Materials Master'!$A$2:$A$27,0)),IF($B216="Organics Recycling",INDEX('Materials Master'!$H$2:$H$27,MATCH($C216,'Materials Master'!$A$2:$A$27,0)),IF($B216="Cardboard Recycling",INDEX('Materials Master'!$I$2:$I$27,MATCH($C216,'Materials Master'!$A$2:$A$27,0)),IF($B216="Paper Recycling",INDEX('Materials Master'!$J$2:$J$27,MATCH($C216,'Materials Master'!$A$2:$A$27,0)),IF($B216="Terracycle",INDEX('Materials Master'!$K$2:$K$27,MATCH($C216,'Materials Master'!$A$2:$A$27,0)),"No"))))))="Yes",INDEX('Materials Master'!$E$2:$E$27,MATCH($C216,'Materials Master'!$A$2:$A$27,0))="Yes",$B216&lt;&gt;"Trash"),1,0)</f>
        <v>0</v>
      </c>
      <c r="H216" s="0" t="str">
        <f aca="false">INDEX('Materials Master'!$E$2:$E$27,MATCH($C216,'Materials Master'!$A$2:$A$27,0))</f>
        <v>No</v>
      </c>
      <c r="I216" s="0" t="str">
        <f aca="false">IFERROR(INDEX(Areas!$C$2:$C$6,MATCH($A216,Areas!$B$2:$B$6,0)),"")</f>
        <v>BOH</v>
      </c>
      <c r="J216" s="0" t="n">
        <f aca="false">IF(IF($B216="Trash",INDEX('Materials Master'!$F$2:$F$27,MATCH($C216,'Materials Master'!$A$2:$A$27,0)),IF($B216="GMPC Recycling",INDEX('Materials Master'!$G$2:$G$27,MATCH($C216,'Materials Master'!$A$2:$A$27,0)),IF($B216="Organics Recycling",INDEX('Materials Master'!$H$2:$H$27,MATCH($C216,'Materials Master'!$A$2:$A$27,0)),IF($B216="Cardboard Recycling",INDEX('Materials Master'!$I$2:$I$27,MATCH($C216,'Materials Master'!$A$2:$A$27,0)),IF($B216="Paper Recycling",INDEX('Materials Master'!$J$2:$J$27,MATCH($C216,'Materials Master'!$A$2:$A$27,0)),IF($B216="Terracycle",INDEX('Materials Master'!$K$2:$K$27,MATCH($C216,'Materials Master'!$A$2:$A$27,0)),"No"))))))="Yes",1,0)</f>
        <v>0</v>
      </c>
    </row>
    <row r="217" customFormat="false" ht="15" hidden="false" customHeight="false" outlineLevel="0" collapsed="false">
      <c r="A217" s="0" t="s">
        <v>95</v>
      </c>
      <c r="B217" s="0" t="s">
        <v>105</v>
      </c>
      <c r="C217" s="0" t="s">
        <v>45</v>
      </c>
      <c r="D217" s="0" t="str">
        <f aca="false">IFERROR(INDEX('Materials Master'!$B$2:$B$27,MATCH($C217,'Materials Master'!$A$2:$A$27,0)),"")</f>
        <v>Paper Cups / Other Coated Paper Containers</v>
      </c>
      <c r="E217" s="0" t="str">
        <f aca="false">IFERROR(INDEX('Materials Master'!$C$2:$C$27,MATCH($C217,'Materials Master'!$A$2:$A$27,0)),"")</f>
        <v>Fibers</v>
      </c>
      <c r="F217" s="0" t="n">
        <f aca="false">IF(SUMIFS(Fact_SortedWeights!$E$2:$E$89,Fact_SortedWeights!$C$2:$C$89,$A217,Fact_SortedWeights!$B$2:$B$89,$B217)=0,0,SUMIFS(Fact_SortedWeights!$E$2:$E$89,Fact_SortedWeights!$C$2:$C$89,$A217,Fact_SortedWeights!$B$2:$B$89,$B217,Fact_SortedWeights!$D$2:$D$89,$C217)/SUMIFS(Fact_SortedWeights!$E$2:$E$89,Fact_SortedWeights!$C$2:$C$89,$A217,Fact_SortedWeights!$B$2:$B$89,$B217)*(IF($B217="Cardboard Recycling",SUMIFS(Fact_SortedWeights!$E$2:$E$89,Fact_SortedWeights!$C$2:$C$89,$A217,Fact_SortedWeights!$B$2:$B$89,$B217),SUMIFS(Fact_PreSortWeights!$E$2:$E$186,Fact_PreSortWeights!$C$2:$C$186,$A217,Fact_PreSortWeights!$B$2:$B$186,$B217))))</f>
        <v>0</v>
      </c>
      <c r="G217" s="0" t="n">
        <f aca="false">IF(AND(IF($B217="Trash",INDEX('Materials Master'!$F$2:$F$27,MATCH($C217,'Materials Master'!$A$2:$A$27,0)),IF($B217="GMPC Recycling",INDEX('Materials Master'!$G$2:$G$27,MATCH($C217,'Materials Master'!$A$2:$A$27,0)),IF($B217="Organics Recycling",INDEX('Materials Master'!$H$2:$H$27,MATCH($C217,'Materials Master'!$A$2:$A$27,0)),IF($B217="Cardboard Recycling",INDEX('Materials Master'!$I$2:$I$27,MATCH($C217,'Materials Master'!$A$2:$A$27,0)),IF($B217="Paper Recycling",INDEX('Materials Master'!$J$2:$J$27,MATCH($C217,'Materials Master'!$A$2:$A$27,0)),IF($B217="Terracycle",INDEX('Materials Master'!$K$2:$K$27,MATCH($C217,'Materials Master'!$A$2:$A$27,0)),"No"))))))="Yes",INDEX('Materials Master'!$E$2:$E$27,MATCH($C217,'Materials Master'!$A$2:$A$27,0))="Yes",$B217&lt;&gt;"Trash"),1,0)</f>
        <v>0</v>
      </c>
      <c r="H217" s="0" t="str">
        <f aca="false">INDEX('Materials Master'!$E$2:$E$27,MATCH($C217,'Materials Master'!$A$2:$A$27,0))</f>
        <v>No</v>
      </c>
      <c r="I217" s="0" t="str">
        <f aca="false">IFERROR(INDEX(Areas!$C$2:$C$6,MATCH($A217,Areas!$B$2:$B$6,0)),"")</f>
        <v>BOH</v>
      </c>
      <c r="J217" s="0" t="n">
        <f aca="false">IF(IF($B217="Trash",INDEX('Materials Master'!$F$2:$F$27,MATCH($C217,'Materials Master'!$A$2:$A$27,0)),IF($B217="GMPC Recycling",INDEX('Materials Master'!$G$2:$G$27,MATCH($C217,'Materials Master'!$A$2:$A$27,0)),IF($B217="Organics Recycling",INDEX('Materials Master'!$H$2:$H$27,MATCH($C217,'Materials Master'!$A$2:$A$27,0)),IF($B217="Cardboard Recycling",INDEX('Materials Master'!$I$2:$I$27,MATCH($C217,'Materials Master'!$A$2:$A$27,0)),IF($B217="Paper Recycling",INDEX('Materials Master'!$J$2:$J$27,MATCH($C217,'Materials Master'!$A$2:$A$27,0)),IF($B217="Terracycle",INDEX('Materials Master'!$K$2:$K$27,MATCH($C217,'Materials Master'!$A$2:$A$27,0)),"No"))))))="Yes",1,0)</f>
        <v>0</v>
      </c>
    </row>
    <row r="218" customFormat="false" ht="15" hidden="false" customHeight="false" outlineLevel="0" collapsed="false">
      <c r="A218" s="0" t="s">
        <v>95</v>
      </c>
      <c r="B218" s="0" t="s">
        <v>105</v>
      </c>
      <c r="C218" s="0" t="s">
        <v>47</v>
      </c>
      <c r="D218" s="0" t="str">
        <f aca="false">IFERROR(INDEX('Materials Master'!$B$2:$B$27,MATCH($C218,'Materials Master'!$A$2:$A$27,0)),"")</f>
        <v>Glass Bottles &amp; Jars</v>
      </c>
      <c r="E218" s="0" t="str">
        <f aca="false">IFERROR(INDEX('Materials Master'!$C$2:$C$27,MATCH($C218,'Materials Master'!$A$2:$A$27,0)),"")</f>
        <v>Glass</v>
      </c>
      <c r="F218" s="0" t="n">
        <f aca="false">IF(SUMIFS(Fact_SortedWeights!$E$2:$E$89,Fact_SortedWeights!$C$2:$C$89,$A218,Fact_SortedWeights!$B$2:$B$89,$B218)=0,0,SUMIFS(Fact_SortedWeights!$E$2:$E$89,Fact_SortedWeights!$C$2:$C$89,$A218,Fact_SortedWeights!$B$2:$B$89,$B218,Fact_SortedWeights!$D$2:$D$89,$C218)/SUMIFS(Fact_SortedWeights!$E$2:$E$89,Fact_SortedWeights!$C$2:$C$89,$A218,Fact_SortedWeights!$B$2:$B$89,$B218)*(IF($B218="Cardboard Recycling",SUMIFS(Fact_SortedWeights!$E$2:$E$89,Fact_SortedWeights!$C$2:$C$89,$A218,Fact_SortedWeights!$B$2:$B$89,$B218),SUMIFS(Fact_PreSortWeights!$E$2:$E$186,Fact_PreSortWeights!$C$2:$C$186,$A218,Fact_PreSortWeights!$B$2:$B$186,$B218))))</f>
        <v>0</v>
      </c>
      <c r="G218" s="0" t="n">
        <f aca="false">IF(AND(IF($B218="Trash",INDEX('Materials Master'!$F$2:$F$27,MATCH($C218,'Materials Master'!$A$2:$A$27,0)),IF($B218="GMPC Recycling",INDEX('Materials Master'!$G$2:$G$27,MATCH($C218,'Materials Master'!$A$2:$A$27,0)),IF($B218="Organics Recycling",INDEX('Materials Master'!$H$2:$H$27,MATCH($C218,'Materials Master'!$A$2:$A$27,0)),IF($B218="Cardboard Recycling",INDEX('Materials Master'!$I$2:$I$27,MATCH($C218,'Materials Master'!$A$2:$A$27,0)),IF($B218="Paper Recycling",INDEX('Materials Master'!$J$2:$J$27,MATCH($C218,'Materials Master'!$A$2:$A$27,0)),IF($B218="Terracycle",INDEX('Materials Master'!$K$2:$K$27,MATCH($C218,'Materials Master'!$A$2:$A$27,0)),"No"))))))="Yes",INDEX('Materials Master'!$E$2:$E$27,MATCH($C218,'Materials Master'!$A$2:$A$27,0))="Yes",$B218&lt;&gt;"Trash"),1,0)</f>
        <v>0</v>
      </c>
      <c r="H218" s="0" t="str">
        <f aca="false">INDEX('Materials Master'!$E$2:$E$27,MATCH($C218,'Materials Master'!$A$2:$A$27,0))</f>
        <v>Yes</v>
      </c>
      <c r="I218" s="0" t="str">
        <f aca="false">IFERROR(INDEX(Areas!$C$2:$C$6,MATCH($A218,Areas!$B$2:$B$6,0)),"")</f>
        <v>BOH</v>
      </c>
      <c r="J218" s="0" t="n">
        <f aca="false">IF(IF($B218="Trash",INDEX('Materials Master'!$F$2:$F$27,MATCH($C218,'Materials Master'!$A$2:$A$27,0)),IF($B218="GMPC Recycling",INDEX('Materials Master'!$G$2:$G$27,MATCH($C218,'Materials Master'!$A$2:$A$27,0)),IF($B218="Organics Recycling",INDEX('Materials Master'!$H$2:$H$27,MATCH($C218,'Materials Master'!$A$2:$A$27,0)),IF($B218="Cardboard Recycling",INDEX('Materials Master'!$I$2:$I$27,MATCH($C218,'Materials Master'!$A$2:$A$27,0)),IF($B218="Paper Recycling",INDEX('Materials Master'!$J$2:$J$27,MATCH($C218,'Materials Master'!$A$2:$A$27,0)),IF($B218="Terracycle",INDEX('Materials Master'!$K$2:$K$27,MATCH($C218,'Materials Master'!$A$2:$A$27,0)),"No"))))))="Yes",1,0)</f>
        <v>0</v>
      </c>
    </row>
    <row r="219" customFormat="false" ht="15" hidden="false" customHeight="false" outlineLevel="0" collapsed="false">
      <c r="A219" s="0" t="s">
        <v>95</v>
      </c>
      <c r="B219" s="0" t="s">
        <v>105</v>
      </c>
      <c r="C219" s="0" t="s">
        <v>50</v>
      </c>
      <c r="D219" s="0" t="str">
        <f aca="false">IFERROR(INDEX('Materials Master'!$B$2:$B$27,MATCH($C219,'Materials Master'!$A$2:$A$27,0)),"")</f>
        <v>Soiled Glass</v>
      </c>
      <c r="E219" s="0" t="str">
        <f aca="false">IFERROR(INDEX('Materials Master'!$C$2:$C$27,MATCH($C219,'Materials Master'!$A$2:$A$27,0)),"")</f>
        <v>Glass</v>
      </c>
      <c r="F219" s="0" t="n">
        <f aca="false">IF(SUMIFS(Fact_SortedWeights!$E$2:$E$89,Fact_SortedWeights!$C$2:$C$89,$A219,Fact_SortedWeights!$B$2:$B$89,$B219)=0,0,SUMIFS(Fact_SortedWeights!$E$2:$E$89,Fact_SortedWeights!$C$2:$C$89,$A219,Fact_SortedWeights!$B$2:$B$89,$B219,Fact_SortedWeights!$D$2:$D$89,$C219)/SUMIFS(Fact_SortedWeights!$E$2:$E$89,Fact_SortedWeights!$C$2:$C$89,$A219,Fact_SortedWeights!$B$2:$B$89,$B219)*(IF($B219="Cardboard Recycling",SUMIFS(Fact_SortedWeights!$E$2:$E$89,Fact_SortedWeights!$C$2:$C$89,$A219,Fact_SortedWeights!$B$2:$B$89,$B219),SUMIFS(Fact_PreSortWeights!$E$2:$E$186,Fact_PreSortWeights!$C$2:$C$186,$A219,Fact_PreSortWeights!$B$2:$B$186,$B219))))</f>
        <v>0</v>
      </c>
      <c r="G219" s="0" t="n">
        <f aca="false">IF(AND(IF($B219="Trash",INDEX('Materials Master'!$F$2:$F$27,MATCH($C219,'Materials Master'!$A$2:$A$27,0)),IF($B219="GMPC Recycling",INDEX('Materials Master'!$G$2:$G$27,MATCH($C219,'Materials Master'!$A$2:$A$27,0)),IF($B219="Organics Recycling",INDEX('Materials Master'!$H$2:$H$27,MATCH($C219,'Materials Master'!$A$2:$A$27,0)),IF($B219="Cardboard Recycling",INDEX('Materials Master'!$I$2:$I$27,MATCH($C219,'Materials Master'!$A$2:$A$27,0)),IF($B219="Paper Recycling",INDEX('Materials Master'!$J$2:$J$27,MATCH($C219,'Materials Master'!$A$2:$A$27,0)),IF($B219="Terracycle",INDEX('Materials Master'!$K$2:$K$27,MATCH($C219,'Materials Master'!$A$2:$A$27,0)),"No"))))))="Yes",INDEX('Materials Master'!$E$2:$E$27,MATCH($C219,'Materials Master'!$A$2:$A$27,0))="Yes",$B219&lt;&gt;"Trash"),1,0)</f>
        <v>0</v>
      </c>
      <c r="H219" s="0" t="str">
        <f aca="false">INDEX('Materials Master'!$E$2:$E$27,MATCH($C219,'Materials Master'!$A$2:$A$27,0))</f>
        <v>No</v>
      </c>
      <c r="I219" s="0" t="str">
        <f aca="false">IFERROR(INDEX(Areas!$C$2:$C$6,MATCH($A219,Areas!$B$2:$B$6,0)),"")</f>
        <v>BOH</v>
      </c>
      <c r="J219" s="0" t="n">
        <f aca="false">IF(IF($B219="Trash",INDEX('Materials Master'!$F$2:$F$27,MATCH($C219,'Materials Master'!$A$2:$A$27,0)),IF($B219="GMPC Recycling",INDEX('Materials Master'!$G$2:$G$27,MATCH($C219,'Materials Master'!$A$2:$A$27,0)),IF($B219="Organics Recycling",INDEX('Materials Master'!$H$2:$H$27,MATCH($C219,'Materials Master'!$A$2:$A$27,0)),IF($B219="Cardboard Recycling",INDEX('Materials Master'!$I$2:$I$27,MATCH($C219,'Materials Master'!$A$2:$A$27,0)),IF($B219="Paper Recycling",INDEX('Materials Master'!$J$2:$J$27,MATCH($C219,'Materials Master'!$A$2:$A$27,0)),IF($B219="Terracycle",INDEX('Materials Master'!$K$2:$K$27,MATCH($C219,'Materials Master'!$A$2:$A$27,0)),"No"))))))="Yes",1,0)</f>
        <v>0</v>
      </c>
    </row>
    <row r="220" customFormat="false" ht="15" hidden="false" customHeight="false" outlineLevel="0" collapsed="false">
      <c r="A220" s="0" t="s">
        <v>95</v>
      </c>
      <c r="B220" s="0" t="s">
        <v>105</v>
      </c>
      <c r="C220" s="0" t="s">
        <v>52</v>
      </c>
      <c r="D220" s="0" t="str">
        <f aca="false">IFERROR(INDEX('Materials Master'!$B$2:$B$27,MATCH($C220,'Materials Master'!$A$2:$A$27,0)),"")</f>
        <v>Aluminum &amp; Bi-Metal Containers</v>
      </c>
      <c r="E220" s="0" t="str">
        <f aca="false">IFERROR(INDEX('Materials Master'!$C$2:$C$27,MATCH($C220,'Materials Master'!$A$2:$A$27,0)),"")</f>
        <v>Metals</v>
      </c>
      <c r="F220" s="0" t="n">
        <f aca="false">IF(SUMIFS(Fact_SortedWeights!$E$2:$E$89,Fact_SortedWeights!$C$2:$C$89,$A220,Fact_SortedWeights!$B$2:$B$89,$B220)=0,0,SUMIFS(Fact_SortedWeights!$E$2:$E$89,Fact_SortedWeights!$C$2:$C$89,$A220,Fact_SortedWeights!$B$2:$B$89,$B220,Fact_SortedWeights!$D$2:$D$89,$C220)/SUMIFS(Fact_SortedWeights!$E$2:$E$89,Fact_SortedWeights!$C$2:$C$89,$A220,Fact_SortedWeights!$B$2:$B$89,$B220)*(IF($B220="Cardboard Recycling",SUMIFS(Fact_SortedWeights!$E$2:$E$89,Fact_SortedWeights!$C$2:$C$89,$A220,Fact_SortedWeights!$B$2:$B$89,$B220),SUMIFS(Fact_PreSortWeights!$E$2:$E$186,Fact_PreSortWeights!$C$2:$C$186,$A220,Fact_PreSortWeights!$B$2:$B$186,$B220))))</f>
        <v>0</v>
      </c>
      <c r="G220" s="0" t="n">
        <f aca="false">IF(AND(IF($B220="Trash",INDEX('Materials Master'!$F$2:$F$27,MATCH($C220,'Materials Master'!$A$2:$A$27,0)),IF($B220="GMPC Recycling",INDEX('Materials Master'!$G$2:$G$27,MATCH($C220,'Materials Master'!$A$2:$A$27,0)),IF($B220="Organics Recycling",INDEX('Materials Master'!$H$2:$H$27,MATCH($C220,'Materials Master'!$A$2:$A$27,0)),IF($B220="Cardboard Recycling",INDEX('Materials Master'!$I$2:$I$27,MATCH($C220,'Materials Master'!$A$2:$A$27,0)),IF($B220="Paper Recycling",INDEX('Materials Master'!$J$2:$J$27,MATCH($C220,'Materials Master'!$A$2:$A$27,0)),IF($B220="Terracycle",INDEX('Materials Master'!$K$2:$K$27,MATCH($C220,'Materials Master'!$A$2:$A$27,0)),"No"))))))="Yes",INDEX('Materials Master'!$E$2:$E$27,MATCH($C220,'Materials Master'!$A$2:$A$27,0))="Yes",$B220&lt;&gt;"Trash"),1,0)</f>
        <v>0</v>
      </c>
      <c r="H220" s="0" t="str">
        <f aca="false">INDEX('Materials Master'!$E$2:$E$27,MATCH($C220,'Materials Master'!$A$2:$A$27,0))</f>
        <v>Yes</v>
      </c>
      <c r="I220" s="0" t="str">
        <f aca="false">IFERROR(INDEX(Areas!$C$2:$C$6,MATCH($A220,Areas!$B$2:$B$6,0)),"")</f>
        <v>BOH</v>
      </c>
      <c r="J220" s="0" t="n">
        <f aca="false">IF(IF($B220="Trash",INDEX('Materials Master'!$F$2:$F$27,MATCH($C220,'Materials Master'!$A$2:$A$27,0)),IF($B220="GMPC Recycling",INDEX('Materials Master'!$G$2:$G$27,MATCH($C220,'Materials Master'!$A$2:$A$27,0)),IF($B220="Organics Recycling",INDEX('Materials Master'!$H$2:$H$27,MATCH($C220,'Materials Master'!$A$2:$A$27,0)),IF($B220="Cardboard Recycling",INDEX('Materials Master'!$I$2:$I$27,MATCH($C220,'Materials Master'!$A$2:$A$27,0)),IF($B220="Paper Recycling",INDEX('Materials Master'!$J$2:$J$27,MATCH($C220,'Materials Master'!$A$2:$A$27,0)),IF($B220="Terracycle",INDEX('Materials Master'!$K$2:$K$27,MATCH($C220,'Materials Master'!$A$2:$A$27,0)),"No"))))))="Yes",1,0)</f>
        <v>0</v>
      </c>
    </row>
    <row r="221" customFormat="false" ht="15" hidden="false" customHeight="false" outlineLevel="0" collapsed="false">
      <c r="A221" s="0" t="s">
        <v>95</v>
      </c>
      <c r="B221" s="0" t="s">
        <v>105</v>
      </c>
      <c r="C221" s="0" t="s">
        <v>55</v>
      </c>
      <c r="D221" s="0" t="str">
        <f aca="false">IFERROR(INDEX('Materials Master'!$B$2:$B$27,MATCH($C221,'Materials Master'!$A$2:$A$27,0)),"")</f>
        <v>Soiled Metals</v>
      </c>
      <c r="E221" s="0" t="str">
        <f aca="false">IFERROR(INDEX('Materials Master'!$C$2:$C$27,MATCH($C221,'Materials Master'!$A$2:$A$27,0)),"")</f>
        <v>Metals</v>
      </c>
      <c r="F221" s="0" t="n">
        <f aca="false">IF(SUMIFS(Fact_SortedWeights!$E$2:$E$89,Fact_SortedWeights!$C$2:$C$89,$A221,Fact_SortedWeights!$B$2:$B$89,$B221)=0,0,SUMIFS(Fact_SortedWeights!$E$2:$E$89,Fact_SortedWeights!$C$2:$C$89,$A221,Fact_SortedWeights!$B$2:$B$89,$B221,Fact_SortedWeights!$D$2:$D$89,$C221)/SUMIFS(Fact_SortedWeights!$E$2:$E$89,Fact_SortedWeights!$C$2:$C$89,$A221,Fact_SortedWeights!$B$2:$B$89,$B221)*(IF($B221="Cardboard Recycling",SUMIFS(Fact_SortedWeights!$E$2:$E$89,Fact_SortedWeights!$C$2:$C$89,$A221,Fact_SortedWeights!$B$2:$B$89,$B221),SUMIFS(Fact_PreSortWeights!$E$2:$E$186,Fact_PreSortWeights!$C$2:$C$186,$A221,Fact_PreSortWeights!$B$2:$B$186,$B221))))</f>
        <v>0</v>
      </c>
      <c r="G221" s="0" t="n">
        <f aca="false">IF(AND(IF($B221="Trash",INDEX('Materials Master'!$F$2:$F$27,MATCH($C221,'Materials Master'!$A$2:$A$27,0)),IF($B221="GMPC Recycling",INDEX('Materials Master'!$G$2:$G$27,MATCH($C221,'Materials Master'!$A$2:$A$27,0)),IF($B221="Organics Recycling",INDEX('Materials Master'!$H$2:$H$27,MATCH($C221,'Materials Master'!$A$2:$A$27,0)),IF($B221="Cardboard Recycling",INDEX('Materials Master'!$I$2:$I$27,MATCH($C221,'Materials Master'!$A$2:$A$27,0)),IF($B221="Paper Recycling",INDEX('Materials Master'!$J$2:$J$27,MATCH($C221,'Materials Master'!$A$2:$A$27,0)),IF($B221="Terracycle",INDEX('Materials Master'!$K$2:$K$27,MATCH($C221,'Materials Master'!$A$2:$A$27,0)),"No"))))))="Yes",INDEX('Materials Master'!$E$2:$E$27,MATCH($C221,'Materials Master'!$A$2:$A$27,0))="Yes",$B221&lt;&gt;"Trash"),1,0)</f>
        <v>0</v>
      </c>
      <c r="H221" s="0" t="str">
        <f aca="false">INDEX('Materials Master'!$E$2:$E$27,MATCH($C221,'Materials Master'!$A$2:$A$27,0))</f>
        <v>No</v>
      </c>
      <c r="I221" s="0" t="str">
        <f aca="false">IFERROR(INDEX(Areas!$C$2:$C$6,MATCH($A221,Areas!$B$2:$B$6,0)),"")</f>
        <v>BOH</v>
      </c>
      <c r="J221" s="0" t="n">
        <f aca="false">IF(IF($B221="Trash",INDEX('Materials Master'!$F$2:$F$27,MATCH($C221,'Materials Master'!$A$2:$A$27,0)),IF($B221="GMPC Recycling",INDEX('Materials Master'!$G$2:$G$27,MATCH($C221,'Materials Master'!$A$2:$A$27,0)),IF($B221="Organics Recycling",INDEX('Materials Master'!$H$2:$H$27,MATCH($C221,'Materials Master'!$A$2:$A$27,0)),IF($B221="Cardboard Recycling",INDEX('Materials Master'!$I$2:$I$27,MATCH($C221,'Materials Master'!$A$2:$A$27,0)),IF($B221="Paper Recycling",INDEX('Materials Master'!$J$2:$J$27,MATCH($C221,'Materials Master'!$A$2:$A$27,0)),IF($B221="Terracycle",INDEX('Materials Master'!$K$2:$K$27,MATCH($C221,'Materials Master'!$A$2:$A$27,0)),"No"))))))="Yes",1,0)</f>
        <v>0</v>
      </c>
    </row>
    <row r="222" customFormat="false" ht="15" hidden="false" customHeight="false" outlineLevel="0" collapsed="false">
      <c r="A222" s="0" t="s">
        <v>95</v>
      </c>
      <c r="B222" s="0" t="s">
        <v>105</v>
      </c>
      <c r="C222" s="0" t="s">
        <v>57</v>
      </c>
      <c r="D222" s="0" t="str">
        <f aca="false">IFERROR(INDEX('Materials Master'!$B$2:$B$27,MATCH($C222,'Materials Master'!$A$2:$A$27,0)),"")</f>
        <v>Rigid Plastics (1-6)</v>
      </c>
      <c r="E222" s="0" t="str">
        <f aca="false">IFERROR(INDEX('Materials Master'!$C$2:$C$27,MATCH($C222,'Materials Master'!$A$2:$A$27,0)),"")</f>
        <v>Plastics</v>
      </c>
      <c r="F222" s="0" t="n">
        <f aca="false">IF(SUMIFS(Fact_SortedWeights!$E$2:$E$89,Fact_SortedWeights!$C$2:$C$89,$A222,Fact_SortedWeights!$B$2:$B$89,$B222)=0,0,SUMIFS(Fact_SortedWeights!$E$2:$E$89,Fact_SortedWeights!$C$2:$C$89,$A222,Fact_SortedWeights!$B$2:$B$89,$B222,Fact_SortedWeights!$D$2:$D$89,$C222)/SUMIFS(Fact_SortedWeights!$E$2:$E$89,Fact_SortedWeights!$C$2:$C$89,$A222,Fact_SortedWeights!$B$2:$B$89,$B222)*(IF($B222="Cardboard Recycling",SUMIFS(Fact_SortedWeights!$E$2:$E$89,Fact_SortedWeights!$C$2:$C$89,$A222,Fact_SortedWeights!$B$2:$B$89,$B222),SUMIFS(Fact_PreSortWeights!$E$2:$E$186,Fact_PreSortWeights!$C$2:$C$186,$A222,Fact_PreSortWeights!$B$2:$B$186,$B222))))</f>
        <v>2.32676567229216</v>
      </c>
      <c r="G222" s="0" t="n">
        <f aca="false">IF(AND(IF($B222="Trash",INDEX('Materials Master'!$F$2:$F$27,MATCH($C222,'Materials Master'!$A$2:$A$27,0)),IF($B222="GMPC Recycling",INDEX('Materials Master'!$G$2:$G$27,MATCH($C222,'Materials Master'!$A$2:$A$27,0)),IF($B222="Organics Recycling",INDEX('Materials Master'!$H$2:$H$27,MATCH($C222,'Materials Master'!$A$2:$A$27,0)),IF($B222="Cardboard Recycling",INDEX('Materials Master'!$I$2:$I$27,MATCH($C222,'Materials Master'!$A$2:$A$27,0)),IF($B222="Paper Recycling",INDEX('Materials Master'!$J$2:$J$27,MATCH($C222,'Materials Master'!$A$2:$A$27,0)),IF($B222="Terracycle",INDEX('Materials Master'!$K$2:$K$27,MATCH($C222,'Materials Master'!$A$2:$A$27,0)),"No"))))))="Yes",INDEX('Materials Master'!$E$2:$E$27,MATCH($C222,'Materials Master'!$A$2:$A$27,0))="Yes",$B222&lt;&gt;"Trash"),1,0)</f>
        <v>0</v>
      </c>
      <c r="H222" s="0" t="str">
        <f aca="false">INDEX('Materials Master'!$E$2:$E$27,MATCH($C222,'Materials Master'!$A$2:$A$27,0))</f>
        <v>Yes</v>
      </c>
      <c r="I222" s="0" t="str">
        <f aca="false">IFERROR(INDEX(Areas!$C$2:$C$6,MATCH($A222,Areas!$B$2:$B$6,0)),"")</f>
        <v>BOH</v>
      </c>
      <c r="J222" s="0" t="n">
        <f aca="false">IF(IF($B222="Trash",INDEX('Materials Master'!$F$2:$F$27,MATCH($C222,'Materials Master'!$A$2:$A$27,0)),IF($B222="GMPC Recycling",INDEX('Materials Master'!$G$2:$G$27,MATCH($C222,'Materials Master'!$A$2:$A$27,0)),IF($B222="Organics Recycling",INDEX('Materials Master'!$H$2:$H$27,MATCH($C222,'Materials Master'!$A$2:$A$27,0)),IF($B222="Cardboard Recycling",INDEX('Materials Master'!$I$2:$I$27,MATCH($C222,'Materials Master'!$A$2:$A$27,0)),IF($B222="Paper Recycling",INDEX('Materials Master'!$J$2:$J$27,MATCH($C222,'Materials Master'!$A$2:$A$27,0)),IF($B222="Terracycle",INDEX('Materials Master'!$K$2:$K$27,MATCH($C222,'Materials Master'!$A$2:$A$27,0)),"No"))))))="Yes",1,0)</f>
        <v>0</v>
      </c>
    </row>
    <row r="223" customFormat="false" ht="15" hidden="false" customHeight="false" outlineLevel="0" collapsed="false">
      <c r="A223" s="0" t="s">
        <v>95</v>
      </c>
      <c r="B223" s="0" t="s">
        <v>105</v>
      </c>
      <c r="C223" s="0" t="s">
        <v>60</v>
      </c>
      <c r="D223" s="0" t="str">
        <f aca="false">IFERROR(INDEX('Materials Master'!$B$2:$B$27,MATCH($C223,'Materials Master'!$A$2:$A$27,0)),"")</f>
        <v>Soiled Rigid Plastics</v>
      </c>
      <c r="E223" s="0" t="str">
        <f aca="false">IFERROR(INDEX('Materials Master'!$C$2:$C$27,MATCH($C223,'Materials Master'!$A$2:$A$27,0)),"")</f>
        <v>Plastics</v>
      </c>
      <c r="F223" s="0" t="n">
        <f aca="false">IF(SUMIFS(Fact_SortedWeights!$E$2:$E$89,Fact_SortedWeights!$C$2:$C$89,$A223,Fact_SortedWeights!$B$2:$B$89,$B223)=0,0,SUMIFS(Fact_SortedWeights!$E$2:$E$89,Fact_SortedWeights!$C$2:$C$89,$A223,Fact_SortedWeights!$B$2:$B$89,$B223,Fact_SortedWeights!$D$2:$D$89,$C223)/SUMIFS(Fact_SortedWeights!$E$2:$E$89,Fact_SortedWeights!$C$2:$C$89,$A223,Fact_SortedWeights!$B$2:$B$89,$B223)*(IF($B223="Cardboard Recycling",SUMIFS(Fact_SortedWeights!$E$2:$E$89,Fact_SortedWeights!$C$2:$C$89,$A223,Fact_SortedWeights!$B$2:$B$89,$B223),SUMIFS(Fact_PreSortWeights!$E$2:$E$186,Fact_PreSortWeights!$C$2:$C$186,$A223,Fact_PreSortWeights!$B$2:$B$186,$B223))))</f>
        <v>0</v>
      </c>
      <c r="G223" s="0" t="n">
        <f aca="false">IF(AND(IF($B223="Trash",INDEX('Materials Master'!$F$2:$F$27,MATCH($C223,'Materials Master'!$A$2:$A$27,0)),IF($B223="GMPC Recycling",INDEX('Materials Master'!$G$2:$G$27,MATCH($C223,'Materials Master'!$A$2:$A$27,0)),IF($B223="Organics Recycling",INDEX('Materials Master'!$H$2:$H$27,MATCH($C223,'Materials Master'!$A$2:$A$27,0)),IF($B223="Cardboard Recycling",INDEX('Materials Master'!$I$2:$I$27,MATCH($C223,'Materials Master'!$A$2:$A$27,0)),IF($B223="Paper Recycling",INDEX('Materials Master'!$J$2:$J$27,MATCH($C223,'Materials Master'!$A$2:$A$27,0)),IF($B223="Terracycle",INDEX('Materials Master'!$K$2:$K$27,MATCH($C223,'Materials Master'!$A$2:$A$27,0)),"No"))))))="Yes",INDEX('Materials Master'!$E$2:$E$27,MATCH($C223,'Materials Master'!$A$2:$A$27,0))="Yes",$B223&lt;&gt;"Trash"),1,0)</f>
        <v>0</v>
      </c>
      <c r="H223" s="0" t="str">
        <f aca="false">INDEX('Materials Master'!$E$2:$E$27,MATCH($C223,'Materials Master'!$A$2:$A$27,0))</f>
        <v>No</v>
      </c>
      <c r="I223" s="0" t="str">
        <f aca="false">IFERROR(INDEX(Areas!$C$2:$C$6,MATCH($A223,Areas!$B$2:$B$6,0)),"")</f>
        <v>BOH</v>
      </c>
      <c r="J223" s="0" t="n">
        <f aca="false">IF(IF($B223="Trash",INDEX('Materials Master'!$F$2:$F$27,MATCH($C223,'Materials Master'!$A$2:$A$27,0)),IF($B223="GMPC Recycling",INDEX('Materials Master'!$G$2:$G$27,MATCH($C223,'Materials Master'!$A$2:$A$27,0)),IF($B223="Organics Recycling",INDEX('Materials Master'!$H$2:$H$27,MATCH($C223,'Materials Master'!$A$2:$A$27,0)),IF($B223="Cardboard Recycling",INDEX('Materials Master'!$I$2:$I$27,MATCH($C223,'Materials Master'!$A$2:$A$27,0)),IF($B223="Paper Recycling",INDEX('Materials Master'!$J$2:$J$27,MATCH($C223,'Materials Master'!$A$2:$A$27,0)),IF($B223="Terracycle",INDEX('Materials Master'!$K$2:$K$27,MATCH($C223,'Materials Master'!$A$2:$A$27,0)),"No"))))))="Yes",1,0)</f>
        <v>0</v>
      </c>
    </row>
    <row r="224" customFormat="false" ht="15" hidden="false" customHeight="false" outlineLevel="0" collapsed="false">
      <c r="A224" s="0" t="s">
        <v>95</v>
      </c>
      <c r="B224" s="0" t="s">
        <v>105</v>
      </c>
      <c r="C224" s="0" t="s">
        <v>62</v>
      </c>
      <c r="D224" s="0" t="str">
        <f aca="false">IFERROR(INDEX('Materials Master'!$B$2:$B$27,MATCH($C224,'Materials Master'!$A$2:$A$27,0)),"")</f>
        <v>Film Plastics</v>
      </c>
      <c r="E224" s="0" t="str">
        <f aca="false">IFERROR(INDEX('Materials Master'!$C$2:$C$27,MATCH($C224,'Materials Master'!$A$2:$A$27,0)),"")</f>
        <v>Plastics</v>
      </c>
      <c r="F224" s="0" t="n">
        <f aca="false">IF(SUMIFS(Fact_SortedWeights!$E$2:$E$89,Fact_SortedWeights!$C$2:$C$89,$A224,Fact_SortedWeights!$B$2:$B$89,$B224)=0,0,SUMIFS(Fact_SortedWeights!$E$2:$E$89,Fact_SortedWeights!$C$2:$C$89,$A224,Fact_SortedWeights!$B$2:$B$89,$B224,Fact_SortedWeights!$D$2:$D$89,$C224)/SUMIFS(Fact_SortedWeights!$E$2:$E$89,Fact_SortedWeights!$C$2:$C$89,$A224,Fact_SortedWeights!$B$2:$B$89,$B224)*(IF($B224="Cardboard Recycling",SUMIFS(Fact_SortedWeights!$E$2:$E$89,Fact_SortedWeights!$C$2:$C$89,$A224,Fact_SortedWeights!$B$2:$B$89,$B224),SUMIFS(Fact_PreSortWeights!$E$2:$E$186,Fact_PreSortWeights!$C$2:$C$186,$A224,Fact_PreSortWeights!$B$2:$B$186,$B224))))</f>
        <v>1.82817302822956</v>
      </c>
      <c r="G224" s="0" t="n">
        <f aca="false">IF(AND(IF($B224="Trash",INDEX('Materials Master'!$F$2:$F$27,MATCH($C224,'Materials Master'!$A$2:$A$27,0)),IF($B224="GMPC Recycling",INDEX('Materials Master'!$G$2:$G$27,MATCH($C224,'Materials Master'!$A$2:$A$27,0)),IF($B224="Organics Recycling",INDEX('Materials Master'!$H$2:$H$27,MATCH($C224,'Materials Master'!$A$2:$A$27,0)),IF($B224="Cardboard Recycling",INDEX('Materials Master'!$I$2:$I$27,MATCH($C224,'Materials Master'!$A$2:$A$27,0)),IF($B224="Paper Recycling",INDEX('Materials Master'!$J$2:$J$27,MATCH($C224,'Materials Master'!$A$2:$A$27,0)),IF($B224="Terracycle",INDEX('Materials Master'!$K$2:$K$27,MATCH($C224,'Materials Master'!$A$2:$A$27,0)),"No"))))))="Yes",INDEX('Materials Master'!$E$2:$E$27,MATCH($C224,'Materials Master'!$A$2:$A$27,0))="Yes",$B224&lt;&gt;"Trash"),1,0)</f>
        <v>0</v>
      </c>
      <c r="H224" s="0" t="str">
        <f aca="false">INDEX('Materials Master'!$E$2:$E$27,MATCH($C224,'Materials Master'!$A$2:$A$27,0))</f>
        <v>No</v>
      </c>
      <c r="I224" s="0" t="str">
        <f aca="false">IFERROR(INDEX(Areas!$C$2:$C$6,MATCH($A224,Areas!$B$2:$B$6,0)),"")</f>
        <v>BOH</v>
      </c>
      <c r="J224" s="0" t="n">
        <f aca="false">IF(IF($B224="Trash",INDEX('Materials Master'!$F$2:$F$27,MATCH($C224,'Materials Master'!$A$2:$A$27,0)),IF($B224="GMPC Recycling",INDEX('Materials Master'!$G$2:$G$27,MATCH($C224,'Materials Master'!$A$2:$A$27,0)),IF($B224="Organics Recycling",INDEX('Materials Master'!$H$2:$H$27,MATCH($C224,'Materials Master'!$A$2:$A$27,0)),IF($B224="Cardboard Recycling",INDEX('Materials Master'!$I$2:$I$27,MATCH($C224,'Materials Master'!$A$2:$A$27,0)),IF($B224="Paper Recycling",INDEX('Materials Master'!$J$2:$J$27,MATCH($C224,'Materials Master'!$A$2:$A$27,0)),IF($B224="Terracycle",INDEX('Materials Master'!$K$2:$K$27,MATCH($C224,'Materials Master'!$A$2:$A$27,0)),"No"))))))="Yes",1,0)</f>
        <v>0</v>
      </c>
    </row>
    <row r="225" customFormat="false" ht="15" hidden="false" customHeight="false" outlineLevel="0" collapsed="false">
      <c r="A225" s="0" t="s">
        <v>95</v>
      </c>
      <c r="B225" s="0" t="s">
        <v>105</v>
      </c>
      <c r="C225" s="0" t="s">
        <v>64</v>
      </c>
      <c r="D225" s="0" t="str">
        <f aca="false">IFERROR(INDEX('Materials Master'!$B$2:$B$27,MATCH($C225,'Materials Master'!$A$2:$A$27,0)),"")</f>
        <v>Foams</v>
      </c>
      <c r="E225" s="0" t="str">
        <f aca="false">IFERROR(INDEX('Materials Master'!$C$2:$C$27,MATCH($C225,'Materials Master'!$A$2:$A$27,0)),"")</f>
        <v>Plastics</v>
      </c>
      <c r="F225" s="0" t="n">
        <f aca="false">IF(SUMIFS(Fact_SortedWeights!$E$2:$E$89,Fact_SortedWeights!$C$2:$C$89,$A225,Fact_SortedWeights!$B$2:$B$89,$B225)=0,0,SUMIFS(Fact_SortedWeights!$E$2:$E$89,Fact_SortedWeights!$C$2:$C$89,$A225,Fact_SortedWeights!$B$2:$B$89,$B225,Fact_SortedWeights!$D$2:$D$89,$C225)/SUMIFS(Fact_SortedWeights!$E$2:$E$89,Fact_SortedWeights!$C$2:$C$89,$A225,Fact_SortedWeights!$B$2:$B$89,$B225)*(IF($B225="Cardboard Recycling",SUMIFS(Fact_SortedWeights!$E$2:$E$89,Fact_SortedWeights!$C$2:$C$89,$A225,Fact_SortedWeights!$B$2:$B$89,$B225),SUMIFS(Fact_PreSortWeights!$E$2:$E$186,Fact_PreSortWeights!$C$2:$C$186,$A225,Fact_PreSortWeights!$B$2:$B$186,$B225))))</f>
        <v>0.166197548020869</v>
      </c>
      <c r="G225" s="0" t="n">
        <f aca="false">IF(AND(IF($B225="Trash",INDEX('Materials Master'!$F$2:$F$27,MATCH($C225,'Materials Master'!$A$2:$A$27,0)),IF($B225="GMPC Recycling",INDEX('Materials Master'!$G$2:$G$27,MATCH($C225,'Materials Master'!$A$2:$A$27,0)),IF($B225="Organics Recycling",INDEX('Materials Master'!$H$2:$H$27,MATCH($C225,'Materials Master'!$A$2:$A$27,0)),IF($B225="Cardboard Recycling",INDEX('Materials Master'!$I$2:$I$27,MATCH($C225,'Materials Master'!$A$2:$A$27,0)),IF($B225="Paper Recycling",INDEX('Materials Master'!$J$2:$J$27,MATCH($C225,'Materials Master'!$A$2:$A$27,0)),IF($B225="Terracycle",INDEX('Materials Master'!$K$2:$K$27,MATCH($C225,'Materials Master'!$A$2:$A$27,0)),"No"))))))="Yes",INDEX('Materials Master'!$E$2:$E$27,MATCH($C225,'Materials Master'!$A$2:$A$27,0))="Yes",$B225&lt;&gt;"Trash"),1,0)</f>
        <v>0</v>
      </c>
      <c r="H225" s="0" t="str">
        <f aca="false">INDEX('Materials Master'!$E$2:$E$27,MATCH($C225,'Materials Master'!$A$2:$A$27,0))</f>
        <v>No</v>
      </c>
      <c r="I225" s="0" t="str">
        <f aca="false">IFERROR(INDEX(Areas!$C$2:$C$6,MATCH($A225,Areas!$B$2:$B$6,0)),"")</f>
        <v>BOH</v>
      </c>
      <c r="J225" s="0" t="n">
        <f aca="false">IF(IF($B225="Trash",INDEX('Materials Master'!$F$2:$F$27,MATCH($C225,'Materials Master'!$A$2:$A$27,0)),IF($B225="GMPC Recycling",INDEX('Materials Master'!$G$2:$G$27,MATCH($C225,'Materials Master'!$A$2:$A$27,0)),IF($B225="Organics Recycling",INDEX('Materials Master'!$H$2:$H$27,MATCH($C225,'Materials Master'!$A$2:$A$27,0)),IF($B225="Cardboard Recycling",INDEX('Materials Master'!$I$2:$I$27,MATCH($C225,'Materials Master'!$A$2:$A$27,0)),IF($B225="Paper Recycling",INDEX('Materials Master'!$J$2:$J$27,MATCH($C225,'Materials Master'!$A$2:$A$27,0)),IF($B225="Terracycle",INDEX('Materials Master'!$K$2:$K$27,MATCH($C225,'Materials Master'!$A$2:$A$27,0)),"No"))))))="Yes",1,0)</f>
        <v>0</v>
      </c>
    </row>
    <row r="226" customFormat="false" ht="15" hidden="false" customHeight="false" outlineLevel="0" collapsed="false">
      <c r="A226" s="0" t="s">
        <v>95</v>
      </c>
      <c r="B226" s="0" t="s">
        <v>105</v>
      </c>
      <c r="C226" s="0" t="s">
        <v>66</v>
      </c>
      <c r="D226" s="0" t="str">
        <f aca="false">IFERROR(INDEX('Materials Master'!$B$2:$B$27,MATCH($C226,'Materials Master'!$A$2:$A$27,0)),"")</f>
        <v>Food Waste</v>
      </c>
      <c r="E226" s="0" t="str">
        <f aca="false">IFERROR(INDEX('Materials Master'!$C$2:$C$27,MATCH($C226,'Materials Master'!$A$2:$A$27,0)),"")</f>
        <v>Organics</v>
      </c>
      <c r="F226" s="0" t="n">
        <f aca="false">IF(SUMIFS(Fact_SortedWeights!$E$2:$E$89,Fact_SortedWeights!$C$2:$C$89,$A226,Fact_SortedWeights!$B$2:$B$89,$B226)=0,0,SUMIFS(Fact_SortedWeights!$E$2:$E$89,Fact_SortedWeights!$C$2:$C$89,$A226,Fact_SortedWeights!$B$2:$B$89,$B226,Fact_SortedWeights!$D$2:$D$89,$C226)/SUMIFS(Fact_SortedWeights!$E$2:$E$89,Fact_SortedWeights!$C$2:$C$89,$A226,Fact_SortedWeights!$B$2:$B$89,$B226)*(IF($B226="Cardboard Recycling",SUMIFS(Fact_SortedWeights!$E$2:$E$89,Fact_SortedWeights!$C$2:$C$89,$A226,Fact_SortedWeights!$B$2:$B$89,$B226),SUMIFS(Fact_PreSortWeights!$E$2:$E$186,Fact_PreSortWeights!$C$2:$C$186,$A226,Fact_PreSortWeights!$B$2:$B$186,$B226))))</f>
        <v>67.3100069484519</v>
      </c>
      <c r="G226" s="0" t="n">
        <f aca="false">IF(AND(IF($B226="Trash",INDEX('Materials Master'!$F$2:$F$27,MATCH($C226,'Materials Master'!$A$2:$A$27,0)),IF($B226="GMPC Recycling",INDEX('Materials Master'!$G$2:$G$27,MATCH($C226,'Materials Master'!$A$2:$A$27,0)),IF($B226="Organics Recycling",INDEX('Materials Master'!$H$2:$H$27,MATCH($C226,'Materials Master'!$A$2:$A$27,0)),IF($B226="Cardboard Recycling",INDEX('Materials Master'!$I$2:$I$27,MATCH($C226,'Materials Master'!$A$2:$A$27,0)),IF($B226="Paper Recycling",INDEX('Materials Master'!$J$2:$J$27,MATCH($C226,'Materials Master'!$A$2:$A$27,0)),IF($B226="Terracycle",INDEX('Materials Master'!$K$2:$K$27,MATCH($C226,'Materials Master'!$A$2:$A$27,0)),"No"))))))="Yes",INDEX('Materials Master'!$E$2:$E$27,MATCH($C226,'Materials Master'!$A$2:$A$27,0))="Yes",$B226&lt;&gt;"Trash"),1,0)</f>
        <v>1</v>
      </c>
      <c r="H226" s="0" t="str">
        <f aca="false">INDEX('Materials Master'!$E$2:$E$27,MATCH($C226,'Materials Master'!$A$2:$A$27,0))</f>
        <v>Yes</v>
      </c>
      <c r="I226" s="0" t="str">
        <f aca="false">IFERROR(INDEX(Areas!$C$2:$C$6,MATCH($A226,Areas!$B$2:$B$6,0)),"")</f>
        <v>BOH</v>
      </c>
      <c r="J226" s="0" t="n">
        <f aca="false">IF(IF($B226="Trash",INDEX('Materials Master'!$F$2:$F$27,MATCH($C226,'Materials Master'!$A$2:$A$27,0)),IF($B226="GMPC Recycling",INDEX('Materials Master'!$G$2:$G$27,MATCH($C226,'Materials Master'!$A$2:$A$27,0)),IF($B226="Organics Recycling",INDEX('Materials Master'!$H$2:$H$27,MATCH($C226,'Materials Master'!$A$2:$A$27,0)),IF($B226="Cardboard Recycling",INDEX('Materials Master'!$I$2:$I$27,MATCH($C226,'Materials Master'!$A$2:$A$27,0)),IF($B226="Paper Recycling",INDEX('Materials Master'!$J$2:$J$27,MATCH($C226,'Materials Master'!$A$2:$A$27,0)),IF($B226="Terracycle",INDEX('Materials Master'!$K$2:$K$27,MATCH($C226,'Materials Master'!$A$2:$A$27,0)),"No"))))))="Yes",1,0)</f>
        <v>1</v>
      </c>
    </row>
    <row r="227" customFormat="false" ht="15" hidden="false" customHeight="false" outlineLevel="0" collapsed="false">
      <c r="A227" s="0" t="s">
        <v>95</v>
      </c>
      <c r="B227" s="0" t="s">
        <v>105</v>
      </c>
      <c r="C227" s="0" t="s">
        <v>69</v>
      </c>
      <c r="D227" s="0" t="str">
        <f aca="false">IFERROR(INDEX('Materials Master'!$B$2:$B$27,MATCH($C227,'Materials Master'!$A$2:$A$27,0)),"")</f>
        <v>Paper Fibers and Food-Soiled Paper (FSP)</v>
      </c>
      <c r="E227" s="0" t="str">
        <f aca="false">IFERROR(INDEX('Materials Master'!$C$2:$C$27,MATCH($C227,'Materials Master'!$A$2:$A$27,0)),"")</f>
        <v>Organics</v>
      </c>
      <c r="F227" s="0" t="n">
        <f aca="false">IF(SUMIFS(Fact_SortedWeights!$E$2:$E$89,Fact_SortedWeights!$C$2:$C$89,$A227,Fact_SortedWeights!$B$2:$B$89,$B227)=0,0,SUMIFS(Fact_SortedWeights!$E$2:$E$89,Fact_SortedWeights!$C$2:$C$89,$A227,Fact_SortedWeights!$B$2:$B$89,$B227,Fact_SortedWeights!$D$2:$D$89,$C227)/SUMIFS(Fact_SortedWeights!$E$2:$E$89,Fact_SortedWeights!$C$2:$C$89,$A227,Fact_SortedWeights!$B$2:$B$89,$B227)*(IF($B227="Cardboard Recycling",SUMIFS(Fact_SortedWeights!$E$2:$E$89,Fact_SortedWeights!$C$2:$C$89,$A227,Fact_SortedWeights!$B$2:$B$89,$B227),SUMIFS(Fact_PreSortWeights!$E$2:$E$186,Fact_PreSortWeights!$C$2:$C$186,$A227,Fact_PreSortWeights!$B$2:$B$186,$B227))))</f>
        <v>1.66197548020869</v>
      </c>
      <c r="G227" s="0" t="n">
        <f aca="false">IF(AND(IF($B227="Trash",INDEX('Materials Master'!$F$2:$F$27,MATCH($C227,'Materials Master'!$A$2:$A$27,0)),IF($B227="GMPC Recycling",INDEX('Materials Master'!$G$2:$G$27,MATCH($C227,'Materials Master'!$A$2:$A$27,0)),IF($B227="Organics Recycling",INDEX('Materials Master'!$H$2:$H$27,MATCH($C227,'Materials Master'!$A$2:$A$27,0)),IF($B227="Cardboard Recycling",INDEX('Materials Master'!$I$2:$I$27,MATCH($C227,'Materials Master'!$A$2:$A$27,0)),IF($B227="Paper Recycling",INDEX('Materials Master'!$J$2:$J$27,MATCH($C227,'Materials Master'!$A$2:$A$27,0)),IF($B227="Terracycle",INDEX('Materials Master'!$K$2:$K$27,MATCH($C227,'Materials Master'!$A$2:$A$27,0)),"No"))))))="Yes",INDEX('Materials Master'!$E$2:$E$27,MATCH($C227,'Materials Master'!$A$2:$A$27,0))="Yes",$B227&lt;&gt;"Trash"),1,0)</f>
        <v>0</v>
      </c>
      <c r="H227" s="0" t="str">
        <f aca="false">INDEX('Materials Master'!$E$2:$E$27,MATCH($C227,'Materials Master'!$A$2:$A$27,0))</f>
        <v>No</v>
      </c>
      <c r="I227" s="0" t="str">
        <f aca="false">IFERROR(INDEX(Areas!$C$2:$C$6,MATCH($A227,Areas!$B$2:$B$6,0)),"")</f>
        <v>BOH</v>
      </c>
      <c r="J227" s="0" t="n">
        <f aca="false">IF(IF($B227="Trash",INDEX('Materials Master'!$F$2:$F$27,MATCH($C227,'Materials Master'!$A$2:$A$27,0)),IF($B227="GMPC Recycling",INDEX('Materials Master'!$G$2:$G$27,MATCH($C227,'Materials Master'!$A$2:$A$27,0)),IF($B227="Organics Recycling",INDEX('Materials Master'!$H$2:$H$27,MATCH($C227,'Materials Master'!$A$2:$A$27,0)),IF($B227="Cardboard Recycling",INDEX('Materials Master'!$I$2:$I$27,MATCH($C227,'Materials Master'!$A$2:$A$27,0)),IF($B227="Paper Recycling",INDEX('Materials Master'!$J$2:$J$27,MATCH($C227,'Materials Master'!$A$2:$A$27,0)),IF($B227="Terracycle",INDEX('Materials Master'!$K$2:$K$27,MATCH($C227,'Materials Master'!$A$2:$A$27,0)),"No"))))))="Yes",1,0)</f>
        <v>0</v>
      </c>
    </row>
    <row r="228" customFormat="false" ht="15" hidden="false" customHeight="false" outlineLevel="0" collapsed="false">
      <c r="A228" s="0" t="s">
        <v>95</v>
      </c>
      <c r="B228" s="0" t="s">
        <v>105</v>
      </c>
      <c r="C228" s="0" t="s">
        <v>71</v>
      </c>
      <c r="D228" s="0" t="str">
        <f aca="false">IFERROR(INDEX('Materials Master'!$B$2:$B$27,MATCH($C228,'Materials Master'!$A$2:$A$27,0)),"")</f>
        <v>Fiber-based Compostable Serviceware</v>
      </c>
      <c r="E228" s="0" t="str">
        <f aca="false">IFERROR(INDEX('Materials Master'!$C$2:$C$27,MATCH($C228,'Materials Master'!$A$2:$A$27,0)),"")</f>
        <v>Organics</v>
      </c>
      <c r="F228" s="0" t="n">
        <f aca="false">IF(SUMIFS(Fact_SortedWeights!$E$2:$E$89,Fact_SortedWeights!$C$2:$C$89,$A228,Fact_SortedWeights!$B$2:$B$89,$B228)=0,0,SUMIFS(Fact_SortedWeights!$E$2:$E$89,Fact_SortedWeights!$C$2:$C$89,$A228,Fact_SortedWeights!$B$2:$B$89,$B228,Fact_SortedWeights!$D$2:$D$89,$C228)/SUMIFS(Fact_SortedWeights!$E$2:$E$89,Fact_SortedWeights!$C$2:$C$89,$A228,Fact_SortedWeights!$B$2:$B$89,$B228)*(IF($B228="Cardboard Recycling",SUMIFS(Fact_SortedWeights!$E$2:$E$89,Fact_SortedWeights!$C$2:$C$89,$A228,Fact_SortedWeights!$B$2:$B$89,$B228),SUMIFS(Fact_PreSortWeights!$E$2:$E$186,Fact_PreSortWeights!$C$2:$C$186,$A228,Fact_PreSortWeights!$B$2:$B$186,$B228))))</f>
        <v>2.49296322031303</v>
      </c>
      <c r="G228" s="0" t="n">
        <f aca="false">IF(AND(IF($B228="Trash",INDEX('Materials Master'!$F$2:$F$27,MATCH($C228,'Materials Master'!$A$2:$A$27,0)),IF($B228="GMPC Recycling",INDEX('Materials Master'!$G$2:$G$27,MATCH($C228,'Materials Master'!$A$2:$A$27,0)),IF($B228="Organics Recycling",INDEX('Materials Master'!$H$2:$H$27,MATCH($C228,'Materials Master'!$A$2:$A$27,0)),IF($B228="Cardboard Recycling",INDEX('Materials Master'!$I$2:$I$27,MATCH($C228,'Materials Master'!$A$2:$A$27,0)),IF($B228="Paper Recycling",INDEX('Materials Master'!$J$2:$J$27,MATCH($C228,'Materials Master'!$A$2:$A$27,0)),IF($B228="Terracycle",INDEX('Materials Master'!$K$2:$K$27,MATCH($C228,'Materials Master'!$A$2:$A$27,0)),"No"))))))="Yes",INDEX('Materials Master'!$E$2:$E$27,MATCH($C228,'Materials Master'!$A$2:$A$27,0))="Yes",$B228&lt;&gt;"Trash"),1,0)</f>
        <v>0</v>
      </c>
      <c r="H228" s="0" t="str">
        <f aca="false">INDEX('Materials Master'!$E$2:$E$27,MATCH($C228,'Materials Master'!$A$2:$A$27,0))</f>
        <v>No</v>
      </c>
      <c r="I228" s="0" t="str">
        <f aca="false">IFERROR(INDEX(Areas!$C$2:$C$6,MATCH($A228,Areas!$B$2:$B$6,0)),"")</f>
        <v>BOH</v>
      </c>
      <c r="J228" s="0" t="n">
        <f aca="false">IF(IF($B228="Trash",INDEX('Materials Master'!$F$2:$F$27,MATCH($C228,'Materials Master'!$A$2:$A$27,0)),IF($B228="GMPC Recycling",INDEX('Materials Master'!$G$2:$G$27,MATCH($C228,'Materials Master'!$A$2:$A$27,0)),IF($B228="Organics Recycling",INDEX('Materials Master'!$H$2:$H$27,MATCH($C228,'Materials Master'!$A$2:$A$27,0)),IF($B228="Cardboard Recycling",INDEX('Materials Master'!$I$2:$I$27,MATCH($C228,'Materials Master'!$A$2:$A$27,0)),IF($B228="Paper Recycling",INDEX('Materials Master'!$J$2:$J$27,MATCH($C228,'Materials Master'!$A$2:$A$27,0)),IF($B228="Terracycle",INDEX('Materials Master'!$K$2:$K$27,MATCH($C228,'Materials Master'!$A$2:$A$27,0)),"No"))))))="Yes",1,0)</f>
        <v>0</v>
      </c>
    </row>
    <row r="229" customFormat="false" ht="15" hidden="false" customHeight="false" outlineLevel="0" collapsed="false">
      <c r="A229" s="0" t="s">
        <v>95</v>
      </c>
      <c r="B229" s="0" t="s">
        <v>105</v>
      </c>
      <c r="C229" s="0" t="s">
        <v>73</v>
      </c>
      <c r="D229" s="0" t="str">
        <f aca="false">IFERROR(INDEX('Materials Master'!$B$2:$B$27,MATCH($C229,'Materials Master'!$A$2:$A$27,0)),"")</f>
        <v>PLA Compostable Serviceware</v>
      </c>
      <c r="E229" s="0" t="str">
        <f aca="false">IFERROR(INDEX('Materials Master'!$C$2:$C$27,MATCH($C229,'Materials Master'!$A$2:$A$27,0)),"")</f>
        <v>Organics</v>
      </c>
      <c r="F229" s="0" t="n">
        <f aca="false">IF(SUMIFS(Fact_SortedWeights!$E$2:$E$89,Fact_SortedWeights!$C$2:$C$89,$A229,Fact_SortedWeights!$B$2:$B$89,$B229)=0,0,SUMIFS(Fact_SortedWeights!$E$2:$E$89,Fact_SortedWeights!$C$2:$C$89,$A229,Fact_SortedWeights!$B$2:$B$89,$B229,Fact_SortedWeights!$D$2:$D$89,$C229)/SUMIFS(Fact_SortedWeights!$E$2:$E$89,Fact_SortedWeights!$C$2:$C$89,$A229,Fact_SortedWeights!$B$2:$B$89,$B229)*(IF($B229="Cardboard Recycling",SUMIFS(Fact_SortedWeights!$E$2:$E$89,Fact_SortedWeights!$C$2:$C$89,$A229,Fact_SortedWeights!$B$2:$B$89,$B229),SUMIFS(Fact_PreSortWeights!$E$2:$E$186,Fact_PreSortWeights!$C$2:$C$186,$A229,Fact_PreSortWeights!$B$2:$B$186,$B229))))</f>
        <v>1.82817302822956</v>
      </c>
      <c r="G229" s="0" t="n">
        <f aca="false">IF(AND(IF($B229="Trash",INDEX('Materials Master'!$F$2:$F$27,MATCH($C229,'Materials Master'!$A$2:$A$27,0)),IF($B229="GMPC Recycling",INDEX('Materials Master'!$G$2:$G$27,MATCH($C229,'Materials Master'!$A$2:$A$27,0)),IF($B229="Organics Recycling",INDEX('Materials Master'!$H$2:$H$27,MATCH($C229,'Materials Master'!$A$2:$A$27,0)),IF($B229="Cardboard Recycling",INDEX('Materials Master'!$I$2:$I$27,MATCH($C229,'Materials Master'!$A$2:$A$27,0)),IF($B229="Paper Recycling",INDEX('Materials Master'!$J$2:$J$27,MATCH($C229,'Materials Master'!$A$2:$A$27,0)),IF($B229="Terracycle",INDEX('Materials Master'!$K$2:$K$27,MATCH($C229,'Materials Master'!$A$2:$A$27,0)),"No"))))))="Yes",INDEX('Materials Master'!$E$2:$E$27,MATCH($C229,'Materials Master'!$A$2:$A$27,0))="Yes",$B229&lt;&gt;"Trash"),1,0)</f>
        <v>0</v>
      </c>
      <c r="H229" s="0" t="str">
        <f aca="false">INDEX('Materials Master'!$E$2:$E$27,MATCH($C229,'Materials Master'!$A$2:$A$27,0))</f>
        <v>No</v>
      </c>
      <c r="I229" s="0" t="str">
        <f aca="false">IFERROR(INDEX(Areas!$C$2:$C$6,MATCH($A229,Areas!$B$2:$B$6,0)),"")</f>
        <v>BOH</v>
      </c>
      <c r="J229" s="0" t="n">
        <f aca="false">IF(IF($B229="Trash",INDEX('Materials Master'!$F$2:$F$27,MATCH($C229,'Materials Master'!$A$2:$A$27,0)),IF($B229="GMPC Recycling",INDEX('Materials Master'!$G$2:$G$27,MATCH($C229,'Materials Master'!$A$2:$A$27,0)),IF($B229="Organics Recycling",INDEX('Materials Master'!$H$2:$H$27,MATCH($C229,'Materials Master'!$A$2:$A$27,0)),IF($B229="Cardboard Recycling",INDEX('Materials Master'!$I$2:$I$27,MATCH($C229,'Materials Master'!$A$2:$A$27,0)),IF($B229="Paper Recycling",INDEX('Materials Master'!$J$2:$J$27,MATCH($C229,'Materials Master'!$A$2:$A$27,0)),IF($B229="Terracycle",INDEX('Materials Master'!$K$2:$K$27,MATCH($C229,'Materials Master'!$A$2:$A$27,0)),"No"))))))="Yes",1,0)</f>
        <v>0</v>
      </c>
    </row>
    <row r="230" customFormat="false" ht="15" hidden="false" customHeight="false" outlineLevel="0" collapsed="false">
      <c r="A230" s="0" t="s">
        <v>95</v>
      </c>
      <c r="B230" s="0" t="s">
        <v>105</v>
      </c>
      <c r="C230" s="0" t="s">
        <v>75</v>
      </c>
      <c r="D230" s="0" t="str">
        <f aca="false">IFERROR(INDEX('Materials Master'!$B$2:$B$27,MATCH($C230,'Materials Master'!$A$2:$A$27,0)),"")</f>
        <v>E/U Waste</v>
      </c>
      <c r="E230" s="0" t="str">
        <f aca="false">IFERROR(INDEX('Materials Master'!$C$2:$C$27,MATCH($C230,'Materials Master'!$A$2:$A$27,0)),"")</f>
        <v>Unacceptable</v>
      </c>
      <c r="F230" s="0" t="n">
        <f aca="false">IF(SUMIFS(Fact_SortedWeights!$E$2:$E$89,Fact_SortedWeights!$C$2:$C$89,$A230,Fact_SortedWeights!$B$2:$B$89,$B230)=0,0,SUMIFS(Fact_SortedWeights!$E$2:$E$89,Fact_SortedWeights!$C$2:$C$89,$A230,Fact_SortedWeights!$B$2:$B$89,$B230,Fact_SortedWeights!$D$2:$D$89,$C230)/SUMIFS(Fact_SortedWeights!$E$2:$E$89,Fact_SortedWeights!$C$2:$C$89,$A230,Fact_SortedWeights!$B$2:$B$89,$B230)*(IF($B230="Cardboard Recycling",SUMIFS(Fact_SortedWeights!$E$2:$E$89,Fact_SortedWeights!$C$2:$C$89,$A230,Fact_SortedWeights!$B$2:$B$89,$B230),SUMIFS(Fact_PreSortWeights!$E$2:$E$186,Fact_PreSortWeights!$C$2:$C$186,$A230,Fact_PreSortWeights!$B$2:$B$186,$B230))))</f>
        <v>0</v>
      </c>
      <c r="G230" s="0" t="n">
        <f aca="false">IF(AND(IF($B230="Trash",INDEX('Materials Master'!$F$2:$F$27,MATCH($C230,'Materials Master'!$A$2:$A$27,0)),IF($B230="GMPC Recycling",INDEX('Materials Master'!$G$2:$G$27,MATCH($C230,'Materials Master'!$A$2:$A$27,0)),IF($B230="Organics Recycling",INDEX('Materials Master'!$H$2:$H$27,MATCH($C230,'Materials Master'!$A$2:$A$27,0)),IF($B230="Cardboard Recycling",INDEX('Materials Master'!$I$2:$I$27,MATCH($C230,'Materials Master'!$A$2:$A$27,0)),IF($B230="Paper Recycling",INDEX('Materials Master'!$J$2:$J$27,MATCH($C230,'Materials Master'!$A$2:$A$27,0)),IF($B230="Terracycle",INDEX('Materials Master'!$K$2:$K$27,MATCH($C230,'Materials Master'!$A$2:$A$27,0)),"No"))))))="Yes",INDEX('Materials Master'!$E$2:$E$27,MATCH($C230,'Materials Master'!$A$2:$A$27,0))="Yes",$B230&lt;&gt;"Trash"),1,0)</f>
        <v>0</v>
      </c>
      <c r="H230" s="0" t="str">
        <f aca="false">INDEX('Materials Master'!$E$2:$E$27,MATCH($C230,'Materials Master'!$A$2:$A$27,0))</f>
        <v>No</v>
      </c>
      <c r="I230" s="0" t="str">
        <f aca="false">IFERROR(INDEX(Areas!$C$2:$C$6,MATCH($A230,Areas!$B$2:$B$6,0)),"")</f>
        <v>BOH</v>
      </c>
      <c r="J230" s="0" t="n">
        <f aca="false">IF(IF($B230="Trash",INDEX('Materials Master'!$F$2:$F$27,MATCH($C230,'Materials Master'!$A$2:$A$27,0)),IF($B230="GMPC Recycling",INDEX('Materials Master'!$G$2:$G$27,MATCH($C230,'Materials Master'!$A$2:$A$27,0)),IF($B230="Organics Recycling",INDEX('Materials Master'!$H$2:$H$27,MATCH($C230,'Materials Master'!$A$2:$A$27,0)),IF($B230="Cardboard Recycling",INDEX('Materials Master'!$I$2:$I$27,MATCH($C230,'Materials Master'!$A$2:$A$27,0)),IF($B230="Paper Recycling",INDEX('Materials Master'!$J$2:$J$27,MATCH($C230,'Materials Master'!$A$2:$A$27,0)),IF($B230="Terracycle",INDEX('Materials Master'!$K$2:$K$27,MATCH($C230,'Materials Master'!$A$2:$A$27,0)),"No"))))))="Yes",1,0)</f>
        <v>0</v>
      </c>
    </row>
    <row r="231" customFormat="false" ht="15" hidden="false" customHeight="false" outlineLevel="0" collapsed="false">
      <c r="A231" s="0" t="s">
        <v>95</v>
      </c>
      <c r="B231" s="0" t="s">
        <v>105</v>
      </c>
      <c r="C231" s="0" t="s">
        <v>78</v>
      </c>
      <c r="D231" s="0" t="str">
        <f aca="false">IFERROR(INDEX('Materials Master'!$B$2:$B$27,MATCH($C231,'Materials Master'!$A$2:$A$27,0)),"")</f>
        <v>Textiles</v>
      </c>
      <c r="E231" s="0" t="str">
        <f aca="false">IFERROR(INDEX('Materials Master'!$C$2:$C$27,MATCH($C231,'Materials Master'!$A$2:$A$27,0)),"")</f>
        <v>Unacceptable</v>
      </c>
      <c r="F231" s="0" t="n">
        <f aca="false">IF(SUMIFS(Fact_SortedWeights!$E$2:$E$89,Fact_SortedWeights!$C$2:$C$89,$A231,Fact_SortedWeights!$B$2:$B$89,$B231)=0,0,SUMIFS(Fact_SortedWeights!$E$2:$E$89,Fact_SortedWeights!$C$2:$C$89,$A231,Fact_SortedWeights!$B$2:$B$89,$B231,Fact_SortedWeights!$D$2:$D$89,$C231)/SUMIFS(Fact_SortedWeights!$E$2:$E$89,Fact_SortedWeights!$C$2:$C$89,$A231,Fact_SortedWeights!$B$2:$B$89,$B231)*(IF($B231="Cardboard Recycling",SUMIFS(Fact_SortedWeights!$E$2:$E$89,Fact_SortedWeights!$C$2:$C$89,$A231,Fact_SortedWeights!$B$2:$B$89,$B231),SUMIFS(Fact_PreSortWeights!$E$2:$E$186,Fact_PreSortWeights!$C$2:$C$186,$A231,Fact_PreSortWeights!$B$2:$B$186,$B231))))</f>
        <v>0</v>
      </c>
      <c r="G231" s="0" t="n">
        <f aca="false">IF(AND(IF($B231="Trash",INDEX('Materials Master'!$F$2:$F$27,MATCH($C231,'Materials Master'!$A$2:$A$27,0)),IF($B231="GMPC Recycling",INDEX('Materials Master'!$G$2:$G$27,MATCH($C231,'Materials Master'!$A$2:$A$27,0)),IF($B231="Organics Recycling",INDEX('Materials Master'!$H$2:$H$27,MATCH($C231,'Materials Master'!$A$2:$A$27,0)),IF($B231="Cardboard Recycling",INDEX('Materials Master'!$I$2:$I$27,MATCH($C231,'Materials Master'!$A$2:$A$27,0)),IF($B231="Paper Recycling",INDEX('Materials Master'!$J$2:$J$27,MATCH($C231,'Materials Master'!$A$2:$A$27,0)),IF($B231="Terracycle",INDEX('Materials Master'!$K$2:$K$27,MATCH($C231,'Materials Master'!$A$2:$A$27,0)),"No"))))))="Yes",INDEX('Materials Master'!$E$2:$E$27,MATCH($C231,'Materials Master'!$A$2:$A$27,0))="Yes",$B231&lt;&gt;"Trash"),1,0)</f>
        <v>0</v>
      </c>
      <c r="H231" s="0" t="str">
        <f aca="false">INDEX('Materials Master'!$E$2:$E$27,MATCH($C231,'Materials Master'!$A$2:$A$27,0))</f>
        <v>No</v>
      </c>
      <c r="I231" s="0" t="str">
        <f aca="false">IFERROR(INDEX(Areas!$C$2:$C$6,MATCH($A231,Areas!$B$2:$B$6,0)),"")</f>
        <v>BOH</v>
      </c>
      <c r="J231" s="0" t="n">
        <f aca="false">IF(IF($B231="Trash",INDEX('Materials Master'!$F$2:$F$27,MATCH($C231,'Materials Master'!$A$2:$A$27,0)),IF($B231="GMPC Recycling",INDEX('Materials Master'!$G$2:$G$27,MATCH($C231,'Materials Master'!$A$2:$A$27,0)),IF($B231="Organics Recycling",INDEX('Materials Master'!$H$2:$H$27,MATCH($C231,'Materials Master'!$A$2:$A$27,0)),IF($B231="Cardboard Recycling",INDEX('Materials Master'!$I$2:$I$27,MATCH($C231,'Materials Master'!$A$2:$A$27,0)),IF($B231="Paper Recycling",INDEX('Materials Master'!$J$2:$J$27,MATCH($C231,'Materials Master'!$A$2:$A$27,0)),IF($B231="Terracycle",INDEX('Materials Master'!$K$2:$K$27,MATCH($C231,'Materials Master'!$A$2:$A$27,0)),"No"))))))="Yes",1,0)</f>
        <v>0</v>
      </c>
    </row>
    <row r="232" customFormat="false" ht="15" hidden="false" customHeight="false" outlineLevel="0" collapsed="false">
      <c r="A232" s="0" t="s">
        <v>95</v>
      </c>
      <c r="B232" s="0" t="s">
        <v>105</v>
      </c>
      <c r="C232" s="0" t="s">
        <v>80</v>
      </c>
      <c r="D232" s="0" t="str">
        <f aca="false">IFERROR(INDEX('Materials Master'!$B$2:$B$27,MATCH($C232,'Materials Master'!$A$2:$A$27,0)),"")</f>
        <v>Other Unacceptable (specify)</v>
      </c>
      <c r="E232" s="0" t="str">
        <f aca="false">IFERROR(INDEX('Materials Master'!$C$2:$C$27,MATCH($C232,'Materials Master'!$A$2:$A$27,0)),"")</f>
        <v>Unacceptable</v>
      </c>
      <c r="F232" s="0" t="n">
        <f aca="false">IF(SUMIFS(Fact_SortedWeights!$E$2:$E$89,Fact_SortedWeights!$C$2:$C$89,$A232,Fact_SortedWeights!$B$2:$B$89,$B232)=0,0,SUMIFS(Fact_SortedWeights!$E$2:$E$89,Fact_SortedWeights!$C$2:$C$89,$A232,Fact_SortedWeights!$B$2:$B$89,$B232,Fact_SortedWeights!$D$2:$D$89,$C232)/SUMIFS(Fact_SortedWeights!$E$2:$E$89,Fact_SortedWeights!$C$2:$C$89,$A232,Fact_SortedWeights!$B$2:$B$89,$B232)*(IF($B232="Cardboard Recycling",SUMIFS(Fact_SortedWeights!$E$2:$E$89,Fact_SortedWeights!$C$2:$C$89,$A232,Fact_SortedWeights!$B$2:$B$89,$B232),SUMIFS(Fact_PreSortWeights!$E$2:$E$186,Fact_PreSortWeights!$C$2:$C$186,$A232,Fact_PreSortWeights!$B$2:$B$186,$B232))))</f>
        <v>0</v>
      </c>
      <c r="G232" s="0" t="n">
        <f aca="false">IF(AND(IF($B232="Trash",INDEX('Materials Master'!$F$2:$F$27,MATCH($C232,'Materials Master'!$A$2:$A$27,0)),IF($B232="GMPC Recycling",INDEX('Materials Master'!$G$2:$G$27,MATCH($C232,'Materials Master'!$A$2:$A$27,0)),IF($B232="Organics Recycling",INDEX('Materials Master'!$H$2:$H$27,MATCH($C232,'Materials Master'!$A$2:$A$27,0)),IF($B232="Cardboard Recycling",INDEX('Materials Master'!$I$2:$I$27,MATCH($C232,'Materials Master'!$A$2:$A$27,0)),IF($B232="Paper Recycling",INDEX('Materials Master'!$J$2:$J$27,MATCH($C232,'Materials Master'!$A$2:$A$27,0)),IF($B232="Terracycle",INDEX('Materials Master'!$K$2:$K$27,MATCH($C232,'Materials Master'!$A$2:$A$27,0)),"No"))))))="Yes",INDEX('Materials Master'!$E$2:$E$27,MATCH($C232,'Materials Master'!$A$2:$A$27,0))="Yes",$B232&lt;&gt;"Trash"),1,0)</f>
        <v>0</v>
      </c>
      <c r="H232" s="0" t="str">
        <f aca="false">INDEX('Materials Master'!$E$2:$E$27,MATCH($C232,'Materials Master'!$A$2:$A$27,0))</f>
        <v>No</v>
      </c>
      <c r="I232" s="0" t="str">
        <f aca="false">IFERROR(INDEX(Areas!$C$2:$C$6,MATCH($A232,Areas!$B$2:$B$6,0)),"")</f>
        <v>BOH</v>
      </c>
      <c r="J232" s="0" t="n">
        <f aca="false">IF(IF($B232="Trash",INDEX('Materials Master'!$F$2:$F$27,MATCH($C232,'Materials Master'!$A$2:$A$27,0)),IF($B232="GMPC Recycling",INDEX('Materials Master'!$G$2:$G$27,MATCH($C232,'Materials Master'!$A$2:$A$27,0)),IF($B232="Organics Recycling",INDEX('Materials Master'!$H$2:$H$27,MATCH($C232,'Materials Master'!$A$2:$A$27,0)),IF($B232="Cardboard Recycling",INDEX('Materials Master'!$I$2:$I$27,MATCH($C232,'Materials Master'!$A$2:$A$27,0)),IF($B232="Paper Recycling",INDEX('Materials Master'!$J$2:$J$27,MATCH($C232,'Materials Master'!$A$2:$A$27,0)),IF($B232="Terracycle",INDEX('Materials Master'!$K$2:$K$27,MATCH($C232,'Materials Master'!$A$2:$A$27,0)),"No"))))))="Yes",1,0)</f>
        <v>0</v>
      </c>
    </row>
    <row r="233" customFormat="false" ht="15" hidden="false" customHeight="false" outlineLevel="0" collapsed="false">
      <c r="A233" s="0" t="s">
        <v>95</v>
      </c>
      <c r="B233" s="0" t="s">
        <v>105</v>
      </c>
      <c r="C233" s="0" t="s">
        <v>82</v>
      </c>
      <c r="D233" s="0" t="str">
        <f aca="false">IFERROR(INDEX('Materials Master'!$B$2:$B$27,MATCH($C233,'Materials Master'!$A$2:$A$27,0)),"")</f>
        <v>Liquids</v>
      </c>
      <c r="E233" s="0" t="str">
        <f aca="false">IFERROR(INDEX('Materials Master'!$C$2:$C$27,MATCH($C233,'Materials Master'!$A$2:$A$27,0)),"")</f>
        <v>Unacceptable</v>
      </c>
      <c r="F233" s="0" t="n">
        <f aca="false">IF(SUMIFS(Fact_SortedWeights!$E$2:$E$89,Fact_SortedWeights!$C$2:$C$89,$A233,Fact_SortedWeights!$B$2:$B$89,$B233)=0,0,SUMIFS(Fact_SortedWeights!$E$2:$E$89,Fact_SortedWeights!$C$2:$C$89,$A233,Fact_SortedWeights!$B$2:$B$89,$B233,Fact_SortedWeights!$D$2:$D$89,$C233)/SUMIFS(Fact_SortedWeights!$E$2:$E$89,Fact_SortedWeights!$C$2:$C$89,$A233,Fact_SortedWeights!$B$2:$B$89,$B233)*(IF($B233="Cardboard Recycling",SUMIFS(Fact_SortedWeights!$E$2:$E$89,Fact_SortedWeights!$C$2:$C$89,$A233,Fact_SortedWeights!$B$2:$B$89,$B233),SUMIFS(Fact_PreSortWeights!$E$2:$E$186,Fact_PreSortWeights!$C$2:$C$186,$A233,Fact_PreSortWeights!$B$2:$B$186,$B233))))</f>
        <v>0</v>
      </c>
      <c r="G233" s="0" t="n">
        <f aca="false">IF(AND(IF($B233="Trash",INDEX('Materials Master'!$F$2:$F$27,MATCH($C233,'Materials Master'!$A$2:$A$27,0)),IF($B233="GMPC Recycling",INDEX('Materials Master'!$G$2:$G$27,MATCH($C233,'Materials Master'!$A$2:$A$27,0)),IF($B233="Organics Recycling",INDEX('Materials Master'!$H$2:$H$27,MATCH($C233,'Materials Master'!$A$2:$A$27,0)),IF($B233="Cardboard Recycling",INDEX('Materials Master'!$I$2:$I$27,MATCH($C233,'Materials Master'!$A$2:$A$27,0)),IF($B233="Paper Recycling",INDEX('Materials Master'!$J$2:$J$27,MATCH($C233,'Materials Master'!$A$2:$A$27,0)),IF($B233="Terracycle",INDEX('Materials Master'!$K$2:$K$27,MATCH($C233,'Materials Master'!$A$2:$A$27,0)),"No"))))))="Yes",INDEX('Materials Master'!$E$2:$E$27,MATCH($C233,'Materials Master'!$A$2:$A$27,0))="Yes",$B233&lt;&gt;"Trash"),1,0)</f>
        <v>0</v>
      </c>
      <c r="H233" s="0" t="str">
        <f aca="false">INDEX('Materials Master'!$E$2:$E$27,MATCH($C233,'Materials Master'!$A$2:$A$27,0))</f>
        <v>No</v>
      </c>
      <c r="I233" s="0" t="str">
        <f aca="false">IFERROR(INDEX(Areas!$C$2:$C$6,MATCH($A233,Areas!$B$2:$B$6,0)),"")</f>
        <v>BOH</v>
      </c>
      <c r="J233" s="0" t="n">
        <f aca="false">IF(IF($B233="Trash",INDEX('Materials Master'!$F$2:$F$27,MATCH($C233,'Materials Master'!$A$2:$A$27,0)),IF($B233="GMPC Recycling",INDEX('Materials Master'!$G$2:$G$27,MATCH($C233,'Materials Master'!$A$2:$A$27,0)),IF($B233="Organics Recycling",INDEX('Materials Master'!$H$2:$H$27,MATCH($C233,'Materials Master'!$A$2:$A$27,0)),IF($B233="Cardboard Recycling",INDEX('Materials Master'!$I$2:$I$27,MATCH($C233,'Materials Master'!$A$2:$A$27,0)),IF($B233="Paper Recycling",INDEX('Materials Master'!$J$2:$J$27,MATCH($C233,'Materials Master'!$A$2:$A$27,0)),IF($B233="Terracycle",INDEX('Materials Master'!$K$2:$K$27,MATCH($C233,'Materials Master'!$A$2:$A$27,0)),"No"))))))="Yes",1,0)</f>
        <v>0</v>
      </c>
    </row>
    <row r="234" customFormat="false" ht="15" hidden="false" customHeight="false" outlineLevel="0" collapsed="false">
      <c r="A234" s="0" t="s">
        <v>95</v>
      </c>
      <c r="B234" s="0" t="s">
        <v>105</v>
      </c>
      <c r="C234" s="0" t="s">
        <v>84</v>
      </c>
      <c r="D234" s="0" t="str">
        <f aca="false">IFERROR(INDEX('Materials Master'!$B$2:$B$27,MATCH($C234,'Materials Master'!$A$2:$A$27,0)),"")</f>
        <v>Snack Wrappers (Composites)</v>
      </c>
      <c r="E234" s="0" t="str">
        <f aca="false">IFERROR(INDEX('Materials Master'!$C$2:$C$27,MATCH($C234,'Materials Master'!$A$2:$A$27,0)),"")</f>
        <v>Other</v>
      </c>
      <c r="F234" s="0" t="n">
        <f aca="false">IF(SUMIFS(Fact_SortedWeights!$E$2:$E$89,Fact_SortedWeights!$C$2:$C$89,$A234,Fact_SortedWeights!$B$2:$B$89,$B234)=0,0,SUMIFS(Fact_SortedWeights!$E$2:$E$89,Fact_SortedWeights!$C$2:$C$89,$A234,Fact_SortedWeights!$B$2:$B$89,$B234,Fact_SortedWeights!$D$2:$D$89,$C234)/SUMIFS(Fact_SortedWeights!$E$2:$E$89,Fact_SortedWeights!$C$2:$C$89,$A234,Fact_SortedWeights!$B$2:$B$89,$B234)*(IF($B234="Cardboard Recycling",SUMIFS(Fact_SortedWeights!$E$2:$E$89,Fact_SortedWeights!$C$2:$C$89,$A234,Fact_SortedWeights!$B$2:$B$89,$B234),SUMIFS(Fact_PreSortWeights!$E$2:$E$186,Fact_PreSortWeights!$C$2:$C$186,$A234,Fact_PreSortWeights!$B$2:$B$186,$B234))))</f>
        <v>0.165158813345739</v>
      </c>
      <c r="G234" s="0" t="n">
        <f aca="false">IF(AND(IF($B234="Trash",INDEX('Materials Master'!$F$2:$F$27,MATCH($C234,'Materials Master'!$A$2:$A$27,0)),IF($B234="GMPC Recycling",INDEX('Materials Master'!$G$2:$G$27,MATCH($C234,'Materials Master'!$A$2:$A$27,0)),IF($B234="Organics Recycling",INDEX('Materials Master'!$H$2:$H$27,MATCH($C234,'Materials Master'!$A$2:$A$27,0)),IF($B234="Cardboard Recycling",INDEX('Materials Master'!$I$2:$I$27,MATCH($C234,'Materials Master'!$A$2:$A$27,0)),IF($B234="Paper Recycling",INDEX('Materials Master'!$J$2:$J$27,MATCH($C234,'Materials Master'!$A$2:$A$27,0)),IF($B234="Terracycle",INDEX('Materials Master'!$K$2:$K$27,MATCH($C234,'Materials Master'!$A$2:$A$27,0)),"No"))))))="Yes",INDEX('Materials Master'!$E$2:$E$27,MATCH($C234,'Materials Master'!$A$2:$A$27,0))="Yes",$B234&lt;&gt;"Trash"),1,0)</f>
        <v>0</v>
      </c>
      <c r="H234" s="0" t="str">
        <f aca="false">INDEX('Materials Master'!$E$2:$E$27,MATCH($C234,'Materials Master'!$A$2:$A$27,0))</f>
        <v>Yes</v>
      </c>
      <c r="I234" s="0" t="str">
        <f aca="false">IFERROR(INDEX(Areas!$C$2:$C$6,MATCH($A234,Areas!$B$2:$B$6,0)),"")</f>
        <v>BOH</v>
      </c>
      <c r="J234" s="0" t="n">
        <f aca="false">IF(IF($B234="Trash",INDEX('Materials Master'!$F$2:$F$27,MATCH($C234,'Materials Master'!$A$2:$A$27,0)),IF($B234="GMPC Recycling",INDEX('Materials Master'!$G$2:$G$27,MATCH($C234,'Materials Master'!$A$2:$A$27,0)),IF($B234="Organics Recycling",INDEX('Materials Master'!$H$2:$H$27,MATCH($C234,'Materials Master'!$A$2:$A$27,0)),IF($B234="Cardboard Recycling",INDEX('Materials Master'!$I$2:$I$27,MATCH($C234,'Materials Master'!$A$2:$A$27,0)),IF($B234="Paper Recycling",INDEX('Materials Master'!$J$2:$J$27,MATCH($C234,'Materials Master'!$A$2:$A$27,0)),IF($B234="Terracycle",INDEX('Materials Master'!$K$2:$K$27,MATCH($C234,'Materials Master'!$A$2:$A$27,0)),"No"))))))="Yes",1,0)</f>
        <v>0</v>
      </c>
    </row>
    <row r="235" customFormat="false" ht="15" hidden="false" customHeight="false" outlineLevel="0" collapsed="false">
      <c r="A235" s="0" t="s">
        <v>95</v>
      </c>
      <c r="B235" s="0" t="s">
        <v>105</v>
      </c>
      <c r="C235" s="0" t="s">
        <v>87</v>
      </c>
      <c r="D235" s="0" t="str">
        <f aca="false">IFERROR(INDEX('Materials Master'!$B$2:$B$27,MATCH($C235,'Materials Master'!$A$2:$A$27,0)),"")</f>
        <v>Other/Residual Materials</v>
      </c>
      <c r="E235" s="0" t="str">
        <f aca="false">IFERROR(INDEX('Materials Master'!$C$2:$C$27,MATCH($C235,'Materials Master'!$A$2:$A$27,0)),"")</f>
        <v>Other</v>
      </c>
      <c r="F235" s="0" t="n">
        <f aca="false">IF(SUMIFS(Fact_SortedWeights!$E$2:$E$89,Fact_SortedWeights!$C$2:$C$89,$A235,Fact_SortedWeights!$B$2:$B$89,$B235)=0,0,SUMIFS(Fact_SortedWeights!$E$2:$E$89,Fact_SortedWeights!$C$2:$C$89,$A235,Fact_SortedWeights!$B$2:$B$89,$B235,Fact_SortedWeights!$D$2:$D$89,$C235)/SUMIFS(Fact_SortedWeights!$E$2:$E$89,Fact_SortedWeights!$C$2:$C$89,$A235,Fact_SortedWeights!$B$2:$B$89,$B235)*(IF($B235="Cardboard Recycling",SUMIFS(Fact_SortedWeights!$E$2:$E$89,Fact_SortedWeights!$C$2:$C$89,$A235,Fact_SortedWeights!$B$2:$B$89,$B235),SUMIFS(Fact_PreSortWeights!$E$2:$E$186,Fact_PreSortWeights!$C$2:$C$186,$A235,Fact_PreSortWeights!$B$2:$B$186,$B235))))</f>
        <v>3.98874115250085</v>
      </c>
      <c r="G235" s="0" t="n">
        <f aca="false">IF(AND(IF($B235="Trash",INDEX('Materials Master'!$F$2:$F$27,MATCH($C235,'Materials Master'!$A$2:$A$27,0)),IF($B235="GMPC Recycling",INDEX('Materials Master'!$G$2:$G$27,MATCH($C235,'Materials Master'!$A$2:$A$27,0)),IF($B235="Organics Recycling",INDEX('Materials Master'!$H$2:$H$27,MATCH($C235,'Materials Master'!$A$2:$A$27,0)),IF($B235="Cardboard Recycling",INDEX('Materials Master'!$I$2:$I$27,MATCH($C235,'Materials Master'!$A$2:$A$27,0)),IF($B235="Paper Recycling",INDEX('Materials Master'!$J$2:$J$27,MATCH($C235,'Materials Master'!$A$2:$A$27,0)),IF($B235="Terracycle",INDEX('Materials Master'!$K$2:$K$27,MATCH($C235,'Materials Master'!$A$2:$A$27,0)),"No"))))))="Yes",INDEX('Materials Master'!$E$2:$E$27,MATCH($C235,'Materials Master'!$A$2:$A$27,0))="Yes",$B235&lt;&gt;"Trash"),1,0)</f>
        <v>0</v>
      </c>
      <c r="H235" s="0" t="str">
        <f aca="false">INDEX('Materials Master'!$E$2:$E$27,MATCH($C235,'Materials Master'!$A$2:$A$27,0))</f>
        <v>No</v>
      </c>
      <c r="I235" s="0" t="str">
        <f aca="false">IFERROR(INDEX(Areas!$C$2:$C$6,MATCH($A235,Areas!$B$2:$B$6,0)),"")</f>
        <v>BOH</v>
      </c>
      <c r="J235" s="0" t="n">
        <f aca="false">IF(IF($B235="Trash",INDEX('Materials Master'!$F$2:$F$27,MATCH($C235,'Materials Master'!$A$2:$A$27,0)),IF($B235="GMPC Recycling",INDEX('Materials Master'!$G$2:$G$27,MATCH($C235,'Materials Master'!$A$2:$A$27,0)),IF($B235="Organics Recycling",INDEX('Materials Master'!$H$2:$H$27,MATCH($C235,'Materials Master'!$A$2:$A$27,0)),IF($B235="Cardboard Recycling",INDEX('Materials Master'!$I$2:$I$27,MATCH($C235,'Materials Master'!$A$2:$A$27,0)),IF($B235="Paper Recycling",INDEX('Materials Master'!$J$2:$J$27,MATCH($C235,'Materials Master'!$A$2:$A$27,0)),IF($B235="Terracycle",INDEX('Materials Master'!$K$2:$K$27,MATCH($C235,'Materials Master'!$A$2:$A$27,0)),"No"))))))="Yes",1,0)</f>
        <v>0</v>
      </c>
    </row>
    <row r="236" customFormat="false" ht="15" hidden="false" customHeight="false" outlineLevel="0" collapsed="false">
      <c r="A236" s="0" t="s">
        <v>95</v>
      </c>
      <c r="B236" s="0" t="s">
        <v>106</v>
      </c>
      <c r="C236" s="0" t="s">
        <v>28</v>
      </c>
      <c r="D236" s="0" t="str">
        <f aca="false">IFERROR(INDEX('Materials Master'!$B$2:$B$27,MATCH($C236,'Materials Master'!$A$2:$A$27,0)),"")</f>
        <v>Corrugated Cardboard</v>
      </c>
      <c r="E236" s="0" t="str">
        <f aca="false">IFERROR(INDEX('Materials Master'!$C$2:$C$27,MATCH($C236,'Materials Master'!$A$2:$A$27,0)),"")</f>
        <v>Fibers</v>
      </c>
      <c r="F236" s="0" t="n">
        <f aca="false">IF(SUMIFS(Fact_SortedWeights!$E$2:$E$89,Fact_SortedWeights!$C$2:$C$89,$A236,Fact_SortedWeights!$B$2:$B$89,$B236)=0,0,SUMIFS(Fact_SortedWeights!$E$2:$E$89,Fact_SortedWeights!$C$2:$C$89,$A236,Fact_SortedWeights!$B$2:$B$89,$B236,Fact_SortedWeights!$D$2:$D$89,$C236)/SUMIFS(Fact_SortedWeights!$E$2:$E$89,Fact_SortedWeights!$C$2:$C$89,$A236,Fact_SortedWeights!$B$2:$B$89,$B236)*(IF($B236="Cardboard Recycling",SUMIFS(Fact_SortedWeights!$E$2:$E$89,Fact_SortedWeights!$C$2:$C$89,$A236,Fact_SortedWeights!$B$2:$B$89,$B236),SUMIFS(Fact_PreSortWeights!$E$2:$E$186,Fact_PreSortWeights!$C$2:$C$186,$A236,Fact_PreSortWeights!$B$2:$B$186,$B236))))</f>
        <v>0</v>
      </c>
      <c r="G236" s="0" t="n">
        <f aca="false">IF(AND(IF($B236="Trash",INDEX('Materials Master'!$F$2:$F$27,MATCH($C236,'Materials Master'!$A$2:$A$27,0)),IF($B236="GMPC Recycling",INDEX('Materials Master'!$G$2:$G$27,MATCH($C236,'Materials Master'!$A$2:$A$27,0)),IF($B236="Organics Recycling",INDEX('Materials Master'!$H$2:$H$27,MATCH($C236,'Materials Master'!$A$2:$A$27,0)),IF($B236="Cardboard Recycling",INDEX('Materials Master'!$I$2:$I$27,MATCH($C236,'Materials Master'!$A$2:$A$27,0)),IF($B236="Paper Recycling",INDEX('Materials Master'!$J$2:$J$27,MATCH($C236,'Materials Master'!$A$2:$A$27,0)),IF($B236="Terracycle",INDEX('Materials Master'!$K$2:$K$27,MATCH($C236,'Materials Master'!$A$2:$A$27,0)),"No"))))))="Yes",INDEX('Materials Master'!$E$2:$E$27,MATCH($C236,'Materials Master'!$A$2:$A$27,0))="Yes",$B236&lt;&gt;"Trash"),1,0)</f>
        <v>1</v>
      </c>
      <c r="H236" s="0" t="str">
        <f aca="false">INDEX('Materials Master'!$E$2:$E$27,MATCH($C236,'Materials Master'!$A$2:$A$27,0))</f>
        <v>Yes</v>
      </c>
      <c r="I236" s="0" t="str">
        <f aca="false">IFERROR(INDEX(Areas!$C$2:$C$6,MATCH($A236,Areas!$B$2:$B$6,0)),"")</f>
        <v>BOH</v>
      </c>
      <c r="J236" s="0" t="n">
        <f aca="false">IF(IF($B236="Trash",INDEX('Materials Master'!$F$2:$F$27,MATCH($C236,'Materials Master'!$A$2:$A$27,0)),IF($B236="GMPC Recycling",INDEX('Materials Master'!$G$2:$G$27,MATCH($C236,'Materials Master'!$A$2:$A$27,0)),IF($B236="Organics Recycling",INDEX('Materials Master'!$H$2:$H$27,MATCH($C236,'Materials Master'!$A$2:$A$27,0)),IF($B236="Cardboard Recycling",INDEX('Materials Master'!$I$2:$I$27,MATCH($C236,'Materials Master'!$A$2:$A$27,0)),IF($B236="Paper Recycling",INDEX('Materials Master'!$J$2:$J$27,MATCH($C236,'Materials Master'!$A$2:$A$27,0)),IF($B236="Terracycle",INDEX('Materials Master'!$K$2:$K$27,MATCH($C236,'Materials Master'!$A$2:$A$27,0)),"No"))))))="Yes",1,0)</f>
        <v>1</v>
      </c>
    </row>
    <row r="237" customFormat="false" ht="15" hidden="false" customHeight="false" outlineLevel="0" collapsed="false">
      <c r="A237" s="0" t="s">
        <v>95</v>
      </c>
      <c r="B237" s="0" t="s">
        <v>106</v>
      </c>
      <c r="C237" s="0" t="s">
        <v>33</v>
      </c>
      <c r="D237" s="0" t="str">
        <f aca="false">IFERROR(INDEX('Materials Master'!$B$2:$B$27,MATCH($C237,'Materials Master'!$A$2:$A$27,0)),"")</f>
        <v>Soiled Cardboard</v>
      </c>
      <c r="E237" s="0" t="str">
        <f aca="false">IFERROR(INDEX('Materials Master'!$C$2:$C$27,MATCH($C237,'Materials Master'!$A$2:$A$27,0)),"")</f>
        <v>Fibers</v>
      </c>
      <c r="F237" s="0" t="n">
        <f aca="false">IF(SUMIFS(Fact_SortedWeights!$E$2:$E$89,Fact_SortedWeights!$C$2:$C$89,$A237,Fact_SortedWeights!$B$2:$B$89,$B237)=0,0,SUMIFS(Fact_SortedWeights!$E$2:$E$89,Fact_SortedWeights!$C$2:$C$89,$A237,Fact_SortedWeights!$B$2:$B$89,$B237,Fact_SortedWeights!$D$2:$D$89,$C237)/SUMIFS(Fact_SortedWeights!$E$2:$E$89,Fact_SortedWeights!$C$2:$C$89,$A237,Fact_SortedWeights!$B$2:$B$89,$B237)*(IF($B237="Cardboard Recycling",SUMIFS(Fact_SortedWeights!$E$2:$E$89,Fact_SortedWeights!$C$2:$C$89,$A237,Fact_SortedWeights!$B$2:$B$89,$B237),SUMIFS(Fact_PreSortWeights!$E$2:$E$186,Fact_PreSortWeights!$C$2:$C$186,$A237,Fact_PreSortWeights!$B$2:$B$186,$B237))))</f>
        <v>0</v>
      </c>
      <c r="G237" s="0" t="n">
        <f aca="false">IF(AND(IF($B237="Trash",INDEX('Materials Master'!$F$2:$F$27,MATCH($C237,'Materials Master'!$A$2:$A$27,0)),IF($B237="GMPC Recycling",INDEX('Materials Master'!$G$2:$G$27,MATCH($C237,'Materials Master'!$A$2:$A$27,0)),IF($B237="Organics Recycling",INDEX('Materials Master'!$H$2:$H$27,MATCH($C237,'Materials Master'!$A$2:$A$27,0)),IF($B237="Cardboard Recycling",INDEX('Materials Master'!$I$2:$I$27,MATCH($C237,'Materials Master'!$A$2:$A$27,0)),IF($B237="Paper Recycling",INDEX('Materials Master'!$J$2:$J$27,MATCH($C237,'Materials Master'!$A$2:$A$27,0)),IF($B237="Terracycle",INDEX('Materials Master'!$K$2:$K$27,MATCH($C237,'Materials Master'!$A$2:$A$27,0)),"No"))))))="Yes",INDEX('Materials Master'!$E$2:$E$27,MATCH($C237,'Materials Master'!$A$2:$A$27,0))="Yes",$B237&lt;&gt;"Trash"),1,0)</f>
        <v>0</v>
      </c>
      <c r="H237" s="0" t="str">
        <f aca="false">INDEX('Materials Master'!$E$2:$E$27,MATCH($C237,'Materials Master'!$A$2:$A$27,0))</f>
        <v>No</v>
      </c>
      <c r="I237" s="0" t="str">
        <f aca="false">IFERROR(INDEX(Areas!$C$2:$C$6,MATCH($A237,Areas!$B$2:$B$6,0)),"")</f>
        <v>BOH</v>
      </c>
      <c r="J237" s="0" t="n">
        <f aca="false">IF(IF($B237="Trash",INDEX('Materials Master'!$F$2:$F$27,MATCH($C237,'Materials Master'!$A$2:$A$27,0)),IF($B237="GMPC Recycling",INDEX('Materials Master'!$G$2:$G$27,MATCH($C237,'Materials Master'!$A$2:$A$27,0)),IF($B237="Organics Recycling",INDEX('Materials Master'!$H$2:$H$27,MATCH($C237,'Materials Master'!$A$2:$A$27,0)),IF($B237="Cardboard Recycling",INDEX('Materials Master'!$I$2:$I$27,MATCH($C237,'Materials Master'!$A$2:$A$27,0)),IF($B237="Paper Recycling",INDEX('Materials Master'!$J$2:$J$27,MATCH($C237,'Materials Master'!$A$2:$A$27,0)),IF($B237="Terracycle",INDEX('Materials Master'!$K$2:$K$27,MATCH($C237,'Materials Master'!$A$2:$A$27,0)),"No"))))))="Yes",1,0)</f>
        <v>0</v>
      </c>
    </row>
    <row r="238" customFormat="false" ht="15" hidden="false" customHeight="false" outlineLevel="0" collapsed="false">
      <c r="A238" s="0" t="s">
        <v>95</v>
      </c>
      <c r="B238" s="0" t="s">
        <v>106</v>
      </c>
      <c r="C238" s="0" t="s">
        <v>35</v>
      </c>
      <c r="D238" s="0" t="str">
        <f aca="false">IFERROR(INDEX('Materials Master'!$B$2:$B$27,MATCH($C238,'Materials Master'!$A$2:$A$27,0)),"")</f>
        <v>Waxed Cardboard</v>
      </c>
      <c r="E238" s="0" t="str">
        <f aca="false">IFERROR(INDEX('Materials Master'!$C$2:$C$27,MATCH($C238,'Materials Master'!$A$2:$A$27,0)),"")</f>
        <v>Fibers</v>
      </c>
      <c r="F238" s="0" t="n">
        <f aca="false">IF(SUMIFS(Fact_SortedWeights!$E$2:$E$89,Fact_SortedWeights!$C$2:$C$89,$A238,Fact_SortedWeights!$B$2:$B$89,$B238)=0,0,SUMIFS(Fact_SortedWeights!$E$2:$E$89,Fact_SortedWeights!$C$2:$C$89,$A238,Fact_SortedWeights!$B$2:$B$89,$B238,Fact_SortedWeights!$D$2:$D$89,$C238)/SUMIFS(Fact_SortedWeights!$E$2:$E$89,Fact_SortedWeights!$C$2:$C$89,$A238,Fact_SortedWeights!$B$2:$B$89,$B238)*(IF($B238="Cardboard Recycling",SUMIFS(Fact_SortedWeights!$E$2:$E$89,Fact_SortedWeights!$C$2:$C$89,$A238,Fact_SortedWeights!$B$2:$B$89,$B238),SUMIFS(Fact_PreSortWeights!$E$2:$E$186,Fact_PreSortWeights!$C$2:$C$186,$A238,Fact_PreSortWeights!$B$2:$B$186,$B238))))</f>
        <v>0</v>
      </c>
      <c r="G238" s="0" t="n">
        <f aca="false">IF(AND(IF($B238="Trash",INDEX('Materials Master'!$F$2:$F$27,MATCH($C238,'Materials Master'!$A$2:$A$27,0)),IF($B238="GMPC Recycling",INDEX('Materials Master'!$G$2:$G$27,MATCH($C238,'Materials Master'!$A$2:$A$27,0)),IF($B238="Organics Recycling",INDEX('Materials Master'!$H$2:$H$27,MATCH($C238,'Materials Master'!$A$2:$A$27,0)),IF($B238="Cardboard Recycling",INDEX('Materials Master'!$I$2:$I$27,MATCH($C238,'Materials Master'!$A$2:$A$27,0)),IF($B238="Paper Recycling",INDEX('Materials Master'!$J$2:$J$27,MATCH($C238,'Materials Master'!$A$2:$A$27,0)),IF($B238="Terracycle",INDEX('Materials Master'!$K$2:$K$27,MATCH($C238,'Materials Master'!$A$2:$A$27,0)),"No"))))))="Yes",INDEX('Materials Master'!$E$2:$E$27,MATCH($C238,'Materials Master'!$A$2:$A$27,0))="Yes",$B238&lt;&gt;"Trash"),1,0)</f>
        <v>0</v>
      </c>
      <c r="H238" s="0" t="str">
        <f aca="false">INDEX('Materials Master'!$E$2:$E$27,MATCH($C238,'Materials Master'!$A$2:$A$27,0))</f>
        <v>No</v>
      </c>
      <c r="I238" s="0" t="str">
        <f aca="false">IFERROR(INDEX(Areas!$C$2:$C$6,MATCH($A238,Areas!$B$2:$B$6,0)),"")</f>
        <v>BOH</v>
      </c>
      <c r="J238" s="0" t="n">
        <f aca="false">IF(IF($B238="Trash",INDEX('Materials Master'!$F$2:$F$27,MATCH($C238,'Materials Master'!$A$2:$A$27,0)),IF($B238="GMPC Recycling",INDEX('Materials Master'!$G$2:$G$27,MATCH($C238,'Materials Master'!$A$2:$A$27,0)),IF($B238="Organics Recycling",INDEX('Materials Master'!$H$2:$H$27,MATCH($C238,'Materials Master'!$A$2:$A$27,0)),IF($B238="Cardboard Recycling",INDEX('Materials Master'!$I$2:$I$27,MATCH($C238,'Materials Master'!$A$2:$A$27,0)),IF($B238="Paper Recycling",INDEX('Materials Master'!$J$2:$J$27,MATCH($C238,'Materials Master'!$A$2:$A$27,0)),IF($B238="Terracycle",INDEX('Materials Master'!$K$2:$K$27,MATCH($C238,'Materials Master'!$A$2:$A$27,0)),"No"))))))="Yes",1,0)</f>
        <v>0</v>
      </c>
    </row>
    <row r="239" customFormat="false" ht="15" hidden="false" customHeight="false" outlineLevel="0" collapsed="false">
      <c r="A239" s="0" t="s">
        <v>95</v>
      </c>
      <c r="B239" s="0" t="s">
        <v>106</v>
      </c>
      <c r="C239" s="0" t="s">
        <v>37</v>
      </c>
      <c r="D239" s="0" t="str">
        <f aca="false">IFERROR(INDEX('Materials Master'!$B$2:$B$27,MATCH($C239,'Materials Master'!$A$2:$A$27,0)),"")</f>
        <v>Mixed Paper</v>
      </c>
      <c r="E239" s="0" t="str">
        <f aca="false">IFERROR(INDEX('Materials Master'!$C$2:$C$27,MATCH($C239,'Materials Master'!$A$2:$A$27,0)),"")</f>
        <v>Fibers</v>
      </c>
      <c r="F239" s="0" t="n">
        <f aca="false">IF(SUMIFS(Fact_SortedWeights!$E$2:$E$89,Fact_SortedWeights!$C$2:$C$89,$A239,Fact_SortedWeights!$B$2:$B$89,$B239)=0,0,SUMIFS(Fact_SortedWeights!$E$2:$E$89,Fact_SortedWeights!$C$2:$C$89,$A239,Fact_SortedWeights!$B$2:$B$89,$B239,Fact_SortedWeights!$D$2:$D$89,$C239)/SUMIFS(Fact_SortedWeights!$E$2:$E$89,Fact_SortedWeights!$C$2:$C$89,$A239,Fact_SortedWeights!$B$2:$B$89,$B239)*(IF($B239="Cardboard Recycling",SUMIFS(Fact_SortedWeights!$E$2:$E$89,Fact_SortedWeights!$C$2:$C$89,$A239,Fact_SortedWeights!$B$2:$B$89,$B239),SUMIFS(Fact_PreSortWeights!$E$2:$E$186,Fact_PreSortWeights!$C$2:$C$186,$A239,Fact_PreSortWeights!$B$2:$B$186,$B239))))</f>
        <v>0</v>
      </c>
      <c r="G239" s="0" t="n">
        <f aca="false">IF(AND(IF($B239="Trash",INDEX('Materials Master'!$F$2:$F$27,MATCH($C239,'Materials Master'!$A$2:$A$27,0)),IF($B239="GMPC Recycling",INDEX('Materials Master'!$G$2:$G$27,MATCH($C239,'Materials Master'!$A$2:$A$27,0)),IF($B239="Organics Recycling",INDEX('Materials Master'!$H$2:$H$27,MATCH($C239,'Materials Master'!$A$2:$A$27,0)),IF($B239="Cardboard Recycling",INDEX('Materials Master'!$I$2:$I$27,MATCH($C239,'Materials Master'!$A$2:$A$27,0)),IF($B239="Paper Recycling",INDEX('Materials Master'!$J$2:$J$27,MATCH($C239,'Materials Master'!$A$2:$A$27,0)),IF($B239="Terracycle",INDEX('Materials Master'!$K$2:$K$27,MATCH($C239,'Materials Master'!$A$2:$A$27,0)),"No"))))))="Yes",INDEX('Materials Master'!$E$2:$E$27,MATCH($C239,'Materials Master'!$A$2:$A$27,0))="Yes",$B239&lt;&gt;"Trash"),1,0)</f>
        <v>1</v>
      </c>
      <c r="H239" s="0" t="str">
        <f aca="false">INDEX('Materials Master'!$E$2:$E$27,MATCH($C239,'Materials Master'!$A$2:$A$27,0))</f>
        <v>Yes</v>
      </c>
      <c r="I239" s="0" t="str">
        <f aca="false">IFERROR(INDEX(Areas!$C$2:$C$6,MATCH($A239,Areas!$B$2:$B$6,0)),"")</f>
        <v>BOH</v>
      </c>
      <c r="J239" s="0" t="n">
        <f aca="false">IF(IF($B239="Trash",INDEX('Materials Master'!$F$2:$F$27,MATCH($C239,'Materials Master'!$A$2:$A$27,0)),IF($B239="GMPC Recycling",INDEX('Materials Master'!$G$2:$G$27,MATCH($C239,'Materials Master'!$A$2:$A$27,0)),IF($B239="Organics Recycling",INDEX('Materials Master'!$H$2:$H$27,MATCH($C239,'Materials Master'!$A$2:$A$27,0)),IF($B239="Cardboard Recycling",INDEX('Materials Master'!$I$2:$I$27,MATCH($C239,'Materials Master'!$A$2:$A$27,0)),IF($B239="Paper Recycling",INDEX('Materials Master'!$J$2:$J$27,MATCH($C239,'Materials Master'!$A$2:$A$27,0)),IF($B239="Terracycle",INDEX('Materials Master'!$K$2:$K$27,MATCH($C239,'Materials Master'!$A$2:$A$27,0)),"No"))))))="Yes",1,0)</f>
        <v>1</v>
      </c>
    </row>
    <row r="240" customFormat="false" ht="15" hidden="false" customHeight="false" outlineLevel="0" collapsed="false">
      <c r="A240" s="0" t="s">
        <v>95</v>
      </c>
      <c r="B240" s="0" t="s">
        <v>106</v>
      </c>
      <c r="C240" s="0" t="s">
        <v>39</v>
      </c>
      <c r="D240" s="0" t="str">
        <f aca="false">IFERROR(INDEX('Materials Master'!$B$2:$B$27,MATCH($C240,'Materials Master'!$A$2:$A$27,0)),"")</f>
        <v>Soiled Paper</v>
      </c>
      <c r="E240" s="0" t="str">
        <f aca="false">IFERROR(INDEX('Materials Master'!$C$2:$C$27,MATCH($C240,'Materials Master'!$A$2:$A$27,0)),"")</f>
        <v>Fibers</v>
      </c>
      <c r="F240" s="0" t="n">
        <f aca="false">IF(SUMIFS(Fact_SortedWeights!$E$2:$E$89,Fact_SortedWeights!$C$2:$C$89,$A240,Fact_SortedWeights!$B$2:$B$89,$B240)=0,0,SUMIFS(Fact_SortedWeights!$E$2:$E$89,Fact_SortedWeights!$C$2:$C$89,$A240,Fact_SortedWeights!$B$2:$B$89,$B240,Fact_SortedWeights!$D$2:$D$89,$C240)/SUMIFS(Fact_SortedWeights!$E$2:$E$89,Fact_SortedWeights!$C$2:$C$89,$A240,Fact_SortedWeights!$B$2:$B$89,$B240)*(IF($B240="Cardboard Recycling",SUMIFS(Fact_SortedWeights!$E$2:$E$89,Fact_SortedWeights!$C$2:$C$89,$A240,Fact_SortedWeights!$B$2:$B$89,$B240),SUMIFS(Fact_PreSortWeights!$E$2:$E$186,Fact_PreSortWeights!$C$2:$C$186,$A240,Fact_PreSortWeights!$B$2:$B$186,$B240))))</f>
        <v>0</v>
      </c>
      <c r="G240" s="0" t="n">
        <f aca="false">IF(AND(IF($B240="Trash",INDEX('Materials Master'!$F$2:$F$27,MATCH($C240,'Materials Master'!$A$2:$A$27,0)),IF($B240="GMPC Recycling",INDEX('Materials Master'!$G$2:$G$27,MATCH($C240,'Materials Master'!$A$2:$A$27,0)),IF($B240="Organics Recycling",INDEX('Materials Master'!$H$2:$H$27,MATCH($C240,'Materials Master'!$A$2:$A$27,0)),IF($B240="Cardboard Recycling",INDEX('Materials Master'!$I$2:$I$27,MATCH($C240,'Materials Master'!$A$2:$A$27,0)),IF($B240="Paper Recycling",INDEX('Materials Master'!$J$2:$J$27,MATCH($C240,'Materials Master'!$A$2:$A$27,0)),IF($B240="Terracycle",INDEX('Materials Master'!$K$2:$K$27,MATCH($C240,'Materials Master'!$A$2:$A$27,0)),"No"))))))="Yes",INDEX('Materials Master'!$E$2:$E$27,MATCH($C240,'Materials Master'!$A$2:$A$27,0))="Yes",$B240&lt;&gt;"Trash"),1,0)</f>
        <v>0</v>
      </c>
      <c r="H240" s="0" t="str">
        <f aca="false">INDEX('Materials Master'!$E$2:$E$27,MATCH($C240,'Materials Master'!$A$2:$A$27,0))</f>
        <v>No</v>
      </c>
      <c r="I240" s="0" t="str">
        <f aca="false">IFERROR(INDEX(Areas!$C$2:$C$6,MATCH($A240,Areas!$B$2:$B$6,0)),"")</f>
        <v>BOH</v>
      </c>
      <c r="J240" s="0" t="n">
        <f aca="false">IF(IF($B240="Trash",INDEX('Materials Master'!$F$2:$F$27,MATCH($C240,'Materials Master'!$A$2:$A$27,0)),IF($B240="GMPC Recycling",INDEX('Materials Master'!$G$2:$G$27,MATCH($C240,'Materials Master'!$A$2:$A$27,0)),IF($B240="Organics Recycling",INDEX('Materials Master'!$H$2:$H$27,MATCH($C240,'Materials Master'!$A$2:$A$27,0)),IF($B240="Cardboard Recycling",INDEX('Materials Master'!$I$2:$I$27,MATCH($C240,'Materials Master'!$A$2:$A$27,0)),IF($B240="Paper Recycling",INDEX('Materials Master'!$J$2:$J$27,MATCH($C240,'Materials Master'!$A$2:$A$27,0)),IF($B240="Terracycle",INDEX('Materials Master'!$K$2:$K$27,MATCH($C240,'Materials Master'!$A$2:$A$27,0)),"No"))))))="Yes",1,0)</f>
        <v>0</v>
      </c>
    </row>
    <row r="241" customFormat="false" ht="15" hidden="false" customHeight="false" outlineLevel="0" collapsed="false">
      <c r="A241" s="0" t="s">
        <v>95</v>
      </c>
      <c r="B241" s="0" t="s">
        <v>106</v>
      </c>
      <c r="C241" s="0" t="s">
        <v>41</v>
      </c>
      <c r="D241" s="0" t="str">
        <f aca="false">IFERROR(INDEX('Materials Master'!$B$2:$B$27,MATCH($C241,'Materials Master'!$A$2:$A$27,0)),"")</f>
        <v>Beverage Cartons</v>
      </c>
      <c r="E241" s="0" t="str">
        <f aca="false">IFERROR(INDEX('Materials Master'!$C$2:$C$27,MATCH($C241,'Materials Master'!$A$2:$A$27,0)),"")</f>
        <v>Fibers</v>
      </c>
      <c r="F241" s="0" t="n">
        <f aca="false">IF(SUMIFS(Fact_SortedWeights!$E$2:$E$89,Fact_SortedWeights!$C$2:$C$89,$A241,Fact_SortedWeights!$B$2:$B$89,$B241)=0,0,SUMIFS(Fact_SortedWeights!$E$2:$E$89,Fact_SortedWeights!$C$2:$C$89,$A241,Fact_SortedWeights!$B$2:$B$89,$B241,Fact_SortedWeights!$D$2:$D$89,$C241)/SUMIFS(Fact_SortedWeights!$E$2:$E$89,Fact_SortedWeights!$C$2:$C$89,$A241,Fact_SortedWeights!$B$2:$B$89,$B241)*(IF($B241="Cardboard Recycling",SUMIFS(Fact_SortedWeights!$E$2:$E$89,Fact_SortedWeights!$C$2:$C$89,$A241,Fact_SortedWeights!$B$2:$B$89,$B241),SUMIFS(Fact_PreSortWeights!$E$2:$E$186,Fact_PreSortWeights!$C$2:$C$186,$A241,Fact_PreSortWeights!$B$2:$B$186,$B241))))</f>
        <v>0</v>
      </c>
      <c r="G241" s="0" t="n">
        <f aca="false">IF(AND(IF($B241="Trash",INDEX('Materials Master'!$F$2:$F$27,MATCH($C241,'Materials Master'!$A$2:$A$27,0)),IF($B241="GMPC Recycling",INDEX('Materials Master'!$G$2:$G$27,MATCH($C241,'Materials Master'!$A$2:$A$27,0)),IF($B241="Organics Recycling",INDEX('Materials Master'!$H$2:$H$27,MATCH($C241,'Materials Master'!$A$2:$A$27,0)),IF($B241="Cardboard Recycling",INDEX('Materials Master'!$I$2:$I$27,MATCH($C241,'Materials Master'!$A$2:$A$27,0)),IF($B241="Paper Recycling",INDEX('Materials Master'!$J$2:$J$27,MATCH($C241,'Materials Master'!$A$2:$A$27,0)),IF($B241="Terracycle",INDEX('Materials Master'!$K$2:$K$27,MATCH($C241,'Materials Master'!$A$2:$A$27,0)),"No"))))))="Yes",INDEX('Materials Master'!$E$2:$E$27,MATCH($C241,'Materials Master'!$A$2:$A$27,0))="Yes",$B241&lt;&gt;"Trash"),1,0)</f>
        <v>1</v>
      </c>
      <c r="H241" s="0" t="str">
        <f aca="false">INDEX('Materials Master'!$E$2:$E$27,MATCH($C241,'Materials Master'!$A$2:$A$27,0))</f>
        <v>Yes</v>
      </c>
      <c r="I241" s="0" t="str">
        <f aca="false">IFERROR(INDEX(Areas!$C$2:$C$6,MATCH($A241,Areas!$B$2:$B$6,0)),"")</f>
        <v>BOH</v>
      </c>
      <c r="J241" s="0" t="n">
        <f aca="false">IF(IF($B241="Trash",INDEX('Materials Master'!$F$2:$F$27,MATCH($C241,'Materials Master'!$A$2:$A$27,0)),IF($B241="GMPC Recycling",INDEX('Materials Master'!$G$2:$G$27,MATCH($C241,'Materials Master'!$A$2:$A$27,0)),IF($B241="Organics Recycling",INDEX('Materials Master'!$H$2:$H$27,MATCH($C241,'Materials Master'!$A$2:$A$27,0)),IF($B241="Cardboard Recycling",INDEX('Materials Master'!$I$2:$I$27,MATCH($C241,'Materials Master'!$A$2:$A$27,0)),IF($B241="Paper Recycling",INDEX('Materials Master'!$J$2:$J$27,MATCH($C241,'Materials Master'!$A$2:$A$27,0)),IF($B241="Terracycle",INDEX('Materials Master'!$K$2:$K$27,MATCH($C241,'Materials Master'!$A$2:$A$27,0)),"No"))))))="Yes",1,0)</f>
        <v>1</v>
      </c>
    </row>
    <row r="242" customFormat="false" ht="15" hidden="false" customHeight="false" outlineLevel="0" collapsed="false">
      <c r="A242" s="0" t="s">
        <v>95</v>
      </c>
      <c r="B242" s="0" t="s">
        <v>106</v>
      </c>
      <c r="C242" s="0" t="s">
        <v>43</v>
      </c>
      <c r="D242" s="0" t="str">
        <f aca="false">IFERROR(INDEX('Materials Master'!$B$2:$B$27,MATCH($C242,'Materials Master'!$A$2:$A$27,0)),"")</f>
        <v>Soiled Beverage Cartons</v>
      </c>
      <c r="E242" s="0" t="str">
        <f aca="false">IFERROR(INDEX('Materials Master'!$C$2:$C$27,MATCH($C242,'Materials Master'!$A$2:$A$27,0)),"")</f>
        <v>Fibers</v>
      </c>
      <c r="F242" s="0" t="n">
        <f aca="false">IF(SUMIFS(Fact_SortedWeights!$E$2:$E$89,Fact_SortedWeights!$C$2:$C$89,$A242,Fact_SortedWeights!$B$2:$B$89,$B242)=0,0,SUMIFS(Fact_SortedWeights!$E$2:$E$89,Fact_SortedWeights!$C$2:$C$89,$A242,Fact_SortedWeights!$B$2:$B$89,$B242,Fact_SortedWeights!$D$2:$D$89,$C242)/SUMIFS(Fact_SortedWeights!$E$2:$E$89,Fact_SortedWeights!$C$2:$C$89,$A242,Fact_SortedWeights!$B$2:$B$89,$B242)*(IF($B242="Cardboard Recycling",SUMIFS(Fact_SortedWeights!$E$2:$E$89,Fact_SortedWeights!$C$2:$C$89,$A242,Fact_SortedWeights!$B$2:$B$89,$B242),SUMIFS(Fact_PreSortWeights!$E$2:$E$186,Fact_PreSortWeights!$C$2:$C$186,$A242,Fact_PreSortWeights!$B$2:$B$186,$B242))))</f>
        <v>0</v>
      </c>
      <c r="G242" s="0" t="n">
        <f aca="false">IF(AND(IF($B242="Trash",INDEX('Materials Master'!$F$2:$F$27,MATCH($C242,'Materials Master'!$A$2:$A$27,0)),IF($B242="GMPC Recycling",INDEX('Materials Master'!$G$2:$G$27,MATCH($C242,'Materials Master'!$A$2:$A$27,0)),IF($B242="Organics Recycling",INDEX('Materials Master'!$H$2:$H$27,MATCH($C242,'Materials Master'!$A$2:$A$27,0)),IF($B242="Cardboard Recycling",INDEX('Materials Master'!$I$2:$I$27,MATCH($C242,'Materials Master'!$A$2:$A$27,0)),IF($B242="Paper Recycling",INDEX('Materials Master'!$J$2:$J$27,MATCH($C242,'Materials Master'!$A$2:$A$27,0)),IF($B242="Terracycle",INDEX('Materials Master'!$K$2:$K$27,MATCH($C242,'Materials Master'!$A$2:$A$27,0)),"No"))))))="Yes",INDEX('Materials Master'!$E$2:$E$27,MATCH($C242,'Materials Master'!$A$2:$A$27,0))="Yes",$B242&lt;&gt;"Trash"),1,0)</f>
        <v>0</v>
      </c>
      <c r="H242" s="0" t="str">
        <f aca="false">INDEX('Materials Master'!$E$2:$E$27,MATCH($C242,'Materials Master'!$A$2:$A$27,0))</f>
        <v>No</v>
      </c>
      <c r="I242" s="0" t="str">
        <f aca="false">IFERROR(INDEX(Areas!$C$2:$C$6,MATCH($A242,Areas!$B$2:$B$6,0)),"")</f>
        <v>BOH</v>
      </c>
      <c r="J242" s="0" t="n">
        <f aca="false">IF(IF($B242="Trash",INDEX('Materials Master'!$F$2:$F$27,MATCH($C242,'Materials Master'!$A$2:$A$27,0)),IF($B242="GMPC Recycling",INDEX('Materials Master'!$G$2:$G$27,MATCH($C242,'Materials Master'!$A$2:$A$27,0)),IF($B242="Organics Recycling",INDEX('Materials Master'!$H$2:$H$27,MATCH($C242,'Materials Master'!$A$2:$A$27,0)),IF($B242="Cardboard Recycling",INDEX('Materials Master'!$I$2:$I$27,MATCH($C242,'Materials Master'!$A$2:$A$27,0)),IF($B242="Paper Recycling",INDEX('Materials Master'!$J$2:$J$27,MATCH($C242,'Materials Master'!$A$2:$A$27,0)),IF($B242="Terracycle",INDEX('Materials Master'!$K$2:$K$27,MATCH($C242,'Materials Master'!$A$2:$A$27,0)),"No"))))))="Yes",1,0)</f>
        <v>0</v>
      </c>
    </row>
    <row r="243" customFormat="false" ht="15" hidden="false" customHeight="false" outlineLevel="0" collapsed="false">
      <c r="A243" s="0" t="s">
        <v>95</v>
      </c>
      <c r="B243" s="0" t="s">
        <v>106</v>
      </c>
      <c r="C243" s="0" t="s">
        <v>45</v>
      </c>
      <c r="D243" s="0" t="str">
        <f aca="false">IFERROR(INDEX('Materials Master'!$B$2:$B$27,MATCH($C243,'Materials Master'!$A$2:$A$27,0)),"")</f>
        <v>Paper Cups / Other Coated Paper Containers</v>
      </c>
      <c r="E243" s="0" t="str">
        <f aca="false">IFERROR(INDEX('Materials Master'!$C$2:$C$27,MATCH($C243,'Materials Master'!$A$2:$A$27,0)),"")</f>
        <v>Fibers</v>
      </c>
      <c r="F243" s="0" t="n">
        <f aca="false">IF(SUMIFS(Fact_SortedWeights!$E$2:$E$89,Fact_SortedWeights!$C$2:$C$89,$A243,Fact_SortedWeights!$B$2:$B$89,$B243)=0,0,SUMIFS(Fact_SortedWeights!$E$2:$E$89,Fact_SortedWeights!$C$2:$C$89,$A243,Fact_SortedWeights!$B$2:$B$89,$B243,Fact_SortedWeights!$D$2:$D$89,$C243)/SUMIFS(Fact_SortedWeights!$E$2:$E$89,Fact_SortedWeights!$C$2:$C$89,$A243,Fact_SortedWeights!$B$2:$B$89,$B243)*(IF($B243="Cardboard Recycling",SUMIFS(Fact_SortedWeights!$E$2:$E$89,Fact_SortedWeights!$C$2:$C$89,$A243,Fact_SortedWeights!$B$2:$B$89,$B243),SUMIFS(Fact_PreSortWeights!$E$2:$E$186,Fact_PreSortWeights!$C$2:$C$186,$A243,Fact_PreSortWeights!$B$2:$B$186,$B243))))</f>
        <v>0</v>
      </c>
      <c r="G243" s="0" t="n">
        <f aca="false">IF(AND(IF($B243="Trash",INDEX('Materials Master'!$F$2:$F$27,MATCH($C243,'Materials Master'!$A$2:$A$27,0)),IF($B243="GMPC Recycling",INDEX('Materials Master'!$G$2:$G$27,MATCH($C243,'Materials Master'!$A$2:$A$27,0)),IF($B243="Organics Recycling",INDEX('Materials Master'!$H$2:$H$27,MATCH($C243,'Materials Master'!$A$2:$A$27,0)),IF($B243="Cardboard Recycling",INDEX('Materials Master'!$I$2:$I$27,MATCH($C243,'Materials Master'!$A$2:$A$27,0)),IF($B243="Paper Recycling",INDEX('Materials Master'!$J$2:$J$27,MATCH($C243,'Materials Master'!$A$2:$A$27,0)),IF($B243="Terracycle",INDEX('Materials Master'!$K$2:$K$27,MATCH($C243,'Materials Master'!$A$2:$A$27,0)),"No"))))))="Yes",INDEX('Materials Master'!$E$2:$E$27,MATCH($C243,'Materials Master'!$A$2:$A$27,0))="Yes",$B243&lt;&gt;"Trash"),1,0)</f>
        <v>0</v>
      </c>
      <c r="H243" s="0" t="str">
        <f aca="false">INDEX('Materials Master'!$E$2:$E$27,MATCH($C243,'Materials Master'!$A$2:$A$27,0))</f>
        <v>No</v>
      </c>
      <c r="I243" s="0" t="str">
        <f aca="false">IFERROR(INDEX(Areas!$C$2:$C$6,MATCH($A243,Areas!$B$2:$B$6,0)),"")</f>
        <v>BOH</v>
      </c>
      <c r="J243" s="0" t="n">
        <f aca="false">IF(IF($B243="Trash",INDEX('Materials Master'!$F$2:$F$27,MATCH($C243,'Materials Master'!$A$2:$A$27,0)),IF($B243="GMPC Recycling",INDEX('Materials Master'!$G$2:$G$27,MATCH($C243,'Materials Master'!$A$2:$A$27,0)),IF($B243="Organics Recycling",INDEX('Materials Master'!$H$2:$H$27,MATCH($C243,'Materials Master'!$A$2:$A$27,0)),IF($B243="Cardboard Recycling",INDEX('Materials Master'!$I$2:$I$27,MATCH($C243,'Materials Master'!$A$2:$A$27,0)),IF($B243="Paper Recycling",INDEX('Materials Master'!$J$2:$J$27,MATCH($C243,'Materials Master'!$A$2:$A$27,0)),IF($B243="Terracycle",INDEX('Materials Master'!$K$2:$K$27,MATCH($C243,'Materials Master'!$A$2:$A$27,0)),"No"))))))="Yes",1,0)</f>
        <v>0</v>
      </c>
    </row>
    <row r="244" customFormat="false" ht="15" hidden="false" customHeight="false" outlineLevel="0" collapsed="false">
      <c r="A244" s="0" t="s">
        <v>95</v>
      </c>
      <c r="B244" s="0" t="s">
        <v>106</v>
      </c>
      <c r="C244" s="0" t="s">
        <v>47</v>
      </c>
      <c r="D244" s="0" t="str">
        <f aca="false">IFERROR(INDEX('Materials Master'!$B$2:$B$27,MATCH($C244,'Materials Master'!$A$2:$A$27,0)),"")</f>
        <v>Glass Bottles &amp; Jars</v>
      </c>
      <c r="E244" s="0" t="str">
        <f aca="false">IFERROR(INDEX('Materials Master'!$C$2:$C$27,MATCH($C244,'Materials Master'!$A$2:$A$27,0)),"")</f>
        <v>Glass</v>
      </c>
      <c r="F244" s="0" t="n">
        <f aca="false">IF(SUMIFS(Fact_SortedWeights!$E$2:$E$89,Fact_SortedWeights!$C$2:$C$89,$A244,Fact_SortedWeights!$B$2:$B$89,$B244)=0,0,SUMIFS(Fact_SortedWeights!$E$2:$E$89,Fact_SortedWeights!$C$2:$C$89,$A244,Fact_SortedWeights!$B$2:$B$89,$B244,Fact_SortedWeights!$D$2:$D$89,$C244)/SUMIFS(Fact_SortedWeights!$E$2:$E$89,Fact_SortedWeights!$C$2:$C$89,$A244,Fact_SortedWeights!$B$2:$B$89,$B244)*(IF($B244="Cardboard Recycling",SUMIFS(Fact_SortedWeights!$E$2:$E$89,Fact_SortedWeights!$C$2:$C$89,$A244,Fact_SortedWeights!$B$2:$B$89,$B244),SUMIFS(Fact_PreSortWeights!$E$2:$E$186,Fact_PreSortWeights!$C$2:$C$186,$A244,Fact_PreSortWeights!$B$2:$B$186,$B244))))</f>
        <v>0</v>
      </c>
      <c r="G244" s="0" t="n">
        <f aca="false">IF(AND(IF($B244="Trash",INDEX('Materials Master'!$F$2:$F$27,MATCH($C244,'Materials Master'!$A$2:$A$27,0)),IF($B244="GMPC Recycling",INDEX('Materials Master'!$G$2:$G$27,MATCH($C244,'Materials Master'!$A$2:$A$27,0)),IF($B244="Organics Recycling",INDEX('Materials Master'!$H$2:$H$27,MATCH($C244,'Materials Master'!$A$2:$A$27,0)),IF($B244="Cardboard Recycling",INDEX('Materials Master'!$I$2:$I$27,MATCH($C244,'Materials Master'!$A$2:$A$27,0)),IF($B244="Paper Recycling",INDEX('Materials Master'!$J$2:$J$27,MATCH($C244,'Materials Master'!$A$2:$A$27,0)),IF($B244="Terracycle",INDEX('Materials Master'!$K$2:$K$27,MATCH($C244,'Materials Master'!$A$2:$A$27,0)),"No"))))))="Yes",INDEX('Materials Master'!$E$2:$E$27,MATCH($C244,'Materials Master'!$A$2:$A$27,0))="Yes",$B244&lt;&gt;"Trash"),1,0)</f>
        <v>1</v>
      </c>
      <c r="H244" s="0" t="str">
        <f aca="false">INDEX('Materials Master'!$E$2:$E$27,MATCH($C244,'Materials Master'!$A$2:$A$27,0))</f>
        <v>Yes</v>
      </c>
      <c r="I244" s="0" t="str">
        <f aca="false">IFERROR(INDEX(Areas!$C$2:$C$6,MATCH($A244,Areas!$B$2:$B$6,0)),"")</f>
        <v>BOH</v>
      </c>
      <c r="J244" s="0" t="n">
        <f aca="false">IF(IF($B244="Trash",INDEX('Materials Master'!$F$2:$F$27,MATCH($C244,'Materials Master'!$A$2:$A$27,0)),IF($B244="GMPC Recycling",INDEX('Materials Master'!$G$2:$G$27,MATCH($C244,'Materials Master'!$A$2:$A$27,0)),IF($B244="Organics Recycling",INDEX('Materials Master'!$H$2:$H$27,MATCH($C244,'Materials Master'!$A$2:$A$27,0)),IF($B244="Cardboard Recycling",INDEX('Materials Master'!$I$2:$I$27,MATCH($C244,'Materials Master'!$A$2:$A$27,0)),IF($B244="Paper Recycling",INDEX('Materials Master'!$J$2:$J$27,MATCH($C244,'Materials Master'!$A$2:$A$27,0)),IF($B244="Terracycle",INDEX('Materials Master'!$K$2:$K$27,MATCH($C244,'Materials Master'!$A$2:$A$27,0)),"No"))))))="Yes",1,0)</f>
        <v>1</v>
      </c>
    </row>
    <row r="245" customFormat="false" ht="15" hidden="false" customHeight="false" outlineLevel="0" collapsed="false">
      <c r="A245" s="0" t="s">
        <v>95</v>
      </c>
      <c r="B245" s="0" t="s">
        <v>106</v>
      </c>
      <c r="C245" s="0" t="s">
        <v>50</v>
      </c>
      <c r="D245" s="0" t="str">
        <f aca="false">IFERROR(INDEX('Materials Master'!$B$2:$B$27,MATCH($C245,'Materials Master'!$A$2:$A$27,0)),"")</f>
        <v>Soiled Glass</v>
      </c>
      <c r="E245" s="0" t="str">
        <f aca="false">IFERROR(INDEX('Materials Master'!$C$2:$C$27,MATCH($C245,'Materials Master'!$A$2:$A$27,0)),"")</f>
        <v>Glass</v>
      </c>
      <c r="F245" s="0" t="n">
        <f aca="false">IF(SUMIFS(Fact_SortedWeights!$E$2:$E$89,Fact_SortedWeights!$C$2:$C$89,$A245,Fact_SortedWeights!$B$2:$B$89,$B245)=0,0,SUMIFS(Fact_SortedWeights!$E$2:$E$89,Fact_SortedWeights!$C$2:$C$89,$A245,Fact_SortedWeights!$B$2:$B$89,$B245,Fact_SortedWeights!$D$2:$D$89,$C245)/SUMIFS(Fact_SortedWeights!$E$2:$E$89,Fact_SortedWeights!$C$2:$C$89,$A245,Fact_SortedWeights!$B$2:$B$89,$B245)*(IF($B245="Cardboard Recycling",SUMIFS(Fact_SortedWeights!$E$2:$E$89,Fact_SortedWeights!$C$2:$C$89,$A245,Fact_SortedWeights!$B$2:$B$89,$B245),SUMIFS(Fact_PreSortWeights!$E$2:$E$186,Fact_PreSortWeights!$C$2:$C$186,$A245,Fact_PreSortWeights!$B$2:$B$186,$B245))))</f>
        <v>0</v>
      </c>
      <c r="G245" s="0" t="n">
        <f aca="false">IF(AND(IF($B245="Trash",INDEX('Materials Master'!$F$2:$F$27,MATCH($C245,'Materials Master'!$A$2:$A$27,0)),IF($B245="GMPC Recycling",INDEX('Materials Master'!$G$2:$G$27,MATCH($C245,'Materials Master'!$A$2:$A$27,0)),IF($B245="Organics Recycling",INDEX('Materials Master'!$H$2:$H$27,MATCH($C245,'Materials Master'!$A$2:$A$27,0)),IF($B245="Cardboard Recycling",INDEX('Materials Master'!$I$2:$I$27,MATCH($C245,'Materials Master'!$A$2:$A$27,0)),IF($B245="Paper Recycling",INDEX('Materials Master'!$J$2:$J$27,MATCH($C245,'Materials Master'!$A$2:$A$27,0)),IF($B245="Terracycle",INDEX('Materials Master'!$K$2:$K$27,MATCH($C245,'Materials Master'!$A$2:$A$27,0)),"No"))))))="Yes",INDEX('Materials Master'!$E$2:$E$27,MATCH($C245,'Materials Master'!$A$2:$A$27,0))="Yes",$B245&lt;&gt;"Trash"),1,0)</f>
        <v>0</v>
      </c>
      <c r="H245" s="0" t="str">
        <f aca="false">INDEX('Materials Master'!$E$2:$E$27,MATCH($C245,'Materials Master'!$A$2:$A$27,0))</f>
        <v>No</v>
      </c>
      <c r="I245" s="0" t="str">
        <f aca="false">IFERROR(INDEX(Areas!$C$2:$C$6,MATCH($A245,Areas!$B$2:$B$6,0)),"")</f>
        <v>BOH</v>
      </c>
      <c r="J245" s="0" t="n">
        <f aca="false">IF(IF($B245="Trash",INDEX('Materials Master'!$F$2:$F$27,MATCH($C245,'Materials Master'!$A$2:$A$27,0)),IF($B245="GMPC Recycling",INDEX('Materials Master'!$G$2:$G$27,MATCH($C245,'Materials Master'!$A$2:$A$27,0)),IF($B245="Organics Recycling",INDEX('Materials Master'!$H$2:$H$27,MATCH($C245,'Materials Master'!$A$2:$A$27,0)),IF($B245="Cardboard Recycling",INDEX('Materials Master'!$I$2:$I$27,MATCH($C245,'Materials Master'!$A$2:$A$27,0)),IF($B245="Paper Recycling",INDEX('Materials Master'!$J$2:$J$27,MATCH($C245,'Materials Master'!$A$2:$A$27,0)),IF($B245="Terracycle",INDEX('Materials Master'!$K$2:$K$27,MATCH($C245,'Materials Master'!$A$2:$A$27,0)),"No"))))))="Yes",1,0)</f>
        <v>0</v>
      </c>
    </row>
    <row r="246" customFormat="false" ht="15" hidden="false" customHeight="false" outlineLevel="0" collapsed="false">
      <c r="A246" s="0" t="s">
        <v>95</v>
      </c>
      <c r="B246" s="0" t="s">
        <v>106</v>
      </c>
      <c r="C246" s="0" t="s">
        <v>52</v>
      </c>
      <c r="D246" s="0" t="str">
        <f aca="false">IFERROR(INDEX('Materials Master'!$B$2:$B$27,MATCH($C246,'Materials Master'!$A$2:$A$27,0)),"")</f>
        <v>Aluminum &amp; Bi-Metal Containers</v>
      </c>
      <c r="E246" s="0" t="str">
        <f aca="false">IFERROR(INDEX('Materials Master'!$C$2:$C$27,MATCH($C246,'Materials Master'!$A$2:$A$27,0)),"")</f>
        <v>Metals</v>
      </c>
      <c r="F246" s="0" t="n">
        <f aca="false">IF(SUMIFS(Fact_SortedWeights!$E$2:$E$89,Fact_SortedWeights!$C$2:$C$89,$A246,Fact_SortedWeights!$B$2:$B$89,$B246)=0,0,SUMIFS(Fact_SortedWeights!$E$2:$E$89,Fact_SortedWeights!$C$2:$C$89,$A246,Fact_SortedWeights!$B$2:$B$89,$B246,Fact_SortedWeights!$D$2:$D$89,$C246)/SUMIFS(Fact_SortedWeights!$E$2:$E$89,Fact_SortedWeights!$C$2:$C$89,$A246,Fact_SortedWeights!$B$2:$B$89,$B246)*(IF($B246="Cardboard Recycling",SUMIFS(Fact_SortedWeights!$E$2:$E$89,Fact_SortedWeights!$C$2:$C$89,$A246,Fact_SortedWeights!$B$2:$B$89,$B246),SUMIFS(Fact_PreSortWeights!$E$2:$E$186,Fact_PreSortWeights!$C$2:$C$186,$A246,Fact_PreSortWeights!$B$2:$B$186,$B246))))</f>
        <v>0</v>
      </c>
      <c r="G246" s="0" t="n">
        <f aca="false">IF(AND(IF($B246="Trash",INDEX('Materials Master'!$F$2:$F$27,MATCH($C246,'Materials Master'!$A$2:$A$27,0)),IF($B246="GMPC Recycling",INDEX('Materials Master'!$G$2:$G$27,MATCH($C246,'Materials Master'!$A$2:$A$27,0)),IF($B246="Organics Recycling",INDEX('Materials Master'!$H$2:$H$27,MATCH($C246,'Materials Master'!$A$2:$A$27,0)),IF($B246="Cardboard Recycling",INDEX('Materials Master'!$I$2:$I$27,MATCH($C246,'Materials Master'!$A$2:$A$27,0)),IF($B246="Paper Recycling",INDEX('Materials Master'!$J$2:$J$27,MATCH($C246,'Materials Master'!$A$2:$A$27,0)),IF($B246="Terracycle",INDEX('Materials Master'!$K$2:$K$27,MATCH($C246,'Materials Master'!$A$2:$A$27,0)),"No"))))))="Yes",INDEX('Materials Master'!$E$2:$E$27,MATCH($C246,'Materials Master'!$A$2:$A$27,0))="Yes",$B246&lt;&gt;"Trash"),1,0)</f>
        <v>1</v>
      </c>
      <c r="H246" s="0" t="str">
        <f aca="false">INDEX('Materials Master'!$E$2:$E$27,MATCH($C246,'Materials Master'!$A$2:$A$27,0))</f>
        <v>Yes</v>
      </c>
      <c r="I246" s="0" t="str">
        <f aca="false">IFERROR(INDEX(Areas!$C$2:$C$6,MATCH($A246,Areas!$B$2:$B$6,0)),"")</f>
        <v>BOH</v>
      </c>
      <c r="J246" s="0" t="n">
        <f aca="false">IF(IF($B246="Trash",INDEX('Materials Master'!$F$2:$F$27,MATCH($C246,'Materials Master'!$A$2:$A$27,0)),IF($B246="GMPC Recycling",INDEX('Materials Master'!$G$2:$G$27,MATCH($C246,'Materials Master'!$A$2:$A$27,0)),IF($B246="Organics Recycling",INDEX('Materials Master'!$H$2:$H$27,MATCH($C246,'Materials Master'!$A$2:$A$27,0)),IF($B246="Cardboard Recycling",INDEX('Materials Master'!$I$2:$I$27,MATCH($C246,'Materials Master'!$A$2:$A$27,0)),IF($B246="Paper Recycling",INDEX('Materials Master'!$J$2:$J$27,MATCH($C246,'Materials Master'!$A$2:$A$27,0)),IF($B246="Terracycle",INDEX('Materials Master'!$K$2:$K$27,MATCH($C246,'Materials Master'!$A$2:$A$27,0)),"No"))))))="Yes",1,0)</f>
        <v>1</v>
      </c>
    </row>
    <row r="247" customFormat="false" ht="15" hidden="false" customHeight="false" outlineLevel="0" collapsed="false">
      <c r="A247" s="0" t="s">
        <v>95</v>
      </c>
      <c r="B247" s="0" t="s">
        <v>106</v>
      </c>
      <c r="C247" s="0" t="s">
        <v>55</v>
      </c>
      <c r="D247" s="0" t="str">
        <f aca="false">IFERROR(INDEX('Materials Master'!$B$2:$B$27,MATCH($C247,'Materials Master'!$A$2:$A$27,0)),"")</f>
        <v>Soiled Metals</v>
      </c>
      <c r="E247" s="0" t="str">
        <f aca="false">IFERROR(INDEX('Materials Master'!$C$2:$C$27,MATCH($C247,'Materials Master'!$A$2:$A$27,0)),"")</f>
        <v>Metals</v>
      </c>
      <c r="F247" s="0" t="n">
        <f aca="false">IF(SUMIFS(Fact_SortedWeights!$E$2:$E$89,Fact_SortedWeights!$C$2:$C$89,$A247,Fact_SortedWeights!$B$2:$B$89,$B247)=0,0,SUMIFS(Fact_SortedWeights!$E$2:$E$89,Fact_SortedWeights!$C$2:$C$89,$A247,Fact_SortedWeights!$B$2:$B$89,$B247,Fact_SortedWeights!$D$2:$D$89,$C247)/SUMIFS(Fact_SortedWeights!$E$2:$E$89,Fact_SortedWeights!$C$2:$C$89,$A247,Fact_SortedWeights!$B$2:$B$89,$B247)*(IF($B247="Cardboard Recycling",SUMIFS(Fact_SortedWeights!$E$2:$E$89,Fact_SortedWeights!$C$2:$C$89,$A247,Fact_SortedWeights!$B$2:$B$89,$B247),SUMIFS(Fact_PreSortWeights!$E$2:$E$186,Fact_PreSortWeights!$C$2:$C$186,$A247,Fact_PreSortWeights!$B$2:$B$186,$B247))))</f>
        <v>0</v>
      </c>
      <c r="G247" s="0" t="n">
        <f aca="false">IF(AND(IF($B247="Trash",INDEX('Materials Master'!$F$2:$F$27,MATCH($C247,'Materials Master'!$A$2:$A$27,0)),IF($B247="GMPC Recycling",INDEX('Materials Master'!$G$2:$G$27,MATCH($C247,'Materials Master'!$A$2:$A$27,0)),IF($B247="Organics Recycling",INDEX('Materials Master'!$H$2:$H$27,MATCH($C247,'Materials Master'!$A$2:$A$27,0)),IF($B247="Cardboard Recycling",INDEX('Materials Master'!$I$2:$I$27,MATCH($C247,'Materials Master'!$A$2:$A$27,0)),IF($B247="Paper Recycling",INDEX('Materials Master'!$J$2:$J$27,MATCH($C247,'Materials Master'!$A$2:$A$27,0)),IF($B247="Terracycle",INDEX('Materials Master'!$K$2:$K$27,MATCH($C247,'Materials Master'!$A$2:$A$27,0)),"No"))))))="Yes",INDEX('Materials Master'!$E$2:$E$27,MATCH($C247,'Materials Master'!$A$2:$A$27,0))="Yes",$B247&lt;&gt;"Trash"),1,0)</f>
        <v>0</v>
      </c>
      <c r="H247" s="0" t="str">
        <f aca="false">INDEX('Materials Master'!$E$2:$E$27,MATCH($C247,'Materials Master'!$A$2:$A$27,0))</f>
        <v>No</v>
      </c>
      <c r="I247" s="0" t="str">
        <f aca="false">IFERROR(INDEX(Areas!$C$2:$C$6,MATCH($A247,Areas!$B$2:$B$6,0)),"")</f>
        <v>BOH</v>
      </c>
      <c r="J247" s="0" t="n">
        <f aca="false">IF(IF($B247="Trash",INDEX('Materials Master'!$F$2:$F$27,MATCH($C247,'Materials Master'!$A$2:$A$27,0)),IF($B247="GMPC Recycling",INDEX('Materials Master'!$G$2:$G$27,MATCH($C247,'Materials Master'!$A$2:$A$27,0)),IF($B247="Organics Recycling",INDEX('Materials Master'!$H$2:$H$27,MATCH($C247,'Materials Master'!$A$2:$A$27,0)),IF($B247="Cardboard Recycling",INDEX('Materials Master'!$I$2:$I$27,MATCH($C247,'Materials Master'!$A$2:$A$27,0)),IF($B247="Paper Recycling",INDEX('Materials Master'!$J$2:$J$27,MATCH($C247,'Materials Master'!$A$2:$A$27,0)),IF($B247="Terracycle",INDEX('Materials Master'!$K$2:$K$27,MATCH($C247,'Materials Master'!$A$2:$A$27,0)),"No"))))))="Yes",1,0)</f>
        <v>0</v>
      </c>
    </row>
    <row r="248" customFormat="false" ht="15" hidden="false" customHeight="false" outlineLevel="0" collapsed="false">
      <c r="A248" s="0" t="s">
        <v>95</v>
      </c>
      <c r="B248" s="0" t="s">
        <v>106</v>
      </c>
      <c r="C248" s="0" t="s">
        <v>57</v>
      </c>
      <c r="D248" s="0" t="str">
        <f aca="false">IFERROR(INDEX('Materials Master'!$B$2:$B$27,MATCH($C248,'Materials Master'!$A$2:$A$27,0)),"")</f>
        <v>Rigid Plastics (1-6)</v>
      </c>
      <c r="E248" s="0" t="str">
        <f aca="false">IFERROR(INDEX('Materials Master'!$C$2:$C$27,MATCH($C248,'Materials Master'!$A$2:$A$27,0)),"")</f>
        <v>Plastics</v>
      </c>
      <c r="F248" s="0" t="n">
        <f aca="false">IF(SUMIFS(Fact_SortedWeights!$E$2:$E$89,Fact_SortedWeights!$C$2:$C$89,$A248,Fact_SortedWeights!$B$2:$B$89,$B248)=0,0,SUMIFS(Fact_SortedWeights!$E$2:$E$89,Fact_SortedWeights!$C$2:$C$89,$A248,Fact_SortedWeights!$B$2:$B$89,$B248,Fact_SortedWeights!$D$2:$D$89,$C248)/SUMIFS(Fact_SortedWeights!$E$2:$E$89,Fact_SortedWeights!$C$2:$C$89,$A248,Fact_SortedWeights!$B$2:$B$89,$B248)*(IF($B248="Cardboard Recycling",SUMIFS(Fact_SortedWeights!$E$2:$E$89,Fact_SortedWeights!$C$2:$C$89,$A248,Fact_SortedWeights!$B$2:$B$89,$B248),SUMIFS(Fact_PreSortWeights!$E$2:$E$186,Fact_PreSortWeights!$C$2:$C$186,$A248,Fact_PreSortWeights!$B$2:$B$186,$B248))))</f>
        <v>0</v>
      </c>
      <c r="G248" s="0" t="n">
        <f aca="false">IF(AND(IF($B248="Trash",INDEX('Materials Master'!$F$2:$F$27,MATCH($C248,'Materials Master'!$A$2:$A$27,0)),IF($B248="GMPC Recycling",INDEX('Materials Master'!$G$2:$G$27,MATCH($C248,'Materials Master'!$A$2:$A$27,0)),IF($B248="Organics Recycling",INDEX('Materials Master'!$H$2:$H$27,MATCH($C248,'Materials Master'!$A$2:$A$27,0)),IF($B248="Cardboard Recycling",INDEX('Materials Master'!$I$2:$I$27,MATCH($C248,'Materials Master'!$A$2:$A$27,0)),IF($B248="Paper Recycling",INDEX('Materials Master'!$J$2:$J$27,MATCH($C248,'Materials Master'!$A$2:$A$27,0)),IF($B248="Terracycle",INDEX('Materials Master'!$K$2:$K$27,MATCH($C248,'Materials Master'!$A$2:$A$27,0)),"No"))))))="Yes",INDEX('Materials Master'!$E$2:$E$27,MATCH($C248,'Materials Master'!$A$2:$A$27,0))="Yes",$B248&lt;&gt;"Trash"),1,0)</f>
        <v>1</v>
      </c>
      <c r="H248" s="0" t="str">
        <f aca="false">INDEX('Materials Master'!$E$2:$E$27,MATCH($C248,'Materials Master'!$A$2:$A$27,0))</f>
        <v>Yes</v>
      </c>
      <c r="I248" s="0" t="str">
        <f aca="false">IFERROR(INDEX(Areas!$C$2:$C$6,MATCH($A248,Areas!$B$2:$B$6,0)),"")</f>
        <v>BOH</v>
      </c>
      <c r="J248" s="0" t="n">
        <f aca="false">IF(IF($B248="Trash",INDEX('Materials Master'!$F$2:$F$27,MATCH($C248,'Materials Master'!$A$2:$A$27,0)),IF($B248="GMPC Recycling",INDEX('Materials Master'!$G$2:$G$27,MATCH($C248,'Materials Master'!$A$2:$A$27,0)),IF($B248="Organics Recycling",INDEX('Materials Master'!$H$2:$H$27,MATCH($C248,'Materials Master'!$A$2:$A$27,0)),IF($B248="Cardboard Recycling",INDEX('Materials Master'!$I$2:$I$27,MATCH($C248,'Materials Master'!$A$2:$A$27,0)),IF($B248="Paper Recycling",INDEX('Materials Master'!$J$2:$J$27,MATCH($C248,'Materials Master'!$A$2:$A$27,0)),IF($B248="Terracycle",INDEX('Materials Master'!$K$2:$K$27,MATCH($C248,'Materials Master'!$A$2:$A$27,0)),"No"))))))="Yes",1,0)</f>
        <v>1</v>
      </c>
    </row>
    <row r="249" customFormat="false" ht="15" hidden="false" customHeight="false" outlineLevel="0" collapsed="false">
      <c r="A249" s="0" t="s">
        <v>95</v>
      </c>
      <c r="B249" s="0" t="s">
        <v>106</v>
      </c>
      <c r="C249" s="0" t="s">
        <v>60</v>
      </c>
      <c r="D249" s="0" t="str">
        <f aca="false">IFERROR(INDEX('Materials Master'!$B$2:$B$27,MATCH($C249,'Materials Master'!$A$2:$A$27,0)),"")</f>
        <v>Soiled Rigid Plastics</v>
      </c>
      <c r="E249" s="0" t="str">
        <f aca="false">IFERROR(INDEX('Materials Master'!$C$2:$C$27,MATCH($C249,'Materials Master'!$A$2:$A$27,0)),"")</f>
        <v>Plastics</v>
      </c>
      <c r="F249" s="0" t="n">
        <f aca="false">IF(SUMIFS(Fact_SortedWeights!$E$2:$E$89,Fact_SortedWeights!$C$2:$C$89,$A249,Fact_SortedWeights!$B$2:$B$89,$B249)=0,0,SUMIFS(Fact_SortedWeights!$E$2:$E$89,Fact_SortedWeights!$C$2:$C$89,$A249,Fact_SortedWeights!$B$2:$B$89,$B249,Fact_SortedWeights!$D$2:$D$89,$C249)/SUMIFS(Fact_SortedWeights!$E$2:$E$89,Fact_SortedWeights!$C$2:$C$89,$A249,Fact_SortedWeights!$B$2:$B$89,$B249)*(IF($B249="Cardboard Recycling",SUMIFS(Fact_SortedWeights!$E$2:$E$89,Fact_SortedWeights!$C$2:$C$89,$A249,Fact_SortedWeights!$B$2:$B$89,$B249),SUMIFS(Fact_PreSortWeights!$E$2:$E$186,Fact_PreSortWeights!$C$2:$C$186,$A249,Fact_PreSortWeights!$B$2:$B$186,$B249))))</f>
        <v>0</v>
      </c>
      <c r="G249" s="0" t="n">
        <f aca="false">IF(AND(IF($B249="Trash",INDEX('Materials Master'!$F$2:$F$27,MATCH($C249,'Materials Master'!$A$2:$A$27,0)),IF($B249="GMPC Recycling",INDEX('Materials Master'!$G$2:$G$27,MATCH($C249,'Materials Master'!$A$2:$A$27,0)),IF($B249="Organics Recycling",INDEX('Materials Master'!$H$2:$H$27,MATCH($C249,'Materials Master'!$A$2:$A$27,0)),IF($B249="Cardboard Recycling",INDEX('Materials Master'!$I$2:$I$27,MATCH($C249,'Materials Master'!$A$2:$A$27,0)),IF($B249="Paper Recycling",INDEX('Materials Master'!$J$2:$J$27,MATCH($C249,'Materials Master'!$A$2:$A$27,0)),IF($B249="Terracycle",INDEX('Materials Master'!$K$2:$K$27,MATCH($C249,'Materials Master'!$A$2:$A$27,0)),"No"))))))="Yes",INDEX('Materials Master'!$E$2:$E$27,MATCH($C249,'Materials Master'!$A$2:$A$27,0))="Yes",$B249&lt;&gt;"Trash"),1,0)</f>
        <v>0</v>
      </c>
      <c r="H249" s="0" t="str">
        <f aca="false">INDEX('Materials Master'!$E$2:$E$27,MATCH($C249,'Materials Master'!$A$2:$A$27,0))</f>
        <v>No</v>
      </c>
      <c r="I249" s="0" t="str">
        <f aca="false">IFERROR(INDEX(Areas!$C$2:$C$6,MATCH($A249,Areas!$B$2:$B$6,0)),"")</f>
        <v>BOH</v>
      </c>
      <c r="J249" s="0" t="n">
        <f aca="false">IF(IF($B249="Trash",INDEX('Materials Master'!$F$2:$F$27,MATCH($C249,'Materials Master'!$A$2:$A$27,0)),IF($B249="GMPC Recycling",INDEX('Materials Master'!$G$2:$G$27,MATCH($C249,'Materials Master'!$A$2:$A$27,0)),IF($B249="Organics Recycling",INDEX('Materials Master'!$H$2:$H$27,MATCH($C249,'Materials Master'!$A$2:$A$27,0)),IF($B249="Cardboard Recycling",INDEX('Materials Master'!$I$2:$I$27,MATCH($C249,'Materials Master'!$A$2:$A$27,0)),IF($B249="Paper Recycling",INDEX('Materials Master'!$J$2:$J$27,MATCH($C249,'Materials Master'!$A$2:$A$27,0)),IF($B249="Terracycle",INDEX('Materials Master'!$K$2:$K$27,MATCH($C249,'Materials Master'!$A$2:$A$27,0)),"No"))))))="Yes",1,0)</f>
        <v>0</v>
      </c>
    </row>
    <row r="250" customFormat="false" ht="15" hidden="false" customHeight="false" outlineLevel="0" collapsed="false">
      <c r="A250" s="0" t="s">
        <v>95</v>
      </c>
      <c r="B250" s="0" t="s">
        <v>106</v>
      </c>
      <c r="C250" s="0" t="s">
        <v>62</v>
      </c>
      <c r="D250" s="0" t="str">
        <f aca="false">IFERROR(INDEX('Materials Master'!$B$2:$B$27,MATCH($C250,'Materials Master'!$A$2:$A$27,0)),"")</f>
        <v>Film Plastics</v>
      </c>
      <c r="E250" s="0" t="str">
        <f aca="false">IFERROR(INDEX('Materials Master'!$C$2:$C$27,MATCH($C250,'Materials Master'!$A$2:$A$27,0)),"")</f>
        <v>Plastics</v>
      </c>
      <c r="F250" s="0" t="n">
        <f aca="false">IF(SUMIFS(Fact_SortedWeights!$E$2:$E$89,Fact_SortedWeights!$C$2:$C$89,$A250,Fact_SortedWeights!$B$2:$B$89,$B250)=0,0,SUMIFS(Fact_SortedWeights!$E$2:$E$89,Fact_SortedWeights!$C$2:$C$89,$A250,Fact_SortedWeights!$B$2:$B$89,$B250,Fact_SortedWeights!$D$2:$D$89,$C250)/SUMIFS(Fact_SortedWeights!$E$2:$E$89,Fact_SortedWeights!$C$2:$C$89,$A250,Fact_SortedWeights!$B$2:$B$89,$B250)*(IF($B250="Cardboard Recycling",SUMIFS(Fact_SortedWeights!$E$2:$E$89,Fact_SortedWeights!$C$2:$C$89,$A250,Fact_SortedWeights!$B$2:$B$89,$B250),SUMIFS(Fact_PreSortWeights!$E$2:$E$186,Fact_PreSortWeights!$C$2:$C$186,$A250,Fact_PreSortWeights!$B$2:$B$186,$B250))))</f>
        <v>0</v>
      </c>
      <c r="G250" s="0" t="n">
        <f aca="false">IF(AND(IF($B250="Trash",INDEX('Materials Master'!$F$2:$F$27,MATCH($C250,'Materials Master'!$A$2:$A$27,0)),IF($B250="GMPC Recycling",INDEX('Materials Master'!$G$2:$G$27,MATCH($C250,'Materials Master'!$A$2:$A$27,0)),IF($B250="Organics Recycling",INDEX('Materials Master'!$H$2:$H$27,MATCH($C250,'Materials Master'!$A$2:$A$27,0)),IF($B250="Cardboard Recycling",INDEX('Materials Master'!$I$2:$I$27,MATCH($C250,'Materials Master'!$A$2:$A$27,0)),IF($B250="Paper Recycling",INDEX('Materials Master'!$J$2:$J$27,MATCH($C250,'Materials Master'!$A$2:$A$27,0)),IF($B250="Terracycle",INDEX('Materials Master'!$K$2:$K$27,MATCH($C250,'Materials Master'!$A$2:$A$27,0)),"No"))))))="Yes",INDEX('Materials Master'!$E$2:$E$27,MATCH($C250,'Materials Master'!$A$2:$A$27,0))="Yes",$B250&lt;&gt;"Trash"),1,0)</f>
        <v>0</v>
      </c>
      <c r="H250" s="0" t="str">
        <f aca="false">INDEX('Materials Master'!$E$2:$E$27,MATCH($C250,'Materials Master'!$A$2:$A$27,0))</f>
        <v>No</v>
      </c>
      <c r="I250" s="0" t="str">
        <f aca="false">IFERROR(INDEX(Areas!$C$2:$C$6,MATCH($A250,Areas!$B$2:$B$6,0)),"")</f>
        <v>BOH</v>
      </c>
      <c r="J250" s="0" t="n">
        <f aca="false">IF(IF($B250="Trash",INDEX('Materials Master'!$F$2:$F$27,MATCH($C250,'Materials Master'!$A$2:$A$27,0)),IF($B250="GMPC Recycling",INDEX('Materials Master'!$G$2:$G$27,MATCH($C250,'Materials Master'!$A$2:$A$27,0)),IF($B250="Organics Recycling",INDEX('Materials Master'!$H$2:$H$27,MATCH($C250,'Materials Master'!$A$2:$A$27,0)),IF($B250="Cardboard Recycling",INDEX('Materials Master'!$I$2:$I$27,MATCH($C250,'Materials Master'!$A$2:$A$27,0)),IF($B250="Paper Recycling",INDEX('Materials Master'!$J$2:$J$27,MATCH($C250,'Materials Master'!$A$2:$A$27,0)),IF($B250="Terracycle",INDEX('Materials Master'!$K$2:$K$27,MATCH($C250,'Materials Master'!$A$2:$A$27,0)),"No"))))))="Yes",1,0)</f>
        <v>0</v>
      </c>
    </row>
    <row r="251" customFormat="false" ht="15" hidden="false" customHeight="false" outlineLevel="0" collapsed="false">
      <c r="A251" s="0" t="s">
        <v>95</v>
      </c>
      <c r="B251" s="0" t="s">
        <v>106</v>
      </c>
      <c r="C251" s="0" t="s">
        <v>64</v>
      </c>
      <c r="D251" s="0" t="str">
        <f aca="false">IFERROR(INDEX('Materials Master'!$B$2:$B$27,MATCH($C251,'Materials Master'!$A$2:$A$27,0)),"")</f>
        <v>Foams</v>
      </c>
      <c r="E251" s="0" t="str">
        <f aca="false">IFERROR(INDEX('Materials Master'!$C$2:$C$27,MATCH($C251,'Materials Master'!$A$2:$A$27,0)),"")</f>
        <v>Plastics</v>
      </c>
      <c r="F251" s="0" t="n">
        <f aca="false">IF(SUMIFS(Fact_SortedWeights!$E$2:$E$89,Fact_SortedWeights!$C$2:$C$89,$A251,Fact_SortedWeights!$B$2:$B$89,$B251)=0,0,SUMIFS(Fact_SortedWeights!$E$2:$E$89,Fact_SortedWeights!$C$2:$C$89,$A251,Fact_SortedWeights!$B$2:$B$89,$B251,Fact_SortedWeights!$D$2:$D$89,$C251)/SUMIFS(Fact_SortedWeights!$E$2:$E$89,Fact_SortedWeights!$C$2:$C$89,$A251,Fact_SortedWeights!$B$2:$B$89,$B251)*(IF($B251="Cardboard Recycling",SUMIFS(Fact_SortedWeights!$E$2:$E$89,Fact_SortedWeights!$C$2:$C$89,$A251,Fact_SortedWeights!$B$2:$B$89,$B251),SUMIFS(Fact_PreSortWeights!$E$2:$E$186,Fact_PreSortWeights!$C$2:$C$186,$A251,Fact_PreSortWeights!$B$2:$B$186,$B251))))</f>
        <v>0</v>
      </c>
      <c r="G251" s="0" t="n">
        <f aca="false">IF(AND(IF($B251="Trash",INDEX('Materials Master'!$F$2:$F$27,MATCH($C251,'Materials Master'!$A$2:$A$27,0)),IF($B251="GMPC Recycling",INDEX('Materials Master'!$G$2:$G$27,MATCH($C251,'Materials Master'!$A$2:$A$27,0)),IF($B251="Organics Recycling",INDEX('Materials Master'!$H$2:$H$27,MATCH($C251,'Materials Master'!$A$2:$A$27,0)),IF($B251="Cardboard Recycling",INDEX('Materials Master'!$I$2:$I$27,MATCH($C251,'Materials Master'!$A$2:$A$27,0)),IF($B251="Paper Recycling",INDEX('Materials Master'!$J$2:$J$27,MATCH($C251,'Materials Master'!$A$2:$A$27,0)),IF($B251="Terracycle",INDEX('Materials Master'!$K$2:$K$27,MATCH($C251,'Materials Master'!$A$2:$A$27,0)),"No"))))))="Yes",INDEX('Materials Master'!$E$2:$E$27,MATCH($C251,'Materials Master'!$A$2:$A$27,0))="Yes",$B251&lt;&gt;"Trash"),1,0)</f>
        <v>0</v>
      </c>
      <c r="H251" s="0" t="str">
        <f aca="false">INDEX('Materials Master'!$E$2:$E$27,MATCH($C251,'Materials Master'!$A$2:$A$27,0))</f>
        <v>No</v>
      </c>
      <c r="I251" s="0" t="str">
        <f aca="false">IFERROR(INDEX(Areas!$C$2:$C$6,MATCH($A251,Areas!$B$2:$B$6,0)),"")</f>
        <v>BOH</v>
      </c>
      <c r="J251" s="0" t="n">
        <f aca="false">IF(IF($B251="Trash",INDEX('Materials Master'!$F$2:$F$27,MATCH($C251,'Materials Master'!$A$2:$A$27,0)),IF($B251="GMPC Recycling",INDEX('Materials Master'!$G$2:$G$27,MATCH($C251,'Materials Master'!$A$2:$A$27,0)),IF($B251="Organics Recycling",INDEX('Materials Master'!$H$2:$H$27,MATCH($C251,'Materials Master'!$A$2:$A$27,0)),IF($B251="Cardboard Recycling",INDEX('Materials Master'!$I$2:$I$27,MATCH($C251,'Materials Master'!$A$2:$A$27,0)),IF($B251="Paper Recycling",INDEX('Materials Master'!$J$2:$J$27,MATCH($C251,'Materials Master'!$A$2:$A$27,0)),IF($B251="Terracycle",INDEX('Materials Master'!$K$2:$K$27,MATCH($C251,'Materials Master'!$A$2:$A$27,0)),"No"))))))="Yes",1,0)</f>
        <v>0</v>
      </c>
    </row>
    <row r="252" customFormat="false" ht="15" hidden="false" customHeight="false" outlineLevel="0" collapsed="false">
      <c r="A252" s="0" t="s">
        <v>95</v>
      </c>
      <c r="B252" s="0" t="s">
        <v>106</v>
      </c>
      <c r="C252" s="0" t="s">
        <v>66</v>
      </c>
      <c r="D252" s="0" t="str">
        <f aca="false">IFERROR(INDEX('Materials Master'!$B$2:$B$27,MATCH($C252,'Materials Master'!$A$2:$A$27,0)),"")</f>
        <v>Food Waste</v>
      </c>
      <c r="E252" s="0" t="str">
        <f aca="false">IFERROR(INDEX('Materials Master'!$C$2:$C$27,MATCH($C252,'Materials Master'!$A$2:$A$27,0)),"")</f>
        <v>Organics</v>
      </c>
      <c r="F252" s="0" t="n">
        <f aca="false">IF(SUMIFS(Fact_SortedWeights!$E$2:$E$89,Fact_SortedWeights!$C$2:$C$89,$A252,Fact_SortedWeights!$B$2:$B$89,$B252)=0,0,SUMIFS(Fact_SortedWeights!$E$2:$E$89,Fact_SortedWeights!$C$2:$C$89,$A252,Fact_SortedWeights!$B$2:$B$89,$B252,Fact_SortedWeights!$D$2:$D$89,$C252)/SUMIFS(Fact_SortedWeights!$E$2:$E$89,Fact_SortedWeights!$C$2:$C$89,$A252,Fact_SortedWeights!$B$2:$B$89,$B252)*(IF($B252="Cardboard Recycling",SUMIFS(Fact_SortedWeights!$E$2:$E$89,Fact_SortedWeights!$C$2:$C$89,$A252,Fact_SortedWeights!$B$2:$B$89,$B252),SUMIFS(Fact_PreSortWeights!$E$2:$E$186,Fact_PreSortWeights!$C$2:$C$186,$A252,Fact_PreSortWeights!$B$2:$B$186,$B252))))</f>
        <v>0</v>
      </c>
      <c r="G252" s="0" t="n">
        <f aca="false">IF(AND(IF($B252="Trash",INDEX('Materials Master'!$F$2:$F$27,MATCH($C252,'Materials Master'!$A$2:$A$27,0)),IF($B252="GMPC Recycling",INDEX('Materials Master'!$G$2:$G$27,MATCH($C252,'Materials Master'!$A$2:$A$27,0)),IF($B252="Organics Recycling",INDEX('Materials Master'!$H$2:$H$27,MATCH($C252,'Materials Master'!$A$2:$A$27,0)),IF($B252="Cardboard Recycling",INDEX('Materials Master'!$I$2:$I$27,MATCH($C252,'Materials Master'!$A$2:$A$27,0)),IF($B252="Paper Recycling",INDEX('Materials Master'!$J$2:$J$27,MATCH($C252,'Materials Master'!$A$2:$A$27,0)),IF($B252="Terracycle",INDEX('Materials Master'!$K$2:$K$27,MATCH($C252,'Materials Master'!$A$2:$A$27,0)),"No"))))))="Yes",INDEX('Materials Master'!$E$2:$E$27,MATCH($C252,'Materials Master'!$A$2:$A$27,0))="Yes",$B252&lt;&gt;"Trash"),1,0)</f>
        <v>0</v>
      </c>
      <c r="H252" s="0" t="str">
        <f aca="false">INDEX('Materials Master'!$E$2:$E$27,MATCH($C252,'Materials Master'!$A$2:$A$27,0))</f>
        <v>Yes</v>
      </c>
      <c r="I252" s="0" t="str">
        <f aca="false">IFERROR(INDEX(Areas!$C$2:$C$6,MATCH($A252,Areas!$B$2:$B$6,0)),"")</f>
        <v>BOH</v>
      </c>
      <c r="J252" s="0" t="n">
        <f aca="false">IF(IF($B252="Trash",INDEX('Materials Master'!$F$2:$F$27,MATCH($C252,'Materials Master'!$A$2:$A$27,0)),IF($B252="GMPC Recycling",INDEX('Materials Master'!$G$2:$G$27,MATCH($C252,'Materials Master'!$A$2:$A$27,0)),IF($B252="Organics Recycling",INDEX('Materials Master'!$H$2:$H$27,MATCH($C252,'Materials Master'!$A$2:$A$27,0)),IF($B252="Cardboard Recycling",INDEX('Materials Master'!$I$2:$I$27,MATCH($C252,'Materials Master'!$A$2:$A$27,0)),IF($B252="Paper Recycling",INDEX('Materials Master'!$J$2:$J$27,MATCH($C252,'Materials Master'!$A$2:$A$27,0)),IF($B252="Terracycle",INDEX('Materials Master'!$K$2:$K$27,MATCH($C252,'Materials Master'!$A$2:$A$27,0)),"No"))))))="Yes",1,0)</f>
        <v>0</v>
      </c>
    </row>
    <row r="253" customFormat="false" ht="15" hidden="false" customHeight="false" outlineLevel="0" collapsed="false">
      <c r="A253" s="0" t="s">
        <v>95</v>
      </c>
      <c r="B253" s="0" t="s">
        <v>106</v>
      </c>
      <c r="C253" s="0" t="s">
        <v>69</v>
      </c>
      <c r="D253" s="0" t="str">
        <f aca="false">IFERROR(INDEX('Materials Master'!$B$2:$B$27,MATCH($C253,'Materials Master'!$A$2:$A$27,0)),"")</f>
        <v>Paper Fibers and Food-Soiled Paper (FSP)</v>
      </c>
      <c r="E253" s="0" t="str">
        <f aca="false">IFERROR(INDEX('Materials Master'!$C$2:$C$27,MATCH($C253,'Materials Master'!$A$2:$A$27,0)),"")</f>
        <v>Organics</v>
      </c>
      <c r="F253" s="0" t="n">
        <f aca="false">IF(SUMIFS(Fact_SortedWeights!$E$2:$E$89,Fact_SortedWeights!$C$2:$C$89,$A253,Fact_SortedWeights!$B$2:$B$89,$B253)=0,0,SUMIFS(Fact_SortedWeights!$E$2:$E$89,Fact_SortedWeights!$C$2:$C$89,$A253,Fact_SortedWeights!$B$2:$B$89,$B253,Fact_SortedWeights!$D$2:$D$89,$C253)/SUMIFS(Fact_SortedWeights!$E$2:$E$89,Fact_SortedWeights!$C$2:$C$89,$A253,Fact_SortedWeights!$B$2:$B$89,$B253)*(IF($B253="Cardboard Recycling",SUMIFS(Fact_SortedWeights!$E$2:$E$89,Fact_SortedWeights!$C$2:$C$89,$A253,Fact_SortedWeights!$B$2:$B$89,$B253),SUMIFS(Fact_PreSortWeights!$E$2:$E$186,Fact_PreSortWeights!$C$2:$C$186,$A253,Fact_PreSortWeights!$B$2:$B$186,$B253))))</f>
        <v>0</v>
      </c>
      <c r="G253" s="0" t="n">
        <f aca="false">IF(AND(IF($B253="Trash",INDEX('Materials Master'!$F$2:$F$27,MATCH($C253,'Materials Master'!$A$2:$A$27,0)),IF($B253="GMPC Recycling",INDEX('Materials Master'!$G$2:$G$27,MATCH($C253,'Materials Master'!$A$2:$A$27,0)),IF($B253="Organics Recycling",INDEX('Materials Master'!$H$2:$H$27,MATCH($C253,'Materials Master'!$A$2:$A$27,0)),IF($B253="Cardboard Recycling",INDEX('Materials Master'!$I$2:$I$27,MATCH($C253,'Materials Master'!$A$2:$A$27,0)),IF($B253="Paper Recycling",INDEX('Materials Master'!$J$2:$J$27,MATCH($C253,'Materials Master'!$A$2:$A$27,0)),IF($B253="Terracycle",INDEX('Materials Master'!$K$2:$K$27,MATCH($C253,'Materials Master'!$A$2:$A$27,0)),"No"))))))="Yes",INDEX('Materials Master'!$E$2:$E$27,MATCH($C253,'Materials Master'!$A$2:$A$27,0))="Yes",$B253&lt;&gt;"Trash"),1,0)</f>
        <v>0</v>
      </c>
      <c r="H253" s="0" t="str">
        <f aca="false">INDEX('Materials Master'!$E$2:$E$27,MATCH($C253,'Materials Master'!$A$2:$A$27,0))</f>
        <v>No</v>
      </c>
      <c r="I253" s="0" t="str">
        <f aca="false">IFERROR(INDEX(Areas!$C$2:$C$6,MATCH($A253,Areas!$B$2:$B$6,0)),"")</f>
        <v>BOH</v>
      </c>
      <c r="J253" s="0" t="n">
        <f aca="false">IF(IF($B253="Trash",INDEX('Materials Master'!$F$2:$F$27,MATCH($C253,'Materials Master'!$A$2:$A$27,0)),IF($B253="GMPC Recycling",INDEX('Materials Master'!$G$2:$G$27,MATCH($C253,'Materials Master'!$A$2:$A$27,0)),IF($B253="Organics Recycling",INDEX('Materials Master'!$H$2:$H$27,MATCH($C253,'Materials Master'!$A$2:$A$27,0)),IF($B253="Cardboard Recycling",INDEX('Materials Master'!$I$2:$I$27,MATCH($C253,'Materials Master'!$A$2:$A$27,0)),IF($B253="Paper Recycling",INDEX('Materials Master'!$J$2:$J$27,MATCH($C253,'Materials Master'!$A$2:$A$27,0)),IF($B253="Terracycle",INDEX('Materials Master'!$K$2:$K$27,MATCH($C253,'Materials Master'!$A$2:$A$27,0)),"No"))))))="Yes",1,0)</f>
        <v>0</v>
      </c>
    </row>
    <row r="254" customFormat="false" ht="15" hidden="false" customHeight="false" outlineLevel="0" collapsed="false">
      <c r="A254" s="0" t="s">
        <v>95</v>
      </c>
      <c r="B254" s="0" t="s">
        <v>106</v>
      </c>
      <c r="C254" s="0" t="s">
        <v>71</v>
      </c>
      <c r="D254" s="0" t="str">
        <f aca="false">IFERROR(INDEX('Materials Master'!$B$2:$B$27,MATCH($C254,'Materials Master'!$A$2:$A$27,0)),"")</f>
        <v>Fiber-based Compostable Serviceware</v>
      </c>
      <c r="E254" s="0" t="str">
        <f aca="false">IFERROR(INDEX('Materials Master'!$C$2:$C$27,MATCH($C254,'Materials Master'!$A$2:$A$27,0)),"")</f>
        <v>Organics</v>
      </c>
      <c r="F254" s="0" t="n">
        <f aca="false">IF(SUMIFS(Fact_SortedWeights!$E$2:$E$89,Fact_SortedWeights!$C$2:$C$89,$A254,Fact_SortedWeights!$B$2:$B$89,$B254)=0,0,SUMIFS(Fact_SortedWeights!$E$2:$E$89,Fact_SortedWeights!$C$2:$C$89,$A254,Fact_SortedWeights!$B$2:$B$89,$B254,Fact_SortedWeights!$D$2:$D$89,$C254)/SUMIFS(Fact_SortedWeights!$E$2:$E$89,Fact_SortedWeights!$C$2:$C$89,$A254,Fact_SortedWeights!$B$2:$B$89,$B254)*(IF($B254="Cardboard Recycling",SUMIFS(Fact_SortedWeights!$E$2:$E$89,Fact_SortedWeights!$C$2:$C$89,$A254,Fact_SortedWeights!$B$2:$B$89,$B254),SUMIFS(Fact_PreSortWeights!$E$2:$E$186,Fact_PreSortWeights!$C$2:$C$186,$A254,Fact_PreSortWeights!$B$2:$B$186,$B254))))</f>
        <v>0</v>
      </c>
      <c r="G254" s="0" t="n">
        <f aca="false">IF(AND(IF($B254="Trash",INDEX('Materials Master'!$F$2:$F$27,MATCH($C254,'Materials Master'!$A$2:$A$27,0)),IF($B254="GMPC Recycling",INDEX('Materials Master'!$G$2:$G$27,MATCH($C254,'Materials Master'!$A$2:$A$27,0)),IF($B254="Organics Recycling",INDEX('Materials Master'!$H$2:$H$27,MATCH($C254,'Materials Master'!$A$2:$A$27,0)),IF($B254="Cardboard Recycling",INDEX('Materials Master'!$I$2:$I$27,MATCH($C254,'Materials Master'!$A$2:$A$27,0)),IF($B254="Paper Recycling",INDEX('Materials Master'!$J$2:$J$27,MATCH($C254,'Materials Master'!$A$2:$A$27,0)),IF($B254="Terracycle",INDEX('Materials Master'!$K$2:$K$27,MATCH($C254,'Materials Master'!$A$2:$A$27,0)),"No"))))))="Yes",INDEX('Materials Master'!$E$2:$E$27,MATCH($C254,'Materials Master'!$A$2:$A$27,0))="Yes",$B254&lt;&gt;"Trash"),1,0)</f>
        <v>0</v>
      </c>
      <c r="H254" s="0" t="str">
        <f aca="false">INDEX('Materials Master'!$E$2:$E$27,MATCH($C254,'Materials Master'!$A$2:$A$27,0))</f>
        <v>No</v>
      </c>
      <c r="I254" s="0" t="str">
        <f aca="false">IFERROR(INDEX(Areas!$C$2:$C$6,MATCH($A254,Areas!$B$2:$B$6,0)),"")</f>
        <v>BOH</v>
      </c>
      <c r="J254" s="0" t="n">
        <f aca="false">IF(IF($B254="Trash",INDEX('Materials Master'!$F$2:$F$27,MATCH($C254,'Materials Master'!$A$2:$A$27,0)),IF($B254="GMPC Recycling",INDEX('Materials Master'!$G$2:$G$27,MATCH($C254,'Materials Master'!$A$2:$A$27,0)),IF($B254="Organics Recycling",INDEX('Materials Master'!$H$2:$H$27,MATCH($C254,'Materials Master'!$A$2:$A$27,0)),IF($B254="Cardboard Recycling",INDEX('Materials Master'!$I$2:$I$27,MATCH($C254,'Materials Master'!$A$2:$A$27,0)),IF($B254="Paper Recycling",INDEX('Materials Master'!$J$2:$J$27,MATCH($C254,'Materials Master'!$A$2:$A$27,0)),IF($B254="Terracycle",INDEX('Materials Master'!$K$2:$K$27,MATCH($C254,'Materials Master'!$A$2:$A$27,0)),"No"))))))="Yes",1,0)</f>
        <v>0</v>
      </c>
    </row>
    <row r="255" customFormat="false" ht="15" hidden="false" customHeight="false" outlineLevel="0" collapsed="false">
      <c r="A255" s="0" t="s">
        <v>95</v>
      </c>
      <c r="B255" s="0" t="s">
        <v>106</v>
      </c>
      <c r="C255" s="0" t="s">
        <v>73</v>
      </c>
      <c r="D255" s="0" t="str">
        <f aca="false">IFERROR(INDEX('Materials Master'!$B$2:$B$27,MATCH($C255,'Materials Master'!$A$2:$A$27,0)),"")</f>
        <v>PLA Compostable Serviceware</v>
      </c>
      <c r="E255" s="0" t="str">
        <f aca="false">IFERROR(INDEX('Materials Master'!$C$2:$C$27,MATCH($C255,'Materials Master'!$A$2:$A$27,0)),"")</f>
        <v>Organics</v>
      </c>
      <c r="F255" s="0" t="n">
        <f aca="false">IF(SUMIFS(Fact_SortedWeights!$E$2:$E$89,Fact_SortedWeights!$C$2:$C$89,$A255,Fact_SortedWeights!$B$2:$B$89,$B255)=0,0,SUMIFS(Fact_SortedWeights!$E$2:$E$89,Fact_SortedWeights!$C$2:$C$89,$A255,Fact_SortedWeights!$B$2:$B$89,$B255,Fact_SortedWeights!$D$2:$D$89,$C255)/SUMIFS(Fact_SortedWeights!$E$2:$E$89,Fact_SortedWeights!$C$2:$C$89,$A255,Fact_SortedWeights!$B$2:$B$89,$B255)*(IF($B255="Cardboard Recycling",SUMIFS(Fact_SortedWeights!$E$2:$E$89,Fact_SortedWeights!$C$2:$C$89,$A255,Fact_SortedWeights!$B$2:$B$89,$B255),SUMIFS(Fact_PreSortWeights!$E$2:$E$186,Fact_PreSortWeights!$C$2:$C$186,$A255,Fact_PreSortWeights!$B$2:$B$186,$B255))))</f>
        <v>0</v>
      </c>
      <c r="G255" s="0" t="n">
        <f aca="false">IF(AND(IF($B255="Trash",INDEX('Materials Master'!$F$2:$F$27,MATCH($C255,'Materials Master'!$A$2:$A$27,0)),IF($B255="GMPC Recycling",INDEX('Materials Master'!$G$2:$G$27,MATCH($C255,'Materials Master'!$A$2:$A$27,0)),IF($B255="Organics Recycling",INDEX('Materials Master'!$H$2:$H$27,MATCH($C255,'Materials Master'!$A$2:$A$27,0)),IF($B255="Cardboard Recycling",INDEX('Materials Master'!$I$2:$I$27,MATCH($C255,'Materials Master'!$A$2:$A$27,0)),IF($B255="Paper Recycling",INDEX('Materials Master'!$J$2:$J$27,MATCH($C255,'Materials Master'!$A$2:$A$27,0)),IF($B255="Terracycle",INDEX('Materials Master'!$K$2:$K$27,MATCH($C255,'Materials Master'!$A$2:$A$27,0)),"No"))))))="Yes",INDEX('Materials Master'!$E$2:$E$27,MATCH($C255,'Materials Master'!$A$2:$A$27,0))="Yes",$B255&lt;&gt;"Trash"),1,0)</f>
        <v>0</v>
      </c>
      <c r="H255" s="0" t="str">
        <f aca="false">INDEX('Materials Master'!$E$2:$E$27,MATCH($C255,'Materials Master'!$A$2:$A$27,0))</f>
        <v>No</v>
      </c>
      <c r="I255" s="0" t="str">
        <f aca="false">IFERROR(INDEX(Areas!$C$2:$C$6,MATCH($A255,Areas!$B$2:$B$6,0)),"")</f>
        <v>BOH</v>
      </c>
      <c r="J255" s="0" t="n">
        <f aca="false">IF(IF($B255="Trash",INDEX('Materials Master'!$F$2:$F$27,MATCH($C255,'Materials Master'!$A$2:$A$27,0)),IF($B255="GMPC Recycling",INDEX('Materials Master'!$G$2:$G$27,MATCH($C255,'Materials Master'!$A$2:$A$27,0)),IF($B255="Organics Recycling",INDEX('Materials Master'!$H$2:$H$27,MATCH($C255,'Materials Master'!$A$2:$A$27,0)),IF($B255="Cardboard Recycling",INDEX('Materials Master'!$I$2:$I$27,MATCH($C255,'Materials Master'!$A$2:$A$27,0)),IF($B255="Paper Recycling",INDEX('Materials Master'!$J$2:$J$27,MATCH($C255,'Materials Master'!$A$2:$A$27,0)),IF($B255="Terracycle",INDEX('Materials Master'!$K$2:$K$27,MATCH($C255,'Materials Master'!$A$2:$A$27,0)),"No"))))))="Yes",1,0)</f>
        <v>0</v>
      </c>
    </row>
    <row r="256" customFormat="false" ht="15" hidden="false" customHeight="false" outlineLevel="0" collapsed="false">
      <c r="A256" s="0" t="s">
        <v>95</v>
      </c>
      <c r="B256" s="0" t="s">
        <v>106</v>
      </c>
      <c r="C256" s="0" t="s">
        <v>75</v>
      </c>
      <c r="D256" s="0" t="str">
        <f aca="false">IFERROR(INDEX('Materials Master'!$B$2:$B$27,MATCH($C256,'Materials Master'!$A$2:$A$27,0)),"")</f>
        <v>E/U Waste</v>
      </c>
      <c r="E256" s="0" t="str">
        <f aca="false">IFERROR(INDEX('Materials Master'!$C$2:$C$27,MATCH($C256,'Materials Master'!$A$2:$A$27,0)),"")</f>
        <v>Unacceptable</v>
      </c>
      <c r="F256" s="0" t="n">
        <f aca="false">IF(SUMIFS(Fact_SortedWeights!$E$2:$E$89,Fact_SortedWeights!$C$2:$C$89,$A256,Fact_SortedWeights!$B$2:$B$89,$B256)=0,0,SUMIFS(Fact_SortedWeights!$E$2:$E$89,Fact_SortedWeights!$C$2:$C$89,$A256,Fact_SortedWeights!$B$2:$B$89,$B256,Fact_SortedWeights!$D$2:$D$89,$C256)/SUMIFS(Fact_SortedWeights!$E$2:$E$89,Fact_SortedWeights!$C$2:$C$89,$A256,Fact_SortedWeights!$B$2:$B$89,$B256)*(IF($B256="Cardboard Recycling",SUMIFS(Fact_SortedWeights!$E$2:$E$89,Fact_SortedWeights!$C$2:$C$89,$A256,Fact_SortedWeights!$B$2:$B$89,$B256),SUMIFS(Fact_PreSortWeights!$E$2:$E$186,Fact_PreSortWeights!$C$2:$C$186,$A256,Fact_PreSortWeights!$B$2:$B$186,$B256))))</f>
        <v>0</v>
      </c>
      <c r="G256" s="0" t="n">
        <f aca="false">IF(AND(IF($B256="Trash",INDEX('Materials Master'!$F$2:$F$27,MATCH($C256,'Materials Master'!$A$2:$A$27,0)),IF($B256="GMPC Recycling",INDEX('Materials Master'!$G$2:$G$27,MATCH($C256,'Materials Master'!$A$2:$A$27,0)),IF($B256="Organics Recycling",INDEX('Materials Master'!$H$2:$H$27,MATCH($C256,'Materials Master'!$A$2:$A$27,0)),IF($B256="Cardboard Recycling",INDEX('Materials Master'!$I$2:$I$27,MATCH($C256,'Materials Master'!$A$2:$A$27,0)),IF($B256="Paper Recycling",INDEX('Materials Master'!$J$2:$J$27,MATCH($C256,'Materials Master'!$A$2:$A$27,0)),IF($B256="Terracycle",INDEX('Materials Master'!$K$2:$K$27,MATCH($C256,'Materials Master'!$A$2:$A$27,0)),"No"))))))="Yes",INDEX('Materials Master'!$E$2:$E$27,MATCH($C256,'Materials Master'!$A$2:$A$27,0))="Yes",$B256&lt;&gt;"Trash"),1,0)</f>
        <v>0</v>
      </c>
      <c r="H256" s="0" t="str">
        <f aca="false">INDEX('Materials Master'!$E$2:$E$27,MATCH($C256,'Materials Master'!$A$2:$A$27,0))</f>
        <v>No</v>
      </c>
      <c r="I256" s="0" t="str">
        <f aca="false">IFERROR(INDEX(Areas!$C$2:$C$6,MATCH($A256,Areas!$B$2:$B$6,0)),"")</f>
        <v>BOH</v>
      </c>
      <c r="J256" s="0" t="n">
        <f aca="false">IF(IF($B256="Trash",INDEX('Materials Master'!$F$2:$F$27,MATCH($C256,'Materials Master'!$A$2:$A$27,0)),IF($B256="GMPC Recycling",INDEX('Materials Master'!$G$2:$G$27,MATCH($C256,'Materials Master'!$A$2:$A$27,0)),IF($B256="Organics Recycling",INDEX('Materials Master'!$H$2:$H$27,MATCH($C256,'Materials Master'!$A$2:$A$27,0)),IF($B256="Cardboard Recycling",INDEX('Materials Master'!$I$2:$I$27,MATCH($C256,'Materials Master'!$A$2:$A$27,0)),IF($B256="Paper Recycling",INDEX('Materials Master'!$J$2:$J$27,MATCH($C256,'Materials Master'!$A$2:$A$27,0)),IF($B256="Terracycle",INDEX('Materials Master'!$K$2:$K$27,MATCH($C256,'Materials Master'!$A$2:$A$27,0)),"No"))))))="Yes",1,0)</f>
        <v>0</v>
      </c>
    </row>
    <row r="257" customFormat="false" ht="15" hidden="false" customHeight="false" outlineLevel="0" collapsed="false">
      <c r="A257" s="0" t="s">
        <v>95</v>
      </c>
      <c r="B257" s="0" t="s">
        <v>106</v>
      </c>
      <c r="C257" s="0" t="s">
        <v>78</v>
      </c>
      <c r="D257" s="0" t="str">
        <f aca="false">IFERROR(INDEX('Materials Master'!$B$2:$B$27,MATCH($C257,'Materials Master'!$A$2:$A$27,0)),"")</f>
        <v>Textiles</v>
      </c>
      <c r="E257" s="0" t="str">
        <f aca="false">IFERROR(INDEX('Materials Master'!$C$2:$C$27,MATCH($C257,'Materials Master'!$A$2:$A$27,0)),"")</f>
        <v>Unacceptable</v>
      </c>
      <c r="F257" s="0" t="n">
        <f aca="false">IF(SUMIFS(Fact_SortedWeights!$E$2:$E$89,Fact_SortedWeights!$C$2:$C$89,$A257,Fact_SortedWeights!$B$2:$B$89,$B257)=0,0,SUMIFS(Fact_SortedWeights!$E$2:$E$89,Fact_SortedWeights!$C$2:$C$89,$A257,Fact_SortedWeights!$B$2:$B$89,$B257,Fact_SortedWeights!$D$2:$D$89,$C257)/SUMIFS(Fact_SortedWeights!$E$2:$E$89,Fact_SortedWeights!$C$2:$C$89,$A257,Fact_SortedWeights!$B$2:$B$89,$B257)*(IF($B257="Cardboard Recycling",SUMIFS(Fact_SortedWeights!$E$2:$E$89,Fact_SortedWeights!$C$2:$C$89,$A257,Fact_SortedWeights!$B$2:$B$89,$B257),SUMIFS(Fact_PreSortWeights!$E$2:$E$186,Fact_PreSortWeights!$C$2:$C$186,$A257,Fact_PreSortWeights!$B$2:$B$186,$B257))))</f>
        <v>0</v>
      </c>
      <c r="G257" s="0" t="n">
        <f aca="false">IF(AND(IF($B257="Trash",INDEX('Materials Master'!$F$2:$F$27,MATCH($C257,'Materials Master'!$A$2:$A$27,0)),IF($B257="GMPC Recycling",INDEX('Materials Master'!$G$2:$G$27,MATCH($C257,'Materials Master'!$A$2:$A$27,0)),IF($B257="Organics Recycling",INDEX('Materials Master'!$H$2:$H$27,MATCH($C257,'Materials Master'!$A$2:$A$27,0)),IF($B257="Cardboard Recycling",INDEX('Materials Master'!$I$2:$I$27,MATCH($C257,'Materials Master'!$A$2:$A$27,0)),IF($B257="Paper Recycling",INDEX('Materials Master'!$J$2:$J$27,MATCH($C257,'Materials Master'!$A$2:$A$27,0)),IF($B257="Terracycle",INDEX('Materials Master'!$K$2:$K$27,MATCH($C257,'Materials Master'!$A$2:$A$27,0)),"No"))))))="Yes",INDEX('Materials Master'!$E$2:$E$27,MATCH($C257,'Materials Master'!$A$2:$A$27,0))="Yes",$B257&lt;&gt;"Trash"),1,0)</f>
        <v>0</v>
      </c>
      <c r="H257" s="0" t="str">
        <f aca="false">INDEX('Materials Master'!$E$2:$E$27,MATCH($C257,'Materials Master'!$A$2:$A$27,0))</f>
        <v>No</v>
      </c>
      <c r="I257" s="0" t="str">
        <f aca="false">IFERROR(INDEX(Areas!$C$2:$C$6,MATCH($A257,Areas!$B$2:$B$6,0)),"")</f>
        <v>BOH</v>
      </c>
      <c r="J257" s="0" t="n">
        <f aca="false">IF(IF($B257="Trash",INDEX('Materials Master'!$F$2:$F$27,MATCH($C257,'Materials Master'!$A$2:$A$27,0)),IF($B257="GMPC Recycling",INDEX('Materials Master'!$G$2:$G$27,MATCH($C257,'Materials Master'!$A$2:$A$27,0)),IF($B257="Organics Recycling",INDEX('Materials Master'!$H$2:$H$27,MATCH($C257,'Materials Master'!$A$2:$A$27,0)),IF($B257="Cardboard Recycling",INDEX('Materials Master'!$I$2:$I$27,MATCH($C257,'Materials Master'!$A$2:$A$27,0)),IF($B257="Paper Recycling",INDEX('Materials Master'!$J$2:$J$27,MATCH($C257,'Materials Master'!$A$2:$A$27,0)),IF($B257="Terracycle",INDEX('Materials Master'!$K$2:$K$27,MATCH($C257,'Materials Master'!$A$2:$A$27,0)),"No"))))))="Yes",1,0)</f>
        <v>0</v>
      </c>
    </row>
    <row r="258" customFormat="false" ht="15" hidden="false" customHeight="false" outlineLevel="0" collapsed="false">
      <c r="A258" s="0" t="s">
        <v>95</v>
      </c>
      <c r="B258" s="0" t="s">
        <v>106</v>
      </c>
      <c r="C258" s="0" t="s">
        <v>80</v>
      </c>
      <c r="D258" s="0" t="str">
        <f aca="false">IFERROR(INDEX('Materials Master'!$B$2:$B$27,MATCH($C258,'Materials Master'!$A$2:$A$27,0)),"")</f>
        <v>Other Unacceptable (specify)</v>
      </c>
      <c r="E258" s="0" t="str">
        <f aca="false">IFERROR(INDEX('Materials Master'!$C$2:$C$27,MATCH($C258,'Materials Master'!$A$2:$A$27,0)),"")</f>
        <v>Unacceptable</v>
      </c>
      <c r="F258" s="0" t="n">
        <f aca="false">IF(SUMIFS(Fact_SortedWeights!$E$2:$E$89,Fact_SortedWeights!$C$2:$C$89,$A258,Fact_SortedWeights!$B$2:$B$89,$B258)=0,0,SUMIFS(Fact_SortedWeights!$E$2:$E$89,Fact_SortedWeights!$C$2:$C$89,$A258,Fact_SortedWeights!$B$2:$B$89,$B258,Fact_SortedWeights!$D$2:$D$89,$C258)/SUMIFS(Fact_SortedWeights!$E$2:$E$89,Fact_SortedWeights!$C$2:$C$89,$A258,Fact_SortedWeights!$B$2:$B$89,$B258)*(IF($B258="Cardboard Recycling",SUMIFS(Fact_SortedWeights!$E$2:$E$89,Fact_SortedWeights!$C$2:$C$89,$A258,Fact_SortedWeights!$B$2:$B$89,$B258),SUMIFS(Fact_PreSortWeights!$E$2:$E$186,Fact_PreSortWeights!$C$2:$C$186,$A258,Fact_PreSortWeights!$B$2:$B$186,$B258))))</f>
        <v>0</v>
      </c>
      <c r="G258" s="0" t="n">
        <f aca="false">IF(AND(IF($B258="Trash",INDEX('Materials Master'!$F$2:$F$27,MATCH($C258,'Materials Master'!$A$2:$A$27,0)),IF($B258="GMPC Recycling",INDEX('Materials Master'!$G$2:$G$27,MATCH($C258,'Materials Master'!$A$2:$A$27,0)),IF($B258="Organics Recycling",INDEX('Materials Master'!$H$2:$H$27,MATCH($C258,'Materials Master'!$A$2:$A$27,0)),IF($B258="Cardboard Recycling",INDEX('Materials Master'!$I$2:$I$27,MATCH($C258,'Materials Master'!$A$2:$A$27,0)),IF($B258="Paper Recycling",INDEX('Materials Master'!$J$2:$J$27,MATCH($C258,'Materials Master'!$A$2:$A$27,0)),IF($B258="Terracycle",INDEX('Materials Master'!$K$2:$K$27,MATCH($C258,'Materials Master'!$A$2:$A$27,0)),"No"))))))="Yes",INDEX('Materials Master'!$E$2:$E$27,MATCH($C258,'Materials Master'!$A$2:$A$27,0))="Yes",$B258&lt;&gt;"Trash"),1,0)</f>
        <v>0</v>
      </c>
      <c r="H258" s="0" t="str">
        <f aca="false">INDEX('Materials Master'!$E$2:$E$27,MATCH($C258,'Materials Master'!$A$2:$A$27,0))</f>
        <v>No</v>
      </c>
      <c r="I258" s="0" t="str">
        <f aca="false">IFERROR(INDEX(Areas!$C$2:$C$6,MATCH($A258,Areas!$B$2:$B$6,0)),"")</f>
        <v>BOH</v>
      </c>
      <c r="J258" s="0" t="n">
        <f aca="false">IF(IF($B258="Trash",INDEX('Materials Master'!$F$2:$F$27,MATCH($C258,'Materials Master'!$A$2:$A$27,0)),IF($B258="GMPC Recycling",INDEX('Materials Master'!$G$2:$G$27,MATCH($C258,'Materials Master'!$A$2:$A$27,0)),IF($B258="Organics Recycling",INDEX('Materials Master'!$H$2:$H$27,MATCH($C258,'Materials Master'!$A$2:$A$27,0)),IF($B258="Cardboard Recycling",INDEX('Materials Master'!$I$2:$I$27,MATCH($C258,'Materials Master'!$A$2:$A$27,0)),IF($B258="Paper Recycling",INDEX('Materials Master'!$J$2:$J$27,MATCH($C258,'Materials Master'!$A$2:$A$27,0)),IF($B258="Terracycle",INDEX('Materials Master'!$K$2:$K$27,MATCH($C258,'Materials Master'!$A$2:$A$27,0)),"No"))))))="Yes",1,0)</f>
        <v>0</v>
      </c>
    </row>
    <row r="259" customFormat="false" ht="15" hidden="false" customHeight="false" outlineLevel="0" collapsed="false">
      <c r="A259" s="0" t="s">
        <v>95</v>
      </c>
      <c r="B259" s="0" t="s">
        <v>106</v>
      </c>
      <c r="C259" s="0" t="s">
        <v>82</v>
      </c>
      <c r="D259" s="0" t="str">
        <f aca="false">IFERROR(INDEX('Materials Master'!$B$2:$B$27,MATCH($C259,'Materials Master'!$A$2:$A$27,0)),"")</f>
        <v>Liquids</v>
      </c>
      <c r="E259" s="0" t="str">
        <f aca="false">IFERROR(INDEX('Materials Master'!$C$2:$C$27,MATCH($C259,'Materials Master'!$A$2:$A$27,0)),"")</f>
        <v>Unacceptable</v>
      </c>
      <c r="F259" s="0" t="n">
        <f aca="false">IF(SUMIFS(Fact_SortedWeights!$E$2:$E$89,Fact_SortedWeights!$C$2:$C$89,$A259,Fact_SortedWeights!$B$2:$B$89,$B259)=0,0,SUMIFS(Fact_SortedWeights!$E$2:$E$89,Fact_SortedWeights!$C$2:$C$89,$A259,Fact_SortedWeights!$B$2:$B$89,$B259,Fact_SortedWeights!$D$2:$D$89,$C259)/SUMIFS(Fact_SortedWeights!$E$2:$E$89,Fact_SortedWeights!$C$2:$C$89,$A259,Fact_SortedWeights!$B$2:$B$89,$B259)*(IF($B259="Cardboard Recycling",SUMIFS(Fact_SortedWeights!$E$2:$E$89,Fact_SortedWeights!$C$2:$C$89,$A259,Fact_SortedWeights!$B$2:$B$89,$B259),SUMIFS(Fact_PreSortWeights!$E$2:$E$186,Fact_PreSortWeights!$C$2:$C$186,$A259,Fact_PreSortWeights!$B$2:$B$186,$B259))))</f>
        <v>0</v>
      </c>
      <c r="G259" s="0" t="n">
        <f aca="false">IF(AND(IF($B259="Trash",INDEX('Materials Master'!$F$2:$F$27,MATCH($C259,'Materials Master'!$A$2:$A$27,0)),IF($B259="GMPC Recycling",INDEX('Materials Master'!$G$2:$G$27,MATCH($C259,'Materials Master'!$A$2:$A$27,0)),IF($B259="Organics Recycling",INDEX('Materials Master'!$H$2:$H$27,MATCH($C259,'Materials Master'!$A$2:$A$27,0)),IF($B259="Cardboard Recycling",INDEX('Materials Master'!$I$2:$I$27,MATCH($C259,'Materials Master'!$A$2:$A$27,0)),IF($B259="Paper Recycling",INDEX('Materials Master'!$J$2:$J$27,MATCH($C259,'Materials Master'!$A$2:$A$27,0)),IF($B259="Terracycle",INDEX('Materials Master'!$K$2:$K$27,MATCH($C259,'Materials Master'!$A$2:$A$27,0)),"No"))))))="Yes",INDEX('Materials Master'!$E$2:$E$27,MATCH($C259,'Materials Master'!$A$2:$A$27,0))="Yes",$B259&lt;&gt;"Trash"),1,0)</f>
        <v>0</v>
      </c>
      <c r="H259" s="0" t="str">
        <f aca="false">INDEX('Materials Master'!$E$2:$E$27,MATCH($C259,'Materials Master'!$A$2:$A$27,0))</f>
        <v>No</v>
      </c>
      <c r="I259" s="0" t="str">
        <f aca="false">IFERROR(INDEX(Areas!$C$2:$C$6,MATCH($A259,Areas!$B$2:$B$6,0)),"")</f>
        <v>BOH</v>
      </c>
      <c r="J259" s="0" t="n">
        <f aca="false">IF(IF($B259="Trash",INDEX('Materials Master'!$F$2:$F$27,MATCH($C259,'Materials Master'!$A$2:$A$27,0)),IF($B259="GMPC Recycling",INDEX('Materials Master'!$G$2:$G$27,MATCH($C259,'Materials Master'!$A$2:$A$27,0)),IF($B259="Organics Recycling",INDEX('Materials Master'!$H$2:$H$27,MATCH($C259,'Materials Master'!$A$2:$A$27,0)),IF($B259="Cardboard Recycling",INDEX('Materials Master'!$I$2:$I$27,MATCH($C259,'Materials Master'!$A$2:$A$27,0)),IF($B259="Paper Recycling",INDEX('Materials Master'!$J$2:$J$27,MATCH($C259,'Materials Master'!$A$2:$A$27,0)),IF($B259="Terracycle",INDEX('Materials Master'!$K$2:$K$27,MATCH($C259,'Materials Master'!$A$2:$A$27,0)),"No"))))))="Yes",1,0)</f>
        <v>0</v>
      </c>
    </row>
    <row r="260" customFormat="false" ht="15" hidden="false" customHeight="false" outlineLevel="0" collapsed="false">
      <c r="A260" s="0" t="s">
        <v>95</v>
      </c>
      <c r="B260" s="0" t="s">
        <v>106</v>
      </c>
      <c r="C260" s="0" t="s">
        <v>84</v>
      </c>
      <c r="D260" s="0" t="str">
        <f aca="false">IFERROR(INDEX('Materials Master'!$B$2:$B$27,MATCH($C260,'Materials Master'!$A$2:$A$27,0)),"")</f>
        <v>Snack Wrappers (Composites)</v>
      </c>
      <c r="E260" s="0" t="str">
        <f aca="false">IFERROR(INDEX('Materials Master'!$C$2:$C$27,MATCH($C260,'Materials Master'!$A$2:$A$27,0)),"")</f>
        <v>Other</v>
      </c>
      <c r="F260" s="0" t="n">
        <f aca="false">IF(SUMIFS(Fact_SortedWeights!$E$2:$E$89,Fact_SortedWeights!$C$2:$C$89,$A260,Fact_SortedWeights!$B$2:$B$89,$B260)=0,0,SUMIFS(Fact_SortedWeights!$E$2:$E$89,Fact_SortedWeights!$C$2:$C$89,$A260,Fact_SortedWeights!$B$2:$B$89,$B260,Fact_SortedWeights!$D$2:$D$89,$C260)/SUMIFS(Fact_SortedWeights!$E$2:$E$89,Fact_SortedWeights!$C$2:$C$89,$A260,Fact_SortedWeights!$B$2:$B$89,$B260)*(IF($B260="Cardboard Recycling",SUMIFS(Fact_SortedWeights!$E$2:$E$89,Fact_SortedWeights!$C$2:$C$89,$A260,Fact_SortedWeights!$B$2:$B$89,$B260),SUMIFS(Fact_PreSortWeights!$E$2:$E$186,Fact_PreSortWeights!$C$2:$C$186,$A260,Fact_PreSortWeights!$B$2:$B$186,$B260))))</f>
        <v>0</v>
      </c>
      <c r="G260" s="0" t="n">
        <f aca="false">IF(AND(IF($B260="Trash",INDEX('Materials Master'!$F$2:$F$27,MATCH($C260,'Materials Master'!$A$2:$A$27,0)),IF($B260="GMPC Recycling",INDEX('Materials Master'!$G$2:$G$27,MATCH($C260,'Materials Master'!$A$2:$A$27,0)),IF($B260="Organics Recycling",INDEX('Materials Master'!$H$2:$H$27,MATCH($C260,'Materials Master'!$A$2:$A$27,0)),IF($B260="Cardboard Recycling",INDEX('Materials Master'!$I$2:$I$27,MATCH($C260,'Materials Master'!$A$2:$A$27,0)),IF($B260="Paper Recycling",INDEX('Materials Master'!$J$2:$J$27,MATCH($C260,'Materials Master'!$A$2:$A$27,0)),IF($B260="Terracycle",INDEX('Materials Master'!$K$2:$K$27,MATCH($C260,'Materials Master'!$A$2:$A$27,0)),"No"))))))="Yes",INDEX('Materials Master'!$E$2:$E$27,MATCH($C260,'Materials Master'!$A$2:$A$27,0))="Yes",$B260&lt;&gt;"Trash"),1,0)</f>
        <v>0</v>
      </c>
      <c r="H260" s="0" t="str">
        <f aca="false">INDEX('Materials Master'!$E$2:$E$27,MATCH($C260,'Materials Master'!$A$2:$A$27,0))</f>
        <v>Yes</v>
      </c>
      <c r="I260" s="0" t="str">
        <f aca="false">IFERROR(INDEX(Areas!$C$2:$C$6,MATCH($A260,Areas!$B$2:$B$6,0)),"")</f>
        <v>BOH</v>
      </c>
      <c r="J260" s="0" t="n">
        <f aca="false">IF(IF($B260="Trash",INDEX('Materials Master'!$F$2:$F$27,MATCH($C260,'Materials Master'!$A$2:$A$27,0)),IF($B260="GMPC Recycling",INDEX('Materials Master'!$G$2:$G$27,MATCH($C260,'Materials Master'!$A$2:$A$27,0)),IF($B260="Organics Recycling",INDEX('Materials Master'!$H$2:$H$27,MATCH($C260,'Materials Master'!$A$2:$A$27,0)),IF($B260="Cardboard Recycling",INDEX('Materials Master'!$I$2:$I$27,MATCH($C260,'Materials Master'!$A$2:$A$27,0)),IF($B260="Paper Recycling",INDEX('Materials Master'!$J$2:$J$27,MATCH($C260,'Materials Master'!$A$2:$A$27,0)),IF($B260="Terracycle",INDEX('Materials Master'!$K$2:$K$27,MATCH($C260,'Materials Master'!$A$2:$A$27,0)),"No"))))))="Yes",1,0)</f>
        <v>0</v>
      </c>
    </row>
    <row r="261" customFormat="false" ht="15" hidden="false" customHeight="false" outlineLevel="0" collapsed="false">
      <c r="A261" s="0" t="s">
        <v>95</v>
      </c>
      <c r="B261" s="0" t="s">
        <v>106</v>
      </c>
      <c r="C261" s="0" t="s">
        <v>87</v>
      </c>
      <c r="D261" s="0" t="str">
        <f aca="false">IFERROR(INDEX('Materials Master'!$B$2:$B$27,MATCH($C261,'Materials Master'!$A$2:$A$27,0)),"")</f>
        <v>Other/Residual Materials</v>
      </c>
      <c r="E261" s="0" t="str">
        <f aca="false">IFERROR(INDEX('Materials Master'!$C$2:$C$27,MATCH($C261,'Materials Master'!$A$2:$A$27,0)),"")</f>
        <v>Other</v>
      </c>
      <c r="F261" s="0" t="n">
        <f aca="false">IF(SUMIFS(Fact_SortedWeights!$E$2:$E$89,Fact_SortedWeights!$C$2:$C$89,$A261,Fact_SortedWeights!$B$2:$B$89,$B261)=0,0,SUMIFS(Fact_SortedWeights!$E$2:$E$89,Fact_SortedWeights!$C$2:$C$89,$A261,Fact_SortedWeights!$B$2:$B$89,$B261,Fact_SortedWeights!$D$2:$D$89,$C261)/SUMIFS(Fact_SortedWeights!$E$2:$E$89,Fact_SortedWeights!$C$2:$C$89,$A261,Fact_SortedWeights!$B$2:$B$89,$B261)*(IF($B261="Cardboard Recycling",SUMIFS(Fact_SortedWeights!$E$2:$E$89,Fact_SortedWeights!$C$2:$C$89,$A261,Fact_SortedWeights!$B$2:$B$89,$B261),SUMIFS(Fact_PreSortWeights!$E$2:$E$186,Fact_PreSortWeights!$C$2:$C$186,$A261,Fact_PreSortWeights!$B$2:$B$186,$B261))))</f>
        <v>0</v>
      </c>
      <c r="G261" s="0" t="n">
        <f aca="false">IF(AND(IF($B261="Trash",INDEX('Materials Master'!$F$2:$F$27,MATCH($C261,'Materials Master'!$A$2:$A$27,0)),IF($B261="GMPC Recycling",INDEX('Materials Master'!$G$2:$G$27,MATCH($C261,'Materials Master'!$A$2:$A$27,0)),IF($B261="Organics Recycling",INDEX('Materials Master'!$H$2:$H$27,MATCH($C261,'Materials Master'!$A$2:$A$27,0)),IF($B261="Cardboard Recycling",INDEX('Materials Master'!$I$2:$I$27,MATCH($C261,'Materials Master'!$A$2:$A$27,0)),IF($B261="Paper Recycling",INDEX('Materials Master'!$J$2:$J$27,MATCH($C261,'Materials Master'!$A$2:$A$27,0)),IF($B261="Terracycle",INDEX('Materials Master'!$K$2:$K$27,MATCH($C261,'Materials Master'!$A$2:$A$27,0)),"No"))))))="Yes",INDEX('Materials Master'!$E$2:$E$27,MATCH($C261,'Materials Master'!$A$2:$A$27,0))="Yes",$B261&lt;&gt;"Trash"),1,0)</f>
        <v>0</v>
      </c>
      <c r="H261" s="0" t="str">
        <f aca="false">INDEX('Materials Master'!$E$2:$E$27,MATCH($C261,'Materials Master'!$A$2:$A$27,0))</f>
        <v>No</v>
      </c>
      <c r="I261" s="0" t="str">
        <f aca="false">IFERROR(INDEX(Areas!$C$2:$C$6,MATCH($A261,Areas!$B$2:$B$6,0)),"")</f>
        <v>BOH</v>
      </c>
      <c r="J261" s="0" t="n">
        <f aca="false">IF(IF($B261="Trash",INDEX('Materials Master'!$F$2:$F$27,MATCH($C261,'Materials Master'!$A$2:$A$27,0)),IF($B261="GMPC Recycling",INDEX('Materials Master'!$G$2:$G$27,MATCH($C261,'Materials Master'!$A$2:$A$27,0)),IF($B261="Organics Recycling",INDEX('Materials Master'!$H$2:$H$27,MATCH($C261,'Materials Master'!$A$2:$A$27,0)),IF($B261="Cardboard Recycling",INDEX('Materials Master'!$I$2:$I$27,MATCH($C261,'Materials Master'!$A$2:$A$27,0)),IF($B261="Paper Recycling",INDEX('Materials Master'!$J$2:$J$27,MATCH($C261,'Materials Master'!$A$2:$A$27,0)),IF($B261="Terracycle",INDEX('Materials Master'!$K$2:$K$27,MATCH($C261,'Materials Master'!$A$2:$A$27,0)),"No"))))))="Yes",1,0)</f>
        <v>0</v>
      </c>
    </row>
    <row r="262" customFormat="false" ht="15" hidden="false" customHeight="false" outlineLevel="0" collapsed="false">
      <c r="A262" s="0" t="s">
        <v>95</v>
      </c>
      <c r="B262" s="0" t="s">
        <v>107</v>
      </c>
      <c r="C262" s="0" t="s">
        <v>28</v>
      </c>
      <c r="D262" s="0" t="str">
        <f aca="false">IFERROR(INDEX('Materials Master'!$B$2:$B$27,MATCH($C262,'Materials Master'!$A$2:$A$27,0)),"")</f>
        <v>Corrugated Cardboard</v>
      </c>
      <c r="E262" s="0" t="str">
        <f aca="false">IFERROR(INDEX('Materials Master'!$C$2:$C$27,MATCH($C262,'Materials Master'!$A$2:$A$27,0)),"")</f>
        <v>Fibers</v>
      </c>
      <c r="F262" s="0" t="n">
        <f aca="false">IF(SUMIFS(Fact_SortedWeights!$E$2:$E$89,Fact_SortedWeights!$C$2:$C$89,$A262,Fact_SortedWeights!$B$2:$B$89,$B262)=0,0,SUMIFS(Fact_SortedWeights!$E$2:$E$89,Fact_SortedWeights!$C$2:$C$89,$A262,Fact_SortedWeights!$B$2:$B$89,$B262,Fact_SortedWeights!$D$2:$D$89,$C262)/SUMIFS(Fact_SortedWeights!$E$2:$E$89,Fact_SortedWeights!$C$2:$C$89,$A262,Fact_SortedWeights!$B$2:$B$89,$B262)*(IF($B262="Cardboard Recycling",SUMIFS(Fact_SortedWeights!$E$2:$E$89,Fact_SortedWeights!$C$2:$C$89,$A262,Fact_SortedWeights!$B$2:$B$89,$B262),SUMIFS(Fact_PreSortWeights!$E$2:$E$186,Fact_PreSortWeights!$C$2:$C$186,$A262,Fact_PreSortWeights!$B$2:$B$186,$B262))))</f>
        <v>0</v>
      </c>
      <c r="G262" s="0" t="n">
        <f aca="false">IF(AND(IF($B262="Trash",INDEX('Materials Master'!$F$2:$F$27,MATCH($C262,'Materials Master'!$A$2:$A$27,0)),IF($B262="GMPC Recycling",INDEX('Materials Master'!$G$2:$G$27,MATCH($C262,'Materials Master'!$A$2:$A$27,0)),IF($B262="Organics Recycling",INDEX('Materials Master'!$H$2:$H$27,MATCH($C262,'Materials Master'!$A$2:$A$27,0)),IF($B262="Cardboard Recycling",INDEX('Materials Master'!$I$2:$I$27,MATCH($C262,'Materials Master'!$A$2:$A$27,0)),IF($B262="Paper Recycling",INDEX('Materials Master'!$J$2:$J$27,MATCH($C262,'Materials Master'!$A$2:$A$27,0)),IF($B262="Terracycle",INDEX('Materials Master'!$K$2:$K$27,MATCH($C262,'Materials Master'!$A$2:$A$27,0)),"No"))))))="Yes",INDEX('Materials Master'!$E$2:$E$27,MATCH($C262,'Materials Master'!$A$2:$A$27,0))="Yes",$B262&lt;&gt;"Trash"),1,0)</f>
        <v>1</v>
      </c>
      <c r="H262" s="0" t="str">
        <f aca="false">INDEX('Materials Master'!$E$2:$E$27,MATCH($C262,'Materials Master'!$A$2:$A$27,0))</f>
        <v>Yes</v>
      </c>
      <c r="I262" s="0" t="str">
        <f aca="false">IFERROR(INDEX(Areas!$C$2:$C$6,MATCH($A262,Areas!$B$2:$B$6,0)),"")</f>
        <v>BOH</v>
      </c>
      <c r="J262" s="0" t="n">
        <f aca="false">IF(IF($B262="Trash",INDEX('Materials Master'!$F$2:$F$27,MATCH($C262,'Materials Master'!$A$2:$A$27,0)),IF($B262="GMPC Recycling",INDEX('Materials Master'!$G$2:$G$27,MATCH($C262,'Materials Master'!$A$2:$A$27,0)),IF($B262="Organics Recycling",INDEX('Materials Master'!$H$2:$H$27,MATCH($C262,'Materials Master'!$A$2:$A$27,0)),IF($B262="Cardboard Recycling",INDEX('Materials Master'!$I$2:$I$27,MATCH($C262,'Materials Master'!$A$2:$A$27,0)),IF($B262="Paper Recycling",INDEX('Materials Master'!$J$2:$J$27,MATCH($C262,'Materials Master'!$A$2:$A$27,0)),IF($B262="Terracycle",INDEX('Materials Master'!$K$2:$K$27,MATCH($C262,'Materials Master'!$A$2:$A$27,0)),"No"))))))="Yes",1,0)</f>
        <v>1</v>
      </c>
    </row>
    <row r="263" customFormat="false" ht="15" hidden="false" customHeight="false" outlineLevel="0" collapsed="false">
      <c r="A263" s="0" t="s">
        <v>95</v>
      </c>
      <c r="B263" s="0" t="s">
        <v>107</v>
      </c>
      <c r="C263" s="0" t="s">
        <v>33</v>
      </c>
      <c r="D263" s="0" t="str">
        <f aca="false">IFERROR(INDEX('Materials Master'!$B$2:$B$27,MATCH($C263,'Materials Master'!$A$2:$A$27,0)),"")</f>
        <v>Soiled Cardboard</v>
      </c>
      <c r="E263" s="0" t="str">
        <f aca="false">IFERROR(INDEX('Materials Master'!$C$2:$C$27,MATCH($C263,'Materials Master'!$A$2:$A$27,0)),"")</f>
        <v>Fibers</v>
      </c>
      <c r="F263" s="0" t="n">
        <f aca="false">IF(SUMIFS(Fact_SortedWeights!$E$2:$E$89,Fact_SortedWeights!$C$2:$C$89,$A263,Fact_SortedWeights!$B$2:$B$89,$B263)=0,0,SUMIFS(Fact_SortedWeights!$E$2:$E$89,Fact_SortedWeights!$C$2:$C$89,$A263,Fact_SortedWeights!$B$2:$B$89,$B263,Fact_SortedWeights!$D$2:$D$89,$C263)/SUMIFS(Fact_SortedWeights!$E$2:$E$89,Fact_SortedWeights!$C$2:$C$89,$A263,Fact_SortedWeights!$B$2:$B$89,$B263)*(IF($B263="Cardboard Recycling",SUMIFS(Fact_SortedWeights!$E$2:$E$89,Fact_SortedWeights!$C$2:$C$89,$A263,Fact_SortedWeights!$B$2:$B$89,$B263),SUMIFS(Fact_PreSortWeights!$E$2:$E$186,Fact_PreSortWeights!$C$2:$C$186,$A263,Fact_PreSortWeights!$B$2:$B$186,$B263))))</f>
        <v>0</v>
      </c>
      <c r="G263" s="0" t="n">
        <f aca="false">IF(AND(IF($B263="Trash",INDEX('Materials Master'!$F$2:$F$27,MATCH($C263,'Materials Master'!$A$2:$A$27,0)),IF($B263="GMPC Recycling",INDEX('Materials Master'!$G$2:$G$27,MATCH($C263,'Materials Master'!$A$2:$A$27,0)),IF($B263="Organics Recycling",INDEX('Materials Master'!$H$2:$H$27,MATCH($C263,'Materials Master'!$A$2:$A$27,0)),IF($B263="Cardboard Recycling",INDEX('Materials Master'!$I$2:$I$27,MATCH($C263,'Materials Master'!$A$2:$A$27,0)),IF($B263="Paper Recycling",INDEX('Materials Master'!$J$2:$J$27,MATCH($C263,'Materials Master'!$A$2:$A$27,0)),IF($B263="Terracycle",INDEX('Materials Master'!$K$2:$K$27,MATCH($C263,'Materials Master'!$A$2:$A$27,0)),"No"))))))="Yes",INDEX('Materials Master'!$E$2:$E$27,MATCH($C263,'Materials Master'!$A$2:$A$27,0))="Yes",$B263&lt;&gt;"Trash"),1,0)</f>
        <v>0</v>
      </c>
      <c r="H263" s="0" t="str">
        <f aca="false">INDEX('Materials Master'!$E$2:$E$27,MATCH($C263,'Materials Master'!$A$2:$A$27,0))</f>
        <v>No</v>
      </c>
      <c r="I263" s="0" t="str">
        <f aca="false">IFERROR(INDEX(Areas!$C$2:$C$6,MATCH($A263,Areas!$B$2:$B$6,0)),"")</f>
        <v>BOH</v>
      </c>
      <c r="J263" s="0" t="n">
        <f aca="false">IF(IF($B263="Trash",INDEX('Materials Master'!$F$2:$F$27,MATCH($C263,'Materials Master'!$A$2:$A$27,0)),IF($B263="GMPC Recycling",INDEX('Materials Master'!$G$2:$G$27,MATCH($C263,'Materials Master'!$A$2:$A$27,0)),IF($B263="Organics Recycling",INDEX('Materials Master'!$H$2:$H$27,MATCH($C263,'Materials Master'!$A$2:$A$27,0)),IF($B263="Cardboard Recycling",INDEX('Materials Master'!$I$2:$I$27,MATCH($C263,'Materials Master'!$A$2:$A$27,0)),IF($B263="Paper Recycling",INDEX('Materials Master'!$J$2:$J$27,MATCH($C263,'Materials Master'!$A$2:$A$27,0)),IF($B263="Terracycle",INDEX('Materials Master'!$K$2:$K$27,MATCH($C263,'Materials Master'!$A$2:$A$27,0)),"No"))))))="Yes",1,0)</f>
        <v>0</v>
      </c>
    </row>
    <row r="264" customFormat="false" ht="15" hidden="false" customHeight="false" outlineLevel="0" collapsed="false">
      <c r="A264" s="0" t="s">
        <v>95</v>
      </c>
      <c r="B264" s="0" t="s">
        <v>107</v>
      </c>
      <c r="C264" s="0" t="s">
        <v>35</v>
      </c>
      <c r="D264" s="0" t="str">
        <f aca="false">IFERROR(INDEX('Materials Master'!$B$2:$B$27,MATCH($C264,'Materials Master'!$A$2:$A$27,0)),"")</f>
        <v>Waxed Cardboard</v>
      </c>
      <c r="E264" s="0" t="str">
        <f aca="false">IFERROR(INDEX('Materials Master'!$C$2:$C$27,MATCH($C264,'Materials Master'!$A$2:$A$27,0)),"")</f>
        <v>Fibers</v>
      </c>
      <c r="F264" s="0" t="n">
        <f aca="false">IF(SUMIFS(Fact_SortedWeights!$E$2:$E$89,Fact_SortedWeights!$C$2:$C$89,$A264,Fact_SortedWeights!$B$2:$B$89,$B264)=0,0,SUMIFS(Fact_SortedWeights!$E$2:$E$89,Fact_SortedWeights!$C$2:$C$89,$A264,Fact_SortedWeights!$B$2:$B$89,$B264,Fact_SortedWeights!$D$2:$D$89,$C264)/SUMIFS(Fact_SortedWeights!$E$2:$E$89,Fact_SortedWeights!$C$2:$C$89,$A264,Fact_SortedWeights!$B$2:$B$89,$B264)*(IF($B264="Cardboard Recycling",SUMIFS(Fact_SortedWeights!$E$2:$E$89,Fact_SortedWeights!$C$2:$C$89,$A264,Fact_SortedWeights!$B$2:$B$89,$B264),SUMIFS(Fact_PreSortWeights!$E$2:$E$186,Fact_PreSortWeights!$C$2:$C$186,$A264,Fact_PreSortWeights!$B$2:$B$186,$B264))))</f>
        <v>0</v>
      </c>
      <c r="G264" s="0" t="n">
        <f aca="false">IF(AND(IF($B264="Trash",INDEX('Materials Master'!$F$2:$F$27,MATCH($C264,'Materials Master'!$A$2:$A$27,0)),IF($B264="GMPC Recycling",INDEX('Materials Master'!$G$2:$G$27,MATCH($C264,'Materials Master'!$A$2:$A$27,0)),IF($B264="Organics Recycling",INDEX('Materials Master'!$H$2:$H$27,MATCH($C264,'Materials Master'!$A$2:$A$27,0)),IF($B264="Cardboard Recycling",INDEX('Materials Master'!$I$2:$I$27,MATCH($C264,'Materials Master'!$A$2:$A$27,0)),IF($B264="Paper Recycling",INDEX('Materials Master'!$J$2:$J$27,MATCH($C264,'Materials Master'!$A$2:$A$27,0)),IF($B264="Terracycle",INDEX('Materials Master'!$K$2:$K$27,MATCH($C264,'Materials Master'!$A$2:$A$27,0)),"No"))))))="Yes",INDEX('Materials Master'!$E$2:$E$27,MATCH($C264,'Materials Master'!$A$2:$A$27,0))="Yes",$B264&lt;&gt;"Trash"),1,0)</f>
        <v>0</v>
      </c>
      <c r="H264" s="0" t="str">
        <f aca="false">INDEX('Materials Master'!$E$2:$E$27,MATCH($C264,'Materials Master'!$A$2:$A$27,0))</f>
        <v>No</v>
      </c>
      <c r="I264" s="0" t="str">
        <f aca="false">IFERROR(INDEX(Areas!$C$2:$C$6,MATCH($A264,Areas!$B$2:$B$6,0)),"")</f>
        <v>BOH</v>
      </c>
      <c r="J264" s="0" t="n">
        <f aca="false">IF(IF($B264="Trash",INDEX('Materials Master'!$F$2:$F$27,MATCH($C264,'Materials Master'!$A$2:$A$27,0)),IF($B264="GMPC Recycling",INDEX('Materials Master'!$G$2:$G$27,MATCH($C264,'Materials Master'!$A$2:$A$27,0)),IF($B264="Organics Recycling",INDEX('Materials Master'!$H$2:$H$27,MATCH($C264,'Materials Master'!$A$2:$A$27,0)),IF($B264="Cardboard Recycling",INDEX('Materials Master'!$I$2:$I$27,MATCH($C264,'Materials Master'!$A$2:$A$27,0)),IF($B264="Paper Recycling",INDEX('Materials Master'!$J$2:$J$27,MATCH($C264,'Materials Master'!$A$2:$A$27,0)),IF($B264="Terracycle",INDEX('Materials Master'!$K$2:$K$27,MATCH($C264,'Materials Master'!$A$2:$A$27,0)),"No"))))))="Yes",1,0)</f>
        <v>0</v>
      </c>
    </row>
    <row r="265" customFormat="false" ht="15" hidden="false" customHeight="false" outlineLevel="0" collapsed="false">
      <c r="A265" s="0" t="s">
        <v>95</v>
      </c>
      <c r="B265" s="0" t="s">
        <v>107</v>
      </c>
      <c r="C265" s="0" t="s">
        <v>37</v>
      </c>
      <c r="D265" s="0" t="str">
        <f aca="false">IFERROR(INDEX('Materials Master'!$B$2:$B$27,MATCH($C265,'Materials Master'!$A$2:$A$27,0)),"")</f>
        <v>Mixed Paper</v>
      </c>
      <c r="E265" s="0" t="str">
        <f aca="false">IFERROR(INDEX('Materials Master'!$C$2:$C$27,MATCH($C265,'Materials Master'!$A$2:$A$27,0)),"")</f>
        <v>Fibers</v>
      </c>
      <c r="F265" s="0" t="n">
        <f aca="false">IF(SUMIFS(Fact_SortedWeights!$E$2:$E$89,Fact_SortedWeights!$C$2:$C$89,$A265,Fact_SortedWeights!$B$2:$B$89,$B265)=0,0,SUMIFS(Fact_SortedWeights!$E$2:$E$89,Fact_SortedWeights!$C$2:$C$89,$A265,Fact_SortedWeights!$B$2:$B$89,$B265,Fact_SortedWeights!$D$2:$D$89,$C265)/SUMIFS(Fact_SortedWeights!$E$2:$E$89,Fact_SortedWeights!$C$2:$C$89,$A265,Fact_SortedWeights!$B$2:$B$89,$B265)*(IF($B265="Cardboard Recycling",SUMIFS(Fact_SortedWeights!$E$2:$E$89,Fact_SortedWeights!$C$2:$C$89,$A265,Fact_SortedWeights!$B$2:$B$89,$B265),SUMIFS(Fact_PreSortWeights!$E$2:$E$186,Fact_PreSortWeights!$C$2:$C$186,$A265,Fact_PreSortWeights!$B$2:$B$186,$B265))))</f>
        <v>0</v>
      </c>
      <c r="G265" s="0" t="n">
        <f aca="false">IF(AND(IF($B265="Trash",INDEX('Materials Master'!$F$2:$F$27,MATCH($C265,'Materials Master'!$A$2:$A$27,0)),IF($B265="GMPC Recycling",INDEX('Materials Master'!$G$2:$G$27,MATCH($C265,'Materials Master'!$A$2:$A$27,0)),IF($B265="Organics Recycling",INDEX('Materials Master'!$H$2:$H$27,MATCH($C265,'Materials Master'!$A$2:$A$27,0)),IF($B265="Cardboard Recycling",INDEX('Materials Master'!$I$2:$I$27,MATCH($C265,'Materials Master'!$A$2:$A$27,0)),IF($B265="Paper Recycling",INDEX('Materials Master'!$J$2:$J$27,MATCH($C265,'Materials Master'!$A$2:$A$27,0)),IF($B265="Terracycle",INDEX('Materials Master'!$K$2:$K$27,MATCH($C265,'Materials Master'!$A$2:$A$27,0)),"No"))))))="Yes",INDEX('Materials Master'!$E$2:$E$27,MATCH($C265,'Materials Master'!$A$2:$A$27,0))="Yes",$B265&lt;&gt;"Trash"),1,0)</f>
        <v>1</v>
      </c>
      <c r="H265" s="0" t="str">
        <f aca="false">INDEX('Materials Master'!$E$2:$E$27,MATCH($C265,'Materials Master'!$A$2:$A$27,0))</f>
        <v>Yes</v>
      </c>
      <c r="I265" s="0" t="str">
        <f aca="false">IFERROR(INDEX(Areas!$C$2:$C$6,MATCH($A265,Areas!$B$2:$B$6,0)),"")</f>
        <v>BOH</v>
      </c>
      <c r="J265" s="0" t="n">
        <f aca="false">IF(IF($B265="Trash",INDEX('Materials Master'!$F$2:$F$27,MATCH($C265,'Materials Master'!$A$2:$A$27,0)),IF($B265="GMPC Recycling",INDEX('Materials Master'!$G$2:$G$27,MATCH($C265,'Materials Master'!$A$2:$A$27,0)),IF($B265="Organics Recycling",INDEX('Materials Master'!$H$2:$H$27,MATCH($C265,'Materials Master'!$A$2:$A$27,0)),IF($B265="Cardboard Recycling",INDEX('Materials Master'!$I$2:$I$27,MATCH($C265,'Materials Master'!$A$2:$A$27,0)),IF($B265="Paper Recycling",INDEX('Materials Master'!$J$2:$J$27,MATCH($C265,'Materials Master'!$A$2:$A$27,0)),IF($B265="Terracycle",INDEX('Materials Master'!$K$2:$K$27,MATCH($C265,'Materials Master'!$A$2:$A$27,0)),"No"))))))="Yes",1,0)</f>
        <v>1</v>
      </c>
    </row>
    <row r="266" customFormat="false" ht="15" hidden="false" customHeight="false" outlineLevel="0" collapsed="false">
      <c r="A266" s="0" t="s">
        <v>95</v>
      </c>
      <c r="B266" s="0" t="s">
        <v>107</v>
      </c>
      <c r="C266" s="0" t="s">
        <v>39</v>
      </c>
      <c r="D266" s="0" t="str">
        <f aca="false">IFERROR(INDEX('Materials Master'!$B$2:$B$27,MATCH($C266,'Materials Master'!$A$2:$A$27,0)),"")</f>
        <v>Soiled Paper</v>
      </c>
      <c r="E266" s="0" t="str">
        <f aca="false">IFERROR(INDEX('Materials Master'!$C$2:$C$27,MATCH($C266,'Materials Master'!$A$2:$A$27,0)),"")</f>
        <v>Fibers</v>
      </c>
      <c r="F266" s="0" t="n">
        <f aca="false">IF(SUMIFS(Fact_SortedWeights!$E$2:$E$89,Fact_SortedWeights!$C$2:$C$89,$A266,Fact_SortedWeights!$B$2:$B$89,$B266)=0,0,SUMIFS(Fact_SortedWeights!$E$2:$E$89,Fact_SortedWeights!$C$2:$C$89,$A266,Fact_SortedWeights!$B$2:$B$89,$B266,Fact_SortedWeights!$D$2:$D$89,$C266)/SUMIFS(Fact_SortedWeights!$E$2:$E$89,Fact_SortedWeights!$C$2:$C$89,$A266,Fact_SortedWeights!$B$2:$B$89,$B266)*(IF($B266="Cardboard Recycling",SUMIFS(Fact_SortedWeights!$E$2:$E$89,Fact_SortedWeights!$C$2:$C$89,$A266,Fact_SortedWeights!$B$2:$B$89,$B266),SUMIFS(Fact_PreSortWeights!$E$2:$E$186,Fact_PreSortWeights!$C$2:$C$186,$A266,Fact_PreSortWeights!$B$2:$B$186,$B266))))</f>
        <v>0</v>
      </c>
      <c r="G266" s="0" t="n">
        <f aca="false">IF(AND(IF($B266="Trash",INDEX('Materials Master'!$F$2:$F$27,MATCH($C266,'Materials Master'!$A$2:$A$27,0)),IF($B266="GMPC Recycling",INDEX('Materials Master'!$G$2:$G$27,MATCH($C266,'Materials Master'!$A$2:$A$27,0)),IF($B266="Organics Recycling",INDEX('Materials Master'!$H$2:$H$27,MATCH($C266,'Materials Master'!$A$2:$A$27,0)),IF($B266="Cardboard Recycling",INDEX('Materials Master'!$I$2:$I$27,MATCH($C266,'Materials Master'!$A$2:$A$27,0)),IF($B266="Paper Recycling",INDEX('Materials Master'!$J$2:$J$27,MATCH($C266,'Materials Master'!$A$2:$A$27,0)),IF($B266="Terracycle",INDEX('Materials Master'!$K$2:$K$27,MATCH($C266,'Materials Master'!$A$2:$A$27,0)),"No"))))))="Yes",INDEX('Materials Master'!$E$2:$E$27,MATCH($C266,'Materials Master'!$A$2:$A$27,0))="Yes",$B266&lt;&gt;"Trash"),1,0)</f>
        <v>0</v>
      </c>
      <c r="H266" s="0" t="str">
        <f aca="false">INDEX('Materials Master'!$E$2:$E$27,MATCH($C266,'Materials Master'!$A$2:$A$27,0))</f>
        <v>No</v>
      </c>
      <c r="I266" s="0" t="str">
        <f aca="false">IFERROR(INDEX(Areas!$C$2:$C$6,MATCH($A266,Areas!$B$2:$B$6,0)),"")</f>
        <v>BOH</v>
      </c>
      <c r="J266" s="0" t="n">
        <f aca="false">IF(IF($B266="Trash",INDEX('Materials Master'!$F$2:$F$27,MATCH($C266,'Materials Master'!$A$2:$A$27,0)),IF($B266="GMPC Recycling",INDEX('Materials Master'!$G$2:$G$27,MATCH($C266,'Materials Master'!$A$2:$A$27,0)),IF($B266="Organics Recycling",INDEX('Materials Master'!$H$2:$H$27,MATCH($C266,'Materials Master'!$A$2:$A$27,0)),IF($B266="Cardboard Recycling",INDEX('Materials Master'!$I$2:$I$27,MATCH($C266,'Materials Master'!$A$2:$A$27,0)),IF($B266="Paper Recycling",INDEX('Materials Master'!$J$2:$J$27,MATCH($C266,'Materials Master'!$A$2:$A$27,0)),IF($B266="Terracycle",INDEX('Materials Master'!$K$2:$K$27,MATCH($C266,'Materials Master'!$A$2:$A$27,0)),"No"))))))="Yes",1,0)</f>
        <v>0</v>
      </c>
    </row>
    <row r="267" customFormat="false" ht="15" hidden="false" customHeight="false" outlineLevel="0" collapsed="false">
      <c r="A267" s="0" t="s">
        <v>95</v>
      </c>
      <c r="B267" s="0" t="s">
        <v>107</v>
      </c>
      <c r="C267" s="0" t="s">
        <v>41</v>
      </c>
      <c r="D267" s="0" t="str">
        <f aca="false">IFERROR(INDEX('Materials Master'!$B$2:$B$27,MATCH($C267,'Materials Master'!$A$2:$A$27,0)),"")</f>
        <v>Beverage Cartons</v>
      </c>
      <c r="E267" s="0" t="str">
        <f aca="false">IFERROR(INDEX('Materials Master'!$C$2:$C$27,MATCH($C267,'Materials Master'!$A$2:$A$27,0)),"")</f>
        <v>Fibers</v>
      </c>
      <c r="F267" s="0" t="n">
        <f aca="false">IF(SUMIFS(Fact_SortedWeights!$E$2:$E$89,Fact_SortedWeights!$C$2:$C$89,$A267,Fact_SortedWeights!$B$2:$B$89,$B267)=0,0,SUMIFS(Fact_SortedWeights!$E$2:$E$89,Fact_SortedWeights!$C$2:$C$89,$A267,Fact_SortedWeights!$B$2:$B$89,$B267,Fact_SortedWeights!$D$2:$D$89,$C267)/SUMIFS(Fact_SortedWeights!$E$2:$E$89,Fact_SortedWeights!$C$2:$C$89,$A267,Fact_SortedWeights!$B$2:$B$89,$B267)*(IF($B267="Cardboard Recycling",SUMIFS(Fact_SortedWeights!$E$2:$E$89,Fact_SortedWeights!$C$2:$C$89,$A267,Fact_SortedWeights!$B$2:$B$89,$B267),SUMIFS(Fact_PreSortWeights!$E$2:$E$186,Fact_PreSortWeights!$C$2:$C$186,$A267,Fact_PreSortWeights!$B$2:$B$186,$B267))))</f>
        <v>0</v>
      </c>
      <c r="G267" s="0" t="n">
        <f aca="false">IF(AND(IF($B267="Trash",INDEX('Materials Master'!$F$2:$F$27,MATCH($C267,'Materials Master'!$A$2:$A$27,0)),IF($B267="GMPC Recycling",INDEX('Materials Master'!$G$2:$G$27,MATCH($C267,'Materials Master'!$A$2:$A$27,0)),IF($B267="Organics Recycling",INDEX('Materials Master'!$H$2:$H$27,MATCH($C267,'Materials Master'!$A$2:$A$27,0)),IF($B267="Cardboard Recycling",INDEX('Materials Master'!$I$2:$I$27,MATCH($C267,'Materials Master'!$A$2:$A$27,0)),IF($B267="Paper Recycling",INDEX('Materials Master'!$J$2:$J$27,MATCH($C267,'Materials Master'!$A$2:$A$27,0)),IF($B267="Terracycle",INDEX('Materials Master'!$K$2:$K$27,MATCH($C267,'Materials Master'!$A$2:$A$27,0)),"No"))))))="Yes",INDEX('Materials Master'!$E$2:$E$27,MATCH($C267,'Materials Master'!$A$2:$A$27,0))="Yes",$B267&lt;&gt;"Trash"),1,0)</f>
        <v>1</v>
      </c>
      <c r="H267" s="0" t="str">
        <f aca="false">INDEX('Materials Master'!$E$2:$E$27,MATCH($C267,'Materials Master'!$A$2:$A$27,0))</f>
        <v>Yes</v>
      </c>
      <c r="I267" s="0" t="str">
        <f aca="false">IFERROR(INDEX(Areas!$C$2:$C$6,MATCH($A267,Areas!$B$2:$B$6,0)),"")</f>
        <v>BOH</v>
      </c>
      <c r="J267" s="0" t="n">
        <f aca="false">IF(IF($B267="Trash",INDEX('Materials Master'!$F$2:$F$27,MATCH($C267,'Materials Master'!$A$2:$A$27,0)),IF($B267="GMPC Recycling",INDEX('Materials Master'!$G$2:$G$27,MATCH($C267,'Materials Master'!$A$2:$A$27,0)),IF($B267="Organics Recycling",INDEX('Materials Master'!$H$2:$H$27,MATCH($C267,'Materials Master'!$A$2:$A$27,0)),IF($B267="Cardboard Recycling",INDEX('Materials Master'!$I$2:$I$27,MATCH($C267,'Materials Master'!$A$2:$A$27,0)),IF($B267="Paper Recycling",INDEX('Materials Master'!$J$2:$J$27,MATCH($C267,'Materials Master'!$A$2:$A$27,0)),IF($B267="Terracycle",INDEX('Materials Master'!$K$2:$K$27,MATCH($C267,'Materials Master'!$A$2:$A$27,0)),"No"))))))="Yes",1,0)</f>
        <v>1</v>
      </c>
    </row>
    <row r="268" customFormat="false" ht="15" hidden="false" customHeight="false" outlineLevel="0" collapsed="false">
      <c r="A268" s="0" t="s">
        <v>95</v>
      </c>
      <c r="B268" s="0" t="s">
        <v>107</v>
      </c>
      <c r="C268" s="0" t="s">
        <v>43</v>
      </c>
      <c r="D268" s="0" t="str">
        <f aca="false">IFERROR(INDEX('Materials Master'!$B$2:$B$27,MATCH($C268,'Materials Master'!$A$2:$A$27,0)),"")</f>
        <v>Soiled Beverage Cartons</v>
      </c>
      <c r="E268" s="0" t="str">
        <f aca="false">IFERROR(INDEX('Materials Master'!$C$2:$C$27,MATCH($C268,'Materials Master'!$A$2:$A$27,0)),"")</f>
        <v>Fibers</v>
      </c>
      <c r="F268" s="0" t="n">
        <f aca="false">IF(SUMIFS(Fact_SortedWeights!$E$2:$E$89,Fact_SortedWeights!$C$2:$C$89,$A268,Fact_SortedWeights!$B$2:$B$89,$B268)=0,0,SUMIFS(Fact_SortedWeights!$E$2:$E$89,Fact_SortedWeights!$C$2:$C$89,$A268,Fact_SortedWeights!$B$2:$B$89,$B268,Fact_SortedWeights!$D$2:$D$89,$C268)/SUMIFS(Fact_SortedWeights!$E$2:$E$89,Fact_SortedWeights!$C$2:$C$89,$A268,Fact_SortedWeights!$B$2:$B$89,$B268)*(IF($B268="Cardboard Recycling",SUMIFS(Fact_SortedWeights!$E$2:$E$89,Fact_SortedWeights!$C$2:$C$89,$A268,Fact_SortedWeights!$B$2:$B$89,$B268),SUMIFS(Fact_PreSortWeights!$E$2:$E$186,Fact_PreSortWeights!$C$2:$C$186,$A268,Fact_PreSortWeights!$B$2:$B$186,$B268))))</f>
        <v>0</v>
      </c>
      <c r="G268" s="0" t="n">
        <f aca="false">IF(AND(IF($B268="Trash",INDEX('Materials Master'!$F$2:$F$27,MATCH($C268,'Materials Master'!$A$2:$A$27,0)),IF($B268="GMPC Recycling",INDEX('Materials Master'!$G$2:$G$27,MATCH($C268,'Materials Master'!$A$2:$A$27,0)),IF($B268="Organics Recycling",INDEX('Materials Master'!$H$2:$H$27,MATCH($C268,'Materials Master'!$A$2:$A$27,0)),IF($B268="Cardboard Recycling",INDEX('Materials Master'!$I$2:$I$27,MATCH($C268,'Materials Master'!$A$2:$A$27,0)),IF($B268="Paper Recycling",INDEX('Materials Master'!$J$2:$J$27,MATCH($C268,'Materials Master'!$A$2:$A$27,0)),IF($B268="Terracycle",INDEX('Materials Master'!$K$2:$K$27,MATCH($C268,'Materials Master'!$A$2:$A$27,0)),"No"))))))="Yes",INDEX('Materials Master'!$E$2:$E$27,MATCH($C268,'Materials Master'!$A$2:$A$27,0))="Yes",$B268&lt;&gt;"Trash"),1,0)</f>
        <v>0</v>
      </c>
      <c r="H268" s="0" t="str">
        <f aca="false">INDEX('Materials Master'!$E$2:$E$27,MATCH($C268,'Materials Master'!$A$2:$A$27,0))</f>
        <v>No</v>
      </c>
      <c r="I268" s="0" t="str">
        <f aca="false">IFERROR(INDEX(Areas!$C$2:$C$6,MATCH($A268,Areas!$B$2:$B$6,0)),"")</f>
        <v>BOH</v>
      </c>
      <c r="J268" s="0" t="n">
        <f aca="false">IF(IF($B268="Trash",INDEX('Materials Master'!$F$2:$F$27,MATCH($C268,'Materials Master'!$A$2:$A$27,0)),IF($B268="GMPC Recycling",INDEX('Materials Master'!$G$2:$G$27,MATCH($C268,'Materials Master'!$A$2:$A$27,0)),IF($B268="Organics Recycling",INDEX('Materials Master'!$H$2:$H$27,MATCH($C268,'Materials Master'!$A$2:$A$27,0)),IF($B268="Cardboard Recycling",INDEX('Materials Master'!$I$2:$I$27,MATCH($C268,'Materials Master'!$A$2:$A$27,0)),IF($B268="Paper Recycling",INDEX('Materials Master'!$J$2:$J$27,MATCH($C268,'Materials Master'!$A$2:$A$27,0)),IF($B268="Terracycle",INDEX('Materials Master'!$K$2:$K$27,MATCH($C268,'Materials Master'!$A$2:$A$27,0)),"No"))))))="Yes",1,0)</f>
        <v>0</v>
      </c>
    </row>
    <row r="269" customFormat="false" ht="15" hidden="false" customHeight="false" outlineLevel="0" collapsed="false">
      <c r="A269" s="0" t="s">
        <v>95</v>
      </c>
      <c r="B269" s="0" t="s">
        <v>107</v>
      </c>
      <c r="C269" s="0" t="s">
        <v>45</v>
      </c>
      <c r="D269" s="0" t="str">
        <f aca="false">IFERROR(INDEX('Materials Master'!$B$2:$B$27,MATCH($C269,'Materials Master'!$A$2:$A$27,0)),"")</f>
        <v>Paper Cups / Other Coated Paper Containers</v>
      </c>
      <c r="E269" s="0" t="str">
        <f aca="false">IFERROR(INDEX('Materials Master'!$C$2:$C$27,MATCH($C269,'Materials Master'!$A$2:$A$27,0)),"")</f>
        <v>Fibers</v>
      </c>
      <c r="F269" s="0" t="n">
        <f aca="false">IF(SUMIFS(Fact_SortedWeights!$E$2:$E$89,Fact_SortedWeights!$C$2:$C$89,$A269,Fact_SortedWeights!$B$2:$B$89,$B269)=0,0,SUMIFS(Fact_SortedWeights!$E$2:$E$89,Fact_SortedWeights!$C$2:$C$89,$A269,Fact_SortedWeights!$B$2:$B$89,$B269,Fact_SortedWeights!$D$2:$D$89,$C269)/SUMIFS(Fact_SortedWeights!$E$2:$E$89,Fact_SortedWeights!$C$2:$C$89,$A269,Fact_SortedWeights!$B$2:$B$89,$B269)*(IF($B269="Cardboard Recycling",SUMIFS(Fact_SortedWeights!$E$2:$E$89,Fact_SortedWeights!$C$2:$C$89,$A269,Fact_SortedWeights!$B$2:$B$89,$B269),SUMIFS(Fact_PreSortWeights!$E$2:$E$186,Fact_PreSortWeights!$C$2:$C$186,$A269,Fact_PreSortWeights!$B$2:$B$186,$B269))))</f>
        <v>0</v>
      </c>
      <c r="G269" s="0" t="n">
        <f aca="false">IF(AND(IF($B269="Trash",INDEX('Materials Master'!$F$2:$F$27,MATCH($C269,'Materials Master'!$A$2:$A$27,0)),IF($B269="GMPC Recycling",INDEX('Materials Master'!$G$2:$G$27,MATCH($C269,'Materials Master'!$A$2:$A$27,0)),IF($B269="Organics Recycling",INDEX('Materials Master'!$H$2:$H$27,MATCH($C269,'Materials Master'!$A$2:$A$27,0)),IF($B269="Cardboard Recycling",INDEX('Materials Master'!$I$2:$I$27,MATCH($C269,'Materials Master'!$A$2:$A$27,0)),IF($B269="Paper Recycling",INDEX('Materials Master'!$J$2:$J$27,MATCH($C269,'Materials Master'!$A$2:$A$27,0)),IF($B269="Terracycle",INDEX('Materials Master'!$K$2:$K$27,MATCH($C269,'Materials Master'!$A$2:$A$27,0)),"No"))))))="Yes",INDEX('Materials Master'!$E$2:$E$27,MATCH($C269,'Materials Master'!$A$2:$A$27,0))="Yes",$B269&lt;&gt;"Trash"),1,0)</f>
        <v>0</v>
      </c>
      <c r="H269" s="0" t="str">
        <f aca="false">INDEX('Materials Master'!$E$2:$E$27,MATCH($C269,'Materials Master'!$A$2:$A$27,0))</f>
        <v>No</v>
      </c>
      <c r="I269" s="0" t="str">
        <f aca="false">IFERROR(INDEX(Areas!$C$2:$C$6,MATCH($A269,Areas!$B$2:$B$6,0)),"")</f>
        <v>BOH</v>
      </c>
      <c r="J269" s="0" t="n">
        <f aca="false">IF(IF($B269="Trash",INDEX('Materials Master'!$F$2:$F$27,MATCH($C269,'Materials Master'!$A$2:$A$27,0)),IF($B269="GMPC Recycling",INDEX('Materials Master'!$G$2:$G$27,MATCH($C269,'Materials Master'!$A$2:$A$27,0)),IF($B269="Organics Recycling",INDEX('Materials Master'!$H$2:$H$27,MATCH($C269,'Materials Master'!$A$2:$A$27,0)),IF($B269="Cardboard Recycling",INDEX('Materials Master'!$I$2:$I$27,MATCH($C269,'Materials Master'!$A$2:$A$27,0)),IF($B269="Paper Recycling",INDEX('Materials Master'!$J$2:$J$27,MATCH($C269,'Materials Master'!$A$2:$A$27,0)),IF($B269="Terracycle",INDEX('Materials Master'!$K$2:$K$27,MATCH($C269,'Materials Master'!$A$2:$A$27,0)),"No"))))))="Yes",1,0)</f>
        <v>0</v>
      </c>
    </row>
    <row r="270" customFormat="false" ht="15" hidden="false" customHeight="false" outlineLevel="0" collapsed="false">
      <c r="A270" s="0" t="s">
        <v>95</v>
      </c>
      <c r="B270" s="0" t="s">
        <v>107</v>
      </c>
      <c r="C270" s="0" t="s">
        <v>47</v>
      </c>
      <c r="D270" s="0" t="str">
        <f aca="false">IFERROR(INDEX('Materials Master'!$B$2:$B$27,MATCH($C270,'Materials Master'!$A$2:$A$27,0)),"")</f>
        <v>Glass Bottles &amp; Jars</v>
      </c>
      <c r="E270" s="0" t="str">
        <f aca="false">IFERROR(INDEX('Materials Master'!$C$2:$C$27,MATCH($C270,'Materials Master'!$A$2:$A$27,0)),"")</f>
        <v>Glass</v>
      </c>
      <c r="F270" s="0" t="n">
        <f aca="false">IF(SUMIFS(Fact_SortedWeights!$E$2:$E$89,Fact_SortedWeights!$C$2:$C$89,$A270,Fact_SortedWeights!$B$2:$B$89,$B270)=0,0,SUMIFS(Fact_SortedWeights!$E$2:$E$89,Fact_SortedWeights!$C$2:$C$89,$A270,Fact_SortedWeights!$B$2:$B$89,$B270,Fact_SortedWeights!$D$2:$D$89,$C270)/SUMIFS(Fact_SortedWeights!$E$2:$E$89,Fact_SortedWeights!$C$2:$C$89,$A270,Fact_SortedWeights!$B$2:$B$89,$B270)*(IF($B270="Cardboard Recycling",SUMIFS(Fact_SortedWeights!$E$2:$E$89,Fact_SortedWeights!$C$2:$C$89,$A270,Fact_SortedWeights!$B$2:$B$89,$B270),SUMIFS(Fact_PreSortWeights!$E$2:$E$186,Fact_PreSortWeights!$C$2:$C$186,$A270,Fact_PreSortWeights!$B$2:$B$186,$B270))))</f>
        <v>0</v>
      </c>
      <c r="G270" s="0" t="n">
        <f aca="false">IF(AND(IF($B270="Trash",INDEX('Materials Master'!$F$2:$F$27,MATCH($C270,'Materials Master'!$A$2:$A$27,0)),IF($B270="GMPC Recycling",INDEX('Materials Master'!$G$2:$G$27,MATCH($C270,'Materials Master'!$A$2:$A$27,0)),IF($B270="Organics Recycling",INDEX('Materials Master'!$H$2:$H$27,MATCH($C270,'Materials Master'!$A$2:$A$27,0)),IF($B270="Cardboard Recycling",INDEX('Materials Master'!$I$2:$I$27,MATCH($C270,'Materials Master'!$A$2:$A$27,0)),IF($B270="Paper Recycling",INDEX('Materials Master'!$J$2:$J$27,MATCH($C270,'Materials Master'!$A$2:$A$27,0)),IF($B270="Terracycle",INDEX('Materials Master'!$K$2:$K$27,MATCH($C270,'Materials Master'!$A$2:$A$27,0)),"No"))))))="Yes",INDEX('Materials Master'!$E$2:$E$27,MATCH($C270,'Materials Master'!$A$2:$A$27,0))="Yes",$B270&lt;&gt;"Trash"),1,0)</f>
        <v>1</v>
      </c>
      <c r="H270" s="0" t="str">
        <f aca="false">INDEX('Materials Master'!$E$2:$E$27,MATCH($C270,'Materials Master'!$A$2:$A$27,0))</f>
        <v>Yes</v>
      </c>
      <c r="I270" s="0" t="str">
        <f aca="false">IFERROR(INDEX(Areas!$C$2:$C$6,MATCH($A270,Areas!$B$2:$B$6,0)),"")</f>
        <v>BOH</v>
      </c>
      <c r="J270" s="0" t="n">
        <f aca="false">IF(IF($B270="Trash",INDEX('Materials Master'!$F$2:$F$27,MATCH($C270,'Materials Master'!$A$2:$A$27,0)),IF($B270="GMPC Recycling",INDEX('Materials Master'!$G$2:$G$27,MATCH($C270,'Materials Master'!$A$2:$A$27,0)),IF($B270="Organics Recycling",INDEX('Materials Master'!$H$2:$H$27,MATCH($C270,'Materials Master'!$A$2:$A$27,0)),IF($B270="Cardboard Recycling",INDEX('Materials Master'!$I$2:$I$27,MATCH($C270,'Materials Master'!$A$2:$A$27,0)),IF($B270="Paper Recycling",INDEX('Materials Master'!$J$2:$J$27,MATCH($C270,'Materials Master'!$A$2:$A$27,0)),IF($B270="Terracycle",INDEX('Materials Master'!$K$2:$K$27,MATCH($C270,'Materials Master'!$A$2:$A$27,0)),"No"))))))="Yes",1,0)</f>
        <v>1</v>
      </c>
    </row>
    <row r="271" customFormat="false" ht="15" hidden="false" customHeight="false" outlineLevel="0" collapsed="false">
      <c r="A271" s="0" t="s">
        <v>95</v>
      </c>
      <c r="B271" s="0" t="s">
        <v>107</v>
      </c>
      <c r="C271" s="0" t="s">
        <v>50</v>
      </c>
      <c r="D271" s="0" t="str">
        <f aca="false">IFERROR(INDEX('Materials Master'!$B$2:$B$27,MATCH($C271,'Materials Master'!$A$2:$A$27,0)),"")</f>
        <v>Soiled Glass</v>
      </c>
      <c r="E271" s="0" t="str">
        <f aca="false">IFERROR(INDEX('Materials Master'!$C$2:$C$27,MATCH($C271,'Materials Master'!$A$2:$A$27,0)),"")</f>
        <v>Glass</v>
      </c>
      <c r="F271" s="0" t="n">
        <f aca="false">IF(SUMIFS(Fact_SortedWeights!$E$2:$E$89,Fact_SortedWeights!$C$2:$C$89,$A271,Fact_SortedWeights!$B$2:$B$89,$B271)=0,0,SUMIFS(Fact_SortedWeights!$E$2:$E$89,Fact_SortedWeights!$C$2:$C$89,$A271,Fact_SortedWeights!$B$2:$B$89,$B271,Fact_SortedWeights!$D$2:$D$89,$C271)/SUMIFS(Fact_SortedWeights!$E$2:$E$89,Fact_SortedWeights!$C$2:$C$89,$A271,Fact_SortedWeights!$B$2:$B$89,$B271)*(IF($B271="Cardboard Recycling",SUMIFS(Fact_SortedWeights!$E$2:$E$89,Fact_SortedWeights!$C$2:$C$89,$A271,Fact_SortedWeights!$B$2:$B$89,$B271),SUMIFS(Fact_PreSortWeights!$E$2:$E$186,Fact_PreSortWeights!$C$2:$C$186,$A271,Fact_PreSortWeights!$B$2:$B$186,$B271))))</f>
        <v>0</v>
      </c>
      <c r="G271" s="0" t="n">
        <f aca="false">IF(AND(IF($B271="Trash",INDEX('Materials Master'!$F$2:$F$27,MATCH($C271,'Materials Master'!$A$2:$A$27,0)),IF($B271="GMPC Recycling",INDEX('Materials Master'!$G$2:$G$27,MATCH($C271,'Materials Master'!$A$2:$A$27,0)),IF($B271="Organics Recycling",INDEX('Materials Master'!$H$2:$H$27,MATCH($C271,'Materials Master'!$A$2:$A$27,0)),IF($B271="Cardboard Recycling",INDEX('Materials Master'!$I$2:$I$27,MATCH($C271,'Materials Master'!$A$2:$A$27,0)),IF($B271="Paper Recycling",INDEX('Materials Master'!$J$2:$J$27,MATCH($C271,'Materials Master'!$A$2:$A$27,0)),IF($B271="Terracycle",INDEX('Materials Master'!$K$2:$K$27,MATCH($C271,'Materials Master'!$A$2:$A$27,0)),"No"))))))="Yes",INDEX('Materials Master'!$E$2:$E$27,MATCH($C271,'Materials Master'!$A$2:$A$27,0))="Yes",$B271&lt;&gt;"Trash"),1,0)</f>
        <v>0</v>
      </c>
      <c r="H271" s="0" t="str">
        <f aca="false">INDEX('Materials Master'!$E$2:$E$27,MATCH($C271,'Materials Master'!$A$2:$A$27,0))</f>
        <v>No</v>
      </c>
      <c r="I271" s="0" t="str">
        <f aca="false">IFERROR(INDEX(Areas!$C$2:$C$6,MATCH($A271,Areas!$B$2:$B$6,0)),"")</f>
        <v>BOH</v>
      </c>
      <c r="J271" s="0" t="n">
        <f aca="false">IF(IF($B271="Trash",INDEX('Materials Master'!$F$2:$F$27,MATCH($C271,'Materials Master'!$A$2:$A$27,0)),IF($B271="GMPC Recycling",INDEX('Materials Master'!$G$2:$G$27,MATCH($C271,'Materials Master'!$A$2:$A$27,0)),IF($B271="Organics Recycling",INDEX('Materials Master'!$H$2:$H$27,MATCH($C271,'Materials Master'!$A$2:$A$27,0)),IF($B271="Cardboard Recycling",INDEX('Materials Master'!$I$2:$I$27,MATCH($C271,'Materials Master'!$A$2:$A$27,0)),IF($B271="Paper Recycling",INDEX('Materials Master'!$J$2:$J$27,MATCH($C271,'Materials Master'!$A$2:$A$27,0)),IF($B271="Terracycle",INDEX('Materials Master'!$K$2:$K$27,MATCH($C271,'Materials Master'!$A$2:$A$27,0)),"No"))))))="Yes",1,0)</f>
        <v>0</v>
      </c>
    </row>
    <row r="272" customFormat="false" ht="15" hidden="false" customHeight="false" outlineLevel="0" collapsed="false">
      <c r="A272" s="0" t="s">
        <v>95</v>
      </c>
      <c r="B272" s="0" t="s">
        <v>107</v>
      </c>
      <c r="C272" s="0" t="s">
        <v>52</v>
      </c>
      <c r="D272" s="0" t="str">
        <f aca="false">IFERROR(INDEX('Materials Master'!$B$2:$B$27,MATCH($C272,'Materials Master'!$A$2:$A$27,0)),"")</f>
        <v>Aluminum &amp; Bi-Metal Containers</v>
      </c>
      <c r="E272" s="0" t="str">
        <f aca="false">IFERROR(INDEX('Materials Master'!$C$2:$C$27,MATCH($C272,'Materials Master'!$A$2:$A$27,0)),"")</f>
        <v>Metals</v>
      </c>
      <c r="F272" s="0" t="n">
        <f aca="false">IF(SUMIFS(Fact_SortedWeights!$E$2:$E$89,Fact_SortedWeights!$C$2:$C$89,$A272,Fact_SortedWeights!$B$2:$B$89,$B272)=0,0,SUMIFS(Fact_SortedWeights!$E$2:$E$89,Fact_SortedWeights!$C$2:$C$89,$A272,Fact_SortedWeights!$B$2:$B$89,$B272,Fact_SortedWeights!$D$2:$D$89,$C272)/SUMIFS(Fact_SortedWeights!$E$2:$E$89,Fact_SortedWeights!$C$2:$C$89,$A272,Fact_SortedWeights!$B$2:$B$89,$B272)*(IF($B272="Cardboard Recycling",SUMIFS(Fact_SortedWeights!$E$2:$E$89,Fact_SortedWeights!$C$2:$C$89,$A272,Fact_SortedWeights!$B$2:$B$89,$B272),SUMIFS(Fact_PreSortWeights!$E$2:$E$186,Fact_PreSortWeights!$C$2:$C$186,$A272,Fact_PreSortWeights!$B$2:$B$186,$B272))))</f>
        <v>0</v>
      </c>
      <c r="G272" s="0" t="n">
        <f aca="false">IF(AND(IF($B272="Trash",INDEX('Materials Master'!$F$2:$F$27,MATCH($C272,'Materials Master'!$A$2:$A$27,0)),IF($B272="GMPC Recycling",INDEX('Materials Master'!$G$2:$G$27,MATCH($C272,'Materials Master'!$A$2:$A$27,0)),IF($B272="Organics Recycling",INDEX('Materials Master'!$H$2:$H$27,MATCH($C272,'Materials Master'!$A$2:$A$27,0)),IF($B272="Cardboard Recycling",INDEX('Materials Master'!$I$2:$I$27,MATCH($C272,'Materials Master'!$A$2:$A$27,0)),IF($B272="Paper Recycling",INDEX('Materials Master'!$J$2:$J$27,MATCH($C272,'Materials Master'!$A$2:$A$27,0)),IF($B272="Terracycle",INDEX('Materials Master'!$K$2:$K$27,MATCH($C272,'Materials Master'!$A$2:$A$27,0)),"No"))))))="Yes",INDEX('Materials Master'!$E$2:$E$27,MATCH($C272,'Materials Master'!$A$2:$A$27,0))="Yes",$B272&lt;&gt;"Trash"),1,0)</f>
        <v>1</v>
      </c>
      <c r="H272" s="0" t="str">
        <f aca="false">INDEX('Materials Master'!$E$2:$E$27,MATCH($C272,'Materials Master'!$A$2:$A$27,0))</f>
        <v>Yes</v>
      </c>
      <c r="I272" s="0" t="str">
        <f aca="false">IFERROR(INDEX(Areas!$C$2:$C$6,MATCH($A272,Areas!$B$2:$B$6,0)),"")</f>
        <v>BOH</v>
      </c>
      <c r="J272" s="0" t="n">
        <f aca="false">IF(IF($B272="Trash",INDEX('Materials Master'!$F$2:$F$27,MATCH($C272,'Materials Master'!$A$2:$A$27,0)),IF($B272="GMPC Recycling",INDEX('Materials Master'!$G$2:$G$27,MATCH($C272,'Materials Master'!$A$2:$A$27,0)),IF($B272="Organics Recycling",INDEX('Materials Master'!$H$2:$H$27,MATCH($C272,'Materials Master'!$A$2:$A$27,0)),IF($B272="Cardboard Recycling",INDEX('Materials Master'!$I$2:$I$27,MATCH($C272,'Materials Master'!$A$2:$A$27,0)),IF($B272="Paper Recycling",INDEX('Materials Master'!$J$2:$J$27,MATCH($C272,'Materials Master'!$A$2:$A$27,0)),IF($B272="Terracycle",INDEX('Materials Master'!$K$2:$K$27,MATCH($C272,'Materials Master'!$A$2:$A$27,0)),"No"))))))="Yes",1,0)</f>
        <v>1</v>
      </c>
    </row>
    <row r="273" customFormat="false" ht="15" hidden="false" customHeight="false" outlineLevel="0" collapsed="false">
      <c r="A273" s="0" t="s">
        <v>95</v>
      </c>
      <c r="B273" s="0" t="s">
        <v>107</v>
      </c>
      <c r="C273" s="0" t="s">
        <v>55</v>
      </c>
      <c r="D273" s="0" t="str">
        <f aca="false">IFERROR(INDEX('Materials Master'!$B$2:$B$27,MATCH($C273,'Materials Master'!$A$2:$A$27,0)),"")</f>
        <v>Soiled Metals</v>
      </c>
      <c r="E273" s="0" t="str">
        <f aca="false">IFERROR(INDEX('Materials Master'!$C$2:$C$27,MATCH($C273,'Materials Master'!$A$2:$A$27,0)),"")</f>
        <v>Metals</v>
      </c>
      <c r="F273" s="0" t="n">
        <f aca="false">IF(SUMIFS(Fact_SortedWeights!$E$2:$E$89,Fact_SortedWeights!$C$2:$C$89,$A273,Fact_SortedWeights!$B$2:$B$89,$B273)=0,0,SUMIFS(Fact_SortedWeights!$E$2:$E$89,Fact_SortedWeights!$C$2:$C$89,$A273,Fact_SortedWeights!$B$2:$B$89,$B273,Fact_SortedWeights!$D$2:$D$89,$C273)/SUMIFS(Fact_SortedWeights!$E$2:$E$89,Fact_SortedWeights!$C$2:$C$89,$A273,Fact_SortedWeights!$B$2:$B$89,$B273)*(IF($B273="Cardboard Recycling",SUMIFS(Fact_SortedWeights!$E$2:$E$89,Fact_SortedWeights!$C$2:$C$89,$A273,Fact_SortedWeights!$B$2:$B$89,$B273),SUMIFS(Fact_PreSortWeights!$E$2:$E$186,Fact_PreSortWeights!$C$2:$C$186,$A273,Fact_PreSortWeights!$B$2:$B$186,$B273))))</f>
        <v>0</v>
      </c>
      <c r="G273" s="0" t="n">
        <f aca="false">IF(AND(IF($B273="Trash",INDEX('Materials Master'!$F$2:$F$27,MATCH($C273,'Materials Master'!$A$2:$A$27,0)),IF($B273="GMPC Recycling",INDEX('Materials Master'!$G$2:$G$27,MATCH($C273,'Materials Master'!$A$2:$A$27,0)),IF($B273="Organics Recycling",INDEX('Materials Master'!$H$2:$H$27,MATCH($C273,'Materials Master'!$A$2:$A$27,0)),IF($B273="Cardboard Recycling",INDEX('Materials Master'!$I$2:$I$27,MATCH($C273,'Materials Master'!$A$2:$A$27,0)),IF($B273="Paper Recycling",INDEX('Materials Master'!$J$2:$J$27,MATCH($C273,'Materials Master'!$A$2:$A$27,0)),IF($B273="Terracycle",INDEX('Materials Master'!$K$2:$K$27,MATCH($C273,'Materials Master'!$A$2:$A$27,0)),"No"))))))="Yes",INDEX('Materials Master'!$E$2:$E$27,MATCH($C273,'Materials Master'!$A$2:$A$27,0))="Yes",$B273&lt;&gt;"Trash"),1,0)</f>
        <v>0</v>
      </c>
      <c r="H273" s="0" t="str">
        <f aca="false">INDEX('Materials Master'!$E$2:$E$27,MATCH($C273,'Materials Master'!$A$2:$A$27,0))</f>
        <v>No</v>
      </c>
      <c r="I273" s="0" t="str">
        <f aca="false">IFERROR(INDEX(Areas!$C$2:$C$6,MATCH($A273,Areas!$B$2:$B$6,0)),"")</f>
        <v>BOH</v>
      </c>
      <c r="J273" s="0" t="n">
        <f aca="false">IF(IF($B273="Trash",INDEX('Materials Master'!$F$2:$F$27,MATCH($C273,'Materials Master'!$A$2:$A$27,0)),IF($B273="GMPC Recycling",INDEX('Materials Master'!$G$2:$G$27,MATCH($C273,'Materials Master'!$A$2:$A$27,0)),IF($B273="Organics Recycling",INDEX('Materials Master'!$H$2:$H$27,MATCH($C273,'Materials Master'!$A$2:$A$27,0)),IF($B273="Cardboard Recycling",INDEX('Materials Master'!$I$2:$I$27,MATCH($C273,'Materials Master'!$A$2:$A$27,0)),IF($B273="Paper Recycling",INDEX('Materials Master'!$J$2:$J$27,MATCH($C273,'Materials Master'!$A$2:$A$27,0)),IF($B273="Terracycle",INDEX('Materials Master'!$K$2:$K$27,MATCH($C273,'Materials Master'!$A$2:$A$27,0)),"No"))))))="Yes",1,0)</f>
        <v>0</v>
      </c>
    </row>
    <row r="274" customFormat="false" ht="15" hidden="false" customHeight="false" outlineLevel="0" collapsed="false">
      <c r="A274" s="0" t="s">
        <v>95</v>
      </c>
      <c r="B274" s="0" t="s">
        <v>107</v>
      </c>
      <c r="C274" s="0" t="s">
        <v>57</v>
      </c>
      <c r="D274" s="0" t="str">
        <f aca="false">IFERROR(INDEX('Materials Master'!$B$2:$B$27,MATCH($C274,'Materials Master'!$A$2:$A$27,0)),"")</f>
        <v>Rigid Plastics (1-6)</v>
      </c>
      <c r="E274" s="0" t="str">
        <f aca="false">IFERROR(INDEX('Materials Master'!$C$2:$C$27,MATCH($C274,'Materials Master'!$A$2:$A$27,0)),"")</f>
        <v>Plastics</v>
      </c>
      <c r="F274" s="0" t="n">
        <f aca="false">IF(SUMIFS(Fact_SortedWeights!$E$2:$E$89,Fact_SortedWeights!$C$2:$C$89,$A274,Fact_SortedWeights!$B$2:$B$89,$B274)=0,0,SUMIFS(Fact_SortedWeights!$E$2:$E$89,Fact_SortedWeights!$C$2:$C$89,$A274,Fact_SortedWeights!$B$2:$B$89,$B274,Fact_SortedWeights!$D$2:$D$89,$C274)/SUMIFS(Fact_SortedWeights!$E$2:$E$89,Fact_SortedWeights!$C$2:$C$89,$A274,Fact_SortedWeights!$B$2:$B$89,$B274)*(IF($B274="Cardboard Recycling",SUMIFS(Fact_SortedWeights!$E$2:$E$89,Fact_SortedWeights!$C$2:$C$89,$A274,Fact_SortedWeights!$B$2:$B$89,$B274),SUMIFS(Fact_PreSortWeights!$E$2:$E$186,Fact_PreSortWeights!$C$2:$C$186,$A274,Fact_PreSortWeights!$B$2:$B$186,$B274))))</f>
        <v>0</v>
      </c>
      <c r="G274" s="0" t="n">
        <f aca="false">IF(AND(IF($B274="Trash",INDEX('Materials Master'!$F$2:$F$27,MATCH($C274,'Materials Master'!$A$2:$A$27,0)),IF($B274="GMPC Recycling",INDEX('Materials Master'!$G$2:$G$27,MATCH($C274,'Materials Master'!$A$2:$A$27,0)),IF($B274="Organics Recycling",INDEX('Materials Master'!$H$2:$H$27,MATCH($C274,'Materials Master'!$A$2:$A$27,0)),IF($B274="Cardboard Recycling",INDEX('Materials Master'!$I$2:$I$27,MATCH($C274,'Materials Master'!$A$2:$A$27,0)),IF($B274="Paper Recycling",INDEX('Materials Master'!$J$2:$J$27,MATCH($C274,'Materials Master'!$A$2:$A$27,0)),IF($B274="Terracycle",INDEX('Materials Master'!$K$2:$K$27,MATCH($C274,'Materials Master'!$A$2:$A$27,0)),"No"))))))="Yes",INDEX('Materials Master'!$E$2:$E$27,MATCH($C274,'Materials Master'!$A$2:$A$27,0))="Yes",$B274&lt;&gt;"Trash"),1,0)</f>
        <v>1</v>
      </c>
      <c r="H274" s="0" t="str">
        <f aca="false">INDEX('Materials Master'!$E$2:$E$27,MATCH($C274,'Materials Master'!$A$2:$A$27,0))</f>
        <v>Yes</v>
      </c>
      <c r="I274" s="0" t="str">
        <f aca="false">IFERROR(INDEX(Areas!$C$2:$C$6,MATCH($A274,Areas!$B$2:$B$6,0)),"")</f>
        <v>BOH</v>
      </c>
      <c r="J274" s="0" t="n">
        <f aca="false">IF(IF($B274="Trash",INDEX('Materials Master'!$F$2:$F$27,MATCH($C274,'Materials Master'!$A$2:$A$27,0)),IF($B274="GMPC Recycling",INDEX('Materials Master'!$G$2:$G$27,MATCH($C274,'Materials Master'!$A$2:$A$27,0)),IF($B274="Organics Recycling",INDEX('Materials Master'!$H$2:$H$27,MATCH($C274,'Materials Master'!$A$2:$A$27,0)),IF($B274="Cardboard Recycling",INDEX('Materials Master'!$I$2:$I$27,MATCH($C274,'Materials Master'!$A$2:$A$27,0)),IF($B274="Paper Recycling",INDEX('Materials Master'!$J$2:$J$27,MATCH($C274,'Materials Master'!$A$2:$A$27,0)),IF($B274="Terracycle",INDEX('Materials Master'!$K$2:$K$27,MATCH($C274,'Materials Master'!$A$2:$A$27,0)),"No"))))))="Yes",1,0)</f>
        <v>1</v>
      </c>
    </row>
    <row r="275" customFormat="false" ht="15" hidden="false" customHeight="false" outlineLevel="0" collapsed="false">
      <c r="A275" s="0" t="s">
        <v>95</v>
      </c>
      <c r="B275" s="0" t="s">
        <v>107</v>
      </c>
      <c r="C275" s="0" t="s">
        <v>60</v>
      </c>
      <c r="D275" s="0" t="str">
        <f aca="false">IFERROR(INDEX('Materials Master'!$B$2:$B$27,MATCH($C275,'Materials Master'!$A$2:$A$27,0)),"")</f>
        <v>Soiled Rigid Plastics</v>
      </c>
      <c r="E275" s="0" t="str">
        <f aca="false">IFERROR(INDEX('Materials Master'!$C$2:$C$27,MATCH($C275,'Materials Master'!$A$2:$A$27,0)),"")</f>
        <v>Plastics</v>
      </c>
      <c r="F275" s="0" t="n">
        <f aca="false">IF(SUMIFS(Fact_SortedWeights!$E$2:$E$89,Fact_SortedWeights!$C$2:$C$89,$A275,Fact_SortedWeights!$B$2:$B$89,$B275)=0,0,SUMIFS(Fact_SortedWeights!$E$2:$E$89,Fact_SortedWeights!$C$2:$C$89,$A275,Fact_SortedWeights!$B$2:$B$89,$B275,Fact_SortedWeights!$D$2:$D$89,$C275)/SUMIFS(Fact_SortedWeights!$E$2:$E$89,Fact_SortedWeights!$C$2:$C$89,$A275,Fact_SortedWeights!$B$2:$B$89,$B275)*(IF($B275="Cardboard Recycling",SUMIFS(Fact_SortedWeights!$E$2:$E$89,Fact_SortedWeights!$C$2:$C$89,$A275,Fact_SortedWeights!$B$2:$B$89,$B275),SUMIFS(Fact_PreSortWeights!$E$2:$E$186,Fact_PreSortWeights!$C$2:$C$186,$A275,Fact_PreSortWeights!$B$2:$B$186,$B275))))</f>
        <v>0</v>
      </c>
      <c r="G275" s="0" t="n">
        <f aca="false">IF(AND(IF($B275="Trash",INDEX('Materials Master'!$F$2:$F$27,MATCH($C275,'Materials Master'!$A$2:$A$27,0)),IF($B275="GMPC Recycling",INDEX('Materials Master'!$G$2:$G$27,MATCH($C275,'Materials Master'!$A$2:$A$27,0)),IF($B275="Organics Recycling",INDEX('Materials Master'!$H$2:$H$27,MATCH($C275,'Materials Master'!$A$2:$A$27,0)),IF($B275="Cardboard Recycling",INDEX('Materials Master'!$I$2:$I$27,MATCH($C275,'Materials Master'!$A$2:$A$27,0)),IF($B275="Paper Recycling",INDEX('Materials Master'!$J$2:$J$27,MATCH($C275,'Materials Master'!$A$2:$A$27,0)),IF($B275="Terracycle",INDEX('Materials Master'!$K$2:$K$27,MATCH($C275,'Materials Master'!$A$2:$A$27,0)),"No"))))))="Yes",INDEX('Materials Master'!$E$2:$E$27,MATCH($C275,'Materials Master'!$A$2:$A$27,0))="Yes",$B275&lt;&gt;"Trash"),1,0)</f>
        <v>0</v>
      </c>
      <c r="H275" s="0" t="str">
        <f aca="false">INDEX('Materials Master'!$E$2:$E$27,MATCH($C275,'Materials Master'!$A$2:$A$27,0))</f>
        <v>No</v>
      </c>
      <c r="I275" s="0" t="str">
        <f aca="false">IFERROR(INDEX(Areas!$C$2:$C$6,MATCH($A275,Areas!$B$2:$B$6,0)),"")</f>
        <v>BOH</v>
      </c>
      <c r="J275" s="0" t="n">
        <f aca="false">IF(IF($B275="Trash",INDEX('Materials Master'!$F$2:$F$27,MATCH($C275,'Materials Master'!$A$2:$A$27,0)),IF($B275="GMPC Recycling",INDEX('Materials Master'!$G$2:$G$27,MATCH($C275,'Materials Master'!$A$2:$A$27,0)),IF($B275="Organics Recycling",INDEX('Materials Master'!$H$2:$H$27,MATCH($C275,'Materials Master'!$A$2:$A$27,0)),IF($B275="Cardboard Recycling",INDEX('Materials Master'!$I$2:$I$27,MATCH($C275,'Materials Master'!$A$2:$A$27,0)),IF($B275="Paper Recycling",INDEX('Materials Master'!$J$2:$J$27,MATCH($C275,'Materials Master'!$A$2:$A$27,0)),IF($B275="Terracycle",INDEX('Materials Master'!$K$2:$K$27,MATCH($C275,'Materials Master'!$A$2:$A$27,0)),"No"))))))="Yes",1,0)</f>
        <v>0</v>
      </c>
    </row>
    <row r="276" customFormat="false" ht="15" hidden="false" customHeight="false" outlineLevel="0" collapsed="false">
      <c r="A276" s="0" t="s">
        <v>95</v>
      </c>
      <c r="B276" s="0" t="s">
        <v>107</v>
      </c>
      <c r="C276" s="0" t="s">
        <v>62</v>
      </c>
      <c r="D276" s="0" t="str">
        <f aca="false">IFERROR(INDEX('Materials Master'!$B$2:$B$27,MATCH($C276,'Materials Master'!$A$2:$A$27,0)),"")</f>
        <v>Film Plastics</v>
      </c>
      <c r="E276" s="0" t="str">
        <f aca="false">IFERROR(INDEX('Materials Master'!$C$2:$C$27,MATCH($C276,'Materials Master'!$A$2:$A$27,0)),"")</f>
        <v>Plastics</v>
      </c>
      <c r="F276" s="0" t="n">
        <f aca="false">IF(SUMIFS(Fact_SortedWeights!$E$2:$E$89,Fact_SortedWeights!$C$2:$C$89,$A276,Fact_SortedWeights!$B$2:$B$89,$B276)=0,0,SUMIFS(Fact_SortedWeights!$E$2:$E$89,Fact_SortedWeights!$C$2:$C$89,$A276,Fact_SortedWeights!$B$2:$B$89,$B276,Fact_SortedWeights!$D$2:$D$89,$C276)/SUMIFS(Fact_SortedWeights!$E$2:$E$89,Fact_SortedWeights!$C$2:$C$89,$A276,Fact_SortedWeights!$B$2:$B$89,$B276)*(IF($B276="Cardboard Recycling",SUMIFS(Fact_SortedWeights!$E$2:$E$89,Fact_SortedWeights!$C$2:$C$89,$A276,Fact_SortedWeights!$B$2:$B$89,$B276),SUMIFS(Fact_PreSortWeights!$E$2:$E$186,Fact_PreSortWeights!$C$2:$C$186,$A276,Fact_PreSortWeights!$B$2:$B$186,$B276))))</f>
        <v>0</v>
      </c>
      <c r="G276" s="0" t="n">
        <f aca="false">IF(AND(IF($B276="Trash",INDEX('Materials Master'!$F$2:$F$27,MATCH($C276,'Materials Master'!$A$2:$A$27,0)),IF($B276="GMPC Recycling",INDEX('Materials Master'!$G$2:$G$27,MATCH($C276,'Materials Master'!$A$2:$A$27,0)),IF($B276="Organics Recycling",INDEX('Materials Master'!$H$2:$H$27,MATCH($C276,'Materials Master'!$A$2:$A$27,0)),IF($B276="Cardboard Recycling",INDEX('Materials Master'!$I$2:$I$27,MATCH($C276,'Materials Master'!$A$2:$A$27,0)),IF($B276="Paper Recycling",INDEX('Materials Master'!$J$2:$J$27,MATCH($C276,'Materials Master'!$A$2:$A$27,0)),IF($B276="Terracycle",INDEX('Materials Master'!$K$2:$K$27,MATCH($C276,'Materials Master'!$A$2:$A$27,0)),"No"))))))="Yes",INDEX('Materials Master'!$E$2:$E$27,MATCH($C276,'Materials Master'!$A$2:$A$27,0))="Yes",$B276&lt;&gt;"Trash"),1,0)</f>
        <v>0</v>
      </c>
      <c r="H276" s="0" t="str">
        <f aca="false">INDEX('Materials Master'!$E$2:$E$27,MATCH($C276,'Materials Master'!$A$2:$A$27,0))</f>
        <v>No</v>
      </c>
      <c r="I276" s="0" t="str">
        <f aca="false">IFERROR(INDEX(Areas!$C$2:$C$6,MATCH($A276,Areas!$B$2:$B$6,0)),"")</f>
        <v>BOH</v>
      </c>
      <c r="J276" s="0" t="n">
        <f aca="false">IF(IF($B276="Trash",INDEX('Materials Master'!$F$2:$F$27,MATCH($C276,'Materials Master'!$A$2:$A$27,0)),IF($B276="GMPC Recycling",INDEX('Materials Master'!$G$2:$G$27,MATCH($C276,'Materials Master'!$A$2:$A$27,0)),IF($B276="Organics Recycling",INDEX('Materials Master'!$H$2:$H$27,MATCH($C276,'Materials Master'!$A$2:$A$27,0)),IF($B276="Cardboard Recycling",INDEX('Materials Master'!$I$2:$I$27,MATCH($C276,'Materials Master'!$A$2:$A$27,0)),IF($B276="Paper Recycling",INDEX('Materials Master'!$J$2:$J$27,MATCH($C276,'Materials Master'!$A$2:$A$27,0)),IF($B276="Terracycle",INDEX('Materials Master'!$K$2:$K$27,MATCH($C276,'Materials Master'!$A$2:$A$27,0)),"No"))))))="Yes",1,0)</f>
        <v>0</v>
      </c>
    </row>
    <row r="277" customFormat="false" ht="15" hidden="false" customHeight="false" outlineLevel="0" collapsed="false">
      <c r="A277" s="0" t="s">
        <v>95</v>
      </c>
      <c r="B277" s="0" t="s">
        <v>107</v>
      </c>
      <c r="C277" s="0" t="s">
        <v>64</v>
      </c>
      <c r="D277" s="0" t="str">
        <f aca="false">IFERROR(INDEX('Materials Master'!$B$2:$B$27,MATCH($C277,'Materials Master'!$A$2:$A$27,0)),"")</f>
        <v>Foams</v>
      </c>
      <c r="E277" s="0" t="str">
        <f aca="false">IFERROR(INDEX('Materials Master'!$C$2:$C$27,MATCH($C277,'Materials Master'!$A$2:$A$27,0)),"")</f>
        <v>Plastics</v>
      </c>
      <c r="F277" s="0" t="n">
        <f aca="false">IF(SUMIFS(Fact_SortedWeights!$E$2:$E$89,Fact_SortedWeights!$C$2:$C$89,$A277,Fact_SortedWeights!$B$2:$B$89,$B277)=0,0,SUMIFS(Fact_SortedWeights!$E$2:$E$89,Fact_SortedWeights!$C$2:$C$89,$A277,Fact_SortedWeights!$B$2:$B$89,$B277,Fact_SortedWeights!$D$2:$D$89,$C277)/SUMIFS(Fact_SortedWeights!$E$2:$E$89,Fact_SortedWeights!$C$2:$C$89,$A277,Fact_SortedWeights!$B$2:$B$89,$B277)*(IF($B277="Cardboard Recycling",SUMIFS(Fact_SortedWeights!$E$2:$E$89,Fact_SortedWeights!$C$2:$C$89,$A277,Fact_SortedWeights!$B$2:$B$89,$B277),SUMIFS(Fact_PreSortWeights!$E$2:$E$186,Fact_PreSortWeights!$C$2:$C$186,$A277,Fact_PreSortWeights!$B$2:$B$186,$B277))))</f>
        <v>0</v>
      </c>
      <c r="G277" s="0" t="n">
        <f aca="false">IF(AND(IF($B277="Trash",INDEX('Materials Master'!$F$2:$F$27,MATCH($C277,'Materials Master'!$A$2:$A$27,0)),IF($B277="GMPC Recycling",INDEX('Materials Master'!$G$2:$G$27,MATCH($C277,'Materials Master'!$A$2:$A$27,0)),IF($B277="Organics Recycling",INDEX('Materials Master'!$H$2:$H$27,MATCH($C277,'Materials Master'!$A$2:$A$27,0)),IF($B277="Cardboard Recycling",INDEX('Materials Master'!$I$2:$I$27,MATCH($C277,'Materials Master'!$A$2:$A$27,0)),IF($B277="Paper Recycling",INDEX('Materials Master'!$J$2:$J$27,MATCH($C277,'Materials Master'!$A$2:$A$27,0)),IF($B277="Terracycle",INDEX('Materials Master'!$K$2:$K$27,MATCH($C277,'Materials Master'!$A$2:$A$27,0)),"No"))))))="Yes",INDEX('Materials Master'!$E$2:$E$27,MATCH($C277,'Materials Master'!$A$2:$A$27,0))="Yes",$B277&lt;&gt;"Trash"),1,0)</f>
        <v>0</v>
      </c>
      <c r="H277" s="0" t="str">
        <f aca="false">INDEX('Materials Master'!$E$2:$E$27,MATCH($C277,'Materials Master'!$A$2:$A$27,0))</f>
        <v>No</v>
      </c>
      <c r="I277" s="0" t="str">
        <f aca="false">IFERROR(INDEX(Areas!$C$2:$C$6,MATCH($A277,Areas!$B$2:$B$6,0)),"")</f>
        <v>BOH</v>
      </c>
      <c r="J277" s="0" t="n">
        <f aca="false">IF(IF($B277="Trash",INDEX('Materials Master'!$F$2:$F$27,MATCH($C277,'Materials Master'!$A$2:$A$27,0)),IF($B277="GMPC Recycling",INDEX('Materials Master'!$G$2:$G$27,MATCH($C277,'Materials Master'!$A$2:$A$27,0)),IF($B277="Organics Recycling",INDEX('Materials Master'!$H$2:$H$27,MATCH($C277,'Materials Master'!$A$2:$A$27,0)),IF($B277="Cardboard Recycling",INDEX('Materials Master'!$I$2:$I$27,MATCH($C277,'Materials Master'!$A$2:$A$27,0)),IF($B277="Paper Recycling",INDEX('Materials Master'!$J$2:$J$27,MATCH($C277,'Materials Master'!$A$2:$A$27,0)),IF($B277="Terracycle",INDEX('Materials Master'!$K$2:$K$27,MATCH($C277,'Materials Master'!$A$2:$A$27,0)),"No"))))))="Yes",1,0)</f>
        <v>0</v>
      </c>
    </row>
    <row r="278" customFormat="false" ht="15" hidden="false" customHeight="false" outlineLevel="0" collapsed="false">
      <c r="A278" s="0" t="s">
        <v>95</v>
      </c>
      <c r="B278" s="0" t="s">
        <v>107</v>
      </c>
      <c r="C278" s="0" t="s">
        <v>66</v>
      </c>
      <c r="D278" s="0" t="str">
        <f aca="false">IFERROR(INDEX('Materials Master'!$B$2:$B$27,MATCH($C278,'Materials Master'!$A$2:$A$27,0)),"")</f>
        <v>Food Waste</v>
      </c>
      <c r="E278" s="0" t="str">
        <f aca="false">IFERROR(INDEX('Materials Master'!$C$2:$C$27,MATCH($C278,'Materials Master'!$A$2:$A$27,0)),"")</f>
        <v>Organics</v>
      </c>
      <c r="F278" s="0" t="n">
        <f aca="false">IF(SUMIFS(Fact_SortedWeights!$E$2:$E$89,Fact_SortedWeights!$C$2:$C$89,$A278,Fact_SortedWeights!$B$2:$B$89,$B278)=0,0,SUMIFS(Fact_SortedWeights!$E$2:$E$89,Fact_SortedWeights!$C$2:$C$89,$A278,Fact_SortedWeights!$B$2:$B$89,$B278,Fact_SortedWeights!$D$2:$D$89,$C278)/SUMIFS(Fact_SortedWeights!$E$2:$E$89,Fact_SortedWeights!$C$2:$C$89,$A278,Fact_SortedWeights!$B$2:$B$89,$B278)*(IF($B278="Cardboard Recycling",SUMIFS(Fact_SortedWeights!$E$2:$E$89,Fact_SortedWeights!$C$2:$C$89,$A278,Fact_SortedWeights!$B$2:$B$89,$B278),SUMIFS(Fact_PreSortWeights!$E$2:$E$186,Fact_PreSortWeights!$C$2:$C$186,$A278,Fact_PreSortWeights!$B$2:$B$186,$B278))))</f>
        <v>0</v>
      </c>
      <c r="G278" s="0" t="n">
        <f aca="false">IF(AND(IF($B278="Trash",INDEX('Materials Master'!$F$2:$F$27,MATCH($C278,'Materials Master'!$A$2:$A$27,0)),IF($B278="GMPC Recycling",INDEX('Materials Master'!$G$2:$G$27,MATCH($C278,'Materials Master'!$A$2:$A$27,0)),IF($B278="Organics Recycling",INDEX('Materials Master'!$H$2:$H$27,MATCH($C278,'Materials Master'!$A$2:$A$27,0)),IF($B278="Cardboard Recycling",INDEX('Materials Master'!$I$2:$I$27,MATCH($C278,'Materials Master'!$A$2:$A$27,0)),IF($B278="Paper Recycling",INDEX('Materials Master'!$J$2:$J$27,MATCH($C278,'Materials Master'!$A$2:$A$27,0)),IF($B278="Terracycle",INDEX('Materials Master'!$K$2:$K$27,MATCH($C278,'Materials Master'!$A$2:$A$27,0)),"No"))))))="Yes",INDEX('Materials Master'!$E$2:$E$27,MATCH($C278,'Materials Master'!$A$2:$A$27,0))="Yes",$B278&lt;&gt;"Trash"),1,0)</f>
        <v>0</v>
      </c>
      <c r="H278" s="0" t="str">
        <f aca="false">INDEX('Materials Master'!$E$2:$E$27,MATCH($C278,'Materials Master'!$A$2:$A$27,0))</f>
        <v>Yes</v>
      </c>
      <c r="I278" s="0" t="str">
        <f aca="false">IFERROR(INDEX(Areas!$C$2:$C$6,MATCH($A278,Areas!$B$2:$B$6,0)),"")</f>
        <v>BOH</v>
      </c>
      <c r="J278" s="0" t="n">
        <f aca="false">IF(IF($B278="Trash",INDEX('Materials Master'!$F$2:$F$27,MATCH($C278,'Materials Master'!$A$2:$A$27,0)),IF($B278="GMPC Recycling",INDEX('Materials Master'!$G$2:$G$27,MATCH($C278,'Materials Master'!$A$2:$A$27,0)),IF($B278="Organics Recycling",INDEX('Materials Master'!$H$2:$H$27,MATCH($C278,'Materials Master'!$A$2:$A$27,0)),IF($B278="Cardboard Recycling",INDEX('Materials Master'!$I$2:$I$27,MATCH($C278,'Materials Master'!$A$2:$A$27,0)),IF($B278="Paper Recycling",INDEX('Materials Master'!$J$2:$J$27,MATCH($C278,'Materials Master'!$A$2:$A$27,0)),IF($B278="Terracycle",INDEX('Materials Master'!$K$2:$K$27,MATCH($C278,'Materials Master'!$A$2:$A$27,0)),"No"))))))="Yes",1,0)</f>
        <v>0</v>
      </c>
    </row>
    <row r="279" customFormat="false" ht="15" hidden="false" customHeight="false" outlineLevel="0" collapsed="false">
      <c r="A279" s="0" t="s">
        <v>95</v>
      </c>
      <c r="B279" s="0" t="s">
        <v>107</v>
      </c>
      <c r="C279" s="0" t="s">
        <v>69</v>
      </c>
      <c r="D279" s="0" t="str">
        <f aca="false">IFERROR(INDEX('Materials Master'!$B$2:$B$27,MATCH($C279,'Materials Master'!$A$2:$A$27,0)),"")</f>
        <v>Paper Fibers and Food-Soiled Paper (FSP)</v>
      </c>
      <c r="E279" s="0" t="str">
        <f aca="false">IFERROR(INDEX('Materials Master'!$C$2:$C$27,MATCH($C279,'Materials Master'!$A$2:$A$27,0)),"")</f>
        <v>Organics</v>
      </c>
      <c r="F279" s="0" t="n">
        <f aca="false">IF(SUMIFS(Fact_SortedWeights!$E$2:$E$89,Fact_SortedWeights!$C$2:$C$89,$A279,Fact_SortedWeights!$B$2:$B$89,$B279)=0,0,SUMIFS(Fact_SortedWeights!$E$2:$E$89,Fact_SortedWeights!$C$2:$C$89,$A279,Fact_SortedWeights!$B$2:$B$89,$B279,Fact_SortedWeights!$D$2:$D$89,$C279)/SUMIFS(Fact_SortedWeights!$E$2:$E$89,Fact_SortedWeights!$C$2:$C$89,$A279,Fact_SortedWeights!$B$2:$B$89,$B279)*(IF($B279="Cardboard Recycling",SUMIFS(Fact_SortedWeights!$E$2:$E$89,Fact_SortedWeights!$C$2:$C$89,$A279,Fact_SortedWeights!$B$2:$B$89,$B279),SUMIFS(Fact_PreSortWeights!$E$2:$E$186,Fact_PreSortWeights!$C$2:$C$186,$A279,Fact_PreSortWeights!$B$2:$B$186,$B279))))</f>
        <v>0</v>
      </c>
      <c r="G279" s="0" t="n">
        <f aca="false">IF(AND(IF($B279="Trash",INDEX('Materials Master'!$F$2:$F$27,MATCH($C279,'Materials Master'!$A$2:$A$27,0)),IF($B279="GMPC Recycling",INDEX('Materials Master'!$G$2:$G$27,MATCH($C279,'Materials Master'!$A$2:$A$27,0)),IF($B279="Organics Recycling",INDEX('Materials Master'!$H$2:$H$27,MATCH($C279,'Materials Master'!$A$2:$A$27,0)),IF($B279="Cardboard Recycling",INDEX('Materials Master'!$I$2:$I$27,MATCH($C279,'Materials Master'!$A$2:$A$27,0)),IF($B279="Paper Recycling",INDEX('Materials Master'!$J$2:$J$27,MATCH($C279,'Materials Master'!$A$2:$A$27,0)),IF($B279="Terracycle",INDEX('Materials Master'!$K$2:$K$27,MATCH($C279,'Materials Master'!$A$2:$A$27,0)),"No"))))))="Yes",INDEX('Materials Master'!$E$2:$E$27,MATCH($C279,'Materials Master'!$A$2:$A$27,0))="Yes",$B279&lt;&gt;"Trash"),1,0)</f>
        <v>0</v>
      </c>
      <c r="H279" s="0" t="str">
        <f aca="false">INDEX('Materials Master'!$E$2:$E$27,MATCH($C279,'Materials Master'!$A$2:$A$27,0))</f>
        <v>No</v>
      </c>
      <c r="I279" s="0" t="str">
        <f aca="false">IFERROR(INDEX(Areas!$C$2:$C$6,MATCH($A279,Areas!$B$2:$B$6,0)),"")</f>
        <v>BOH</v>
      </c>
      <c r="J279" s="0" t="n">
        <f aca="false">IF(IF($B279="Trash",INDEX('Materials Master'!$F$2:$F$27,MATCH($C279,'Materials Master'!$A$2:$A$27,0)),IF($B279="GMPC Recycling",INDEX('Materials Master'!$G$2:$G$27,MATCH($C279,'Materials Master'!$A$2:$A$27,0)),IF($B279="Organics Recycling",INDEX('Materials Master'!$H$2:$H$27,MATCH($C279,'Materials Master'!$A$2:$A$27,0)),IF($B279="Cardboard Recycling",INDEX('Materials Master'!$I$2:$I$27,MATCH($C279,'Materials Master'!$A$2:$A$27,0)),IF($B279="Paper Recycling",INDEX('Materials Master'!$J$2:$J$27,MATCH($C279,'Materials Master'!$A$2:$A$27,0)),IF($B279="Terracycle",INDEX('Materials Master'!$K$2:$K$27,MATCH($C279,'Materials Master'!$A$2:$A$27,0)),"No"))))))="Yes",1,0)</f>
        <v>0</v>
      </c>
    </row>
    <row r="280" customFormat="false" ht="15" hidden="false" customHeight="false" outlineLevel="0" collapsed="false">
      <c r="A280" s="0" t="s">
        <v>95</v>
      </c>
      <c r="B280" s="0" t="s">
        <v>107</v>
      </c>
      <c r="C280" s="0" t="s">
        <v>71</v>
      </c>
      <c r="D280" s="0" t="str">
        <f aca="false">IFERROR(INDEX('Materials Master'!$B$2:$B$27,MATCH($C280,'Materials Master'!$A$2:$A$27,0)),"")</f>
        <v>Fiber-based Compostable Serviceware</v>
      </c>
      <c r="E280" s="0" t="str">
        <f aca="false">IFERROR(INDEX('Materials Master'!$C$2:$C$27,MATCH($C280,'Materials Master'!$A$2:$A$27,0)),"")</f>
        <v>Organics</v>
      </c>
      <c r="F280" s="0" t="n">
        <f aca="false">IF(SUMIFS(Fact_SortedWeights!$E$2:$E$89,Fact_SortedWeights!$C$2:$C$89,$A280,Fact_SortedWeights!$B$2:$B$89,$B280)=0,0,SUMIFS(Fact_SortedWeights!$E$2:$E$89,Fact_SortedWeights!$C$2:$C$89,$A280,Fact_SortedWeights!$B$2:$B$89,$B280,Fact_SortedWeights!$D$2:$D$89,$C280)/SUMIFS(Fact_SortedWeights!$E$2:$E$89,Fact_SortedWeights!$C$2:$C$89,$A280,Fact_SortedWeights!$B$2:$B$89,$B280)*(IF($B280="Cardboard Recycling",SUMIFS(Fact_SortedWeights!$E$2:$E$89,Fact_SortedWeights!$C$2:$C$89,$A280,Fact_SortedWeights!$B$2:$B$89,$B280),SUMIFS(Fact_PreSortWeights!$E$2:$E$186,Fact_PreSortWeights!$C$2:$C$186,$A280,Fact_PreSortWeights!$B$2:$B$186,$B280))))</f>
        <v>0</v>
      </c>
      <c r="G280" s="0" t="n">
        <f aca="false">IF(AND(IF($B280="Trash",INDEX('Materials Master'!$F$2:$F$27,MATCH($C280,'Materials Master'!$A$2:$A$27,0)),IF($B280="GMPC Recycling",INDEX('Materials Master'!$G$2:$G$27,MATCH($C280,'Materials Master'!$A$2:$A$27,0)),IF($B280="Organics Recycling",INDEX('Materials Master'!$H$2:$H$27,MATCH($C280,'Materials Master'!$A$2:$A$27,0)),IF($B280="Cardboard Recycling",INDEX('Materials Master'!$I$2:$I$27,MATCH($C280,'Materials Master'!$A$2:$A$27,0)),IF($B280="Paper Recycling",INDEX('Materials Master'!$J$2:$J$27,MATCH($C280,'Materials Master'!$A$2:$A$27,0)),IF($B280="Terracycle",INDEX('Materials Master'!$K$2:$K$27,MATCH($C280,'Materials Master'!$A$2:$A$27,0)),"No"))))))="Yes",INDEX('Materials Master'!$E$2:$E$27,MATCH($C280,'Materials Master'!$A$2:$A$27,0))="Yes",$B280&lt;&gt;"Trash"),1,0)</f>
        <v>0</v>
      </c>
      <c r="H280" s="0" t="str">
        <f aca="false">INDEX('Materials Master'!$E$2:$E$27,MATCH($C280,'Materials Master'!$A$2:$A$27,0))</f>
        <v>No</v>
      </c>
      <c r="I280" s="0" t="str">
        <f aca="false">IFERROR(INDEX(Areas!$C$2:$C$6,MATCH($A280,Areas!$B$2:$B$6,0)),"")</f>
        <v>BOH</v>
      </c>
      <c r="J280" s="0" t="n">
        <f aca="false">IF(IF($B280="Trash",INDEX('Materials Master'!$F$2:$F$27,MATCH($C280,'Materials Master'!$A$2:$A$27,0)),IF($B280="GMPC Recycling",INDEX('Materials Master'!$G$2:$G$27,MATCH($C280,'Materials Master'!$A$2:$A$27,0)),IF($B280="Organics Recycling",INDEX('Materials Master'!$H$2:$H$27,MATCH($C280,'Materials Master'!$A$2:$A$27,0)),IF($B280="Cardboard Recycling",INDEX('Materials Master'!$I$2:$I$27,MATCH($C280,'Materials Master'!$A$2:$A$27,0)),IF($B280="Paper Recycling",INDEX('Materials Master'!$J$2:$J$27,MATCH($C280,'Materials Master'!$A$2:$A$27,0)),IF($B280="Terracycle",INDEX('Materials Master'!$K$2:$K$27,MATCH($C280,'Materials Master'!$A$2:$A$27,0)),"No"))))))="Yes",1,0)</f>
        <v>0</v>
      </c>
    </row>
    <row r="281" customFormat="false" ht="15" hidden="false" customHeight="false" outlineLevel="0" collapsed="false">
      <c r="A281" s="0" t="s">
        <v>95</v>
      </c>
      <c r="B281" s="0" t="s">
        <v>107</v>
      </c>
      <c r="C281" s="0" t="s">
        <v>73</v>
      </c>
      <c r="D281" s="0" t="str">
        <f aca="false">IFERROR(INDEX('Materials Master'!$B$2:$B$27,MATCH($C281,'Materials Master'!$A$2:$A$27,0)),"")</f>
        <v>PLA Compostable Serviceware</v>
      </c>
      <c r="E281" s="0" t="str">
        <f aca="false">IFERROR(INDEX('Materials Master'!$C$2:$C$27,MATCH($C281,'Materials Master'!$A$2:$A$27,0)),"")</f>
        <v>Organics</v>
      </c>
      <c r="F281" s="0" t="n">
        <f aca="false">IF(SUMIFS(Fact_SortedWeights!$E$2:$E$89,Fact_SortedWeights!$C$2:$C$89,$A281,Fact_SortedWeights!$B$2:$B$89,$B281)=0,0,SUMIFS(Fact_SortedWeights!$E$2:$E$89,Fact_SortedWeights!$C$2:$C$89,$A281,Fact_SortedWeights!$B$2:$B$89,$B281,Fact_SortedWeights!$D$2:$D$89,$C281)/SUMIFS(Fact_SortedWeights!$E$2:$E$89,Fact_SortedWeights!$C$2:$C$89,$A281,Fact_SortedWeights!$B$2:$B$89,$B281)*(IF($B281="Cardboard Recycling",SUMIFS(Fact_SortedWeights!$E$2:$E$89,Fact_SortedWeights!$C$2:$C$89,$A281,Fact_SortedWeights!$B$2:$B$89,$B281),SUMIFS(Fact_PreSortWeights!$E$2:$E$186,Fact_PreSortWeights!$C$2:$C$186,$A281,Fact_PreSortWeights!$B$2:$B$186,$B281))))</f>
        <v>0</v>
      </c>
      <c r="G281" s="0" t="n">
        <f aca="false">IF(AND(IF($B281="Trash",INDEX('Materials Master'!$F$2:$F$27,MATCH($C281,'Materials Master'!$A$2:$A$27,0)),IF($B281="GMPC Recycling",INDEX('Materials Master'!$G$2:$G$27,MATCH($C281,'Materials Master'!$A$2:$A$27,0)),IF($B281="Organics Recycling",INDEX('Materials Master'!$H$2:$H$27,MATCH($C281,'Materials Master'!$A$2:$A$27,0)),IF($B281="Cardboard Recycling",INDEX('Materials Master'!$I$2:$I$27,MATCH($C281,'Materials Master'!$A$2:$A$27,0)),IF($B281="Paper Recycling",INDEX('Materials Master'!$J$2:$J$27,MATCH($C281,'Materials Master'!$A$2:$A$27,0)),IF($B281="Terracycle",INDEX('Materials Master'!$K$2:$K$27,MATCH($C281,'Materials Master'!$A$2:$A$27,0)),"No"))))))="Yes",INDEX('Materials Master'!$E$2:$E$27,MATCH($C281,'Materials Master'!$A$2:$A$27,0))="Yes",$B281&lt;&gt;"Trash"),1,0)</f>
        <v>0</v>
      </c>
      <c r="H281" s="0" t="str">
        <f aca="false">INDEX('Materials Master'!$E$2:$E$27,MATCH($C281,'Materials Master'!$A$2:$A$27,0))</f>
        <v>No</v>
      </c>
      <c r="I281" s="0" t="str">
        <f aca="false">IFERROR(INDEX(Areas!$C$2:$C$6,MATCH($A281,Areas!$B$2:$B$6,0)),"")</f>
        <v>BOH</v>
      </c>
      <c r="J281" s="0" t="n">
        <f aca="false">IF(IF($B281="Trash",INDEX('Materials Master'!$F$2:$F$27,MATCH($C281,'Materials Master'!$A$2:$A$27,0)),IF($B281="GMPC Recycling",INDEX('Materials Master'!$G$2:$G$27,MATCH($C281,'Materials Master'!$A$2:$A$27,0)),IF($B281="Organics Recycling",INDEX('Materials Master'!$H$2:$H$27,MATCH($C281,'Materials Master'!$A$2:$A$27,0)),IF($B281="Cardboard Recycling",INDEX('Materials Master'!$I$2:$I$27,MATCH($C281,'Materials Master'!$A$2:$A$27,0)),IF($B281="Paper Recycling",INDEX('Materials Master'!$J$2:$J$27,MATCH($C281,'Materials Master'!$A$2:$A$27,0)),IF($B281="Terracycle",INDEX('Materials Master'!$K$2:$K$27,MATCH($C281,'Materials Master'!$A$2:$A$27,0)),"No"))))))="Yes",1,0)</f>
        <v>0</v>
      </c>
    </row>
    <row r="282" customFormat="false" ht="15" hidden="false" customHeight="false" outlineLevel="0" collapsed="false">
      <c r="A282" s="0" t="s">
        <v>95</v>
      </c>
      <c r="B282" s="0" t="s">
        <v>107</v>
      </c>
      <c r="C282" s="0" t="s">
        <v>75</v>
      </c>
      <c r="D282" s="0" t="str">
        <f aca="false">IFERROR(INDEX('Materials Master'!$B$2:$B$27,MATCH($C282,'Materials Master'!$A$2:$A$27,0)),"")</f>
        <v>E/U Waste</v>
      </c>
      <c r="E282" s="0" t="str">
        <f aca="false">IFERROR(INDEX('Materials Master'!$C$2:$C$27,MATCH($C282,'Materials Master'!$A$2:$A$27,0)),"")</f>
        <v>Unacceptable</v>
      </c>
      <c r="F282" s="0" t="n">
        <f aca="false">IF(SUMIFS(Fact_SortedWeights!$E$2:$E$89,Fact_SortedWeights!$C$2:$C$89,$A282,Fact_SortedWeights!$B$2:$B$89,$B282)=0,0,SUMIFS(Fact_SortedWeights!$E$2:$E$89,Fact_SortedWeights!$C$2:$C$89,$A282,Fact_SortedWeights!$B$2:$B$89,$B282,Fact_SortedWeights!$D$2:$D$89,$C282)/SUMIFS(Fact_SortedWeights!$E$2:$E$89,Fact_SortedWeights!$C$2:$C$89,$A282,Fact_SortedWeights!$B$2:$B$89,$B282)*(IF($B282="Cardboard Recycling",SUMIFS(Fact_SortedWeights!$E$2:$E$89,Fact_SortedWeights!$C$2:$C$89,$A282,Fact_SortedWeights!$B$2:$B$89,$B282),SUMIFS(Fact_PreSortWeights!$E$2:$E$186,Fact_PreSortWeights!$C$2:$C$186,$A282,Fact_PreSortWeights!$B$2:$B$186,$B282))))</f>
        <v>0</v>
      </c>
      <c r="G282" s="0" t="n">
        <f aca="false">IF(AND(IF($B282="Trash",INDEX('Materials Master'!$F$2:$F$27,MATCH($C282,'Materials Master'!$A$2:$A$27,0)),IF($B282="GMPC Recycling",INDEX('Materials Master'!$G$2:$G$27,MATCH($C282,'Materials Master'!$A$2:$A$27,0)),IF($B282="Organics Recycling",INDEX('Materials Master'!$H$2:$H$27,MATCH($C282,'Materials Master'!$A$2:$A$27,0)),IF($B282="Cardboard Recycling",INDEX('Materials Master'!$I$2:$I$27,MATCH($C282,'Materials Master'!$A$2:$A$27,0)),IF($B282="Paper Recycling",INDEX('Materials Master'!$J$2:$J$27,MATCH($C282,'Materials Master'!$A$2:$A$27,0)),IF($B282="Terracycle",INDEX('Materials Master'!$K$2:$K$27,MATCH($C282,'Materials Master'!$A$2:$A$27,0)),"No"))))))="Yes",INDEX('Materials Master'!$E$2:$E$27,MATCH($C282,'Materials Master'!$A$2:$A$27,0))="Yes",$B282&lt;&gt;"Trash"),1,0)</f>
        <v>0</v>
      </c>
      <c r="H282" s="0" t="str">
        <f aca="false">INDEX('Materials Master'!$E$2:$E$27,MATCH($C282,'Materials Master'!$A$2:$A$27,0))</f>
        <v>No</v>
      </c>
      <c r="I282" s="0" t="str">
        <f aca="false">IFERROR(INDEX(Areas!$C$2:$C$6,MATCH($A282,Areas!$B$2:$B$6,0)),"")</f>
        <v>BOH</v>
      </c>
      <c r="J282" s="0" t="n">
        <f aca="false">IF(IF($B282="Trash",INDEX('Materials Master'!$F$2:$F$27,MATCH($C282,'Materials Master'!$A$2:$A$27,0)),IF($B282="GMPC Recycling",INDEX('Materials Master'!$G$2:$G$27,MATCH($C282,'Materials Master'!$A$2:$A$27,0)),IF($B282="Organics Recycling",INDEX('Materials Master'!$H$2:$H$27,MATCH($C282,'Materials Master'!$A$2:$A$27,0)),IF($B282="Cardboard Recycling",INDEX('Materials Master'!$I$2:$I$27,MATCH($C282,'Materials Master'!$A$2:$A$27,0)),IF($B282="Paper Recycling",INDEX('Materials Master'!$J$2:$J$27,MATCH($C282,'Materials Master'!$A$2:$A$27,0)),IF($B282="Terracycle",INDEX('Materials Master'!$K$2:$K$27,MATCH($C282,'Materials Master'!$A$2:$A$27,0)),"No"))))))="Yes",1,0)</f>
        <v>0</v>
      </c>
    </row>
    <row r="283" customFormat="false" ht="15" hidden="false" customHeight="false" outlineLevel="0" collapsed="false">
      <c r="A283" s="0" t="s">
        <v>95</v>
      </c>
      <c r="B283" s="0" t="s">
        <v>107</v>
      </c>
      <c r="C283" s="0" t="s">
        <v>78</v>
      </c>
      <c r="D283" s="0" t="str">
        <f aca="false">IFERROR(INDEX('Materials Master'!$B$2:$B$27,MATCH($C283,'Materials Master'!$A$2:$A$27,0)),"")</f>
        <v>Textiles</v>
      </c>
      <c r="E283" s="0" t="str">
        <f aca="false">IFERROR(INDEX('Materials Master'!$C$2:$C$27,MATCH($C283,'Materials Master'!$A$2:$A$27,0)),"")</f>
        <v>Unacceptable</v>
      </c>
      <c r="F283" s="0" t="n">
        <f aca="false">IF(SUMIFS(Fact_SortedWeights!$E$2:$E$89,Fact_SortedWeights!$C$2:$C$89,$A283,Fact_SortedWeights!$B$2:$B$89,$B283)=0,0,SUMIFS(Fact_SortedWeights!$E$2:$E$89,Fact_SortedWeights!$C$2:$C$89,$A283,Fact_SortedWeights!$B$2:$B$89,$B283,Fact_SortedWeights!$D$2:$D$89,$C283)/SUMIFS(Fact_SortedWeights!$E$2:$E$89,Fact_SortedWeights!$C$2:$C$89,$A283,Fact_SortedWeights!$B$2:$B$89,$B283)*(IF($B283="Cardboard Recycling",SUMIFS(Fact_SortedWeights!$E$2:$E$89,Fact_SortedWeights!$C$2:$C$89,$A283,Fact_SortedWeights!$B$2:$B$89,$B283),SUMIFS(Fact_PreSortWeights!$E$2:$E$186,Fact_PreSortWeights!$C$2:$C$186,$A283,Fact_PreSortWeights!$B$2:$B$186,$B283))))</f>
        <v>0</v>
      </c>
      <c r="G283" s="0" t="n">
        <f aca="false">IF(AND(IF($B283="Trash",INDEX('Materials Master'!$F$2:$F$27,MATCH($C283,'Materials Master'!$A$2:$A$27,0)),IF($B283="GMPC Recycling",INDEX('Materials Master'!$G$2:$G$27,MATCH($C283,'Materials Master'!$A$2:$A$27,0)),IF($B283="Organics Recycling",INDEX('Materials Master'!$H$2:$H$27,MATCH($C283,'Materials Master'!$A$2:$A$27,0)),IF($B283="Cardboard Recycling",INDEX('Materials Master'!$I$2:$I$27,MATCH($C283,'Materials Master'!$A$2:$A$27,0)),IF($B283="Paper Recycling",INDEX('Materials Master'!$J$2:$J$27,MATCH($C283,'Materials Master'!$A$2:$A$27,0)),IF($B283="Terracycle",INDEX('Materials Master'!$K$2:$K$27,MATCH($C283,'Materials Master'!$A$2:$A$27,0)),"No"))))))="Yes",INDEX('Materials Master'!$E$2:$E$27,MATCH($C283,'Materials Master'!$A$2:$A$27,0))="Yes",$B283&lt;&gt;"Trash"),1,0)</f>
        <v>0</v>
      </c>
      <c r="H283" s="0" t="str">
        <f aca="false">INDEX('Materials Master'!$E$2:$E$27,MATCH($C283,'Materials Master'!$A$2:$A$27,0))</f>
        <v>No</v>
      </c>
      <c r="I283" s="0" t="str">
        <f aca="false">IFERROR(INDEX(Areas!$C$2:$C$6,MATCH($A283,Areas!$B$2:$B$6,0)),"")</f>
        <v>BOH</v>
      </c>
      <c r="J283" s="0" t="n">
        <f aca="false">IF(IF($B283="Trash",INDEX('Materials Master'!$F$2:$F$27,MATCH($C283,'Materials Master'!$A$2:$A$27,0)),IF($B283="GMPC Recycling",INDEX('Materials Master'!$G$2:$G$27,MATCH($C283,'Materials Master'!$A$2:$A$27,0)),IF($B283="Organics Recycling",INDEX('Materials Master'!$H$2:$H$27,MATCH($C283,'Materials Master'!$A$2:$A$27,0)),IF($B283="Cardboard Recycling",INDEX('Materials Master'!$I$2:$I$27,MATCH($C283,'Materials Master'!$A$2:$A$27,0)),IF($B283="Paper Recycling",INDEX('Materials Master'!$J$2:$J$27,MATCH($C283,'Materials Master'!$A$2:$A$27,0)),IF($B283="Terracycle",INDEX('Materials Master'!$K$2:$K$27,MATCH($C283,'Materials Master'!$A$2:$A$27,0)),"No"))))))="Yes",1,0)</f>
        <v>0</v>
      </c>
    </row>
    <row r="284" customFormat="false" ht="15" hidden="false" customHeight="false" outlineLevel="0" collapsed="false">
      <c r="A284" s="0" t="s">
        <v>95</v>
      </c>
      <c r="B284" s="0" t="s">
        <v>107</v>
      </c>
      <c r="C284" s="0" t="s">
        <v>80</v>
      </c>
      <c r="D284" s="0" t="str">
        <f aca="false">IFERROR(INDEX('Materials Master'!$B$2:$B$27,MATCH($C284,'Materials Master'!$A$2:$A$27,0)),"")</f>
        <v>Other Unacceptable (specify)</v>
      </c>
      <c r="E284" s="0" t="str">
        <f aca="false">IFERROR(INDEX('Materials Master'!$C$2:$C$27,MATCH($C284,'Materials Master'!$A$2:$A$27,0)),"")</f>
        <v>Unacceptable</v>
      </c>
      <c r="F284" s="0" t="n">
        <f aca="false">IF(SUMIFS(Fact_SortedWeights!$E$2:$E$89,Fact_SortedWeights!$C$2:$C$89,$A284,Fact_SortedWeights!$B$2:$B$89,$B284)=0,0,SUMIFS(Fact_SortedWeights!$E$2:$E$89,Fact_SortedWeights!$C$2:$C$89,$A284,Fact_SortedWeights!$B$2:$B$89,$B284,Fact_SortedWeights!$D$2:$D$89,$C284)/SUMIFS(Fact_SortedWeights!$E$2:$E$89,Fact_SortedWeights!$C$2:$C$89,$A284,Fact_SortedWeights!$B$2:$B$89,$B284)*(IF($B284="Cardboard Recycling",SUMIFS(Fact_SortedWeights!$E$2:$E$89,Fact_SortedWeights!$C$2:$C$89,$A284,Fact_SortedWeights!$B$2:$B$89,$B284),SUMIFS(Fact_PreSortWeights!$E$2:$E$186,Fact_PreSortWeights!$C$2:$C$186,$A284,Fact_PreSortWeights!$B$2:$B$186,$B284))))</f>
        <v>0</v>
      </c>
      <c r="G284" s="0" t="n">
        <f aca="false">IF(AND(IF($B284="Trash",INDEX('Materials Master'!$F$2:$F$27,MATCH($C284,'Materials Master'!$A$2:$A$27,0)),IF($B284="GMPC Recycling",INDEX('Materials Master'!$G$2:$G$27,MATCH($C284,'Materials Master'!$A$2:$A$27,0)),IF($B284="Organics Recycling",INDEX('Materials Master'!$H$2:$H$27,MATCH($C284,'Materials Master'!$A$2:$A$27,0)),IF($B284="Cardboard Recycling",INDEX('Materials Master'!$I$2:$I$27,MATCH($C284,'Materials Master'!$A$2:$A$27,0)),IF($B284="Paper Recycling",INDEX('Materials Master'!$J$2:$J$27,MATCH($C284,'Materials Master'!$A$2:$A$27,0)),IF($B284="Terracycle",INDEX('Materials Master'!$K$2:$K$27,MATCH($C284,'Materials Master'!$A$2:$A$27,0)),"No"))))))="Yes",INDEX('Materials Master'!$E$2:$E$27,MATCH($C284,'Materials Master'!$A$2:$A$27,0))="Yes",$B284&lt;&gt;"Trash"),1,0)</f>
        <v>0</v>
      </c>
      <c r="H284" s="0" t="str">
        <f aca="false">INDEX('Materials Master'!$E$2:$E$27,MATCH($C284,'Materials Master'!$A$2:$A$27,0))</f>
        <v>No</v>
      </c>
      <c r="I284" s="0" t="str">
        <f aca="false">IFERROR(INDEX(Areas!$C$2:$C$6,MATCH($A284,Areas!$B$2:$B$6,0)),"")</f>
        <v>BOH</v>
      </c>
      <c r="J284" s="0" t="n">
        <f aca="false">IF(IF($B284="Trash",INDEX('Materials Master'!$F$2:$F$27,MATCH($C284,'Materials Master'!$A$2:$A$27,0)),IF($B284="GMPC Recycling",INDEX('Materials Master'!$G$2:$G$27,MATCH($C284,'Materials Master'!$A$2:$A$27,0)),IF($B284="Organics Recycling",INDEX('Materials Master'!$H$2:$H$27,MATCH($C284,'Materials Master'!$A$2:$A$27,0)),IF($B284="Cardboard Recycling",INDEX('Materials Master'!$I$2:$I$27,MATCH($C284,'Materials Master'!$A$2:$A$27,0)),IF($B284="Paper Recycling",INDEX('Materials Master'!$J$2:$J$27,MATCH($C284,'Materials Master'!$A$2:$A$27,0)),IF($B284="Terracycle",INDEX('Materials Master'!$K$2:$K$27,MATCH($C284,'Materials Master'!$A$2:$A$27,0)),"No"))))))="Yes",1,0)</f>
        <v>0</v>
      </c>
    </row>
    <row r="285" customFormat="false" ht="15" hidden="false" customHeight="false" outlineLevel="0" collapsed="false">
      <c r="A285" s="0" t="s">
        <v>95</v>
      </c>
      <c r="B285" s="0" t="s">
        <v>107</v>
      </c>
      <c r="C285" s="0" t="s">
        <v>82</v>
      </c>
      <c r="D285" s="0" t="str">
        <f aca="false">IFERROR(INDEX('Materials Master'!$B$2:$B$27,MATCH($C285,'Materials Master'!$A$2:$A$27,0)),"")</f>
        <v>Liquids</v>
      </c>
      <c r="E285" s="0" t="str">
        <f aca="false">IFERROR(INDEX('Materials Master'!$C$2:$C$27,MATCH($C285,'Materials Master'!$A$2:$A$27,0)),"")</f>
        <v>Unacceptable</v>
      </c>
      <c r="F285" s="0" t="n">
        <f aca="false">IF(SUMIFS(Fact_SortedWeights!$E$2:$E$89,Fact_SortedWeights!$C$2:$C$89,$A285,Fact_SortedWeights!$B$2:$B$89,$B285)=0,0,SUMIFS(Fact_SortedWeights!$E$2:$E$89,Fact_SortedWeights!$C$2:$C$89,$A285,Fact_SortedWeights!$B$2:$B$89,$B285,Fact_SortedWeights!$D$2:$D$89,$C285)/SUMIFS(Fact_SortedWeights!$E$2:$E$89,Fact_SortedWeights!$C$2:$C$89,$A285,Fact_SortedWeights!$B$2:$B$89,$B285)*(IF($B285="Cardboard Recycling",SUMIFS(Fact_SortedWeights!$E$2:$E$89,Fact_SortedWeights!$C$2:$C$89,$A285,Fact_SortedWeights!$B$2:$B$89,$B285),SUMIFS(Fact_PreSortWeights!$E$2:$E$186,Fact_PreSortWeights!$C$2:$C$186,$A285,Fact_PreSortWeights!$B$2:$B$186,$B285))))</f>
        <v>0</v>
      </c>
      <c r="G285" s="0" t="n">
        <f aca="false">IF(AND(IF($B285="Trash",INDEX('Materials Master'!$F$2:$F$27,MATCH($C285,'Materials Master'!$A$2:$A$27,0)),IF($B285="GMPC Recycling",INDEX('Materials Master'!$G$2:$G$27,MATCH($C285,'Materials Master'!$A$2:$A$27,0)),IF($B285="Organics Recycling",INDEX('Materials Master'!$H$2:$H$27,MATCH($C285,'Materials Master'!$A$2:$A$27,0)),IF($B285="Cardboard Recycling",INDEX('Materials Master'!$I$2:$I$27,MATCH($C285,'Materials Master'!$A$2:$A$27,0)),IF($B285="Paper Recycling",INDEX('Materials Master'!$J$2:$J$27,MATCH($C285,'Materials Master'!$A$2:$A$27,0)),IF($B285="Terracycle",INDEX('Materials Master'!$K$2:$K$27,MATCH($C285,'Materials Master'!$A$2:$A$27,0)),"No"))))))="Yes",INDEX('Materials Master'!$E$2:$E$27,MATCH($C285,'Materials Master'!$A$2:$A$27,0))="Yes",$B285&lt;&gt;"Trash"),1,0)</f>
        <v>0</v>
      </c>
      <c r="H285" s="0" t="str">
        <f aca="false">INDEX('Materials Master'!$E$2:$E$27,MATCH($C285,'Materials Master'!$A$2:$A$27,0))</f>
        <v>No</v>
      </c>
      <c r="I285" s="0" t="str">
        <f aca="false">IFERROR(INDEX(Areas!$C$2:$C$6,MATCH($A285,Areas!$B$2:$B$6,0)),"")</f>
        <v>BOH</v>
      </c>
      <c r="J285" s="0" t="n">
        <f aca="false">IF(IF($B285="Trash",INDEX('Materials Master'!$F$2:$F$27,MATCH($C285,'Materials Master'!$A$2:$A$27,0)),IF($B285="GMPC Recycling",INDEX('Materials Master'!$G$2:$G$27,MATCH($C285,'Materials Master'!$A$2:$A$27,0)),IF($B285="Organics Recycling",INDEX('Materials Master'!$H$2:$H$27,MATCH($C285,'Materials Master'!$A$2:$A$27,0)),IF($B285="Cardboard Recycling",INDEX('Materials Master'!$I$2:$I$27,MATCH($C285,'Materials Master'!$A$2:$A$27,0)),IF($B285="Paper Recycling",INDEX('Materials Master'!$J$2:$J$27,MATCH($C285,'Materials Master'!$A$2:$A$27,0)),IF($B285="Terracycle",INDEX('Materials Master'!$K$2:$K$27,MATCH($C285,'Materials Master'!$A$2:$A$27,0)),"No"))))))="Yes",1,0)</f>
        <v>0</v>
      </c>
    </row>
    <row r="286" customFormat="false" ht="15" hidden="false" customHeight="false" outlineLevel="0" collapsed="false">
      <c r="A286" s="0" t="s">
        <v>95</v>
      </c>
      <c r="B286" s="0" t="s">
        <v>107</v>
      </c>
      <c r="C286" s="0" t="s">
        <v>84</v>
      </c>
      <c r="D286" s="0" t="str">
        <f aca="false">IFERROR(INDEX('Materials Master'!$B$2:$B$27,MATCH($C286,'Materials Master'!$A$2:$A$27,0)),"")</f>
        <v>Snack Wrappers (Composites)</v>
      </c>
      <c r="E286" s="0" t="str">
        <f aca="false">IFERROR(INDEX('Materials Master'!$C$2:$C$27,MATCH($C286,'Materials Master'!$A$2:$A$27,0)),"")</f>
        <v>Other</v>
      </c>
      <c r="F286" s="0" t="n">
        <f aca="false">IF(SUMIFS(Fact_SortedWeights!$E$2:$E$89,Fact_SortedWeights!$C$2:$C$89,$A286,Fact_SortedWeights!$B$2:$B$89,$B286)=0,0,SUMIFS(Fact_SortedWeights!$E$2:$E$89,Fact_SortedWeights!$C$2:$C$89,$A286,Fact_SortedWeights!$B$2:$B$89,$B286,Fact_SortedWeights!$D$2:$D$89,$C286)/SUMIFS(Fact_SortedWeights!$E$2:$E$89,Fact_SortedWeights!$C$2:$C$89,$A286,Fact_SortedWeights!$B$2:$B$89,$B286)*(IF($B286="Cardboard Recycling",SUMIFS(Fact_SortedWeights!$E$2:$E$89,Fact_SortedWeights!$C$2:$C$89,$A286,Fact_SortedWeights!$B$2:$B$89,$B286),SUMIFS(Fact_PreSortWeights!$E$2:$E$186,Fact_PreSortWeights!$C$2:$C$186,$A286,Fact_PreSortWeights!$B$2:$B$186,$B286))))</f>
        <v>0</v>
      </c>
      <c r="G286" s="0" t="n">
        <f aca="false">IF(AND(IF($B286="Trash",INDEX('Materials Master'!$F$2:$F$27,MATCH($C286,'Materials Master'!$A$2:$A$27,0)),IF($B286="GMPC Recycling",INDEX('Materials Master'!$G$2:$G$27,MATCH($C286,'Materials Master'!$A$2:$A$27,0)),IF($B286="Organics Recycling",INDEX('Materials Master'!$H$2:$H$27,MATCH($C286,'Materials Master'!$A$2:$A$27,0)),IF($B286="Cardboard Recycling",INDEX('Materials Master'!$I$2:$I$27,MATCH($C286,'Materials Master'!$A$2:$A$27,0)),IF($B286="Paper Recycling",INDEX('Materials Master'!$J$2:$J$27,MATCH($C286,'Materials Master'!$A$2:$A$27,0)),IF($B286="Terracycle",INDEX('Materials Master'!$K$2:$K$27,MATCH($C286,'Materials Master'!$A$2:$A$27,0)),"No"))))))="Yes",INDEX('Materials Master'!$E$2:$E$27,MATCH($C286,'Materials Master'!$A$2:$A$27,0))="Yes",$B286&lt;&gt;"Trash"),1,0)</f>
        <v>0</v>
      </c>
      <c r="H286" s="0" t="str">
        <f aca="false">INDEX('Materials Master'!$E$2:$E$27,MATCH($C286,'Materials Master'!$A$2:$A$27,0))</f>
        <v>Yes</v>
      </c>
      <c r="I286" s="0" t="str">
        <f aca="false">IFERROR(INDEX(Areas!$C$2:$C$6,MATCH($A286,Areas!$B$2:$B$6,0)),"")</f>
        <v>BOH</v>
      </c>
      <c r="J286" s="0" t="n">
        <f aca="false">IF(IF($B286="Trash",INDEX('Materials Master'!$F$2:$F$27,MATCH($C286,'Materials Master'!$A$2:$A$27,0)),IF($B286="GMPC Recycling",INDEX('Materials Master'!$G$2:$G$27,MATCH($C286,'Materials Master'!$A$2:$A$27,0)),IF($B286="Organics Recycling",INDEX('Materials Master'!$H$2:$H$27,MATCH($C286,'Materials Master'!$A$2:$A$27,0)),IF($B286="Cardboard Recycling",INDEX('Materials Master'!$I$2:$I$27,MATCH($C286,'Materials Master'!$A$2:$A$27,0)),IF($B286="Paper Recycling",INDEX('Materials Master'!$J$2:$J$27,MATCH($C286,'Materials Master'!$A$2:$A$27,0)),IF($B286="Terracycle",INDEX('Materials Master'!$K$2:$K$27,MATCH($C286,'Materials Master'!$A$2:$A$27,0)),"No"))))))="Yes",1,0)</f>
        <v>0</v>
      </c>
    </row>
    <row r="287" customFormat="false" ht="15" hidden="false" customHeight="false" outlineLevel="0" collapsed="false">
      <c r="A287" s="0" t="s">
        <v>95</v>
      </c>
      <c r="B287" s="0" t="s">
        <v>107</v>
      </c>
      <c r="C287" s="0" t="s">
        <v>87</v>
      </c>
      <c r="D287" s="0" t="str">
        <f aca="false">IFERROR(INDEX('Materials Master'!$B$2:$B$27,MATCH($C287,'Materials Master'!$A$2:$A$27,0)),"")</f>
        <v>Other/Residual Materials</v>
      </c>
      <c r="E287" s="0" t="str">
        <f aca="false">IFERROR(INDEX('Materials Master'!$C$2:$C$27,MATCH($C287,'Materials Master'!$A$2:$A$27,0)),"")</f>
        <v>Other</v>
      </c>
      <c r="F287" s="0" t="n">
        <f aca="false">IF(SUMIFS(Fact_SortedWeights!$E$2:$E$89,Fact_SortedWeights!$C$2:$C$89,$A287,Fact_SortedWeights!$B$2:$B$89,$B287)=0,0,SUMIFS(Fact_SortedWeights!$E$2:$E$89,Fact_SortedWeights!$C$2:$C$89,$A287,Fact_SortedWeights!$B$2:$B$89,$B287,Fact_SortedWeights!$D$2:$D$89,$C287)/SUMIFS(Fact_SortedWeights!$E$2:$E$89,Fact_SortedWeights!$C$2:$C$89,$A287,Fact_SortedWeights!$B$2:$B$89,$B287)*(IF($B287="Cardboard Recycling",SUMIFS(Fact_SortedWeights!$E$2:$E$89,Fact_SortedWeights!$C$2:$C$89,$A287,Fact_SortedWeights!$B$2:$B$89,$B287),SUMIFS(Fact_PreSortWeights!$E$2:$E$186,Fact_PreSortWeights!$C$2:$C$186,$A287,Fact_PreSortWeights!$B$2:$B$186,$B287))))</f>
        <v>0</v>
      </c>
      <c r="G287" s="0" t="n">
        <f aca="false">IF(AND(IF($B287="Trash",INDEX('Materials Master'!$F$2:$F$27,MATCH($C287,'Materials Master'!$A$2:$A$27,0)),IF($B287="GMPC Recycling",INDEX('Materials Master'!$G$2:$G$27,MATCH($C287,'Materials Master'!$A$2:$A$27,0)),IF($B287="Organics Recycling",INDEX('Materials Master'!$H$2:$H$27,MATCH($C287,'Materials Master'!$A$2:$A$27,0)),IF($B287="Cardboard Recycling",INDEX('Materials Master'!$I$2:$I$27,MATCH($C287,'Materials Master'!$A$2:$A$27,0)),IF($B287="Paper Recycling",INDEX('Materials Master'!$J$2:$J$27,MATCH($C287,'Materials Master'!$A$2:$A$27,0)),IF($B287="Terracycle",INDEX('Materials Master'!$K$2:$K$27,MATCH($C287,'Materials Master'!$A$2:$A$27,0)),"No"))))))="Yes",INDEX('Materials Master'!$E$2:$E$27,MATCH($C287,'Materials Master'!$A$2:$A$27,0))="Yes",$B287&lt;&gt;"Trash"),1,0)</f>
        <v>0</v>
      </c>
      <c r="H287" s="0" t="str">
        <f aca="false">INDEX('Materials Master'!$E$2:$E$27,MATCH($C287,'Materials Master'!$A$2:$A$27,0))</f>
        <v>No</v>
      </c>
      <c r="I287" s="0" t="str">
        <f aca="false">IFERROR(INDEX(Areas!$C$2:$C$6,MATCH($A287,Areas!$B$2:$B$6,0)),"")</f>
        <v>BOH</v>
      </c>
      <c r="J287" s="0" t="n">
        <f aca="false">IF(IF($B287="Trash",INDEX('Materials Master'!$F$2:$F$27,MATCH($C287,'Materials Master'!$A$2:$A$27,0)),IF($B287="GMPC Recycling",INDEX('Materials Master'!$G$2:$G$27,MATCH($C287,'Materials Master'!$A$2:$A$27,0)),IF($B287="Organics Recycling",INDEX('Materials Master'!$H$2:$H$27,MATCH($C287,'Materials Master'!$A$2:$A$27,0)),IF($B287="Cardboard Recycling",INDEX('Materials Master'!$I$2:$I$27,MATCH($C287,'Materials Master'!$A$2:$A$27,0)),IF($B287="Paper Recycling",INDEX('Materials Master'!$J$2:$J$27,MATCH($C287,'Materials Master'!$A$2:$A$27,0)),IF($B287="Terracycle",INDEX('Materials Master'!$K$2:$K$27,MATCH($C287,'Materials Master'!$A$2:$A$27,0)),"No"))))))="Yes",1,0)</f>
        <v>0</v>
      </c>
    </row>
    <row r="288" customFormat="false" ht="15" hidden="false" customHeight="false" outlineLevel="0" collapsed="false">
      <c r="A288" s="0" t="s">
        <v>95</v>
      </c>
      <c r="B288" s="0" t="s">
        <v>108</v>
      </c>
      <c r="C288" s="0" t="s">
        <v>28</v>
      </c>
      <c r="D288" s="0" t="str">
        <f aca="false">IFERROR(INDEX('Materials Master'!$B$2:$B$27,MATCH($C288,'Materials Master'!$A$2:$A$27,0)),"")</f>
        <v>Corrugated Cardboard</v>
      </c>
      <c r="E288" s="0" t="str">
        <f aca="false">IFERROR(INDEX('Materials Master'!$C$2:$C$27,MATCH($C288,'Materials Master'!$A$2:$A$27,0)),"")</f>
        <v>Fibers</v>
      </c>
      <c r="F288" s="0" t="n">
        <f aca="false">IF(SUMIFS(Fact_SortedWeights!$E$2:$E$89,Fact_SortedWeights!$C$2:$C$89,$A288,Fact_SortedWeights!$B$2:$B$89,$B288)=0,0,SUMIFS(Fact_SortedWeights!$E$2:$E$89,Fact_SortedWeights!$C$2:$C$89,$A288,Fact_SortedWeights!$B$2:$B$89,$B288,Fact_SortedWeights!$D$2:$D$89,$C288)/SUMIFS(Fact_SortedWeights!$E$2:$E$89,Fact_SortedWeights!$C$2:$C$89,$A288,Fact_SortedWeights!$B$2:$B$89,$B288)*(IF($B288="Cardboard Recycling",SUMIFS(Fact_SortedWeights!$E$2:$E$89,Fact_SortedWeights!$C$2:$C$89,$A288,Fact_SortedWeights!$B$2:$B$89,$B288),SUMIFS(Fact_PreSortWeights!$E$2:$E$186,Fact_PreSortWeights!$C$2:$C$186,$A288,Fact_PreSortWeights!$B$2:$B$186,$B288))))</f>
        <v>0</v>
      </c>
      <c r="G288" s="0" t="n">
        <f aca="false">IF(AND(IF($B288="Trash",INDEX('Materials Master'!$F$2:$F$27,MATCH($C288,'Materials Master'!$A$2:$A$27,0)),IF($B288="GMPC Recycling",INDEX('Materials Master'!$G$2:$G$27,MATCH($C288,'Materials Master'!$A$2:$A$27,0)),IF($B288="Organics Recycling",INDEX('Materials Master'!$H$2:$H$27,MATCH($C288,'Materials Master'!$A$2:$A$27,0)),IF($B288="Cardboard Recycling",INDEX('Materials Master'!$I$2:$I$27,MATCH($C288,'Materials Master'!$A$2:$A$27,0)),IF($B288="Paper Recycling",INDEX('Materials Master'!$J$2:$J$27,MATCH($C288,'Materials Master'!$A$2:$A$27,0)),IF($B288="Terracycle",INDEX('Materials Master'!$K$2:$K$27,MATCH($C288,'Materials Master'!$A$2:$A$27,0)),"No"))))))="Yes",INDEX('Materials Master'!$E$2:$E$27,MATCH($C288,'Materials Master'!$A$2:$A$27,0))="Yes",$B288&lt;&gt;"Trash"),1,0)</f>
        <v>0</v>
      </c>
      <c r="H288" s="0" t="str">
        <f aca="false">INDEX('Materials Master'!$E$2:$E$27,MATCH($C288,'Materials Master'!$A$2:$A$27,0))</f>
        <v>Yes</v>
      </c>
      <c r="I288" s="0" t="str">
        <f aca="false">IFERROR(INDEX(Areas!$C$2:$C$6,MATCH($A288,Areas!$B$2:$B$6,0)),"")</f>
        <v>BOH</v>
      </c>
      <c r="J288" s="0" t="n">
        <f aca="false">IF(IF($B288="Trash",INDEX('Materials Master'!$F$2:$F$27,MATCH($C288,'Materials Master'!$A$2:$A$27,0)),IF($B288="GMPC Recycling",INDEX('Materials Master'!$G$2:$G$27,MATCH($C288,'Materials Master'!$A$2:$A$27,0)),IF($B288="Organics Recycling",INDEX('Materials Master'!$H$2:$H$27,MATCH($C288,'Materials Master'!$A$2:$A$27,0)),IF($B288="Cardboard Recycling",INDEX('Materials Master'!$I$2:$I$27,MATCH($C288,'Materials Master'!$A$2:$A$27,0)),IF($B288="Paper Recycling",INDEX('Materials Master'!$J$2:$J$27,MATCH($C288,'Materials Master'!$A$2:$A$27,0)),IF($B288="Terracycle",INDEX('Materials Master'!$K$2:$K$27,MATCH($C288,'Materials Master'!$A$2:$A$27,0)),"No"))))))="Yes",1,0)</f>
        <v>0</v>
      </c>
    </row>
    <row r="289" customFormat="false" ht="15" hidden="false" customHeight="false" outlineLevel="0" collapsed="false">
      <c r="A289" s="0" t="s">
        <v>95</v>
      </c>
      <c r="B289" s="0" t="s">
        <v>108</v>
      </c>
      <c r="C289" s="0" t="s">
        <v>33</v>
      </c>
      <c r="D289" s="0" t="str">
        <f aca="false">IFERROR(INDEX('Materials Master'!$B$2:$B$27,MATCH($C289,'Materials Master'!$A$2:$A$27,0)),"")</f>
        <v>Soiled Cardboard</v>
      </c>
      <c r="E289" s="0" t="str">
        <f aca="false">IFERROR(INDEX('Materials Master'!$C$2:$C$27,MATCH($C289,'Materials Master'!$A$2:$A$27,0)),"")</f>
        <v>Fibers</v>
      </c>
      <c r="F289" s="0" t="n">
        <f aca="false">IF(SUMIFS(Fact_SortedWeights!$E$2:$E$89,Fact_SortedWeights!$C$2:$C$89,$A289,Fact_SortedWeights!$B$2:$B$89,$B289)=0,0,SUMIFS(Fact_SortedWeights!$E$2:$E$89,Fact_SortedWeights!$C$2:$C$89,$A289,Fact_SortedWeights!$B$2:$B$89,$B289,Fact_SortedWeights!$D$2:$D$89,$C289)/SUMIFS(Fact_SortedWeights!$E$2:$E$89,Fact_SortedWeights!$C$2:$C$89,$A289,Fact_SortedWeights!$B$2:$B$89,$B289)*(IF($B289="Cardboard Recycling",SUMIFS(Fact_SortedWeights!$E$2:$E$89,Fact_SortedWeights!$C$2:$C$89,$A289,Fact_SortedWeights!$B$2:$B$89,$B289),SUMIFS(Fact_PreSortWeights!$E$2:$E$186,Fact_PreSortWeights!$C$2:$C$186,$A289,Fact_PreSortWeights!$B$2:$B$186,$B289))))</f>
        <v>0</v>
      </c>
      <c r="G289" s="0" t="n">
        <f aca="false">IF(AND(IF($B289="Trash",INDEX('Materials Master'!$F$2:$F$27,MATCH($C289,'Materials Master'!$A$2:$A$27,0)),IF($B289="GMPC Recycling",INDEX('Materials Master'!$G$2:$G$27,MATCH($C289,'Materials Master'!$A$2:$A$27,0)),IF($B289="Organics Recycling",INDEX('Materials Master'!$H$2:$H$27,MATCH($C289,'Materials Master'!$A$2:$A$27,0)),IF($B289="Cardboard Recycling",INDEX('Materials Master'!$I$2:$I$27,MATCH($C289,'Materials Master'!$A$2:$A$27,0)),IF($B289="Paper Recycling",INDEX('Materials Master'!$J$2:$J$27,MATCH($C289,'Materials Master'!$A$2:$A$27,0)),IF($B289="Terracycle",INDEX('Materials Master'!$K$2:$K$27,MATCH($C289,'Materials Master'!$A$2:$A$27,0)),"No"))))))="Yes",INDEX('Materials Master'!$E$2:$E$27,MATCH($C289,'Materials Master'!$A$2:$A$27,0))="Yes",$B289&lt;&gt;"Trash"),1,0)</f>
        <v>0</v>
      </c>
      <c r="H289" s="0" t="str">
        <f aca="false">INDEX('Materials Master'!$E$2:$E$27,MATCH($C289,'Materials Master'!$A$2:$A$27,0))</f>
        <v>No</v>
      </c>
      <c r="I289" s="0" t="str">
        <f aca="false">IFERROR(INDEX(Areas!$C$2:$C$6,MATCH($A289,Areas!$B$2:$B$6,0)),"")</f>
        <v>BOH</v>
      </c>
      <c r="J289" s="0" t="n">
        <f aca="false">IF(IF($B289="Trash",INDEX('Materials Master'!$F$2:$F$27,MATCH($C289,'Materials Master'!$A$2:$A$27,0)),IF($B289="GMPC Recycling",INDEX('Materials Master'!$G$2:$G$27,MATCH($C289,'Materials Master'!$A$2:$A$27,0)),IF($B289="Organics Recycling",INDEX('Materials Master'!$H$2:$H$27,MATCH($C289,'Materials Master'!$A$2:$A$27,0)),IF($B289="Cardboard Recycling",INDEX('Materials Master'!$I$2:$I$27,MATCH($C289,'Materials Master'!$A$2:$A$27,0)),IF($B289="Paper Recycling",INDEX('Materials Master'!$J$2:$J$27,MATCH($C289,'Materials Master'!$A$2:$A$27,0)),IF($B289="Terracycle",INDEX('Materials Master'!$K$2:$K$27,MATCH($C289,'Materials Master'!$A$2:$A$27,0)),"No"))))))="Yes",1,0)</f>
        <v>0</v>
      </c>
    </row>
    <row r="290" customFormat="false" ht="15" hidden="false" customHeight="false" outlineLevel="0" collapsed="false">
      <c r="A290" s="0" t="s">
        <v>95</v>
      </c>
      <c r="B290" s="0" t="s">
        <v>108</v>
      </c>
      <c r="C290" s="0" t="s">
        <v>35</v>
      </c>
      <c r="D290" s="0" t="str">
        <f aca="false">IFERROR(INDEX('Materials Master'!$B$2:$B$27,MATCH($C290,'Materials Master'!$A$2:$A$27,0)),"")</f>
        <v>Waxed Cardboard</v>
      </c>
      <c r="E290" s="0" t="str">
        <f aca="false">IFERROR(INDEX('Materials Master'!$C$2:$C$27,MATCH($C290,'Materials Master'!$A$2:$A$27,0)),"")</f>
        <v>Fibers</v>
      </c>
      <c r="F290" s="0" t="n">
        <f aca="false">IF(SUMIFS(Fact_SortedWeights!$E$2:$E$89,Fact_SortedWeights!$C$2:$C$89,$A290,Fact_SortedWeights!$B$2:$B$89,$B290)=0,0,SUMIFS(Fact_SortedWeights!$E$2:$E$89,Fact_SortedWeights!$C$2:$C$89,$A290,Fact_SortedWeights!$B$2:$B$89,$B290,Fact_SortedWeights!$D$2:$D$89,$C290)/SUMIFS(Fact_SortedWeights!$E$2:$E$89,Fact_SortedWeights!$C$2:$C$89,$A290,Fact_SortedWeights!$B$2:$B$89,$B290)*(IF($B290="Cardboard Recycling",SUMIFS(Fact_SortedWeights!$E$2:$E$89,Fact_SortedWeights!$C$2:$C$89,$A290,Fact_SortedWeights!$B$2:$B$89,$B290),SUMIFS(Fact_PreSortWeights!$E$2:$E$186,Fact_PreSortWeights!$C$2:$C$186,$A290,Fact_PreSortWeights!$B$2:$B$186,$B290))))</f>
        <v>0</v>
      </c>
      <c r="G290" s="0" t="n">
        <f aca="false">IF(AND(IF($B290="Trash",INDEX('Materials Master'!$F$2:$F$27,MATCH($C290,'Materials Master'!$A$2:$A$27,0)),IF($B290="GMPC Recycling",INDEX('Materials Master'!$G$2:$G$27,MATCH($C290,'Materials Master'!$A$2:$A$27,0)),IF($B290="Organics Recycling",INDEX('Materials Master'!$H$2:$H$27,MATCH($C290,'Materials Master'!$A$2:$A$27,0)),IF($B290="Cardboard Recycling",INDEX('Materials Master'!$I$2:$I$27,MATCH($C290,'Materials Master'!$A$2:$A$27,0)),IF($B290="Paper Recycling",INDEX('Materials Master'!$J$2:$J$27,MATCH($C290,'Materials Master'!$A$2:$A$27,0)),IF($B290="Terracycle",INDEX('Materials Master'!$K$2:$K$27,MATCH($C290,'Materials Master'!$A$2:$A$27,0)),"No"))))))="Yes",INDEX('Materials Master'!$E$2:$E$27,MATCH($C290,'Materials Master'!$A$2:$A$27,0))="Yes",$B290&lt;&gt;"Trash"),1,0)</f>
        <v>0</v>
      </c>
      <c r="H290" s="0" t="str">
        <f aca="false">INDEX('Materials Master'!$E$2:$E$27,MATCH($C290,'Materials Master'!$A$2:$A$27,0))</f>
        <v>No</v>
      </c>
      <c r="I290" s="0" t="str">
        <f aca="false">IFERROR(INDEX(Areas!$C$2:$C$6,MATCH($A290,Areas!$B$2:$B$6,0)),"")</f>
        <v>BOH</v>
      </c>
      <c r="J290" s="0" t="n">
        <f aca="false">IF(IF($B290="Trash",INDEX('Materials Master'!$F$2:$F$27,MATCH($C290,'Materials Master'!$A$2:$A$27,0)),IF($B290="GMPC Recycling",INDEX('Materials Master'!$G$2:$G$27,MATCH($C290,'Materials Master'!$A$2:$A$27,0)),IF($B290="Organics Recycling",INDEX('Materials Master'!$H$2:$H$27,MATCH($C290,'Materials Master'!$A$2:$A$27,0)),IF($B290="Cardboard Recycling",INDEX('Materials Master'!$I$2:$I$27,MATCH($C290,'Materials Master'!$A$2:$A$27,0)),IF($B290="Paper Recycling",INDEX('Materials Master'!$J$2:$J$27,MATCH($C290,'Materials Master'!$A$2:$A$27,0)),IF($B290="Terracycle",INDEX('Materials Master'!$K$2:$K$27,MATCH($C290,'Materials Master'!$A$2:$A$27,0)),"No"))))))="Yes",1,0)</f>
        <v>0</v>
      </c>
    </row>
    <row r="291" customFormat="false" ht="15" hidden="false" customHeight="false" outlineLevel="0" collapsed="false">
      <c r="A291" s="0" t="s">
        <v>95</v>
      </c>
      <c r="B291" s="0" t="s">
        <v>108</v>
      </c>
      <c r="C291" s="0" t="s">
        <v>37</v>
      </c>
      <c r="D291" s="0" t="str">
        <f aca="false">IFERROR(INDEX('Materials Master'!$B$2:$B$27,MATCH($C291,'Materials Master'!$A$2:$A$27,0)),"")</f>
        <v>Mixed Paper</v>
      </c>
      <c r="E291" s="0" t="str">
        <f aca="false">IFERROR(INDEX('Materials Master'!$C$2:$C$27,MATCH($C291,'Materials Master'!$A$2:$A$27,0)),"")</f>
        <v>Fibers</v>
      </c>
      <c r="F291" s="0" t="n">
        <f aca="false">IF(SUMIFS(Fact_SortedWeights!$E$2:$E$89,Fact_SortedWeights!$C$2:$C$89,$A291,Fact_SortedWeights!$B$2:$B$89,$B291)=0,0,SUMIFS(Fact_SortedWeights!$E$2:$E$89,Fact_SortedWeights!$C$2:$C$89,$A291,Fact_SortedWeights!$B$2:$B$89,$B291,Fact_SortedWeights!$D$2:$D$89,$C291)/SUMIFS(Fact_SortedWeights!$E$2:$E$89,Fact_SortedWeights!$C$2:$C$89,$A291,Fact_SortedWeights!$B$2:$B$89,$B291)*(IF($B291="Cardboard Recycling",SUMIFS(Fact_SortedWeights!$E$2:$E$89,Fact_SortedWeights!$C$2:$C$89,$A291,Fact_SortedWeights!$B$2:$B$89,$B291),SUMIFS(Fact_PreSortWeights!$E$2:$E$186,Fact_PreSortWeights!$C$2:$C$186,$A291,Fact_PreSortWeights!$B$2:$B$186,$B291))))</f>
        <v>0</v>
      </c>
      <c r="G291" s="0" t="n">
        <f aca="false">IF(AND(IF($B291="Trash",INDEX('Materials Master'!$F$2:$F$27,MATCH($C291,'Materials Master'!$A$2:$A$27,0)),IF($B291="GMPC Recycling",INDEX('Materials Master'!$G$2:$G$27,MATCH($C291,'Materials Master'!$A$2:$A$27,0)),IF($B291="Organics Recycling",INDEX('Materials Master'!$H$2:$H$27,MATCH($C291,'Materials Master'!$A$2:$A$27,0)),IF($B291="Cardboard Recycling",INDEX('Materials Master'!$I$2:$I$27,MATCH($C291,'Materials Master'!$A$2:$A$27,0)),IF($B291="Paper Recycling",INDEX('Materials Master'!$J$2:$J$27,MATCH($C291,'Materials Master'!$A$2:$A$27,0)),IF($B291="Terracycle",INDEX('Materials Master'!$K$2:$K$27,MATCH($C291,'Materials Master'!$A$2:$A$27,0)),"No"))))))="Yes",INDEX('Materials Master'!$E$2:$E$27,MATCH($C291,'Materials Master'!$A$2:$A$27,0))="Yes",$B291&lt;&gt;"Trash"),1,0)</f>
        <v>0</v>
      </c>
      <c r="H291" s="0" t="str">
        <f aca="false">INDEX('Materials Master'!$E$2:$E$27,MATCH($C291,'Materials Master'!$A$2:$A$27,0))</f>
        <v>Yes</v>
      </c>
      <c r="I291" s="0" t="str">
        <f aca="false">IFERROR(INDEX(Areas!$C$2:$C$6,MATCH($A291,Areas!$B$2:$B$6,0)),"")</f>
        <v>BOH</v>
      </c>
      <c r="J291" s="0" t="n">
        <f aca="false">IF(IF($B291="Trash",INDEX('Materials Master'!$F$2:$F$27,MATCH($C291,'Materials Master'!$A$2:$A$27,0)),IF($B291="GMPC Recycling",INDEX('Materials Master'!$G$2:$G$27,MATCH($C291,'Materials Master'!$A$2:$A$27,0)),IF($B291="Organics Recycling",INDEX('Materials Master'!$H$2:$H$27,MATCH($C291,'Materials Master'!$A$2:$A$27,0)),IF($B291="Cardboard Recycling",INDEX('Materials Master'!$I$2:$I$27,MATCH($C291,'Materials Master'!$A$2:$A$27,0)),IF($B291="Paper Recycling",INDEX('Materials Master'!$J$2:$J$27,MATCH($C291,'Materials Master'!$A$2:$A$27,0)),IF($B291="Terracycle",INDEX('Materials Master'!$K$2:$K$27,MATCH($C291,'Materials Master'!$A$2:$A$27,0)),"No"))))))="Yes",1,0)</f>
        <v>0</v>
      </c>
    </row>
    <row r="292" customFormat="false" ht="15" hidden="false" customHeight="false" outlineLevel="0" collapsed="false">
      <c r="A292" s="0" t="s">
        <v>95</v>
      </c>
      <c r="B292" s="0" t="s">
        <v>108</v>
      </c>
      <c r="C292" s="0" t="s">
        <v>39</v>
      </c>
      <c r="D292" s="0" t="str">
        <f aca="false">IFERROR(INDEX('Materials Master'!$B$2:$B$27,MATCH($C292,'Materials Master'!$A$2:$A$27,0)),"")</f>
        <v>Soiled Paper</v>
      </c>
      <c r="E292" s="0" t="str">
        <f aca="false">IFERROR(INDEX('Materials Master'!$C$2:$C$27,MATCH($C292,'Materials Master'!$A$2:$A$27,0)),"")</f>
        <v>Fibers</v>
      </c>
      <c r="F292" s="0" t="n">
        <f aca="false">IF(SUMIFS(Fact_SortedWeights!$E$2:$E$89,Fact_SortedWeights!$C$2:$C$89,$A292,Fact_SortedWeights!$B$2:$B$89,$B292)=0,0,SUMIFS(Fact_SortedWeights!$E$2:$E$89,Fact_SortedWeights!$C$2:$C$89,$A292,Fact_SortedWeights!$B$2:$B$89,$B292,Fact_SortedWeights!$D$2:$D$89,$C292)/SUMIFS(Fact_SortedWeights!$E$2:$E$89,Fact_SortedWeights!$C$2:$C$89,$A292,Fact_SortedWeights!$B$2:$B$89,$B292)*(IF($B292="Cardboard Recycling",SUMIFS(Fact_SortedWeights!$E$2:$E$89,Fact_SortedWeights!$C$2:$C$89,$A292,Fact_SortedWeights!$B$2:$B$89,$B292),SUMIFS(Fact_PreSortWeights!$E$2:$E$186,Fact_PreSortWeights!$C$2:$C$186,$A292,Fact_PreSortWeights!$B$2:$B$186,$B292))))</f>
        <v>0</v>
      </c>
      <c r="G292" s="0" t="n">
        <f aca="false">IF(AND(IF($B292="Trash",INDEX('Materials Master'!$F$2:$F$27,MATCH($C292,'Materials Master'!$A$2:$A$27,0)),IF($B292="GMPC Recycling",INDEX('Materials Master'!$G$2:$G$27,MATCH($C292,'Materials Master'!$A$2:$A$27,0)),IF($B292="Organics Recycling",INDEX('Materials Master'!$H$2:$H$27,MATCH($C292,'Materials Master'!$A$2:$A$27,0)),IF($B292="Cardboard Recycling",INDEX('Materials Master'!$I$2:$I$27,MATCH($C292,'Materials Master'!$A$2:$A$27,0)),IF($B292="Paper Recycling",INDEX('Materials Master'!$J$2:$J$27,MATCH($C292,'Materials Master'!$A$2:$A$27,0)),IF($B292="Terracycle",INDEX('Materials Master'!$K$2:$K$27,MATCH($C292,'Materials Master'!$A$2:$A$27,0)),"No"))))))="Yes",INDEX('Materials Master'!$E$2:$E$27,MATCH($C292,'Materials Master'!$A$2:$A$27,0))="Yes",$B292&lt;&gt;"Trash"),1,0)</f>
        <v>0</v>
      </c>
      <c r="H292" s="0" t="str">
        <f aca="false">INDEX('Materials Master'!$E$2:$E$27,MATCH($C292,'Materials Master'!$A$2:$A$27,0))</f>
        <v>No</v>
      </c>
      <c r="I292" s="0" t="str">
        <f aca="false">IFERROR(INDEX(Areas!$C$2:$C$6,MATCH($A292,Areas!$B$2:$B$6,0)),"")</f>
        <v>BOH</v>
      </c>
      <c r="J292" s="0" t="n">
        <f aca="false">IF(IF($B292="Trash",INDEX('Materials Master'!$F$2:$F$27,MATCH($C292,'Materials Master'!$A$2:$A$27,0)),IF($B292="GMPC Recycling",INDEX('Materials Master'!$G$2:$G$27,MATCH($C292,'Materials Master'!$A$2:$A$27,0)),IF($B292="Organics Recycling",INDEX('Materials Master'!$H$2:$H$27,MATCH($C292,'Materials Master'!$A$2:$A$27,0)),IF($B292="Cardboard Recycling",INDEX('Materials Master'!$I$2:$I$27,MATCH($C292,'Materials Master'!$A$2:$A$27,0)),IF($B292="Paper Recycling",INDEX('Materials Master'!$J$2:$J$27,MATCH($C292,'Materials Master'!$A$2:$A$27,0)),IF($B292="Terracycle",INDEX('Materials Master'!$K$2:$K$27,MATCH($C292,'Materials Master'!$A$2:$A$27,0)),"No"))))))="Yes",1,0)</f>
        <v>0</v>
      </c>
    </row>
    <row r="293" customFormat="false" ht="15" hidden="false" customHeight="false" outlineLevel="0" collapsed="false">
      <c r="A293" s="0" t="s">
        <v>95</v>
      </c>
      <c r="B293" s="0" t="s">
        <v>108</v>
      </c>
      <c r="C293" s="0" t="s">
        <v>41</v>
      </c>
      <c r="D293" s="0" t="str">
        <f aca="false">IFERROR(INDEX('Materials Master'!$B$2:$B$27,MATCH($C293,'Materials Master'!$A$2:$A$27,0)),"")</f>
        <v>Beverage Cartons</v>
      </c>
      <c r="E293" s="0" t="str">
        <f aca="false">IFERROR(INDEX('Materials Master'!$C$2:$C$27,MATCH($C293,'Materials Master'!$A$2:$A$27,0)),"")</f>
        <v>Fibers</v>
      </c>
      <c r="F293" s="0" t="n">
        <f aca="false">IF(SUMIFS(Fact_SortedWeights!$E$2:$E$89,Fact_SortedWeights!$C$2:$C$89,$A293,Fact_SortedWeights!$B$2:$B$89,$B293)=0,0,SUMIFS(Fact_SortedWeights!$E$2:$E$89,Fact_SortedWeights!$C$2:$C$89,$A293,Fact_SortedWeights!$B$2:$B$89,$B293,Fact_SortedWeights!$D$2:$D$89,$C293)/SUMIFS(Fact_SortedWeights!$E$2:$E$89,Fact_SortedWeights!$C$2:$C$89,$A293,Fact_SortedWeights!$B$2:$B$89,$B293)*(IF($B293="Cardboard Recycling",SUMIFS(Fact_SortedWeights!$E$2:$E$89,Fact_SortedWeights!$C$2:$C$89,$A293,Fact_SortedWeights!$B$2:$B$89,$B293),SUMIFS(Fact_PreSortWeights!$E$2:$E$186,Fact_PreSortWeights!$C$2:$C$186,$A293,Fact_PreSortWeights!$B$2:$B$186,$B293))))</f>
        <v>0</v>
      </c>
      <c r="G293" s="0" t="n">
        <f aca="false">IF(AND(IF($B293="Trash",INDEX('Materials Master'!$F$2:$F$27,MATCH($C293,'Materials Master'!$A$2:$A$27,0)),IF($B293="GMPC Recycling",INDEX('Materials Master'!$G$2:$G$27,MATCH($C293,'Materials Master'!$A$2:$A$27,0)),IF($B293="Organics Recycling",INDEX('Materials Master'!$H$2:$H$27,MATCH($C293,'Materials Master'!$A$2:$A$27,0)),IF($B293="Cardboard Recycling",INDEX('Materials Master'!$I$2:$I$27,MATCH($C293,'Materials Master'!$A$2:$A$27,0)),IF($B293="Paper Recycling",INDEX('Materials Master'!$J$2:$J$27,MATCH($C293,'Materials Master'!$A$2:$A$27,0)),IF($B293="Terracycle",INDEX('Materials Master'!$K$2:$K$27,MATCH($C293,'Materials Master'!$A$2:$A$27,0)),"No"))))))="Yes",INDEX('Materials Master'!$E$2:$E$27,MATCH($C293,'Materials Master'!$A$2:$A$27,0))="Yes",$B293&lt;&gt;"Trash"),1,0)</f>
        <v>0</v>
      </c>
      <c r="H293" s="0" t="str">
        <f aca="false">INDEX('Materials Master'!$E$2:$E$27,MATCH($C293,'Materials Master'!$A$2:$A$27,0))</f>
        <v>Yes</v>
      </c>
      <c r="I293" s="0" t="str">
        <f aca="false">IFERROR(INDEX(Areas!$C$2:$C$6,MATCH($A293,Areas!$B$2:$B$6,0)),"")</f>
        <v>BOH</v>
      </c>
      <c r="J293" s="0" t="n">
        <f aca="false">IF(IF($B293="Trash",INDEX('Materials Master'!$F$2:$F$27,MATCH($C293,'Materials Master'!$A$2:$A$27,0)),IF($B293="GMPC Recycling",INDEX('Materials Master'!$G$2:$G$27,MATCH($C293,'Materials Master'!$A$2:$A$27,0)),IF($B293="Organics Recycling",INDEX('Materials Master'!$H$2:$H$27,MATCH($C293,'Materials Master'!$A$2:$A$27,0)),IF($B293="Cardboard Recycling",INDEX('Materials Master'!$I$2:$I$27,MATCH($C293,'Materials Master'!$A$2:$A$27,0)),IF($B293="Paper Recycling",INDEX('Materials Master'!$J$2:$J$27,MATCH($C293,'Materials Master'!$A$2:$A$27,0)),IF($B293="Terracycle",INDEX('Materials Master'!$K$2:$K$27,MATCH($C293,'Materials Master'!$A$2:$A$27,0)),"No"))))))="Yes",1,0)</f>
        <v>0</v>
      </c>
    </row>
    <row r="294" customFormat="false" ht="15" hidden="false" customHeight="false" outlineLevel="0" collapsed="false">
      <c r="A294" s="0" t="s">
        <v>95</v>
      </c>
      <c r="B294" s="0" t="s">
        <v>108</v>
      </c>
      <c r="C294" s="0" t="s">
        <v>43</v>
      </c>
      <c r="D294" s="0" t="str">
        <f aca="false">IFERROR(INDEX('Materials Master'!$B$2:$B$27,MATCH($C294,'Materials Master'!$A$2:$A$27,0)),"")</f>
        <v>Soiled Beverage Cartons</v>
      </c>
      <c r="E294" s="0" t="str">
        <f aca="false">IFERROR(INDEX('Materials Master'!$C$2:$C$27,MATCH($C294,'Materials Master'!$A$2:$A$27,0)),"")</f>
        <v>Fibers</v>
      </c>
      <c r="F294" s="0" t="n">
        <f aca="false">IF(SUMIFS(Fact_SortedWeights!$E$2:$E$89,Fact_SortedWeights!$C$2:$C$89,$A294,Fact_SortedWeights!$B$2:$B$89,$B294)=0,0,SUMIFS(Fact_SortedWeights!$E$2:$E$89,Fact_SortedWeights!$C$2:$C$89,$A294,Fact_SortedWeights!$B$2:$B$89,$B294,Fact_SortedWeights!$D$2:$D$89,$C294)/SUMIFS(Fact_SortedWeights!$E$2:$E$89,Fact_SortedWeights!$C$2:$C$89,$A294,Fact_SortedWeights!$B$2:$B$89,$B294)*(IF($B294="Cardboard Recycling",SUMIFS(Fact_SortedWeights!$E$2:$E$89,Fact_SortedWeights!$C$2:$C$89,$A294,Fact_SortedWeights!$B$2:$B$89,$B294),SUMIFS(Fact_PreSortWeights!$E$2:$E$186,Fact_PreSortWeights!$C$2:$C$186,$A294,Fact_PreSortWeights!$B$2:$B$186,$B294))))</f>
        <v>0</v>
      </c>
      <c r="G294" s="0" t="n">
        <f aca="false">IF(AND(IF($B294="Trash",INDEX('Materials Master'!$F$2:$F$27,MATCH($C294,'Materials Master'!$A$2:$A$27,0)),IF($B294="GMPC Recycling",INDEX('Materials Master'!$G$2:$G$27,MATCH($C294,'Materials Master'!$A$2:$A$27,0)),IF($B294="Organics Recycling",INDEX('Materials Master'!$H$2:$H$27,MATCH($C294,'Materials Master'!$A$2:$A$27,0)),IF($B294="Cardboard Recycling",INDEX('Materials Master'!$I$2:$I$27,MATCH($C294,'Materials Master'!$A$2:$A$27,0)),IF($B294="Paper Recycling",INDEX('Materials Master'!$J$2:$J$27,MATCH($C294,'Materials Master'!$A$2:$A$27,0)),IF($B294="Terracycle",INDEX('Materials Master'!$K$2:$K$27,MATCH($C294,'Materials Master'!$A$2:$A$27,0)),"No"))))))="Yes",INDEX('Materials Master'!$E$2:$E$27,MATCH($C294,'Materials Master'!$A$2:$A$27,0))="Yes",$B294&lt;&gt;"Trash"),1,0)</f>
        <v>0</v>
      </c>
      <c r="H294" s="0" t="str">
        <f aca="false">INDEX('Materials Master'!$E$2:$E$27,MATCH($C294,'Materials Master'!$A$2:$A$27,0))</f>
        <v>No</v>
      </c>
      <c r="I294" s="0" t="str">
        <f aca="false">IFERROR(INDEX(Areas!$C$2:$C$6,MATCH($A294,Areas!$B$2:$B$6,0)),"")</f>
        <v>BOH</v>
      </c>
      <c r="J294" s="0" t="n">
        <f aca="false">IF(IF($B294="Trash",INDEX('Materials Master'!$F$2:$F$27,MATCH($C294,'Materials Master'!$A$2:$A$27,0)),IF($B294="GMPC Recycling",INDEX('Materials Master'!$G$2:$G$27,MATCH($C294,'Materials Master'!$A$2:$A$27,0)),IF($B294="Organics Recycling",INDEX('Materials Master'!$H$2:$H$27,MATCH($C294,'Materials Master'!$A$2:$A$27,0)),IF($B294="Cardboard Recycling",INDEX('Materials Master'!$I$2:$I$27,MATCH($C294,'Materials Master'!$A$2:$A$27,0)),IF($B294="Paper Recycling",INDEX('Materials Master'!$J$2:$J$27,MATCH($C294,'Materials Master'!$A$2:$A$27,0)),IF($B294="Terracycle",INDEX('Materials Master'!$K$2:$K$27,MATCH($C294,'Materials Master'!$A$2:$A$27,0)),"No"))))))="Yes",1,0)</f>
        <v>0</v>
      </c>
    </row>
    <row r="295" customFormat="false" ht="15" hidden="false" customHeight="false" outlineLevel="0" collapsed="false">
      <c r="A295" s="0" t="s">
        <v>95</v>
      </c>
      <c r="B295" s="0" t="s">
        <v>108</v>
      </c>
      <c r="C295" s="0" t="s">
        <v>45</v>
      </c>
      <c r="D295" s="0" t="str">
        <f aca="false">IFERROR(INDEX('Materials Master'!$B$2:$B$27,MATCH($C295,'Materials Master'!$A$2:$A$27,0)),"")</f>
        <v>Paper Cups / Other Coated Paper Containers</v>
      </c>
      <c r="E295" s="0" t="str">
        <f aca="false">IFERROR(INDEX('Materials Master'!$C$2:$C$27,MATCH($C295,'Materials Master'!$A$2:$A$27,0)),"")</f>
        <v>Fibers</v>
      </c>
      <c r="F295" s="0" t="n">
        <f aca="false">IF(SUMIFS(Fact_SortedWeights!$E$2:$E$89,Fact_SortedWeights!$C$2:$C$89,$A295,Fact_SortedWeights!$B$2:$B$89,$B295)=0,0,SUMIFS(Fact_SortedWeights!$E$2:$E$89,Fact_SortedWeights!$C$2:$C$89,$A295,Fact_SortedWeights!$B$2:$B$89,$B295,Fact_SortedWeights!$D$2:$D$89,$C295)/SUMIFS(Fact_SortedWeights!$E$2:$E$89,Fact_SortedWeights!$C$2:$C$89,$A295,Fact_SortedWeights!$B$2:$B$89,$B295)*(IF($B295="Cardboard Recycling",SUMIFS(Fact_SortedWeights!$E$2:$E$89,Fact_SortedWeights!$C$2:$C$89,$A295,Fact_SortedWeights!$B$2:$B$89,$B295),SUMIFS(Fact_PreSortWeights!$E$2:$E$186,Fact_PreSortWeights!$C$2:$C$186,$A295,Fact_PreSortWeights!$B$2:$B$186,$B295))))</f>
        <v>0</v>
      </c>
      <c r="G295" s="0" t="n">
        <f aca="false">IF(AND(IF($B295="Trash",INDEX('Materials Master'!$F$2:$F$27,MATCH($C295,'Materials Master'!$A$2:$A$27,0)),IF($B295="GMPC Recycling",INDEX('Materials Master'!$G$2:$G$27,MATCH($C295,'Materials Master'!$A$2:$A$27,0)),IF($B295="Organics Recycling",INDEX('Materials Master'!$H$2:$H$27,MATCH($C295,'Materials Master'!$A$2:$A$27,0)),IF($B295="Cardboard Recycling",INDEX('Materials Master'!$I$2:$I$27,MATCH($C295,'Materials Master'!$A$2:$A$27,0)),IF($B295="Paper Recycling",INDEX('Materials Master'!$J$2:$J$27,MATCH($C295,'Materials Master'!$A$2:$A$27,0)),IF($B295="Terracycle",INDEX('Materials Master'!$K$2:$K$27,MATCH($C295,'Materials Master'!$A$2:$A$27,0)),"No"))))))="Yes",INDEX('Materials Master'!$E$2:$E$27,MATCH($C295,'Materials Master'!$A$2:$A$27,0))="Yes",$B295&lt;&gt;"Trash"),1,0)</f>
        <v>0</v>
      </c>
      <c r="H295" s="0" t="str">
        <f aca="false">INDEX('Materials Master'!$E$2:$E$27,MATCH($C295,'Materials Master'!$A$2:$A$27,0))</f>
        <v>No</v>
      </c>
      <c r="I295" s="0" t="str">
        <f aca="false">IFERROR(INDEX(Areas!$C$2:$C$6,MATCH($A295,Areas!$B$2:$B$6,0)),"")</f>
        <v>BOH</v>
      </c>
      <c r="J295" s="0" t="n">
        <f aca="false">IF(IF($B295="Trash",INDEX('Materials Master'!$F$2:$F$27,MATCH($C295,'Materials Master'!$A$2:$A$27,0)),IF($B295="GMPC Recycling",INDEX('Materials Master'!$G$2:$G$27,MATCH($C295,'Materials Master'!$A$2:$A$27,0)),IF($B295="Organics Recycling",INDEX('Materials Master'!$H$2:$H$27,MATCH($C295,'Materials Master'!$A$2:$A$27,0)),IF($B295="Cardboard Recycling",INDEX('Materials Master'!$I$2:$I$27,MATCH($C295,'Materials Master'!$A$2:$A$27,0)),IF($B295="Paper Recycling",INDEX('Materials Master'!$J$2:$J$27,MATCH($C295,'Materials Master'!$A$2:$A$27,0)),IF($B295="Terracycle",INDEX('Materials Master'!$K$2:$K$27,MATCH($C295,'Materials Master'!$A$2:$A$27,0)),"No"))))))="Yes",1,0)</f>
        <v>0</v>
      </c>
    </row>
    <row r="296" customFormat="false" ht="15" hidden="false" customHeight="false" outlineLevel="0" collapsed="false">
      <c r="A296" s="0" t="s">
        <v>95</v>
      </c>
      <c r="B296" s="0" t="s">
        <v>108</v>
      </c>
      <c r="C296" s="0" t="s">
        <v>47</v>
      </c>
      <c r="D296" s="0" t="str">
        <f aca="false">IFERROR(INDEX('Materials Master'!$B$2:$B$27,MATCH($C296,'Materials Master'!$A$2:$A$27,0)),"")</f>
        <v>Glass Bottles &amp; Jars</v>
      </c>
      <c r="E296" s="0" t="str">
        <f aca="false">IFERROR(INDEX('Materials Master'!$C$2:$C$27,MATCH($C296,'Materials Master'!$A$2:$A$27,0)),"")</f>
        <v>Glass</v>
      </c>
      <c r="F296" s="0" t="n">
        <f aca="false">IF(SUMIFS(Fact_SortedWeights!$E$2:$E$89,Fact_SortedWeights!$C$2:$C$89,$A296,Fact_SortedWeights!$B$2:$B$89,$B296)=0,0,SUMIFS(Fact_SortedWeights!$E$2:$E$89,Fact_SortedWeights!$C$2:$C$89,$A296,Fact_SortedWeights!$B$2:$B$89,$B296,Fact_SortedWeights!$D$2:$D$89,$C296)/SUMIFS(Fact_SortedWeights!$E$2:$E$89,Fact_SortedWeights!$C$2:$C$89,$A296,Fact_SortedWeights!$B$2:$B$89,$B296)*(IF($B296="Cardboard Recycling",SUMIFS(Fact_SortedWeights!$E$2:$E$89,Fact_SortedWeights!$C$2:$C$89,$A296,Fact_SortedWeights!$B$2:$B$89,$B296),SUMIFS(Fact_PreSortWeights!$E$2:$E$186,Fact_PreSortWeights!$C$2:$C$186,$A296,Fact_PreSortWeights!$B$2:$B$186,$B296))))</f>
        <v>0</v>
      </c>
      <c r="G296" s="0" t="n">
        <f aca="false">IF(AND(IF($B296="Trash",INDEX('Materials Master'!$F$2:$F$27,MATCH($C296,'Materials Master'!$A$2:$A$27,0)),IF($B296="GMPC Recycling",INDEX('Materials Master'!$G$2:$G$27,MATCH($C296,'Materials Master'!$A$2:$A$27,0)),IF($B296="Organics Recycling",INDEX('Materials Master'!$H$2:$H$27,MATCH($C296,'Materials Master'!$A$2:$A$27,0)),IF($B296="Cardboard Recycling",INDEX('Materials Master'!$I$2:$I$27,MATCH($C296,'Materials Master'!$A$2:$A$27,0)),IF($B296="Paper Recycling",INDEX('Materials Master'!$J$2:$J$27,MATCH($C296,'Materials Master'!$A$2:$A$27,0)),IF($B296="Terracycle",INDEX('Materials Master'!$K$2:$K$27,MATCH($C296,'Materials Master'!$A$2:$A$27,0)),"No"))))))="Yes",INDEX('Materials Master'!$E$2:$E$27,MATCH($C296,'Materials Master'!$A$2:$A$27,0))="Yes",$B296&lt;&gt;"Trash"),1,0)</f>
        <v>0</v>
      </c>
      <c r="H296" s="0" t="str">
        <f aca="false">INDEX('Materials Master'!$E$2:$E$27,MATCH($C296,'Materials Master'!$A$2:$A$27,0))</f>
        <v>Yes</v>
      </c>
      <c r="I296" s="0" t="str">
        <f aca="false">IFERROR(INDEX(Areas!$C$2:$C$6,MATCH($A296,Areas!$B$2:$B$6,0)),"")</f>
        <v>BOH</v>
      </c>
      <c r="J296" s="0" t="n">
        <f aca="false">IF(IF($B296="Trash",INDEX('Materials Master'!$F$2:$F$27,MATCH($C296,'Materials Master'!$A$2:$A$27,0)),IF($B296="GMPC Recycling",INDEX('Materials Master'!$G$2:$G$27,MATCH($C296,'Materials Master'!$A$2:$A$27,0)),IF($B296="Organics Recycling",INDEX('Materials Master'!$H$2:$H$27,MATCH($C296,'Materials Master'!$A$2:$A$27,0)),IF($B296="Cardboard Recycling",INDEX('Materials Master'!$I$2:$I$27,MATCH($C296,'Materials Master'!$A$2:$A$27,0)),IF($B296="Paper Recycling",INDEX('Materials Master'!$J$2:$J$27,MATCH($C296,'Materials Master'!$A$2:$A$27,0)),IF($B296="Terracycle",INDEX('Materials Master'!$K$2:$K$27,MATCH($C296,'Materials Master'!$A$2:$A$27,0)),"No"))))))="Yes",1,0)</f>
        <v>0</v>
      </c>
    </row>
    <row r="297" customFormat="false" ht="15" hidden="false" customHeight="false" outlineLevel="0" collapsed="false">
      <c r="A297" s="0" t="s">
        <v>95</v>
      </c>
      <c r="B297" s="0" t="s">
        <v>108</v>
      </c>
      <c r="C297" s="0" t="s">
        <v>50</v>
      </c>
      <c r="D297" s="0" t="str">
        <f aca="false">IFERROR(INDEX('Materials Master'!$B$2:$B$27,MATCH($C297,'Materials Master'!$A$2:$A$27,0)),"")</f>
        <v>Soiled Glass</v>
      </c>
      <c r="E297" s="0" t="str">
        <f aca="false">IFERROR(INDEX('Materials Master'!$C$2:$C$27,MATCH($C297,'Materials Master'!$A$2:$A$27,0)),"")</f>
        <v>Glass</v>
      </c>
      <c r="F297" s="0" t="n">
        <f aca="false">IF(SUMIFS(Fact_SortedWeights!$E$2:$E$89,Fact_SortedWeights!$C$2:$C$89,$A297,Fact_SortedWeights!$B$2:$B$89,$B297)=0,0,SUMIFS(Fact_SortedWeights!$E$2:$E$89,Fact_SortedWeights!$C$2:$C$89,$A297,Fact_SortedWeights!$B$2:$B$89,$B297,Fact_SortedWeights!$D$2:$D$89,$C297)/SUMIFS(Fact_SortedWeights!$E$2:$E$89,Fact_SortedWeights!$C$2:$C$89,$A297,Fact_SortedWeights!$B$2:$B$89,$B297)*(IF($B297="Cardboard Recycling",SUMIFS(Fact_SortedWeights!$E$2:$E$89,Fact_SortedWeights!$C$2:$C$89,$A297,Fact_SortedWeights!$B$2:$B$89,$B297),SUMIFS(Fact_PreSortWeights!$E$2:$E$186,Fact_PreSortWeights!$C$2:$C$186,$A297,Fact_PreSortWeights!$B$2:$B$186,$B297))))</f>
        <v>0</v>
      </c>
      <c r="G297" s="0" t="n">
        <f aca="false">IF(AND(IF($B297="Trash",INDEX('Materials Master'!$F$2:$F$27,MATCH($C297,'Materials Master'!$A$2:$A$27,0)),IF($B297="GMPC Recycling",INDEX('Materials Master'!$G$2:$G$27,MATCH($C297,'Materials Master'!$A$2:$A$27,0)),IF($B297="Organics Recycling",INDEX('Materials Master'!$H$2:$H$27,MATCH($C297,'Materials Master'!$A$2:$A$27,0)),IF($B297="Cardboard Recycling",INDEX('Materials Master'!$I$2:$I$27,MATCH($C297,'Materials Master'!$A$2:$A$27,0)),IF($B297="Paper Recycling",INDEX('Materials Master'!$J$2:$J$27,MATCH($C297,'Materials Master'!$A$2:$A$27,0)),IF($B297="Terracycle",INDEX('Materials Master'!$K$2:$K$27,MATCH($C297,'Materials Master'!$A$2:$A$27,0)),"No"))))))="Yes",INDEX('Materials Master'!$E$2:$E$27,MATCH($C297,'Materials Master'!$A$2:$A$27,0))="Yes",$B297&lt;&gt;"Trash"),1,0)</f>
        <v>0</v>
      </c>
      <c r="H297" s="0" t="str">
        <f aca="false">INDEX('Materials Master'!$E$2:$E$27,MATCH($C297,'Materials Master'!$A$2:$A$27,0))</f>
        <v>No</v>
      </c>
      <c r="I297" s="0" t="str">
        <f aca="false">IFERROR(INDEX(Areas!$C$2:$C$6,MATCH($A297,Areas!$B$2:$B$6,0)),"")</f>
        <v>BOH</v>
      </c>
      <c r="J297" s="0" t="n">
        <f aca="false">IF(IF($B297="Trash",INDEX('Materials Master'!$F$2:$F$27,MATCH($C297,'Materials Master'!$A$2:$A$27,0)),IF($B297="GMPC Recycling",INDEX('Materials Master'!$G$2:$G$27,MATCH($C297,'Materials Master'!$A$2:$A$27,0)),IF($B297="Organics Recycling",INDEX('Materials Master'!$H$2:$H$27,MATCH($C297,'Materials Master'!$A$2:$A$27,0)),IF($B297="Cardboard Recycling",INDEX('Materials Master'!$I$2:$I$27,MATCH($C297,'Materials Master'!$A$2:$A$27,0)),IF($B297="Paper Recycling",INDEX('Materials Master'!$J$2:$J$27,MATCH($C297,'Materials Master'!$A$2:$A$27,0)),IF($B297="Terracycle",INDEX('Materials Master'!$K$2:$K$27,MATCH($C297,'Materials Master'!$A$2:$A$27,0)),"No"))))))="Yes",1,0)</f>
        <v>0</v>
      </c>
    </row>
    <row r="298" customFormat="false" ht="15" hidden="false" customHeight="false" outlineLevel="0" collapsed="false">
      <c r="A298" s="0" t="s">
        <v>95</v>
      </c>
      <c r="B298" s="0" t="s">
        <v>108</v>
      </c>
      <c r="C298" s="0" t="s">
        <v>52</v>
      </c>
      <c r="D298" s="0" t="str">
        <f aca="false">IFERROR(INDEX('Materials Master'!$B$2:$B$27,MATCH($C298,'Materials Master'!$A$2:$A$27,0)),"")</f>
        <v>Aluminum &amp; Bi-Metal Containers</v>
      </c>
      <c r="E298" s="0" t="str">
        <f aca="false">IFERROR(INDEX('Materials Master'!$C$2:$C$27,MATCH($C298,'Materials Master'!$A$2:$A$27,0)),"")</f>
        <v>Metals</v>
      </c>
      <c r="F298" s="0" t="n">
        <f aca="false">IF(SUMIFS(Fact_SortedWeights!$E$2:$E$89,Fact_SortedWeights!$C$2:$C$89,$A298,Fact_SortedWeights!$B$2:$B$89,$B298)=0,0,SUMIFS(Fact_SortedWeights!$E$2:$E$89,Fact_SortedWeights!$C$2:$C$89,$A298,Fact_SortedWeights!$B$2:$B$89,$B298,Fact_SortedWeights!$D$2:$D$89,$C298)/SUMIFS(Fact_SortedWeights!$E$2:$E$89,Fact_SortedWeights!$C$2:$C$89,$A298,Fact_SortedWeights!$B$2:$B$89,$B298)*(IF($B298="Cardboard Recycling",SUMIFS(Fact_SortedWeights!$E$2:$E$89,Fact_SortedWeights!$C$2:$C$89,$A298,Fact_SortedWeights!$B$2:$B$89,$B298),SUMIFS(Fact_PreSortWeights!$E$2:$E$186,Fact_PreSortWeights!$C$2:$C$186,$A298,Fact_PreSortWeights!$B$2:$B$186,$B298))))</f>
        <v>0</v>
      </c>
      <c r="G298" s="0" t="n">
        <f aca="false">IF(AND(IF($B298="Trash",INDEX('Materials Master'!$F$2:$F$27,MATCH($C298,'Materials Master'!$A$2:$A$27,0)),IF($B298="GMPC Recycling",INDEX('Materials Master'!$G$2:$G$27,MATCH($C298,'Materials Master'!$A$2:$A$27,0)),IF($B298="Organics Recycling",INDEX('Materials Master'!$H$2:$H$27,MATCH($C298,'Materials Master'!$A$2:$A$27,0)),IF($B298="Cardboard Recycling",INDEX('Materials Master'!$I$2:$I$27,MATCH($C298,'Materials Master'!$A$2:$A$27,0)),IF($B298="Paper Recycling",INDEX('Materials Master'!$J$2:$J$27,MATCH($C298,'Materials Master'!$A$2:$A$27,0)),IF($B298="Terracycle",INDEX('Materials Master'!$K$2:$K$27,MATCH($C298,'Materials Master'!$A$2:$A$27,0)),"No"))))))="Yes",INDEX('Materials Master'!$E$2:$E$27,MATCH($C298,'Materials Master'!$A$2:$A$27,0))="Yes",$B298&lt;&gt;"Trash"),1,0)</f>
        <v>0</v>
      </c>
      <c r="H298" s="0" t="str">
        <f aca="false">INDEX('Materials Master'!$E$2:$E$27,MATCH($C298,'Materials Master'!$A$2:$A$27,0))</f>
        <v>Yes</v>
      </c>
      <c r="I298" s="0" t="str">
        <f aca="false">IFERROR(INDEX(Areas!$C$2:$C$6,MATCH($A298,Areas!$B$2:$B$6,0)),"")</f>
        <v>BOH</v>
      </c>
      <c r="J298" s="0" t="n">
        <f aca="false">IF(IF($B298="Trash",INDEX('Materials Master'!$F$2:$F$27,MATCH($C298,'Materials Master'!$A$2:$A$27,0)),IF($B298="GMPC Recycling",INDEX('Materials Master'!$G$2:$G$27,MATCH($C298,'Materials Master'!$A$2:$A$27,0)),IF($B298="Organics Recycling",INDEX('Materials Master'!$H$2:$H$27,MATCH($C298,'Materials Master'!$A$2:$A$27,0)),IF($B298="Cardboard Recycling",INDEX('Materials Master'!$I$2:$I$27,MATCH($C298,'Materials Master'!$A$2:$A$27,0)),IF($B298="Paper Recycling",INDEX('Materials Master'!$J$2:$J$27,MATCH($C298,'Materials Master'!$A$2:$A$27,0)),IF($B298="Terracycle",INDEX('Materials Master'!$K$2:$K$27,MATCH($C298,'Materials Master'!$A$2:$A$27,0)),"No"))))))="Yes",1,0)</f>
        <v>0</v>
      </c>
    </row>
    <row r="299" customFormat="false" ht="15" hidden="false" customHeight="false" outlineLevel="0" collapsed="false">
      <c r="A299" s="0" t="s">
        <v>95</v>
      </c>
      <c r="B299" s="0" t="s">
        <v>108</v>
      </c>
      <c r="C299" s="0" t="s">
        <v>55</v>
      </c>
      <c r="D299" s="0" t="str">
        <f aca="false">IFERROR(INDEX('Materials Master'!$B$2:$B$27,MATCH($C299,'Materials Master'!$A$2:$A$27,0)),"")</f>
        <v>Soiled Metals</v>
      </c>
      <c r="E299" s="0" t="str">
        <f aca="false">IFERROR(INDEX('Materials Master'!$C$2:$C$27,MATCH($C299,'Materials Master'!$A$2:$A$27,0)),"")</f>
        <v>Metals</v>
      </c>
      <c r="F299" s="0" t="n">
        <f aca="false">IF(SUMIFS(Fact_SortedWeights!$E$2:$E$89,Fact_SortedWeights!$C$2:$C$89,$A299,Fact_SortedWeights!$B$2:$B$89,$B299)=0,0,SUMIFS(Fact_SortedWeights!$E$2:$E$89,Fact_SortedWeights!$C$2:$C$89,$A299,Fact_SortedWeights!$B$2:$B$89,$B299,Fact_SortedWeights!$D$2:$D$89,$C299)/SUMIFS(Fact_SortedWeights!$E$2:$E$89,Fact_SortedWeights!$C$2:$C$89,$A299,Fact_SortedWeights!$B$2:$B$89,$B299)*(IF($B299="Cardboard Recycling",SUMIFS(Fact_SortedWeights!$E$2:$E$89,Fact_SortedWeights!$C$2:$C$89,$A299,Fact_SortedWeights!$B$2:$B$89,$B299),SUMIFS(Fact_PreSortWeights!$E$2:$E$186,Fact_PreSortWeights!$C$2:$C$186,$A299,Fact_PreSortWeights!$B$2:$B$186,$B299))))</f>
        <v>0</v>
      </c>
      <c r="G299" s="0" t="n">
        <f aca="false">IF(AND(IF($B299="Trash",INDEX('Materials Master'!$F$2:$F$27,MATCH($C299,'Materials Master'!$A$2:$A$27,0)),IF($B299="GMPC Recycling",INDEX('Materials Master'!$G$2:$G$27,MATCH($C299,'Materials Master'!$A$2:$A$27,0)),IF($B299="Organics Recycling",INDEX('Materials Master'!$H$2:$H$27,MATCH($C299,'Materials Master'!$A$2:$A$27,0)),IF($B299="Cardboard Recycling",INDEX('Materials Master'!$I$2:$I$27,MATCH($C299,'Materials Master'!$A$2:$A$27,0)),IF($B299="Paper Recycling",INDEX('Materials Master'!$J$2:$J$27,MATCH($C299,'Materials Master'!$A$2:$A$27,0)),IF($B299="Terracycle",INDEX('Materials Master'!$K$2:$K$27,MATCH($C299,'Materials Master'!$A$2:$A$27,0)),"No"))))))="Yes",INDEX('Materials Master'!$E$2:$E$27,MATCH($C299,'Materials Master'!$A$2:$A$27,0))="Yes",$B299&lt;&gt;"Trash"),1,0)</f>
        <v>0</v>
      </c>
      <c r="H299" s="0" t="str">
        <f aca="false">INDEX('Materials Master'!$E$2:$E$27,MATCH($C299,'Materials Master'!$A$2:$A$27,0))</f>
        <v>No</v>
      </c>
      <c r="I299" s="0" t="str">
        <f aca="false">IFERROR(INDEX(Areas!$C$2:$C$6,MATCH($A299,Areas!$B$2:$B$6,0)),"")</f>
        <v>BOH</v>
      </c>
      <c r="J299" s="0" t="n">
        <f aca="false">IF(IF($B299="Trash",INDEX('Materials Master'!$F$2:$F$27,MATCH($C299,'Materials Master'!$A$2:$A$27,0)),IF($B299="GMPC Recycling",INDEX('Materials Master'!$G$2:$G$27,MATCH($C299,'Materials Master'!$A$2:$A$27,0)),IF($B299="Organics Recycling",INDEX('Materials Master'!$H$2:$H$27,MATCH($C299,'Materials Master'!$A$2:$A$27,0)),IF($B299="Cardboard Recycling",INDEX('Materials Master'!$I$2:$I$27,MATCH($C299,'Materials Master'!$A$2:$A$27,0)),IF($B299="Paper Recycling",INDEX('Materials Master'!$J$2:$J$27,MATCH($C299,'Materials Master'!$A$2:$A$27,0)),IF($B299="Terracycle",INDEX('Materials Master'!$K$2:$K$27,MATCH($C299,'Materials Master'!$A$2:$A$27,0)),"No"))))))="Yes",1,0)</f>
        <v>0</v>
      </c>
    </row>
    <row r="300" customFormat="false" ht="15" hidden="false" customHeight="false" outlineLevel="0" collapsed="false">
      <c r="A300" s="0" t="s">
        <v>95</v>
      </c>
      <c r="B300" s="0" t="s">
        <v>108</v>
      </c>
      <c r="C300" s="0" t="s">
        <v>57</v>
      </c>
      <c r="D300" s="0" t="str">
        <f aca="false">IFERROR(INDEX('Materials Master'!$B$2:$B$27,MATCH($C300,'Materials Master'!$A$2:$A$27,0)),"")</f>
        <v>Rigid Plastics (1-6)</v>
      </c>
      <c r="E300" s="0" t="str">
        <f aca="false">IFERROR(INDEX('Materials Master'!$C$2:$C$27,MATCH($C300,'Materials Master'!$A$2:$A$27,0)),"")</f>
        <v>Plastics</v>
      </c>
      <c r="F300" s="0" t="n">
        <f aca="false">IF(SUMIFS(Fact_SortedWeights!$E$2:$E$89,Fact_SortedWeights!$C$2:$C$89,$A300,Fact_SortedWeights!$B$2:$B$89,$B300)=0,0,SUMIFS(Fact_SortedWeights!$E$2:$E$89,Fact_SortedWeights!$C$2:$C$89,$A300,Fact_SortedWeights!$B$2:$B$89,$B300,Fact_SortedWeights!$D$2:$D$89,$C300)/SUMIFS(Fact_SortedWeights!$E$2:$E$89,Fact_SortedWeights!$C$2:$C$89,$A300,Fact_SortedWeights!$B$2:$B$89,$B300)*(IF($B300="Cardboard Recycling",SUMIFS(Fact_SortedWeights!$E$2:$E$89,Fact_SortedWeights!$C$2:$C$89,$A300,Fact_SortedWeights!$B$2:$B$89,$B300),SUMIFS(Fact_PreSortWeights!$E$2:$E$186,Fact_PreSortWeights!$C$2:$C$186,$A300,Fact_PreSortWeights!$B$2:$B$186,$B300))))</f>
        <v>0</v>
      </c>
      <c r="G300" s="0" t="n">
        <f aca="false">IF(AND(IF($B300="Trash",INDEX('Materials Master'!$F$2:$F$27,MATCH($C300,'Materials Master'!$A$2:$A$27,0)),IF($B300="GMPC Recycling",INDEX('Materials Master'!$G$2:$G$27,MATCH($C300,'Materials Master'!$A$2:$A$27,0)),IF($B300="Organics Recycling",INDEX('Materials Master'!$H$2:$H$27,MATCH($C300,'Materials Master'!$A$2:$A$27,0)),IF($B300="Cardboard Recycling",INDEX('Materials Master'!$I$2:$I$27,MATCH($C300,'Materials Master'!$A$2:$A$27,0)),IF($B300="Paper Recycling",INDEX('Materials Master'!$J$2:$J$27,MATCH($C300,'Materials Master'!$A$2:$A$27,0)),IF($B300="Terracycle",INDEX('Materials Master'!$K$2:$K$27,MATCH($C300,'Materials Master'!$A$2:$A$27,0)),"No"))))))="Yes",INDEX('Materials Master'!$E$2:$E$27,MATCH($C300,'Materials Master'!$A$2:$A$27,0))="Yes",$B300&lt;&gt;"Trash"),1,0)</f>
        <v>0</v>
      </c>
      <c r="H300" s="0" t="str">
        <f aca="false">INDEX('Materials Master'!$E$2:$E$27,MATCH($C300,'Materials Master'!$A$2:$A$27,0))</f>
        <v>Yes</v>
      </c>
      <c r="I300" s="0" t="str">
        <f aca="false">IFERROR(INDEX(Areas!$C$2:$C$6,MATCH($A300,Areas!$B$2:$B$6,0)),"")</f>
        <v>BOH</v>
      </c>
      <c r="J300" s="0" t="n">
        <f aca="false">IF(IF($B300="Trash",INDEX('Materials Master'!$F$2:$F$27,MATCH($C300,'Materials Master'!$A$2:$A$27,0)),IF($B300="GMPC Recycling",INDEX('Materials Master'!$G$2:$G$27,MATCH($C300,'Materials Master'!$A$2:$A$27,0)),IF($B300="Organics Recycling",INDEX('Materials Master'!$H$2:$H$27,MATCH($C300,'Materials Master'!$A$2:$A$27,0)),IF($B300="Cardboard Recycling",INDEX('Materials Master'!$I$2:$I$27,MATCH($C300,'Materials Master'!$A$2:$A$27,0)),IF($B300="Paper Recycling",INDEX('Materials Master'!$J$2:$J$27,MATCH($C300,'Materials Master'!$A$2:$A$27,0)),IF($B300="Terracycle",INDEX('Materials Master'!$K$2:$K$27,MATCH($C300,'Materials Master'!$A$2:$A$27,0)),"No"))))))="Yes",1,0)</f>
        <v>0</v>
      </c>
    </row>
    <row r="301" customFormat="false" ht="15" hidden="false" customHeight="false" outlineLevel="0" collapsed="false">
      <c r="A301" s="0" t="s">
        <v>95</v>
      </c>
      <c r="B301" s="0" t="s">
        <v>108</v>
      </c>
      <c r="C301" s="0" t="s">
        <v>60</v>
      </c>
      <c r="D301" s="0" t="str">
        <f aca="false">IFERROR(INDEX('Materials Master'!$B$2:$B$27,MATCH($C301,'Materials Master'!$A$2:$A$27,0)),"")</f>
        <v>Soiled Rigid Plastics</v>
      </c>
      <c r="E301" s="0" t="str">
        <f aca="false">IFERROR(INDEX('Materials Master'!$C$2:$C$27,MATCH($C301,'Materials Master'!$A$2:$A$27,0)),"")</f>
        <v>Plastics</v>
      </c>
      <c r="F301" s="0" t="n">
        <f aca="false">IF(SUMIFS(Fact_SortedWeights!$E$2:$E$89,Fact_SortedWeights!$C$2:$C$89,$A301,Fact_SortedWeights!$B$2:$B$89,$B301)=0,0,SUMIFS(Fact_SortedWeights!$E$2:$E$89,Fact_SortedWeights!$C$2:$C$89,$A301,Fact_SortedWeights!$B$2:$B$89,$B301,Fact_SortedWeights!$D$2:$D$89,$C301)/SUMIFS(Fact_SortedWeights!$E$2:$E$89,Fact_SortedWeights!$C$2:$C$89,$A301,Fact_SortedWeights!$B$2:$B$89,$B301)*(IF($B301="Cardboard Recycling",SUMIFS(Fact_SortedWeights!$E$2:$E$89,Fact_SortedWeights!$C$2:$C$89,$A301,Fact_SortedWeights!$B$2:$B$89,$B301),SUMIFS(Fact_PreSortWeights!$E$2:$E$186,Fact_PreSortWeights!$C$2:$C$186,$A301,Fact_PreSortWeights!$B$2:$B$186,$B301))))</f>
        <v>0</v>
      </c>
      <c r="G301" s="0" t="n">
        <f aca="false">IF(AND(IF($B301="Trash",INDEX('Materials Master'!$F$2:$F$27,MATCH($C301,'Materials Master'!$A$2:$A$27,0)),IF($B301="GMPC Recycling",INDEX('Materials Master'!$G$2:$G$27,MATCH($C301,'Materials Master'!$A$2:$A$27,0)),IF($B301="Organics Recycling",INDEX('Materials Master'!$H$2:$H$27,MATCH($C301,'Materials Master'!$A$2:$A$27,0)),IF($B301="Cardboard Recycling",INDEX('Materials Master'!$I$2:$I$27,MATCH($C301,'Materials Master'!$A$2:$A$27,0)),IF($B301="Paper Recycling",INDEX('Materials Master'!$J$2:$J$27,MATCH($C301,'Materials Master'!$A$2:$A$27,0)),IF($B301="Terracycle",INDEX('Materials Master'!$K$2:$K$27,MATCH($C301,'Materials Master'!$A$2:$A$27,0)),"No"))))))="Yes",INDEX('Materials Master'!$E$2:$E$27,MATCH($C301,'Materials Master'!$A$2:$A$27,0))="Yes",$B301&lt;&gt;"Trash"),1,0)</f>
        <v>0</v>
      </c>
      <c r="H301" s="0" t="str">
        <f aca="false">INDEX('Materials Master'!$E$2:$E$27,MATCH($C301,'Materials Master'!$A$2:$A$27,0))</f>
        <v>No</v>
      </c>
      <c r="I301" s="0" t="str">
        <f aca="false">IFERROR(INDEX(Areas!$C$2:$C$6,MATCH($A301,Areas!$B$2:$B$6,0)),"")</f>
        <v>BOH</v>
      </c>
      <c r="J301" s="0" t="n">
        <f aca="false">IF(IF($B301="Trash",INDEX('Materials Master'!$F$2:$F$27,MATCH($C301,'Materials Master'!$A$2:$A$27,0)),IF($B301="GMPC Recycling",INDEX('Materials Master'!$G$2:$G$27,MATCH($C301,'Materials Master'!$A$2:$A$27,0)),IF($B301="Organics Recycling",INDEX('Materials Master'!$H$2:$H$27,MATCH($C301,'Materials Master'!$A$2:$A$27,0)),IF($B301="Cardboard Recycling",INDEX('Materials Master'!$I$2:$I$27,MATCH($C301,'Materials Master'!$A$2:$A$27,0)),IF($B301="Paper Recycling",INDEX('Materials Master'!$J$2:$J$27,MATCH($C301,'Materials Master'!$A$2:$A$27,0)),IF($B301="Terracycle",INDEX('Materials Master'!$K$2:$K$27,MATCH($C301,'Materials Master'!$A$2:$A$27,0)),"No"))))))="Yes",1,0)</f>
        <v>0</v>
      </c>
    </row>
    <row r="302" customFormat="false" ht="15" hidden="false" customHeight="false" outlineLevel="0" collapsed="false">
      <c r="A302" s="0" t="s">
        <v>95</v>
      </c>
      <c r="B302" s="0" t="s">
        <v>108</v>
      </c>
      <c r="C302" s="0" t="s">
        <v>62</v>
      </c>
      <c r="D302" s="0" t="str">
        <f aca="false">IFERROR(INDEX('Materials Master'!$B$2:$B$27,MATCH($C302,'Materials Master'!$A$2:$A$27,0)),"")</f>
        <v>Film Plastics</v>
      </c>
      <c r="E302" s="0" t="str">
        <f aca="false">IFERROR(INDEX('Materials Master'!$C$2:$C$27,MATCH($C302,'Materials Master'!$A$2:$A$27,0)),"")</f>
        <v>Plastics</v>
      </c>
      <c r="F302" s="0" t="n">
        <f aca="false">IF(SUMIFS(Fact_SortedWeights!$E$2:$E$89,Fact_SortedWeights!$C$2:$C$89,$A302,Fact_SortedWeights!$B$2:$B$89,$B302)=0,0,SUMIFS(Fact_SortedWeights!$E$2:$E$89,Fact_SortedWeights!$C$2:$C$89,$A302,Fact_SortedWeights!$B$2:$B$89,$B302,Fact_SortedWeights!$D$2:$D$89,$C302)/SUMIFS(Fact_SortedWeights!$E$2:$E$89,Fact_SortedWeights!$C$2:$C$89,$A302,Fact_SortedWeights!$B$2:$B$89,$B302)*(IF($B302="Cardboard Recycling",SUMIFS(Fact_SortedWeights!$E$2:$E$89,Fact_SortedWeights!$C$2:$C$89,$A302,Fact_SortedWeights!$B$2:$B$89,$B302),SUMIFS(Fact_PreSortWeights!$E$2:$E$186,Fact_PreSortWeights!$C$2:$C$186,$A302,Fact_PreSortWeights!$B$2:$B$186,$B302))))</f>
        <v>0</v>
      </c>
      <c r="G302" s="0" t="n">
        <f aca="false">IF(AND(IF($B302="Trash",INDEX('Materials Master'!$F$2:$F$27,MATCH($C302,'Materials Master'!$A$2:$A$27,0)),IF($B302="GMPC Recycling",INDEX('Materials Master'!$G$2:$G$27,MATCH($C302,'Materials Master'!$A$2:$A$27,0)),IF($B302="Organics Recycling",INDEX('Materials Master'!$H$2:$H$27,MATCH($C302,'Materials Master'!$A$2:$A$27,0)),IF($B302="Cardboard Recycling",INDEX('Materials Master'!$I$2:$I$27,MATCH($C302,'Materials Master'!$A$2:$A$27,0)),IF($B302="Paper Recycling",INDEX('Materials Master'!$J$2:$J$27,MATCH($C302,'Materials Master'!$A$2:$A$27,0)),IF($B302="Terracycle",INDEX('Materials Master'!$K$2:$K$27,MATCH($C302,'Materials Master'!$A$2:$A$27,0)),"No"))))))="Yes",INDEX('Materials Master'!$E$2:$E$27,MATCH($C302,'Materials Master'!$A$2:$A$27,0))="Yes",$B302&lt;&gt;"Trash"),1,0)</f>
        <v>0</v>
      </c>
      <c r="H302" s="0" t="str">
        <f aca="false">INDEX('Materials Master'!$E$2:$E$27,MATCH($C302,'Materials Master'!$A$2:$A$27,0))</f>
        <v>No</v>
      </c>
      <c r="I302" s="0" t="str">
        <f aca="false">IFERROR(INDEX(Areas!$C$2:$C$6,MATCH($A302,Areas!$B$2:$B$6,0)),"")</f>
        <v>BOH</v>
      </c>
      <c r="J302" s="0" t="n">
        <f aca="false">IF(IF($B302="Trash",INDEX('Materials Master'!$F$2:$F$27,MATCH($C302,'Materials Master'!$A$2:$A$27,0)),IF($B302="GMPC Recycling",INDEX('Materials Master'!$G$2:$G$27,MATCH($C302,'Materials Master'!$A$2:$A$27,0)),IF($B302="Organics Recycling",INDEX('Materials Master'!$H$2:$H$27,MATCH($C302,'Materials Master'!$A$2:$A$27,0)),IF($B302="Cardboard Recycling",INDEX('Materials Master'!$I$2:$I$27,MATCH($C302,'Materials Master'!$A$2:$A$27,0)),IF($B302="Paper Recycling",INDEX('Materials Master'!$J$2:$J$27,MATCH($C302,'Materials Master'!$A$2:$A$27,0)),IF($B302="Terracycle",INDEX('Materials Master'!$K$2:$K$27,MATCH($C302,'Materials Master'!$A$2:$A$27,0)),"No"))))))="Yes",1,0)</f>
        <v>0</v>
      </c>
    </row>
    <row r="303" customFormat="false" ht="15" hidden="false" customHeight="false" outlineLevel="0" collapsed="false">
      <c r="A303" s="0" t="s">
        <v>95</v>
      </c>
      <c r="B303" s="0" t="s">
        <v>108</v>
      </c>
      <c r="C303" s="0" t="s">
        <v>64</v>
      </c>
      <c r="D303" s="0" t="str">
        <f aca="false">IFERROR(INDEX('Materials Master'!$B$2:$B$27,MATCH($C303,'Materials Master'!$A$2:$A$27,0)),"")</f>
        <v>Foams</v>
      </c>
      <c r="E303" s="0" t="str">
        <f aca="false">IFERROR(INDEX('Materials Master'!$C$2:$C$27,MATCH($C303,'Materials Master'!$A$2:$A$27,0)),"")</f>
        <v>Plastics</v>
      </c>
      <c r="F303" s="0" t="n">
        <f aca="false">IF(SUMIFS(Fact_SortedWeights!$E$2:$E$89,Fact_SortedWeights!$C$2:$C$89,$A303,Fact_SortedWeights!$B$2:$B$89,$B303)=0,0,SUMIFS(Fact_SortedWeights!$E$2:$E$89,Fact_SortedWeights!$C$2:$C$89,$A303,Fact_SortedWeights!$B$2:$B$89,$B303,Fact_SortedWeights!$D$2:$D$89,$C303)/SUMIFS(Fact_SortedWeights!$E$2:$E$89,Fact_SortedWeights!$C$2:$C$89,$A303,Fact_SortedWeights!$B$2:$B$89,$B303)*(IF($B303="Cardboard Recycling",SUMIFS(Fact_SortedWeights!$E$2:$E$89,Fact_SortedWeights!$C$2:$C$89,$A303,Fact_SortedWeights!$B$2:$B$89,$B303),SUMIFS(Fact_PreSortWeights!$E$2:$E$186,Fact_PreSortWeights!$C$2:$C$186,$A303,Fact_PreSortWeights!$B$2:$B$186,$B303))))</f>
        <v>0</v>
      </c>
      <c r="G303" s="0" t="n">
        <f aca="false">IF(AND(IF($B303="Trash",INDEX('Materials Master'!$F$2:$F$27,MATCH($C303,'Materials Master'!$A$2:$A$27,0)),IF($B303="GMPC Recycling",INDEX('Materials Master'!$G$2:$G$27,MATCH($C303,'Materials Master'!$A$2:$A$27,0)),IF($B303="Organics Recycling",INDEX('Materials Master'!$H$2:$H$27,MATCH($C303,'Materials Master'!$A$2:$A$27,0)),IF($B303="Cardboard Recycling",INDEX('Materials Master'!$I$2:$I$27,MATCH($C303,'Materials Master'!$A$2:$A$27,0)),IF($B303="Paper Recycling",INDEX('Materials Master'!$J$2:$J$27,MATCH($C303,'Materials Master'!$A$2:$A$27,0)),IF($B303="Terracycle",INDEX('Materials Master'!$K$2:$K$27,MATCH($C303,'Materials Master'!$A$2:$A$27,0)),"No"))))))="Yes",INDEX('Materials Master'!$E$2:$E$27,MATCH($C303,'Materials Master'!$A$2:$A$27,0))="Yes",$B303&lt;&gt;"Trash"),1,0)</f>
        <v>0</v>
      </c>
      <c r="H303" s="0" t="str">
        <f aca="false">INDEX('Materials Master'!$E$2:$E$27,MATCH($C303,'Materials Master'!$A$2:$A$27,0))</f>
        <v>No</v>
      </c>
      <c r="I303" s="0" t="str">
        <f aca="false">IFERROR(INDEX(Areas!$C$2:$C$6,MATCH($A303,Areas!$B$2:$B$6,0)),"")</f>
        <v>BOH</v>
      </c>
      <c r="J303" s="0" t="n">
        <f aca="false">IF(IF($B303="Trash",INDEX('Materials Master'!$F$2:$F$27,MATCH($C303,'Materials Master'!$A$2:$A$27,0)),IF($B303="GMPC Recycling",INDEX('Materials Master'!$G$2:$G$27,MATCH($C303,'Materials Master'!$A$2:$A$27,0)),IF($B303="Organics Recycling",INDEX('Materials Master'!$H$2:$H$27,MATCH($C303,'Materials Master'!$A$2:$A$27,0)),IF($B303="Cardboard Recycling",INDEX('Materials Master'!$I$2:$I$27,MATCH($C303,'Materials Master'!$A$2:$A$27,0)),IF($B303="Paper Recycling",INDEX('Materials Master'!$J$2:$J$27,MATCH($C303,'Materials Master'!$A$2:$A$27,0)),IF($B303="Terracycle",INDEX('Materials Master'!$K$2:$K$27,MATCH($C303,'Materials Master'!$A$2:$A$27,0)),"No"))))))="Yes",1,0)</f>
        <v>0</v>
      </c>
    </row>
    <row r="304" customFormat="false" ht="15" hidden="false" customHeight="false" outlineLevel="0" collapsed="false">
      <c r="A304" s="0" t="s">
        <v>95</v>
      </c>
      <c r="B304" s="0" t="s">
        <v>108</v>
      </c>
      <c r="C304" s="0" t="s">
        <v>66</v>
      </c>
      <c r="D304" s="0" t="str">
        <f aca="false">IFERROR(INDEX('Materials Master'!$B$2:$B$27,MATCH($C304,'Materials Master'!$A$2:$A$27,0)),"")</f>
        <v>Food Waste</v>
      </c>
      <c r="E304" s="0" t="str">
        <f aca="false">IFERROR(INDEX('Materials Master'!$C$2:$C$27,MATCH($C304,'Materials Master'!$A$2:$A$27,0)),"")</f>
        <v>Organics</v>
      </c>
      <c r="F304" s="0" t="n">
        <f aca="false">IF(SUMIFS(Fact_SortedWeights!$E$2:$E$89,Fact_SortedWeights!$C$2:$C$89,$A304,Fact_SortedWeights!$B$2:$B$89,$B304)=0,0,SUMIFS(Fact_SortedWeights!$E$2:$E$89,Fact_SortedWeights!$C$2:$C$89,$A304,Fact_SortedWeights!$B$2:$B$89,$B304,Fact_SortedWeights!$D$2:$D$89,$C304)/SUMIFS(Fact_SortedWeights!$E$2:$E$89,Fact_SortedWeights!$C$2:$C$89,$A304,Fact_SortedWeights!$B$2:$B$89,$B304)*(IF($B304="Cardboard Recycling",SUMIFS(Fact_SortedWeights!$E$2:$E$89,Fact_SortedWeights!$C$2:$C$89,$A304,Fact_SortedWeights!$B$2:$B$89,$B304),SUMIFS(Fact_PreSortWeights!$E$2:$E$186,Fact_PreSortWeights!$C$2:$C$186,$A304,Fact_PreSortWeights!$B$2:$B$186,$B304))))</f>
        <v>0</v>
      </c>
      <c r="G304" s="0" t="n">
        <f aca="false">IF(AND(IF($B304="Trash",INDEX('Materials Master'!$F$2:$F$27,MATCH($C304,'Materials Master'!$A$2:$A$27,0)),IF($B304="GMPC Recycling",INDEX('Materials Master'!$G$2:$G$27,MATCH($C304,'Materials Master'!$A$2:$A$27,0)),IF($B304="Organics Recycling",INDEX('Materials Master'!$H$2:$H$27,MATCH($C304,'Materials Master'!$A$2:$A$27,0)),IF($B304="Cardboard Recycling",INDEX('Materials Master'!$I$2:$I$27,MATCH($C304,'Materials Master'!$A$2:$A$27,0)),IF($B304="Paper Recycling",INDEX('Materials Master'!$J$2:$J$27,MATCH($C304,'Materials Master'!$A$2:$A$27,0)),IF($B304="Terracycle",INDEX('Materials Master'!$K$2:$K$27,MATCH($C304,'Materials Master'!$A$2:$A$27,0)),"No"))))))="Yes",INDEX('Materials Master'!$E$2:$E$27,MATCH($C304,'Materials Master'!$A$2:$A$27,0))="Yes",$B304&lt;&gt;"Trash"),1,0)</f>
        <v>0</v>
      </c>
      <c r="H304" s="0" t="str">
        <f aca="false">INDEX('Materials Master'!$E$2:$E$27,MATCH($C304,'Materials Master'!$A$2:$A$27,0))</f>
        <v>Yes</v>
      </c>
      <c r="I304" s="0" t="str">
        <f aca="false">IFERROR(INDEX(Areas!$C$2:$C$6,MATCH($A304,Areas!$B$2:$B$6,0)),"")</f>
        <v>BOH</v>
      </c>
      <c r="J304" s="0" t="n">
        <f aca="false">IF(IF($B304="Trash",INDEX('Materials Master'!$F$2:$F$27,MATCH($C304,'Materials Master'!$A$2:$A$27,0)),IF($B304="GMPC Recycling",INDEX('Materials Master'!$G$2:$G$27,MATCH($C304,'Materials Master'!$A$2:$A$27,0)),IF($B304="Organics Recycling",INDEX('Materials Master'!$H$2:$H$27,MATCH($C304,'Materials Master'!$A$2:$A$27,0)),IF($B304="Cardboard Recycling",INDEX('Materials Master'!$I$2:$I$27,MATCH($C304,'Materials Master'!$A$2:$A$27,0)),IF($B304="Paper Recycling",INDEX('Materials Master'!$J$2:$J$27,MATCH($C304,'Materials Master'!$A$2:$A$27,0)),IF($B304="Terracycle",INDEX('Materials Master'!$K$2:$K$27,MATCH($C304,'Materials Master'!$A$2:$A$27,0)),"No"))))))="Yes",1,0)</f>
        <v>0</v>
      </c>
    </row>
    <row r="305" customFormat="false" ht="15" hidden="false" customHeight="false" outlineLevel="0" collapsed="false">
      <c r="A305" s="0" t="s">
        <v>95</v>
      </c>
      <c r="B305" s="0" t="s">
        <v>108</v>
      </c>
      <c r="C305" s="0" t="s">
        <v>69</v>
      </c>
      <c r="D305" s="0" t="str">
        <f aca="false">IFERROR(INDEX('Materials Master'!$B$2:$B$27,MATCH($C305,'Materials Master'!$A$2:$A$27,0)),"")</f>
        <v>Paper Fibers and Food-Soiled Paper (FSP)</v>
      </c>
      <c r="E305" s="0" t="str">
        <f aca="false">IFERROR(INDEX('Materials Master'!$C$2:$C$27,MATCH($C305,'Materials Master'!$A$2:$A$27,0)),"")</f>
        <v>Organics</v>
      </c>
      <c r="F305" s="0" t="n">
        <f aca="false">IF(SUMIFS(Fact_SortedWeights!$E$2:$E$89,Fact_SortedWeights!$C$2:$C$89,$A305,Fact_SortedWeights!$B$2:$B$89,$B305)=0,0,SUMIFS(Fact_SortedWeights!$E$2:$E$89,Fact_SortedWeights!$C$2:$C$89,$A305,Fact_SortedWeights!$B$2:$B$89,$B305,Fact_SortedWeights!$D$2:$D$89,$C305)/SUMIFS(Fact_SortedWeights!$E$2:$E$89,Fact_SortedWeights!$C$2:$C$89,$A305,Fact_SortedWeights!$B$2:$B$89,$B305)*(IF($B305="Cardboard Recycling",SUMIFS(Fact_SortedWeights!$E$2:$E$89,Fact_SortedWeights!$C$2:$C$89,$A305,Fact_SortedWeights!$B$2:$B$89,$B305),SUMIFS(Fact_PreSortWeights!$E$2:$E$186,Fact_PreSortWeights!$C$2:$C$186,$A305,Fact_PreSortWeights!$B$2:$B$186,$B305))))</f>
        <v>0</v>
      </c>
      <c r="G305" s="0" t="n">
        <f aca="false">IF(AND(IF($B305="Trash",INDEX('Materials Master'!$F$2:$F$27,MATCH($C305,'Materials Master'!$A$2:$A$27,0)),IF($B305="GMPC Recycling",INDEX('Materials Master'!$G$2:$G$27,MATCH($C305,'Materials Master'!$A$2:$A$27,0)),IF($B305="Organics Recycling",INDEX('Materials Master'!$H$2:$H$27,MATCH($C305,'Materials Master'!$A$2:$A$27,0)),IF($B305="Cardboard Recycling",INDEX('Materials Master'!$I$2:$I$27,MATCH($C305,'Materials Master'!$A$2:$A$27,0)),IF($B305="Paper Recycling",INDEX('Materials Master'!$J$2:$J$27,MATCH($C305,'Materials Master'!$A$2:$A$27,0)),IF($B305="Terracycle",INDEX('Materials Master'!$K$2:$K$27,MATCH($C305,'Materials Master'!$A$2:$A$27,0)),"No"))))))="Yes",INDEX('Materials Master'!$E$2:$E$27,MATCH($C305,'Materials Master'!$A$2:$A$27,0))="Yes",$B305&lt;&gt;"Trash"),1,0)</f>
        <v>0</v>
      </c>
      <c r="H305" s="0" t="str">
        <f aca="false">INDEX('Materials Master'!$E$2:$E$27,MATCH($C305,'Materials Master'!$A$2:$A$27,0))</f>
        <v>No</v>
      </c>
      <c r="I305" s="0" t="str">
        <f aca="false">IFERROR(INDEX(Areas!$C$2:$C$6,MATCH($A305,Areas!$B$2:$B$6,0)),"")</f>
        <v>BOH</v>
      </c>
      <c r="J305" s="0" t="n">
        <f aca="false">IF(IF($B305="Trash",INDEX('Materials Master'!$F$2:$F$27,MATCH($C305,'Materials Master'!$A$2:$A$27,0)),IF($B305="GMPC Recycling",INDEX('Materials Master'!$G$2:$G$27,MATCH($C305,'Materials Master'!$A$2:$A$27,0)),IF($B305="Organics Recycling",INDEX('Materials Master'!$H$2:$H$27,MATCH($C305,'Materials Master'!$A$2:$A$27,0)),IF($B305="Cardboard Recycling",INDEX('Materials Master'!$I$2:$I$27,MATCH($C305,'Materials Master'!$A$2:$A$27,0)),IF($B305="Paper Recycling",INDEX('Materials Master'!$J$2:$J$27,MATCH($C305,'Materials Master'!$A$2:$A$27,0)),IF($B305="Terracycle",INDEX('Materials Master'!$K$2:$K$27,MATCH($C305,'Materials Master'!$A$2:$A$27,0)),"No"))))))="Yes",1,0)</f>
        <v>0</v>
      </c>
    </row>
    <row r="306" customFormat="false" ht="15" hidden="false" customHeight="false" outlineLevel="0" collapsed="false">
      <c r="A306" s="0" t="s">
        <v>95</v>
      </c>
      <c r="B306" s="0" t="s">
        <v>108</v>
      </c>
      <c r="C306" s="0" t="s">
        <v>71</v>
      </c>
      <c r="D306" s="0" t="str">
        <f aca="false">IFERROR(INDEX('Materials Master'!$B$2:$B$27,MATCH($C306,'Materials Master'!$A$2:$A$27,0)),"")</f>
        <v>Fiber-based Compostable Serviceware</v>
      </c>
      <c r="E306" s="0" t="str">
        <f aca="false">IFERROR(INDEX('Materials Master'!$C$2:$C$27,MATCH($C306,'Materials Master'!$A$2:$A$27,0)),"")</f>
        <v>Organics</v>
      </c>
      <c r="F306" s="0" t="n">
        <f aca="false">IF(SUMIFS(Fact_SortedWeights!$E$2:$E$89,Fact_SortedWeights!$C$2:$C$89,$A306,Fact_SortedWeights!$B$2:$B$89,$B306)=0,0,SUMIFS(Fact_SortedWeights!$E$2:$E$89,Fact_SortedWeights!$C$2:$C$89,$A306,Fact_SortedWeights!$B$2:$B$89,$B306,Fact_SortedWeights!$D$2:$D$89,$C306)/SUMIFS(Fact_SortedWeights!$E$2:$E$89,Fact_SortedWeights!$C$2:$C$89,$A306,Fact_SortedWeights!$B$2:$B$89,$B306)*(IF($B306="Cardboard Recycling",SUMIFS(Fact_SortedWeights!$E$2:$E$89,Fact_SortedWeights!$C$2:$C$89,$A306,Fact_SortedWeights!$B$2:$B$89,$B306),SUMIFS(Fact_PreSortWeights!$E$2:$E$186,Fact_PreSortWeights!$C$2:$C$186,$A306,Fact_PreSortWeights!$B$2:$B$186,$B306))))</f>
        <v>0</v>
      </c>
      <c r="G306" s="0" t="n">
        <f aca="false">IF(AND(IF($B306="Trash",INDEX('Materials Master'!$F$2:$F$27,MATCH($C306,'Materials Master'!$A$2:$A$27,0)),IF($B306="GMPC Recycling",INDEX('Materials Master'!$G$2:$G$27,MATCH($C306,'Materials Master'!$A$2:$A$27,0)),IF($B306="Organics Recycling",INDEX('Materials Master'!$H$2:$H$27,MATCH($C306,'Materials Master'!$A$2:$A$27,0)),IF($B306="Cardboard Recycling",INDEX('Materials Master'!$I$2:$I$27,MATCH($C306,'Materials Master'!$A$2:$A$27,0)),IF($B306="Paper Recycling",INDEX('Materials Master'!$J$2:$J$27,MATCH($C306,'Materials Master'!$A$2:$A$27,0)),IF($B306="Terracycle",INDEX('Materials Master'!$K$2:$K$27,MATCH($C306,'Materials Master'!$A$2:$A$27,0)),"No"))))))="Yes",INDEX('Materials Master'!$E$2:$E$27,MATCH($C306,'Materials Master'!$A$2:$A$27,0))="Yes",$B306&lt;&gt;"Trash"),1,0)</f>
        <v>0</v>
      </c>
      <c r="H306" s="0" t="str">
        <f aca="false">INDEX('Materials Master'!$E$2:$E$27,MATCH($C306,'Materials Master'!$A$2:$A$27,0))</f>
        <v>No</v>
      </c>
      <c r="I306" s="0" t="str">
        <f aca="false">IFERROR(INDEX(Areas!$C$2:$C$6,MATCH($A306,Areas!$B$2:$B$6,0)),"")</f>
        <v>BOH</v>
      </c>
      <c r="J306" s="0" t="n">
        <f aca="false">IF(IF($B306="Trash",INDEX('Materials Master'!$F$2:$F$27,MATCH($C306,'Materials Master'!$A$2:$A$27,0)),IF($B306="GMPC Recycling",INDEX('Materials Master'!$G$2:$G$27,MATCH($C306,'Materials Master'!$A$2:$A$27,0)),IF($B306="Organics Recycling",INDEX('Materials Master'!$H$2:$H$27,MATCH($C306,'Materials Master'!$A$2:$A$27,0)),IF($B306="Cardboard Recycling",INDEX('Materials Master'!$I$2:$I$27,MATCH($C306,'Materials Master'!$A$2:$A$27,0)),IF($B306="Paper Recycling",INDEX('Materials Master'!$J$2:$J$27,MATCH($C306,'Materials Master'!$A$2:$A$27,0)),IF($B306="Terracycle",INDEX('Materials Master'!$K$2:$K$27,MATCH($C306,'Materials Master'!$A$2:$A$27,0)),"No"))))))="Yes",1,0)</f>
        <v>0</v>
      </c>
    </row>
    <row r="307" customFormat="false" ht="15" hidden="false" customHeight="false" outlineLevel="0" collapsed="false">
      <c r="A307" s="0" t="s">
        <v>95</v>
      </c>
      <c r="B307" s="0" t="s">
        <v>108</v>
      </c>
      <c r="C307" s="0" t="s">
        <v>73</v>
      </c>
      <c r="D307" s="0" t="str">
        <f aca="false">IFERROR(INDEX('Materials Master'!$B$2:$B$27,MATCH($C307,'Materials Master'!$A$2:$A$27,0)),"")</f>
        <v>PLA Compostable Serviceware</v>
      </c>
      <c r="E307" s="0" t="str">
        <f aca="false">IFERROR(INDEX('Materials Master'!$C$2:$C$27,MATCH($C307,'Materials Master'!$A$2:$A$27,0)),"")</f>
        <v>Organics</v>
      </c>
      <c r="F307" s="0" t="n">
        <f aca="false">IF(SUMIFS(Fact_SortedWeights!$E$2:$E$89,Fact_SortedWeights!$C$2:$C$89,$A307,Fact_SortedWeights!$B$2:$B$89,$B307)=0,0,SUMIFS(Fact_SortedWeights!$E$2:$E$89,Fact_SortedWeights!$C$2:$C$89,$A307,Fact_SortedWeights!$B$2:$B$89,$B307,Fact_SortedWeights!$D$2:$D$89,$C307)/SUMIFS(Fact_SortedWeights!$E$2:$E$89,Fact_SortedWeights!$C$2:$C$89,$A307,Fact_SortedWeights!$B$2:$B$89,$B307)*(IF($B307="Cardboard Recycling",SUMIFS(Fact_SortedWeights!$E$2:$E$89,Fact_SortedWeights!$C$2:$C$89,$A307,Fact_SortedWeights!$B$2:$B$89,$B307),SUMIFS(Fact_PreSortWeights!$E$2:$E$186,Fact_PreSortWeights!$C$2:$C$186,$A307,Fact_PreSortWeights!$B$2:$B$186,$B307))))</f>
        <v>0</v>
      </c>
      <c r="G307" s="0" t="n">
        <f aca="false">IF(AND(IF($B307="Trash",INDEX('Materials Master'!$F$2:$F$27,MATCH($C307,'Materials Master'!$A$2:$A$27,0)),IF($B307="GMPC Recycling",INDEX('Materials Master'!$G$2:$G$27,MATCH($C307,'Materials Master'!$A$2:$A$27,0)),IF($B307="Organics Recycling",INDEX('Materials Master'!$H$2:$H$27,MATCH($C307,'Materials Master'!$A$2:$A$27,0)),IF($B307="Cardboard Recycling",INDEX('Materials Master'!$I$2:$I$27,MATCH($C307,'Materials Master'!$A$2:$A$27,0)),IF($B307="Paper Recycling",INDEX('Materials Master'!$J$2:$J$27,MATCH($C307,'Materials Master'!$A$2:$A$27,0)),IF($B307="Terracycle",INDEX('Materials Master'!$K$2:$K$27,MATCH($C307,'Materials Master'!$A$2:$A$27,0)),"No"))))))="Yes",INDEX('Materials Master'!$E$2:$E$27,MATCH($C307,'Materials Master'!$A$2:$A$27,0))="Yes",$B307&lt;&gt;"Trash"),1,0)</f>
        <v>0</v>
      </c>
      <c r="H307" s="0" t="str">
        <f aca="false">INDEX('Materials Master'!$E$2:$E$27,MATCH($C307,'Materials Master'!$A$2:$A$27,0))</f>
        <v>No</v>
      </c>
      <c r="I307" s="0" t="str">
        <f aca="false">IFERROR(INDEX(Areas!$C$2:$C$6,MATCH($A307,Areas!$B$2:$B$6,0)),"")</f>
        <v>BOH</v>
      </c>
      <c r="J307" s="0" t="n">
        <f aca="false">IF(IF($B307="Trash",INDEX('Materials Master'!$F$2:$F$27,MATCH($C307,'Materials Master'!$A$2:$A$27,0)),IF($B307="GMPC Recycling",INDEX('Materials Master'!$G$2:$G$27,MATCH($C307,'Materials Master'!$A$2:$A$27,0)),IF($B307="Organics Recycling",INDEX('Materials Master'!$H$2:$H$27,MATCH($C307,'Materials Master'!$A$2:$A$27,0)),IF($B307="Cardboard Recycling",INDEX('Materials Master'!$I$2:$I$27,MATCH($C307,'Materials Master'!$A$2:$A$27,0)),IF($B307="Paper Recycling",INDEX('Materials Master'!$J$2:$J$27,MATCH($C307,'Materials Master'!$A$2:$A$27,0)),IF($B307="Terracycle",INDEX('Materials Master'!$K$2:$K$27,MATCH($C307,'Materials Master'!$A$2:$A$27,0)),"No"))))))="Yes",1,0)</f>
        <v>0</v>
      </c>
    </row>
    <row r="308" customFormat="false" ht="15" hidden="false" customHeight="false" outlineLevel="0" collapsed="false">
      <c r="A308" s="0" t="s">
        <v>95</v>
      </c>
      <c r="B308" s="0" t="s">
        <v>108</v>
      </c>
      <c r="C308" s="0" t="s">
        <v>75</v>
      </c>
      <c r="D308" s="0" t="str">
        <f aca="false">IFERROR(INDEX('Materials Master'!$B$2:$B$27,MATCH($C308,'Materials Master'!$A$2:$A$27,0)),"")</f>
        <v>E/U Waste</v>
      </c>
      <c r="E308" s="0" t="str">
        <f aca="false">IFERROR(INDEX('Materials Master'!$C$2:$C$27,MATCH($C308,'Materials Master'!$A$2:$A$27,0)),"")</f>
        <v>Unacceptable</v>
      </c>
      <c r="F308" s="0" t="n">
        <f aca="false">IF(SUMIFS(Fact_SortedWeights!$E$2:$E$89,Fact_SortedWeights!$C$2:$C$89,$A308,Fact_SortedWeights!$B$2:$B$89,$B308)=0,0,SUMIFS(Fact_SortedWeights!$E$2:$E$89,Fact_SortedWeights!$C$2:$C$89,$A308,Fact_SortedWeights!$B$2:$B$89,$B308,Fact_SortedWeights!$D$2:$D$89,$C308)/SUMIFS(Fact_SortedWeights!$E$2:$E$89,Fact_SortedWeights!$C$2:$C$89,$A308,Fact_SortedWeights!$B$2:$B$89,$B308)*(IF($B308="Cardboard Recycling",SUMIFS(Fact_SortedWeights!$E$2:$E$89,Fact_SortedWeights!$C$2:$C$89,$A308,Fact_SortedWeights!$B$2:$B$89,$B308),SUMIFS(Fact_PreSortWeights!$E$2:$E$186,Fact_PreSortWeights!$C$2:$C$186,$A308,Fact_PreSortWeights!$B$2:$B$186,$B308))))</f>
        <v>0</v>
      </c>
      <c r="G308" s="0" t="n">
        <f aca="false">IF(AND(IF($B308="Trash",INDEX('Materials Master'!$F$2:$F$27,MATCH($C308,'Materials Master'!$A$2:$A$27,0)),IF($B308="GMPC Recycling",INDEX('Materials Master'!$G$2:$G$27,MATCH($C308,'Materials Master'!$A$2:$A$27,0)),IF($B308="Organics Recycling",INDEX('Materials Master'!$H$2:$H$27,MATCH($C308,'Materials Master'!$A$2:$A$27,0)),IF($B308="Cardboard Recycling",INDEX('Materials Master'!$I$2:$I$27,MATCH($C308,'Materials Master'!$A$2:$A$27,0)),IF($B308="Paper Recycling",INDEX('Materials Master'!$J$2:$J$27,MATCH($C308,'Materials Master'!$A$2:$A$27,0)),IF($B308="Terracycle",INDEX('Materials Master'!$K$2:$K$27,MATCH($C308,'Materials Master'!$A$2:$A$27,0)),"No"))))))="Yes",INDEX('Materials Master'!$E$2:$E$27,MATCH($C308,'Materials Master'!$A$2:$A$27,0))="Yes",$B308&lt;&gt;"Trash"),1,0)</f>
        <v>0</v>
      </c>
      <c r="H308" s="0" t="str">
        <f aca="false">INDEX('Materials Master'!$E$2:$E$27,MATCH($C308,'Materials Master'!$A$2:$A$27,0))</f>
        <v>No</v>
      </c>
      <c r="I308" s="0" t="str">
        <f aca="false">IFERROR(INDEX(Areas!$C$2:$C$6,MATCH($A308,Areas!$B$2:$B$6,0)),"")</f>
        <v>BOH</v>
      </c>
      <c r="J308" s="0" t="n">
        <f aca="false">IF(IF($B308="Trash",INDEX('Materials Master'!$F$2:$F$27,MATCH($C308,'Materials Master'!$A$2:$A$27,0)),IF($B308="GMPC Recycling",INDEX('Materials Master'!$G$2:$G$27,MATCH($C308,'Materials Master'!$A$2:$A$27,0)),IF($B308="Organics Recycling",INDEX('Materials Master'!$H$2:$H$27,MATCH($C308,'Materials Master'!$A$2:$A$27,0)),IF($B308="Cardboard Recycling",INDEX('Materials Master'!$I$2:$I$27,MATCH($C308,'Materials Master'!$A$2:$A$27,0)),IF($B308="Paper Recycling",INDEX('Materials Master'!$J$2:$J$27,MATCH($C308,'Materials Master'!$A$2:$A$27,0)),IF($B308="Terracycle",INDEX('Materials Master'!$K$2:$K$27,MATCH($C308,'Materials Master'!$A$2:$A$27,0)),"No"))))))="Yes",1,0)</f>
        <v>0</v>
      </c>
    </row>
    <row r="309" customFormat="false" ht="15" hidden="false" customHeight="false" outlineLevel="0" collapsed="false">
      <c r="A309" s="0" t="s">
        <v>95</v>
      </c>
      <c r="B309" s="0" t="s">
        <v>108</v>
      </c>
      <c r="C309" s="0" t="s">
        <v>78</v>
      </c>
      <c r="D309" s="0" t="str">
        <f aca="false">IFERROR(INDEX('Materials Master'!$B$2:$B$27,MATCH($C309,'Materials Master'!$A$2:$A$27,0)),"")</f>
        <v>Textiles</v>
      </c>
      <c r="E309" s="0" t="str">
        <f aca="false">IFERROR(INDEX('Materials Master'!$C$2:$C$27,MATCH($C309,'Materials Master'!$A$2:$A$27,0)),"")</f>
        <v>Unacceptable</v>
      </c>
      <c r="F309" s="0" t="n">
        <f aca="false">IF(SUMIFS(Fact_SortedWeights!$E$2:$E$89,Fact_SortedWeights!$C$2:$C$89,$A309,Fact_SortedWeights!$B$2:$B$89,$B309)=0,0,SUMIFS(Fact_SortedWeights!$E$2:$E$89,Fact_SortedWeights!$C$2:$C$89,$A309,Fact_SortedWeights!$B$2:$B$89,$B309,Fact_SortedWeights!$D$2:$D$89,$C309)/SUMIFS(Fact_SortedWeights!$E$2:$E$89,Fact_SortedWeights!$C$2:$C$89,$A309,Fact_SortedWeights!$B$2:$B$89,$B309)*(IF($B309="Cardboard Recycling",SUMIFS(Fact_SortedWeights!$E$2:$E$89,Fact_SortedWeights!$C$2:$C$89,$A309,Fact_SortedWeights!$B$2:$B$89,$B309),SUMIFS(Fact_PreSortWeights!$E$2:$E$186,Fact_PreSortWeights!$C$2:$C$186,$A309,Fact_PreSortWeights!$B$2:$B$186,$B309))))</f>
        <v>0</v>
      </c>
      <c r="G309" s="0" t="n">
        <f aca="false">IF(AND(IF($B309="Trash",INDEX('Materials Master'!$F$2:$F$27,MATCH($C309,'Materials Master'!$A$2:$A$27,0)),IF($B309="GMPC Recycling",INDEX('Materials Master'!$G$2:$G$27,MATCH($C309,'Materials Master'!$A$2:$A$27,0)),IF($B309="Organics Recycling",INDEX('Materials Master'!$H$2:$H$27,MATCH($C309,'Materials Master'!$A$2:$A$27,0)),IF($B309="Cardboard Recycling",INDEX('Materials Master'!$I$2:$I$27,MATCH($C309,'Materials Master'!$A$2:$A$27,0)),IF($B309="Paper Recycling",INDEX('Materials Master'!$J$2:$J$27,MATCH($C309,'Materials Master'!$A$2:$A$27,0)),IF($B309="Terracycle",INDEX('Materials Master'!$K$2:$K$27,MATCH($C309,'Materials Master'!$A$2:$A$27,0)),"No"))))))="Yes",INDEX('Materials Master'!$E$2:$E$27,MATCH($C309,'Materials Master'!$A$2:$A$27,0))="Yes",$B309&lt;&gt;"Trash"),1,0)</f>
        <v>0</v>
      </c>
      <c r="H309" s="0" t="str">
        <f aca="false">INDEX('Materials Master'!$E$2:$E$27,MATCH($C309,'Materials Master'!$A$2:$A$27,0))</f>
        <v>No</v>
      </c>
      <c r="I309" s="0" t="str">
        <f aca="false">IFERROR(INDEX(Areas!$C$2:$C$6,MATCH($A309,Areas!$B$2:$B$6,0)),"")</f>
        <v>BOH</v>
      </c>
      <c r="J309" s="0" t="n">
        <f aca="false">IF(IF($B309="Trash",INDEX('Materials Master'!$F$2:$F$27,MATCH($C309,'Materials Master'!$A$2:$A$27,0)),IF($B309="GMPC Recycling",INDEX('Materials Master'!$G$2:$G$27,MATCH($C309,'Materials Master'!$A$2:$A$27,0)),IF($B309="Organics Recycling",INDEX('Materials Master'!$H$2:$H$27,MATCH($C309,'Materials Master'!$A$2:$A$27,0)),IF($B309="Cardboard Recycling",INDEX('Materials Master'!$I$2:$I$27,MATCH($C309,'Materials Master'!$A$2:$A$27,0)),IF($B309="Paper Recycling",INDEX('Materials Master'!$J$2:$J$27,MATCH($C309,'Materials Master'!$A$2:$A$27,0)),IF($B309="Terracycle",INDEX('Materials Master'!$K$2:$K$27,MATCH($C309,'Materials Master'!$A$2:$A$27,0)),"No"))))))="Yes",1,0)</f>
        <v>0</v>
      </c>
    </row>
    <row r="310" customFormat="false" ht="15" hidden="false" customHeight="false" outlineLevel="0" collapsed="false">
      <c r="A310" s="0" t="s">
        <v>95</v>
      </c>
      <c r="B310" s="0" t="s">
        <v>108</v>
      </c>
      <c r="C310" s="0" t="s">
        <v>80</v>
      </c>
      <c r="D310" s="0" t="str">
        <f aca="false">IFERROR(INDEX('Materials Master'!$B$2:$B$27,MATCH($C310,'Materials Master'!$A$2:$A$27,0)),"")</f>
        <v>Other Unacceptable (specify)</v>
      </c>
      <c r="E310" s="0" t="str">
        <f aca="false">IFERROR(INDEX('Materials Master'!$C$2:$C$27,MATCH($C310,'Materials Master'!$A$2:$A$27,0)),"")</f>
        <v>Unacceptable</v>
      </c>
      <c r="F310" s="0" t="n">
        <f aca="false">IF(SUMIFS(Fact_SortedWeights!$E$2:$E$89,Fact_SortedWeights!$C$2:$C$89,$A310,Fact_SortedWeights!$B$2:$B$89,$B310)=0,0,SUMIFS(Fact_SortedWeights!$E$2:$E$89,Fact_SortedWeights!$C$2:$C$89,$A310,Fact_SortedWeights!$B$2:$B$89,$B310,Fact_SortedWeights!$D$2:$D$89,$C310)/SUMIFS(Fact_SortedWeights!$E$2:$E$89,Fact_SortedWeights!$C$2:$C$89,$A310,Fact_SortedWeights!$B$2:$B$89,$B310)*(IF($B310="Cardboard Recycling",SUMIFS(Fact_SortedWeights!$E$2:$E$89,Fact_SortedWeights!$C$2:$C$89,$A310,Fact_SortedWeights!$B$2:$B$89,$B310),SUMIFS(Fact_PreSortWeights!$E$2:$E$186,Fact_PreSortWeights!$C$2:$C$186,$A310,Fact_PreSortWeights!$B$2:$B$186,$B310))))</f>
        <v>0</v>
      </c>
      <c r="G310" s="0" t="n">
        <f aca="false">IF(AND(IF($B310="Trash",INDEX('Materials Master'!$F$2:$F$27,MATCH($C310,'Materials Master'!$A$2:$A$27,0)),IF($B310="GMPC Recycling",INDEX('Materials Master'!$G$2:$G$27,MATCH($C310,'Materials Master'!$A$2:$A$27,0)),IF($B310="Organics Recycling",INDEX('Materials Master'!$H$2:$H$27,MATCH($C310,'Materials Master'!$A$2:$A$27,0)),IF($B310="Cardboard Recycling",INDEX('Materials Master'!$I$2:$I$27,MATCH($C310,'Materials Master'!$A$2:$A$27,0)),IF($B310="Paper Recycling",INDEX('Materials Master'!$J$2:$J$27,MATCH($C310,'Materials Master'!$A$2:$A$27,0)),IF($B310="Terracycle",INDEX('Materials Master'!$K$2:$K$27,MATCH($C310,'Materials Master'!$A$2:$A$27,0)),"No"))))))="Yes",INDEX('Materials Master'!$E$2:$E$27,MATCH($C310,'Materials Master'!$A$2:$A$27,0))="Yes",$B310&lt;&gt;"Trash"),1,0)</f>
        <v>0</v>
      </c>
      <c r="H310" s="0" t="str">
        <f aca="false">INDEX('Materials Master'!$E$2:$E$27,MATCH($C310,'Materials Master'!$A$2:$A$27,0))</f>
        <v>No</v>
      </c>
      <c r="I310" s="0" t="str">
        <f aca="false">IFERROR(INDEX(Areas!$C$2:$C$6,MATCH($A310,Areas!$B$2:$B$6,0)),"")</f>
        <v>BOH</v>
      </c>
      <c r="J310" s="0" t="n">
        <f aca="false">IF(IF($B310="Trash",INDEX('Materials Master'!$F$2:$F$27,MATCH($C310,'Materials Master'!$A$2:$A$27,0)),IF($B310="GMPC Recycling",INDEX('Materials Master'!$G$2:$G$27,MATCH($C310,'Materials Master'!$A$2:$A$27,0)),IF($B310="Organics Recycling",INDEX('Materials Master'!$H$2:$H$27,MATCH($C310,'Materials Master'!$A$2:$A$27,0)),IF($B310="Cardboard Recycling",INDEX('Materials Master'!$I$2:$I$27,MATCH($C310,'Materials Master'!$A$2:$A$27,0)),IF($B310="Paper Recycling",INDEX('Materials Master'!$J$2:$J$27,MATCH($C310,'Materials Master'!$A$2:$A$27,0)),IF($B310="Terracycle",INDEX('Materials Master'!$K$2:$K$27,MATCH($C310,'Materials Master'!$A$2:$A$27,0)),"No"))))))="Yes",1,0)</f>
        <v>0</v>
      </c>
    </row>
    <row r="311" customFormat="false" ht="15" hidden="false" customHeight="false" outlineLevel="0" collapsed="false">
      <c r="A311" s="0" t="s">
        <v>95</v>
      </c>
      <c r="B311" s="0" t="s">
        <v>108</v>
      </c>
      <c r="C311" s="0" t="s">
        <v>82</v>
      </c>
      <c r="D311" s="0" t="str">
        <f aca="false">IFERROR(INDEX('Materials Master'!$B$2:$B$27,MATCH($C311,'Materials Master'!$A$2:$A$27,0)),"")</f>
        <v>Liquids</v>
      </c>
      <c r="E311" s="0" t="str">
        <f aca="false">IFERROR(INDEX('Materials Master'!$C$2:$C$27,MATCH($C311,'Materials Master'!$A$2:$A$27,0)),"")</f>
        <v>Unacceptable</v>
      </c>
      <c r="F311" s="0" t="n">
        <f aca="false">IF(SUMIFS(Fact_SortedWeights!$E$2:$E$89,Fact_SortedWeights!$C$2:$C$89,$A311,Fact_SortedWeights!$B$2:$B$89,$B311)=0,0,SUMIFS(Fact_SortedWeights!$E$2:$E$89,Fact_SortedWeights!$C$2:$C$89,$A311,Fact_SortedWeights!$B$2:$B$89,$B311,Fact_SortedWeights!$D$2:$D$89,$C311)/SUMIFS(Fact_SortedWeights!$E$2:$E$89,Fact_SortedWeights!$C$2:$C$89,$A311,Fact_SortedWeights!$B$2:$B$89,$B311)*(IF($B311="Cardboard Recycling",SUMIFS(Fact_SortedWeights!$E$2:$E$89,Fact_SortedWeights!$C$2:$C$89,$A311,Fact_SortedWeights!$B$2:$B$89,$B311),SUMIFS(Fact_PreSortWeights!$E$2:$E$186,Fact_PreSortWeights!$C$2:$C$186,$A311,Fact_PreSortWeights!$B$2:$B$186,$B311))))</f>
        <v>0</v>
      </c>
      <c r="G311" s="0" t="n">
        <f aca="false">IF(AND(IF($B311="Trash",INDEX('Materials Master'!$F$2:$F$27,MATCH($C311,'Materials Master'!$A$2:$A$27,0)),IF($B311="GMPC Recycling",INDEX('Materials Master'!$G$2:$G$27,MATCH($C311,'Materials Master'!$A$2:$A$27,0)),IF($B311="Organics Recycling",INDEX('Materials Master'!$H$2:$H$27,MATCH($C311,'Materials Master'!$A$2:$A$27,0)),IF($B311="Cardboard Recycling",INDEX('Materials Master'!$I$2:$I$27,MATCH($C311,'Materials Master'!$A$2:$A$27,0)),IF($B311="Paper Recycling",INDEX('Materials Master'!$J$2:$J$27,MATCH($C311,'Materials Master'!$A$2:$A$27,0)),IF($B311="Terracycle",INDEX('Materials Master'!$K$2:$K$27,MATCH($C311,'Materials Master'!$A$2:$A$27,0)),"No"))))))="Yes",INDEX('Materials Master'!$E$2:$E$27,MATCH($C311,'Materials Master'!$A$2:$A$27,0))="Yes",$B311&lt;&gt;"Trash"),1,0)</f>
        <v>0</v>
      </c>
      <c r="H311" s="0" t="str">
        <f aca="false">INDEX('Materials Master'!$E$2:$E$27,MATCH($C311,'Materials Master'!$A$2:$A$27,0))</f>
        <v>No</v>
      </c>
      <c r="I311" s="0" t="str">
        <f aca="false">IFERROR(INDEX(Areas!$C$2:$C$6,MATCH($A311,Areas!$B$2:$B$6,0)),"")</f>
        <v>BOH</v>
      </c>
      <c r="J311" s="0" t="n">
        <f aca="false">IF(IF($B311="Trash",INDEX('Materials Master'!$F$2:$F$27,MATCH($C311,'Materials Master'!$A$2:$A$27,0)),IF($B311="GMPC Recycling",INDEX('Materials Master'!$G$2:$G$27,MATCH($C311,'Materials Master'!$A$2:$A$27,0)),IF($B311="Organics Recycling",INDEX('Materials Master'!$H$2:$H$27,MATCH($C311,'Materials Master'!$A$2:$A$27,0)),IF($B311="Cardboard Recycling",INDEX('Materials Master'!$I$2:$I$27,MATCH($C311,'Materials Master'!$A$2:$A$27,0)),IF($B311="Paper Recycling",INDEX('Materials Master'!$J$2:$J$27,MATCH($C311,'Materials Master'!$A$2:$A$27,0)),IF($B311="Terracycle",INDEX('Materials Master'!$K$2:$K$27,MATCH($C311,'Materials Master'!$A$2:$A$27,0)),"No"))))))="Yes",1,0)</f>
        <v>0</v>
      </c>
    </row>
    <row r="312" customFormat="false" ht="15" hidden="false" customHeight="false" outlineLevel="0" collapsed="false">
      <c r="A312" s="0" t="s">
        <v>95</v>
      </c>
      <c r="B312" s="0" t="s">
        <v>108</v>
      </c>
      <c r="C312" s="0" t="s">
        <v>84</v>
      </c>
      <c r="D312" s="0" t="str">
        <f aca="false">IFERROR(INDEX('Materials Master'!$B$2:$B$27,MATCH($C312,'Materials Master'!$A$2:$A$27,0)),"")</f>
        <v>Snack Wrappers (Composites)</v>
      </c>
      <c r="E312" s="0" t="str">
        <f aca="false">IFERROR(INDEX('Materials Master'!$C$2:$C$27,MATCH($C312,'Materials Master'!$A$2:$A$27,0)),"")</f>
        <v>Other</v>
      </c>
      <c r="F312" s="0" t="n">
        <f aca="false">IF(SUMIFS(Fact_SortedWeights!$E$2:$E$89,Fact_SortedWeights!$C$2:$C$89,$A312,Fact_SortedWeights!$B$2:$B$89,$B312)=0,0,SUMIFS(Fact_SortedWeights!$E$2:$E$89,Fact_SortedWeights!$C$2:$C$89,$A312,Fact_SortedWeights!$B$2:$B$89,$B312,Fact_SortedWeights!$D$2:$D$89,$C312)/SUMIFS(Fact_SortedWeights!$E$2:$E$89,Fact_SortedWeights!$C$2:$C$89,$A312,Fact_SortedWeights!$B$2:$B$89,$B312)*(IF($B312="Cardboard Recycling",SUMIFS(Fact_SortedWeights!$E$2:$E$89,Fact_SortedWeights!$C$2:$C$89,$A312,Fact_SortedWeights!$B$2:$B$89,$B312),SUMIFS(Fact_PreSortWeights!$E$2:$E$186,Fact_PreSortWeights!$C$2:$C$186,$A312,Fact_PreSortWeights!$B$2:$B$186,$B312))))</f>
        <v>0</v>
      </c>
      <c r="G312" s="0" t="n">
        <f aca="false">IF(AND(IF($B312="Trash",INDEX('Materials Master'!$F$2:$F$27,MATCH($C312,'Materials Master'!$A$2:$A$27,0)),IF($B312="GMPC Recycling",INDEX('Materials Master'!$G$2:$G$27,MATCH($C312,'Materials Master'!$A$2:$A$27,0)),IF($B312="Organics Recycling",INDEX('Materials Master'!$H$2:$H$27,MATCH($C312,'Materials Master'!$A$2:$A$27,0)),IF($B312="Cardboard Recycling",INDEX('Materials Master'!$I$2:$I$27,MATCH($C312,'Materials Master'!$A$2:$A$27,0)),IF($B312="Paper Recycling",INDEX('Materials Master'!$J$2:$J$27,MATCH($C312,'Materials Master'!$A$2:$A$27,0)),IF($B312="Terracycle",INDEX('Materials Master'!$K$2:$K$27,MATCH($C312,'Materials Master'!$A$2:$A$27,0)),"No"))))))="Yes",INDEX('Materials Master'!$E$2:$E$27,MATCH($C312,'Materials Master'!$A$2:$A$27,0))="Yes",$B312&lt;&gt;"Trash"),1,0)</f>
        <v>1</v>
      </c>
      <c r="H312" s="0" t="str">
        <f aca="false">INDEX('Materials Master'!$E$2:$E$27,MATCH($C312,'Materials Master'!$A$2:$A$27,0))</f>
        <v>Yes</v>
      </c>
      <c r="I312" s="0" t="str">
        <f aca="false">IFERROR(INDEX(Areas!$C$2:$C$6,MATCH($A312,Areas!$B$2:$B$6,0)),"")</f>
        <v>BOH</v>
      </c>
      <c r="J312" s="0" t="n">
        <f aca="false">IF(IF($B312="Trash",INDEX('Materials Master'!$F$2:$F$27,MATCH($C312,'Materials Master'!$A$2:$A$27,0)),IF($B312="GMPC Recycling",INDEX('Materials Master'!$G$2:$G$27,MATCH($C312,'Materials Master'!$A$2:$A$27,0)),IF($B312="Organics Recycling",INDEX('Materials Master'!$H$2:$H$27,MATCH($C312,'Materials Master'!$A$2:$A$27,0)),IF($B312="Cardboard Recycling",INDEX('Materials Master'!$I$2:$I$27,MATCH($C312,'Materials Master'!$A$2:$A$27,0)),IF($B312="Paper Recycling",INDEX('Materials Master'!$J$2:$J$27,MATCH($C312,'Materials Master'!$A$2:$A$27,0)),IF($B312="Terracycle",INDEX('Materials Master'!$K$2:$K$27,MATCH($C312,'Materials Master'!$A$2:$A$27,0)),"No"))))))="Yes",1,0)</f>
        <v>1</v>
      </c>
    </row>
    <row r="313" customFormat="false" ht="15" hidden="false" customHeight="false" outlineLevel="0" collapsed="false">
      <c r="A313" s="0" t="s">
        <v>95</v>
      </c>
      <c r="B313" s="0" t="s">
        <v>108</v>
      </c>
      <c r="C313" s="0" t="s">
        <v>87</v>
      </c>
      <c r="D313" s="0" t="str">
        <f aca="false">IFERROR(INDEX('Materials Master'!$B$2:$B$27,MATCH($C313,'Materials Master'!$A$2:$A$27,0)),"")</f>
        <v>Other/Residual Materials</v>
      </c>
      <c r="E313" s="0" t="str">
        <f aca="false">IFERROR(INDEX('Materials Master'!$C$2:$C$27,MATCH($C313,'Materials Master'!$A$2:$A$27,0)),"")</f>
        <v>Other</v>
      </c>
      <c r="F313" s="0" t="n">
        <f aca="false">IF(SUMIFS(Fact_SortedWeights!$E$2:$E$89,Fact_SortedWeights!$C$2:$C$89,$A313,Fact_SortedWeights!$B$2:$B$89,$B313)=0,0,SUMIFS(Fact_SortedWeights!$E$2:$E$89,Fact_SortedWeights!$C$2:$C$89,$A313,Fact_SortedWeights!$B$2:$B$89,$B313,Fact_SortedWeights!$D$2:$D$89,$C313)/SUMIFS(Fact_SortedWeights!$E$2:$E$89,Fact_SortedWeights!$C$2:$C$89,$A313,Fact_SortedWeights!$B$2:$B$89,$B313)*(IF($B313="Cardboard Recycling",SUMIFS(Fact_SortedWeights!$E$2:$E$89,Fact_SortedWeights!$C$2:$C$89,$A313,Fact_SortedWeights!$B$2:$B$89,$B313),SUMIFS(Fact_PreSortWeights!$E$2:$E$186,Fact_PreSortWeights!$C$2:$C$186,$A313,Fact_PreSortWeights!$B$2:$B$186,$B313))))</f>
        <v>0</v>
      </c>
      <c r="G313" s="0" t="n">
        <f aca="false">IF(AND(IF($B313="Trash",INDEX('Materials Master'!$F$2:$F$27,MATCH($C313,'Materials Master'!$A$2:$A$27,0)),IF($B313="GMPC Recycling",INDEX('Materials Master'!$G$2:$G$27,MATCH($C313,'Materials Master'!$A$2:$A$27,0)),IF($B313="Organics Recycling",INDEX('Materials Master'!$H$2:$H$27,MATCH($C313,'Materials Master'!$A$2:$A$27,0)),IF($B313="Cardboard Recycling",INDEX('Materials Master'!$I$2:$I$27,MATCH($C313,'Materials Master'!$A$2:$A$27,0)),IF($B313="Paper Recycling",INDEX('Materials Master'!$J$2:$J$27,MATCH($C313,'Materials Master'!$A$2:$A$27,0)),IF($B313="Terracycle",INDEX('Materials Master'!$K$2:$K$27,MATCH($C313,'Materials Master'!$A$2:$A$27,0)),"No"))))))="Yes",INDEX('Materials Master'!$E$2:$E$27,MATCH($C313,'Materials Master'!$A$2:$A$27,0))="Yes",$B313&lt;&gt;"Trash"),1,0)</f>
        <v>0</v>
      </c>
      <c r="H313" s="0" t="str">
        <f aca="false">INDEX('Materials Master'!$E$2:$E$27,MATCH($C313,'Materials Master'!$A$2:$A$27,0))</f>
        <v>No</v>
      </c>
      <c r="I313" s="0" t="str">
        <f aca="false">IFERROR(INDEX(Areas!$C$2:$C$6,MATCH($A313,Areas!$B$2:$B$6,0)),"")</f>
        <v>BOH</v>
      </c>
      <c r="J313" s="0" t="n">
        <f aca="false">IF(IF($B313="Trash",INDEX('Materials Master'!$F$2:$F$27,MATCH($C313,'Materials Master'!$A$2:$A$27,0)),IF($B313="GMPC Recycling",INDEX('Materials Master'!$G$2:$G$27,MATCH($C313,'Materials Master'!$A$2:$A$27,0)),IF($B313="Organics Recycling",INDEX('Materials Master'!$H$2:$H$27,MATCH($C313,'Materials Master'!$A$2:$A$27,0)),IF($B313="Cardboard Recycling",INDEX('Materials Master'!$I$2:$I$27,MATCH($C313,'Materials Master'!$A$2:$A$27,0)),IF($B313="Paper Recycling",INDEX('Materials Master'!$J$2:$J$27,MATCH($C313,'Materials Master'!$A$2:$A$27,0)),IF($B313="Terracycle",INDEX('Materials Master'!$K$2:$K$27,MATCH($C313,'Materials Master'!$A$2:$A$27,0)),"No"))))))="Yes",1,0)</f>
        <v>0</v>
      </c>
    </row>
    <row r="314" customFormat="false" ht="15" hidden="false" customHeight="false" outlineLevel="0" collapsed="false">
      <c r="A314" s="0" t="s">
        <v>98</v>
      </c>
      <c r="B314" s="0" t="s">
        <v>103</v>
      </c>
      <c r="C314" s="0" t="s">
        <v>28</v>
      </c>
      <c r="D314" s="0" t="str">
        <f aca="false">IFERROR(INDEX('Materials Master'!$B$2:$B$27,MATCH($C314,'Materials Master'!$A$2:$A$27,0)),"")</f>
        <v>Corrugated Cardboard</v>
      </c>
      <c r="E314" s="0" t="str">
        <f aca="false">IFERROR(INDEX('Materials Master'!$C$2:$C$27,MATCH($C314,'Materials Master'!$A$2:$A$27,0)),"")</f>
        <v>Fibers</v>
      </c>
      <c r="F314" s="0" t="n">
        <f aca="false">IF(SUMIFS(Fact_SortedWeights!$E$2:$E$89,Fact_SortedWeights!$C$2:$C$89,$A314,Fact_SortedWeights!$B$2:$B$89,$B314)=0,0,SUMIFS(Fact_SortedWeights!$E$2:$E$89,Fact_SortedWeights!$C$2:$C$89,$A314,Fact_SortedWeights!$B$2:$B$89,$B314,Fact_SortedWeights!$D$2:$D$89,$C314)/SUMIFS(Fact_SortedWeights!$E$2:$E$89,Fact_SortedWeights!$C$2:$C$89,$A314,Fact_SortedWeights!$B$2:$B$89,$B314)*(IF($B314="Cardboard Recycling",SUMIFS(Fact_SortedWeights!$E$2:$E$89,Fact_SortedWeights!$C$2:$C$89,$A314,Fact_SortedWeights!$B$2:$B$89,$B314),SUMIFS(Fact_PreSortWeights!$E$2:$E$186,Fact_PreSortWeights!$C$2:$C$186,$A314,Fact_PreSortWeights!$B$2:$B$186,$B314))))</f>
        <v>0</v>
      </c>
      <c r="G314" s="0" t="n">
        <f aca="false">IF(AND(IF($B314="Trash",INDEX('Materials Master'!$F$2:$F$27,MATCH($C314,'Materials Master'!$A$2:$A$27,0)),IF($B314="GMPC Recycling",INDEX('Materials Master'!$G$2:$G$27,MATCH($C314,'Materials Master'!$A$2:$A$27,0)),IF($B314="Organics Recycling",INDEX('Materials Master'!$H$2:$H$27,MATCH($C314,'Materials Master'!$A$2:$A$27,0)),IF($B314="Cardboard Recycling",INDEX('Materials Master'!$I$2:$I$27,MATCH($C314,'Materials Master'!$A$2:$A$27,0)),IF($B314="Paper Recycling",INDEX('Materials Master'!$J$2:$J$27,MATCH($C314,'Materials Master'!$A$2:$A$27,0)),IF($B314="Terracycle",INDEX('Materials Master'!$K$2:$K$27,MATCH($C314,'Materials Master'!$A$2:$A$27,0)),"No"))))))="Yes",INDEX('Materials Master'!$E$2:$E$27,MATCH($C314,'Materials Master'!$A$2:$A$27,0))="Yes",$B314&lt;&gt;"Trash"),1,0)</f>
        <v>0</v>
      </c>
      <c r="H314" s="0" t="str">
        <f aca="false">INDEX('Materials Master'!$E$2:$E$27,MATCH($C314,'Materials Master'!$A$2:$A$27,0))</f>
        <v>Yes</v>
      </c>
      <c r="I314" s="0" t="str">
        <f aca="false">IFERROR(INDEX(Areas!$C$2:$C$6,MATCH($A314,Areas!$B$2:$B$6,0)),"")</f>
        <v>Rest of Building</v>
      </c>
      <c r="J314" s="0" t="n">
        <f aca="false">IF(IF($B314="Trash",INDEX('Materials Master'!$F$2:$F$27,MATCH($C314,'Materials Master'!$A$2:$A$27,0)),IF($B314="GMPC Recycling",INDEX('Materials Master'!$G$2:$G$27,MATCH($C314,'Materials Master'!$A$2:$A$27,0)),IF($B314="Organics Recycling",INDEX('Materials Master'!$H$2:$H$27,MATCH($C314,'Materials Master'!$A$2:$A$27,0)),IF($B314="Cardboard Recycling",INDEX('Materials Master'!$I$2:$I$27,MATCH($C314,'Materials Master'!$A$2:$A$27,0)),IF($B314="Paper Recycling",INDEX('Materials Master'!$J$2:$J$27,MATCH($C314,'Materials Master'!$A$2:$A$27,0)),IF($B314="Terracycle",INDEX('Materials Master'!$K$2:$K$27,MATCH($C314,'Materials Master'!$A$2:$A$27,0)),"No"))))))="Yes",1,0)</f>
        <v>0</v>
      </c>
    </row>
    <row r="315" customFormat="false" ht="15" hidden="false" customHeight="false" outlineLevel="0" collapsed="false">
      <c r="A315" s="0" t="s">
        <v>98</v>
      </c>
      <c r="B315" s="0" t="s">
        <v>103</v>
      </c>
      <c r="C315" s="0" t="s">
        <v>33</v>
      </c>
      <c r="D315" s="0" t="str">
        <f aca="false">IFERROR(INDEX('Materials Master'!$B$2:$B$27,MATCH($C315,'Materials Master'!$A$2:$A$27,0)),"")</f>
        <v>Soiled Cardboard</v>
      </c>
      <c r="E315" s="0" t="str">
        <f aca="false">IFERROR(INDEX('Materials Master'!$C$2:$C$27,MATCH($C315,'Materials Master'!$A$2:$A$27,0)),"")</f>
        <v>Fibers</v>
      </c>
      <c r="F315" s="0" t="n">
        <f aca="false">IF(SUMIFS(Fact_SortedWeights!$E$2:$E$89,Fact_SortedWeights!$C$2:$C$89,$A315,Fact_SortedWeights!$B$2:$B$89,$B315)=0,0,SUMIFS(Fact_SortedWeights!$E$2:$E$89,Fact_SortedWeights!$C$2:$C$89,$A315,Fact_SortedWeights!$B$2:$B$89,$B315,Fact_SortedWeights!$D$2:$D$89,$C315)/SUMIFS(Fact_SortedWeights!$E$2:$E$89,Fact_SortedWeights!$C$2:$C$89,$A315,Fact_SortedWeights!$B$2:$B$89,$B315)*(IF($B315="Cardboard Recycling",SUMIFS(Fact_SortedWeights!$E$2:$E$89,Fact_SortedWeights!$C$2:$C$89,$A315,Fact_SortedWeights!$B$2:$B$89,$B315),SUMIFS(Fact_PreSortWeights!$E$2:$E$186,Fact_PreSortWeights!$C$2:$C$186,$A315,Fact_PreSortWeights!$B$2:$B$186,$B315))))</f>
        <v>0</v>
      </c>
      <c r="G315" s="0" t="n">
        <f aca="false">IF(AND(IF($B315="Trash",INDEX('Materials Master'!$F$2:$F$27,MATCH($C315,'Materials Master'!$A$2:$A$27,0)),IF($B315="GMPC Recycling",INDEX('Materials Master'!$G$2:$G$27,MATCH($C315,'Materials Master'!$A$2:$A$27,0)),IF($B315="Organics Recycling",INDEX('Materials Master'!$H$2:$H$27,MATCH($C315,'Materials Master'!$A$2:$A$27,0)),IF($B315="Cardboard Recycling",INDEX('Materials Master'!$I$2:$I$27,MATCH($C315,'Materials Master'!$A$2:$A$27,0)),IF($B315="Paper Recycling",INDEX('Materials Master'!$J$2:$J$27,MATCH($C315,'Materials Master'!$A$2:$A$27,0)),IF($B315="Terracycle",INDEX('Materials Master'!$K$2:$K$27,MATCH($C315,'Materials Master'!$A$2:$A$27,0)),"No"))))))="Yes",INDEX('Materials Master'!$E$2:$E$27,MATCH($C315,'Materials Master'!$A$2:$A$27,0))="Yes",$B315&lt;&gt;"Trash"),1,0)</f>
        <v>0</v>
      </c>
      <c r="H315" s="0" t="str">
        <f aca="false">INDEX('Materials Master'!$E$2:$E$27,MATCH($C315,'Materials Master'!$A$2:$A$27,0))</f>
        <v>No</v>
      </c>
      <c r="I315" s="0" t="str">
        <f aca="false">IFERROR(INDEX(Areas!$C$2:$C$6,MATCH($A315,Areas!$B$2:$B$6,0)),"")</f>
        <v>Rest of Building</v>
      </c>
      <c r="J315" s="0" t="n">
        <f aca="false">IF(IF($B315="Trash",INDEX('Materials Master'!$F$2:$F$27,MATCH($C315,'Materials Master'!$A$2:$A$27,0)),IF($B315="GMPC Recycling",INDEX('Materials Master'!$G$2:$G$27,MATCH($C315,'Materials Master'!$A$2:$A$27,0)),IF($B315="Organics Recycling",INDEX('Materials Master'!$H$2:$H$27,MATCH($C315,'Materials Master'!$A$2:$A$27,0)),IF($B315="Cardboard Recycling",INDEX('Materials Master'!$I$2:$I$27,MATCH($C315,'Materials Master'!$A$2:$A$27,0)),IF($B315="Paper Recycling",INDEX('Materials Master'!$J$2:$J$27,MATCH($C315,'Materials Master'!$A$2:$A$27,0)),IF($B315="Terracycle",INDEX('Materials Master'!$K$2:$K$27,MATCH($C315,'Materials Master'!$A$2:$A$27,0)),"No"))))))="Yes",1,0)</f>
        <v>1</v>
      </c>
    </row>
    <row r="316" customFormat="false" ht="15" hidden="false" customHeight="false" outlineLevel="0" collapsed="false">
      <c r="A316" s="0" t="s">
        <v>98</v>
      </c>
      <c r="B316" s="0" t="s">
        <v>103</v>
      </c>
      <c r="C316" s="0" t="s">
        <v>35</v>
      </c>
      <c r="D316" s="0" t="str">
        <f aca="false">IFERROR(INDEX('Materials Master'!$B$2:$B$27,MATCH($C316,'Materials Master'!$A$2:$A$27,0)),"")</f>
        <v>Waxed Cardboard</v>
      </c>
      <c r="E316" s="0" t="str">
        <f aca="false">IFERROR(INDEX('Materials Master'!$C$2:$C$27,MATCH($C316,'Materials Master'!$A$2:$A$27,0)),"")</f>
        <v>Fibers</v>
      </c>
      <c r="F316" s="0" t="n">
        <f aca="false">IF(SUMIFS(Fact_SortedWeights!$E$2:$E$89,Fact_SortedWeights!$C$2:$C$89,$A316,Fact_SortedWeights!$B$2:$B$89,$B316)=0,0,SUMIFS(Fact_SortedWeights!$E$2:$E$89,Fact_SortedWeights!$C$2:$C$89,$A316,Fact_SortedWeights!$B$2:$B$89,$B316,Fact_SortedWeights!$D$2:$D$89,$C316)/SUMIFS(Fact_SortedWeights!$E$2:$E$89,Fact_SortedWeights!$C$2:$C$89,$A316,Fact_SortedWeights!$B$2:$B$89,$B316)*(IF($B316="Cardboard Recycling",SUMIFS(Fact_SortedWeights!$E$2:$E$89,Fact_SortedWeights!$C$2:$C$89,$A316,Fact_SortedWeights!$B$2:$B$89,$B316),SUMIFS(Fact_PreSortWeights!$E$2:$E$186,Fact_PreSortWeights!$C$2:$C$186,$A316,Fact_PreSortWeights!$B$2:$B$186,$B316))))</f>
        <v>0</v>
      </c>
      <c r="G316" s="0" t="n">
        <f aca="false">IF(AND(IF($B316="Trash",INDEX('Materials Master'!$F$2:$F$27,MATCH($C316,'Materials Master'!$A$2:$A$27,0)),IF($B316="GMPC Recycling",INDEX('Materials Master'!$G$2:$G$27,MATCH($C316,'Materials Master'!$A$2:$A$27,0)),IF($B316="Organics Recycling",INDEX('Materials Master'!$H$2:$H$27,MATCH($C316,'Materials Master'!$A$2:$A$27,0)),IF($B316="Cardboard Recycling",INDEX('Materials Master'!$I$2:$I$27,MATCH($C316,'Materials Master'!$A$2:$A$27,0)),IF($B316="Paper Recycling",INDEX('Materials Master'!$J$2:$J$27,MATCH($C316,'Materials Master'!$A$2:$A$27,0)),IF($B316="Terracycle",INDEX('Materials Master'!$K$2:$K$27,MATCH($C316,'Materials Master'!$A$2:$A$27,0)),"No"))))))="Yes",INDEX('Materials Master'!$E$2:$E$27,MATCH($C316,'Materials Master'!$A$2:$A$27,0))="Yes",$B316&lt;&gt;"Trash"),1,0)</f>
        <v>0</v>
      </c>
      <c r="H316" s="0" t="str">
        <f aca="false">INDEX('Materials Master'!$E$2:$E$27,MATCH($C316,'Materials Master'!$A$2:$A$27,0))</f>
        <v>No</v>
      </c>
      <c r="I316" s="0" t="str">
        <f aca="false">IFERROR(INDEX(Areas!$C$2:$C$6,MATCH($A316,Areas!$B$2:$B$6,0)),"")</f>
        <v>Rest of Building</v>
      </c>
      <c r="J316" s="0" t="n">
        <f aca="false">IF(IF($B316="Trash",INDEX('Materials Master'!$F$2:$F$27,MATCH($C316,'Materials Master'!$A$2:$A$27,0)),IF($B316="GMPC Recycling",INDEX('Materials Master'!$G$2:$G$27,MATCH($C316,'Materials Master'!$A$2:$A$27,0)),IF($B316="Organics Recycling",INDEX('Materials Master'!$H$2:$H$27,MATCH($C316,'Materials Master'!$A$2:$A$27,0)),IF($B316="Cardboard Recycling",INDEX('Materials Master'!$I$2:$I$27,MATCH($C316,'Materials Master'!$A$2:$A$27,0)),IF($B316="Paper Recycling",INDEX('Materials Master'!$J$2:$J$27,MATCH($C316,'Materials Master'!$A$2:$A$27,0)),IF($B316="Terracycle",INDEX('Materials Master'!$K$2:$K$27,MATCH($C316,'Materials Master'!$A$2:$A$27,0)),"No"))))))="Yes",1,0)</f>
        <v>1</v>
      </c>
    </row>
    <row r="317" customFormat="false" ht="15" hidden="false" customHeight="false" outlineLevel="0" collapsed="false">
      <c r="A317" s="0" t="s">
        <v>98</v>
      </c>
      <c r="B317" s="0" t="s">
        <v>103</v>
      </c>
      <c r="C317" s="0" t="s">
        <v>37</v>
      </c>
      <c r="D317" s="0" t="str">
        <f aca="false">IFERROR(INDEX('Materials Master'!$B$2:$B$27,MATCH($C317,'Materials Master'!$A$2:$A$27,0)),"")</f>
        <v>Mixed Paper</v>
      </c>
      <c r="E317" s="0" t="str">
        <f aca="false">IFERROR(INDEX('Materials Master'!$C$2:$C$27,MATCH($C317,'Materials Master'!$A$2:$A$27,0)),"")</f>
        <v>Fibers</v>
      </c>
      <c r="F317" s="0" t="n">
        <f aca="false">IF(SUMIFS(Fact_SortedWeights!$E$2:$E$89,Fact_SortedWeights!$C$2:$C$89,$A317,Fact_SortedWeights!$B$2:$B$89,$B317)=0,0,SUMIFS(Fact_SortedWeights!$E$2:$E$89,Fact_SortedWeights!$C$2:$C$89,$A317,Fact_SortedWeights!$B$2:$B$89,$B317,Fact_SortedWeights!$D$2:$D$89,$C317)/SUMIFS(Fact_SortedWeights!$E$2:$E$89,Fact_SortedWeights!$C$2:$C$89,$A317,Fact_SortedWeights!$B$2:$B$89,$B317)*(IF($B317="Cardboard Recycling",SUMIFS(Fact_SortedWeights!$E$2:$E$89,Fact_SortedWeights!$C$2:$C$89,$A317,Fact_SortedWeights!$B$2:$B$89,$B317),SUMIFS(Fact_PreSortWeights!$E$2:$E$186,Fact_PreSortWeights!$C$2:$C$186,$A317,Fact_PreSortWeights!$B$2:$B$186,$B317))))</f>
        <v>0</v>
      </c>
      <c r="G317" s="0" t="n">
        <f aca="false">IF(AND(IF($B317="Trash",INDEX('Materials Master'!$F$2:$F$27,MATCH($C317,'Materials Master'!$A$2:$A$27,0)),IF($B317="GMPC Recycling",INDEX('Materials Master'!$G$2:$G$27,MATCH($C317,'Materials Master'!$A$2:$A$27,0)),IF($B317="Organics Recycling",INDEX('Materials Master'!$H$2:$H$27,MATCH($C317,'Materials Master'!$A$2:$A$27,0)),IF($B317="Cardboard Recycling",INDEX('Materials Master'!$I$2:$I$27,MATCH($C317,'Materials Master'!$A$2:$A$27,0)),IF($B317="Paper Recycling",INDEX('Materials Master'!$J$2:$J$27,MATCH($C317,'Materials Master'!$A$2:$A$27,0)),IF($B317="Terracycle",INDEX('Materials Master'!$K$2:$K$27,MATCH($C317,'Materials Master'!$A$2:$A$27,0)),"No"))))))="Yes",INDEX('Materials Master'!$E$2:$E$27,MATCH($C317,'Materials Master'!$A$2:$A$27,0))="Yes",$B317&lt;&gt;"Trash"),1,0)</f>
        <v>0</v>
      </c>
      <c r="H317" s="0" t="str">
        <f aca="false">INDEX('Materials Master'!$E$2:$E$27,MATCH($C317,'Materials Master'!$A$2:$A$27,0))</f>
        <v>Yes</v>
      </c>
      <c r="I317" s="0" t="str">
        <f aca="false">IFERROR(INDEX(Areas!$C$2:$C$6,MATCH($A317,Areas!$B$2:$B$6,0)),"")</f>
        <v>Rest of Building</v>
      </c>
      <c r="J317" s="0" t="n">
        <f aca="false">IF(IF($B317="Trash",INDEX('Materials Master'!$F$2:$F$27,MATCH($C317,'Materials Master'!$A$2:$A$27,0)),IF($B317="GMPC Recycling",INDEX('Materials Master'!$G$2:$G$27,MATCH($C317,'Materials Master'!$A$2:$A$27,0)),IF($B317="Organics Recycling",INDEX('Materials Master'!$H$2:$H$27,MATCH($C317,'Materials Master'!$A$2:$A$27,0)),IF($B317="Cardboard Recycling",INDEX('Materials Master'!$I$2:$I$27,MATCH($C317,'Materials Master'!$A$2:$A$27,0)),IF($B317="Paper Recycling",INDEX('Materials Master'!$J$2:$J$27,MATCH($C317,'Materials Master'!$A$2:$A$27,0)),IF($B317="Terracycle",INDEX('Materials Master'!$K$2:$K$27,MATCH($C317,'Materials Master'!$A$2:$A$27,0)),"No"))))))="Yes",1,0)</f>
        <v>0</v>
      </c>
    </row>
    <row r="318" customFormat="false" ht="15" hidden="false" customHeight="false" outlineLevel="0" collapsed="false">
      <c r="A318" s="0" t="s">
        <v>98</v>
      </c>
      <c r="B318" s="0" t="s">
        <v>103</v>
      </c>
      <c r="C318" s="0" t="s">
        <v>39</v>
      </c>
      <c r="D318" s="0" t="str">
        <f aca="false">IFERROR(INDEX('Materials Master'!$B$2:$B$27,MATCH($C318,'Materials Master'!$A$2:$A$27,0)),"")</f>
        <v>Soiled Paper</v>
      </c>
      <c r="E318" s="0" t="str">
        <f aca="false">IFERROR(INDEX('Materials Master'!$C$2:$C$27,MATCH($C318,'Materials Master'!$A$2:$A$27,0)),"")</f>
        <v>Fibers</v>
      </c>
      <c r="F318" s="0" t="n">
        <f aca="false">IF(SUMIFS(Fact_SortedWeights!$E$2:$E$89,Fact_SortedWeights!$C$2:$C$89,$A318,Fact_SortedWeights!$B$2:$B$89,$B318)=0,0,SUMIFS(Fact_SortedWeights!$E$2:$E$89,Fact_SortedWeights!$C$2:$C$89,$A318,Fact_SortedWeights!$B$2:$B$89,$B318,Fact_SortedWeights!$D$2:$D$89,$C318)/SUMIFS(Fact_SortedWeights!$E$2:$E$89,Fact_SortedWeights!$C$2:$C$89,$A318,Fact_SortedWeights!$B$2:$B$89,$B318)*(IF($B318="Cardboard Recycling",SUMIFS(Fact_SortedWeights!$E$2:$E$89,Fact_SortedWeights!$C$2:$C$89,$A318,Fact_SortedWeights!$B$2:$B$89,$B318),SUMIFS(Fact_PreSortWeights!$E$2:$E$186,Fact_PreSortWeights!$C$2:$C$186,$A318,Fact_PreSortWeights!$B$2:$B$186,$B318))))</f>
        <v>0</v>
      </c>
      <c r="G318" s="0" t="n">
        <f aca="false">IF(AND(IF($B318="Trash",INDEX('Materials Master'!$F$2:$F$27,MATCH($C318,'Materials Master'!$A$2:$A$27,0)),IF($B318="GMPC Recycling",INDEX('Materials Master'!$G$2:$G$27,MATCH($C318,'Materials Master'!$A$2:$A$27,0)),IF($B318="Organics Recycling",INDEX('Materials Master'!$H$2:$H$27,MATCH($C318,'Materials Master'!$A$2:$A$27,0)),IF($B318="Cardboard Recycling",INDEX('Materials Master'!$I$2:$I$27,MATCH($C318,'Materials Master'!$A$2:$A$27,0)),IF($B318="Paper Recycling",INDEX('Materials Master'!$J$2:$J$27,MATCH($C318,'Materials Master'!$A$2:$A$27,0)),IF($B318="Terracycle",INDEX('Materials Master'!$K$2:$K$27,MATCH($C318,'Materials Master'!$A$2:$A$27,0)),"No"))))))="Yes",INDEX('Materials Master'!$E$2:$E$27,MATCH($C318,'Materials Master'!$A$2:$A$27,0))="Yes",$B318&lt;&gt;"Trash"),1,0)</f>
        <v>0</v>
      </c>
      <c r="H318" s="0" t="str">
        <f aca="false">INDEX('Materials Master'!$E$2:$E$27,MATCH($C318,'Materials Master'!$A$2:$A$27,0))</f>
        <v>No</v>
      </c>
      <c r="I318" s="0" t="str">
        <f aca="false">IFERROR(INDEX(Areas!$C$2:$C$6,MATCH($A318,Areas!$B$2:$B$6,0)),"")</f>
        <v>Rest of Building</v>
      </c>
      <c r="J318" s="0" t="n">
        <f aca="false">IF(IF($B318="Trash",INDEX('Materials Master'!$F$2:$F$27,MATCH($C318,'Materials Master'!$A$2:$A$27,0)),IF($B318="GMPC Recycling",INDEX('Materials Master'!$G$2:$G$27,MATCH($C318,'Materials Master'!$A$2:$A$27,0)),IF($B318="Organics Recycling",INDEX('Materials Master'!$H$2:$H$27,MATCH($C318,'Materials Master'!$A$2:$A$27,0)),IF($B318="Cardboard Recycling",INDEX('Materials Master'!$I$2:$I$27,MATCH($C318,'Materials Master'!$A$2:$A$27,0)),IF($B318="Paper Recycling",INDEX('Materials Master'!$J$2:$J$27,MATCH($C318,'Materials Master'!$A$2:$A$27,0)),IF($B318="Terracycle",INDEX('Materials Master'!$K$2:$K$27,MATCH($C318,'Materials Master'!$A$2:$A$27,0)),"No"))))))="Yes",1,0)</f>
        <v>1</v>
      </c>
    </row>
    <row r="319" customFormat="false" ht="15" hidden="false" customHeight="false" outlineLevel="0" collapsed="false">
      <c r="A319" s="0" t="s">
        <v>98</v>
      </c>
      <c r="B319" s="0" t="s">
        <v>103</v>
      </c>
      <c r="C319" s="0" t="s">
        <v>41</v>
      </c>
      <c r="D319" s="0" t="str">
        <f aca="false">IFERROR(INDEX('Materials Master'!$B$2:$B$27,MATCH($C319,'Materials Master'!$A$2:$A$27,0)),"")</f>
        <v>Beverage Cartons</v>
      </c>
      <c r="E319" s="0" t="str">
        <f aca="false">IFERROR(INDEX('Materials Master'!$C$2:$C$27,MATCH($C319,'Materials Master'!$A$2:$A$27,0)),"")</f>
        <v>Fibers</v>
      </c>
      <c r="F319" s="0" t="n">
        <f aca="false">IF(SUMIFS(Fact_SortedWeights!$E$2:$E$89,Fact_SortedWeights!$C$2:$C$89,$A319,Fact_SortedWeights!$B$2:$B$89,$B319)=0,0,SUMIFS(Fact_SortedWeights!$E$2:$E$89,Fact_SortedWeights!$C$2:$C$89,$A319,Fact_SortedWeights!$B$2:$B$89,$B319,Fact_SortedWeights!$D$2:$D$89,$C319)/SUMIFS(Fact_SortedWeights!$E$2:$E$89,Fact_SortedWeights!$C$2:$C$89,$A319,Fact_SortedWeights!$B$2:$B$89,$B319)*(IF($B319="Cardboard Recycling",SUMIFS(Fact_SortedWeights!$E$2:$E$89,Fact_SortedWeights!$C$2:$C$89,$A319,Fact_SortedWeights!$B$2:$B$89,$B319),SUMIFS(Fact_PreSortWeights!$E$2:$E$186,Fact_PreSortWeights!$C$2:$C$186,$A319,Fact_PreSortWeights!$B$2:$B$186,$B319))))</f>
        <v>0</v>
      </c>
      <c r="G319" s="0" t="n">
        <f aca="false">IF(AND(IF($B319="Trash",INDEX('Materials Master'!$F$2:$F$27,MATCH($C319,'Materials Master'!$A$2:$A$27,0)),IF($B319="GMPC Recycling",INDEX('Materials Master'!$G$2:$G$27,MATCH($C319,'Materials Master'!$A$2:$A$27,0)),IF($B319="Organics Recycling",INDEX('Materials Master'!$H$2:$H$27,MATCH($C319,'Materials Master'!$A$2:$A$27,0)),IF($B319="Cardboard Recycling",INDEX('Materials Master'!$I$2:$I$27,MATCH($C319,'Materials Master'!$A$2:$A$27,0)),IF($B319="Paper Recycling",INDEX('Materials Master'!$J$2:$J$27,MATCH($C319,'Materials Master'!$A$2:$A$27,0)),IF($B319="Terracycle",INDEX('Materials Master'!$K$2:$K$27,MATCH($C319,'Materials Master'!$A$2:$A$27,0)),"No"))))))="Yes",INDEX('Materials Master'!$E$2:$E$27,MATCH($C319,'Materials Master'!$A$2:$A$27,0))="Yes",$B319&lt;&gt;"Trash"),1,0)</f>
        <v>0</v>
      </c>
      <c r="H319" s="0" t="str">
        <f aca="false">INDEX('Materials Master'!$E$2:$E$27,MATCH($C319,'Materials Master'!$A$2:$A$27,0))</f>
        <v>Yes</v>
      </c>
      <c r="I319" s="0" t="str">
        <f aca="false">IFERROR(INDEX(Areas!$C$2:$C$6,MATCH($A319,Areas!$B$2:$B$6,0)),"")</f>
        <v>Rest of Building</v>
      </c>
      <c r="J319" s="0" t="n">
        <f aca="false">IF(IF($B319="Trash",INDEX('Materials Master'!$F$2:$F$27,MATCH($C319,'Materials Master'!$A$2:$A$27,0)),IF($B319="GMPC Recycling",INDEX('Materials Master'!$G$2:$G$27,MATCH($C319,'Materials Master'!$A$2:$A$27,0)),IF($B319="Organics Recycling",INDEX('Materials Master'!$H$2:$H$27,MATCH($C319,'Materials Master'!$A$2:$A$27,0)),IF($B319="Cardboard Recycling",INDEX('Materials Master'!$I$2:$I$27,MATCH($C319,'Materials Master'!$A$2:$A$27,0)),IF($B319="Paper Recycling",INDEX('Materials Master'!$J$2:$J$27,MATCH($C319,'Materials Master'!$A$2:$A$27,0)),IF($B319="Terracycle",INDEX('Materials Master'!$K$2:$K$27,MATCH($C319,'Materials Master'!$A$2:$A$27,0)),"No"))))))="Yes",1,0)</f>
        <v>0</v>
      </c>
    </row>
    <row r="320" customFormat="false" ht="15" hidden="false" customHeight="false" outlineLevel="0" collapsed="false">
      <c r="A320" s="0" t="s">
        <v>98</v>
      </c>
      <c r="B320" s="0" t="s">
        <v>103</v>
      </c>
      <c r="C320" s="0" t="s">
        <v>43</v>
      </c>
      <c r="D320" s="0" t="str">
        <f aca="false">IFERROR(INDEX('Materials Master'!$B$2:$B$27,MATCH($C320,'Materials Master'!$A$2:$A$27,0)),"")</f>
        <v>Soiled Beverage Cartons</v>
      </c>
      <c r="E320" s="0" t="str">
        <f aca="false">IFERROR(INDEX('Materials Master'!$C$2:$C$27,MATCH($C320,'Materials Master'!$A$2:$A$27,0)),"")</f>
        <v>Fibers</v>
      </c>
      <c r="F320" s="0" t="n">
        <f aca="false">IF(SUMIFS(Fact_SortedWeights!$E$2:$E$89,Fact_SortedWeights!$C$2:$C$89,$A320,Fact_SortedWeights!$B$2:$B$89,$B320)=0,0,SUMIFS(Fact_SortedWeights!$E$2:$E$89,Fact_SortedWeights!$C$2:$C$89,$A320,Fact_SortedWeights!$B$2:$B$89,$B320,Fact_SortedWeights!$D$2:$D$89,$C320)/SUMIFS(Fact_SortedWeights!$E$2:$E$89,Fact_SortedWeights!$C$2:$C$89,$A320,Fact_SortedWeights!$B$2:$B$89,$B320)*(IF($B320="Cardboard Recycling",SUMIFS(Fact_SortedWeights!$E$2:$E$89,Fact_SortedWeights!$C$2:$C$89,$A320,Fact_SortedWeights!$B$2:$B$89,$B320),SUMIFS(Fact_PreSortWeights!$E$2:$E$186,Fact_PreSortWeights!$C$2:$C$186,$A320,Fact_PreSortWeights!$B$2:$B$186,$B320))))</f>
        <v>0</v>
      </c>
      <c r="G320" s="0" t="n">
        <f aca="false">IF(AND(IF($B320="Trash",INDEX('Materials Master'!$F$2:$F$27,MATCH($C320,'Materials Master'!$A$2:$A$27,0)),IF($B320="GMPC Recycling",INDEX('Materials Master'!$G$2:$G$27,MATCH($C320,'Materials Master'!$A$2:$A$27,0)),IF($B320="Organics Recycling",INDEX('Materials Master'!$H$2:$H$27,MATCH($C320,'Materials Master'!$A$2:$A$27,0)),IF($B320="Cardboard Recycling",INDEX('Materials Master'!$I$2:$I$27,MATCH($C320,'Materials Master'!$A$2:$A$27,0)),IF($B320="Paper Recycling",INDEX('Materials Master'!$J$2:$J$27,MATCH($C320,'Materials Master'!$A$2:$A$27,0)),IF($B320="Terracycle",INDEX('Materials Master'!$K$2:$K$27,MATCH($C320,'Materials Master'!$A$2:$A$27,0)),"No"))))))="Yes",INDEX('Materials Master'!$E$2:$E$27,MATCH($C320,'Materials Master'!$A$2:$A$27,0))="Yes",$B320&lt;&gt;"Trash"),1,0)</f>
        <v>0</v>
      </c>
      <c r="H320" s="0" t="str">
        <f aca="false">INDEX('Materials Master'!$E$2:$E$27,MATCH($C320,'Materials Master'!$A$2:$A$27,0))</f>
        <v>No</v>
      </c>
      <c r="I320" s="0" t="str">
        <f aca="false">IFERROR(INDEX(Areas!$C$2:$C$6,MATCH($A320,Areas!$B$2:$B$6,0)),"")</f>
        <v>Rest of Building</v>
      </c>
      <c r="J320" s="0" t="n">
        <f aca="false">IF(IF($B320="Trash",INDEX('Materials Master'!$F$2:$F$27,MATCH($C320,'Materials Master'!$A$2:$A$27,0)),IF($B320="GMPC Recycling",INDEX('Materials Master'!$G$2:$G$27,MATCH($C320,'Materials Master'!$A$2:$A$27,0)),IF($B320="Organics Recycling",INDEX('Materials Master'!$H$2:$H$27,MATCH($C320,'Materials Master'!$A$2:$A$27,0)),IF($B320="Cardboard Recycling",INDEX('Materials Master'!$I$2:$I$27,MATCH($C320,'Materials Master'!$A$2:$A$27,0)),IF($B320="Paper Recycling",INDEX('Materials Master'!$J$2:$J$27,MATCH($C320,'Materials Master'!$A$2:$A$27,0)),IF($B320="Terracycle",INDEX('Materials Master'!$K$2:$K$27,MATCH($C320,'Materials Master'!$A$2:$A$27,0)),"No"))))))="Yes",1,0)</f>
        <v>1</v>
      </c>
    </row>
    <row r="321" customFormat="false" ht="15" hidden="false" customHeight="false" outlineLevel="0" collapsed="false">
      <c r="A321" s="0" t="s">
        <v>98</v>
      </c>
      <c r="B321" s="0" t="s">
        <v>103</v>
      </c>
      <c r="C321" s="0" t="s">
        <v>45</v>
      </c>
      <c r="D321" s="0" t="str">
        <f aca="false">IFERROR(INDEX('Materials Master'!$B$2:$B$27,MATCH($C321,'Materials Master'!$A$2:$A$27,0)),"")</f>
        <v>Paper Cups / Other Coated Paper Containers</v>
      </c>
      <c r="E321" s="0" t="str">
        <f aca="false">IFERROR(INDEX('Materials Master'!$C$2:$C$27,MATCH($C321,'Materials Master'!$A$2:$A$27,0)),"")</f>
        <v>Fibers</v>
      </c>
      <c r="F321" s="0" t="n">
        <f aca="false">IF(SUMIFS(Fact_SortedWeights!$E$2:$E$89,Fact_SortedWeights!$C$2:$C$89,$A321,Fact_SortedWeights!$B$2:$B$89,$B321)=0,0,SUMIFS(Fact_SortedWeights!$E$2:$E$89,Fact_SortedWeights!$C$2:$C$89,$A321,Fact_SortedWeights!$B$2:$B$89,$B321,Fact_SortedWeights!$D$2:$D$89,$C321)/SUMIFS(Fact_SortedWeights!$E$2:$E$89,Fact_SortedWeights!$C$2:$C$89,$A321,Fact_SortedWeights!$B$2:$B$89,$B321)*(IF($B321="Cardboard Recycling",SUMIFS(Fact_SortedWeights!$E$2:$E$89,Fact_SortedWeights!$C$2:$C$89,$A321,Fact_SortedWeights!$B$2:$B$89,$B321),SUMIFS(Fact_PreSortWeights!$E$2:$E$186,Fact_PreSortWeights!$C$2:$C$186,$A321,Fact_PreSortWeights!$B$2:$B$186,$B321))))</f>
        <v>0</v>
      </c>
      <c r="G321" s="0" t="n">
        <f aca="false">IF(AND(IF($B321="Trash",INDEX('Materials Master'!$F$2:$F$27,MATCH($C321,'Materials Master'!$A$2:$A$27,0)),IF($B321="GMPC Recycling",INDEX('Materials Master'!$G$2:$G$27,MATCH($C321,'Materials Master'!$A$2:$A$27,0)),IF($B321="Organics Recycling",INDEX('Materials Master'!$H$2:$H$27,MATCH($C321,'Materials Master'!$A$2:$A$27,0)),IF($B321="Cardboard Recycling",INDEX('Materials Master'!$I$2:$I$27,MATCH($C321,'Materials Master'!$A$2:$A$27,0)),IF($B321="Paper Recycling",INDEX('Materials Master'!$J$2:$J$27,MATCH($C321,'Materials Master'!$A$2:$A$27,0)),IF($B321="Terracycle",INDEX('Materials Master'!$K$2:$K$27,MATCH($C321,'Materials Master'!$A$2:$A$27,0)),"No"))))))="Yes",INDEX('Materials Master'!$E$2:$E$27,MATCH($C321,'Materials Master'!$A$2:$A$27,0))="Yes",$B321&lt;&gt;"Trash"),1,0)</f>
        <v>0</v>
      </c>
      <c r="H321" s="0" t="str">
        <f aca="false">INDEX('Materials Master'!$E$2:$E$27,MATCH($C321,'Materials Master'!$A$2:$A$27,0))</f>
        <v>No</v>
      </c>
      <c r="I321" s="0" t="str">
        <f aca="false">IFERROR(INDEX(Areas!$C$2:$C$6,MATCH($A321,Areas!$B$2:$B$6,0)),"")</f>
        <v>Rest of Building</v>
      </c>
      <c r="J321" s="0" t="n">
        <f aca="false">IF(IF($B321="Trash",INDEX('Materials Master'!$F$2:$F$27,MATCH($C321,'Materials Master'!$A$2:$A$27,0)),IF($B321="GMPC Recycling",INDEX('Materials Master'!$G$2:$G$27,MATCH($C321,'Materials Master'!$A$2:$A$27,0)),IF($B321="Organics Recycling",INDEX('Materials Master'!$H$2:$H$27,MATCH($C321,'Materials Master'!$A$2:$A$27,0)),IF($B321="Cardboard Recycling",INDEX('Materials Master'!$I$2:$I$27,MATCH($C321,'Materials Master'!$A$2:$A$27,0)),IF($B321="Paper Recycling",INDEX('Materials Master'!$J$2:$J$27,MATCH($C321,'Materials Master'!$A$2:$A$27,0)),IF($B321="Terracycle",INDEX('Materials Master'!$K$2:$K$27,MATCH($C321,'Materials Master'!$A$2:$A$27,0)),"No"))))))="Yes",1,0)</f>
        <v>1</v>
      </c>
    </row>
    <row r="322" customFormat="false" ht="15" hidden="false" customHeight="false" outlineLevel="0" collapsed="false">
      <c r="A322" s="0" t="s">
        <v>98</v>
      </c>
      <c r="B322" s="0" t="s">
        <v>103</v>
      </c>
      <c r="C322" s="0" t="s">
        <v>47</v>
      </c>
      <c r="D322" s="0" t="str">
        <f aca="false">IFERROR(INDEX('Materials Master'!$B$2:$B$27,MATCH($C322,'Materials Master'!$A$2:$A$27,0)),"")</f>
        <v>Glass Bottles &amp; Jars</v>
      </c>
      <c r="E322" s="0" t="str">
        <f aca="false">IFERROR(INDEX('Materials Master'!$C$2:$C$27,MATCH($C322,'Materials Master'!$A$2:$A$27,0)),"")</f>
        <v>Glass</v>
      </c>
      <c r="F322" s="0" t="n">
        <f aca="false">IF(SUMIFS(Fact_SortedWeights!$E$2:$E$89,Fact_SortedWeights!$C$2:$C$89,$A322,Fact_SortedWeights!$B$2:$B$89,$B322)=0,0,SUMIFS(Fact_SortedWeights!$E$2:$E$89,Fact_SortedWeights!$C$2:$C$89,$A322,Fact_SortedWeights!$B$2:$B$89,$B322,Fact_SortedWeights!$D$2:$D$89,$C322)/SUMIFS(Fact_SortedWeights!$E$2:$E$89,Fact_SortedWeights!$C$2:$C$89,$A322,Fact_SortedWeights!$B$2:$B$89,$B322)*(IF($B322="Cardboard Recycling",SUMIFS(Fact_SortedWeights!$E$2:$E$89,Fact_SortedWeights!$C$2:$C$89,$A322,Fact_SortedWeights!$B$2:$B$89,$B322),SUMIFS(Fact_PreSortWeights!$E$2:$E$186,Fact_PreSortWeights!$C$2:$C$186,$A322,Fact_PreSortWeights!$B$2:$B$186,$B322))))</f>
        <v>0</v>
      </c>
      <c r="G322" s="0" t="n">
        <f aca="false">IF(AND(IF($B322="Trash",INDEX('Materials Master'!$F$2:$F$27,MATCH($C322,'Materials Master'!$A$2:$A$27,0)),IF($B322="GMPC Recycling",INDEX('Materials Master'!$G$2:$G$27,MATCH($C322,'Materials Master'!$A$2:$A$27,0)),IF($B322="Organics Recycling",INDEX('Materials Master'!$H$2:$H$27,MATCH($C322,'Materials Master'!$A$2:$A$27,0)),IF($B322="Cardboard Recycling",INDEX('Materials Master'!$I$2:$I$27,MATCH($C322,'Materials Master'!$A$2:$A$27,0)),IF($B322="Paper Recycling",INDEX('Materials Master'!$J$2:$J$27,MATCH($C322,'Materials Master'!$A$2:$A$27,0)),IF($B322="Terracycle",INDEX('Materials Master'!$K$2:$K$27,MATCH($C322,'Materials Master'!$A$2:$A$27,0)),"No"))))))="Yes",INDEX('Materials Master'!$E$2:$E$27,MATCH($C322,'Materials Master'!$A$2:$A$27,0))="Yes",$B322&lt;&gt;"Trash"),1,0)</f>
        <v>0</v>
      </c>
      <c r="H322" s="0" t="str">
        <f aca="false">INDEX('Materials Master'!$E$2:$E$27,MATCH($C322,'Materials Master'!$A$2:$A$27,0))</f>
        <v>Yes</v>
      </c>
      <c r="I322" s="0" t="str">
        <f aca="false">IFERROR(INDEX(Areas!$C$2:$C$6,MATCH($A322,Areas!$B$2:$B$6,0)),"")</f>
        <v>Rest of Building</v>
      </c>
      <c r="J322" s="0" t="n">
        <f aca="false">IF(IF($B322="Trash",INDEX('Materials Master'!$F$2:$F$27,MATCH($C322,'Materials Master'!$A$2:$A$27,0)),IF($B322="GMPC Recycling",INDEX('Materials Master'!$G$2:$G$27,MATCH($C322,'Materials Master'!$A$2:$A$27,0)),IF($B322="Organics Recycling",INDEX('Materials Master'!$H$2:$H$27,MATCH($C322,'Materials Master'!$A$2:$A$27,0)),IF($B322="Cardboard Recycling",INDEX('Materials Master'!$I$2:$I$27,MATCH($C322,'Materials Master'!$A$2:$A$27,0)),IF($B322="Paper Recycling",INDEX('Materials Master'!$J$2:$J$27,MATCH($C322,'Materials Master'!$A$2:$A$27,0)),IF($B322="Terracycle",INDEX('Materials Master'!$K$2:$K$27,MATCH($C322,'Materials Master'!$A$2:$A$27,0)),"No"))))))="Yes",1,0)</f>
        <v>0</v>
      </c>
    </row>
    <row r="323" customFormat="false" ht="15" hidden="false" customHeight="false" outlineLevel="0" collapsed="false">
      <c r="A323" s="0" t="s">
        <v>98</v>
      </c>
      <c r="B323" s="0" t="s">
        <v>103</v>
      </c>
      <c r="C323" s="0" t="s">
        <v>50</v>
      </c>
      <c r="D323" s="0" t="str">
        <f aca="false">IFERROR(INDEX('Materials Master'!$B$2:$B$27,MATCH($C323,'Materials Master'!$A$2:$A$27,0)),"")</f>
        <v>Soiled Glass</v>
      </c>
      <c r="E323" s="0" t="str">
        <f aca="false">IFERROR(INDEX('Materials Master'!$C$2:$C$27,MATCH($C323,'Materials Master'!$A$2:$A$27,0)),"")</f>
        <v>Glass</v>
      </c>
      <c r="F323" s="0" t="n">
        <f aca="false">IF(SUMIFS(Fact_SortedWeights!$E$2:$E$89,Fact_SortedWeights!$C$2:$C$89,$A323,Fact_SortedWeights!$B$2:$B$89,$B323)=0,0,SUMIFS(Fact_SortedWeights!$E$2:$E$89,Fact_SortedWeights!$C$2:$C$89,$A323,Fact_SortedWeights!$B$2:$B$89,$B323,Fact_SortedWeights!$D$2:$D$89,$C323)/SUMIFS(Fact_SortedWeights!$E$2:$E$89,Fact_SortedWeights!$C$2:$C$89,$A323,Fact_SortedWeights!$B$2:$B$89,$B323)*(IF($B323="Cardboard Recycling",SUMIFS(Fact_SortedWeights!$E$2:$E$89,Fact_SortedWeights!$C$2:$C$89,$A323,Fact_SortedWeights!$B$2:$B$89,$B323),SUMIFS(Fact_PreSortWeights!$E$2:$E$186,Fact_PreSortWeights!$C$2:$C$186,$A323,Fact_PreSortWeights!$B$2:$B$186,$B323))))</f>
        <v>0</v>
      </c>
      <c r="G323" s="0" t="n">
        <f aca="false">IF(AND(IF($B323="Trash",INDEX('Materials Master'!$F$2:$F$27,MATCH($C323,'Materials Master'!$A$2:$A$27,0)),IF($B323="GMPC Recycling",INDEX('Materials Master'!$G$2:$G$27,MATCH($C323,'Materials Master'!$A$2:$A$27,0)),IF($B323="Organics Recycling",INDEX('Materials Master'!$H$2:$H$27,MATCH($C323,'Materials Master'!$A$2:$A$27,0)),IF($B323="Cardboard Recycling",INDEX('Materials Master'!$I$2:$I$27,MATCH($C323,'Materials Master'!$A$2:$A$27,0)),IF($B323="Paper Recycling",INDEX('Materials Master'!$J$2:$J$27,MATCH($C323,'Materials Master'!$A$2:$A$27,0)),IF($B323="Terracycle",INDEX('Materials Master'!$K$2:$K$27,MATCH($C323,'Materials Master'!$A$2:$A$27,0)),"No"))))))="Yes",INDEX('Materials Master'!$E$2:$E$27,MATCH($C323,'Materials Master'!$A$2:$A$27,0))="Yes",$B323&lt;&gt;"Trash"),1,0)</f>
        <v>0</v>
      </c>
      <c r="H323" s="0" t="str">
        <f aca="false">INDEX('Materials Master'!$E$2:$E$27,MATCH($C323,'Materials Master'!$A$2:$A$27,0))</f>
        <v>No</v>
      </c>
      <c r="I323" s="0" t="str">
        <f aca="false">IFERROR(INDEX(Areas!$C$2:$C$6,MATCH($A323,Areas!$B$2:$B$6,0)),"")</f>
        <v>Rest of Building</v>
      </c>
      <c r="J323" s="0" t="n">
        <f aca="false">IF(IF($B323="Trash",INDEX('Materials Master'!$F$2:$F$27,MATCH($C323,'Materials Master'!$A$2:$A$27,0)),IF($B323="GMPC Recycling",INDEX('Materials Master'!$G$2:$G$27,MATCH($C323,'Materials Master'!$A$2:$A$27,0)),IF($B323="Organics Recycling",INDEX('Materials Master'!$H$2:$H$27,MATCH($C323,'Materials Master'!$A$2:$A$27,0)),IF($B323="Cardboard Recycling",INDEX('Materials Master'!$I$2:$I$27,MATCH($C323,'Materials Master'!$A$2:$A$27,0)),IF($B323="Paper Recycling",INDEX('Materials Master'!$J$2:$J$27,MATCH($C323,'Materials Master'!$A$2:$A$27,0)),IF($B323="Terracycle",INDEX('Materials Master'!$K$2:$K$27,MATCH($C323,'Materials Master'!$A$2:$A$27,0)),"No"))))))="Yes",1,0)</f>
        <v>1</v>
      </c>
    </row>
    <row r="324" customFormat="false" ht="15" hidden="false" customHeight="false" outlineLevel="0" collapsed="false">
      <c r="A324" s="0" t="s">
        <v>98</v>
      </c>
      <c r="B324" s="0" t="s">
        <v>103</v>
      </c>
      <c r="C324" s="0" t="s">
        <v>52</v>
      </c>
      <c r="D324" s="0" t="str">
        <f aca="false">IFERROR(INDEX('Materials Master'!$B$2:$B$27,MATCH($C324,'Materials Master'!$A$2:$A$27,0)),"")</f>
        <v>Aluminum &amp; Bi-Metal Containers</v>
      </c>
      <c r="E324" s="0" t="str">
        <f aca="false">IFERROR(INDEX('Materials Master'!$C$2:$C$27,MATCH($C324,'Materials Master'!$A$2:$A$27,0)),"")</f>
        <v>Metals</v>
      </c>
      <c r="F324" s="0" t="n">
        <f aca="false">IF(SUMIFS(Fact_SortedWeights!$E$2:$E$89,Fact_SortedWeights!$C$2:$C$89,$A324,Fact_SortedWeights!$B$2:$B$89,$B324)=0,0,SUMIFS(Fact_SortedWeights!$E$2:$E$89,Fact_SortedWeights!$C$2:$C$89,$A324,Fact_SortedWeights!$B$2:$B$89,$B324,Fact_SortedWeights!$D$2:$D$89,$C324)/SUMIFS(Fact_SortedWeights!$E$2:$E$89,Fact_SortedWeights!$C$2:$C$89,$A324,Fact_SortedWeights!$B$2:$B$89,$B324)*(IF($B324="Cardboard Recycling",SUMIFS(Fact_SortedWeights!$E$2:$E$89,Fact_SortedWeights!$C$2:$C$89,$A324,Fact_SortedWeights!$B$2:$B$89,$B324),SUMIFS(Fact_PreSortWeights!$E$2:$E$186,Fact_PreSortWeights!$C$2:$C$186,$A324,Fact_PreSortWeights!$B$2:$B$186,$B324))))</f>
        <v>0</v>
      </c>
      <c r="G324" s="0" t="n">
        <f aca="false">IF(AND(IF($B324="Trash",INDEX('Materials Master'!$F$2:$F$27,MATCH($C324,'Materials Master'!$A$2:$A$27,0)),IF($B324="GMPC Recycling",INDEX('Materials Master'!$G$2:$G$27,MATCH($C324,'Materials Master'!$A$2:$A$27,0)),IF($B324="Organics Recycling",INDEX('Materials Master'!$H$2:$H$27,MATCH($C324,'Materials Master'!$A$2:$A$27,0)),IF($B324="Cardboard Recycling",INDEX('Materials Master'!$I$2:$I$27,MATCH($C324,'Materials Master'!$A$2:$A$27,0)),IF($B324="Paper Recycling",INDEX('Materials Master'!$J$2:$J$27,MATCH($C324,'Materials Master'!$A$2:$A$27,0)),IF($B324="Terracycle",INDEX('Materials Master'!$K$2:$K$27,MATCH($C324,'Materials Master'!$A$2:$A$27,0)),"No"))))))="Yes",INDEX('Materials Master'!$E$2:$E$27,MATCH($C324,'Materials Master'!$A$2:$A$27,0))="Yes",$B324&lt;&gt;"Trash"),1,0)</f>
        <v>0</v>
      </c>
      <c r="H324" s="0" t="str">
        <f aca="false">INDEX('Materials Master'!$E$2:$E$27,MATCH($C324,'Materials Master'!$A$2:$A$27,0))</f>
        <v>Yes</v>
      </c>
      <c r="I324" s="0" t="str">
        <f aca="false">IFERROR(INDEX(Areas!$C$2:$C$6,MATCH($A324,Areas!$B$2:$B$6,0)),"")</f>
        <v>Rest of Building</v>
      </c>
      <c r="J324" s="0" t="n">
        <f aca="false">IF(IF($B324="Trash",INDEX('Materials Master'!$F$2:$F$27,MATCH($C324,'Materials Master'!$A$2:$A$27,0)),IF($B324="GMPC Recycling",INDEX('Materials Master'!$G$2:$G$27,MATCH($C324,'Materials Master'!$A$2:$A$27,0)),IF($B324="Organics Recycling",INDEX('Materials Master'!$H$2:$H$27,MATCH($C324,'Materials Master'!$A$2:$A$27,0)),IF($B324="Cardboard Recycling",INDEX('Materials Master'!$I$2:$I$27,MATCH($C324,'Materials Master'!$A$2:$A$27,0)),IF($B324="Paper Recycling",INDEX('Materials Master'!$J$2:$J$27,MATCH($C324,'Materials Master'!$A$2:$A$27,0)),IF($B324="Terracycle",INDEX('Materials Master'!$K$2:$K$27,MATCH($C324,'Materials Master'!$A$2:$A$27,0)),"No"))))))="Yes",1,0)</f>
        <v>0</v>
      </c>
    </row>
    <row r="325" customFormat="false" ht="15" hidden="false" customHeight="false" outlineLevel="0" collapsed="false">
      <c r="A325" s="0" t="s">
        <v>98</v>
      </c>
      <c r="B325" s="0" t="s">
        <v>103</v>
      </c>
      <c r="C325" s="0" t="s">
        <v>55</v>
      </c>
      <c r="D325" s="0" t="str">
        <f aca="false">IFERROR(INDEX('Materials Master'!$B$2:$B$27,MATCH($C325,'Materials Master'!$A$2:$A$27,0)),"")</f>
        <v>Soiled Metals</v>
      </c>
      <c r="E325" s="0" t="str">
        <f aca="false">IFERROR(INDEX('Materials Master'!$C$2:$C$27,MATCH($C325,'Materials Master'!$A$2:$A$27,0)),"")</f>
        <v>Metals</v>
      </c>
      <c r="F325" s="0" t="n">
        <f aca="false">IF(SUMIFS(Fact_SortedWeights!$E$2:$E$89,Fact_SortedWeights!$C$2:$C$89,$A325,Fact_SortedWeights!$B$2:$B$89,$B325)=0,0,SUMIFS(Fact_SortedWeights!$E$2:$E$89,Fact_SortedWeights!$C$2:$C$89,$A325,Fact_SortedWeights!$B$2:$B$89,$B325,Fact_SortedWeights!$D$2:$D$89,$C325)/SUMIFS(Fact_SortedWeights!$E$2:$E$89,Fact_SortedWeights!$C$2:$C$89,$A325,Fact_SortedWeights!$B$2:$B$89,$B325)*(IF($B325="Cardboard Recycling",SUMIFS(Fact_SortedWeights!$E$2:$E$89,Fact_SortedWeights!$C$2:$C$89,$A325,Fact_SortedWeights!$B$2:$B$89,$B325),SUMIFS(Fact_PreSortWeights!$E$2:$E$186,Fact_PreSortWeights!$C$2:$C$186,$A325,Fact_PreSortWeights!$B$2:$B$186,$B325))))</f>
        <v>0</v>
      </c>
      <c r="G325" s="0" t="n">
        <f aca="false">IF(AND(IF($B325="Trash",INDEX('Materials Master'!$F$2:$F$27,MATCH($C325,'Materials Master'!$A$2:$A$27,0)),IF($B325="GMPC Recycling",INDEX('Materials Master'!$G$2:$G$27,MATCH($C325,'Materials Master'!$A$2:$A$27,0)),IF($B325="Organics Recycling",INDEX('Materials Master'!$H$2:$H$27,MATCH($C325,'Materials Master'!$A$2:$A$27,0)),IF($B325="Cardboard Recycling",INDEX('Materials Master'!$I$2:$I$27,MATCH($C325,'Materials Master'!$A$2:$A$27,0)),IF($B325="Paper Recycling",INDEX('Materials Master'!$J$2:$J$27,MATCH($C325,'Materials Master'!$A$2:$A$27,0)),IF($B325="Terracycle",INDEX('Materials Master'!$K$2:$K$27,MATCH($C325,'Materials Master'!$A$2:$A$27,0)),"No"))))))="Yes",INDEX('Materials Master'!$E$2:$E$27,MATCH($C325,'Materials Master'!$A$2:$A$27,0))="Yes",$B325&lt;&gt;"Trash"),1,0)</f>
        <v>0</v>
      </c>
      <c r="H325" s="0" t="str">
        <f aca="false">INDEX('Materials Master'!$E$2:$E$27,MATCH($C325,'Materials Master'!$A$2:$A$27,0))</f>
        <v>No</v>
      </c>
      <c r="I325" s="0" t="str">
        <f aca="false">IFERROR(INDEX(Areas!$C$2:$C$6,MATCH($A325,Areas!$B$2:$B$6,0)),"")</f>
        <v>Rest of Building</v>
      </c>
      <c r="J325" s="0" t="n">
        <f aca="false">IF(IF($B325="Trash",INDEX('Materials Master'!$F$2:$F$27,MATCH($C325,'Materials Master'!$A$2:$A$27,0)),IF($B325="GMPC Recycling",INDEX('Materials Master'!$G$2:$G$27,MATCH($C325,'Materials Master'!$A$2:$A$27,0)),IF($B325="Organics Recycling",INDEX('Materials Master'!$H$2:$H$27,MATCH($C325,'Materials Master'!$A$2:$A$27,0)),IF($B325="Cardboard Recycling",INDEX('Materials Master'!$I$2:$I$27,MATCH($C325,'Materials Master'!$A$2:$A$27,0)),IF($B325="Paper Recycling",INDEX('Materials Master'!$J$2:$J$27,MATCH($C325,'Materials Master'!$A$2:$A$27,0)),IF($B325="Terracycle",INDEX('Materials Master'!$K$2:$K$27,MATCH($C325,'Materials Master'!$A$2:$A$27,0)),"No"))))))="Yes",1,0)</f>
        <v>1</v>
      </c>
    </row>
    <row r="326" customFormat="false" ht="15" hidden="false" customHeight="false" outlineLevel="0" collapsed="false">
      <c r="A326" s="0" t="s">
        <v>98</v>
      </c>
      <c r="B326" s="0" t="s">
        <v>103</v>
      </c>
      <c r="C326" s="0" t="s">
        <v>57</v>
      </c>
      <c r="D326" s="0" t="str">
        <f aca="false">IFERROR(INDEX('Materials Master'!$B$2:$B$27,MATCH($C326,'Materials Master'!$A$2:$A$27,0)),"")</f>
        <v>Rigid Plastics (1-6)</v>
      </c>
      <c r="E326" s="0" t="str">
        <f aca="false">IFERROR(INDEX('Materials Master'!$C$2:$C$27,MATCH($C326,'Materials Master'!$A$2:$A$27,0)),"")</f>
        <v>Plastics</v>
      </c>
      <c r="F326" s="0" t="n">
        <f aca="false">IF(SUMIFS(Fact_SortedWeights!$E$2:$E$89,Fact_SortedWeights!$C$2:$C$89,$A326,Fact_SortedWeights!$B$2:$B$89,$B326)=0,0,SUMIFS(Fact_SortedWeights!$E$2:$E$89,Fact_SortedWeights!$C$2:$C$89,$A326,Fact_SortedWeights!$B$2:$B$89,$B326,Fact_SortedWeights!$D$2:$D$89,$C326)/SUMIFS(Fact_SortedWeights!$E$2:$E$89,Fact_SortedWeights!$C$2:$C$89,$A326,Fact_SortedWeights!$B$2:$B$89,$B326)*(IF($B326="Cardboard Recycling",SUMIFS(Fact_SortedWeights!$E$2:$E$89,Fact_SortedWeights!$C$2:$C$89,$A326,Fact_SortedWeights!$B$2:$B$89,$B326),SUMIFS(Fact_PreSortWeights!$E$2:$E$186,Fact_PreSortWeights!$C$2:$C$186,$A326,Fact_PreSortWeights!$B$2:$B$186,$B326))))</f>
        <v>0</v>
      </c>
      <c r="G326" s="0" t="n">
        <f aca="false">IF(AND(IF($B326="Trash",INDEX('Materials Master'!$F$2:$F$27,MATCH($C326,'Materials Master'!$A$2:$A$27,0)),IF($B326="GMPC Recycling",INDEX('Materials Master'!$G$2:$G$27,MATCH($C326,'Materials Master'!$A$2:$A$27,0)),IF($B326="Organics Recycling",INDEX('Materials Master'!$H$2:$H$27,MATCH($C326,'Materials Master'!$A$2:$A$27,0)),IF($B326="Cardboard Recycling",INDEX('Materials Master'!$I$2:$I$27,MATCH($C326,'Materials Master'!$A$2:$A$27,0)),IF($B326="Paper Recycling",INDEX('Materials Master'!$J$2:$J$27,MATCH($C326,'Materials Master'!$A$2:$A$27,0)),IF($B326="Terracycle",INDEX('Materials Master'!$K$2:$K$27,MATCH($C326,'Materials Master'!$A$2:$A$27,0)),"No"))))))="Yes",INDEX('Materials Master'!$E$2:$E$27,MATCH($C326,'Materials Master'!$A$2:$A$27,0))="Yes",$B326&lt;&gt;"Trash"),1,0)</f>
        <v>0</v>
      </c>
      <c r="H326" s="0" t="str">
        <f aca="false">INDEX('Materials Master'!$E$2:$E$27,MATCH($C326,'Materials Master'!$A$2:$A$27,0))</f>
        <v>Yes</v>
      </c>
      <c r="I326" s="0" t="str">
        <f aca="false">IFERROR(INDEX(Areas!$C$2:$C$6,MATCH($A326,Areas!$B$2:$B$6,0)),"")</f>
        <v>Rest of Building</v>
      </c>
      <c r="J326" s="0" t="n">
        <f aca="false">IF(IF($B326="Trash",INDEX('Materials Master'!$F$2:$F$27,MATCH($C326,'Materials Master'!$A$2:$A$27,0)),IF($B326="GMPC Recycling",INDEX('Materials Master'!$G$2:$G$27,MATCH($C326,'Materials Master'!$A$2:$A$27,0)),IF($B326="Organics Recycling",INDEX('Materials Master'!$H$2:$H$27,MATCH($C326,'Materials Master'!$A$2:$A$27,0)),IF($B326="Cardboard Recycling",INDEX('Materials Master'!$I$2:$I$27,MATCH($C326,'Materials Master'!$A$2:$A$27,0)),IF($B326="Paper Recycling",INDEX('Materials Master'!$J$2:$J$27,MATCH($C326,'Materials Master'!$A$2:$A$27,0)),IF($B326="Terracycle",INDEX('Materials Master'!$K$2:$K$27,MATCH($C326,'Materials Master'!$A$2:$A$27,0)),"No"))))))="Yes",1,0)</f>
        <v>0</v>
      </c>
    </row>
    <row r="327" customFormat="false" ht="15" hidden="false" customHeight="false" outlineLevel="0" collapsed="false">
      <c r="A327" s="0" t="s">
        <v>98</v>
      </c>
      <c r="B327" s="0" t="s">
        <v>103</v>
      </c>
      <c r="C327" s="0" t="s">
        <v>60</v>
      </c>
      <c r="D327" s="0" t="str">
        <f aca="false">IFERROR(INDEX('Materials Master'!$B$2:$B$27,MATCH($C327,'Materials Master'!$A$2:$A$27,0)),"")</f>
        <v>Soiled Rigid Plastics</v>
      </c>
      <c r="E327" s="0" t="str">
        <f aca="false">IFERROR(INDEX('Materials Master'!$C$2:$C$27,MATCH($C327,'Materials Master'!$A$2:$A$27,0)),"")</f>
        <v>Plastics</v>
      </c>
      <c r="F327" s="0" t="n">
        <f aca="false">IF(SUMIFS(Fact_SortedWeights!$E$2:$E$89,Fact_SortedWeights!$C$2:$C$89,$A327,Fact_SortedWeights!$B$2:$B$89,$B327)=0,0,SUMIFS(Fact_SortedWeights!$E$2:$E$89,Fact_SortedWeights!$C$2:$C$89,$A327,Fact_SortedWeights!$B$2:$B$89,$B327,Fact_SortedWeights!$D$2:$D$89,$C327)/SUMIFS(Fact_SortedWeights!$E$2:$E$89,Fact_SortedWeights!$C$2:$C$89,$A327,Fact_SortedWeights!$B$2:$B$89,$B327)*(IF($B327="Cardboard Recycling",SUMIFS(Fact_SortedWeights!$E$2:$E$89,Fact_SortedWeights!$C$2:$C$89,$A327,Fact_SortedWeights!$B$2:$B$89,$B327),SUMIFS(Fact_PreSortWeights!$E$2:$E$186,Fact_PreSortWeights!$C$2:$C$186,$A327,Fact_PreSortWeights!$B$2:$B$186,$B327))))</f>
        <v>0</v>
      </c>
      <c r="G327" s="0" t="n">
        <f aca="false">IF(AND(IF($B327="Trash",INDEX('Materials Master'!$F$2:$F$27,MATCH($C327,'Materials Master'!$A$2:$A$27,0)),IF($B327="GMPC Recycling",INDEX('Materials Master'!$G$2:$G$27,MATCH($C327,'Materials Master'!$A$2:$A$27,0)),IF($B327="Organics Recycling",INDEX('Materials Master'!$H$2:$H$27,MATCH($C327,'Materials Master'!$A$2:$A$27,0)),IF($B327="Cardboard Recycling",INDEX('Materials Master'!$I$2:$I$27,MATCH($C327,'Materials Master'!$A$2:$A$27,0)),IF($B327="Paper Recycling",INDEX('Materials Master'!$J$2:$J$27,MATCH($C327,'Materials Master'!$A$2:$A$27,0)),IF($B327="Terracycle",INDEX('Materials Master'!$K$2:$K$27,MATCH($C327,'Materials Master'!$A$2:$A$27,0)),"No"))))))="Yes",INDEX('Materials Master'!$E$2:$E$27,MATCH($C327,'Materials Master'!$A$2:$A$27,0))="Yes",$B327&lt;&gt;"Trash"),1,0)</f>
        <v>0</v>
      </c>
      <c r="H327" s="0" t="str">
        <f aca="false">INDEX('Materials Master'!$E$2:$E$27,MATCH($C327,'Materials Master'!$A$2:$A$27,0))</f>
        <v>No</v>
      </c>
      <c r="I327" s="0" t="str">
        <f aca="false">IFERROR(INDEX(Areas!$C$2:$C$6,MATCH($A327,Areas!$B$2:$B$6,0)),"")</f>
        <v>Rest of Building</v>
      </c>
      <c r="J327" s="0" t="n">
        <f aca="false">IF(IF($B327="Trash",INDEX('Materials Master'!$F$2:$F$27,MATCH($C327,'Materials Master'!$A$2:$A$27,0)),IF($B327="GMPC Recycling",INDEX('Materials Master'!$G$2:$G$27,MATCH($C327,'Materials Master'!$A$2:$A$27,0)),IF($B327="Organics Recycling",INDEX('Materials Master'!$H$2:$H$27,MATCH($C327,'Materials Master'!$A$2:$A$27,0)),IF($B327="Cardboard Recycling",INDEX('Materials Master'!$I$2:$I$27,MATCH($C327,'Materials Master'!$A$2:$A$27,0)),IF($B327="Paper Recycling",INDEX('Materials Master'!$J$2:$J$27,MATCH($C327,'Materials Master'!$A$2:$A$27,0)),IF($B327="Terracycle",INDEX('Materials Master'!$K$2:$K$27,MATCH($C327,'Materials Master'!$A$2:$A$27,0)),"No"))))))="Yes",1,0)</f>
        <v>1</v>
      </c>
    </row>
    <row r="328" customFormat="false" ht="15" hidden="false" customHeight="false" outlineLevel="0" collapsed="false">
      <c r="A328" s="0" t="s">
        <v>98</v>
      </c>
      <c r="B328" s="0" t="s">
        <v>103</v>
      </c>
      <c r="C328" s="0" t="s">
        <v>62</v>
      </c>
      <c r="D328" s="0" t="str">
        <f aca="false">IFERROR(INDEX('Materials Master'!$B$2:$B$27,MATCH($C328,'Materials Master'!$A$2:$A$27,0)),"")</f>
        <v>Film Plastics</v>
      </c>
      <c r="E328" s="0" t="str">
        <f aca="false">IFERROR(INDEX('Materials Master'!$C$2:$C$27,MATCH($C328,'Materials Master'!$A$2:$A$27,0)),"")</f>
        <v>Plastics</v>
      </c>
      <c r="F328" s="0" t="n">
        <f aca="false">IF(SUMIFS(Fact_SortedWeights!$E$2:$E$89,Fact_SortedWeights!$C$2:$C$89,$A328,Fact_SortedWeights!$B$2:$B$89,$B328)=0,0,SUMIFS(Fact_SortedWeights!$E$2:$E$89,Fact_SortedWeights!$C$2:$C$89,$A328,Fact_SortedWeights!$B$2:$B$89,$B328,Fact_SortedWeights!$D$2:$D$89,$C328)/SUMIFS(Fact_SortedWeights!$E$2:$E$89,Fact_SortedWeights!$C$2:$C$89,$A328,Fact_SortedWeights!$B$2:$B$89,$B328)*(IF($B328="Cardboard Recycling",SUMIFS(Fact_SortedWeights!$E$2:$E$89,Fact_SortedWeights!$C$2:$C$89,$A328,Fact_SortedWeights!$B$2:$B$89,$B328),SUMIFS(Fact_PreSortWeights!$E$2:$E$186,Fact_PreSortWeights!$C$2:$C$186,$A328,Fact_PreSortWeights!$B$2:$B$186,$B328))))</f>
        <v>0</v>
      </c>
      <c r="G328" s="0" t="n">
        <f aca="false">IF(AND(IF($B328="Trash",INDEX('Materials Master'!$F$2:$F$27,MATCH($C328,'Materials Master'!$A$2:$A$27,0)),IF($B328="GMPC Recycling",INDEX('Materials Master'!$G$2:$G$27,MATCH($C328,'Materials Master'!$A$2:$A$27,0)),IF($B328="Organics Recycling",INDEX('Materials Master'!$H$2:$H$27,MATCH($C328,'Materials Master'!$A$2:$A$27,0)),IF($B328="Cardboard Recycling",INDEX('Materials Master'!$I$2:$I$27,MATCH($C328,'Materials Master'!$A$2:$A$27,0)),IF($B328="Paper Recycling",INDEX('Materials Master'!$J$2:$J$27,MATCH($C328,'Materials Master'!$A$2:$A$27,0)),IF($B328="Terracycle",INDEX('Materials Master'!$K$2:$K$27,MATCH($C328,'Materials Master'!$A$2:$A$27,0)),"No"))))))="Yes",INDEX('Materials Master'!$E$2:$E$27,MATCH($C328,'Materials Master'!$A$2:$A$27,0))="Yes",$B328&lt;&gt;"Trash"),1,0)</f>
        <v>0</v>
      </c>
      <c r="H328" s="0" t="str">
        <f aca="false">INDEX('Materials Master'!$E$2:$E$27,MATCH($C328,'Materials Master'!$A$2:$A$27,0))</f>
        <v>No</v>
      </c>
      <c r="I328" s="0" t="str">
        <f aca="false">IFERROR(INDEX(Areas!$C$2:$C$6,MATCH($A328,Areas!$B$2:$B$6,0)),"")</f>
        <v>Rest of Building</v>
      </c>
      <c r="J328" s="0" t="n">
        <f aca="false">IF(IF($B328="Trash",INDEX('Materials Master'!$F$2:$F$27,MATCH($C328,'Materials Master'!$A$2:$A$27,0)),IF($B328="GMPC Recycling",INDEX('Materials Master'!$G$2:$G$27,MATCH($C328,'Materials Master'!$A$2:$A$27,0)),IF($B328="Organics Recycling",INDEX('Materials Master'!$H$2:$H$27,MATCH($C328,'Materials Master'!$A$2:$A$27,0)),IF($B328="Cardboard Recycling",INDEX('Materials Master'!$I$2:$I$27,MATCH($C328,'Materials Master'!$A$2:$A$27,0)),IF($B328="Paper Recycling",INDEX('Materials Master'!$J$2:$J$27,MATCH($C328,'Materials Master'!$A$2:$A$27,0)),IF($B328="Terracycle",INDEX('Materials Master'!$K$2:$K$27,MATCH($C328,'Materials Master'!$A$2:$A$27,0)),"No"))))))="Yes",1,0)</f>
        <v>1</v>
      </c>
    </row>
    <row r="329" customFormat="false" ht="15" hidden="false" customHeight="false" outlineLevel="0" collapsed="false">
      <c r="A329" s="0" t="s">
        <v>98</v>
      </c>
      <c r="B329" s="0" t="s">
        <v>103</v>
      </c>
      <c r="C329" s="0" t="s">
        <v>64</v>
      </c>
      <c r="D329" s="0" t="str">
        <f aca="false">IFERROR(INDEX('Materials Master'!$B$2:$B$27,MATCH($C329,'Materials Master'!$A$2:$A$27,0)),"")</f>
        <v>Foams</v>
      </c>
      <c r="E329" s="0" t="str">
        <f aca="false">IFERROR(INDEX('Materials Master'!$C$2:$C$27,MATCH($C329,'Materials Master'!$A$2:$A$27,0)),"")</f>
        <v>Plastics</v>
      </c>
      <c r="F329" s="0" t="n">
        <f aca="false">IF(SUMIFS(Fact_SortedWeights!$E$2:$E$89,Fact_SortedWeights!$C$2:$C$89,$A329,Fact_SortedWeights!$B$2:$B$89,$B329)=0,0,SUMIFS(Fact_SortedWeights!$E$2:$E$89,Fact_SortedWeights!$C$2:$C$89,$A329,Fact_SortedWeights!$B$2:$B$89,$B329,Fact_SortedWeights!$D$2:$D$89,$C329)/SUMIFS(Fact_SortedWeights!$E$2:$E$89,Fact_SortedWeights!$C$2:$C$89,$A329,Fact_SortedWeights!$B$2:$B$89,$B329)*(IF($B329="Cardboard Recycling",SUMIFS(Fact_SortedWeights!$E$2:$E$89,Fact_SortedWeights!$C$2:$C$89,$A329,Fact_SortedWeights!$B$2:$B$89,$B329),SUMIFS(Fact_PreSortWeights!$E$2:$E$186,Fact_PreSortWeights!$C$2:$C$186,$A329,Fact_PreSortWeights!$B$2:$B$186,$B329))))</f>
        <v>0</v>
      </c>
      <c r="G329" s="0" t="n">
        <f aca="false">IF(AND(IF($B329="Trash",INDEX('Materials Master'!$F$2:$F$27,MATCH($C329,'Materials Master'!$A$2:$A$27,0)),IF($B329="GMPC Recycling",INDEX('Materials Master'!$G$2:$G$27,MATCH($C329,'Materials Master'!$A$2:$A$27,0)),IF($B329="Organics Recycling",INDEX('Materials Master'!$H$2:$H$27,MATCH($C329,'Materials Master'!$A$2:$A$27,0)),IF($B329="Cardboard Recycling",INDEX('Materials Master'!$I$2:$I$27,MATCH($C329,'Materials Master'!$A$2:$A$27,0)),IF($B329="Paper Recycling",INDEX('Materials Master'!$J$2:$J$27,MATCH($C329,'Materials Master'!$A$2:$A$27,0)),IF($B329="Terracycle",INDEX('Materials Master'!$K$2:$K$27,MATCH($C329,'Materials Master'!$A$2:$A$27,0)),"No"))))))="Yes",INDEX('Materials Master'!$E$2:$E$27,MATCH($C329,'Materials Master'!$A$2:$A$27,0))="Yes",$B329&lt;&gt;"Trash"),1,0)</f>
        <v>0</v>
      </c>
      <c r="H329" s="0" t="str">
        <f aca="false">INDEX('Materials Master'!$E$2:$E$27,MATCH($C329,'Materials Master'!$A$2:$A$27,0))</f>
        <v>No</v>
      </c>
      <c r="I329" s="0" t="str">
        <f aca="false">IFERROR(INDEX(Areas!$C$2:$C$6,MATCH($A329,Areas!$B$2:$B$6,0)),"")</f>
        <v>Rest of Building</v>
      </c>
      <c r="J329" s="0" t="n">
        <f aca="false">IF(IF($B329="Trash",INDEX('Materials Master'!$F$2:$F$27,MATCH($C329,'Materials Master'!$A$2:$A$27,0)),IF($B329="GMPC Recycling",INDEX('Materials Master'!$G$2:$G$27,MATCH($C329,'Materials Master'!$A$2:$A$27,0)),IF($B329="Organics Recycling",INDEX('Materials Master'!$H$2:$H$27,MATCH($C329,'Materials Master'!$A$2:$A$27,0)),IF($B329="Cardboard Recycling",INDEX('Materials Master'!$I$2:$I$27,MATCH($C329,'Materials Master'!$A$2:$A$27,0)),IF($B329="Paper Recycling",INDEX('Materials Master'!$J$2:$J$27,MATCH($C329,'Materials Master'!$A$2:$A$27,0)),IF($B329="Terracycle",INDEX('Materials Master'!$K$2:$K$27,MATCH($C329,'Materials Master'!$A$2:$A$27,0)),"No"))))))="Yes",1,0)</f>
        <v>1</v>
      </c>
    </row>
    <row r="330" customFormat="false" ht="15" hidden="false" customHeight="false" outlineLevel="0" collapsed="false">
      <c r="A330" s="0" t="s">
        <v>98</v>
      </c>
      <c r="B330" s="0" t="s">
        <v>103</v>
      </c>
      <c r="C330" s="0" t="s">
        <v>66</v>
      </c>
      <c r="D330" s="0" t="str">
        <f aca="false">IFERROR(INDEX('Materials Master'!$B$2:$B$27,MATCH($C330,'Materials Master'!$A$2:$A$27,0)),"")</f>
        <v>Food Waste</v>
      </c>
      <c r="E330" s="0" t="str">
        <f aca="false">IFERROR(INDEX('Materials Master'!$C$2:$C$27,MATCH($C330,'Materials Master'!$A$2:$A$27,0)),"")</f>
        <v>Organics</v>
      </c>
      <c r="F330" s="0" t="n">
        <f aca="false">IF(SUMIFS(Fact_SortedWeights!$E$2:$E$89,Fact_SortedWeights!$C$2:$C$89,$A330,Fact_SortedWeights!$B$2:$B$89,$B330)=0,0,SUMIFS(Fact_SortedWeights!$E$2:$E$89,Fact_SortedWeights!$C$2:$C$89,$A330,Fact_SortedWeights!$B$2:$B$89,$B330,Fact_SortedWeights!$D$2:$D$89,$C330)/SUMIFS(Fact_SortedWeights!$E$2:$E$89,Fact_SortedWeights!$C$2:$C$89,$A330,Fact_SortedWeights!$B$2:$B$89,$B330)*(IF($B330="Cardboard Recycling",SUMIFS(Fact_SortedWeights!$E$2:$E$89,Fact_SortedWeights!$C$2:$C$89,$A330,Fact_SortedWeights!$B$2:$B$89,$B330),SUMIFS(Fact_PreSortWeights!$E$2:$E$186,Fact_PreSortWeights!$C$2:$C$186,$A330,Fact_PreSortWeights!$B$2:$B$186,$B330))))</f>
        <v>0</v>
      </c>
      <c r="G330" s="0" t="n">
        <f aca="false">IF(AND(IF($B330="Trash",INDEX('Materials Master'!$F$2:$F$27,MATCH($C330,'Materials Master'!$A$2:$A$27,0)),IF($B330="GMPC Recycling",INDEX('Materials Master'!$G$2:$G$27,MATCH($C330,'Materials Master'!$A$2:$A$27,0)),IF($B330="Organics Recycling",INDEX('Materials Master'!$H$2:$H$27,MATCH($C330,'Materials Master'!$A$2:$A$27,0)),IF($B330="Cardboard Recycling",INDEX('Materials Master'!$I$2:$I$27,MATCH($C330,'Materials Master'!$A$2:$A$27,0)),IF($B330="Paper Recycling",INDEX('Materials Master'!$J$2:$J$27,MATCH($C330,'Materials Master'!$A$2:$A$27,0)),IF($B330="Terracycle",INDEX('Materials Master'!$K$2:$K$27,MATCH($C330,'Materials Master'!$A$2:$A$27,0)),"No"))))))="Yes",INDEX('Materials Master'!$E$2:$E$27,MATCH($C330,'Materials Master'!$A$2:$A$27,0))="Yes",$B330&lt;&gt;"Trash"),1,0)</f>
        <v>0</v>
      </c>
      <c r="H330" s="0" t="str">
        <f aca="false">INDEX('Materials Master'!$E$2:$E$27,MATCH($C330,'Materials Master'!$A$2:$A$27,0))</f>
        <v>Yes</v>
      </c>
      <c r="I330" s="0" t="str">
        <f aca="false">IFERROR(INDEX(Areas!$C$2:$C$6,MATCH($A330,Areas!$B$2:$B$6,0)),"")</f>
        <v>Rest of Building</v>
      </c>
      <c r="J330" s="0" t="n">
        <f aca="false">IF(IF($B330="Trash",INDEX('Materials Master'!$F$2:$F$27,MATCH($C330,'Materials Master'!$A$2:$A$27,0)),IF($B330="GMPC Recycling",INDEX('Materials Master'!$G$2:$G$27,MATCH($C330,'Materials Master'!$A$2:$A$27,0)),IF($B330="Organics Recycling",INDEX('Materials Master'!$H$2:$H$27,MATCH($C330,'Materials Master'!$A$2:$A$27,0)),IF($B330="Cardboard Recycling",INDEX('Materials Master'!$I$2:$I$27,MATCH($C330,'Materials Master'!$A$2:$A$27,0)),IF($B330="Paper Recycling",INDEX('Materials Master'!$J$2:$J$27,MATCH($C330,'Materials Master'!$A$2:$A$27,0)),IF($B330="Terracycle",INDEX('Materials Master'!$K$2:$K$27,MATCH($C330,'Materials Master'!$A$2:$A$27,0)),"No"))))))="Yes",1,0)</f>
        <v>0</v>
      </c>
    </row>
    <row r="331" customFormat="false" ht="15" hidden="false" customHeight="false" outlineLevel="0" collapsed="false">
      <c r="A331" s="0" t="s">
        <v>98</v>
      </c>
      <c r="B331" s="0" t="s">
        <v>103</v>
      </c>
      <c r="C331" s="0" t="s">
        <v>69</v>
      </c>
      <c r="D331" s="0" t="str">
        <f aca="false">IFERROR(INDEX('Materials Master'!$B$2:$B$27,MATCH($C331,'Materials Master'!$A$2:$A$27,0)),"")</f>
        <v>Paper Fibers and Food-Soiled Paper (FSP)</v>
      </c>
      <c r="E331" s="0" t="str">
        <f aca="false">IFERROR(INDEX('Materials Master'!$C$2:$C$27,MATCH($C331,'Materials Master'!$A$2:$A$27,0)),"")</f>
        <v>Organics</v>
      </c>
      <c r="F331" s="0" t="n">
        <f aca="false">IF(SUMIFS(Fact_SortedWeights!$E$2:$E$89,Fact_SortedWeights!$C$2:$C$89,$A331,Fact_SortedWeights!$B$2:$B$89,$B331)=0,0,SUMIFS(Fact_SortedWeights!$E$2:$E$89,Fact_SortedWeights!$C$2:$C$89,$A331,Fact_SortedWeights!$B$2:$B$89,$B331,Fact_SortedWeights!$D$2:$D$89,$C331)/SUMIFS(Fact_SortedWeights!$E$2:$E$89,Fact_SortedWeights!$C$2:$C$89,$A331,Fact_SortedWeights!$B$2:$B$89,$B331)*(IF($B331="Cardboard Recycling",SUMIFS(Fact_SortedWeights!$E$2:$E$89,Fact_SortedWeights!$C$2:$C$89,$A331,Fact_SortedWeights!$B$2:$B$89,$B331),SUMIFS(Fact_PreSortWeights!$E$2:$E$186,Fact_PreSortWeights!$C$2:$C$186,$A331,Fact_PreSortWeights!$B$2:$B$186,$B331))))</f>
        <v>0</v>
      </c>
      <c r="G331" s="0" t="n">
        <f aca="false">IF(AND(IF($B331="Trash",INDEX('Materials Master'!$F$2:$F$27,MATCH($C331,'Materials Master'!$A$2:$A$27,0)),IF($B331="GMPC Recycling",INDEX('Materials Master'!$G$2:$G$27,MATCH($C331,'Materials Master'!$A$2:$A$27,0)),IF($B331="Organics Recycling",INDEX('Materials Master'!$H$2:$H$27,MATCH($C331,'Materials Master'!$A$2:$A$27,0)),IF($B331="Cardboard Recycling",INDEX('Materials Master'!$I$2:$I$27,MATCH($C331,'Materials Master'!$A$2:$A$27,0)),IF($B331="Paper Recycling",INDEX('Materials Master'!$J$2:$J$27,MATCH($C331,'Materials Master'!$A$2:$A$27,0)),IF($B331="Terracycle",INDEX('Materials Master'!$K$2:$K$27,MATCH($C331,'Materials Master'!$A$2:$A$27,0)),"No"))))))="Yes",INDEX('Materials Master'!$E$2:$E$27,MATCH($C331,'Materials Master'!$A$2:$A$27,0))="Yes",$B331&lt;&gt;"Trash"),1,0)</f>
        <v>0</v>
      </c>
      <c r="H331" s="0" t="str">
        <f aca="false">INDEX('Materials Master'!$E$2:$E$27,MATCH($C331,'Materials Master'!$A$2:$A$27,0))</f>
        <v>No</v>
      </c>
      <c r="I331" s="0" t="str">
        <f aca="false">IFERROR(INDEX(Areas!$C$2:$C$6,MATCH($A331,Areas!$B$2:$B$6,0)),"")</f>
        <v>Rest of Building</v>
      </c>
      <c r="J331" s="0" t="n">
        <f aca="false">IF(IF($B331="Trash",INDEX('Materials Master'!$F$2:$F$27,MATCH($C331,'Materials Master'!$A$2:$A$27,0)),IF($B331="GMPC Recycling",INDEX('Materials Master'!$G$2:$G$27,MATCH($C331,'Materials Master'!$A$2:$A$27,0)),IF($B331="Organics Recycling",INDEX('Materials Master'!$H$2:$H$27,MATCH($C331,'Materials Master'!$A$2:$A$27,0)),IF($B331="Cardboard Recycling",INDEX('Materials Master'!$I$2:$I$27,MATCH($C331,'Materials Master'!$A$2:$A$27,0)),IF($B331="Paper Recycling",INDEX('Materials Master'!$J$2:$J$27,MATCH($C331,'Materials Master'!$A$2:$A$27,0)),IF($B331="Terracycle",INDEX('Materials Master'!$K$2:$K$27,MATCH($C331,'Materials Master'!$A$2:$A$27,0)),"No"))))))="Yes",1,0)</f>
        <v>1</v>
      </c>
    </row>
    <row r="332" customFormat="false" ht="15" hidden="false" customHeight="false" outlineLevel="0" collapsed="false">
      <c r="A332" s="0" t="s">
        <v>98</v>
      </c>
      <c r="B332" s="0" t="s">
        <v>103</v>
      </c>
      <c r="C332" s="0" t="s">
        <v>71</v>
      </c>
      <c r="D332" s="0" t="str">
        <f aca="false">IFERROR(INDEX('Materials Master'!$B$2:$B$27,MATCH($C332,'Materials Master'!$A$2:$A$27,0)),"")</f>
        <v>Fiber-based Compostable Serviceware</v>
      </c>
      <c r="E332" s="0" t="str">
        <f aca="false">IFERROR(INDEX('Materials Master'!$C$2:$C$27,MATCH($C332,'Materials Master'!$A$2:$A$27,0)),"")</f>
        <v>Organics</v>
      </c>
      <c r="F332" s="0" t="n">
        <f aca="false">IF(SUMIFS(Fact_SortedWeights!$E$2:$E$89,Fact_SortedWeights!$C$2:$C$89,$A332,Fact_SortedWeights!$B$2:$B$89,$B332)=0,0,SUMIFS(Fact_SortedWeights!$E$2:$E$89,Fact_SortedWeights!$C$2:$C$89,$A332,Fact_SortedWeights!$B$2:$B$89,$B332,Fact_SortedWeights!$D$2:$D$89,$C332)/SUMIFS(Fact_SortedWeights!$E$2:$E$89,Fact_SortedWeights!$C$2:$C$89,$A332,Fact_SortedWeights!$B$2:$B$89,$B332)*(IF($B332="Cardboard Recycling",SUMIFS(Fact_SortedWeights!$E$2:$E$89,Fact_SortedWeights!$C$2:$C$89,$A332,Fact_SortedWeights!$B$2:$B$89,$B332),SUMIFS(Fact_PreSortWeights!$E$2:$E$186,Fact_PreSortWeights!$C$2:$C$186,$A332,Fact_PreSortWeights!$B$2:$B$186,$B332))))</f>
        <v>0</v>
      </c>
      <c r="G332" s="0" t="n">
        <f aca="false">IF(AND(IF($B332="Trash",INDEX('Materials Master'!$F$2:$F$27,MATCH($C332,'Materials Master'!$A$2:$A$27,0)),IF($B332="GMPC Recycling",INDEX('Materials Master'!$G$2:$G$27,MATCH($C332,'Materials Master'!$A$2:$A$27,0)),IF($B332="Organics Recycling",INDEX('Materials Master'!$H$2:$H$27,MATCH($C332,'Materials Master'!$A$2:$A$27,0)),IF($B332="Cardboard Recycling",INDEX('Materials Master'!$I$2:$I$27,MATCH($C332,'Materials Master'!$A$2:$A$27,0)),IF($B332="Paper Recycling",INDEX('Materials Master'!$J$2:$J$27,MATCH($C332,'Materials Master'!$A$2:$A$27,0)),IF($B332="Terracycle",INDEX('Materials Master'!$K$2:$K$27,MATCH($C332,'Materials Master'!$A$2:$A$27,0)),"No"))))))="Yes",INDEX('Materials Master'!$E$2:$E$27,MATCH($C332,'Materials Master'!$A$2:$A$27,0))="Yes",$B332&lt;&gt;"Trash"),1,0)</f>
        <v>0</v>
      </c>
      <c r="H332" s="0" t="str">
        <f aca="false">INDEX('Materials Master'!$E$2:$E$27,MATCH($C332,'Materials Master'!$A$2:$A$27,0))</f>
        <v>No</v>
      </c>
      <c r="I332" s="0" t="str">
        <f aca="false">IFERROR(INDEX(Areas!$C$2:$C$6,MATCH($A332,Areas!$B$2:$B$6,0)),"")</f>
        <v>Rest of Building</v>
      </c>
      <c r="J332" s="0" t="n">
        <f aca="false">IF(IF($B332="Trash",INDEX('Materials Master'!$F$2:$F$27,MATCH($C332,'Materials Master'!$A$2:$A$27,0)),IF($B332="GMPC Recycling",INDEX('Materials Master'!$G$2:$G$27,MATCH($C332,'Materials Master'!$A$2:$A$27,0)),IF($B332="Organics Recycling",INDEX('Materials Master'!$H$2:$H$27,MATCH($C332,'Materials Master'!$A$2:$A$27,0)),IF($B332="Cardboard Recycling",INDEX('Materials Master'!$I$2:$I$27,MATCH($C332,'Materials Master'!$A$2:$A$27,0)),IF($B332="Paper Recycling",INDEX('Materials Master'!$J$2:$J$27,MATCH($C332,'Materials Master'!$A$2:$A$27,0)),IF($B332="Terracycle",INDEX('Materials Master'!$K$2:$K$27,MATCH($C332,'Materials Master'!$A$2:$A$27,0)),"No"))))))="Yes",1,0)</f>
        <v>1</v>
      </c>
    </row>
    <row r="333" customFormat="false" ht="15" hidden="false" customHeight="false" outlineLevel="0" collapsed="false">
      <c r="A333" s="0" t="s">
        <v>98</v>
      </c>
      <c r="B333" s="0" t="s">
        <v>103</v>
      </c>
      <c r="C333" s="0" t="s">
        <v>73</v>
      </c>
      <c r="D333" s="0" t="str">
        <f aca="false">IFERROR(INDEX('Materials Master'!$B$2:$B$27,MATCH($C333,'Materials Master'!$A$2:$A$27,0)),"")</f>
        <v>PLA Compostable Serviceware</v>
      </c>
      <c r="E333" s="0" t="str">
        <f aca="false">IFERROR(INDEX('Materials Master'!$C$2:$C$27,MATCH($C333,'Materials Master'!$A$2:$A$27,0)),"")</f>
        <v>Organics</v>
      </c>
      <c r="F333" s="0" t="n">
        <f aca="false">IF(SUMIFS(Fact_SortedWeights!$E$2:$E$89,Fact_SortedWeights!$C$2:$C$89,$A333,Fact_SortedWeights!$B$2:$B$89,$B333)=0,0,SUMIFS(Fact_SortedWeights!$E$2:$E$89,Fact_SortedWeights!$C$2:$C$89,$A333,Fact_SortedWeights!$B$2:$B$89,$B333,Fact_SortedWeights!$D$2:$D$89,$C333)/SUMIFS(Fact_SortedWeights!$E$2:$E$89,Fact_SortedWeights!$C$2:$C$89,$A333,Fact_SortedWeights!$B$2:$B$89,$B333)*(IF($B333="Cardboard Recycling",SUMIFS(Fact_SortedWeights!$E$2:$E$89,Fact_SortedWeights!$C$2:$C$89,$A333,Fact_SortedWeights!$B$2:$B$89,$B333),SUMIFS(Fact_PreSortWeights!$E$2:$E$186,Fact_PreSortWeights!$C$2:$C$186,$A333,Fact_PreSortWeights!$B$2:$B$186,$B333))))</f>
        <v>0</v>
      </c>
      <c r="G333" s="0" t="n">
        <f aca="false">IF(AND(IF($B333="Trash",INDEX('Materials Master'!$F$2:$F$27,MATCH($C333,'Materials Master'!$A$2:$A$27,0)),IF($B333="GMPC Recycling",INDEX('Materials Master'!$G$2:$G$27,MATCH($C333,'Materials Master'!$A$2:$A$27,0)),IF($B333="Organics Recycling",INDEX('Materials Master'!$H$2:$H$27,MATCH($C333,'Materials Master'!$A$2:$A$27,0)),IF($B333="Cardboard Recycling",INDEX('Materials Master'!$I$2:$I$27,MATCH($C333,'Materials Master'!$A$2:$A$27,0)),IF($B333="Paper Recycling",INDEX('Materials Master'!$J$2:$J$27,MATCH($C333,'Materials Master'!$A$2:$A$27,0)),IF($B333="Terracycle",INDEX('Materials Master'!$K$2:$K$27,MATCH($C333,'Materials Master'!$A$2:$A$27,0)),"No"))))))="Yes",INDEX('Materials Master'!$E$2:$E$27,MATCH($C333,'Materials Master'!$A$2:$A$27,0))="Yes",$B333&lt;&gt;"Trash"),1,0)</f>
        <v>0</v>
      </c>
      <c r="H333" s="0" t="str">
        <f aca="false">INDEX('Materials Master'!$E$2:$E$27,MATCH($C333,'Materials Master'!$A$2:$A$27,0))</f>
        <v>No</v>
      </c>
      <c r="I333" s="0" t="str">
        <f aca="false">IFERROR(INDEX(Areas!$C$2:$C$6,MATCH($A333,Areas!$B$2:$B$6,0)),"")</f>
        <v>Rest of Building</v>
      </c>
      <c r="J333" s="0" t="n">
        <f aca="false">IF(IF($B333="Trash",INDEX('Materials Master'!$F$2:$F$27,MATCH($C333,'Materials Master'!$A$2:$A$27,0)),IF($B333="GMPC Recycling",INDEX('Materials Master'!$G$2:$G$27,MATCH($C333,'Materials Master'!$A$2:$A$27,0)),IF($B333="Organics Recycling",INDEX('Materials Master'!$H$2:$H$27,MATCH($C333,'Materials Master'!$A$2:$A$27,0)),IF($B333="Cardboard Recycling",INDEX('Materials Master'!$I$2:$I$27,MATCH($C333,'Materials Master'!$A$2:$A$27,0)),IF($B333="Paper Recycling",INDEX('Materials Master'!$J$2:$J$27,MATCH($C333,'Materials Master'!$A$2:$A$27,0)),IF($B333="Terracycle",INDEX('Materials Master'!$K$2:$K$27,MATCH($C333,'Materials Master'!$A$2:$A$27,0)),"No"))))))="Yes",1,0)</f>
        <v>1</v>
      </c>
    </row>
    <row r="334" customFormat="false" ht="15" hidden="false" customHeight="false" outlineLevel="0" collapsed="false">
      <c r="A334" s="0" t="s">
        <v>98</v>
      </c>
      <c r="B334" s="0" t="s">
        <v>103</v>
      </c>
      <c r="C334" s="0" t="s">
        <v>75</v>
      </c>
      <c r="D334" s="0" t="str">
        <f aca="false">IFERROR(INDEX('Materials Master'!$B$2:$B$27,MATCH($C334,'Materials Master'!$A$2:$A$27,0)),"")</f>
        <v>E/U Waste</v>
      </c>
      <c r="E334" s="0" t="str">
        <f aca="false">IFERROR(INDEX('Materials Master'!$C$2:$C$27,MATCH($C334,'Materials Master'!$A$2:$A$27,0)),"")</f>
        <v>Unacceptable</v>
      </c>
      <c r="F334" s="0" t="n">
        <f aca="false">IF(SUMIFS(Fact_SortedWeights!$E$2:$E$89,Fact_SortedWeights!$C$2:$C$89,$A334,Fact_SortedWeights!$B$2:$B$89,$B334)=0,0,SUMIFS(Fact_SortedWeights!$E$2:$E$89,Fact_SortedWeights!$C$2:$C$89,$A334,Fact_SortedWeights!$B$2:$B$89,$B334,Fact_SortedWeights!$D$2:$D$89,$C334)/SUMIFS(Fact_SortedWeights!$E$2:$E$89,Fact_SortedWeights!$C$2:$C$89,$A334,Fact_SortedWeights!$B$2:$B$89,$B334)*(IF($B334="Cardboard Recycling",SUMIFS(Fact_SortedWeights!$E$2:$E$89,Fact_SortedWeights!$C$2:$C$89,$A334,Fact_SortedWeights!$B$2:$B$89,$B334),SUMIFS(Fact_PreSortWeights!$E$2:$E$186,Fact_PreSortWeights!$C$2:$C$186,$A334,Fact_PreSortWeights!$B$2:$B$186,$B334))))</f>
        <v>0</v>
      </c>
      <c r="G334" s="0" t="n">
        <f aca="false">IF(AND(IF($B334="Trash",INDEX('Materials Master'!$F$2:$F$27,MATCH($C334,'Materials Master'!$A$2:$A$27,0)),IF($B334="GMPC Recycling",INDEX('Materials Master'!$G$2:$G$27,MATCH($C334,'Materials Master'!$A$2:$A$27,0)),IF($B334="Organics Recycling",INDEX('Materials Master'!$H$2:$H$27,MATCH($C334,'Materials Master'!$A$2:$A$27,0)),IF($B334="Cardboard Recycling",INDEX('Materials Master'!$I$2:$I$27,MATCH($C334,'Materials Master'!$A$2:$A$27,0)),IF($B334="Paper Recycling",INDEX('Materials Master'!$J$2:$J$27,MATCH($C334,'Materials Master'!$A$2:$A$27,0)),IF($B334="Terracycle",INDEX('Materials Master'!$K$2:$K$27,MATCH($C334,'Materials Master'!$A$2:$A$27,0)),"No"))))))="Yes",INDEX('Materials Master'!$E$2:$E$27,MATCH($C334,'Materials Master'!$A$2:$A$27,0))="Yes",$B334&lt;&gt;"Trash"),1,0)</f>
        <v>0</v>
      </c>
      <c r="H334" s="0" t="str">
        <f aca="false">INDEX('Materials Master'!$E$2:$E$27,MATCH($C334,'Materials Master'!$A$2:$A$27,0))</f>
        <v>No</v>
      </c>
      <c r="I334" s="0" t="str">
        <f aca="false">IFERROR(INDEX(Areas!$C$2:$C$6,MATCH($A334,Areas!$B$2:$B$6,0)),"")</f>
        <v>Rest of Building</v>
      </c>
      <c r="J334" s="0" t="n">
        <f aca="false">IF(IF($B334="Trash",INDEX('Materials Master'!$F$2:$F$27,MATCH($C334,'Materials Master'!$A$2:$A$27,0)),IF($B334="GMPC Recycling",INDEX('Materials Master'!$G$2:$G$27,MATCH($C334,'Materials Master'!$A$2:$A$27,0)),IF($B334="Organics Recycling",INDEX('Materials Master'!$H$2:$H$27,MATCH($C334,'Materials Master'!$A$2:$A$27,0)),IF($B334="Cardboard Recycling",INDEX('Materials Master'!$I$2:$I$27,MATCH($C334,'Materials Master'!$A$2:$A$27,0)),IF($B334="Paper Recycling",INDEX('Materials Master'!$J$2:$J$27,MATCH($C334,'Materials Master'!$A$2:$A$27,0)),IF($B334="Terracycle",INDEX('Materials Master'!$K$2:$K$27,MATCH($C334,'Materials Master'!$A$2:$A$27,0)),"No"))))))="Yes",1,0)</f>
        <v>1</v>
      </c>
    </row>
    <row r="335" customFormat="false" ht="15" hidden="false" customHeight="false" outlineLevel="0" collapsed="false">
      <c r="A335" s="0" t="s">
        <v>98</v>
      </c>
      <c r="B335" s="0" t="s">
        <v>103</v>
      </c>
      <c r="C335" s="0" t="s">
        <v>78</v>
      </c>
      <c r="D335" s="0" t="str">
        <f aca="false">IFERROR(INDEX('Materials Master'!$B$2:$B$27,MATCH($C335,'Materials Master'!$A$2:$A$27,0)),"")</f>
        <v>Textiles</v>
      </c>
      <c r="E335" s="0" t="str">
        <f aca="false">IFERROR(INDEX('Materials Master'!$C$2:$C$27,MATCH($C335,'Materials Master'!$A$2:$A$27,0)),"")</f>
        <v>Unacceptable</v>
      </c>
      <c r="F335" s="0" t="n">
        <f aca="false">IF(SUMIFS(Fact_SortedWeights!$E$2:$E$89,Fact_SortedWeights!$C$2:$C$89,$A335,Fact_SortedWeights!$B$2:$B$89,$B335)=0,0,SUMIFS(Fact_SortedWeights!$E$2:$E$89,Fact_SortedWeights!$C$2:$C$89,$A335,Fact_SortedWeights!$B$2:$B$89,$B335,Fact_SortedWeights!$D$2:$D$89,$C335)/SUMIFS(Fact_SortedWeights!$E$2:$E$89,Fact_SortedWeights!$C$2:$C$89,$A335,Fact_SortedWeights!$B$2:$B$89,$B335)*(IF($B335="Cardboard Recycling",SUMIFS(Fact_SortedWeights!$E$2:$E$89,Fact_SortedWeights!$C$2:$C$89,$A335,Fact_SortedWeights!$B$2:$B$89,$B335),SUMIFS(Fact_PreSortWeights!$E$2:$E$186,Fact_PreSortWeights!$C$2:$C$186,$A335,Fact_PreSortWeights!$B$2:$B$186,$B335))))</f>
        <v>0</v>
      </c>
      <c r="G335" s="0" t="n">
        <f aca="false">IF(AND(IF($B335="Trash",INDEX('Materials Master'!$F$2:$F$27,MATCH($C335,'Materials Master'!$A$2:$A$27,0)),IF($B335="GMPC Recycling",INDEX('Materials Master'!$G$2:$G$27,MATCH($C335,'Materials Master'!$A$2:$A$27,0)),IF($B335="Organics Recycling",INDEX('Materials Master'!$H$2:$H$27,MATCH($C335,'Materials Master'!$A$2:$A$27,0)),IF($B335="Cardboard Recycling",INDEX('Materials Master'!$I$2:$I$27,MATCH($C335,'Materials Master'!$A$2:$A$27,0)),IF($B335="Paper Recycling",INDEX('Materials Master'!$J$2:$J$27,MATCH($C335,'Materials Master'!$A$2:$A$27,0)),IF($B335="Terracycle",INDEX('Materials Master'!$K$2:$K$27,MATCH($C335,'Materials Master'!$A$2:$A$27,0)),"No"))))))="Yes",INDEX('Materials Master'!$E$2:$E$27,MATCH($C335,'Materials Master'!$A$2:$A$27,0))="Yes",$B335&lt;&gt;"Trash"),1,0)</f>
        <v>0</v>
      </c>
      <c r="H335" s="0" t="str">
        <f aca="false">INDEX('Materials Master'!$E$2:$E$27,MATCH($C335,'Materials Master'!$A$2:$A$27,0))</f>
        <v>No</v>
      </c>
      <c r="I335" s="0" t="str">
        <f aca="false">IFERROR(INDEX(Areas!$C$2:$C$6,MATCH($A335,Areas!$B$2:$B$6,0)),"")</f>
        <v>Rest of Building</v>
      </c>
      <c r="J335" s="0" t="n">
        <f aca="false">IF(IF($B335="Trash",INDEX('Materials Master'!$F$2:$F$27,MATCH($C335,'Materials Master'!$A$2:$A$27,0)),IF($B335="GMPC Recycling",INDEX('Materials Master'!$G$2:$G$27,MATCH($C335,'Materials Master'!$A$2:$A$27,0)),IF($B335="Organics Recycling",INDEX('Materials Master'!$H$2:$H$27,MATCH($C335,'Materials Master'!$A$2:$A$27,0)),IF($B335="Cardboard Recycling",INDEX('Materials Master'!$I$2:$I$27,MATCH($C335,'Materials Master'!$A$2:$A$27,0)),IF($B335="Paper Recycling",INDEX('Materials Master'!$J$2:$J$27,MATCH($C335,'Materials Master'!$A$2:$A$27,0)),IF($B335="Terracycle",INDEX('Materials Master'!$K$2:$K$27,MATCH($C335,'Materials Master'!$A$2:$A$27,0)),"No"))))))="Yes",1,0)</f>
        <v>1</v>
      </c>
    </row>
    <row r="336" customFormat="false" ht="15" hidden="false" customHeight="false" outlineLevel="0" collapsed="false">
      <c r="A336" s="0" t="s">
        <v>98</v>
      </c>
      <c r="B336" s="0" t="s">
        <v>103</v>
      </c>
      <c r="C336" s="0" t="s">
        <v>80</v>
      </c>
      <c r="D336" s="0" t="str">
        <f aca="false">IFERROR(INDEX('Materials Master'!$B$2:$B$27,MATCH($C336,'Materials Master'!$A$2:$A$27,0)),"")</f>
        <v>Other Unacceptable (specify)</v>
      </c>
      <c r="E336" s="0" t="str">
        <f aca="false">IFERROR(INDEX('Materials Master'!$C$2:$C$27,MATCH($C336,'Materials Master'!$A$2:$A$27,0)),"")</f>
        <v>Unacceptable</v>
      </c>
      <c r="F336" s="0" t="n">
        <f aca="false">IF(SUMIFS(Fact_SortedWeights!$E$2:$E$89,Fact_SortedWeights!$C$2:$C$89,$A336,Fact_SortedWeights!$B$2:$B$89,$B336)=0,0,SUMIFS(Fact_SortedWeights!$E$2:$E$89,Fact_SortedWeights!$C$2:$C$89,$A336,Fact_SortedWeights!$B$2:$B$89,$B336,Fact_SortedWeights!$D$2:$D$89,$C336)/SUMIFS(Fact_SortedWeights!$E$2:$E$89,Fact_SortedWeights!$C$2:$C$89,$A336,Fact_SortedWeights!$B$2:$B$89,$B336)*(IF($B336="Cardboard Recycling",SUMIFS(Fact_SortedWeights!$E$2:$E$89,Fact_SortedWeights!$C$2:$C$89,$A336,Fact_SortedWeights!$B$2:$B$89,$B336),SUMIFS(Fact_PreSortWeights!$E$2:$E$186,Fact_PreSortWeights!$C$2:$C$186,$A336,Fact_PreSortWeights!$B$2:$B$186,$B336))))</f>
        <v>0</v>
      </c>
      <c r="G336" s="0" t="n">
        <f aca="false">IF(AND(IF($B336="Trash",INDEX('Materials Master'!$F$2:$F$27,MATCH($C336,'Materials Master'!$A$2:$A$27,0)),IF($B336="GMPC Recycling",INDEX('Materials Master'!$G$2:$G$27,MATCH($C336,'Materials Master'!$A$2:$A$27,0)),IF($B336="Organics Recycling",INDEX('Materials Master'!$H$2:$H$27,MATCH($C336,'Materials Master'!$A$2:$A$27,0)),IF($B336="Cardboard Recycling",INDEX('Materials Master'!$I$2:$I$27,MATCH($C336,'Materials Master'!$A$2:$A$27,0)),IF($B336="Paper Recycling",INDEX('Materials Master'!$J$2:$J$27,MATCH($C336,'Materials Master'!$A$2:$A$27,0)),IF($B336="Terracycle",INDEX('Materials Master'!$K$2:$K$27,MATCH($C336,'Materials Master'!$A$2:$A$27,0)),"No"))))))="Yes",INDEX('Materials Master'!$E$2:$E$27,MATCH($C336,'Materials Master'!$A$2:$A$27,0))="Yes",$B336&lt;&gt;"Trash"),1,0)</f>
        <v>0</v>
      </c>
      <c r="H336" s="0" t="str">
        <f aca="false">INDEX('Materials Master'!$E$2:$E$27,MATCH($C336,'Materials Master'!$A$2:$A$27,0))</f>
        <v>No</v>
      </c>
      <c r="I336" s="0" t="str">
        <f aca="false">IFERROR(INDEX(Areas!$C$2:$C$6,MATCH($A336,Areas!$B$2:$B$6,0)),"")</f>
        <v>Rest of Building</v>
      </c>
      <c r="J336" s="0" t="n">
        <f aca="false">IF(IF($B336="Trash",INDEX('Materials Master'!$F$2:$F$27,MATCH($C336,'Materials Master'!$A$2:$A$27,0)),IF($B336="GMPC Recycling",INDEX('Materials Master'!$G$2:$G$27,MATCH($C336,'Materials Master'!$A$2:$A$27,0)),IF($B336="Organics Recycling",INDEX('Materials Master'!$H$2:$H$27,MATCH($C336,'Materials Master'!$A$2:$A$27,0)),IF($B336="Cardboard Recycling",INDEX('Materials Master'!$I$2:$I$27,MATCH($C336,'Materials Master'!$A$2:$A$27,0)),IF($B336="Paper Recycling",INDEX('Materials Master'!$J$2:$J$27,MATCH($C336,'Materials Master'!$A$2:$A$27,0)),IF($B336="Terracycle",INDEX('Materials Master'!$K$2:$K$27,MATCH($C336,'Materials Master'!$A$2:$A$27,0)),"No"))))))="Yes",1,0)</f>
        <v>1</v>
      </c>
    </row>
    <row r="337" customFormat="false" ht="15" hidden="false" customHeight="false" outlineLevel="0" collapsed="false">
      <c r="A337" s="0" t="s">
        <v>98</v>
      </c>
      <c r="B337" s="0" t="s">
        <v>103</v>
      </c>
      <c r="C337" s="0" t="s">
        <v>82</v>
      </c>
      <c r="D337" s="0" t="str">
        <f aca="false">IFERROR(INDEX('Materials Master'!$B$2:$B$27,MATCH($C337,'Materials Master'!$A$2:$A$27,0)),"")</f>
        <v>Liquids</v>
      </c>
      <c r="E337" s="0" t="str">
        <f aca="false">IFERROR(INDEX('Materials Master'!$C$2:$C$27,MATCH($C337,'Materials Master'!$A$2:$A$27,0)),"")</f>
        <v>Unacceptable</v>
      </c>
      <c r="F337" s="0" t="n">
        <f aca="false">IF(SUMIFS(Fact_SortedWeights!$E$2:$E$89,Fact_SortedWeights!$C$2:$C$89,$A337,Fact_SortedWeights!$B$2:$B$89,$B337)=0,0,SUMIFS(Fact_SortedWeights!$E$2:$E$89,Fact_SortedWeights!$C$2:$C$89,$A337,Fact_SortedWeights!$B$2:$B$89,$B337,Fact_SortedWeights!$D$2:$D$89,$C337)/SUMIFS(Fact_SortedWeights!$E$2:$E$89,Fact_SortedWeights!$C$2:$C$89,$A337,Fact_SortedWeights!$B$2:$B$89,$B337)*(IF($B337="Cardboard Recycling",SUMIFS(Fact_SortedWeights!$E$2:$E$89,Fact_SortedWeights!$C$2:$C$89,$A337,Fact_SortedWeights!$B$2:$B$89,$B337),SUMIFS(Fact_PreSortWeights!$E$2:$E$186,Fact_PreSortWeights!$C$2:$C$186,$A337,Fact_PreSortWeights!$B$2:$B$186,$B337))))</f>
        <v>0</v>
      </c>
      <c r="G337" s="0" t="n">
        <f aca="false">IF(AND(IF($B337="Trash",INDEX('Materials Master'!$F$2:$F$27,MATCH($C337,'Materials Master'!$A$2:$A$27,0)),IF($B337="GMPC Recycling",INDEX('Materials Master'!$G$2:$G$27,MATCH($C337,'Materials Master'!$A$2:$A$27,0)),IF($B337="Organics Recycling",INDEX('Materials Master'!$H$2:$H$27,MATCH($C337,'Materials Master'!$A$2:$A$27,0)),IF($B337="Cardboard Recycling",INDEX('Materials Master'!$I$2:$I$27,MATCH($C337,'Materials Master'!$A$2:$A$27,0)),IF($B337="Paper Recycling",INDEX('Materials Master'!$J$2:$J$27,MATCH($C337,'Materials Master'!$A$2:$A$27,0)),IF($B337="Terracycle",INDEX('Materials Master'!$K$2:$K$27,MATCH($C337,'Materials Master'!$A$2:$A$27,0)),"No"))))))="Yes",INDEX('Materials Master'!$E$2:$E$27,MATCH($C337,'Materials Master'!$A$2:$A$27,0))="Yes",$B337&lt;&gt;"Trash"),1,0)</f>
        <v>0</v>
      </c>
      <c r="H337" s="0" t="str">
        <f aca="false">INDEX('Materials Master'!$E$2:$E$27,MATCH($C337,'Materials Master'!$A$2:$A$27,0))</f>
        <v>No</v>
      </c>
      <c r="I337" s="0" t="str">
        <f aca="false">IFERROR(INDEX(Areas!$C$2:$C$6,MATCH($A337,Areas!$B$2:$B$6,0)),"")</f>
        <v>Rest of Building</v>
      </c>
      <c r="J337" s="0" t="n">
        <f aca="false">IF(IF($B337="Trash",INDEX('Materials Master'!$F$2:$F$27,MATCH($C337,'Materials Master'!$A$2:$A$27,0)),IF($B337="GMPC Recycling",INDEX('Materials Master'!$G$2:$G$27,MATCH($C337,'Materials Master'!$A$2:$A$27,0)),IF($B337="Organics Recycling",INDEX('Materials Master'!$H$2:$H$27,MATCH($C337,'Materials Master'!$A$2:$A$27,0)),IF($B337="Cardboard Recycling",INDEX('Materials Master'!$I$2:$I$27,MATCH($C337,'Materials Master'!$A$2:$A$27,0)),IF($B337="Paper Recycling",INDEX('Materials Master'!$J$2:$J$27,MATCH($C337,'Materials Master'!$A$2:$A$27,0)),IF($B337="Terracycle",INDEX('Materials Master'!$K$2:$K$27,MATCH($C337,'Materials Master'!$A$2:$A$27,0)),"No"))))))="Yes",1,0)</f>
        <v>1</v>
      </c>
    </row>
    <row r="338" customFormat="false" ht="15" hidden="false" customHeight="false" outlineLevel="0" collapsed="false">
      <c r="A338" s="0" t="s">
        <v>98</v>
      </c>
      <c r="B338" s="0" t="s">
        <v>103</v>
      </c>
      <c r="C338" s="0" t="s">
        <v>84</v>
      </c>
      <c r="D338" s="0" t="str">
        <f aca="false">IFERROR(INDEX('Materials Master'!$B$2:$B$27,MATCH($C338,'Materials Master'!$A$2:$A$27,0)),"")</f>
        <v>Snack Wrappers (Composites)</v>
      </c>
      <c r="E338" s="0" t="str">
        <f aca="false">IFERROR(INDEX('Materials Master'!$C$2:$C$27,MATCH($C338,'Materials Master'!$A$2:$A$27,0)),"")</f>
        <v>Other</v>
      </c>
      <c r="F338" s="0" t="n">
        <f aca="false">IF(SUMIFS(Fact_SortedWeights!$E$2:$E$89,Fact_SortedWeights!$C$2:$C$89,$A338,Fact_SortedWeights!$B$2:$B$89,$B338)=0,0,SUMIFS(Fact_SortedWeights!$E$2:$E$89,Fact_SortedWeights!$C$2:$C$89,$A338,Fact_SortedWeights!$B$2:$B$89,$B338,Fact_SortedWeights!$D$2:$D$89,$C338)/SUMIFS(Fact_SortedWeights!$E$2:$E$89,Fact_SortedWeights!$C$2:$C$89,$A338,Fact_SortedWeights!$B$2:$B$89,$B338)*(IF($B338="Cardboard Recycling",SUMIFS(Fact_SortedWeights!$E$2:$E$89,Fact_SortedWeights!$C$2:$C$89,$A338,Fact_SortedWeights!$B$2:$B$89,$B338),SUMIFS(Fact_PreSortWeights!$E$2:$E$186,Fact_PreSortWeights!$C$2:$C$186,$A338,Fact_PreSortWeights!$B$2:$B$186,$B338))))</f>
        <v>0</v>
      </c>
      <c r="G338" s="0" t="n">
        <f aca="false">IF(AND(IF($B338="Trash",INDEX('Materials Master'!$F$2:$F$27,MATCH($C338,'Materials Master'!$A$2:$A$27,0)),IF($B338="GMPC Recycling",INDEX('Materials Master'!$G$2:$G$27,MATCH($C338,'Materials Master'!$A$2:$A$27,0)),IF($B338="Organics Recycling",INDEX('Materials Master'!$H$2:$H$27,MATCH($C338,'Materials Master'!$A$2:$A$27,0)),IF($B338="Cardboard Recycling",INDEX('Materials Master'!$I$2:$I$27,MATCH($C338,'Materials Master'!$A$2:$A$27,0)),IF($B338="Paper Recycling",INDEX('Materials Master'!$J$2:$J$27,MATCH($C338,'Materials Master'!$A$2:$A$27,0)),IF($B338="Terracycle",INDEX('Materials Master'!$K$2:$K$27,MATCH($C338,'Materials Master'!$A$2:$A$27,0)),"No"))))))="Yes",INDEX('Materials Master'!$E$2:$E$27,MATCH($C338,'Materials Master'!$A$2:$A$27,0))="Yes",$B338&lt;&gt;"Trash"),1,0)</f>
        <v>0</v>
      </c>
      <c r="H338" s="0" t="str">
        <f aca="false">INDEX('Materials Master'!$E$2:$E$27,MATCH($C338,'Materials Master'!$A$2:$A$27,0))</f>
        <v>Yes</v>
      </c>
      <c r="I338" s="0" t="str">
        <f aca="false">IFERROR(INDEX(Areas!$C$2:$C$6,MATCH($A338,Areas!$B$2:$B$6,0)),"")</f>
        <v>Rest of Building</v>
      </c>
      <c r="J338" s="0" t="n">
        <f aca="false">IF(IF($B338="Trash",INDEX('Materials Master'!$F$2:$F$27,MATCH($C338,'Materials Master'!$A$2:$A$27,0)),IF($B338="GMPC Recycling",INDEX('Materials Master'!$G$2:$G$27,MATCH($C338,'Materials Master'!$A$2:$A$27,0)),IF($B338="Organics Recycling",INDEX('Materials Master'!$H$2:$H$27,MATCH($C338,'Materials Master'!$A$2:$A$27,0)),IF($B338="Cardboard Recycling",INDEX('Materials Master'!$I$2:$I$27,MATCH($C338,'Materials Master'!$A$2:$A$27,0)),IF($B338="Paper Recycling",INDEX('Materials Master'!$J$2:$J$27,MATCH($C338,'Materials Master'!$A$2:$A$27,0)),IF($B338="Terracycle",INDEX('Materials Master'!$K$2:$K$27,MATCH($C338,'Materials Master'!$A$2:$A$27,0)),"No"))))))="Yes",1,0)</f>
        <v>0</v>
      </c>
    </row>
    <row r="339" customFormat="false" ht="15" hidden="false" customHeight="false" outlineLevel="0" collapsed="false">
      <c r="A339" s="0" t="s">
        <v>98</v>
      </c>
      <c r="B339" s="0" t="s">
        <v>103</v>
      </c>
      <c r="C339" s="0" t="s">
        <v>87</v>
      </c>
      <c r="D339" s="0" t="str">
        <f aca="false">IFERROR(INDEX('Materials Master'!$B$2:$B$27,MATCH($C339,'Materials Master'!$A$2:$A$27,0)),"")</f>
        <v>Other/Residual Materials</v>
      </c>
      <c r="E339" s="0" t="str">
        <f aca="false">IFERROR(INDEX('Materials Master'!$C$2:$C$27,MATCH($C339,'Materials Master'!$A$2:$A$27,0)),"")</f>
        <v>Other</v>
      </c>
      <c r="F339" s="0" t="n">
        <f aca="false">IF(SUMIFS(Fact_SortedWeights!$E$2:$E$89,Fact_SortedWeights!$C$2:$C$89,$A339,Fact_SortedWeights!$B$2:$B$89,$B339)=0,0,SUMIFS(Fact_SortedWeights!$E$2:$E$89,Fact_SortedWeights!$C$2:$C$89,$A339,Fact_SortedWeights!$B$2:$B$89,$B339,Fact_SortedWeights!$D$2:$D$89,$C339)/SUMIFS(Fact_SortedWeights!$E$2:$E$89,Fact_SortedWeights!$C$2:$C$89,$A339,Fact_SortedWeights!$B$2:$B$89,$B339)*(IF($B339="Cardboard Recycling",SUMIFS(Fact_SortedWeights!$E$2:$E$89,Fact_SortedWeights!$C$2:$C$89,$A339,Fact_SortedWeights!$B$2:$B$89,$B339),SUMIFS(Fact_PreSortWeights!$E$2:$E$186,Fact_PreSortWeights!$C$2:$C$186,$A339,Fact_PreSortWeights!$B$2:$B$186,$B339))))</f>
        <v>0</v>
      </c>
      <c r="G339" s="0" t="n">
        <f aca="false">IF(AND(IF($B339="Trash",INDEX('Materials Master'!$F$2:$F$27,MATCH($C339,'Materials Master'!$A$2:$A$27,0)),IF($B339="GMPC Recycling",INDEX('Materials Master'!$G$2:$G$27,MATCH($C339,'Materials Master'!$A$2:$A$27,0)),IF($B339="Organics Recycling",INDEX('Materials Master'!$H$2:$H$27,MATCH($C339,'Materials Master'!$A$2:$A$27,0)),IF($B339="Cardboard Recycling",INDEX('Materials Master'!$I$2:$I$27,MATCH($C339,'Materials Master'!$A$2:$A$27,0)),IF($B339="Paper Recycling",INDEX('Materials Master'!$J$2:$J$27,MATCH($C339,'Materials Master'!$A$2:$A$27,0)),IF($B339="Terracycle",INDEX('Materials Master'!$K$2:$K$27,MATCH($C339,'Materials Master'!$A$2:$A$27,0)),"No"))))))="Yes",INDEX('Materials Master'!$E$2:$E$27,MATCH($C339,'Materials Master'!$A$2:$A$27,0))="Yes",$B339&lt;&gt;"Trash"),1,0)</f>
        <v>0</v>
      </c>
      <c r="H339" s="0" t="str">
        <f aca="false">INDEX('Materials Master'!$E$2:$E$27,MATCH($C339,'Materials Master'!$A$2:$A$27,0))</f>
        <v>No</v>
      </c>
      <c r="I339" s="0" t="str">
        <f aca="false">IFERROR(INDEX(Areas!$C$2:$C$6,MATCH($A339,Areas!$B$2:$B$6,0)),"")</f>
        <v>Rest of Building</v>
      </c>
      <c r="J339" s="0" t="n">
        <f aca="false">IF(IF($B339="Trash",INDEX('Materials Master'!$F$2:$F$27,MATCH($C339,'Materials Master'!$A$2:$A$27,0)),IF($B339="GMPC Recycling",INDEX('Materials Master'!$G$2:$G$27,MATCH($C339,'Materials Master'!$A$2:$A$27,0)),IF($B339="Organics Recycling",INDEX('Materials Master'!$H$2:$H$27,MATCH($C339,'Materials Master'!$A$2:$A$27,0)),IF($B339="Cardboard Recycling",INDEX('Materials Master'!$I$2:$I$27,MATCH($C339,'Materials Master'!$A$2:$A$27,0)),IF($B339="Paper Recycling",INDEX('Materials Master'!$J$2:$J$27,MATCH($C339,'Materials Master'!$A$2:$A$27,0)),IF($B339="Terracycle",INDEX('Materials Master'!$K$2:$K$27,MATCH($C339,'Materials Master'!$A$2:$A$27,0)),"No"))))))="Yes",1,0)</f>
        <v>1</v>
      </c>
    </row>
    <row r="340" customFormat="false" ht="15" hidden="false" customHeight="false" outlineLevel="0" collapsed="false">
      <c r="A340" s="0" t="s">
        <v>98</v>
      </c>
      <c r="B340" s="0" t="s">
        <v>104</v>
      </c>
      <c r="C340" s="0" t="s">
        <v>28</v>
      </c>
      <c r="D340" s="0" t="str">
        <f aca="false">IFERROR(INDEX('Materials Master'!$B$2:$B$27,MATCH($C340,'Materials Master'!$A$2:$A$27,0)),"")</f>
        <v>Corrugated Cardboard</v>
      </c>
      <c r="E340" s="0" t="str">
        <f aca="false">IFERROR(INDEX('Materials Master'!$C$2:$C$27,MATCH($C340,'Materials Master'!$A$2:$A$27,0)),"")</f>
        <v>Fibers</v>
      </c>
      <c r="F340" s="0" t="n">
        <f aca="false">IF(SUMIFS(Fact_SortedWeights!$E$2:$E$89,Fact_SortedWeights!$C$2:$C$89,$A340,Fact_SortedWeights!$B$2:$B$89,$B340)=0,0,SUMIFS(Fact_SortedWeights!$E$2:$E$89,Fact_SortedWeights!$C$2:$C$89,$A340,Fact_SortedWeights!$B$2:$B$89,$B340,Fact_SortedWeights!$D$2:$D$89,$C340)/SUMIFS(Fact_SortedWeights!$E$2:$E$89,Fact_SortedWeights!$C$2:$C$89,$A340,Fact_SortedWeights!$B$2:$B$89,$B340)*(IF($B340="Cardboard Recycling",SUMIFS(Fact_SortedWeights!$E$2:$E$89,Fact_SortedWeights!$C$2:$C$89,$A340,Fact_SortedWeights!$B$2:$B$89,$B340),SUMIFS(Fact_PreSortWeights!$E$2:$E$186,Fact_PreSortWeights!$C$2:$C$186,$A340,Fact_PreSortWeights!$B$2:$B$186,$B340))))</f>
        <v>0</v>
      </c>
      <c r="G340" s="0" t="n">
        <f aca="false">IF(AND(IF($B340="Trash",INDEX('Materials Master'!$F$2:$F$27,MATCH($C340,'Materials Master'!$A$2:$A$27,0)),IF($B340="GMPC Recycling",INDEX('Materials Master'!$G$2:$G$27,MATCH($C340,'Materials Master'!$A$2:$A$27,0)),IF($B340="Organics Recycling",INDEX('Materials Master'!$H$2:$H$27,MATCH($C340,'Materials Master'!$A$2:$A$27,0)),IF($B340="Cardboard Recycling",INDEX('Materials Master'!$I$2:$I$27,MATCH($C340,'Materials Master'!$A$2:$A$27,0)),IF($B340="Paper Recycling",INDEX('Materials Master'!$J$2:$J$27,MATCH($C340,'Materials Master'!$A$2:$A$27,0)),IF($B340="Terracycle",INDEX('Materials Master'!$K$2:$K$27,MATCH($C340,'Materials Master'!$A$2:$A$27,0)),"No"))))))="Yes",INDEX('Materials Master'!$E$2:$E$27,MATCH($C340,'Materials Master'!$A$2:$A$27,0))="Yes",$B340&lt;&gt;"Trash"),1,0)</f>
        <v>1</v>
      </c>
      <c r="H340" s="0" t="str">
        <f aca="false">INDEX('Materials Master'!$E$2:$E$27,MATCH($C340,'Materials Master'!$A$2:$A$27,0))</f>
        <v>Yes</v>
      </c>
      <c r="I340" s="0" t="str">
        <f aca="false">IFERROR(INDEX(Areas!$C$2:$C$6,MATCH($A340,Areas!$B$2:$B$6,0)),"")</f>
        <v>Rest of Building</v>
      </c>
      <c r="J340" s="0" t="n">
        <f aca="false">IF(IF($B340="Trash",INDEX('Materials Master'!$F$2:$F$27,MATCH($C340,'Materials Master'!$A$2:$A$27,0)),IF($B340="GMPC Recycling",INDEX('Materials Master'!$G$2:$G$27,MATCH($C340,'Materials Master'!$A$2:$A$27,0)),IF($B340="Organics Recycling",INDEX('Materials Master'!$H$2:$H$27,MATCH($C340,'Materials Master'!$A$2:$A$27,0)),IF($B340="Cardboard Recycling",INDEX('Materials Master'!$I$2:$I$27,MATCH($C340,'Materials Master'!$A$2:$A$27,0)),IF($B340="Paper Recycling",INDEX('Materials Master'!$J$2:$J$27,MATCH($C340,'Materials Master'!$A$2:$A$27,0)),IF($B340="Terracycle",INDEX('Materials Master'!$K$2:$K$27,MATCH($C340,'Materials Master'!$A$2:$A$27,0)),"No"))))))="Yes",1,0)</f>
        <v>1</v>
      </c>
    </row>
    <row r="341" customFormat="false" ht="15" hidden="false" customHeight="false" outlineLevel="0" collapsed="false">
      <c r="A341" s="0" t="s">
        <v>98</v>
      </c>
      <c r="B341" s="0" t="s">
        <v>104</v>
      </c>
      <c r="C341" s="0" t="s">
        <v>33</v>
      </c>
      <c r="D341" s="0" t="str">
        <f aca="false">IFERROR(INDEX('Materials Master'!$B$2:$B$27,MATCH($C341,'Materials Master'!$A$2:$A$27,0)),"")</f>
        <v>Soiled Cardboard</v>
      </c>
      <c r="E341" s="0" t="str">
        <f aca="false">IFERROR(INDEX('Materials Master'!$C$2:$C$27,MATCH($C341,'Materials Master'!$A$2:$A$27,0)),"")</f>
        <v>Fibers</v>
      </c>
      <c r="F341" s="0" t="n">
        <f aca="false">IF(SUMIFS(Fact_SortedWeights!$E$2:$E$89,Fact_SortedWeights!$C$2:$C$89,$A341,Fact_SortedWeights!$B$2:$B$89,$B341)=0,0,SUMIFS(Fact_SortedWeights!$E$2:$E$89,Fact_SortedWeights!$C$2:$C$89,$A341,Fact_SortedWeights!$B$2:$B$89,$B341,Fact_SortedWeights!$D$2:$D$89,$C341)/SUMIFS(Fact_SortedWeights!$E$2:$E$89,Fact_SortedWeights!$C$2:$C$89,$A341,Fact_SortedWeights!$B$2:$B$89,$B341)*(IF($B341="Cardboard Recycling",SUMIFS(Fact_SortedWeights!$E$2:$E$89,Fact_SortedWeights!$C$2:$C$89,$A341,Fact_SortedWeights!$B$2:$B$89,$B341),SUMIFS(Fact_PreSortWeights!$E$2:$E$186,Fact_PreSortWeights!$C$2:$C$186,$A341,Fact_PreSortWeights!$B$2:$B$186,$B341))))</f>
        <v>0</v>
      </c>
      <c r="G341" s="0" t="n">
        <f aca="false">IF(AND(IF($B341="Trash",INDEX('Materials Master'!$F$2:$F$27,MATCH($C341,'Materials Master'!$A$2:$A$27,0)),IF($B341="GMPC Recycling",INDEX('Materials Master'!$G$2:$G$27,MATCH($C341,'Materials Master'!$A$2:$A$27,0)),IF($B341="Organics Recycling",INDEX('Materials Master'!$H$2:$H$27,MATCH($C341,'Materials Master'!$A$2:$A$27,0)),IF($B341="Cardboard Recycling",INDEX('Materials Master'!$I$2:$I$27,MATCH($C341,'Materials Master'!$A$2:$A$27,0)),IF($B341="Paper Recycling",INDEX('Materials Master'!$J$2:$J$27,MATCH($C341,'Materials Master'!$A$2:$A$27,0)),IF($B341="Terracycle",INDEX('Materials Master'!$K$2:$K$27,MATCH($C341,'Materials Master'!$A$2:$A$27,0)),"No"))))))="Yes",INDEX('Materials Master'!$E$2:$E$27,MATCH($C341,'Materials Master'!$A$2:$A$27,0))="Yes",$B341&lt;&gt;"Trash"),1,0)</f>
        <v>0</v>
      </c>
      <c r="H341" s="0" t="str">
        <f aca="false">INDEX('Materials Master'!$E$2:$E$27,MATCH($C341,'Materials Master'!$A$2:$A$27,0))</f>
        <v>No</v>
      </c>
      <c r="I341" s="0" t="str">
        <f aca="false">IFERROR(INDEX(Areas!$C$2:$C$6,MATCH($A341,Areas!$B$2:$B$6,0)),"")</f>
        <v>Rest of Building</v>
      </c>
      <c r="J341" s="0" t="n">
        <f aca="false">IF(IF($B341="Trash",INDEX('Materials Master'!$F$2:$F$27,MATCH($C341,'Materials Master'!$A$2:$A$27,0)),IF($B341="GMPC Recycling",INDEX('Materials Master'!$G$2:$G$27,MATCH($C341,'Materials Master'!$A$2:$A$27,0)),IF($B341="Organics Recycling",INDEX('Materials Master'!$H$2:$H$27,MATCH($C341,'Materials Master'!$A$2:$A$27,0)),IF($B341="Cardboard Recycling",INDEX('Materials Master'!$I$2:$I$27,MATCH($C341,'Materials Master'!$A$2:$A$27,0)),IF($B341="Paper Recycling",INDEX('Materials Master'!$J$2:$J$27,MATCH($C341,'Materials Master'!$A$2:$A$27,0)),IF($B341="Terracycle",INDEX('Materials Master'!$K$2:$K$27,MATCH($C341,'Materials Master'!$A$2:$A$27,0)),"No"))))))="Yes",1,0)</f>
        <v>0</v>
      </c>
    </row>
    <row r="342" customFormat="false" ht="15" hidden="false" customHeight="false" outlineLevel="0" collapsed="false">
      <c r="A342" s="0" t="s">
        <v>98</v>
      </c>
      <c r="B342" s="0" t="s">
        <v>104</v>
      </c>
      <c r="C342" s="0" t="s">
        <v>35</v>
      </c>
      <c r="D342" s="0" t="str">
        <f aca="false">IFERROR(INDEX('Materials Master'!$B$2:$B$27,MATCH($C342,'Materials Master'!$A$2:$A$27,0)),"")</f>
        <v>Waxed Cardboard</v>
      </c>
      <c r="E342" s="0" t="str">
        <f aca="false">IFERROR(INDEX('Materials Master'!$C$2:$C$27,MATCH($C342,'Materials Master'!$A$2:$A$27,0)),"")</f>
        <v>Fibers</v>
      </c>
      <c r="F342" s="0" t="n">
        <f aca="false">IF(SUMIFS(Fact_SortedWeights!$E$2:$E$89,Fact_SortedWeights!$C$2:$C$89,$A342,Fact_SortedWeights!$B$2:$B$89,$B342)=0,0,SUMIFS(Fact_SortedWeights!$E$2:$E$89,Fact_SortedWeights!$C$2:$C$89,$A342,Fact_SortedWeights!$B$2:$B$89,$B342,Fact_SortedWeights!$D$2:$D$89,$C342)/SUMIFS(Fact_SortedWeights!$E$2:$E$89,Fact_SortedWeights!$C$2:$C$89,$A342,Fact_SortedWeights!$B$2:$B$89,$B342)*(IF($B342="Cardboard Recycling",SUMIFS(Fact_SortedWeights!$E$2:$E$89,Fact_SortedWeights!$C$2:$C$89,$A342,Fact_SortedWeights!$B$2:$B$89,$B342),SUMIFS(Fact_PreSortWeights!$E$2:$E$186,Fact_PreSortWeights!$C$2:$C$186,$A342,Fact_PreSortWeights!$B$2:$B$186,$B342))))</f>
        <v>0</v>
      </c>
      <c r="G342" s="0" t="n">
        <f aca="false">IF(AND(IF($B342="Trash",INDEX('Materials Master'!$F$2:$F$27,MATCH($C342,'Materials Master'!$A$2:$A$27,0)),IF($B342="GMPC Recycling",INDEX('Materials Master'!$G$2:$G$27,MATCH($C342,'Materials Master'!$A$2:$A$27,0)),IF($B342="Organics Recycling",INDEX('Materials Master'!$H$2:$H$27,MATCH($C342,'Materials Master'!$A$2:$A$27,0)),IF($B342="Cardboard Recycling",INDEX('Materials Master'!$I$2:$I$27,MATCH($C342,'Materials Master'!$A$2:$A$27,0)),IF($B342="Paper Recycling",INDEX('Materials Master'!$J$2:$J$27,MATCH($C342,'Materials Master'!$A$2:$A$27,0)),IF($B342="Terracycle",INDEX('Materials Master'!$K$2:$K$27,MATCH($C342,'Materials Master'!$A$2:$A$27,0)),"No"))))))="Yes",INDEX('Materials Master'!$E$2:$E$27,MATCH($C342,'Materials Master'!$A$2:$A$27,0))="Yes",$B342&lt;&gt;"Trash"),1,0)</f>
        <v>0</v>
      </c>
      <c r="H342" s="0" t="str">
        <f aca="false">INDEX('Materials Master'!$E$2:$E$27,MATCH($C342,'Materials Master'!$A$2:$A$27,0))</f>
        <v>No</v>
      </c>
      <c r="I342" s="0" t="str">
        <f aca="false">IFERROR(INDEX(Areas!$C$2:$C$6,MATCH($A342,Areas!$B$2:$B$6,0)),"")</f>
        <v>Rest of Building</v>
      </c>
      <c r="J342" s="0" t="n">
        <f aca="false">IF(IF($B342="Trash",INDEX('Materials Master'!$F$2:$F$27,MATCH($C342,'Materials Master'!$A$2:$A$27,0)),IF($B342="GMPC Recycling",INDEX('Materials Master'!$G$2:$G$27,MATCH($C342,'Materials Master'!$A$2:$A$27,0)),IF($B342="Organics Recycling",INDEX('Materials Master'!$H$2:$H$27,MATCH($C342,'Materials Master'!$A$2:$A$27,0)),IF($B342="Cardboard Recycling",INDEX('Materials Master'!$I$2:$I$27,MATCH($C342,'Materials Master'!$A$2:$A$27,0)),IF($B342="Paper Recycling",INDEX('Materials Master'!$J$2:$J$27,MATCH($C342,'Materials Master'!$A$2:$A$27,0)),IF($B342="Terracycle",INDEX('Materials Master'!$K$2:$K$27,MATCH($C342,'Materials Master'!$A$2:$A$27,0)),"No"))))))="Yes",1,0)</f>
        <v>0</v>
      </c>
    </row>
    <row r="343" customFormat="false" ht="15" hidden="false" customHeight="false" outlineLevel="0" collapsed="false">
      <c r="A343" s="0" t="s">
        <v>98</v>
      </c>
      <c r="B343" s="0" t="s">
        <v>104</v>
      </c>
      <c r="C343" s="0" t="s">
        <v>37</v>
      </c>
      <c r="D343" s="0" t="str">
        <f aca="false">IFERROR(INDEX('Materials Master'!$B$2:$B$27,MATCH($C343,'Materials Master'!$A$2:$A$27,0)),"")</f>
        <v>Mixed Paper</v>
      </c>
      <c r="E343" s="0" t="str">
        <f aca="false">IFERROR(INDEX('Materials Master'!$C$2:$C$27,MATCH($C343,'Materials Master'!$A$2:$A$27,0)),"")</f>
        <v>Fibers</v>
      </c>
      <c r="F343" s="0" t="n">
        <f aca="false">IF(SUMIFS(Fact_SortedWeights!$E$2:$E$89,Fact_SortedWeights!$C$2:$C$89,$A343,Fact_SortedWeights!$B$2:$B$89,$B343)=0,0,SUMIFS(Fact_SortedWeights!$E$2:$E$89,Fact_SortedWeights!$C$2:$C$89,$A343,Fact_SortedWeights!$B$2:$B$89,$B343,Fact_SortedWeights!$D$2:$D$89,$C343)/SUMIFS(Fact_SortedWeights!$E$2:$E$89,Fact_SortedWeights!$C$2:$C$89,$A343,Fact_SortedWeights!$B$2:$B$89,$B343)*(IF($B343="Cardboard Recycling",SUMIFS(Fact_SortedWeights!$E$2:$E$89,Fact_SortedWeights!$C$2:$C$89,$A343,Fact_SortedWeights!$B$2:$B$89,$B343),SUMIFS(Fact_PreSortWeights!$E$2:$E$186,Fact_PreSortWeights!$C$2:$C$186,$A343,Fact_PreSortWeights!$B$2:$B$186,$B343))))</f>
        <v>0</v>
      </c>
      <c r="G343" s="0" t="n">
        <f aca="false">IF(AND(IF($B343="Trash",INDEX('Materials Master'!$F$2:$F$27,MATCH($C343,'Materials Master'!$A$2:$A$27,0)),IF($B343="GMPC Recycling",INDEX('Materials Master'!$G$2:$G$27,MATCH($C343,'Materials Master'!$A$2:$A$27,0)),IF($B343="Organics Recycling",INDEX('Materials Master'!$H$2:$H$27,MATCH($C343,'Materials Master'!$A$2:$A$27,0)),IF($B343="Cardboard Recycling",INDEX('Materials Master'!$I$2:$I$27,MATCH($C343,'Materials Master'!$A$2:$A$27,0)),IF($B343="Paper Recycling",INDEX('Materials Master'!$J$2:$J$27,MATCH($C343,'Materials Master'!$A$2:$A$27,0)),IF($B343="Terracycle",INDEX('Materials Master'!$K$2:$K$27,MATCH($C343,'Materials Master'!$A$2:$A$27,0)),"No"))))))="Yes",INDEX('Materials Master'!$E$2:$E$27,MATCH($C343,'Materials Master'!$A$2:$A$27,0))="Yes",$B343&lt;&gt;"Trash"),1,0)</f>
        <v>1</v>
      </c>
      <c r="H343" s="0" t="str">
        <f aca="false">INDEX('Materials Master'!$E$2:$E$27,MATCH($C343,'Materials Master'!$A$2:$A$27,0))</f>
        <v>Yes</v>
      </c>
      <c r="I343" s="0" t="str">
        <f aca="false">IFERROR(INDEX(Areas!$C$2:$C$6,MATCH($A343,Areas!$B$2:$B$6,0)),"")</f>
        <v>Rest of Building</v>
      </c>
      <c r="J343" s="0" t="n">
        <f aca="false">IF(IF($B343="Trash",INDEX('Materials Master'!$F$2:$F$27,MATCH($C343,'Materials Master'!$A$2:$A$27,0)),IF($B343="GMPC Recycling",INDEX('Materials Master'!$G$2:$G$27,MATCH($C343,'Materials Master'!$A$2:$A$27,0)),IF($B343="Organics Recycling",INDEX('Materials Master'!$H$2:$H$27,MATCH($C343,'Materials Master'!$A$2:$A$27,0)),IF($B343="Cardboard Recycling",INDEX('Materials Master'!$I$2:$I$27,MATCH($C343,'Materials Master'!$A$2:$A$27,0)),IF($B343="Paper Recycling",INDEX('Materials Master'!$J$2:$J$27,MATCH($C343,'Materials Master'!$A$2:$A$27,0)),IF($B343="Terracycle",INDEX('Materials Master'!$K$2:$K$27,MATCH($C343,'Materials Master'!$A$2:$A$27,0)),"No"))))))="Yes",1,0)</f>
        <v>1</v>
      </c>
    </row>
    <row r="344" customFormat="false" ht="15" hidden="false" customHeight="false" outlineLevel="0" collapsed="false">
      <c r="A344" s="0" t="s">
        <v>98</v>
      </c>
      <c r="B344" s="0" t="s">
        <v>104</v>
      </c>
      <c r="C344" s="0" t="s">
        <v>39</v>
      </c>
      <c r="D344" s="0" t="str">
        <f aca="false">IFERROR(INDEX('Materials Master'!$B$2:$B$27,MATCH($C344,'Materials Master'!$A$2:$A$27,0)),"")</f>
        <v>Soiled Paper</v>
      </c>
      <c r="E344" s="0" t="str">
        <f aca="false">IFERROR(INDEX('Materials Master'!$C$2:$C$27,MATCH($C344,'Materials Master'!$A$2:$A$27,0)),"")</f>
        <v>Fibers</v>
      </c>
      <c r="F344" s="0" t="n">
        <f aca="false">IF(SUMIFS(Fact_SortedWeights!$E$2:$E$89,Fact_SortedWeights!$C$2:$C$89,$A344,Fact_SortedWeights!$B$2:$B$89,$B344)=0,0,SUMIFS(Fact_SortedWeights!$E$2:$E$89,Fact_SortedWeights!$C$2:$C$89,$A344,Fact_SortedWeights!$B$2:$B$89,$B344,Fact_SortedWeights!$D$2:$D$89,$C344)/SUMIFS(Fact_SortedWeights!$E$2:$E$89,Fact_SortedWeights!$C$2:$C$89,$A344,Fact_SortedWeights!$B$2:$B$89,$B344)*(IF($B344="Cardboard Recycling",SUMIFS(Fact_SortedWeights!$E$2:$E$89,Fact_SortedWeights!$C$2:$C$89,$A344,Fact_SortedWeights!$B$2:$B$89,$B344),SUMIFS(Fact_PreSortWeights!$E$2:$E$186,Fact_PreSortWeights!$C$2:$C$186,$A344,Fact_PreSortWeights!$B$2:$B$186,$B344))))</f>
        <v>0</v>
      </c>
      <c r="G344" s="0" t="n">
        <f aca="false">IF(AND(IF($B344="Trash",INDEX('Materials Master'!$F$2:$F$27,MATCH($C344,'Materials Master'!$A$2:$A$27,0)),IF($B344="GMPC Recycling",INDEX('Materials Master'!$G$2:$G$27,MATCH($C344,'Materials Master'!$A$2:$A$27,0)),IF($B344="Organics Recycling",INDEX('Materials Master'!$H$2:$H$27,MATCH($C344,'Materials Master'!$A$2:$A$27,0)),IF($B344="Cardboard Recycling",INDEX('Materials Master'!$I$2:$I$27,MATCH($C344,'Materials Master'!$A$2:$A$27,0)),IF($B344="Paper Recycling",INDEX('Materials Master'!$J$2:$J$27,MATCH($C344,'Materials Master'!$A$2:$A$27,0)),IF($B344="Terracycle",INDEX('Materials Master'!$K$2:$K$27,MATCH($C344,'Materials Master'!$A$2:$A$27,0)),"No"))))))="Yes",INDEX('Materials Master'!$E$2:$E$27,MATCH($C344,'Materials Master'!$A$2:$A$27,0))="Yes",$B344&lt;&gt;"Trash"),1,0)</f>
        <v>0</v>
      </c>
      <c r="H344" s="0" t="str">
        <f aca="false">INDEX('Materials Master'!$E$2:$E$27,MATCH($C344,'Materials Master'!$A$2:$A$27,0))</f>
        <v>No</v>
      </c>
      <c r="I344" s="0" t="str">
        <f aca="false">IFERROR(INDEX(Areas!$C$2:$C$6,MATCH($A344,Areas!$B$2:$B$6,0)),"")</f>
        <v>Rest of Building</v>
      </c>
      <c r="J344" s="0" t="n">
        <f aca="false">IF(IF($B344="Trash",INDEX('Materials Master'!$F$2:$F$27,MATCH($C344,'Materials Master'!$A$2:$A$27,0)),IF($B344="GMPC Recycling",INDEX('Materials Master'!$G$2:$G$27,MATCH($C344,'Materials Master'!$A$2:$A$27,0)),IF($B344="Organics Recycling",INDEX('Materials Master'!$H$2:$H$27,MATCH($C344,'Materials Master'!$A$2:$A$27,0)),IF($B344="Cardboard Recycling",INDEX('Materials Master'!$I$2:$I$27,MATCH($C344,'Materials Master'!$A$2:$A$27,0)),IF($B344="Paper Recycling",INDEX('Materials Master'!$J$2:$J$27,MATCH($C344,'Materials Master'!$A$2:$A$27,0)),IF($B344="Terracycle",INDEX('Materials Master'!$K$2:$K$27,MATCH($C344,'Materials Master'!$A$2:$A$27,0)),"No"))))))="Yes",1,0)</f>
        <v>0</v>
      </c>
    </row>
    <row r="345" customFormat="false" ht="15" hidden="false" customHeight="false" outlineLevel="0" collapsed="false">
      <c r="A345" s="0" t="s">
        <v>98</v>
      </c>
      <c r="B345" s="0" t="s">
        <v>104</v>
      </c>
      <c r="C345" s="0" t="s">
        <v>41</v>
      </c>
      <c r="D345" s="0" t="str">
        <f aca="false">IFERROR(INDEX('Materials Master'!$B$2:$B$27,MATCH($C345,'Materials Master'!$A$2:$A$27,0)),"")</f>
        <v>Beverage Cartons</v>
      </c>
      <c r="E345" s="0" t="str">
        <f aca="false">IFERROR(INDEX('Materials Master'!$C$2:$C$27,MATCH($C345,'Materials Master'!$A$2:$A$27,0)),"")</f>
        <v>Fibers</v>
      </c>
      <c r="F345" s="0" t="n">
        <f aca="false">IF(SUMIFS(Fact_SortedWeights!$E$2:$E$89,Fact_SortedWeights!$C$2:$C$89,$A345,Fact_SortedWeights!$B$2:$B$89,$B345)=0,0,SUMIFS(Fact_SortedWeights!$E$2:$E$89,Fact_SortedWeights!$C$2:$C$89,$A345,Fact_SortedWeights!$B$2:$B$89,$B345,Fact_SortedWeights!$D$2:$D$89,$C345)/SUMIFS(Fact_SortedWeights!$E$2:$E$89,Fact_SortedWeights!$C$2:$C$89,$A345,Fact_SortedWeights!$B$2:$B$89,$B345)*(IF($B345="Cardboard Recycling",SUMIFS(Fact_SortedWeights!$E$2:$E$89,Fact_SortedWeights!$C$2:$C$89,$A345,Fact_SortedWeights!$B$2:$B$89,$B345),SUMIFS(Fact_PreSortWeights!$E$2:$E$186,Fact_PreSortWeights!$C$2:$C$186,$A345,Fact_PreSortWeights!$B$2:$B$186,$B345))))</f>
        <v>0</v>
      </c>
      <c r="G345" s="0" t="n">
        <f aca="false">IF(AND(IF($B345="Trash",INDEX('Materials Master'!$F$2:$F$27,MATCH($C345,'Materials Master'!$A$2:$A$27,0)),IF($B345="GMPC Recycling",INDEX('Materials Master'!$G$2:$G$27,MATCH($C345,'Materials Master'!$A$2:$A$27,0)),IF($B345="Organics Recycling",INDEX('Materials Master'!$H$2:$H$27,MATCH($C345,'Materials Master'!$A$2:$A$27,0)),IF($B345="Cardboard Recycling",INDEX('Materials Master'!$I$2:$I$27,MATCH($C345,'Materials Master'!$A$2:$A$27,0)),IF($B345="Paper Recycling",INDEX('Materials Master'!$J$2:$J$27,MATCH($C345,'Materials Master'!$A$2:$A$27,0)),IF($B345="Terracycle",INDEX('Materials Master'!$K$2:$K$27,MATCH($C345,'Materials Master'!$A$2:$A$27,0)),"No"))))))="Yes",INDEX('Materials Master'!$E$2:$E$27,MATCH($C345,'Materials Master'!$A$2:$A$27,0))="Yes",$B345&lt;&gt;"Trash"),1,0)</f>
        <v>1</v>
      </c>
      <c r="H345" s="0" t="str">
        <f aca="false">INDEX('Materials Master'!$E$2:$E$27,MATCH($C345,'Materials Master'!$A$2:$A$27,0))</f>
        <v>Yes</v>
      </c>
      <c r="I345" s="0" t="str">
        <f aca="false">IFERROR(INDEX(Areas!$C$2:$C$6,MATCH($A345,Areas!$B$2:$B$6,0)),"")</f>
        <v>Rest of Building</v>
      </c>
      <c r="J345" s="0" t="n">
        <f aca="false">IF(IF($B345="Trash",INDEX('Materials Master'!$F$2:$F$27,MATCH($C345,'Materials Master'!$A$2:$A$27,0)),IF($B345="GMPC Recycling",INDEX('Materials Master'!$G$2:$G$27,MATCH($C345,'Materials Master'!$A$2:$A$27,0)),IF($B345="Organics Recycling",INDEX('Materials Master'!$H$2:$H$27,MATCH($C345,'Materials Master'!$A$2:$A$27,0)),IF($B345="Cardboard Recycling",INDEX('Materials Master'!$I$2:$I$27,MATCH($C345,'Materials Master'!$A$2:$A$27,0)),IF($B345="Paper Recycling",INDEX('Materials Master'!$J$2:$J$27,MATCH($C345,'Materials Master'!$A$2:$A$27,0)),IF($B345="Terracycle",INDEX('Materials Master'!$K$2:$K$27,MATCH($C345,'Materials Master'!$A$2:$A$27,0)),"No"))))))="Yes",1,0)</f>
        <v>1</v>
      </c>
    </row>
    <row r="346" customFormat="false" ht="15" hidden="false" customHeight="false" outlineLevel="0" collapsed="false">
      <c r="A346" s="0" t="s">
        <v>98</v>
      </c>
      <c r="B346" s="0" t="s">
        <v>104</v>
      </c>
      <c r="C346" s="0" t="s">
        <v>43</v>
      </c>
      <c r="D346" s="0" t="str">
        <f aca="false">IFERROR(INDEX('Materials Master'!$B$2:$B$27,MATCH($C346,'Materials Master'!$A$2:$A$27,0)),"")</f>
        <v>Soiled Beverage Cartons</v>
      </c>
      <c r="E346" s="0" t="str">
        <f aca="false">IFERROR(INDEX('Materials Master'!$C$2:$C$27,MATCH($C346,'Materials Master'!$A$2:$A$27,0)),"")</f>
        <v>Fibers</v>
      </c>
      <c r="F346" s="0" t="n">
        <f aca="false">IF(SUMIFS(Fact_SortedWeights!$E$2:$E$89,Fact_SortedWeights!$C$2:$C$89,$A346,Fact_SortedWeights!$B$2:$B$89,$B346)=0,0,SUMIFS(Fact_SortedWeights!$E$2:$E$89,Fact_SortedWeights!$C$2:$C$89,$A346,Fact_SortedWeights!$B$2:$B$89,$B346,Fact_SortedWeights!$D$2:$D$89,$C346)/SUMIFS(Fact_SortedWeights!$E$2:$E$89,Fact_SortedWeights!$C$2:$C$89,$A346,Fact_SortedWeights!$B$2:$B$89,$B346)*(IF($B346="Cardboard Recycling",SUMIFS(Fact_SortedWeights!$E$2:$E$89,Fact_SortedWeights!$C$2:$C$89,$A346,Fact_SortedWeights!$B$2:$B$89,$B346),SUMIFS(Fact_PreSortWeights!$E$2:$E$186,Fact_PreSortWeights!$C$2:$C$186,$A346,Fact_PreSortWeights!$B$2:$B$186,$B346))))</f>
        <v>0</v>
      </c>
      <c r="G346" s="0" t="n">
        <f aca="false">IF(AND(IF($B346="Trash",INDEX('Materials Master'!$F$2:$F$27,MATCH($C346,'Materials Master'!$A$2:$A$27,0)),IF($B346="GMPC Recycling",INDEX('Materials Master'!$G$2:$G$27,MATCH($C346,'Materials Master'!$A$2:$A$27,0)),IF($B346="Organics Recycling",INDEX('Materials Master'!$H$2:$H$27,MATCH($C346,'Materials Master'!$A$2:$A$27,0)),IF($B346="Cardboard Recycling",INDEX('Materials Master'!$I$2:$I$27,MATCH($C346,'Materials Master'!$A$2:$A$27,0)),IF($B346="Paper Recycling",INDEX('Materials Master'!$J$2:$J$27,MATCH($C346,'Materials Master'!$A$2:$A$27,0)),IF($B346="Terracycle",INDEX('Materials Master'!$K$2:$K$27,MATCH($C346,'Materials Master'!$A$2:$A$27,0)),"No"))))))="Yes",INDEX('Materials Master'!$E$2:$E$27,MATCH($C346,'Materials Master'!$A$2:$A$27,0))="Yes",$B346&lt;&gt;"Trash"),1,0)</f>
        <v>0</v>
      </c>
      <c r="H346" s="0" t="str">
        <f aca="false">INDEX('Materials Master'!$E$2:$E$27,MATCH($C346,'Materials Master'!$A$2:$A$27,0))</f>
        <v>No</v>
      </c>
      <c r="I346" s="0" t="str">
        <f aca="false">IFERROR(INDEX(Areas!$C$2:$C$6,MATCH($A346,Areas!$B$2:$B$6,0)),"")</f>
        <v>Rest of Building</v>
      </c>
      <c r="J346" s="0" t="n">
        <f aca="false">IF(IF($B346="Trash",INDEX('Materials Master'!$F$2:$F$27,MATCH($C346,'Materials Master'!$A$2:$A$27,0)),IF($B346="GMPC Recycling",INDEX('Materials Master'!$G$2:$G$27,MATCH($C346,'Materials Master'!$A$2:$A$27,0)),IF($B346="Organics Recycling",INDEX('Materials Master'!$H$2:$H$27,MATCH($C346,'Materials Master'!$A$2:$A$27,0)),IF($B346="Cardboard Recycling",INDEX('Materials Master'!$I$2:$I$27,MATCH($C346,'Materials Master'!$A$2:$A$27,0)),IF($B346="Paper Recycling",INDEX('Materials Master'!$J$2:$J$27,MATCH($C346,'Materials Master'!$A$2:$A$27,0)),IF($B346="Terracycle",INDEX('Materials Master'!$K$2:$K$27,MATCH($C346,'Materials Master'!$A$2:$A$27,0)),"No"))))))="Yes",1,0)</f>
        <v>0</v>
      </c>
    </row>
    <row r="347" customFormat="false" ht="15" hidden="false" customHeight="false" outlineLevel="0" collapsed="false">
      <c r="A347" s="0" t="s">
        <v>98</v>
      </c>
      <c r="B347" s="0" t="s">
        <v>104</v>
      </c>
      <c r="C347" s="0" t="s">
        <v>45</v>
      </c>
      <c r="D347" s="0" t="str">
        <f aca="false">IFERROR(INDEX('Materials Master'!$B$2:$B$27,MATCH($C347,'Materials Master'!$A$2:$A$27,0)),"")</f>
        <v>Paper Cups / Other Coated Paper Containers</v>
      </c>
      <c r="E347" s="0" t="str">
        <f aca="false">IFERROR(INDEX('Materials Master'!$C$2:$C$27,MATCH($C347,'Materials Master'!$A$2:$A$27,0)),"")</f>
        <v>Fibers</v>
      </c>
      <c r="F347" s="0" t="n">
        <f aca="false">IF(SUMIFS(Fact_SortedWeights!$E$2:$E$89,Fact_SortedWeights!$C$2:$C$89,$A347,Fact_SortedWeights!$B$2:$B$89,$B347)=0,0,SUMIFS(Fact_SortedWeights!$E$2:$E$89,Fact_SortedWeights!$C$2:$C$89,$A347,Fact_SortedWeights!$B$2:$B$89,$B347,Fact_SortedWeights!$D$2:$D$89,$C347)/SUMIFS(Fact_SortedWeights!$E$2:$E$89,Fact_SortedWeights!$C$2:$C$89,$A347,Fact_SortedWeights!$B$2:$B$89,$B347)*(IF($B347="Cardboard Recycling",SUMIFS(Fact_SortedWeights!$E$2:$E$89,Fact_SortedWeights!$C$2:$C$89,$A347,Fact_SortedWeights!$B$2:$B$89,$B347),SUMIFS(Fact_PreSortWeights!$E$2:$E$186,Fact_PreSortWeights!$C$2:$C$186,$A347,Fact_PreSortWeights!$B$2:$B$186,$B347))))</f>
        <v>0</v>
      </c>
      <c r="G347" s="0" t="n">
        <f aca="false">IF(AND(IF($B347="Trash",INDEX('Materials Master'!$F$2:$F$27,MATCH($C347,'Materials Master'!$A$2:$A$27,0)),IF($B347="GMPC Recycling",INDEX('Materials Master'!$G$2:$G$27,MATCH($C347,'Materials Master'!$A$2:$A$27,0)),IF($B347="Organics Recycling",INDEX('Materials Master'!$H$2:$H$27,MATCH($C347,'Materials Master'!$A$2:$A$27,0)),IF($B347="Cardboard Recycling",INDEX('Materials Master'!$I$2:$I$27,MATCH($C347,'Materials Master'!$A$2:$A$27,0)),IF($B347="Paper Recycling",INDEX('Materials Master'!$J$2:$J$27,MATCH($C347,'Materials Master'!$A$2:$A$27,0)),IF($B347="Terracycle",INDEX('Materials Master'!$K$2:$K$27,MATCH($C347,'Materials Master'!$A$2:$A$27,0)),"No"))))))="Yes",INDEX('Materials Master'!$E$2:$E$27,MATCH($C347,'Materials Master'!$A$2:$A$27,0))="Yes",$B347&lt;&gt;"Trash"),1,0)</f>
        <v>0</v>
      </c>
      <c r="H347" s="0" t="str">
        <f aca="false">INDEX('Materials Master'!$E$2:$E$27,MATCH($C347,'Materials Master'!$A$2:$A$27,0))</f>
        <v>No</v>
      </c>
      <c r="I347" s="0" t="str">
        <f aca="false">IFERROR(INDEX(Areas!$C$2:$C$6,MATCH($A347,Areas!$B$2:$B$6,0)),"")</f>
        <v>Rest of Building</v>
      </c>
      <c r="J347" s="0" t="n">
        <f aca="false">IF(IF($B347="Trash",INDEX('Materials Master'!$F$2:$F$27,MATCH($C347,'Materials Master'!$A$2:$A$27,0)),IF($B347="GMPC Recycling",INDEX('Materials Master'!$G$2:$G$27,MATCH($C347,'Materials Master'!$A$2:$A$27,0)),IF($B347="Organics Recycling",INDEX('Materials Master'!$H$2:$H$27,MATCH($C347,'Materials Master'!$A$2:$A$27,0)),IF($B347="Cardboard Recycling",INDEX('Materials Master'!$I$2:$I$27,MATCH($C347,'Materials Master'!$A$2:$A$27,0)),IF($B347="Paper Recycling",INDEX('Materials Master'!$J$2:$J$27,MATCH($C347,'Materials Master'!$A$2:$A$27,0)),IF($B347="Terracycle",INDEX('Materials Master'!$K$2:$K$27,MATCH($C347,'Materials Master'!$A$2:$A$27,0)),"No"))))))="Yes",1,0)</f>
        <v>0</v>
      </c>
    </row>
    <row r="348" customFormat="false" ht="15" hidden="false" customHeight="false" outlineLevel="0" collapsed="false">
      <c r="A348" s="0" t="s">
        <v>98</v>
      </c>
      <c r="B348" s="0" t="s">
        <v>104</v>
      </c>
      <c r="C348" s="0" t="s">
        <v>47</v>
      </c>
      <c r="D348" s="0" t="str">
        <f aca="false">IFERROR(INDEX('Materials Master'!$B$2:$B$27,MATCH($C348,'Materials Master'!$A$2:$A$27,0)),"")</f>
        <v>Glass Bottles &amp; Jars</v>
      </c>
      <c r="E348" s="0" t="str">
        <f aca="false">IFERROR(INDEX('Materials Master'!$C$2:$C$27,MATCH($C348,'Materials Master'!$A$2:$A$27,0)),"")</f>
        <v>Glass</v>
      </c>
      <c r="F348" s="0" t="n">
        <f aca="false">IF(SUMIFS(Fact_SortedWeights!$E$2:$E$89,Fact_SortedWeights!$C$2:$C$89,$A348,Fact_SortedWeights!$B$2:$B$89,$B348)=0,0,SUMIFS(Fact_SortedWeights!$E$2:$E$89,Fact_SortedWeights!$C$2:$C$89,$A348,Fact_SortedWeights!$B$2:$B$89,$B348,Fact_SortedWeights!$D$2:$D$89,$C348)/SUMIFS(Fact_SortedWeights!$E$2:$E$89,Fact_SortedWeights!$C$2:$C$89,$A348,Fact_SortedWeights!$B$2:$B$89,$B348)*(IF($B348="Cardboard Recycling",SUMIFS(Fact_SortedWeights!$E$2:$E$89,Fact_SortedWeights!$C$2:$C$89,$A348,Fact_SortedWeights!$B$2:$B$89,$B348),SUMIFS(Fact_PreSortWeights!$E$2:$E$186,Fact_PreSortWeights!$C$2:$C$186,$A348,Fact_PreSortWeights!$B$2:$B$186,$B348))))</f>
        <v>0</v>
      </c>
      <c r="G348" s="0" t="n">
        <f aca="false">IF(AND(IF($B348="Trash",INDEX('Materials Master'!$F$2:$F$27,MATCH($C348,'Materials Master'!$A$2:$A$27,0)),IF($B348="GMPC Recycling",INDEX('Materials Master'!$G$2:$G$27,MATCH($C348,'Materials Master'!$A$2:$A$27,0)),IF($B348="Organics Recycling",INDEX('Materials Master'!$H$2:$H$27,MATCH($C348,'Materials Master'!$A$2:$A$27,0)),IF($B348="Cardboard Recycling",INDEX('Materials Master'!$I$2:$I$27,MATCH($C348,'Materials Master'!$A$2:$A$27,0)),IF($B348="Paper Recycling",INDEX('Materials Master'!$J$2:$J$27,MATCH($C348,'Materials Master'!$A$2:$A$27,0)),IF($B348="Terracycle",INDEX('Materials Master'!$K$2:$K$27,MATCH($C348,'Materials Master'!$A$2:$A$27,0)),"No"))))))="Yes",INDEX('Materials Master'!$E$2:$E$27,MATCH($C348,'Materials Master'!$A$2:$A$27,0))="Yes",$B348&lt;&gt;"Trash"),1,0)</f>
        <v>1</v>
      </c>
      <c r="H348" s="0" t="str">
        <f aca="false">INDEX('Materials Master'!$E$2:$E$27,MATCH($C348,'Materials Master'!$A$2:$A$27,0))</f>
        <v>Yes</v>
      </c>
      <c r="I348" s="0" t="str">
        <f aca="false">IFERROR(INDEX(Areas!$C$2:$C$6,MATCH($A348,Areas!$B$2:$B$6,0)),"")</f>
        <v>Rest of Building</v>
      </c>
      <c r="J348" s="0" t="n">
        <f aca="false">IF(IF($B348="Trash",INDEX('Materials Master'!$F$2:$F$27,MATCH($C348,'Materials Master'!$A$2:$A$27,0)),IF($B348="GMPC Recycling",INDEX('Materials Master'!$G$2:$G$27,MATCH($C348,'Materials Master'!$A$2:$A$27,0)),IF($B348="Organics Recycling",INDEX('Materials Master'!$H$2:$H$27,MATCH($C348,'Materials Master'!$A$2:$A$27,0)),IF($B348="Cardboard Recycling",INDEX('Materials Master'!$I$2:$I$27,MATCH($C348,'Materials Master'!$A$2:$A$27,0)),IF($B348="Paper Recycling",INDEX('Materials Master'!$J$2:$J$27,MATCH($C348,'Materials Master'!$A$2:$A$27,0)),IF($B348="Terracycle",INDEX('Materials Master'!$K$2:$K$27,MATCH($C348,'Materials Master'!$A$2:$A$27,0)),"No"))))))="Yes",1,0)</f>
        <v>1</v>
      </c>
    </row>
    <row r="349" customFormat="false" ht="15" hidden="false" customHeight="false" outlineLevel="0" collapsed="false">
      <c r="A349" s="0" t="s">
        <v>98</v>
      </c>
      <c r="B349" s="0" t="s">
        <v>104</v>
      </c>
      <c r="C349" s="0" t="s">
        <v>50</v>
      </c>
      <c r="D349" s="0" t="str">
        <f aca="false">IFERROR(INDEX('Materials Master'!$B$2:$B$27,MATCH($C349,'Materials Master'!$A$2:$A$27,0)),"")</f>
        <v>Soiled Glass</v>
      </c>
      <c r="E349" s="0" t="str">
        <f aca="false">IFERROR(INDEX('Materials Master'!$C$2:$C$27,MATCH($C349,'Materials Master'!$A$2:$A$27,0)),"")</f>
        <v>Glass</v>
      </c>
      <c r="F349" s="0" t="n">
        <f aca="false">IF(SUMIFS(Fact_SortedWeights!$E$2:$E$89,Fact_SortedWeights!$C$2:$C$89,$A349,Fact_SortedWeights!$B$2:$B$89,$B349)=0,0,SUMIFS(Fact_SortedWeights!$E$2:$E$89,Fact_SortedWeights!$C$2:$C$89,$A349,Fact_SortedWeights!$B$2:$B$89,$B349,Fact_SortedWeights!$D$2:$D$89,$C349)/SUMIFS(Fact_SortedWeights!$E$2:$E$89,Fact_SortedWeights!$C$2:$C$89,$A349,Fact_SortedWeights!$B$2:$B$89,$B349)*(IF($B349="Cardboard Recycling",SUMIFS(Fact_SortedWeights!$E$2:$E$89,Fact_SortedWeights!$C$2:$C$89,$A349,Fact_SortedWeights!$B$2:$B$89,$B349),SUMIFS(Fact_PreSortWeights!$E$2:$E$186,Fact_PreSortWeights!$C$2:$C$186,$A349,Fact_PreSortWeights!$B$2:$B$186,$B349))))</f>
        <v>0</v>
      </c>
      <c r="G349" s="0" t="n">
        <f aca="false">IF(AND(IF($B349="Trash",INDEX('Materials Master'!$F$2:$F$27,MATCH($C349,'Materials Master'!$A$2:$A$27,0)),IF($B349="GMPC Recycling",INDEX('Materials Master'!$G$2:$G$27,MATCH($C349,'Materials Master'!$A$2:$A$27,0)),IF($B349="Organics Recycling",INDEX('Materials Master'!$H$2:$H$27,MATCH($C349,'Materials Master'!$A$2:$A$27,0)),IF($B349="Cardboard Recycling",INDEX('Materials Master'!$I$2:$I$27,MATCH($C349,'Materials Master'!$A$2:$A$27,0)),IF($B349="Paper Recycling",INDEX('Materials Master'!$J$2:$J$27,MATCH($C349,'Materials Master'!$A$2:$A$27,0)),IF($B349="Terracycle",INDEX('Materials Master'!$K$2:$K$27,MATCH($C349,'Materials Master'!$A$2:$A$27,0)),"No"))))))="Yes",INDEX('Materials Master'!$E$2:$E$27,MATCH($C349,'Materials Master'!$A$2:$A$27,0))="Yes",$B349&lt;&gt;"Trash"),1,0)</f>
        <v>0</v>
      </c>
      <c r="H349" s="0" t="str">
        <f aca="false">INDEX('Materials Master'!$E$2:$E$27,MATCH($C349,'Materials Master'!$A$2:$A$27,0))</f>
        <v>No</v>
      </c>
      <c r="I349" s="0" t="str">
        <f aca="false">IFERROR(INDEX(Areas!$C$2:$C$6,MATCH($A349,Areas!$B$2:$B$6,0)),"")</f>
        <v>Rest of Building</v>
      </c>
      <c r="J349" s="0" t="n">
        <f aca="false">IF(IF($B349="Trash",INDEX('Materials Master'!$F$2:$F$27,MATCH($C349,'Materials Master'!$A$2:$A$27,0)),IF($B349="GMPC Recycling",INDEX('Materials Master'!$G$2:$G$27,MATCH($C349,'Materials Master'!$A$2:$A$27,0)),IF($B349="Organics Recycling",INDEX('Materials Master'!$H$2:$H$27,MATCH($C349,'Materials Master'!$A$2:$A$27,0)),IF($B349="Cardboard Recycling",INDEX('Materials Master'!$I$2:$I$27,MATCH($C349,'Materials Master'!$A$2:$A$27,0)),IF($B349="Paper Recycling",INDEX('Materials Master'!$J$2:$J$27,MATCH($C349,'Materials Master'!$A$2:$A$27,0)),IF($B349="Terracycle",INDEX('Materials Master'!$K$2:$K$27,MATCH($C349,'Materials Master'!$A$2:$A$27,0)),"No"))))))="Yes",1,0)</f>
        <v>0</v>
      </c>
    </row>
    <row r="350" customFormat="false" ht="15" hidden="false" customHeight="false" outlineLevel="0" collapsed="false">
      <c r="A350" s="0" t="s">
        <v>98</v>
      </c>
      <c r="B350" s="0" t="s">
        <v>104</v>
      </c>
      <c r="C350" s="0" t="s">
        <v>52</v>
      </c>
      <c r="D350" s="0" t="str">
        <f aca="false">IFERROR(INDEX('Materials Master'!$B$2:$B$27,MATCH($C350,'Materials Master'!$A$2:$A$27,0)),"")</f>
        <v>Aluminum &amp; Bi-Metal Containers</v>
      </c>
      <c r="E350" s="0" t="str">
        <f aca="false">IFERROR(INDEX('Materials Master'!$C$2:$C$27,MATCH($C350,'Materials Master'!$A$2:$A$27,0)),"")</f>
        <v>Metals</v>
      </c>
      <c r="F350" s="0" t="n">
        <f aca="false">IF(SUMIFS(Fact_SortedWeights!$E$2:$E$89,Fact_SortedWeights!$C$2:$C$89,$A350,Fact_SortedWeights!$B$2:$B$89,$B350)=0,0,SUMIFS(Fact_SortedWeights!$E$2:$E$89,Fact_SortedWeights!$C$2:$C$89,$A350,Fact_SortedWeights!$B$2:$B$89,$B350,Fact_SortedWeights!$D$2:$D$89,$C350)/SUMIFS(Fact_SortedWeights!$E$2:$E$89,Fact_SortedWeights!$C$2:$C$89,$A350,Fact_SortedWeights!$B$2:$B$89,$B350)*(IF($B350="Cardboard Recycling",SUMIFS(Fact_SortedWeights!$E$2:$E$89,Fact_SortedWeights!$C$2:$C$89,$A350,Fact_SortedWeights!$B$2:$B$89,$B350),SUMIFS(Fact_PreSortWeights!$E$2:$E$186,Fact_PreSortWeights!$C$2:$C$186,$A350,Fact_PreSortWeights!$B$2:$B$186,$B350))))</f>
        <v>0</v>
      </c>
      <c r="G350" s="0" t="n">
        <f aca="false">IF(AND(IF($B350="Trash",INDEX('Materials Master'!$F$2:$F$27,MATCH($C350,'Materials Master'!$A$2:$A$27,0)),IF($B350="GMPC Recycling",INDEX('Materials Master'!$G$2:$G$27,MATCH($C350,'Materials Master'!$A$2:$A$27,0)),IF($B350="Organics Recycling",INDEX('Materials Master'!$H$2:$H$27,MATCH($C350,'Materials Master'!$A$2:$A$27,0)),IF($B350="Cardboard Recycling",INDEX('Materials Master'!$I$2:$I$27,MATCH($C350,'Materials Master'!$A$2:$A$27,0)),IF($B350="Paper Recycling",INDEX('Materials Master'!$J$2:$J$27,MATCH($C350,'Materials Master'!$A$2:$A$27,0)),IF($B350="Terracycle",INDEX('Materials Master'!$K$2:$K$27,MATCH($C350,'Materials Master'!$A$2:$A$27,0)),"No"))))))="Yes",INDEX('Materials Master'!$E$2:$E$27,MATCH($C350,'Materials Master'!$A$2:$A$27,0))="Yes",$B350&lt;&gt;"Trash"),1,0)</f>
        <v>1</v>
      </c>
      <c r="H350" s="0" t="str">
        <f aca="false">INDEX('Materials Master'!$E$2:$E$27,MATCH($C350,'Materials Master'!$A$2:$A$27,0))</f>
        <v>Yes</v>
      </c>
      <c r="I350" s="0" t="str">
        <f aca="false">IFERROR(INDEX(Areas!$C$2:$C$6,MATCH($A350,Areas!$B$2:$B$6,0)),"")</f>
        <v>Rest of Building</v>
      </c>
      <c r="J350" s="0" t="n">
        <f aca="false">IF(IF($B350="Trash",INDEX('Materials Master'!$F$2:$F$27,MATCH($C350,'Materials Master'!$A$2:$A$27,0)),IF($B350="GMPC Recycling",INDEX('Materials Master'!$G$2:$G$27,MATCH($C350,'Materials Master'!$A$2:$A$27,0)),IF($B350="Organics Recycling",INDEX('Materials Master'!$H$2:$H$27,MATCH($C350,'Materials Master'!$A$2:$A$27,0)),IF($B350="Cardboard Recycling",INDEX('Materials Master'!$I$2:$I$27,MATCH($C350,'Materials Master'!$A$2:$A$27,0)),IF($B350="Paper Recycling",INDEX('Materials Master'!$J$2:$J$27,MATCH($C350,'Materials Master'!$A$2:$A$27,0)),IF($B350="Terracycle",INDEX('Materials Master'!$K$2:$K$27,MATCH($C350,'Materials Master'!$A$2:$A$27,0)),"No"))))))="Yes",1,0)</f>
        <v>1</v>
      </c>
    </row>
    <row r="351" customFormat="false" ht="15" hidden="false" customHeight="false" outlineLevel="0" collapsed="false">
      <c r="A351" s="0" t="s">
        <v>98</v>
      </c>
      <c r="B351" s="0" t="s">
        <v>104</v>
      </c>
      <c r="C351" s="0" t="s">
        <v>55</v>
      </c>
      <c r="D351" s="0" t="str">
        <f aca="false">IFERROR(INDEX('Materials Master'!$B$2:$B$27,MATCH($C351,'Materials Master'!$A$2:$A$27,0)),"")</f>
        <v>Soiled Metals</v>
      </c>
      <c r="E351" s="0" t="str">
        <f aca="false">IFERROR(INDEX('Materials Master'!$C$2:$C$27,MATCH($C351,'Materials Master'!$A$2:$A$27,0)),"")</f>
        <v>Metals</v>
      </c>
      <c r="F351" s="0" t="n">
        <f aca="false">IF(SUMIFS(Fact_SortedWeights!$E$2:$E$89,Fact_SortedWeights!$C$2:$C$89,$A351,Fact_SortedWeights!$B$2:$B$89,$B351)=0,0,SUMIFS(Fact_SortedWeights!$E$2:$E$89,Fact_SortedWeights!$C$2:$C$89,$A351,Fact_SortedWeights!$B$2:$B$89,$B351,Fact_SortedWeights!$D$2:$D$89,$C351)/SUMIFS(Fact_SortedWeights!$E$2:$E$89,Fact_SortedWeights!$C$2:$C$89,$A351,Fact_SortedWeights!$B$2:$B$89,$B351)*(IF($B351="Cardboard Recycling",SUMIFS(Fact_SortedWeights!$E$2:$E$89,Fact_SortedWeights!$C$2:$C$89,$A351,Fact_SortedWeights!$B$2:$B$89,$B351),SUMIFS(Fact_PreSortWeights!$E$2:$E$186,Fact_PreSortWeights!$C$2:$C$186,$A351,Fact_PreSortWeights!$B$2:$B$186,$B351))))</f>
        <v>0</v>
      </c>
      <c r="G351" s="0" t="n">
        <f aca="false">IF(AND(IF($B351="Trash",INDEX('Materials Master'!$F$2:$F$27,MATCH($C351,'Materials Master'!$A$2:$A$27,0)),IF($B351="GMPC Recycling",INDEX('Materials Master'!$G$2:$G$27,MATCH($C351,'Materials Master'!$A$2:$A$27,0)),IF($B351="Organics Recycling",INDEX('Materials Master'!$H$2:$H$27,MATCH($C351,'Materials Master'!$A$2:$A$27,0)),IF($B351="Cardboard Recycling",INDEX('Materials Master'!$I$2:$I$27,MATCH($C351,'Materials Master'!$A$2:$A$27,0)),IF($B351="Paper Recycling",INDEX('Materials Master'!$J$2:$J$27,MATCH($C351,'Materials Master'!$A$2:$A$27,0)),IF($B351="Terracycle",INDEX('Materials Master'!$K$2:$K$27,MATCH($C351,'Materials Master'!$A$2:$A$27,0)),"No"))))))="Yes",INDEX('Materials Master'!$E$2:$E$27,MATCH($C351,'Materials Master'!$A$2:$A$27,0))="Yes",$B351&lt;&gt;"Trash"),1,0)</f>
        <v>0</v>
      </c>
      <c r="H351" s="0" t="str">
        <f aca="false">INDEX('Materials Master'!$E$2:$E$27,MATCH($C351,'Materials Master'!$A$2:$A$27,0))</f>
        <v>No</v>
      </c>
      <c r="I351" s="0" t="str">
        <f aca="false">IFERROR(INDEX(Areas!$C$2:$C$6,MATCH($A351,Areas!$B$2:$B$6,0)),"")</f>
        <v>Rest of Building</v>
      </c>
      <c r="J351" s="0" t="n">
        <f aca="false">IF(IF($B351="Trash",INDEX('Materials Master'!$F$2:$F$27,MATCH($C351,'Materials Master'!$A$2:$A$27,0)),IF($B351="GMPC Recycling",INDEX('Materials Master'!$G$2:$G$27,MATCH($C351,'Materials Master'!$A$2:$A$27,0)),IF($B351="Organics Recycling",INDEX('Materials Master'!$H$2:$H$27,MATCH($C351,'Materials Master'!$A$2:$A$27,0)),IF($B351="Cardboard Recycling",INDEX('Materials Master'!$I$2:$I$27,MATCH($C351,'Materials Master'!$A$2:$A$27,0)),IF($B351="Paper Recycling",INDEX('Materials Master'!$J$2:$J$27,MATCH($C351,'Materials Master'!$A$2:$A$27,0)),IF($B351="Terracycle",INDEX('Materials Master'!$K$2:$K$27,MATCH($C351,'Materials Master'!$A$2:$A$27,0)),"No"))))))="Yes",1,0)</f>
        <v>0</v>
      </c>
    </row>
    <row r="352" customFormat="false" ht="15" hidden="false" customHeight="false" outlineLevel="0" collapsed="false">
      <c r="A352" s="0" t="s">
        <v>98</v>
      </c>
      <c r="B352" s="0" t="s">
        <v>104</v>
      </c>
      <c r="C352" s="0" t="s">
        <v>57</v>
      </c>
      <c r="D352" s="0" t="str">
        <f aca="false">IFERROR(INDEX('Materials Master'!$B$2:$B$27,MATCH($C352,'Materials Master'!$A$2:$A$27,0)),"")</f>
        <v>Rigid Plastics (1-6)</v>
      </c>
      <c r="E352" s="0" t="str">
        <f aca="false">IFERROR(INDEX('Materials Master'!$C$2:$C$27,MATCH($C352,'Materials Master'!$A$2:$A$27,0)),"")</f>
        <v>Plastics</v>
      </c>
      <c r="F352" s="0" t="n">
        <f aca="false">IF(SUMIFS(Fact_SortedWeights!$E$2:$E$89,Fact_SortedWeights!$C$2:$C$89,$A352,Fact_SortedWeights!$B$2:$B$89,$B352)=0,0,SUMIFS(Fact_SortedWeights!$E$2:$E$89,Fact_SortedWeights!$C$2:$C$89,$A352,Fact_SortedWeights!$B$2:$B$89,$B352,Fact_SortedWeights!$D$2:$D$89,$C352)/SUMIFS(Fact_SortedWeights!$E$2:$E$89,Fact_SortedWeights!$C$2:$C$89,$A352,Fact_SortedWeights!$B$2:$B$89,$B352)*(IF($B352="Cardboard Recycling",SUMIFS(Fact_SortedWeights!$E$2:$E$89,Fact_SortedWeights!$C$2:$C$89,$A352,Fact_SortedWeights!$B$2:$B$89,$B352),SUMIFS(Fact_PreSortWeights!$E$2:$E$186,Fact_PreSortWeights!$C$2:$C$186,$A352,Fact_PreSortWeights!$B$2:$B$186,$B352))))</f>
        <v>0</v>
      </c>
      <c r="G352" s="0" t="n">
        <f aca="false">IF(AND(IF($B352="Trash",INDEX('Materials Master'!$F$2:$F$27,MATCH($C352,'Materials Master'!$A$2:$A$27,0)),IF($B352="GMPC Recycling",INDEX('Materials Master'!$G$2:$G$27,MATCH($C352,'Materials Master'!$A$2:$A$27,0)),IF($B352="Organics Recycling",INDEX('Materials Master'!$H$2:$H$27,MATCH($C352,'Materials Master'!$A$2:$A$27,0)),IF($B352="Cardboard Recycling",INDEX('Materials Master'!$I$2:$I$27,MATCH($C352,'Materials Master'!$A$2:$A$27,0)),IF($B352="Paper Recycling",INDEX('Materials Master'!$J$2:$J$27,MATCH($C352,'Materials Master'!$A$2:$A$27,0)),IF($B352="Terracycle",INDEX('Materials Master'!$K$2:$K$27,MATCH($C352,'Materials Master'!$A$2:$A$27,0)),"No"))))))="Yes",INDEX('Materials Master'!$E$2:$E$27,MATCH($C352,'Materials Master'!$A$2:$A$27,0))="Yes",$B352&lt;&gt;"Trash"),1,0)</f>
        <v>1</v>
      </c>
      <c r="H352" s="0" t="str">
        <f aca="false">INDEX('Materials Master'!$E$2:$E$27,MATCH($C352,'Materials Master'!$A$2:$A$27,0))</f>
        <v>Yes</v>
      </c>
      <c r="I352" s="0" t="str">
        <f aca="false">IFERROR(INDEX(Areas!$C$2:$C$6,MATCH($A352,Areas!$B$2:$B$6,0)),"")</f>
        <v>Rest of Building</v>
      </c>
      <c r="J352" s="0" t="n">
        <f aca="false">IF(IF($B352="Trash",INDEX('Materials Master'!$F$2:$F$27,MATCH($C352,'Materials Master'!$A$2:$A$27,0)),IF($B352="GMPC Recycling",INDEX('Materials Master'!$G$2:$G$27,MATCH($C352,'Materials Master'!$A$2:$A$27,0)),IF($B352="Organics Recycling",INDEX('Materials Master'!$H$2:$H$27,MATCH($C352,'Materials Master'!$A$2:$A$27,0)),IF($B352="Cardboard Recycling",INDEX('Materials Master'!$I$2:$I$27,MATCH($C352,'Materials Master'!$A$2:$A$27,0)),IF($B352="Paper Recycling",INDEX('Materials Master'!$J$2:$J$27,MATCH($C352,'Materials Master'!$A$2:$A$27,0)),IF($B352="Terracycle",INDEX('Materials Master'!$K$2:$K$27,MATCH($C352,'Materials Master'!$A$2:$A$27,0)),"No"))))))="Yes",1,0)</f>
        <v>1</v>
      </c>
    </row>
    <row r="353" customFormat="false" ht="15" hidden="false" customHeight="false" outlineLevel="0" collapsed="false">
      <c r="A353" s="0" t="s">
        <v>98</v>
      </c>
      <c r="B353" s="0" t="s">
        <v>104</v>
      </c>
      <c r="C353" s="0" t="s">
        <v>60</v>
      </c>
      <c r="D353" s="0" t="str">
        <f aca="false">IFERROR(INDEX('Materials Master'!$B$2:$B$27,MATCH($C353,'Materials Master'!$A$2:$A$27,0)),"")</f>
        <v>Soiled Rigid Plastics</v>
      </c>
      <c r="E353" s="0" t="str">
        <f aca="false">IFERROR(INDEX('Materials Master'!$C$2:$C$27,MATCH($C353,'Materials Master'!$A$2:$A$27,0)),"")</f>
        <v>Plastics</v>
      </c>
      <c r="F353" s="0" t="n">
        <f aca="false">IF(SUMIFS(Fact_SortedWeights!$E$2:$E$89,Fact_SortedWeights!$C$2:$C$89,$A353,Fact_SortedWeights!$B$2:$B$89,$B353)=0,0,SUMIFS(Fact_SortedWeights!$E$2:$E$89,Fact_SortedWeights!$C$2:$C$89,$A353,Fact_SortedWeights!$B$2:$B$89,$B353,Fact_SortedWeights!$D$2:$D$89,$C353)/SUMIFS(Fact_SortedWeights!$E$2:$E$89,Fact_SortedWeights!$C$2:$C$89,$A353,Fact_SortedWeights!$B$2:$B$89,$B353)*(IF($B353="Cardboard Recycling",SUMIFS(Fact_SortedWeights!$E$2:$E$89,Fact_SortedWeights!$C$2:$C$89,$A353,Fact_SortedWeights!$B$2:$B$89,$B353),SUMIFS(Fact_PreSortWeights!$E$2:$E$186,Fact_PreSortWeights!$C$2:$C$186,$A353,Fact_PreSortWeights!$B$2:$B$186,$B353))))</f>
        <v>0</v>
      </c>
      <c r="G353" s="0" t="n">
        <f aca="false">IF(AND(IF($B353="Trash",INDEX('Materials Master'!$F$2:$F$27,MATCH($C353,'Materials Master'!$A$2:$A$27,0)),IF($B353="GMPC Recycling",INDEX('Materials Master'!$G$2:$G$27,MATCH($C353,'Materials Master'!$A$2:$A$27,0)),IF($B353="Organics Recycling",INDEX('Materials Master'!$H$2:$H$27,MATCH($C353,'Materials Master'!$A$2:$A$27,0)),IF($B353="Cardboard Recycling",INDEX('Materials Master'!$I$2:$I$27,MATCH($C353,'Materials Master'!$A$2:$A$27,0)),IF($B353="Paper Recycling",INDEX('Materials Master'!$J$2:$J$27,MATCH($C353,'Materials Master'!$A$2:$A$27,0)),IF($B353="Terracycle",INDEX('Materials Master'!$K$2:$K$27,MATCH($C353,'Materials Master'!$A$2:$A$27,0)),"No"))))))="Yes",INDEX('Materials Master'!$E$2:$E$27,MATCH($C353,'Materials Master'!$A$2:$A$27,0))="Yes",$B353&lt;&gt;"Trash"),1,0)</f>
        <v>0</v>
      </c>
      <c r="H353" s="0" t="str">
        <f aca="false">INDEX('Materials Master'!$E$2:$E$27,MATCH($C353,'Materials Master'!$A$2:$A$27,0))</f>
        <v>No</v>
      </c>
      <c r="I353" s="0" t="str">
        <f aca="false">IFERROR(INDEX(Areas!$C$2:$C$6,MATCH($A353,Areas!$B$2:$B$6,0)),"")</f>
        <v>Rest of Building</v>
      </c>
      <c r="J353" s="0" t="n">
        <f aca="false">IF(IF($B353="Trash",INDEX('Materials Master'!$F$2:$F$27,MATCH($C353,'Materials Master'!$A$2:$A$27,0)),IF($B353="GMPC Recycling",INDEX('Materials Master'!$G$2:$G$27,MATCH($C353,'Materials Master'!$A$2:$A$27,0)),IF($B353="Organics Recycling",INDEX('Materials Master'!$H$2:$H$27,MATCH($C353,'Materials Master'!$A$2:$A$27,0)),IF($B353="Cardboard Recycling",INDEX('Materials Master'!$I$2:$I$27,MATCH($C353,'Materials Master'!$A$2:$A$27,0)),IF($B353="Paper Recycling",INDEX('Materials Master'!$J$2:$J$27,MATCH($C353,'Materials Master'!$A$2:$A$27,0)),IF($B353="Terracycle",INDEX('Materials Master'!$K$2:$K$27,MATCH($C353,'Materials Master'!$A$2:$A$27,0)),"No"))))))="Yes",1,0)</f>
        <v>0</v>
      </c>
    </row>
    <row r="354" customFormat="false" ht="15" hidden="false" customHeight="false" outlineLevel="0" collapsed="false">
      <c r="A354" s="0" t="s">
        <v>98</v>
      </c>
      <c r="B354" s="0" t="s">
        <v>104</v>
      </c>
      <c r="C354" s="0" t="s">
        <v>62</v>
      </c>
      <c r="D354" s="0" t="str">
        <f aca="false">IFERROR(INDEX('Materials Master'!$B$2:$B$27,MATCH($C354,'Materials Master'!$A$2:$A$27,0)),"")</f>
        <v>Film Plastics</v>
      </c>
      <c r="E354" s="0" t="str">
        <f aca="false">IFERROR(INDEX('Materials Master'!$C$2:$C$27,MATCH($C354,'Materials Master'!$A$2:$A$27,0)),"")</f>
        <v>Plastics</v>
      </c>
      <c r="F354" s="0" t="n">
        <f aca="false">IF(SUMIFS(Fact_SortedWeights!$E$2:$E$89,Fact_SortedWeights!$C$2:$C$89,$A354,Fact_SortedWeights!$B$2:$B$89,$B354)=0,0,SUMIFS(Fact_SortedWeights!$E$2:$E$89,Fact_SortedWeights!$C$2:$C$89,$A354,Fact_SortedWeights!$B$2:$B$89,$B354,Fact_SortedWeights!$D$2:$D$89,$C354)/SUMIFS(Fact_SortedWeights!$E$2:$E$89,Fact_SortedWeights!$C$2:$C$89,$A354,Fact_SortedWeights!$B$2:$B$89,$B354)*(IF($B354="Cardboard Recycling",SUMIFS(Fact_SortedWeights!$E$2:$E$89,Fact_SortedWeights!$C$2:$C$89,$A354,Fact_SortedWeights!$B$2:$B$89,$B354),SUMIFS(Fact_PreSortWeights!$E$2:$E$186,Fact_PreSortWeights!$C$2:$C$186,$A354,Fact_PreSortWeights!$B$2:$B$186,$B354))))</f>
        <v>0</v>
      </c>
      <c r="G354" s="0" t="n">
        <f aca="false">IF(AND(IF($B354="Trash",INDEX('Materials Master'!$F$2:$F$27,MATCH($C354,'Materials Master'!$A$2:$A$27,0)),IF($B354="GMPC Recycling",INDEX('Materials Master'!$G$2:$G$27,MATCH($C354,'Materials Master'!$A$2:$A$27,0)),IF($B354="Organics Recycling",INDEX('Materials Master'!$H$2:$H$27,MATCH($C354,'Materials Master'!$A$2:$A$27,0)),IF($B354="Cardboard Recycling",INDEX('Materials Master'!$I$2:$I$27,MATCH($C354,'Materials Master'!$A$2:$A$27,0)),IF($B354="Paper Recycling",INDEX('Materials Master'!$J$2:$J$27,MATCH($C354,'Materials Master'!$A$2:$A$27,0)),IF($B354="Terracycle",INDEX('Materials Master'!$K$2:$K$27,MATCH($C354,'Materials Master'!$A$2:$A$27,0)),"No"))))))="Yes",INDEX('Materials Master'!$E$2:$E$27,MATCH($C354,'Materials Master'!$A$2:$A$27,0))="Yes",$B354&lt;&gt;"Trash"),1,0)</f>
        <v>0</v>
      </c>
      <c r="H354" s="0" t="str">
        <f aca="false">INDEX('Materials Master'!$E$2:$E$27,MATCH($C354,'Materials Master'!$A$2:$A$27,0))</f>
        <v>No</v>
      </c>
      <c r="I354" s="0" t="str">
        <f aca="false">IFERROR(INDEX(Areas!$C$2:$C$6,MATCH($A354,Areas!$B$2:$B$6,0)),"")</f>
        <v>Rest of Building</v>
      </c>
      <c r="J354" s="0" t="n">
        <f aca="false">IF(IF($B354="Trash",INDEX('Materials Master'!$F$2:$F$27,MATCH($C354,'Materials Master'!$A$2:$A$27,0)),IF($B354="GMPC Recycling",INDEX('Materials Master'!$G$2:$G$27,MATCH($C354,'Materials Master'!$A$2:$A$27,0)),IF($B354="Organics Recycling",INDEX('Materials Master'!$H$2:$H$27,MATCH($C354,'Materials Master'!$A$2:$A$27,0)),IF($B354="Cardboard Recycling",INDEX('Materials Master'!$I$2:$I$27,MATCH($C354,'Materials Master'!$A$2:$A$27,0)),IF($B354="Paper Recycling",INDEX('Materials Master'!$J$2:$J$27,MATCH($C354,'Materials Master'!$A$2:$A$27,0)),IF($B354="Terracycle",INDEX('Materials Master'!$K$2:$K$27,MATCH($C354,'Materials Master'!$A$2:$A$27,0)),"No"))))))="Yes",1,0)</f>
        <v>0</v>
      </c>
    </row>
    <row r="355" customFormat="false" ht="15" hidden="false" customHeight="false" outlineLevel="0" collapsed="false">
      <c r="A355" s="0" t="s">
        <v>98</v>
      </c>
      <c r="B355" s="0" t="s">
        <v>104</v>
      </c>
      <c r="C355" s="0" t="s">
        <v>64</v>
      </c>
      <c r="D355" s="0" t="str">
        <f aca="false">IFERROR(INDEX('Materials Master'!$B$2:$B$27,MATCH($C355,'Materials Master'!$A$2:$A$27,0)),"")</f>
        <v>Foams</v>
      </c>
      <c r="E355" s="0" t="str">
        <f aca="false">IFERROR(INDEX('Materials Master'!$C$2:$C$27,MATCH($C355,'Materials Master'!$A$2:$A$27,0)),"")</f>
        <v>Plastics</v>
      </c>
      <c r="F355" s="0" t="n">
        <f aca="false">IF(SUMIFS(Fact_SortedWeights!$E$2:$E$89,Fact_SortedWeights!$C$2:$C$89,$A355,Fact_SortedWeights!$B$2:$B$89,$B355)=0,0,SUMIFS(Fact_SortedWeights!$E$2:$E$89,Fact_SortedWeights!$C$2:$C$89,$A355,Fact_SortedWeights!$B$2:$B$89,$B355,Fact_SortedWeights!$D$2:$D$89,$C355)/SUMIFS(Fact_SortedWeights!$E$2:$E$89,Fact_SortedWeights!$C$2:$C$89,$A355,Fact_SortedWeights!$B$2:$B$89,$B355)*(IF($B355="Cardboard Recycling",SUMIFS(Fact_SortedWeights!$E$2:$E$89,Fact_SortedWeights!$C$2:$C$89,$A355,Fact_SortedWeights!$B$2:$B$89,$B355),SUMIFS(Fact_PreSortWeights!$E$2:$E$186,Fact_PreSortWeights!$C$2:$C$186,$A355,Fact_PreSortWeights!$B$2:$B$186,$B355))))</f>
        <v>0</v>
      </c>
      <c r="G355" s="0" t="n">
        <f aca="false">IF(AND(IF($B355="Trash",INDEX('Materials Master'!$F$2:$F$27,MATCH($C355,'Materials Master'!$A$2:$A$27,0)),IF($B355="GMPC Recycling",INDEX('Materials Master'!$G$2:$G$27,MATCH($C355,'Materials Master'!$A$2:$A$27,0)),IF($B355="Organics Recycling",INDEX('Materials Master'!$H$2:$H$27,MATCH($C355,'Materials Master'!$A$2:$A$27,0)),IF($B355="Cardboard Recycling",INDEX('Materials Master'!$I$2:$I$27,MATCH($C355,'Materials Master'!$A$2:$A$27,0)),IF($B355="Paper Recycling",INDEX('Materials Master'!$J$2:$J$27,MATCH($C355,'Materials Master'!$A$2:$A$27,0)),IF($B355="Terracycle",INDEX('Materials Master'!$K$2:$K$27,MATCH($C355,'Materials Master'!$A$2:$A$27,0)),"No"))))))="Yes",INDEX('Materials Master'!$E$2:$E$27,MATCH($C355,'Materials Master'!$A$2:$A$27,0))="Yes",$B355&lt;&gt;"Trash"),1,0)</f>
        <v>0</v>
      </c>
      <c r="H355" s="0" t="str">
        <f aca="false">INDEX('Materials Master'!$E$2:$E$27,MATCH($C355,'Materials Master'!$A$2:$A$27,0))</f>
        <v>No</v>
      </c>
      <c r="I355" s="0" t="str">
        <f aca="false">IFERROR(INDEX(Areas!$C$2:$C$6,MATCH($A355,Areas!$B$2:$B$6,0)),"")</f>
        <v>Rest of Building</v>
      </c>
      <c r="J355" s="0" t="n">
        <f aca="false">IF(IF($B355="Trash",INDEX('Materials Master'!$F$2:$F$27,MATCH($C355,'Materials Master'!$A$2:$A$27,0)),IF($B355="GMPC Recycling",INDEX('Materials Master'!$G$2:$G$27,MATCH($C355,'Materials Master'!$A$2:$A$27,0)),IF($B355="Organics Recycling",INDEX('Materials Master'!$H$2:$H$27,MATCH($C355,'Materials Master'!$A$2:$A$27,0)),IF($B355="Cardboard Recycling",INDEX('Materials Master'!$I$2:$I$27,MATCH($C355,'Materials Master'!$A$2:$A$27,0)),IF($B355="Paper Recycling",INDEX('Materials Master'!$J$2:$J$27,MATCH($C355,'Materials Master'!$A$2:$A$27,0)),IF($B355="Terracycle",INDEX('Materials Master'!$K$2:$K$27,MATCH($C355,'Materials Master'!$A$2:$A$27,0)),"No"))))))="Yes",1,0)</f>
        <v>0</v>
      </c>
    </row>
    <row r="356" customFormat="false" ht="15" hidden="false" customHeight="false" outlineLevel="0" collapsed="false">
      <c r="A356" s="0" t="s">
        <v>98</v>
      </c>
      <c r="B356" s="0" t="s">
        <v>104</v>
      </c>
      <c r="C356" s="0" t="s">
        <v>66</v>
      </c>
      <c r="D356" s="0" t="str">
        <f aca="false">IFERROR(INDEX('Materials Master'!$B$2:$B$27,MATCH($C356,'Materials Master'!$A$2:$A$27,0)),"")</f>
        <v>Food Waste</v>
      </c>
      <c r="E356" s="0" t="str">
        <f aca="false">IFERROR(INDEX('Materials Master'!$C$2:$C$27,MATCH($C356,'Materials Master'!$A$2:$A$27,0)),"")</f>
        <v>Organics</v>
      </c>
      <c r="F356" s="0" t="n">
        <f aca="false">IF(SUMIFS(Fact_SortedWeights!$E$2:$E$89,Fact_SortedWeights!$C$2:$C$89,$A356,Fact_SortedWeights!$B$2:$B$89,$B356)=0,0,SUMIFS(Fact_SortedWeights!$E$2:$E$89,Fact_SortedWeights!$C$2:$C$89,$A356,Fact_SortedWeights!$B$2:$B$89,$B356,Fact_SortedWeights!$D$2:$D$89,$C356)/SUMIFS(Fact_SortedWeights!$E$2:$E$89,Fact_SortedWeights!$C$2:$C$89,$A356,Fact_SortedWeights!$B$2:$B$89,$B356)*(IF($B356="Cardboard Recycling",SUMIFS(Fact_SortedWeights!$E$2:$E$89,Fact_SortedWeights!$C$2:$C$89,$A356,Fact_SortedWeights!$B$2:$B$89,$B356),SUMIFS(Fact_PreSortWeights!$E$2:$E$186,Fact_PreSortWeights!$C$2:$C$186,$A356,Fact_PreSortWeights!$B$2:$B$186,$B356))))</f>
        <v>0</v>
      </c>
      <c r="G356" s="0" t="n">
        <f aca="false">IF(AND(IF($B356="Trash",INDEX('Materials Master'!$F$2:$F$27,MATCH($C356,'Materials Master'!$A$2:$A$27,0)),IF($B356="GMPC Recycling",INDEX('Materials Master'!$G$2:$G$27,MATCH($C356,'Materials Master'!$A$2:$A$27,0)),IF($B356="Organics Recycling",INDEX('Materials Master'!$H$2:$H$27,MATCH($C356,'Materials Master'!$A$2:$A$27,0)),IF($B356="Cardboard Recycling",INDEX('Materials Master'!$I$2:$I$27,MATCH($C356,'Materials Master'!$A$2:$A$27,0)),IF($B356="Paper Recycling",INDEX('Materials Master'!$J$2:$J$27,MATCH($C356,'Materials Master'!$A$2:$A$27,0)),IF($B356="Terracycle",INDEX('Materials Master'!$K$2:$K$27,MATCH($C356,'Materials Master'!$A$2:$A$27,0)),"No"))))))="Yes",INDEX('Materials Master'!$E$2:$E$27,MATCH($C356,'Materials Master'!$A$2:$A$27,0))="Yes",$B356&lt;&gt;"Trash"),1,0)</f>
        <v>0</v>
      </c>
      <c r="H356" s="0" t="str">
        <f aca="false">INDEX('Materials Master'!$E$2:$E$27,MATCH($C356,'Materials Master'!$A$2:$A$27,0))</f>
        <v>Yes</v>
      </c>
      <c r="I356" s="0" t="str">
        <f aca="false">IFERROR(INDEX(Areas!$C$2:$C$6,MATCH($A356,Areas!$B$2:$B$6,0)),"")</f>
        <v>Rest of Building</v>
      </c>
      <c r="J356" s="0" t="n">
        <f aca="false">IF(IF($B356="Trash",INDEX('Materials Master'!$F$2:$F$27,MATCH($C356,'Materials Master'!$A$2:$A$27,0)),IF($B356="GMPC Recycling",INDEX('Materials Master'!$G$2:$G$27,MATCH($C356,'Materials Master'!$A$2:$A$27,0)),IF($B356="Organics Recycling",INDEX('Materials Master'!$H$2:$H$27,MATCH($C356,'Materials Master'!$A$2:$A$27,0)),IF($B356="Cardboard Recycling",INDEX('Materials Master'!$I$2:$I$27,MATCH($C356,'Materials Master'!$A$2:$A$27,0)),IF($B356="Paper Recycling",INDEX('Materials Master'!$J$2:$J$27,MATCH($C356,'Materials Master'!$A$2:$A$27,0)),IF($B356="Terracycle",INDEX('Materials Master'!$K$2:$K$27,MATCH($C356,'Materials Master'!$A$2:$A$27,0)),"No"))))))="Yes",1,0)</f>
        <v>0</v>
      </c>
    </row>
    <row r="357" customFormat="false" ht="15" hidden="false" customHeight="false" outlineLevel="0" collapsed="false">
      <c r="A357" s="0" t="s">
        <v>98</v>
      </c>
      <c r="B357" s="0" t="s">
        <v>104</v>
      </c>
      <c r="C357" s="0" t="s">
        <v>69</v>
      </c>
      <c r="D357" s="0" t="str">
        <f aca="false">IFERROR(INDEX('Materials Master'!$B$2:$B$27,MATCH($C357,'Materials Master'!$A$2:$A$27,0)),"")</f>
        <v>Paper Fibers and Food-Soiled Paper (FSP)</v>
      </c>
      <c r="E357" s="0" t="str">
        <f aca="false">IFERROR(INDEX('Materials Master'!$C$2:$C$27,MATCH($C357,'Materials Master'!$A$2:$A$27,0)),"")</f>
        <v>Organics</v>
      </c>
      <c r="F357" s="0" t="n">
        <f aca="false">IF(SUMIFS(Fact_SortedWeights!$E$2:$E$89,Fact_SortedWeights!$C$2:$C$89,$A357,Fact_SortedWeights!$B$2:$B$89,$B357)=0,0,SUMIFS(Fact_SortedWeights!$E$2:$E$89,Fact_SortedWeights!$C$2:$C$89,$A357,Fact_SortedWeights!$B$2:$B$89,$B357,Fact_SortedWeights!$D$2:$D$89,$C357)/SUMIFS(Fact_SortedWeights!$E$2:$E$89,Fact_SortedWeights!$C$2:$C$89,$A357,Fact_SortedWeights!$B$2:$B$89,$B357)*(IF($B357="Cardboard Recycling",SUMIFS(Fact_SortedWeights!$E$2:$E$89,Fact_SortedWeights!$C$2:$C$89,$A357,Fact_SortedWeights!$B$2:$B$89,$B357),SUMIFS(Fact_PreSortWeights!$E$2:$E$186,Fact_PreSortWeights!$C$2:$C$186,$A357,Fact_PreSortWeights!$B$2:$B$186,$B357))))</f>
        <v>0</v>
      </c>
      <c r="G357" s="0" t="n">
        <f aca="false">IF(AND(IF($B357="Trash",INDEX('Materials Master'!$F$2:$F$27,MATCH($C357,'Materials Master'!$A$2:$A$27,0)),IF($B357="GMPC Recycling",INDEX('Materials Master'!$G$2:$G$27,MATCH($C357,'Materials Master'!$A$2:$A$27,0)),IF($B357="Organics Recycling",INDEX('Materials Master'!$H$2:$H$27,MATCH($C357,'Materials Master'!$A$2:$A$27,0)),IF($B357="Cardboard Recycling",INDEX('Materials Master'!$I$2:$I$27,MATCH($C357,'Materials Master'!$A$2:$A$27,0)),IF($B357="Paper Recycling",INDEX('Materials Master'!$J$2:$J$27,MATCH($C357,'Materials Master'!$A$2:$A$27,0)),IF($B357="Terracycle",INDEX('Materials Master'!$K$2:$K$27,MATCH($C357,'Materials Master'!$A$2:$A$27,0)),"No"))))))="Yes",INDEX('Materials Master'!$E$2:$E$27,MATCH($C357,'Materials Master'!$A$2:$A$27,0))="Yes",$B357&lt;&gt;"Trash"),1,0)</f>
        <v>0</v>
      </c>
      <c r="H357" s="0" t="str">
        <f aca="false">INDEX('Materials Master'!$E$2:$E$27,MATCH($C357,'Materials Master'!$A$2:$A$27,0))</f>
        <v>No</v>
      </c>
      <c r="I357" s="0" t="str">
        <f aca="false">IFERROR(INDEX(Areas!$C$2:$C$6,MATCH($A357,Areas!$B$2:$B$6,0)),"")</f>
        <v>Rest of Building</v>
      </c>
      <c r="J357" s="0" t="n">
        <f aca="false">IF(IF($B357="Trash",INDEX('Materials Master'!$F$2:$F$27,MATCH($C357,'Materials Master'!$A$2:$A$27,0)),IF($B357="GMPC Recycling",INDEX('Materials Master'!$G$2:$G$27,MATCH($C357,'Materials Master'!$A$2:$A$27,0)),IF($B357="Organics Recycling",INDEX('Materials Master'!$H$2:$H$27,MATCH($C357,'Materials Master'!$A$2:$A$27,0)),IF($B357="Cardboard Recycling",INDEX('Materials Master'!$I$2:$I$27,MATCH($C357,'Materials Master'!$A$2:$A$27,0)),IF($B357="Paper Recycling",INDEX('Materials Master'!$J$2:$J$27,MATCH($C357,'Materials Master'!$A$2:$A$27,0)),IF($B357="Terracycle",INDEX('Materials Master'!$K$2:$K$27,MATCH($C357,'Materials Master'!$A$2:$A$27,0)),"No"))))))="Yes",1,0)</f>
        <v>0</v>
      </c>
    </row>
    <row r="358" customFormat="false" ht="15" hidden="false" customHeight="false" outlineLevel="0" collapsed="false">
      <c r="A358" s="0" t="s">
        <v>98</v>
      </c>
      <c r="B358" s="0" t="s">
        <v>104</v>
      </c>
      <c r="C358" s="0" t="s">
        <v>71</v>
      </c>
      <c r="D358" s="0" t="str">
        <f aca="false">IFERROR(INDEX('Materials Master'!$B$2:$B$27,MATCH($C358,'Materials Master'!$A$2:$A$27,0)),"")</f>
        <v>Fiber-based Compostable Serviceware</v>
      </c>
      <c r="E358" s="0" t="str">
        <f aca="false">IFERROR(INDEX('Materials Master'!$C$2:$C$27,MATCH($C358,'Materials Master'!$A$2:$A$27,0)),"")</f>
        <v>Organics</v>
      </c>
      <c r="F358" s="0" t="n">
        <f aca="false">IF(SUMIFS(Fact_SortedWeights!$E$2:$E$89,Fact_SortedWeights!$C$2:$C$89,$A358,Fact_SortedWeights!$B$2:$B$89,$B358)=0,0,SUMIFS(Fact_SortedWeights!$E$2:$E$89,Fact_SortedWeights!$C$2:$C$89,$A358,Fact_SortedWeights!$B$2:$B$89,$B358,Fact_SortedWeights!$D$2:$D$89,$C358)/SUMIFS(Fact_SortedWeights!$E$2:$E$89,Fact_SortedWeights!$C$2:$C$89,$A358,Fact_SortedWeights!$B$2:$B$89,$B358)*(IF($B358="Cardboard Recycling",SUMIFS(Fact_SortedWeights!$E$2:$E$89,Fact_SortedWeights!$C$2:$C$89,$A358,Fact_SortedWeights!$B$2:$B$89,$B358),SUMIFS(Fact_PreSortWeights!$E$2:$E$186,Fact_PreSortWeights!$C$2:$C$186,$A358,Fact_PreSortWeights!$B$2:$B$186,$B358))))</f>
        <v>0</v>
      </c>
      <c r="G358" s="0" t="n">
        <f aca="false">IF(AND(IF($B358="Trash",INDEX('Materials Master'!$F$2:$F$27,MATCH($C358,'Materials Master'!$A$2:$A$27,0)),IF($B358="GMPC Recycling",INDEX('Materials Master'!$G$2:$G$27,MATCH($C358,'Materials Master'!$A$2:$A$27,0)),IF($B358="Organics Recycling",INDEX('Materials Master'!$H$2:$H$27,MATCH($C358,'Materials Master'!$A$2:$A$27,0)),IF($B358="Cardboard Recycling",INDEX('Materials Master'!$I$2:$I$27,MATCH($C358,'Materials Master'!$A$2:$A$27,0)),IF($B358="Paper Recycling",INDEX('Materials Master'!$J$2:$J$27,MATCH($C358,'Materials Master'!$A$2:$A$27,0)),IF($B358="Terracycle",INDEX('Materials Master'!$K$2:$K$27,MATCH($C358,'Materials Master'!$A$2:$A$27,0)),"No"))))))="Yes",INDEX('Materials Master'!$E$2:$E$27,MATCH($C358,'Materials Master'!$A$2:$A$27,0))="Yes",$B358&lt;&gt;"Trash"),1,0)</f>
        <v>0</v>
      </c>
      <c r="H358" s="0" t="str">
        <f aca="false">INDEX('Materials Master'!$E$2:$E$27,MATCH($C358,'Materials Master'!$A$2:$A$27,0))</f>
        <v>No</v>
      </c>
      <c r="I358" s="0" t="str">
        <f aca="false">IFERROR(INDEX(Areas!$C$2:$C$6,MATCH($A358,Areas!$B$2:$B$6,0)),"")</f>
        <v>Rest of Building</v>
      </c>
      <c r="J358" s="0" t="n">
        <f aca="false">IF(IF($B358="Trash",INDEX('Materials Master'!$F$2:$F$27,MATCH($C358,'Materials Master'!$A$2:$A$27,0)),IF($B358="GMPC Recycling",INDEX('Materials Master'!$G$2:$G$27,MATCH($C358,'Materials Master'!$A$2:$A$27,0)),IF($B358="Organics Recycling",INDEX('Materials Master'!$H$2:$H$27,MATCH($C358,'Materials Master'!$A$2:$A$27,0)),IF($B358="Cardboard Recycling",INDEX('Materials Master'!$I$2:$I$27,MATCH($C358,'Materials Master'!$A$2:$A$27,0)),IF($B358="Paper Recycling",INDEX('Materials Master'!$J$2:$J$27,MATCH($C358,'Materials Master'!$A$2:$A$27,0)),IF($B358="Terracycle",INDEX('Materials Master'!$K$2:$K$27,MATCH($C358,'Materials Master'!$A$2:$A$27,0)),"No"))))))="Yes",1,0)</f>
        <v>0</v>
      </c>
    </row>
    <row r="359" customFormat="false" ht="15" hidden="false" customHeight="false" outlineLevel="0" collapsed="false">
      <c r="A359" s="0" t="s">
        <v>98</v>
      </c>
      <c r="B359" s="0" t="s">
        <v>104</v>
      </c>
      <c r="C359" s="0" t="s">
        <v>73</v>
      </c>
      <c r="D359" s="0" t="str">
        <f aca="false">IFERROR(INDEX('Materials Master'!$B$2:$B$27,MATCH($C359,'Materials Master'!$A$2:$A$27,0)),"")</f>
        <v>PLA Compostable Serviceware</v>
      </c>
      <c r="E359" s="0" t="str">
        <f aca="false">IFERROR(INDEX('Materials Master'!$C$2:$C$27,MATCH($C359,'Materials Master'!$A$2:$A$27,0)),"")</f>
        <v>Organics</v>
      </c>
      <c r="F359" s="0" t="n">
        <f aca="false">IF(SUMIFS(Fact_SortedWeights!$E$2:$E$89,Fact_SortedWeights!$C$2:$C$89,$A359,Fact_SortedWeights!$B$2:$B$89,$B359)=0,0,SUMIFS(Fact_SortedWeights!$E$2:$E$89,Fact_SortedWeights!$C$2:$C$89,$A359,Fact_SortedWeights!$B$2:$B$89,$B359,Fact_SortedWeights!$D$2:$D$89,$C359)/SUMIFS(Fact_SortedWeights!$E$2:$E$89,Fact_SortedWeights!$C$2:$C$89,$A359,Fact_SortedWeights!$B$2:$B$89,$B359)*(IF($B359="Cardboard Recycling",SUMIFS(Fact_SortedWeights!$E$2:$E$89,Fact_SortedWeights!$C$2:$C$89,$A359,Fact_SortedWeights!$B$2:$B$89,$B359),SUMIFS(Fact_PreSortWeights!$E$2:$E$186,Fact_PreSortWeights!$C$2:$C$186,$A359,Fact_PreSortWeights!$B$2:$B$186,$B359))))</f>
        <v>0</v>
      </c>
      <c r="G359" s="0" t="n">
        <f aca="false">IF(AND(IF($B359="Trash",INDEX('Materials Master'!$F$2:$F$27,MATCH($C359,'Materials Master'!$A$2:$A$27,0)),IF($B359="GMPC Recycling",INDEX('Materials Master'!$G$2:$G$27,MATCH($C359,'Materials Master'!$A$2:$A$27,0)),IF($B359="Organics Recycling",INDEX('Materials Master'!$H$2:$H$27,MATCH($C359,'Materials Master'!$A$2:$A$27,0)),IF($B359="Cardboard Recycling",INDEX('Materials Master'!$I$2:$I$27,MATCH($C359,'Materials Master'!$A$2:$A$27,0)),IF($B359="Paper Recycling",INDEX('Materials Master'!$J$2:$J$27,MATCH($C359,'Materials Master'!$A$2:$A$27,0)),IF($B359="Terracycle",INDEX('Materials Master'!$K$2:$K$27,MATCH($C359,'Materials Master'!$A$2:$A$27,0)),"No"))))))="Yes",INDEX('Materials Master'!$E$2:$E$27,MATCH($C359,'Materials Master'!$A$2:$A$27,0))="Yes",$B359&lt;&gt;"Trash"),1,0)</f>
        <v>0</v>
      </c>
      <c r="H359" s="0" t="str">
        <f aca="false">INDEX('Materials Master'!$E$2:$E$27,MATCH($C359,'Materials Master'!$A$2:$A$27,0))</f>
        <v>No</v>
      </c>
      <c r="I359" s="0" t="str">
        <f aca="false">IFERROR(INDEX(Areas!$C$2:$C$6,MATCH($A359,Areas!$B$2:$B$6,0)),"")</f>
        <v>Rest of Building</v>
      </c>
      <c r="J359" s="0" t="n">
        <f aca="false">IF(IF($B359="Trash",INDEX('Materials Master'!$F$2:$F$27,MATCH($C359,'Materials Master'!$A$2:$A$27,0)),IF($B359="GMPC Recycling",INDEX('Materials Master'!$G$2:$G$27,MATCH($C359,'Materials Master'!$A$2:$A$27,0)),IF($B359="Organics Recycling",INDEX('Materials Master'!$H$2:$H$27,MATCH($C359,'Materials Master'!$A$2:$A$27,0)),IF($B359="Cardboard Recycling",INDEX('Materials Master'!$I$2:$I$27,MATCH($C359,'Materials Master'!$A$2:$A$27,0)),IF($B359="Paper Recycling",INDEX('Materials Master'!$J$2:$J$27,MATCH($C359,'Materials Master'!$A$2:$A$27,0)),IF($B359="Terracycle",INDEX('Materials Master'!$K$2:$K$27,MATCH($C359,'Materials Master'!$A$2:$A$27,0)),"No"))))))="Yes",1,0)</f>
        <v>0</v>
      </c>
    </row>
    <row r="360" customFormat="false" ht="15" hidden="false" customHeight="false" outlineLevel="0" collapsed="false">
      <c r="A360" s="0" t="s">
        <v>98</v>
      </c>
      <c r="B360" s="0" t="s">
        <v>104</v>
      </c>
      <c r="C360" s="0" t="s">
        <v>75</v>
      </c>
      <c r="D360" s="0" t="str">
        <f aca="false">IFERROR(INDEX('Materials Master'!$B$2:$B$27,MATCH($C360,'Materials Master'!$A$2:$A$27,0)),"")</f>
        <v>E/U Waste</v>
      </c>
      <c r="E360" s="0" t="str">
        <f aca="false">IFERROR(INDEX('Materials Master'!$C$2:$C$27,MATCH($C360,'Materials Master'!$A$2:$A$27,0)),"")</f>
        <v>Unacceptable</v>
      </c>
      <c r="F360" s="0" t="n">
        <f aca="false">IF(SUMIFS(Fact_SortedWeights!$E$2:$E$89,Fact_SortedWeights!$C$2:$C$89,$A360,Fact_SortedWeights!$B$2:$B$89,$B360)=0,0,SUMIFS(Fact_SortedWeights!$E$2:$E$89,Fact_SortedWeights!$C$2:$C$89,$A360,Fact_SortedWeights!$B$2:$B$89,$B360,Fact_SortedWeights!$D$2:$D$89,$C360)/SUMIFS(Fact_SortedWeights!$E$2:$E$89,Fact_SortedWeights!$C$2:$C$89,$A360,Fact_SortedWeights!$B$2:$B$89,$B360)*(IF($B360="Cardboard Recycling",SUMIFS(Fact_SortedWeights!$E$2:$E$89,Fact_SortedWeights!$C$2:$C$89,$A360,Fact_SortedWeights!$B$2:$B$89,$B360),SUMIFS(Fact_PreSortWeights!$E$2:$E$186,Fact_PreSortWeights!$C$2:$C$186,$A360,Fact_PreSortWeights!$B$2:$B$186,$B360))))</f>
        <v>0</v>
      </c>
      <c r="G360" s="0" t="n">
        <f aca="false">IF(AND(IF($B360="Trash",INDEX('Materials Master'!$F$2:$F$27,MATCH($C360,'Materials Master'!$A$2:$A$27,0)),IF($B360="GMPC Recycling",INDEX('Materials Master'!$G$2:$G$27,MATCH($C360,'Materials Master'!$A$2:$A$27,0)),IF($B360="Organics Recycling",INDEX('Materials Master'!$H$2:$H$27,MATCH($C360,'Materials Master'!$A$2:$A$27,0)),IF($B360="Cardboard Recycling",INDEX('Materials Master'!$I$2:$I$27,MATCH($C360,'Materials Master'!$A$2:$A$27,0)),IF($B360="Paper Recycling",INDEX('Materials Master'!$J$2:$J$27,MATCH($C360,'Materials Master'!$A$2:$A$27,0)),IF($B360="Terracycle",INDEX('Materials Master'!$K$2:$K$27,MATCH($C360,'Materials Master'!$A$2:$A$27,0)),"No"))))))="Yes",INDEX('Materials Master'!$E$2:$E$27,MATCH($C360,'Materials Master'!$A$2:$A$27,0))="Yes",$B360&lt;&gt;"Trash"),1,0)</f>
        <v>0</v>
      </c>
      <c r="H360" s="0" t="str">
        <f aca="false">INDEX('Materials Master'!$E$2:$E$27,MATCH($C360,'Materials Master'!$A$2:$A$27,0))</f>
        <v>No</v>
      </c>
      <c r="I360" s="0" t="str">
        <f aca="false">IFERROR(INDEX(Areas!$C$2:$C$6,MATCH($A360,Areas!$B$2:$B$6,0)),"")</f>
        <v>Rest of Building</v>
      </c>
      <c r="J360" s="0" t="n">
        <f aca="false">IF(IF($B360="Trash",INDEX('Materials Master'!$F$2:$F$27,MATCH($C360,'Materials Master'!$A$2:$A$27,0)),IF($B360="GMPC Recycling",INDEX('Materials Master'!$G$2:$G$27,MATCH($C360,'Materials Master'!$A$2:$A$27,0)),IF($B360="Organics Recycling",INDEX('Materials Master'!$H$2:$H$27,MATCH($C360,'Materials Master'!$A$2:$A$27,0)),IF($B360="Cardboard Recycling",INDEX('Materials Master'!$I$2:$I$27,MATCH($C360,'Materials Master'!$A$2:$A$27,0)),IF($B360="Paper Recycling",INDEX('Materials Master'!$J$2:$J$27,MATCH($C360,'Materials Master'!$A$2:$A$27,0)),IF($B360="Terracycle",INDEX('Materials Master'!$K$2:$K$27,MATCH($C360,'Materials Master'!$A$2:$A$27,0)),"No"))))))="Yes",1,0)</f>
        <v>0</v>
      </c>
    </row>
    <row r="361" customFormat="false" ht="15" hidden="false" customHeight="false" outlineLevel="0" collapsed="false">
      <c r="A361" s="0" t="s">
        <v>98</v>
      </c>
      <c r="B361" s="0" t="s">
        <v>104</v>
      </c>
      <c r="C361" s="0" t="s">
        <v>78</v>
      </c>
      <c r="D361" s="0" t="str">
        <f aca="false">IFERROR(INDEX('Materials Master'!$B$2:$B$27,MATCH($C361,'Materials Master'!$A$2:$A$27,0)),"")</f>
        <v>Textiles</v>
      </c>
      <c r="E361" s="0" t="str">
        <f aca="false">IFERROR(INDEX('Materials Master'!$C$2:$C$27,MATCH($C361,'Materials Master'!$A$2:$A$27,0)),"")</f>
        <v>Unacceptable</v>
      </c>
      <c r="F361" s="0" t="n">
        <f aca="false">IF(SUMIFS(Fact_SortedWeights!$E$2:$E$89,Fact_SortedWeights!$C$2:$C$89,$A361,Fact_SortedWeights!$B$2:$B$89,$B361)=0,0,SUMIFS(Fact_SortedWeights!$E$2:$E$89,Fact_SortedWeights!$C$2:$C$89,$A361,Fact_SortedWeights!$B$2:$B$89,$B361,Fact_SortedWeights!$D$2:$D$89,$C361)/SUMIFS(Fact_SortedWeights!$E$2:$E$89,Fact_SortedWeights!$C$2:$C$89,$A361,Fact_SortedWeights!$B$2:$B$89,$B361)*(IF($B361="Cardboard Recycling",SUMIFS(Fact_SortedWeights!$E$2:$E$89,Fact_SortedWeights!$C$2:$C$89,$A361,Fact_SortedWeights!$B$2:$B$89,$B361),SUMIFS(Fact_PreSortWeights!$E$2:$E$186,Fact_PreSortWeights!$C$2:$C$186,$A361,Fact_PreSortWeights!$B$2:$B$186,$B361))))</f>
        <v>0</v>
      </c>
      <c r="G361" s="0" t="n">
        <f aca="false">IF(AND(IF($B361="Trash",INDEX('Materials Master'!$F$2:$F$27,MATCH($C361,'Materials Master'!$A$2:$A$27,0)),IF($B361="GMPC Recycling",INDEX('Materials Master'!$G$2:$G$27,MATCH($C361,'Materials Master'!$A$2:$A$27,0)),IF($B361="Organics Recycling",INDEX('Materials Master'!$H$2:$H$27,MATCH($C361,'Materials Master'!$A$2:$A$27,0)),IF($B361="Cardboard Recycling",INDEX('Materials Master'!$I$2:$I$27,MATCH($C361,'Materials Master'!$A$2:$A$27,0)),IF($B361="Paper Recycling",INDEX('Materials Master'!$J$2:$J$27,MATCH($C361,'Materials Master'!$A$2:$A$27,0)),IF($B361="Terracycle",INDEX('Materials Master'!$K$2:$K$27,MATCH($C361,'Materials Master'!$A$2:$A$27,0)),"No"))))))="Yes",INDEX('Materials Master'!$E$2:$E$27,MATCH($C361,'Materials Master'!$A$2:$A$27,0))="Yes",$B361&lt;&gt;"Trash"),1,0)</f>
        <v>0</v>
      </c>
      <c r="H361" s="0" t="str">
        <f aca="false">INDEX('Materials Master'!$E$2:$E$27,MATCH($C361,'Materials Master'!$A$2:$A$27,0))</f>
        <v>No</v>
      </c>
      <c r="I361" s="0" t="str">
        <f aca="false">IFERROR(INDEX(Areas!$C$2:$C$6,MATCH($A361,Areas!$B$2:$B$6,0)),"")</f>
        <v>Rest of Building</v>
      </c>
      <c r="J361" s="0" t="n">
        <f aca="false">IF(IF($B361="Trash",INDEX('Materials Master'!$F$2:$F$27,MATCH($C361,'Materials Master'!$A$2:$A$27,0)),IF($B361="GMPC Recycling",INDEX('Materials Master'!$G$2:$G$27,MATCH($C361,'Materials Master'!$A$2:$A$27,0)),IF($B361="Organics Recycling",INDEX('Materials Master'!$H$2:$H$27,MATCH($C361,'Materials Master'!$A$2:$A$27,0)),IF($B361="Cardboard Recycling",INDEX('Materials Master'!$I$2:$I$27,MATCH($C361,'Materials Master'!$A$2:$A$27,0)),IF($B361="Paper Recycling",INDEX('Materials Master'!$J$2:$J$27,MATCH($C361,'Materials Master'!$A$2:$A$27,0)),IF($B361="Terracycle",INDEX('Materials Master'!$K$2:$K$27,MATCH($C361,'Materials Master'!$A$2:$A$27,0)),"No"))))))="Yes",1,0)</f>
        <v>0</v>
      </c>
    </row>
    <row r="362" customFormat="false" ht="15" hidden="false" customHeight="false" outlineLevel="0" collapsed="false">
      <c r="A362" s="0" t="s">
        <v>98</v>
      </c>
      <c r="B362" s="0" t="s">
        <v>104</v>
      </c>
      <c r="C362" s="0" t="s">
        <v>80</v>
      </c>
      <c r="D362" s="0" t="str">
        <f aca="false">IFERROR(INDEX('Materials Master'!$B$2:$B$27,MATCH($C362,'Materials Master'!$A$2:$A$27,0)),"")</f>
        <v>Other Unacceptable (specify)</v>
      </c>
      <c r="E362" s="0" t="str">
        <f aca="false">IFERROR(INDEX('Materials Master'!$C$2:$C$27,MATCH($C362,'Materials Master'!$A$2:$A$27,0)),"")</f>
        <v>Unacceptable</v>
      </c>
      <c r="F362" s="0" t="n">
        <f aca="false">IF(SUMIFS(Fact_SortedWeights!$E$2:$E$89,Fact_SortedWeights!$C$2:$C$89,$A362,Fact_SortedWeights!$B$2:$B$89,$B362)=0,0,SUMIFS(Fact_SortedWeights!$E$2:$E$89,Fact_SortedWeights!$C$2:$C$89,$A362,Fact_SortedWeights!$B$2:$B$89,$B362,Fact_SortedWeights!$D$2:$D$89,$C362)/SUMIFS(Fact_SortedWeights!$E$2:$E$89,Fact_SortedWeights!$C$2:$C$89,$A362,Fact_SortedWeights!$B$2:$B$89,$B362)*(IF($B362="Cardboard Recycling",SUMIFS(Fact_SortedWeights!$E$2:$E$89,Fact_SortedWeights!$C$2:$C$89,$A362,Fact_SortedWeights!$B$2:$B$89,$B362),SUMIFS(Fact_PreSortWeights!$E$2:$E$186,Fact_PreSortWeights!$C$2:$C$186,$A362,Fact_PreSortWeights!$B$2:$B$186,$B362))))</f>
        <v>0</v>
      </c>
      <c r="G362" s="0" t="n">
        <f aca="false">IF(AND(IF($B362="Trash",INDEX('Materials Master'!$F$2:$F$27,MATCH($C362,'Materials Master'!$A$2:$A$27,0)),IF($B362="GMPC Recycling",INDEX('Materials Master'!$G$2:$G$27,MATCH($C362,'Materials Master'!$A$2:$A$27,0)),IF($B362="Organics Recycling",INDEX('Materials Master'!$H$2:$H$27,MATCH($C362,'Materials Master'!$A$2:$A$27,0)),IF($B362="Cardboard Recycling",INDEX('Materials Master'!$I$2:$I$27,MATCH($C362,'Materials Master'!$A$2:$A$27,0)),IF($B362="Paper Recycling",INDEX('Materials Master'!$J$2:$J$27,MATCH($C362,'Materials Master'!$A$2:$A$27,0)),IF($B362="Terracycle",INDEX('Materials Master'!$K$2:$K$27,MATCH($C362,'Materials Master'!$A$2:$A$27,0)),"No"))))))="Yes",INDEX('Materials Master'!$E$2:$E$27,MATCH($C362,'Materials Master'!$A$2:$A$27,0))="Yes",$B362&lt;&gt;"Trash"),1,0)</f>
        <v>0</v>
      </c>
      <c r="H362" s="0" t="str">
        <f aca="false">INDEX('Materials Master'!$E$2:$E$27,MATCH($C362,'Materials Master'!$A$2:$A$27,0))</f>
        <v>No</v>
      </c>
      <c r="I362" s="0" t="str">
        <f aca="false">IFERROR(INDEX(Areas!$C$2:$C$6,MATCH($A362,Areas!$B$2:$B$6,0)),"")</f>
        <v>Rest of Building</v>
      </c>
      <c r="J362" s="0" t="n">
        <f aca="false">IF(IF($B362="Trash",INDEX('Materials Master'!$F$2:$F$27,MATCH($C362,'Materials Master'!$A$2:$A$27,0)),IF($B362="GMPC Recycling",INDEX('Materials Master'!$G$2:$G$27,MATCH($C362,'Materials Master'!$A$2:$A$27,0)),IF($B362="Organics Recycling",INDEX('Materials Master'!$H$2:$H$27,MATCH($C362,'Materials Master'!$A$2:$A$27,0)),IF($B362="Cardboard Recycling",INDEX('Materials Master'!$I$2:$I$27,MATCH($C362,'Materials Master'!$A$2:$A$27,0)),IF($B362="Paper Recycling",INDEX('Materials Master'!$J$2:$J$27,MATCH($C362,'Materials Master'!$A$2:$A$27,0)),IF($B362="Terracycle",INDEX('Materials Master'!$K$2:$K$27,MATCH($C362,'Materials Master'!$A$2:$A$27,0)),"No"))))))="Yes",1,0)</f>
        <v>0</v>
      </c>
    </row>
    <row r="363" customFormat="false" ht="15" hidden="false" customHeight="false" outlineLevel="0" collapsed="false">
      <c r="A363" s="0" t="s">
        <v>98</v>
      </c>
      <c r="B363" s="0" t="s">
        <v>104</v>
      </c>
      <c r="C363" s="0" t="s">
        <v>82</v>
      </c>
      <c r="D363" s="0" t="str">
        <f aca="false">IFERROR(INDEX('Materials Master'!$B$2:$B$27,MATCH($C363,'Materials Master'!$A$2:$A$27,0)),"")</f>
        <v>Liquids</v>
      </c>
      <c r="E363" s="0" t="str">
        <f aca="false">IFERROR(INDEX('Materials Master'!$C$2:$C$27,MATCH($C363,'Materials Master'!$A$2:$A$27,0)),"")</f>
        <v>Unacceptable</v>
      </c>
      <c r="F363" s="0" t="n">
        <f aca="false">IF(SUMIFS(Fact_SortedWeights!$E$2:$E$89,Fact_SortedWeights!$C$2:$C$89,$A363,Fact_SortedWeights!$B$2:$B$89,$B363)=0,0,SUMIFS(Fact_SortedWeights!$E$2:$E$89,Fact_SortedWeights!$C$2:$C$89,$A363,Fact_SortedWeights!$B$2:$B$89,$B363,Fact_SortedWeights!$D$2:$D$89,$C363)/SUMIFS(Fact_SortedWeights!$E$2:$E$89,Fact_SortedWeights!$C$2:$C$89,$A363,Fact_SortedWeights!$B$2:$B$89,$B363)*(IF($B363="Cardboard Recycling",SUMIFS(Fact_SortedWeights!$E$2:$E$89,Fact_SortedWeights!$C$2:$C$89,$A363,Fact_SortedWeights!$B$2:$B$89,$B363),SUMIFS(Fact_PreSortWeights!$E$2:$E$186,Fact_PreSortWeights!$C$2:$C$186,$A363,Fact_PreSortWeights!$B$2:$B$186,$B363))))</f>
        <v>0</v>
      </c>
      <c r="G363" s="0" t="n">
        <f aca="false">IF(AND(IF($B363="Trash",INDEX('Materials Master'!$F$2:$F$27,MATCH($C363,'Materials Master'!$A$2:$A$27,0)),IF($B363="GMPC Recycling",INDEX('Materials Master'!$G$2:$G$27,MATCH($C363,'Materials Master'!$A$2:$A$27,0)),IF($B363="Organics Recycling",INDEX('Materials Master'!$H$2:$H$27,MATCH($C363,'Materials Master'!$A$2:$A$27,0)),IF($B363="Cardboard Recycling",INDEX('Materials Master'!$I$2:$I$27,MATCH($C363,'Materials Master'!$A$2:$A$27,0)),IF($B363="Paper Recycling",INDEX('Materials Master'!$J$2:$J$27,MATCH($C363,'Materials Master'!$A$2:$A$27,0)),IF($B363="Terracycle",INDEX('Materials Master'!$K$2:$K$27,MATCH($C363,'Materials Master'!$A$2:$A$27,0)),"No"))))))="Yes",INDEX('Materials Master'!$E$2:$E$27,MATCH($C363,'Materials Master'!$A$2:$A$27,0))="Yes",$B363&lt;&gt;"Trash"),1,0)</f>
        <v>0</v>
      </c>
      <c r="H363" s="0" t="str">
        <f aca="false">INDEX('Materials Master'!$E$2:$E$27,MATCH($C363,'Materials Master'!$A$2:$A$27,0))</f>
        <v>No</v>
      </c>
      <c r="I363" s="0" t="str">
        <f aca="false">IFERROR(INDEX(Areas!$C$2:$C$6,MATCH($A363,Areas!$B$2:$B$6,0)),"")</f>
        <v>Rest of Building</v>
      </c>
      <c r="J363" s="0" t="n">
        <f aca="false">IF(IF($B363="Trash",INDEX('Materials Master'!$F$2:$F$27,MATCH($C363,'Materials Master'!$A$2:$A$27,0)),IF($B363="GMPC Recycling",INDEX('Materials Master'!$G$2:$G$27,MATCH($C363,'Materials Master'!$A$2:$A$27,0)),IF($B363="Organics Recycling",INDEX('Materials Master'!$H$2:$H$27,MATCH($C363,'Materials Master'!$A$2:$A$27,0)),IF($B363="Cardboard Recycling",INDEX('Materials Master'!$I$2:$I$27,MATCH($C363,'Materials Master'!$A$2:$A$27,0)),IF($B363="Paper Recycling",INDEX('Materials Master'!$J$2:$J$27,MATCH($C363,'Materials Master'!$A$2:$A$27,0)),IF($B363="Terracycle",INDEX('Materials Master'!$K$2:$K$27,MATCH($C363,'Materials Master'!$A$2:$A$27,0)),"No"))))))="Yes",1,0)</f>
        <v>0</v>
      </c>
    </row>
    <row r="364" customFormat="false" ht="15" hidden="false" customHeight="false" outlineLevel="0" collapsed="false">
      <c r="A364" s="0" t="s">
        <v>98</v>
      </c>
      <c r="B364" s="0" t="s">
        <v>104</v>
      </c>
      <c r="C364" s="0" t="s">
        <v>84</v>
      </c>
      <c r="D364" s="0" t="str">
        <f aca="false">IFERROR(INDEX('Materials Master'!$B$2:$B$27,MATCH($C364,'Materials Master'!$A$2:$A$27,0)),"")</f>
        <v>Snack Wrappers (Composites)</v>
      </c>
      <c r="E364" s="0" t="str">
        <f aca="false">IFERROR(INDEX('Materials Master'!$C$2:$C$27,MATCH($C364,'Materials Master'!$A$2:$A$27,0)),"")</f>
        <v>Other</v>
      </c>
      <c r="F364" s="0" t="n">
        <f aca="false">IF(SUMIFS(Fact_SortedWeights!$E$2:$E$89,Fact_SortedWeights!$C$2:$C$89,$A364,Fact_SortedWeights!$B$2:$B$89,$B364)=0,0,SUMIFS(Fact_SortedWeights!$E$2:$E$89,Fact_SortedWeights!$C$2:$C$89,$A364,Fact_SortedWeights!$B$2:$B$89,$B364,Fact_SortedWeights!$D$2:$D$89,$C364)/SUMIFS(Fact_SortedWeights!$E$2:$E$89,Fact_SortedWeights!$C$2:$C$89,$A364,Fact_SortedWeights!$B$2:$B$89,$B364)*(IF($B364="Cardboard Recycling",SUMIFS(Fact_SortedWeights!$E$2:$E$89,Fact_SortedWeights!$C$2:$C$89,$A364,Fact_SortedWeights!$B$2:$B$89,$B364),SUMIFS(Fact_PreSortWeights!$E$2:$E$186,Fact_PreSortWeights!$C$2:$C$186,$A364,Fact_PreSortWeights!$B$2:$B$186,$B364))))</f>
        <v>0</v>
      </c>
      <c r="G364" s="0" t="n">
        <f aca="false">IF(AND(IF($B364="Trash",INDEX('Materials Master'!$F$2:$F$27,MATCH($C364,'Materials Master'!$A$2:$A$27,0)),IF($B364="GMPC Recycling",INDEX('Materials Master'!$G$2:$G$27,MATCH($C364,'Materials Master'!$A$2:$A$27,0)),IF($B364="Organics Recycling",INDEX('Materials Master'!$H$2:$H$27,MATCH($C364,'Materials Master'!$A$2:$A$27,0)),IF($B364="Cardboard Recycling",INDEX('Materials Master'!$I$2:$I$27,MATCH($C364,'Materials Master'!$A$2:$A$27,0)),IF($B364="Paper Recycling",INDEX('Materials Master'!$J$2:$J$27,MATCH($C364,'Materials Master'!$A$2:$A$27,0)),IF($B364="Terracycle",INDEX('Materials Master'!$K$2:$K$27,MATCH($C364,'Materials Master'!$A$2:$A$27,0)),"No"))))))="Yes",INDEX('Materials Master'!$E$2:$E$27,MATCH($C364,'Materials Master'!$A$2:$A$27,0))="Yes",$B364&lt;&gt;"Trash"),1,0)</f>
        <v>0</v>
      </c>
      <c r="H364" s="0" t="str">
        <f aca="false">INDEX('Materials Master'!$E$2:$E$27,MATCH($C364,'Materials Master'!$A$2:$A$27,0))</f>
        <v>Yes</v>
      </c>
      <c r="I364" s="0" t="str">
        <f aca="false">IFERROR(INDEX(Areas!$C$2:$C$6,MATCH($A364,Areas!$B$2:$B$6,0)),"")</f>
        <v>Rest of Building</v>
      </c>
      <c r="J364" s="0" t="n">
        <f aca="false">IF(IF($B364="Trash",INDEX('Materials Master'!$F$2:$F$27,MATCH($C364,'Materials Master'!$A$2:$A$27,0)),IF($B364="GMPC Recycling",INDEX('Materials Master'!$G$2:$G$27,MATCH($C364,'Materials Master'!$A$2:$A$27,0)),IF($B364="Organics Recycling",INDEX('Materials Master'!$H$2:$H$27,MATCH($C364,'Materials Master'!$A$2:$A$27,0)),IF($B364="Cardboard Recycling",INDEX('Materials Master'!$I$2:$I$27,MATCH($C364,'Materials Master'!$A$2:$A$27,0)),IF($B364="Paper Recycling",INDEX('Materials Master'!$J$2:$J$27,MATCH($C364,'Materials Master'!$A$2:$A$27,0)),IF($B364="Terracycle",INDEX('Materials Master'!$K$2:$K$27,MATCH($C364,'Materials Master'!$A$2:$A$27,0)),"No"))))))="Yes",1,0)</f>
        <v>0</v>
      </c>
    </row>
    <row r="365" customFormat="false" ht="15" hidden="false" customHeight="false" outlineLevel="0" collapsed="false">
      <c r="A365" s="0" t="s">
        <v>98</v>
      </c>
      <c r="B365" s="0" t="s">
        <v>104</v>
      </c>
      <c r="C365" s="0" t="s">
        <v>87</v>
      </c>
      <c r="D365" s="0" t="str">
        <f aca="false">IFERROR(INDEX('Materials Master'!$B$2:$B$27,MATCH($C365,'Materials Master'!$A$2:$A$27,0)),"")</f>
        <v>Other/Residual Materials</v>
      </c>
      <c r="E365" s="0" t="str">
        <f aca="false">IFERROR(INDEX('Materials Master'!$C$2:$C$27,MATCH($C365,'Materials Master'!$A$2:$A$27,0)),"")</f>
        <v>Other</v>
      </c>
      <c r="F365" s="0" t="n">
        <f aca="false">IF(SUMIFS(Fact_SortedWeights!$E$2:$E$89,Fact_SortedWeights!$C$2:$C$89,$A365,Fact_SortedWeights!$B$2:$B$89,$B365)=0,0,SUMIFS(Fact_SortedWeights!$E$2:$E$89,Fact_SortedWeights!$C$2:$C$89,$A365,Fact_SortedWeights!$B$2:$B$89,$B365,Fact_SortedWeights!$D$2:$D$89,$C365)/SUMIFS(Fact_SortedWeights!$E$2:$E$89,Fact_SortedWeights!$C$2:$C$89,$A365,Fact_SortedWeights!$B$2:$B$89,$B365)*(IF($B365="Cardboard Recycling",SUMIFS(Fact_SortedWeights!$E$2:$E$89,Fact_SortedWeights!$C$2:$C$89,$A365,Fact_SortedWeights!$B$2:$B$89,$B365),SUMIFS(Fact_PreSortWeights!$E$2:$E$186,Fact_PreSortWeights!$C$2:$C$186,$A365,Fact_PreSortWeights!$B$2:$B$186,$B365))))</f>
        <v>0</v>
      </c>
      <c r="G365" s="0" t="n">
        <f aca="false">IF(AND(IF($B365="Trash",INDEX('Materials Master'!$F$2:$F$27,MATCH($C365,'Materials Master'!$A$2:$A$27,0)),IF($B365="GMPC Recycling",INDEX('Materials Master'!$G$2:$G$27,MATCH($C365,'Materials Master'!$A$2:$A$27,0)),IF($B365="Organics Recycling",INDEX('Materials Master'!$H$2:$H$27,MATCH($C365,'Materials Master'!$A$2:$A$27,0)),IF($B365="Cardboard Recycling",INDEX('Materials Master'!$I$2:$I$27,MATCH($C365,'Materials Master'!$A$2:$A$27,0)),IF($B365="Paper Recycling",INDEX('Materials Master'!$J$2:$J$27,MATCH($C365,'Materials Master'!$A$2:$A$27,0)),IF($B365="Terracycle",INDEX('Materials Master'!$K$2:$K$27,MATCH($C365,'Materials Master'!$A$2:$A$27,0)),"No"))))))="Yes",INDEX('Materials Master'!$E$2:$E$27,MATCH($C365,'Materials Master'!$A$2:$A$27,0))="Yes",$B365&lt;&gt;"Trash"),1,0)</f>
        <v>0</v>
      </c>
      <c r="H365" s="0" t="str">
        <f aca="false">INDEX('Materials Master'!$E$2:$E$27,MATCH($C365,'Materials Master'!$A$2:$A$27,0))</f>
        <v>No</v>
      </c>
      <c r="I365" s="0" t="str">
        <f aca="false">IFERROR(INDEX(Areas!$C$2:$C$6,MATCH($A365,Areas!$B$2:$B$6,0)),"")</f>
        <v>Rest of Building</v>
      </c>
      <c r="J365" s="0" t="n">
        <f aca="false">IF(IF($B365="Trash",INDEX('Materials Master'!$F$2:$F$27,MATCH($C365,'Materials Master'!$A$2:$A$27,0)),IF($B365="GMPC Recycling",INDEX('Materials Master'!$G$2:$G$27,MATCH($C365,'Materials Master'!$A$2:$A$27,0)),IF($B365="Organics Recycling",INDEX('Materials Master'!$H$2:$H$27,MATCH($C365,'Materials Master'!$A$2:$A$27,0)),IF($B365="Cardboard Recycling",INDEX('Materials Master'!$I$2:$I$27,MATCH($C365,'Materials Master'!$A$2:$A$27,0)),IF($B365="Paper Recycling",INDEX('Materials Master'!$J$2:$J$27,MATCH($C365,'Materials Master'!$A$2:$A$27,0)),IF($B365="Terracycle",INDEX('Materials Master'!$K$2:$K$27,MATCH($C365,'Materials Master'!$A$2:$A$27,0)),"No"))))))="Yes",1,0)</f>
        <v>0</v>
      </c>
    </row>
    <row r="366" customFormat="false" ht="15" hidden="false" customHeight="false" outlineLevel="0" collapsed="false">
      <c r="A366" s="0" t="s">
        <v>98</v>
      </c>
      <c r="B366" s="0" t="s">
        <v>105</v>
      </c>
      <c r="C366" s="0" t="s">
        <v>28</v>
      </c>
      <c r="D366" s="0" t="str">
        <f aca="false">IFERROR(INDEX('Materials Master'!$B$2:$B$27,MATCH($C366,'Materials Master'!$A$2:$A$27,0)),"")</f>
        <v>Corrugated Cardboard</v>
      </c>
      <c r="E366" s="0" t="str">
        <f aca="false">IFERROR(INDEX('Materials Master'!$C$2:$C$27,MATCH($C366,'Materials Master'!$A$2:$A$27,0)),"")</f>
        <v>Fibers</v>
      </c>
      <c r="F366" s="0" t="n">
        <f aca="false">IF(SUMIFS(Fact_SortedWeights!$E$2:$E$89,Fact_SortedWeights!$C$2:$C$89,$A366,Fact_SortedWeights!$B$2:$B$89,$B366)=0,0,SUMIFS(Fact_SortedWeights!$E$2:$E$89,Fact_SortedWeights!$C$2:$C$89,$A366,Fact_SortedWeights!$B$2:$B$89,$B366,Fact_SortedWeights!$D$2:$D$89,$C366)/SUMIFS(Fact_SortedWeights!$E$2:$E$89,Fact_SortedWeights!$C$2:$C$89,$A366,Fact_SortedWeights!$B$2:$B$89,$B366)*(IF($B366="Cardboard Recycling",SUMIFS(Fact_SortedWeights!$E$2:$E$89,Fact_SortedWeights!$C$2:$C$89,$A366,Fact_SortedWeights!$B$2:$B$89,$B366),SUMIFS(Fact_PreSortWeights!$E$2:$E$186,Fact_PreSortWeights!$C$2:$C$186,$A366,Fact_PreSortWeights!$B$2:$B$186,$B366))))</f>
        <v>0</v>
      </c>
      <c r="G366" s="0" t="n">
        <f aca="false">IF(AND(IF($B366="Trash",INDEX('Materials Master'!$F$2:$F$27,MATCH($C366,'Materials Master'!$A$2:$A$27,0)),IF($B366="GMPC Recycling",INDEX('Materials Master'!$G$2:$G$27,MATCH($C366,'Materials Master'!$A$2:$A$27,0)),IF($B366="Organics Recycling",INDEX('Materials Master'!$H$2:$H$27,MATCH($C366,'Materials Master'!$A$2:$A$27,0)),IF($B366="Cardboard Recycling",INDEX('Materials Master'!$I$2:$I$27,MATCH($C366,'Materials Master'!$A$2:$A$27,0)),IF($B366="Paper Recycling",INDEX('Materials Master'!$J$2:$J$27,MATCH($C366,'Materials Master'!$A$2:$A$27,0)),IF($B366="Terracycle",INDEX('Materials Master'!$K$2:$K$27,MATCH($C366,'Materials Master'!$A$2:$A$27,0)),"No"))))))="Yes",INDEX('Materials Master'!$E$2:$E$27,MATCH($C366,'Materials Master'!$A$2:$A$27,0))="Yes",$B366&lt;&gt;"Trash"),1,0)</f>
        <v>0</v>
      </c>
      <c r="H366" s="0" t="str">
        <f aca="false">INDEX('Materials Master'!$E$2:$E$27,MATCH($C366,'Materials Master'!$A$2:$A$27,0))</f>
        <v>Yes</v>
      </c>
      <c r="I366" s="0" t="str">
        <f aca="false">IFERROR(INDEX(Areas!$C$2:$C$6,MATCH($A366,Areas!$B$2:$B$6,0)),"")</f>
        <v>Rest of Building</v>
      </c>
      <c r="J366" s="0" t="n">
        <f aca="false">IF(IF($B366="Trash",INDEX('Materials Master'!$F$2:$F$27,MATCH($C366,'Materials Master'!$A$2:$A$27,0)),IF($B366="GMPC Recycling",INDEX('Materials Master'!$G$2:$G$27,MATCH($C366,'Materials Master'!$A$2:$A$27,0)),IF($B366="Organics Recycling",INDEX('Materials Master'!$H$2:$H$27,MATCH($C366,'Materials Master'!$A$2:$A$27,0)),IF($B366="Cardboard Recycling",INDEX('Materials Master'!$I$2:$I$27,MATCH($C366,'Materials Master'!$A$2:$A$27,0)),IF($B366="Paper Recycling",INDEX('Materials Master'!$J$2:$J$27,MATCH($C366,'Materials Master'!$A$2:$A$27,0)),IF($B366="Terracycle",INDEX('Materials Master'!$K$2:$K$27,MATCH($C366,'Materials Master'!$A$2:$A$27,0)),"No"))))))="Yes",1,0)</f>
        <v>0</v>
      </c>
    </row>
    <row r="367" customFormat="false" ht="15" hidden="false" customHeight="false" outlineLevel="0" collapsed="false">
      <c r="A367" s="0" t="s">
        <v>98</v>
      </c>
      <c r="B367" s="0" t="s">
        <v>105</v>
      </c>
      <c r="C367" s="0" t="s">
        <v>33</v>
      </c>
      <c r="D367" s="0" t="str">
        <f aca="false">IFERROR(INDEX('Materials Master'!$B$2:$B$27,MATCH($C367,'Materials Master'!$A$2:$A$27,0)),"")</f>
        <v>Soiled Cardboard</v>
      </c>
      <c r="E367" s="0" t="str">
        <f aca="false">IFERROR(INDEX('Materials Master'!$C$2:$C$27,MATCH($C367,'Materials Master'!$A$2:$A$27,0)),"")</f>
        <v>Fibers</v>
      </c>
      <c r="F367" s="0" t="n">
        <f aca="false">IF(SUMIFS(Fact_SortedWeights!$E$2:$E$89,Fact_SortedWeights!$C$2:$C$89,$A367,Fact_SortedWeights!$B$2:$B$89,$B367)=0,0,SUMIFS(Fact_SortedWeights!$E$2:$E$89,Fact_SortedWeights!$C$2:$C$89,$A367,Fact_SortedWeights!$B$2:$B$89,$B367,Fact_SortedWeights!$D$2:$D$89,$C367)/SUMIFS(Fact_SortedWeights!$E$2:$E$89,Fact_SortedWeights!$C$2:$C$89,$A367,Fact_SortedWeights!$B$2:$B$89,$B367)*(IF($B367="Cardboard Recycling",SUMIFS(Fact_SortedWeights!$E$2:$E$89,Fact_SortedWeights!$C$2:$C$89,$A367,Fact_SortedWeights!$B$2:$B$89,$B367),SUMIFS(Fact_PreSortWeights!$E$2:$E$186,Fact_PreSortWeights!$C$2:$C$186,$A367,Fact_PreSortWeights!$B$2:$B$186,$B367))))</f>
        <v>0</v>
      </c>
      <c r="G367" s="0" t="n">
        <f aca="false">IF(AND(IF($B367="Trash",INDEX('Materials Master'!$F$2:$F$27,MATCH($C367,'Materials Master'!$A$2:$A$27,0)),IF($B367="GMPC Recycling",INDEX('Materials Master'!$G$2:$G$27,MATCH($C367,'Materials Master'!$A$2:$A$27,0)),IF($B367="Organics Recycling",INDEX('Materials Master'!$H$2:$H$27,MATCH($C367,'Materials Master'!$A$2:$A$27,0)),IF($B367="Cardboard Recycling",INDEX('Materials Master'!$I$2:$I$27,MATCH($C367,'Materials Master'!$A$2:$A$27,0)),IF($B367="Paper Recycling",INDEX('Materials Master'!$J$2:$J$27,MATCH($C367,'Materials Master'!$A$2:$A$27,0)),IF($B367="Terracycle",INDEX('Materials Master'!$K$2:$K$27,MATCH($C367,'Materials Master'!$A$2:$A$27,0)),"No"))))))="Yes",INDEX('Materials Master'!$E$2:$E$27,MATCH($C367,'Materials Master'!$A$2:$A$27,0))="Yes",$B367&lt;&gt;"Trash"),1,0)</f>
        <v>0</v>
      </c>
      <c r="H367" s="0" t="str">
        <f aca="false">INDEX('Materials Master'!$E$2:$E$27,MATCH($C367,'Materials Master'!$A$2:$A$27,0))</f>
        <v>No</v>
      </c>
      <c r="I367" s="0" t="str">
        <f aca="false">IFERROR(INDEX(Areas!$C$2:$C$6,MATCH($A367,Areas!$B$2:$B$6,0)),"")</f>
        <v>Rest of Building</v>
      </c>
      <c r="J367" s="0" t="n">
        <f aca="false">IF(IF($B367="Trash",INDEX('Materials Master'!$F$2:$F$27,MATCH($C367,'Materials Master'!$A$2:$A$27,0)),IF($B367="GMPC Recycling",INDEX('Materials Master'!$G$2:$G$27,MATCH($C367,'Materials Master'!$A$2:$A$27,0)),IF($B367="Organics Recycling",INDEX('Materials Master'!$H$2:$H$27,MATCH($C367,'Materials Master'!$A$2:$A$27,0)),IF($B367="Cardboard Recycling",INDEX('Materials Master'!$I$2:$I$27,MATCH($C367,'Materials Master'!$A$2:$A$27,0)),IF($B367="Paper Recycling",INDEX('Materials Master'!$J$2:$J$27,MATCH($C367,'Materials Master'!$A$2:$A$27,0)),IF($B367="Terracycle",INDEX('Materials Master'!$K$2:$K$27,MATCH($C367,'Materials Master'!$A$2:$A$27,0)),"No"))))))="Yes",1,0)</f>
        <v>0</v>
      </c>
    </row>
    <row r="368" customFormat="false" ht="15" hidden="false" customHeight="false" outlineLevel="0" collapsed="false">
      <c r="A368" s="0" t="s">
        <v>98</v>
      </c>
      <c r="B368" s="0" t="s">
        <v>105</v>
      </c>
      <c r="C368" s="0" t="s">
        <v>35</v>
      </c>
      <c r="D368" s="0" t="str">
        <f aca="false">IFERROR(INDEX('Materials Master'!$B$2:$B$27,MATCH($C368,'Materials Master'!$A$2:$A$27,0)),"")</f>
        <v>Waxed Cardboard</v>
      </c>
      <c r="E368" s="0" t="str">
        <f aca="false">IFERROR(INDEX('Materials Master'!$C$2:$C$27,MATCH($C368,'Materials Master'!$A$2:$A$27,0)),"")</f>
        <v>Fibers</v>
      </c>
      <c r="F368" s="0" t="n">
        <f aca="false">IF(SUMIFS(Fact_SortedWeights!$E$2:$E$89,Fact_SortedWeights!$C$2:$C$89,$A368,Fact_SortedWeights!$B$2:$B$89,$B368)=0,0,SUMIFS(Fact_SortedWeights!$E$2:$E$89,Fact_SortedWeights!$C$2:$C$89,$A368,Fact_SortedWeights!$B$2:$B$89,$B368,Fact_SortedWeights!$D$2:$D$89,$C368)/SUMIFS(Fact_SortedWeights!$E$2:$E$89,Fact_SortedWeights!$C$2:$C$89,$A368,Fact_SortedWeights!$B$2:$B$89,$B368)*(IF($B368="Cardboard Recycling",SUMIFS(Fact_SortedWeights!$E$2:$E$89,Fact_SortedWeights!$C$2:$C$89,$A368,Fact_SortedWeights!$B$2:$B$89,$B368),SUMIFS(Fact_PreSortWeights!$E$2:$E$186,Fact_PreSortWeights!$C$2:$C$186,$A368,Fact_PreSortWeights!$B$2:$B$186,$B368))))</f>
        <v>0</v>
      </c>
      <c r="G368" s="0" t="n">
        <f aca="false">IF(AND(IF($B368="Trash",INDEX('Materials Master'!$F$2:$F$27,MATCH($C368,'Materials Master'!$A$2:$A$27,0)),IF($B368="GMPC Recycling",INDEX('Materials Master'!$G$2:$G$27,MATCH($C368,'Materials Master'!$A$2:$A$27,0)),IF($B368="Organics Recycling",INDEX('Materials Master'!$H$2:$H$27,MATCH($C368,'Materials Master'!$A$2:$A$27,0)),IF($B368="Cardboard Recycling",INDEX('Materials Master'!$I$2:$I$27,MATCH($C368,'Materials Master'!$A$2:$A$27,0)),IF($B368="Paper Recycling",INDEX('Materials Master'!$J$2:$J$27,MATCH($C368,'Materials Master'!$A$2:$A$27,0)),IF($B368="Terracycle",INDEX('Materials Master'!$K$2:$K$27,MATCH($C368,'Materials Master'!$A$2:$A$27,0)),"No"))))))="Yes",INDEX('Materials Master'!$E$2:$E$27,MATCH($C368,'Materials Master'!$A$2:$A$27,0))="Yes",$B368&lt;&gt;"Trash"),1,0)</f>
        <v>0</v>
      </c>
      <c r="H368" s="0" t="str">
        <f aca="false">INDEX('Materials Master'!$E$2:$E$27,MATCH($C368,'Materials Master'!$A$2:$A$27,0))</f>
        <v>No</v>
      </c>
      <c r="I368" s="0" t="str">
        <f aca="false">IFERROR(INDEX(Areas!$C$2:$C$6,MATCH($A368,Areas!$B$2:$B$6,0)),"")</f>
        <v>Rest of Building</v>
      </c>
      <c r="J368" s="0" t="n">
        <f aca="false">IF(IF($B368="Trash",INDEX('Materials Master'!$F$2:$F$27,MATCH($C368,'Materials Master'!$A$2:$A$27,0)),IF($B368="GMPC Recycling",INDEX('Materials Master'!$G$2:$G$27,MATCH($C368,'Materials Master'!$A$2:$A$27,0)),IF($B368="Organics Recycling",INDEX('Materials Master'!$H$2:$H$27,MATCH($C368,'Materials Master'!$A$2:$A$27,0)),IF($B368="Cardboard Recycling",INDEX('Materials Master'!$I$2:$I$27,MATCH($C368,'Materials Master'!$A$2:$A$27,0)),IF($B368="Paper Recycling",INDEX('Materials Master'!$J$2:$J$27,MATCH($C368,'Materials Master'!$A$2:$A$27,0)),IF($B368="Terracycle",INDEX('Materials Master'!$K$2:$K$27,MATCH($C368,'Materials Master'!$A$2:$A$27,0)),"No"))))))="Yes",1,0)</f>
        <v>0</v>
      </c>
    </row>
    <row r="369" customFormat="false" ht="15" hidden="false" customHeight="false" outlineLevel="0" collapsed="false">
      <c r="A369" s="0" t="s">
        <v>98</v>
      </c>
      <c r="B369" s="0" t="s">
        <v>105</v>
      </c>
      <c r="C369" s="0" t="s">
        <v>37</v>
      </c>
      <c r="D369" s="0" t="str">
        <f aca="false">IFERROR(INDEX('Materials Master'!$B$2:$B$27,MATCH($C369,'Materials Master'!$A$2:$A$27,0)),"")</f>
        <v>Mixed Paper</v>
      </c>
      <c r="E369" s="0" t="str">
        <f aca="false">IFERROR(INDEX('Materials Master'!$C$2:$C$27,MATCH($C369,'Materials Master'!$A$2:$A$27,0)),"")</f>
        <v>Fibers</v>
      </c>
      <c r="F369" s="0" t="n">
        <f aca="false">IF(SUMIFS(Fact_SortedWeights!$E$2:$E$89,Fact_SortedWeights!$C$2:$C$89,$A369,Fact_SortedWeights!$B$2:$B$89,$B369)=0,0,SUMIFS(Fact_SortedWeights!$E$2:$E$89,Fact_SortedWeights!$C$2:$C$89,$A369,Fact_SortedWeights!$B$2:$B$89,$B369,Fact_SortedWeights!$D$2:$D$89,$C369)/SUMIFS(Fact_SortedWeights!$E$2:$E$89,Fact_SortedWeights!$C$2:$C$89,$A369,Fact_SortedWeights!$B$2:$B$89,$B369)*(IF($B369="Cardboard Recycling",SUMIFS(Fact_SortedWeights!$E$2:$E$89,Fact_SortedWeights!$C$2:$C$89,$A369,Fact_SortedWeights!$B$2:$B$89,$B369),SUMIFS(Fact_PreSortWeights!$E$2:$E$186,Fact_PreSortWeights!$C$2:$C$186,$A369,Fact_PreSortWeights!$B$2:$B$186,$B369))))</f>
        <v>0</v>
      </c>
      <c r="G369" s="0" t="n">
        <f aca="false">IF(AND(IF($B369="Trash",INDEX('Materials Master'!$F$2:$F$27,MATCH($C369,'Materials Master'!$A$2:$A$27,0)),IF($B369="GMPC Recycling",INDEX('Materials Master'!$G$2:$G$27,MATCH($C369,'Materials Master'!$A$2:$A$27,0)),IF($B369="Organics Recycling",INDEX('Materials Master'!$H$2:$H$27,MATCH($C369,'Materials Master'!$A$2:$A$27,0)),IF($B369="Cardboard Recycling",INDEX('Materials Master'!$I$2:$I$27,MATCH($C369,'Materials Master'!$A$2:$A$27,0)),IF($B369="Paper Recycling",INDEX('Materials Master'!$J$2:$J$27,MATCH($C369,'Materials Master'!$A$2:$A$27,0)),IF($B369="Terracycle",INDEX('Materials Master'!$K$2:$K$27,MATCH($C369,'Materials Master'!$A$2:$A$27,0)),"No"))))))="Yes",INDEX('Materials Master'!$E$2:$E$27,MATCH($C369,'Materials Master'!$A$2:$A$27,0))="Yes",$B369&lt;&gt;"Trash"),1,0)</f>
        <v>0</v>
      </c>
      <c r="H369" s="0" t="str">
        <f aca="false">INDEX('Materials Master'!$E$2:$E$27,MATCH($C369,'Materials Master'!$A$2:$A$27,0))</f>
        <v>Yes</v>
      </c>
      <c r="I369" s="0" t="str">
        <f aca="false">IFERROR(INDEX(Areas!$C$2:$C$6,MATCH($A369,Areas!$B$2:$B$6,0)),"")</f>
        <v>Rest of Building</v>
      </c>
      <c r="J369" s="0" t="n">
        <f aca="false">IF(IF($B369="Trash",INDEX('Materials Master'!$F$2:$F$27,MATCH($C369,'Materials Master'!$A$2:$A$27,0)),IF($B369="GMPC Recycling",INDEX('Materials Master'!$G$2:$G$27,MATCH($C369,'Materials Master'!$A$2:$A$27,0)),IF($B369="Organics Recycling",INDEX('Materials Master'!$H$2:$H$27,MATCH($C369,'Materials Master'!$A$2:$A$27,0)),IF($B369="Cardboard Recycling",INDEX('Materials Master'!$I$2:$I$27,MATCH($C369,'Materials Master'!$A$2:$A$27,0)),IF($B369="Paper Recycling",INDEX('Materials Master'!$J$2:$J$27,MATCH($C369,'Materials Master'!$A$2:$A$27,0)),IF($B369="Terracycle",INDEX('Materials Master'!$K$2:$K$27,MATCH($C369,'Materials Master'!$A$2:$A$27,0)),"No"))))))="Yes",1,0)</f>
        <v>0</v>
      </c>
    </row>
    <row r="370" customFormat="false" ht="15" hidden="false" customHeight="false" outlineLevel="0" collapsed="false">
      <c r="A370" s="0" t="s">
        <v>98</v>
      </c>
      <c r="B370" s="0" t="s">
        <v>105</v>
      </c>
      <c r="C370" s="0" t="s">
        <v>39</v>
      </c>
      <c r="D370" s="0" t="str">
        <f aca="false">IFERROR(INDEX('Materials Master'!$B$2:$B$27,MATCH($C370,'Materials Master'!$A$2:$A$27,0)),"")</f>
        <v>Soiled Paper</v>
      </c>
      <c r="E370" s="0" t="str">
        <f aca="false">IFERROR(INDEX('Materials Master'!$C$2:$C$27,MATCH($C370,'Materials Master'!$A$2:$A$27,0)),"")</f>
        <v>Fibers</v>
      </c>
      <c r="F370" s="0" t="n">
        <f aca="false">IF(SUMIFS(Fact_SortedWeights!$E$2:$E$89,Fact_SortedWeights!$C$2:$C$89,$A370,Fact_SortedWeights!$B$2:$B$89,$B370)=0,0,SUMIFS(Fact_SortedWeights!$E$2:$E$89,Fact_SortedWeights!$C$2:$C$89,$A370,Fact_SortedWeights!$B$2:$B$89,$B370,Fact_SortedWeights!$D$2:$D$89,$C370)/SUMIFS(Fact_SortedWeights!$E$2:$E$89,Fact_SortedWeights!$C$2:$C$89,$A370,Fact_SortedWeights!$B$2:$B$89,$B370)*(IF($B370="Cardboard Recycling",SUMIFS(Fact_SortedWeights!$E$2:$E$89,Fact_SortedWeights!$C$2:$C$89,$A370,Fact_SortedWeights!$B$2:$B$89,$B370),SUMIFS(Fact_PreSortWeights!$E$2:$E$186,Fact_PreSortWeights!$C$2:$C$186,$A370,Fact_PreSortWeights!$B$2:$B$186,$B370))))</f>
        <v>0</v>
      </c>
      <c r="G370" s="0" t="n">
        <f aca="false">IF(AND(IF($B370="Trash",INDEX('Materials Master'!$F$2:$F$27,MATCH($C370,'Materials Master'!$A$2:$A$27,0)),IF($B370="GMPC Recycling",INDEX('Materials Master'!$G$2:$G$27,MATCH($C370,'Materials Master'!$A$2:$A$27,0)),IF($B370="Organics Recycling",INDEX('Materials Master'!$H$2:$H$27,MATCH($C370,'Materials Master'!$A$2:$A$27,0)),IF($B370="Cardboard Recycling",INDEX('Materials Master'!$I$2:$I$27,MATCH($C370,'Materials Master'!$A$2:$A$27,0)),IF($B370="Paper Recycling",INDEX('Materials Master'!$J$2:$J$27,MATCH($C370,'Materials Master'!$A$2:$A$27,0)),IF($B370="Terracycle",INDEX('Materials Master'!$K$2:$K$27,MATCH($C370,'Materials Master'!$A$2:$A$27,0)),"No"))))))="Yes",INDEX('Materials Master'!$E$2:$E$27,MATCH($C370,'Materials Master'!$A$2:$A$27,0))="Yes",$B370&lt;&gt;"Trash"),1,0)</f>
        <v>0</v>
      </c>
      <c r="H370" s="0" t="str">
        <f aca="false">INDEX('Materials Master'!$E$2:$E$27,MATCH($C370,'Materials Master'!$A$2:$A$27,0))</f>
        <v>No</v>
      </c>
      <c r="I370" s="0" t="str">
        <f aca="false">IFERROR(INDEX(Areas!$C$2:$C$6,MATCH($A370,Areas!$B$2:$B$6,0)),"")</f>
        <v>Rest of Building</v>
      </c>
      <c r="J370" s="0" t="n">
        <f aca="false">IF(IF($B370="Trash",INDEX('Materials Master'!$F$2:$F$27,MATCH($C370,'Materials Master'!$A$2:$A$27,0)),IF($B370="GMPC Recycling",INDEX('Materials Master'!$G$2:$G$27,MATCH($C370,'Materials Master'!$A$2:$A$27,0)),IF($B370="Organics Recycling",INDEX('Materials Master'!$H$2:$H$27,MATCH($C370,'Materials Master'!$A$2:$A$27,0)),IF($B370="Cardboard Recycling",INDEX('Materials Master'!$I$2:$I$27,MATCH($C370,'Materials Master'!$A$2:$A$27,0)),IF($B370="Paper Recycling",INDEX('Materials Master'!$J$2:$J$27,MATCH($C370,'Materials Master'!$A$2:$A$27,0)),IF($B370="Terracycle",INDEX('Materials Master'!$K$2:$K$27,MATCH($C370,'Materials Master'!$A$2:$A$27,0)),"No"))))))="Yes",1,0)</f>
        <v>0</v>
      </c>
    </row>
    <row r="371" customFormat="false" ht="15" hidden="false" customHeight="false" outlineLevel="0" collapsed="false">
      <c r="A371" s="0" t="s">
        <v>98</v>
      </c>
      <c r="B371" s="0" t="s">
        <v>105</v>
      </c>
      <c r="C371" s="0" t="s">
        <v>41</v>
      </c>
      <c r="D371" s="0" t="str">
        <f aca="false">IFERROR(INDEX('Materials Master'!$B$2:$B$27,MATCH($C371,'Materials Master'!$A$2:$A$27,0)),"")</f>
        <v>Beverage Cartons</v>
      </c>
      <c r="E371" s="0" t="str">
        <f aca="false">IFERROR(INDEX('Materials Master'!$C$2:$C$27,MATCH($C371,'Materials Master'!$A$2:$A$27,0)),"")</f>
        <v>Fibers</v>
      </c>
      <c r="F371" s="0" t="n">
        <f aca="false">IF(SUMIFS(Fact_SortedWeights!$E$2:$E$89,Fact_SortedWeights!$C$2:$C$89,$A371,Fact_SortedWeights!$B$2:$B$89,$B371)=0,0,SUMIFS(Fact_SortedWeights!$E$2:$E$89,Fact_SortedWeights!$C$2:$C$89,$A371,Fact_SortedWeights!$B$2:$B$89,$B371,Fact_SortedWeights!$D$2:$D$89,$C371)/SUMIFS(Fact_SortedWeights!$E$2:$E$89,Fact_SortedWeights!$C$2:$C$89,$A371,Fact_SortedWeights!$B$2:$B$89,$B371)*(IF($B371="Cardboard Recycling",SUMIFS(Fact_SortedWeights!$E$2:$E$89,Fact_SortedWeights!$C$2:$C$89,$A371,Fact_SortedWeights!$B$2:$B$89,$B371),SUMIFS(Fact_PreSortWeights!$E$2:$E$186,Fact_PreSortWeights!$C$2:$C$186,$A371,Fact_PreSortWeights!$B$2:$B$186,$B371))))</f>
        <v>0</v>
      </c>
      <c r="G371" s="0" t="n">
        <f aca="false">IF(AND(IF($B371="Trash",INDEX('Materials Master'!$F$2:$F$27,MATCH($C371,'Materials Master'!$A$2:$A$27,0)),IF($B371="GMPC Recycling",INDEX('Materials Master'!$G$2:$G$27,MATCH($C371,'Materials Master'!$A$2:$A$27,0)),IF($B371="Organics Recycling",INDEX('Materials Master'!$H$2:$H$27,MATCH($C371,'Materials Master'!$A$2:$A$27,0)),IF($B371="Cardboard Recycling",INDEX('Materials Master'!$I$2:$I$27,MATCH($C371,'Materials Master'!$A$2:$A$27,0)),IF($B371="Paper Recycling",INDEX('Materials Master'!$J$2:$J$27,MATCH($C371,'Materials Master'!$A$2:$A$27,0)),IF($B371="Terracycle",INDEX('Materials Master'!$K$2:$K$27,MATCH($C371,'Materials Master'!$A$2:$A$27,0)),"No"))))))="Yes",INDEX('Materials Master'!$E$2:$E$27,MATCH($C371,'Materials Master'!$A$2:$A$27,0))="Yes",$B371&lt;&gt;"Trash"),1,0)</f>
        <v>0</v>
      </c>
      <c r="H371" s="0" t="str">
        <f aca="false">INDEX('Materials Master'!$E$2:$E$27,MATCH($C371,'Materials Master'!$A$2:$A$27,0))</f>
        <v>Yes</v>
      </c>
      <c r="I371" s="0" t="str">
        <f aca="false">IFERROR(INDEX(Areas!$C$2:$C$6,MATCH($A371,Areas!$B$2:$B$6,0)),"")</f>
        <v>Rest of Building</v>
      </c>
      <c r="J371" s="0" t="n">
        <f aca="false">IF(IF($B371="Trash",INDEX('Materials Master'!$F$2:$F$27,MATCH($C371,'Materials Master'!$A$2:$A$27,0)),IF($B371="GMPC Recycling",INDEX('Materials Master'!$G$2:$G$27,MATCH($C371,'Materials Master'!$A$2:$A$27,0)),IF($B371="Organics Recycling",INDEX('Materials Master'!$H$2:$H$27,MATCH($C371,'Materials Master'!$A$2:$A$27,0)),IF($B371="Cardboard Recycling",INDEX('Materials Master'!$I$2:$I$27,MATCH($C371,'Materials Master'!$A$2:$A$27,0)),IF($B371="Paper Recycling",INDEX('Materials Master'!$J$2:$J$27,MATCH($C371,'Materials Master'!$A$2:$A$27,0)),IF($B371="Terracycle",INDEX('Materials Master'!$K$2:$K$27,MATCH($C371,'Materials Master'!$A$2:$A$27,0)),"No"))))))="Yes",1,0)</f>
        <v>0</v>
      </c>
    </row>
    <row r="372" customFormat="false" ht="15" hidden="false" customHeight="false" outlineLevel="0" collapsed="false">
      <c r="A372" s="0" t="s">
        <v>98</v>
      </c>
      <c r="B372" s="0" t="s">
        <v>105</v>
      </c>
      <c r="C372" s="0" t="s">
        <v>43</v>
      </c>
      <c r="D372" s="0" t="str">
        <f aca="false">IFERROR(INDEX('Materials Master'!$B$2:$B$27,MATCH($C372,'Materials Master'!$A$2:$A$27,0)),"")</f>
        <v>Soiled Beverage Cartons</v>
      </c>
      <c r="E372" s="0" t="str">
        <f aca="false">IFERROR(INDEX('Materials Master'!$C$2:$C$27,MATCH($C372,'Materials Master'!$A$2:$A$27,0)),"")</f>
        <v>Fibers</v>
      </c>
      <c r="F372" s="0" t="n">
        <f aca="false">IF(SUMIFS(Fact_SortedWeights!$E$2:$E$89,Fact_SortedWeights!$C$2:$C$89,$A372,Fact_SortedWeights!$B$2:$B$89,$B372)=0,0,SUMIFS(Fact_SortedWeights!$E$2:$E$89,Fact_SortedWeights!$C$2:$C$89,$A372,Fact_SortedWeights!$B$2:$B$89,$B372,Fact_SortedWeights!$D$2:$D$89,$C372)/SUMIFS(Fact_SortedWeights!$E$2:$E$89,Fact_SortedWeights!$C$2:$C$89,$A372,Fact_SortedWeights!$B$2:$B$89,$B372)*(IF($B372="Cardboard Recycling",SUMIFS(Fact_SortedWeights!$E$2:$E$89,Fact_SortedWeights!$C$2:$C$89,$A372,Fact_SortedWeights!$B$2:$B$89,$B372),SUMIFS(Fact_PreSortWeights!$E$2:$E$186,Fact_PreSortWeights!$C$2:$C$186,$A372,Fact_PreSortWeights!$B$2:$B$186,$B372))))</f>
        <v>0</v>
      </c>
      <c r="G372" s="0" t="n">
        <f aca="false">IF(AND(IF($B372="Trash",INDEX('Materials Master'!$F$2:$F$27,MATCH($C372,'Materials Master'!$A$2:$A$27,0)),IF($B372="GMPC Recycling",INDEX('Materials Master'!$G$2:$G$27,MATCH($C372,'Materials Master'!$A$2:$A$27,0)),IF($B372="Organics Recycling",INDEX('Materials Master'!$H$2:$H$27,MATCH($C372,'Materials Master'!$A$2:$A$27,0)),IF($B372="Cardboard Recycling",INDEX('Materials Master'!$I$2:$I$27,MATCH($C372,'Materials Master'!$A$2:$A$27,0)),IF($B372="Paper Recycling",INDEX('Materials Master'!$J$2:$J$27,MATCH($C372,'Materials Master'!$A$2:$A$27,0)),IF($B372="Terracycle",INDEX('Materials Master'!$K$2:$K$27,MATCH($C372,'Materials Master'!$A$2:$A$27,0)),"No"))))))="Yes",INDEX('Materials Master'!$E$2:$E$27,MATCH($C372,'Materials Master'!$A$2:$A$27,0))="Yes",$B372&lt;&gt;"Trash"),1,0)</f>
        <v>0</v>
      </c>
      <c r="H372" s="0" t="str">
        <f aca="false">INDEX('Materials Master'!$E$2:$E$27,MATCH($C372,'Materials Master'!$A$2:$A$27,0))</f>
        <v>No</v>
      </c>
      <c r="I372" s="0" t="str">
        <f aca="false">IFERROR(INDEX(Areas!$C$2:$C$6,MATCH($A372,Areas!$B$2:$B$6,0)),"")</f>
        <v>Rest of Building</v>
      </c>
      <c r="J372" s="0" t="n">
        <f aca="false">IF(IF($B372="Trash",INDEX('Materials Master'!$F$2:$F$27,MATCH($C372,'Materials Master'!$A$2:$A$27,0)),IF($B372="GMPC Recycling",INDEX('Materials Master'!$G$2:$G$27,MATCH($C372,'Materials Master'!$A$2:$A$27,0)),IF($B372="Organics Recycling",INDEX('Materials Master'!$H$2:$H$27,MATCH($C372,'Materials Master'!$A$2:$A$27,0)),IF($B372="Cardboard Recycling",INDEX('Materials Master'!$I$2:$I$27,MATCH($C372,'Materials Master'!$A$2:$A$27,0)),IF($B372="Paper Recycling",INDEX('Materials Master'!$J$2:$J$27,MATCH($C372,'Materials Master'!$A$2:$A$27,0)),IF($B372="Terracycle",INDEX('Materials Master'!$K$2:$K$27,MATCH($C372,'Materials Master'!$A$2:$A$27,0)),"No"))))))="Yes",1,0)</f>
        <v>0</v>
      </c>
    </row>
    <row r="373" customFormat="false" ht="15" hidden="false" customHeight="false" outlineLevel="0" collapsed="false">
      <c r="A373" s="0" t="s">
        <v>98</v>
      </c>
      <c r="B373" s="0" t="s">
        <v>105</v>
      </c>
      <c r="C373" s="0" t="s">
        <v>45</v>
      </c>
      <c r="D373" s="0" t="str">
        <f aca="false">IFERROR(INDEX('Materials Master'!$B$2:$B$27,MATCH($C373,'Materials Master'!$A$2:$A$27,0)),"")</f>
        <v>Paper Cups / Other Coated Paper Containers</v>
      </c>
      <c r="E373" s="0" t="str">
        <f aca="false">IFERROR(INDEX('Materials Master'!$C$2:$C$27,MATCH($C373,'Materials Master'!$A$2:$A$27,0)),"")</f>
        <v>Fibers</v>
      </c>
      <c r="F373" s="0" t="n">
        <f aca="false">IF(SUMIFS(Fact_SortedWeights!$E$2:$E$89,Fact_SortedWeights!$C$2:$C$89,$A373,Fact_SortedWeights!$B$2:$B$89,$B373)=0,0,SUMIFS(Fact_SortedWeights!$E$2:$E$89,Fact_SortedWeights!$C$2:$C$89,$A373,Fact_SortedWeights!$B$2:$B$89,$B373,Fact_SortedWeights!$D$2:$D$89,$C373)/SUMIFS(Fact_SortedWeights!$E$2:$E$89,Fact_SortedWeights!$C$2:$C$89,$A373,Fact_SortedWeights!$B$2:$B$89,$B373)*(IF($B373="Cardboard Recycling",SUMIFS(Fact_SortedWeights!$E$2:$E$89,Fact_SortedWeights!$C$2:$C$89,$A373,Fact_SortedWeights!$B$2:$B$89,$B373),SUMIFS(Fact_PreSortWeights!$E$2:$E$186,Fact_PreSortWeights!$C$2:$C$186,$A373,Fact_PreSortWeights!$B$2:$B$186,$B373))))</f>
        <v>0</v>
      </c>
      <c r="G373" s="0" t="n">
        <f aca="false">IF(AND(IF($B373="Trash",INDEX('Materials Master'!$F$2:$F$27,MATCH($C373,'Materials Master'!$A$2:$A$27,0)),IF($B373="GMPC Recycling",INDEX('Materials Master'!$G$2:$G$27,MATCH($C373,'Materials Master'!$A$2:$A$27,0)),IF($B373="Organics Recycling",INDEX('Materials Master'!$H$2:$H$27,MATCH($C373,'Materials Master'!$A$2:$A$27,0)),IF($B373="Cardboard Recycling",INDEX('Materials Master'!$I$2:$I$27,MATCH($C373,'Materials Master'!$A$2:$A$27,0)),IF($B373="Paper Recycling",INDEX('Materials Master'!$J$2:$J$27,MATCH($C373,'Materials Master'!$A$2:$A$27,0)),IF($B373="Terracycle",INDEX('Materials Master'!$K$2:$K$27,MATCH($C373,'Materials Master'!$A$2:$A$27,0)),"No"))))))="Yes",INDEX('Materials Master'!$E$2:$E$27,MATCH($C373,'Materials Master'!$A$2:$A$27,0))="Yes",$B373&lt;&gt;"Trash"),1,0)</f>
        <v>0</v>
      </c>
      <c r="H373" s="0" t="str">
        <f aca="false">INDEX('Materials Master'!$E$2:$E$27,MATCH($C373,'Materials Master'!$A$2:$A$27,0))</f>
        <v>No</v>
      </c>
      <c r="I373" s="0" t="str">
        <f aca="false">IFERROR(INDEX(Areas!$C$2:$C$6,MATCH($A373,Areas!$B$2:$B$6,0)),"")</f>
        <v>Rest of Building</v>
      </c>
      <c r="J373" s="0" t="n">
        <f aca="false">IF(IF($B373="Trash",INDEX('Materials Master'!$F$2:$F$27,MATCH($C373,'Materials Master'!$A$2:$A$27,0)),IF($B373="GMPC Recycling",INDEX('Materials Master'!$G$2:$G$27,MATCH($C373,'Materials Master'!$A$2:$A$27,0)),IF($B373="Organics Recycling",INDEX('Materials Master'!$H$2:$H$27,MATCH($C373,'Materials Master'!$A$2:$A$27,0)),IF($B373="Cardboard Recycling",INDEX('Materials Master'!$I$2:$I$27,MATCH($C373,'Materials Master'!$A$2:$A$27,0)),IF($B373="Paper Recycling",INDEX('Materials Master'!$J$2:$J$27,MATCH($C373,'Materials Master'!$A$2:$A$27,0)),IF($B373="Terracycle",INDEX('Materials Master'!$K$2:$K$27,MATCH($C373,'Materials Master'!$A$2:$A$27,0)),"No"))))))="Yes",1,0)</f>
        <v>0</v>
      </c>
    </row>
    <row r="374" customFormat="false" ht="15" hidden="false" customHeight="false" outlineLevel="0" collapsed="false">
      <c r="A374" s="0" t="s">
        <v>98</v>
      </c>
      <c r="B374" s="0" t="s">
        <v>105</v>
      </c>
      <c r="C374" s="0" t="s">
        <v>47</v>
      </c>
      <c r="D374" s="0" t="str">
        <f aca="false">IFERROR(INDEX('Materials Master'!$B$2:$B$27,MATCH($C374,'Materials Master'!$A$2:$A$27,0)),"")</f>
        <v>Glass Bottles &amp; Jars</v>
      </c>
      <c r="E374" s="0" t="str">
        <f aca="false">IFERROR(INDEX('Materials Master'!$C$2:$C$27,MATCH($C374,'Materials Master'!$A$2:$A$27,0)),"")</f>
        <v>Glass</v>
      </c>
      <c r="F374" s="0" t="n">
        <f aca="false">IF(SUMIFS(Fact_SortedWeights!$E$2:$E$89,Fact_SortedWeights!$C$2:$C$89,$A374,Fact_SortedWeights!$B$2:$B$89,$B374)=0,0,SUMIFS(Fact_SortedWeights!$E$2:$E$89,Fact_SortedWeights!$C$2:$C$89,$A374,Fact_SortedWeights!$B$2:$B$89,$B374,Fact_SortedWeights!$D$2:$D$89,$C374)/SUMIFS(Fact_SortedWeights!$E$2:$E$89,Fact_SortedWeights!$C$2:$C$89,$A374,Fact_SortedWeights!$B$2:$B$89,$B374)*(IF($B374="Cardboard Recycling",SUMIFS(Fact_SortedWeights!$E$2:$E$89,Fact_SortedWeights!$C$2:$C$89,$A374,Fact_SortedWeights!$B$2:$B$89,$B374),SUMIFS(Fact_PreSortWeights!$E$2:$E$186,Fact_PreSortWeights!$C$2:$C$186,$A374,Fact_PreSortWeights!$B$2:$B$186,$B374))))</f>
        <v>0</v>
      </c>
      <c r="G374" s="0" t="n">
        <f aca="false">IF(AND(IF($B374="Trash",INDEX('Materials Master'!$F$2:$F$27,MATCH($C374,'Materials Master'!$A$2:$A$27,0)),IF($B374="GMPC Recycling",INDEX('Materials Master'!$G$2:$G$27,MATCH($C374,'Materials Master'!$A$2:$A$27,0)),IF($B374="Organics Recycling",INDEX('Materials Master'!$H$2:$H$27,MATCH($C374,'Materials Master'!$A$2:$A$27,0)),IF($B374="Cardboard Recycling",INDEX('Materials Master'!$I$2:$I$27,MATCH($C374,'Materials Master'!$A$2:$A$27,0)),IF($B374="Paper Recycling",INDEX('Materials Master'!$J$2:$J$27,MATCH($C374,'Materials Master'!$A$2:$A$27,0)),IF($B374="Terracycle",INDEX('Materials Master'!$K$2:$K$27,MATCH($C374,'Materials Master'!$A$2:$A$27,0)),"No"))))))="Yes",INDEX('Materials Master'!$E$2:$E$27,MATCH($C374,'Materials Master'!$A$2:$A$27,0))="Yes",$B374&lt;&gt;"Trash"),1,0)</f>
        <v>0</v>
      </c>
      <c r="H374" s="0" t="str">
        <f aca="false">INDEX('Materials Master'!$E$2:$E$27,MATCH($C374,'Materials Master'!$A$2:$A$27,0))</f>
        <v>Yes</v>
      </c>
      <c r="I374" s="0" t="str">
        <f aca="false">IFERROR(INDEX(Areas!$C$2:$C$6,MATCH($A374,Areas!$B$2:$B$6,0)),"")</f>
        <v>Rest of Building</v>
      </c>
      <c r="J374" s="0" t="n">
        <f aca="false">IF(IF($B374="Trash",INDEX('Materials Master'!$F$2:$F$27,MATCH($C374,'Materials Master'!$A$2:$A$27,0)),IF($B374="GMPC Recycling",INDEX('Materials Master'!$G$2:$G$27,MATCH($C374,'Materials Master'!$A$2:$A$27,0)),IF($B374="Organics Recycling",INDEX('Materials Master'!$H$2:$H$27,MATCH($C374,'Materials Master'!$A$2:$A$27,0)),IF($B374="Cardboard Recycling",INDEX('Materials Master'!$I$2:$I$27,MATCH($C374,'Materials Master'!$A$2:$A$27,0)),IF($B374="Paper Recycling",INDEX('Materials Master'!$J$2:$J$27,MATCH($C374,'Materials Master'!$A$2:$A$27,0)),IF($B374="Terracycle",INDEX('Materials Master'!$K$2:$K$27,MATCH($C374,'Materials Master'!$A$2:$A$27,0)),"No"))))))="Yes",1,0)</f>
        <v>0</v>
      </c>
    </row>
    <row r="375" customFormat="false" ht="15" hidden="false" customHeight="false" outlineLevel="0" collapsed="false">
      <c r="A375" s="0" t="s">
        <v>98</v>
      </c>
      <c r="B375" s="0" t="s">
        <v>105</v>
      </c>
      <c r="C375" s="0" t="s">
        <v>50</v>
      </c>
      <c r="D375" s="0" t="str">
        <f aca="false">IFERROR(INDEX('Materials Master'!$B$2:$B$27,MATCH($C375,'Materials Master'!$A$2:$A$27,0)),"")</f>
        <v>Soiled Glass</v>
      </c>
      <c r="E375" s="0" t="str">
        <f aca="false">IFERROR(INDEX('Materials Master'!$C$2:$C$27,MATCH($C375,'Materials Master'!$A$2:$A$27,0)),"")</f>
        <v>Glass</v>
      </c>
      <c r="F375" s="0" t="n">
        <f aca="false">IF(SUMIFS(Fact_SortedWeights!$E$2:$E$89,Fact_SortedWeights!$C$2:$C$89,$A375,Fact_SortedWeights!$B$2:$B$89,$B375)=0,0,SUMIFS(Fact_SortedWeights!$E$2:$E$89,Fact_SortedWeights!$C$2:$C$89,$A375,Fact_SortedWeights!$B$2:$B$89,$B375,Fact_SortedWeights!$D$2:$D$89,$C375)/SUMIFS(Fact_SortedWeights!$E$2:$E$89,Fact_SortedWeights!$C$2:$C$89,$A375,Fact_SortedWeights!$B$2:$B$89,$B375)*(IF($B375="Cardboard Recycling",SUMIFS(Fact_SortedWeights!$E$2:$E$89,Fact_SortedWeights!$C$2:$C$89,$A375,Fact_SortedWeights!$B$2:$B$89,$B375),SUMIFS(Fact_PreSortWeights!$E$2:$E$186,Fact_PreSortWeights!$C$2:$C$186,$A375,Fact_PreSortWeights!$B$2:$B$186,$B375))))</f>
        <v>0</v>
      </c>
      <c r="G375" s="0" t="n">
        <f aca="false">IF(AND(IF($B375="Trash",INDEX('Materials Master'!$F$2:$F$27,MATCH($C375,'Materials Master'!$A$2:$A$27,0)),IF($B375="GMPC Recycling",INDEX('Materials Master'!$G$2:$G$27,MATCH($C375,'Materials Master'!$A$2:$A$27,0)),IF($B375="Organics Recycling",INDEX('Materials Master'!$H$2:$H$27,MATCH($C375,'Materials Master'!$A$2:$A$27,0)),IF($B375="Cardboard Recycling",INDEX('Materials Master'!$I$2:$I$27,MATCH($C375,'Materials Master'!$A$2:$A$27,0)),IF($B375="Paper Recycling",INDEX('Materials Master'!$J$2:$J$27,MATCH($C375,'Materials Master'!$A$2:$A$27,0)),IF($B375="Terracycle",INDEX('Materials Master'!$K$2:$K$27,MATCH($C375,'Materials Master'!$A$2:$A$27,0)),"No"))))))="Yes",INDEX('Materials Master'!$E$2:$E$27,MATCH($C375,'Materials Master'!$A$2:$A$27,0))="Yes",$B375&lt;&gt;"Trash"),1,0)</f>
        <v>0</v>
      </c>
      <c r="H375" s="0" t="str">
        <f aca="false">INDEX('Materials Master'!$E$2:$E$27,MATCH($C375,'Materials Master'!$A$2:$A$27,0))</f>
        <v>No</v>
      </c>
      <c r="I375" s="0" t="str">
        <f aca="false">IFERROR(INDEX(Areas!$C$2:$C$6,MATCH($A375,Areas!$B$2:$B$6,0)),"")</f>
        <v>Rest of Building</v>
      </c>
      <c r="J375" s="0" t="n">
        <f aca="false">IF(IF($B375="Trash",INDEX('Materials Master'!$F$2:$F$27,MATCH($C375,'Materials Master'!$A$2:$A$27,0)),IF($B375="GMPC Recycling",INDEX('Materials Master'!$G$2:$G$27,MATCH($C375,'Materials Master'!$A$2:$A$27,0)),IF($B375="Organics Recycling",INDEX('Materials Master'!$H$2:$H$27,MATCH($C375,'Materials Master'!$A$2:$A$27,0)),IF($B375="Cardboard Recycling",INDEX('Materials Master'!$I$2:$I$27,MATCH($C375,'Materials Master'!$A$2:$A$27,0)),IF($B375="Paper Recycling",INDEX('Materials Master'!$J$2:$J$27,MATCH($C375,'Materials Master'!$A$2:$A$27,0)),IF($B375="Terracycle",INDEX('Materials Master'!$K$2:$K$27,MATCH($C375,'Materials Master'!$A$2:$A$27,0)),"No"))))))="Yes",1,0)</f>
        <v>0</v>
      </c>
    </row>
    <row r="376" customFormat="false" ht="15" hidden="false" customHeight="false" outlineLevel="0" collapsed="false">
      <c r="A376" s="0" t="s">
        <v>98</v>
      </c>
      <c r="B376" s="0" t="s">
        <v>105</v>
      </c>
      <c r="C376" s="0" t="s">
        <v>52</v>
      </c>
      <c r="D376" s="0" t="str">
        <f aca="false">IFERROR(INDEX('Materials Master'!$B$2:$B$27,MATCH($C376,'Materials Master'!$A$2:$A$27,0)),"")</f>
        <v>Aluminum &amp; Bi-Metal Containers</v>
      </c>
      <c r="E376" s="0" t="str">
        <f aca="false">IFERROR(INDEX('Materials Master'!$C$2:$C$27,MATCH($C376,'Materials Master'!$A$2:$A$27,0)),"")</f>
        <v>Metals</v>
      </c>
      <c r="F376" s="0" t="n">
        <f aca="false">IF(SUMIFS(Fact_SortedWeights!$E$2:$E$89,Fact_SortedWeights!$C$2:$C$89,$A376,Fact_SortedWeights!$B$2:$B$89,$B376)=0,0,SUMIFS(Fact_SortedWeights!$E$2:$E$89,Fact_SortedWeights!$C$2:$C$89,$A376,Fact_SortedWeights!$B$2:$B$89,$B376,Fact_SortedWeights!$D$2:$D$89,$C376)/SUMIFS(Fact_SortedWeights!$E$2:$E$89,Fact_SortedWeights!$C$2:$C$89,$A376,Fact_SortedWeights!$B$2:$B$89,$B376)*(IF($B376="Cardboard Recycling",SUMIFS(Fact_SortedWeights!$E$2:$E$89,Fact_SortedWeights!$C$2:$C$89,$A376,Fact_SortedWeights!$B$2:$B$89,$B376),SUMIFS(Fact_PreSortWeights!$E$2:$E$186,Fact_PreSortWeights!$C$2:$C$186,$A376,Fact_PreSortWeights!$B$2:$B$186,$B376))))</f>
        <v>0</v>
      </c>
      <c r="G376" s="0" t="n">
        <f aca="false">IF(AND(IF($B376="Trash",INDEX('Materials Master'!$F$2:$F$27,MATCH($C376,'Materials Master'!$A$2:$A$27,0)),IF($B376="GMPC Recycling",INDEX('Materials Master'!$G$2:$G$27,MATCH($C376,'Materials Master'!$A$2:$A$27,0)),IF($B376="Organics Recycling",INDEX('Materials Master'!$H$2:$H$27,MATCH($C376,'Materials Master'!$A$2:$A$27,0)),IF($B376="Cardboard Recycling",INDEX('Materials Master'!$I$2:$I$27,MATCH($C376,'Materials Master'!$A$2:$A$27,0)),IF($B376="Paper Recycling",INDEX('Materials Master'!$J$2:$J$27,MATCH($C376,'Materials Master'!$A$2:$A$27,0)),IF($B376="Terracycle",INDEX('Materials Master'!$K$2:$K$27,MATCH($C376,'Materials Master'!$A$2:$A$27,0)),"No"))))))="Yes",INDEX('Materials Master'!$E$2:$E$27,MATCH($C376,'Materials Master'!$A$2:$A$27,0))="Yes",$B376&lt;&gt;"Trash"),1,0)</f>
        <v>0</v>
      </c>
      <c r="H376" s="0" t="str">
        <f aca="false">INDEX('Materials Master'!$E$2:$E$27,MATCH($C376,'Materials Master'!$A$2:$A$27,0))</f>
        <v>Yes</v>
      </c>
      <c r="I376" s="0" t="str">
        <f aca="false">IFERROR(INDEX(Areas!$C$2:$C$6,MATCH($A376,Areas!$B$2:$B$6,0)),"")</f>
        <v>Rest of Building</v>
      </c>
      <c r="J376" s="0" t="n">
        <f aca="false">IF(IF($B376="Trash",INDEX('Materials Master'!$F$2:$F$27,MATCH($C376,'Materials Master'!$A$2:$A$27,0)),IF($B376="GMPC Recycling",INDEX('Materials Master'!$G$2:$G$27,MATCH($C376,'Materials Master'!$A$2:$A$27,0)),IF($B376="Organics Recycling",INDEX('Materials Master'!$H$2:$H$27,MATCH($C376,'Materials Master'!$A$2:$A$27,0)),IF($B376="Cardboard Recycling",INDEX('Materials Master'!$I$2:$I$27,MATCH($C376,'Materials Master'!$A$2:$A$27,0)),IF($B376="Paper Recycling",INDEX('Materials Master'!$J$2:$J$27,MATCH($C376,'Materials Master'!$A$2:$A$27,0)),IF($B376="Terracycle",INDEX('Materials Master'!$K$2:$K$27,MATCH($C376,'Materials Master'!$A$2:$A$27,0)),"No"))))))="Yes",1,0)</f>
        <v>0</v>
      </c>
    </row>
    <row r="377" customFormat="false" ht="15" hidden="false" customHeight="false" outlineLevel="0" collapsed="false">
      <c r="A377" s="0" t="s">
        <v>98</v>
      </c>
      <c r="B377" s="0" t="s">
        <v>105</v>
      </c>
      <c r="C377" s="0" t="s">
        <v>55</v>
      </c>
      <c r="D377" s="0" t="str">
        <f aca="false">IFERROR(INDEX('Materials Master'!$B$2:$B$27,MATCH($C377,'Materials Master'!$A$2:$A$27,0)),"")</f>
        <v>Soiled Metals</v>
      </c>
      <c r="E377" s="0" t="str">
        <f aca="false">IFERROR(INDEX('Materials Master'!$C$2:$C$27,MATCH($C377,'Materials Master'!$A$2:$A$27,0)),"")</f>
        <v>Metals</v>
      </c>
      <c r="F377" s="0" t="n">
        <f aca="false">IF(SUMIFS(Fact_SortedWeights!$E$2:$E$89,Fact_SortedWeights!$C$2:$C$89,$A377,Fact_SortedWeights!$B$2:$B$89,$B377)=0,0,SUMIFS(Fact_SortedWeights!$E$2:$E$89,Fact_SortedWeights!$C$2:$C$89,$A377,Fact_SortedWeights!$B$2:$B$89,$B377,Fact_SortedWeights!$D$2:$D$89,$C377)/SUMIFS(Fact_SortedWeights!$E$2:$E$89,Fact_SortedWeights!$C$2:$C$89,$A377,Fact_SortedWeights!$B$2:$B$89,$B377)*(IF($B377="Cardboard Recycling",SUMIFS(Fact_SortedWeights!$E$2:$E$89,Fact_SortedWeights!$C$2:$C$89,$A377,Fact_SortedWeights!$B$2:$B$89,$B377),SUMIFS(Fact_PreSortWeights!$E$2:$E$186,Fact_PreSortWeights!$C$2:$C$186,$A377,Fact_PreSortWeights!$B$2:$B$186,$B377))))</f>
        <v>0</v>
      </c>
      <c r="G377" s="0" t="n">
        <f aca="false">IF(AND(IF($B377="Trash",INDEX('Materials Master'!$F$2:$F$27,MATCH($C377,'Materials Master'!$A$2:$A$27,0)),IF($B377="GMPC Recycling",INDEX('Materials Master'!$G$2:$G$27,MATCH($C377,'Materials Master'!$A$2:$A$27,0)),IF($B377="Organics Recycling",INDEX('Materials Master'!$H$2:$H$27,MATCH($C377,'Materials Master'!$A$2:$A$27,0)),IF($B377="Cardboard Recycling",INDEX('Materials Master'!$I$2:$I$27,MATCH($C377,'Materials Master'!$A$2:$A$27,0)),IF($B377="Paper Recycling",INDEX('Materials Master'!$J$2:$J$27,MATCH($C377,'Materials Master'!$A$2:$A$27,0)),IF($B377="Terracycle",INDEX('Materials Master'!$K$2:$K$27,MATCH($C377,'Materials Master'!$A$2:$A$27,0)),"No"))))))="Yes",INDEX('Materials Master'!$E$2:$E$27,MATCH($C377,'Materials Master'!$A$2:$A$27,0))="Yes",$B377&lt;&gt;"Trash"),1,0)</f>
        <v>0</v>
      </c>
      <c r="H377" s="0" t="str">
        <f aca="false">INDEX('Materials Master'!$E$2:$E$27,MATCH($C377,'Materials Master'!$A$2:$A$27,0))</f>
        <v>No</v>
      </c>
      <c r="I377" s="0" t="str">
        <f aca="false">IFERROR(INDEX(Areas!$C$2:$C$6,MATCH($A377,Areas!$B$2:$B$6,0)),"")</f>
        <v>Rest of Building</v>
      </c>
      <c r="J377" s="0" t="n">
        <f aca="false">IF(IF($B377="Trash",INDEX('Materials Master'!$F$2:$F$27,MATCH($C377,'Materials Master'!$A$2:$A$27,0)),IF($B377="GMPC Recycling",INDEX('Materials Master'!$G$2:$G$27,MATCH($C377,'Materials Master'!$A$2:$A$27,0)),IF($B377="Organics Recycling",INDEX('Materials Master'!$H$2:$H$27,MATCH($C377,'Materials Master'!$A$2:$A$27,0)),IF($B377="Cardboard Recycling",INDEX('Materials Master'!$I$2:$I$27,MATCH($C377,'Materials Master'!$A$2:$A$27,0)),IF($B377="Paper Recycling",INDEX('Materials Master'!$J$2:$J$27,MATCH($C377,'Materials Master'!$A$2:$A$27,0)),IF($B377="Terracycle",INDEX('Materials Master'!$K$2:$K$27,MATCH($C377,'Materials Master'!$A$2:$A$27,0)),"No"))))))="Yes",1,0)</f>
        <v>0</v>
      </c>
    </row>
    <row r="378" customFormat="false" ht="15" hidden="false" customHeight="false" outlineLevel="0" collapsed="false">
      <c r="A378" s="0" t="s">
        <v>98</v>
      </c>
      <c r="B378" s="0" t="s">
        <v>105</v>
      </c>
      <c r="C378" s="0" t="s">
        <v>57</v>
      </c>
      <c r="D378" s="0" t="str">
        <f aca="false">IFERROR(INDEX('Materials Master'!$B$2:$B$27,MATCH($C378,'Materials Master'!$A$2:$A$27,0)),"")</f>
        <v>Rigid Plastics (1-6)</v>
      </c>
      <c r="E378" s="0" t="str">
        <f aca="false">IFERROR(INDEX('Materials Master'!$C$2:$C$27,MATCH($C378,'Materials Master'!$A$2:$A$27,0)),"")</f>
        <v>Plastics</v>
      </c>
      <c r="F378" s="0" t="n">
        <f aca="false">IF(SUMIFS(Fact_SortedWeights!$E$2:$E$89,Fact_SortedWeights!$C$2:$C$89,$A378,Fact_SortedWeights!$B$2:$B$89,$B378)=0,0,SUMIFS(Fact_SortedWeights!$E$2:$E$89,Fact_SortedWeights!$C$2:$C$89,$A378,Fact_SortedWeights!$B$2:$B$89,$B378,Fact_SortedWeights!$D$2:$D$89,$C378)/SUMIFS(Fact_SortedWeights!$E$2:$E$89,Fact_SortedWeights!$C$2:$C$89,$A378,Fact_SortedWeights!$B$2:$B$89,$B378)*(IF($B378="Cardboard Recycling",SUMIFS(Fact_SortedWeights!$E$2:$E$89,Fact_SortedWeights!$C$2:$C$89,$A378,Fact_SortedWeights!$B$2:$B$89,$B378),SUMIFS(Fact_PreSortWeights!$E$2:$E$186,Fact_PreSortWeights!$C$2:$C$186,$A378,Fact_PreSortWeights!$B$2:$B$186,$B378))))</f>
        <v>0</v>
      </c>
      <c r="G378" s="0" t="n">
        <f aca="false">IF(AND(IF($B378="Trash",INDEX('Materials Master'!$F$2:$F$27,MATCH($C378,'Materials Master'!$A$2:$A$27,0)),IF($B378="GMPC Recycling",INDEX('Materials Master'!$G$2:$G$27,MATCH($C378,'Materials Master'!$A$2:$A$27,0)),IF($B378="Organics Recycling",INDEX('Materials Master'!$H$2:$H$27,MATCH($C378,'Materials Master'!$A$2:$A$27,0)),IF($B378="Cardboard Recycling",INDEX('Materials Master'!$I$2:$I$27,MATCH($C378,'Materials Master'!$A$2:$A$27,0)),IF($B378="Paper Recycling",INDEX('Materials Master'!$J$2:$J$27,MATCH($C378,'Materials Master'!$A$2:$A$27,0)),IF($B378="Terracycle",INDEX('Materials Master'!$K$2:$K$27,MATCH($C378,'Materials Master'!$A$2:$A$27,0)),"No"))))))="Yes",INDEX('Materials Master'!$E$2:$E$27,MATCH($C378,'Materials Master'!$A$2:$A$27,0))="Yes",$B378&lt;&gt;"Trash"),1,0)</f>
        <v>0</v>
      </c>
      <c r="H378" s="0" t="str">
        <f aca="false">INDEX('Materials Master'!$E$2:$E$27,MATCH($C378,'Materials Master'!$A$2:$A$27,0))</f>
        <v>Yes</v>
      </c>
      <c r="I378" s="0" t="str">
        <f aca="false">IFERROR(INDEX(Areas!$C$2:$C$6,MATCH($A378,Areas!$B$2:$B$6,0)),"")</f>
        <v>Rest of Building</v>
      </c>
      <c r="J378" s="0" t="n">
        <f aca="false">IF(IF($B378="Trash",INDEX('Materials Master'!$F$2:$F$27,MATCH($C378,'Materials Master'!$A$2:$A$27,0)),IF($B378="GMPC Recycling",INDEX('Materials Master'!$G$2:$G$27,MATCH($C378,'Materials Master'!$A$2:$A$27,0)),IF($B378="Organics Recycling",INDEX('Materials Master'!$H$2:$H$27,MATCH($C378,'Materials Master'!$A$2:$A$27,0)),IF($B378="Cardboard Recycling",INDEX('Materials Master'!$I$2:$I$27,MATCH($C378,'Materials Master'!$A$2:$A$27,0)),IF($B378="Paper Recycling",INDEX('Materials Master'!$J$2:$J$27,MATCH($C378,'Materials Master'!$A$2:$A$27,0)),IF($B378="Terracycle",INDEX('Materials Master'!$K$2:$K$27,MATCH($C378,'Materials Master'!$A$2:$A$27,0)),"No"))))))="Yes",1,0)</f>
        <v>0</v>
      </c>
    </row>
    <row r="379" customFormat="false" ht="15" hidden="false" customHeight="false" outlineLevel="0" collapsed="false">
      <c r="A379" s="0" t="s">
        <v>98</v>
      </c>
      <c r="B379" s="0" t="s">
        <v>105</v>
      </c>
      <c r="C379" s="0" t="s">
        <v>60</v>
      </c>
      <c r="D379" s="0" t="str">
        <f aca="false">IFERROR(INDEX('Materials Master'!$B$2:$B$27,MATCH($C379,'Materials Master'!$A$2:$A$27,0)),"")</f>
        <v>Soiled Rigid Plastics</v>
      </c>
      <c r="E379" s="0" t="str">
        <f aca="false">IFERROR(INDEX('Materials Master'!$C$2:$C$27,MATCH($C379,'Materials Master'!$A$2:$A$27,0)),"")</f>
        <v>Plastics</v>
      </c>
      <c r="F379" s="0" t="n">
        <f aca="false">IF(SUMIFS(Fact_SortedWeights!$E$2:$E$89,Fact_SortedWeights!$C$2:$C$89,$A379,Fact_SortedWeights!$B$2:$B$89,$B379)=0,0,SUMIFS(Fact_SortedWeights!$E$2:$E$89,Fact_SortedWeights!$C$2:$C$89,$A379,Fact_SortedWeights!$B$2:$B$89,$B379,Fact_SortedWeights!$D$2:$D$89,$C379)/SUMIFS(Fact_SortedWeights!$E$2:$E$89,Fact_SortedWeights!$C$2:$C$89,$A379,Fact_SortedWeights!$B$2:$B$89,$B379)*(IF($B379="Cardboard Recycling",SUMIFS(Fact_SortedWeights!$E$2:$E$89,Fact_SortedWeights!$C$2:$C$89,$A379,Fact_SortedWeights!$B$2:$B$89,$B379),SUMIFS(Fact_PreSortWeights!$E$2:$E$186,Fact_PreSortWeights!$C$2:$C$186,$A379,Fact_PreSortWeights!$B$2:$B$186,$B379))))</f>
        <v>0</v>
      </c>
      <c r="G379" s="0" t="n">
        <f aca="false">IF(AND(IF($B379="Trash",INDEX('Materials Master'!$F$2:$F$27,MATCH($C379,'Materials Master'!$A$2:$A$27,0)),IF($B379="GMPC Recycling",INDEX('Materials Master'!$G$2:$G$27,MATCH($C379,'Materials Master'!$A$2:$A$27,0)),IF($B379="Organics Recycling",INDEX('Materials Master'!$H$2:$H$27,MATCH($C379,'Materials Master'!$A$2:$A$27,0)),IF($B379="Cardboard Recycling",INDEX('Materials Master'!$I$2:$I$27,MATCH($C379,'Materials Master'!$A$2:$A$27,0)),IF($B379="Paper Recycling",INDEX('Materials Master'!$J$2:$J$27,MATCH($C379,'Materials Master'!$A$2:$A$27,0)),IF($B379="Terracycle",INDEX('Materials Master'!$K$2:$K$27,MATCH($C379,'Materials Master'!$A$2:$A$27,0)),"No"))))))="Yes",INDEX('Materials Master'!$E$2:$E$27,MATCH($C379,'Materials Master'!$A$2:$A$27,0))="Yes",$B379&lt;&gt;"Trash"),1,0)</f>
        <v>0</v>
      </c>
      <c r="H379" s="0" t="str">
        <f aca="false">INDEX('Materials Master'!$E$2:$E$27,MATCH($C379,'Materials Master'!$A$2:$A$27,0))</f>
        <v>No</v>
      </c>
      <c r="I379" s="0" t="str">
        <f aca="false">IFERROR(INDEX(Areas!$C$2:$C$6,MATCH($A379,Areas!$B$2:$B$6,0)),"")</f>
        <v>Rest of Building</v>
      </c>
      <c r="J379" s="0" t="n">
        <f aca="false">IF(IF($B379="Trash",INDEX('Materials Master'!$F$2:$F$27,MATCH($C379,'Materials Master'!$A$2:$A$27,0)),IF($B379="GMPC Recycling",INDEX('Materials Master'!$G$2:$G$27,MATCH($C379,'Materials Master'!$A$2:$A$27,0)),IF($B379="Organics Recycling",INDEX('Materials Master'!$H$2:$H$27,MATCH($C379,'Materials Master'!$A$2:$A$27,0)),IF($B379="Cardboard Recycling",INDEX('Materials Master'!$I$2:$I$27,MATCH($C379,'Materials Master'!$A$2:$A$27,0)),IF($B379="Paper Recycling",INDEX('Materials Master'!$J$2:$J$27,MATCH($C379,'Materials Master'!$A$2:$A$27,0)),IF($B379="Terracycle",INDEX('Materials Master'!$K$2:$K$27,MATCH($C379,'Materials Master'!$A$2:$A$27,0)),"No"))))))="Yes",1,0)</f>
        <v>0</v>
      </c>
    </row>
    <row r="380" customFormat="false" ht="15" hidden="false" customHeight="false" outlineLevel="0" collapsed="false">
      <c r="A380" s="0" t="s">
        <v>98</v>
      </c>
      <c r="B380" s="0" t="s">
        <v>105</v>
      </c>
      <c r="C380" s="0" t="s">
        <v>62</v>
      </c>
      <c r="D380" s="0" t="str">
        <f aca="false">IFERROR(INDEX('Materials Master'!$B$2:$B$27,MATCH($C380,'Materials Master'!$A$2:$A$27,0)),"")</f>
        <v>Film Plastics</v>
      </c>
      <c r="E380" s="0" t="str">
        <f aca="false">IFERROR(INDEX('Materials Master'!$C$2:$C$27,MATCH($C380,'Materials Master'!$A$2:$A$27,0)),"")</f>
        <v>Plastics</v>
      </c>
      <c r="F380" s="0" t="n">
        <f aca="false">IF(SUMIFS(Fact_SortedWeights!$E$2:$E$89,Fact_SortedWeights!$C$2:$C$89,$A380,Fact_SortedWeights!$B$2:$B$89,$B380)=0,0,SUMIFS(Fact_SortedWeights!$E$2:$E$89,Fact_SortedWeights!$C$2:$C$89,$A380,Fact_SortedWeights!$B$2:$B$89,$B380,Fact_SortedWeights!$D$2:$D$89,$C380)/SUMIFS(Fact_SortedWeights!$E$2:$E$89,Fact_SortedWeights!$C$2:$C$89,$A380,Fact_SortedWeights!$B$2:$B$89,$B380)*(IF($B380="Cardboard Recycling",SUMIFS(Fact_SortedWeights!$E$2:$E$89,Fact_SortedWeights!$C$2:$C$89,$A380,Fact_SortedWeights!$B$2:$B$89,$B380),SUMIFS(Fact_PreSortWeights!$E$2:$E$186,Fact_PreSortWeights!$C$2:$C$186,$A380,Fact_PreSortWeights!$B$2:$B$186,$B380))))</f>
        <v>0</v>
      </c>
      <c r="G380" s="0" t="n">
        <f aca="false">IF(AND(IF($B380="Trash",INDEX('Materials Master'!$F$2:$F$27,MATCH($C380,'Materials Master'!$A$2:$A$27,0)),IF($B380="GMPC Recycling",INDEX('Materials Master'!$G$2:$G$27,MATCH($C380,'Materials Master'!$A$2:$A$27,0)),IF($B380="Organics Recycling",INDEX('Materials Master'!$H$2:$H$27,MATCH($C380,'Materials Master'!$A$2:$A$27,0)),IF($B380="Cardboard Recycling",INDEX('Materials Master'!$I$2:$I$27,MATCH($C380,'Materials Master'!$A$2:$A$27,0)),IF($B380="Paper Recycling",INDEX('Materials Master'!$J$2:$J$27,MATCH($C380,'Materials Master'!$A$2:$A$27,0)),IF($B380="Terracycle",INDEX('Materials Master'!$K$2:$K$27,MATCH($C380,'Materials Master'!$A$2:$A$27,0)),"No"))))))="Yes",INDEX('Materials Master'!$E$2:$E$27,MATCH($C380,'Materials Master'!$A$2:$A$27,0))="Yes",$B380&lt;&gt;"Trash"),1,0)</f>
        <v>0</v>
      </c>
      <c r="H380" s="0" t="str">
        <f aca="false">INDEX('Materials Master'!$E$2:$E$27,MATCH($C380,'Materials Master'!$A$2:$A$27,0))</f>
        <v>No</v>
      </c>
      <c r="I380" s="0" t="str">
        <f aca="false">IFERROR(INDEX(Areas!$C$2:$C$6,MATCH($A380,Areas!$B$2:$B$6,0)),"")</f>
        <v>Rest of Building</v>
      </c>
      <c r="J380" s="0" t="n">
        <f aca="false">IF(IF($B380="Trash",INDEX('Materials Master'!$F$2:$F$27,MATCH($C380,'Materials Master'!$A$2:$A$27,0)),IF($B380="GMPC Recycling",INDEX('Materials Master'!$G$2:$G$27,MATCH($C380,'Materials Master'!$A$2:$A$27,0)),IF($B380="Organics Recycling",INDEX('Materials Master'!$H$2:$H$27,MATCH($C380,'Materials Master'!$A$2:$A$27,0)),IF($B380="Cardboard Recycling",INDEX('Materials Master'!$I$2:$I$27,MATCH($C380,'Materials Master'!$A$2:$A$27,0)),IF($B380="Paper Recycling",INDEX('Materials Master'!$J$2:$J$27,MATCH($C380,'Materials Master'!$A$2:$A$27,0)),IF($B380="Terracycle",INDEX('Materials Master'!$K$2:$K$27,MATCH($C380,'Materials Master'!$A$2:$A$27,0)),"No"))))))="Yes",1,0)</f>
        <v>0</v>
      </c>
    </row>
    <row r="381" customFormat="false" ht="15" hidden="false" customHeight="false" outlineLevel="0" collapsed="false">
      <c r="A381" s="0" t="s">
        <v>98</v>
      </c>
      <c r="B381" s="0" t="s">
        <v>105</v>
      </c>
      <c r="C381" s="0" t="s">
        <v>64</v>
      </c>
      <c r="D381" s="0" t="str">
        <f aca="false">IFERROR(INDEX('Materials Master'!$B$2:$B$27,MATCH($C381,'Materials Master'!$A$2:$A$27,0)),"")</f>
        <v>Foams</v>
      </c>
      <c r="E381" s="0" t="str">
        <f aca="false">IFERROR(INDEX('Materials Master'!$C$2:$C$27,MATCH($C381,'Materials Master'!$A$2:$A$27,0)),"")</f>
        <v>Plastics</v>
      </c>
      <c r="F381" s="0" t="n">
        <f aca="false">IF(SUMIFS(Fact_SortedWeights!$E$2:$E$89,Fact_SortedWeights!$C$2:$C$89,$A381,Fact_SortedWeights!$B$2:$B$89,$B381)=0,0,SUMIFS(Fact_SortedWeights!$E$2:$E$89,Fact_SortedWeights!$C$2:$C$89,$A381,Fact_SortedWeights!$B$2:$B$89,$B381,Fact_SortedWeights!$D$2:$D$89,$C381)/SUMIFS(Fact_SortedWeights!$E$2:$E$89,Fact_SortedWeights!$C$2:$C$89,$A381,Fact_SortedWeights!$B$2:$B$89,$B381)*(IF($B381="Cardboard Recycling",SUMIFS(Fact_SortedWeights!$E$2:$E$89,Fact_SortedWeights!$C$2:$C$89,$A381,Fact_SortedWeights!$B$2:$B$89,$B381),SUMIFS(Fact_PreSortWeights!$E$2:$E$186,Fact_PreSortWeights!$C$2:$C$186,$A381,Fact_PreSortWeights!$B$2:$B$186,$B381))))</f>
        <v>0</v>
      </c>
      <c r="G381" s="0" t="n">
        <f aca="false">IF(AND(IF($B381="Trash",INDEX('Materials Master'!$F$2:$F$27,MATCH($C381,'Materials Master'!$A$2:$A$27,0)),IF($B381="GMPC Recycling",INDEX('Materials Master'!$G$2:$G$27,MATCH($C381,'Materials Master'!$A$2:$A$27,0)),IF($B381="Organics Recycling",INDEX('Materials Master'!$H$2:$H$27,MATCH($C381,'Materials Master'!$A$2:$A$27,0)),IF($B381="Cardboard Recycling",INDEX('Materials Master'!$I$2:$I$27,MATCH($C381,'Materials Master'!$A$2:$A$27,0)),IF($B381="Paper Recycling",INDEX('Materials Master'!$J$2:$J$27,MATCH($C381,'Materials Master'!$A$2:$A$27,0)),IF($B381="Terracycle",INDEX('Materials Master'!$K$2:$K$27,MATCH($C381,'Materials Master'!$A$2:$A$27,0)),"No"))))))="Yes",INDEX('Materials Master'!$E$2:$E$27,MATCH($C381,'Materials Master'!$A$2:$A$27,0))="Yes",$B381&lt;&gt;"Trash"),1,0)</f>
        <v>0</v>
      </c>
      <c r="H381" s="0" t="str">
        <f aca="false">INDEX('Materials Master'!$E$2:$E$27,MATCH($C381,'Materials Master'!$A$2:$A$27,0))</f>
        <v>No</v>
      </c>
      <c r="I381" s="0" t="str">
        <f aca="false">IFERROR(INDEX(Areas!$C$2:$C$6,MATCH($A381,Areas!$B$2:$B$6,0)),"")</f>
        <v>Rest of Building</v>
      </c>
      <c r="J381" s="0" t="n">
        <f aca="false">IF(IF($B381="Trash",INDEX('Materials Master'!$F$2:$F$27,MATCH($C381,'Materials Master'!$A$2:$A$27,0)),IF($B381="GMPC Recycling",INDEX('Materials Master'!$G$2:$G$27,MATCH($C381,'Materials Master'!$A$2:$A$27,0)),IF($B381="Organics Recycling",INDEX('Materials Master'!$H$2:$H$27,MATCH($C381,'Materials Master'!$A$2:$A$27,0)),IF($B381="Cardboard Recycling",INDEX('Materials Master'!$I$2:$I$27,MATCH($C381,'Materials Master'!$A$2:$A$27,0)),IF($B381="Paper Recycling",INDEX('Materials Master'!$J$2:$J$27,MATCH($C381,'Materials Master'!$A$2:$A$27,0)),IF($B381="Terracycle",INDEX('Materials Master'!$K$2:$K$27,MATCH($C381,'Materials Master'!$A$2:$A$27,0)),"No"))))))="Yes",1,0)</f>
        <v>0</v>
      </c>
    </row>
    <row r="382" customFormat="false" ht="15" hidden="false" customHeight="false" outlineLevel="0" collapsed="false">
      <c r="A382" s="0" t="s">
        <v>98</v>
      </c>
      <c r="B382" s="0" t="s">
        <v>105</v>
      </c>
      <c r="C382" s="0" t="s">
        <v>66</v>
      </c>
      <c r="D382" s="0" t="str">
        <f aca="false">IFERROR(INDEX('Materials Master'!$B$2:$B$27,MATCH($C382,'Materials Master'!$A$2:$A$27,0)),"")</f>
        <v>Food Waste</v>
      </c>
      <c r="E382" s="0" t="str">
        <f aca="false">IFERROR(INDEX('Materials Master'!$C$2:$C$27,MATCH($C382,'Materials Master'!$A$2:$A$27,0)),"")</f>
        <v>Organics</v>
      </c>
      <c r="F382" s="0" t="n">
        <f aca="false">IF(SUMIFS(Fact_SortedWeights!$E$2:$E$89,Fact_SortedWeights!$C$2:$C$89,$A382,Fact_SortedWeights!$B$2:$B$89,$B382)=0,0,SUMIFS(Fact_SortedWeights!$E$2:$E$89,Fact_SortedWeights!$C$2:$C$89,$A382,Fact_SortedWeights!$B$2:$B$89,$B382,Fact_SortedWeights!$D$2:$D$89,$C382)/SUMIFS(Fact_SortedWeights!$E$2:$E$89,Fact_SortedWeights!$C$2:$C$89,$A382,Fact_SortedWeights!$B$2:$B$89,$B382)*(IF($B382="Cardboard Recycling",SUMIFS(Fact_SortedWeights!$E$2:$E$89,Fact_SortedWeights!$C$2:$C$89,$A382,Fact_SortedWeights!$B$2:$B$89,$B382),SUMIFS(Fact_PreSortWeights!$E$2:$E$186,Fact_PreSortWeights!$C$2:$C$186,$A382,Fact_PreSortWeights!$B$2:$B$186,$B382))))</f>
        <v>0</v>
      </c>
      <c r="G382" s="0" t="n">
        <f aca="false">IF(AND(IF($B382="Trash",INDEX('Materials Master'!$F$2:$F$27,MATCH($C382,'Materials Master'!$A$2:$A$27,0)),IF($B382="GMPC Recycling",INDEX('Materials Master'!$G$2:$G$27,MATCH($C382,'Materials Master'!$A$2:$A$27,0)),IF($B382="Organics Recycling",INDEX('Materials Master'!$H$2:$H$27,MATCH($C382,'Materials Master'!$A$2:$A$27,0)),IF($B382="Cardboard Recycling",INDEX('Materials Master'!$I$2:$I$27,MATCH($C382,'Materials Master'!$A$2:$A$27,0)),IF($B382="Paper Recycling",INDEX('Materials Master'!$J$2:$J$27,MATCH($C382,'Materials Master'!$A$2:$A$27,0)),IF($B382="Terracycle",INDEX('Materials Master'!$K$2:$K$27,MATCH($C382,'Materials Master'!$A$2:$A$27,0)),"No"))))))="Yes",INDEX('Materials Master'!$E$2:$E$27,MATCH($C382,'Materials Master'!$A$2:$A$27,0))="Yes",$B382&lt;&gt;"Trash"),1,0)</f>
        <v>1</v>
      </c>
      <c r="H382" s="0" t="str">
        <f aca="false">INDEX('Materials Master'!$E$2:$E$27,MATCH($C382,'Materials Master'!$A$2:$A$27,0))</f>
        <v>Yes</v>
      </c>
      <c r="I382" s="0" t="str">
        <f aca="false">IFERROR(INDEX(Areas!$C$2:$C$6,MATCH($A382,Areas!$B$2:$B$6,0)),"")</f>
        <v>Rest of Building</v>
      </c>
      <c r="J382" s="0" t="n">
        <f aca="false">IF(IF($B382="Trash",INDEX('Materials Master'!$F$2:$F$27,MATCH($C382,'Materials Master'!$A$2:$A$27,0)),IF($B382="GMPC Recycling",INDEX('Materials Master'!$G$2:$G$27,MATCH($C382,'Materials Master'!$A$2:$A$27,0)),IF($B382="Organics Recycling",INDEX('Materials Master'!$H$2:$H$27,MATCH($C382,'Materials Master'!$A$2:$A$27,0)),IF($B382="Cardboard Recycling",INDEX('Materials Master'!$I$2:$I$27,MATCH($C382,'Materials Master'!$A$2:$A$27,0)),IF($B382="Paper Recycling",INDEX('Materials Master'!$J$2:$J$27,MATCH($C382,'Materials Master'!$A$2:$A$27,0)),IF($B382="Terracycle",INDEX('Materials Master'!$K$2:$K$27,MATCH($C382,'Materials Master'!$A$2:$A$27,0)),"No"))))))="Yes",1,0)</f>
        <v>1</v>
      </c>
    </row>
    <row r="383" customFormat="false" ht="15" hidden="false" customHeight="false" outlineLevel="0" collapsed="false">
      <c r="A383" s="0" t="s">
        <v>98</v>
      </c>
      <c r="B383" s="0" t="s">
        <v>105</v>
      </c>
      <c r="C383" s="0" t="s">
        <v>69</v>
      </c>
      <c r="D383" s="0" t="str">
        <f aca="false">IFERROR(INDEX('Materials Master'!$B$2:$B$27,MATCH($C383,'Materials Master'!$A$2:$A$27,0)),"")</f>
        <v>Paper Fibers and Food-Soiled Paper (FSP)</v>
      </c>
      <c r="E383" s="0" t="str">
        <f aca="false">IFERROR(INDEX('Materials Master'!$C$2:$C$27,MATCH($C383,'Materials Master'!$A$2:$A$27,0)),"")</f>
        <v>Organics</v>
      </c>
      <c r="F383" s="0" t="n">
        <f aca="false">IF(SUMIFS(Fact_SortedWeights!$E$2:$E$89,Fact_SortedWeights!$C$2:$C$89,$A383,Fact_SortedWeights!$B$2:$B$89,$B383)=0,0,SUMIFS(Fact_SortedWeights!$E$2:$E$89,Fact_SortedWeights!$C$2:$C$89,$A383,Fact_SortedWeights!$B$2:$B$89,$B383,Fact_SortedWeights!$D$2:$D$89,$C383)/SUMIFS(Fact_SortedWeights!$E$2:$E$89,Fact_SortedWeights!$C$2:$C$89,$A383,Fact_SortedWeights!$B$2:$B$89,$B383)*(IF($B383="Cardboard Recycling",SUMIFS(Fact_SortedWeights!$E$2:$E$89,Fact_SortedWeights!$C$2:$C$89,$A383,Fact_SortedWeights!$B$2:$B$89,$B383),SUMIFS(Fact_PreSortWeights!$E$2:$E$186,Fact_PreSortWeights!$C$2:$C$186,$A383,Fact_PreSortWeights!$B$2:$B$186,$B383))))</f>
        <v>0</v>
      </c>
      <c r="G383" s="0" t="n">
        <f aca="false">IF(AND(IF($B383="Trash",INDEX('Materials Master'!$F$2:$F$27,MATCH($C383,'Materials Master'!$A$2:$A$27,0)),IF($B383="GMPC Recycling",INDEX('Materials Master'!$G$2:$G$27,MATCH($C383,'Materials Master'!$A$2:$A$27,0)),IF($B383="Organics Recycling",INDEX('Materials Master'!$H$2:$H$27,MATCH($C383,'Materials Master'!$A$2:$A$27,0)),IF($B383="Cardboard Recycling",INDEX('Materials Master'!$I$2:$I$27,MATCH($C383,'Materials Master'!$A$2:$A$27,0)),IF($B383="Paper Recycling",INDEX('Materials Master'!$J$2:$J$27,MATCH($C383,'Materials Master'!$A$2:$A$27,0)),IF($B383="Terracycle",INDEX('Materials Master'!$K$2:$K$27,MATCH($C383,'Materials Master'!$A$2:$A$27,0)),"No"))))))="Yes",INDEX('Materials Master'!$E$2:$E$27,MATCH($C383,'Materials Master'!$A$2:$A$27,0))="Yes",$B383&lt;&gt;"Trash"),1,0)</f>
        <v>0</v>
      </c>
      <c r="H383" s="0" t="str">
        <f aca="false">INDEX('Materials Master'!$E$2:$E$27,MATCH($C383,'Materials Master'!$A$2:$A$27,0))</f>
        <v>No</v>
      </c>
      <c r="I383" s="0" t="str">
        <f aca="false">IFERROR(INDEX(Areas!$C$2:$C$6,MATCH($A383,Areas!$B$2:$B$6,0)),"")</f>
        <v>Rest of Building</v>
      </c>
      <c r="J383" s="0" t="n">
        <f aca="false">IF(IF($B383="Trash",INDEX('Materials Master'!$F$2:$F$27,MATCH($C383,'Materials Master'!$A$2:$A$27,0)),IF($B383="GMPC Recycling",INDEX('Materials Master'!$G$2:$G$27,MATCH($C383,'Materials Master'!$A$2:$A$27,0)),IF($B383="Organics Recycling",INDEX('Materials Master'!$H$2:$H$27,MATCH($C383,'Materials Master'!$A$2:$A$27,0)),IF($B383="Cardboard Recycling",INDEX('Materials Master'!$I$2:$I$27,MATCH($C383,'Materials Master'!$A$2:$A$27,0)),IF($B383="Paper Recycling",INDEX('Materials Master'!$J$2:$J$27,MATCH($C383,'Materials Master'!$A$2:$A$27,0)),IF($B383="Terracycle",INDEX('Materials Master'!$K$2:$K$27,MATCH($C383,'Materials Master'!$A$2:$A$27,0)),"No"))))))="Yes",1,0)</f>
        <v>0</v>
      </c>
    </row>
    <row r="384" customFormat="false" ht="15" hidden="false" customHeight="false" outlineLevel="0" collapsed="false">
      <c r="A384" s="0" t="s">
        <v>98</v>
      </c>
      <c r="B384" s="0" t="s">
        <v>105</v>
      </c>
      <c r="C384" s="0" t="s">
        <v>71</v>
      </c>
      <c r="D384" s="0" t="str">
        <f aca="false">IFERROR(INDEX('Materials Master'!$B$2:$B$27,MATCH($C384,'Materials Master'!$A$2:$A$27,0)),"")</f>
        <v>Fiber-based Compostable Serviceware</v>
      </c>
      <c r="E384" s="0" t="str">
        <f aca="false">IFERROR(INDEX('Materials Master'!$C$2:$C$27,MATCH($C384,'Materials Master'!$A$2:$A$27,0)),"")</f>
        <v>Organics</v>
      </c>
      <c r="F384" s="0" t="n">
        <f aca="false">IF(SUMIFS(Fact_SortedWeights!$E$2:$E$89,Fact_SortedWeights!$C$2:$C$89,$A384,Fact_SortedWeights!$B$2:$B$89,$B384)=0,0,SUMIFS(Fact_SortedWeights!$E$2:$E$89,Fact_SortedWeights!$C$2:$C$89,$A384,Fact_SortedWeights!$B$2:$B$89,$B384,Fact_SortedWeights!$D$2:$D$89,$C384)/SUMIFS(Fact_SortedWeights!$E$2:$E$89,Fact_SortedWeights!$C$2:$C$89,$A384,Fact_SortedWeights!$B$2:$B$89,$B384)*(IF($B384="Cardboard Recycling",SUMIFS(Fact_SortedWeights!$E$2:$E$89,Fact_SortedWeights!$C$2:$C$89,$A384,Fact_SortedWeights!$B$2:$B$89,$B384),SUMIFS(Fact_PreSortWeights!$E$2:$E$186,Fact_PreSortWeights!$C$2:$C$186,$A384,Fact_PreSortWeights!$B$2:$B$186,$B384))))</f>
        <v>0</v>
      </c>
      <c r="G384" s="0" t="n">
        <f aca="false">IF(AND(IF($B384="Trash",INDEX('Materials Master'!$F$2:$F$27,MATCH($C384,'Materials Master'!$A$2:$A$27,0)),IF($B384="GMPC Recycling",INDEX('Materials Master'!$G$2:$G$27,MATCH($C384,'Materials Master'!$A$2:$A$27,0)),IF($B384="Organics Recycling",INDEX('Materials Master'!$H$2:$H$27,MATCH($C384,'Materials Master'!$A$2:$A$27,0)),IF($B384="Cardboard Recycling",INDEX('Materials Master'!$I$2:$I$27,MATCH($C384,'Materials Master'!$A$2:$A$27,0)),IF($B384="Paper Recycling",INDEX('Materials Master'!$J$2:$J$27,MATCH($C384,'Materials Master'!$A$2:$A$27,0)),IF($B384="Terracycle",INDEX('Materials Master'!$K$2:$K$27,MATCH($C384,'Materials Master'!$A$2:$A$27,0)),"No"))))))="Yes",INDEX('Materials Master'!$E$2:$E$27,MATCH($C384,'Materials Master'!$A$2:$A$27,0))="Yes",$B384&lt;&gt;"Trash"),1,0)</f>
        <v>0</v>
      </c>
      <c r="H384" s="0" t="str">
        <f aca="false">INDEX('Materials Master'!$E$2:$E$27,MATCH($C384,'Materials Master'!$A$2:$A$27,0))</f>
        <v>No</v>
      </c>
      <c r="I384" s="0" t="str">
        <f aca="false">IFERROR(INDEX(Areas!$C$2:$C$6,MATCH($A384,Areas!$B$2:$B$6,0)),"")</f>
        <v>Rest of Building</v>
      </c>
      <c r="J384" s="0" t="n">
        <f aca="false">IF(IF($B384="Trash",INDEX('Materials Master'!$F$2:$F$27,MATCH($C384,'Materials Master'!$A$2:$A$27,0)),IF($B384="GMPC Recycling",INDEX('Materials Master'!$G$2:$G$27,MATCH($C384,'Materials Master'!$A$2:$A$27,0)),IF($B384="Organics Recycling",INDEX('Materials Master'!$H$2:$H$27,MATCH($C384,'Materials Master'!$A$2:$A$27,0)),IF($B384="Cardboard Recycling",INDEX('Materials Master'!$I$2:$I$27,MATCH($C384,'Materials Master'!$A$2:$A$27,0)),IF($B384="Paper Recycling",INDEX('Materials Master'!$J$2:$J$27,MATCH($C384,'Materials Master'!$A$2:$A$27,0)),IF($B384="Terracycle",INDEX('Materials Master'!$K$2:$K$27,MATCH($C384,'Materials Master'!$A$2:$A$27,0)),"No"))))))="Yes",1,0)</f>
        <v>0</v>
      </c>
    </row>
    <row r="385" customFormat="false" ht="15" hidden="false" customHeight="false" outlineLevel="0" collapsed="false">
      <c r="A385" s="0" t="s">
        <v>98</v>
      </c>
      <c r="B385" s="0" t="s">
        <v>105</v>
      </c>
      <c r="C385" s="0" t="s">
        <v>73</v>
      </c>
      <c r="D385" s="0" t="str">
        <f aca="false">IFERROR(INDEX('Materials Master'!$B$2:$B$27,MATCH($C385,'Materials Master'!$A$2:$A$27,0)),"")</f>
        <v>PLA Compostable Serviceware</v>
      </c>
      <c r="E385" s="0" t="str">
        <f aca="false">IFERROR(INDEX('Materials Master'!$C$2:$C$27,MATCH($C385,'Materials Master'!$A$2:$A$27,0)),"")</f>
        <v>Organics</v>
      </c>
      <c r="F385" s="0" t="n">
        <f aca="false">IF(SUMIFS(Fact_SortedWeights!$E$2:$E$89,Fact_SortedWeights!$C$2:$C$89,$A385,Fact_SortedWeights!$B$2:$B$89,$B385)=0,0,SUMIFS(Fact_SortedWeights!$E$2:$E$89,Fact_SortedWeights!$C$2:$C$89,$A385,Fact_SortedWeights!$B$2:$B$89,$B385,Fact_SortedWeights!$D$2:$D$89,$C385)/SUMIFS(Fact_SortedWeights!$E$2:$E$89,Fact_SortedWeights!$C$2:$C$89,$A385,Fact_SortedWeights!$B$2:$B$89,$B385)*(IF($B385="Cardboard Recycling",SUMIFS(Fact_SortedWeights!$E$2:$E$89,Fact_SortedWeights!$C$2:$C$89,$A385,Fact_SortedWeights!$B$2:$B$89,$B385),SUMIFS(Fact_PreSortWeights!$E$2:$E$186,Fact_PreSortWeights!$C$2:$C$186,$A385,Fact_PreSortWeights!$B$2:$B$186,$B385))))</f>
        <v>0</v>
      </c>
      <c r="G385" s="0" t="n">
        <f aca="false">IF(AND(IF($B385="Trash",INDEX('Materials Master'!$F$2:$F$27,MATCH($C385,'Materials Master'!$A$2:$A$27,0)),IF($B385="GMPC Recycling",INDEX('Materials Master'!$G$2:$G$27,MATCH($C385,'Materials Master'!$A$2:$A$27,0)),IF($B385="Organics Recycling",INDEX('Materials Master'!$H$2:$H$27,MATCH($C385,'Materials Master'!$A$2:$A$27,0)),IF($B385="Cardboard Recycling",INDEX('Materials Master'!$I$2:$I$27,MATCH($C385,'Materials Master'!$A$2:$A$27,0)),IF($B385="Paper Recycling",INDEX('Materials Master'!$J$2:$J$27,MATCH($C385,'Materials Master'!$A$2:$A$27,0)),IF($B385="Terracycle",INDEX('Materials Master'!$K$2:$K$27,MATCH($C385,'Materials Master'!$A$2:$A$27,0)),"No"))))))="Yes",INDEX('Materials Master'!$E$2:$E$27,MATCH($C385,'Materials Master'!$A$2:$A$27,0))="Yes",$B385&lt;&gt;"Trash"),1,0)</f>
        <v>0</v>
      </c>
      <c r="H385" s="0" t="str">
        <f aca="false">INDEX('Materials Master'!$E$2:$E$27,MATCH($C385,'Materials Master'!$A$2:$A$27,0))</f>
        <v>No</v>
      </c>
      <c r="I385" s="0" t="str">
        <f aca="false">IFERROR(INDEX(Areas!$C$2:$C$6,MATCH($A385,Areas!$B$2:$B$6,0)),"")</f>
        <v>Rest of Building</v>
      </c>
      <c r="J385" s="0" t="n">
        <f aca="false">IF(IF($B385="Trash",INDEX('Materials Master'!$F$2:$F$27,MATCH($C385,'Materials Master'!$A$2:$A$27,0)),IF($B385="GMPC Recycling",INDEX('Materials Master'!$G$2:$G$27,MATCH($C385,'Materials Master'!$A$2:$A$27,0)),IF($B385="Organics Recycling",INDEX('Materials Master'!$H$2:$H$27,MATCH($C385,'Materials Master'!$A$2:$A$27,0)),IF($B385="Cardboard Recycling",INDEX('Materials Master'!$I$2:$I$27,MATCH($C385,'Materials Master'!$A$2:$A$27,0)),IF($B385="Paper Recycling",INDEX('Materials Master'!$J$2:$J$27,MATCH($C385,'Materials Master'!$A$2:$A$27,0)),IF($B385="Terracycle",INDEX('Materials Master'!$K$2:$K$27,MATCH($C385,'Materials Master'!$A$2:$A$27,0)),"No"))))))="Yes",1,0)</f>
        <v>0</v>
      </c>
    </row>
    <row r="386" customFormat="false" ht="15" hidden="false" customHeight="false" outlineLevel="0" collapsed="false">
      <c r="A386" s="0" t="s">
        <v>98</v>
      </c>
      <c r="B386" s="0" t="s">
        <v>105</v>
      </c>
      <c r="C386" s="0" t="s">
        <v>75</v>
      </c>
      <c r="D386" s="0" t="str">
        <f aca="false">IFERROR(INDEX('Materials Master'!$B$2:$B$27,MATCH($C386,'Materials Master'!$A$2:$A$27,0)),"")</f>
        <v>E/U Waste</v>
      </c>
      <c r="E386" s="0" t="str">
        <f aca="false">IFERROR(INDEX('Materials Master'!$C$2:$C$27,MATCH($C386,'Materials Master'!$A$2:$A$27,0)),"")</f>
        <v>Unacceptable</v>
      </c>
      <c r="F386" s="0" t="n">
        <f aca="false">IF(SUMIFS(Fact_SortedWeights!$E$2:$E$89,Fact_SortedWeights!$C$2:$C$89,$A386,Fact_SortedWeights!$B$2:$B$89,$B386)=0,0,SUMIFS(Fact_SortedWeights!$E$2:$E$89,Fact_SortedWeights!$C$2:$C$89,$A386,Fact_SortedWeights!$B$2:$B$89,$B386,Fact_SortedWeights!$D$2:$D$89,$C386)/SUMIFS(Fact_SortedWeights!$E$2:$E$89,Fact_SortedWeights!$C$2:$C$89,$A386,Fact_SortedWeights!$B$2:$B$89,$B386)*(IF($B386="Cardboard Recycling",SUMIFS(Fact_SortedWeights!$E$2:$E$89,Fact_SortedWeights!$C$2:$C$89,$A386,Fact_SortedWeights!$B$2:$B$89,$B386),SUMIFS(Fact_PreSortWeights!$E$2:$E$186,Fact_PreSortWeights!$C$2:$C$186,$A386,Fact_PreSortWeights!$B$2:$B$186,$B386))))</f>
        <v>0</v>
      </c>
      <c r="G386" s="0" t="n">
        <f aca="false">IF(AND(IF($B386="Trash",INDEX('Materials Master'!$F$2:$F$27,MATCH($C386,'Materials Master'!$A$2:$A$27,0)),IF($B386="GMPC Recycling",INDEX('Materials Master'!$G$2:$G$27,MATCH($C386,'Materials Master'!$A$2:$A$27,0)),IF($B386="Organics Recycling",INDEX('Materials Master'!$H$2:$H$27,MATCH($C386,'Materials Master'!$A$2:$A$27,0)),IF($B386="Cardboard Recycling",INDEX('Materials Master'!$I$2:$I$27,MATCH($C386,'Materials Master'!$A$2:$A$27,0)),IF($B386="Paper Recycling",INDEX('Materials Master'!$J$2:$J$27,MATCH($C386,'Materials Master'!$A$2:$A$27,0)),IF($B386="Terracycle",INDEX('Materials Master'!$K$2:$K$27,MATCH($C386,'Materials Master'!$A$2:$A$27,0)),"No"))))))="Yes",INDEX('Materials Master'!$E$2:$E$27,MATCH($C386,'Materials Master'!$A$2:$A$27,0))="Yes",$B386&lt;&gt;"Trash"),1,0)</f>
        <v>0</v>
      </c>
      <c r="H386" s="0" t="str">
        <f aca="false">INDEX('Materials Master'!$E$2:$E$27,MATCH($C386,'Materials Master'!$A$2:$A$27,0))</f>
        <v>No</v>
      </c>
      <c r="I386" s="0" t="str">
        <f aca="false">IFERROR(INDEX(Areas!$C$2:$C$6,MATCH($A386,Areas!$B$2:$B$6,0)),"")</f>
        <v>Rest of Building</v>
      </c>
      <c r="J386" s="0" t="n">
        <f aca="false">IF(IF($B386="Trash",INDEX('Materials Master'!$F$2:$F$27,MATCH($C386,'Materials Master'!$A$2:$A$27,0)),IF($B386="GMPC Recycling",INDEX('Materials Master'!$G$2:$G$27,MATCH($C386,'Materials Master'!$A$2:$A$27,0)),IF($B386="Organics Recycling",INDEX('Materials Master'!$H$2:$H$27,MATCH($C386,'Materials Master'!$A$2:$A$27,0)),IF($B386="Cardboard Recycling",INDEX('Materials Master'!$I$2:$I$27,MATCH($C386,'Materials Master'!$A$2:$A$27,0)),IF($B386="Paper Recycling",INDEX('Materials Master'!$J$2:$J$27,MATCH($C386,'Materials Master'!$A$2:$A$27,0)),IF($B386="Terracycle",INDEX('Materials Master'!$K$2:$K$27,MATCH($C386,'Materials Master'!$A$2:$A$27,0)),"No"))))))="Yes",1,0)</f>
        <v>0</v>
      </c>
    </row>
    <row r="387" customFormat="false" ht="15" hidden="false" customHeight="false" outlineLevel="0" collapsed="false">
      <c r="A387" s="0" t="s">
        <v>98</v>
      </c>
      <c r="B387" s="0" t="s">
        <v>105</v>
      </c>
      <c r="C387" s="0" t="s">
        <v>78</v>
      </c>
      <c r="D387" s="0" t="str">
        <f aca="false">IFERROR(INDEX('Materials Master'!$B$2:$B$27,MATCH($C387,'Materials Master'!$A$2:$A$27,0)),"")</f>
        <v>Textiles</v>
      </c>
      <c r="E387" s="0" t="str">
        <f aca="false">IFERROR(INDEX('Materials Master'!$C$2:$C$27,MATCH($C387,'Materials Master'!$A$2:$A$27,0)),"")</f>
        <v>Unacceptable</v>
      </c>
      <c r="F387" s="0" t="n">
        <f aca="false">IF(SUMIFS(Fact_SortedWeights!$E$2:$E$89,Fact_SortedWeights!$C$2:$C$89,$A387,Fact_SortedWeights!$B$2:$B$89,$B387)=0,0,SUMIFS(Fact_SortedWeights!$E$2:$E$89,Fact_SortedWeights!$C$2:$C$89,$A387,Fact_SortedWeights!$B$2:$B$89,$B387,Fact_SortedWeights!$D$2:$D$89,$C387)/SUMIFS(Fact_SortedWeights!$E$2:$E$89,Fact_SortedWeights!$C$2:$C$89,$A387,Fact_SortedWeights!$B$2:$B$89,$B387)*(IF($B387="Cardboard Recycling",SUMIFS(Fact_SortedWeights!$E$2:$E$89,Fact_SortedWeights!$C$2:$C$89,$A387,Fact_SortedWeights!$B$2:$B$89,$B387),SUMIFS(Fact_PreSortWeights!$E$2:$E$186,Fact_PreSortWeights!$C$2:$C$186,$A387,Fact_PreSortWeights!$B$2:$B$186,$B387))))</f>
        <v>0</v>
      </c>
      <c r="G387" s="0" t="n">
        <f aca="false">IF(AND(IF($B387="Trash",INDEX('Materials Master'!$F$2:$F$27,MATCH($C387,'Materials Master'!$A$2:$A$27,0)),IF($B387="GMPC Recycling",INDEX('Materials Master'!$G$2:$G$27,MATCH($C387,'Materials Master'!$A$2:$A$27,0)),IF($B387="Organics Recycling",INDEX('Materials Master'!$H$2:$H$27,MATCH($C387,'Materials Master'!$A$2:$A$27,0)),IF($B387="Cardboard Recycling",INDEX('Materials Master'!$I$2:$I$27,MATCH($C387,'Materials Master'!$A$2:$A$27,0)),IF($B387="Paper Recycling",INDEX('Materials Master'!$J$2:$J$27,MATCH($C387,'Materials Master'!$A$2:$A$27,0)),IF($B387="Terracycle",INDEX('Materials Master'!$K$2:$K$27,MATCH($C387,'Materials Master'!$A$2:$A$27,0)),"No"))))))="Yes",INDEX('Materials Master'!$E$2:$E$27,MATCH($C387,'Materials Master'!$A$2:$A$27,0))="Yes",$B387&lt;&gt;"Trash"),1,0)</f>
        <v>0</v>
      </c>
      <c r="H387" s="0" t="str">
        <f aca="false">INDEX('Materials Master'!$E$2:$E$27,MATCH($C387,'Materials Master'!$A$2:$A$27,0))</f>
        <v>No</v>
      </c>
      <c r="I387" s="0" t="str">
        <f aca="false">IFERROR(INDEX(Areas!$C$2:$C$6,MATCH($A387,Areas!$B$2:$B$6,0)),"")</f>
        <v>Rest of Building</v>
      </c>
      <c r="J387" s="0" t="n">
        <f aca="false">IF(IF($B387="Trash",INDEX('Materials Master'!$F$2:$F$27,MATCH($C387,'Materials Master'!$A$2:$A$27,0)),IF($B387="GMPC Recycling",INDEX('Materials Master'!$G$2:$G$27,MATCH($C387,'Materials Master'!$A$2:$A$27,0)),IF($B387="Organics Recycling",INDEX('Materials Master'!$H$2:$H$27,MATCH($C387,'Materials Master'!$A$2:$A$27,0)),IF($B387="Cardboard Recycling",INDEX('Materials Master'!$I$2:$I$27,MATCH($C387,'Materials Master'!$A$2:$A$27,0)),IF($B387="Paper Recycling",INDEX('Materials Master'!$J$2:$J$27,MATCH($C387,'Materials Master'!$A$2:$A$27,0)),IF($B387="Terracycle",INDEX('Materials Master'!$K$2:$K$27,MATCH($C387,'Materials Master'!$A$2:$A$27,0)),"No"))))))="Yes",1,0)</f>
        <v>0</v>
      </c>
    </row>
    <row r="388" customFormat="false" ht="15" hidden="false" customHeight="false" outlineLevel="0" collapsed="false">
      <c r="A388" s="0" t="s">
        <v>98</v>
      </c>
      <c r="B388" s="0" t="s">
        <v>105</v>
      </c>
      <c r="C388" s="0" t="s">
        <v>80</v>
      </c>
      <c r="D388" s="0" t="str">
        <f aca="false">IFERROR(INDEX('Materials Master'!$B$2:$B$27,MATCH($C388,'Materials Master'!$A$2:$A$27,0)),"")</f>
        <v>Other Unacceptable (specify)</v>
      </c>
      <c r="E388" s="0" t="str">
        <f aca="false">IFERROR(INDEX('Materials Master'!$C$2:$C$27,MATCH($C388,'Materials Master'!$A$2:$A$27,0)),"")</f>
        <v>Unacceptable</v>
      </c>
      <c r="F388" s="0" t="n">
        <f aca="false">IF(SUMIFS(Fact_SortedWeights!$E$2:$E$89,Fact_SortedWeights!$C$2:$C$89,$A388,Fact_SortedWeights!$B$2:$B$89,$B388)=0,0,SUMIFS(Fact_SortedWeights!$E$2:$E$89,Fact_SortedWeights!$C$2:$C$89,$A388,Fact_SortedWeights!$B$2:$B$89,$B388,Fact_SortedWeights!$D$2:$D$89,$C388)/SUMIFS(Fact_SortedWeights!$E$2:$E$89,Fact_SortedWeights!$C$2:$C$89,$A388,Fact_SortedWeights!$B$2:$B$89,$B388)*(IF($B388="Cardboard Recycling",SUMIFS(Fact_SortedWeights!$E$2:$E$89,Fact_SortedWeights!$C$2:$C$89,$A388,Fact_SortedWeights!$B$2:$B$89,$B388),SUMIFS(Fact_PreSortWeights!$E$2:$E$186,Fact_PreSortWeights!$C$2:$C$186,$A388,Fact_PreSortWeights!$B$2:$B$186,$B388))))</f>
        <v>0</v>
      </c>
      <c r="G388" s="0" t="n">
        <f aca="false">IF(AND(IF($B388="Trash",INDEX('Materials Master'!$F$2:$F$27,MATCH($C388,'Materials Master'!$A$2:$A$27,0)),IF($B388="GMPC Recycling",INDEX('Materials Master'!$G$2:$G$27,MATCH($C388,'Materials Master'!$A$2:$A$27,0)),IF($B388="Organics Recycling",INDEX('Materials Master'!$H$2:$H$27,MATCH($C388,'Materials Master'!$A$2:$A$27,0)),IF($B388="Cardboard Recycling",INDEX('Materials Master'!$I$2:$I$27,MATCH($C388,'Materials Master'!$A$2:$A$27,0)),IF($B388="Paper Recycling",INDEX('Materials Master'!$J$2:$J$27,MATCH($C388,'Materials Master'!$A$2:$A$27,0)),IF($B388="Terracycle",INDEX('Materials Master'!$K$2:$K$27,MATCH($C388,'Materials Master'!$A$2:$A$27,0)),"No"))))))="Yes",INDEX('Materials Master'!$E$2:$E$27,MATCH($C388,'Materials Master'!$A$2:$A$27,0))="Yes",$B388&lt;&gt;"Trash"),1,0)</f>
        <v>0</v>
      </c>
      <c r="H388" s="0" t="str">
        <f aca="false">INDEX('Materials Master'!$E$2:$E$27,MATCH($C388,'Materials Master'!$A$2:$A$27,0))</f>
        <v>No</v>
      </c>
      <c r="I388" s="0" t="str">
        <f aca="false">IFERROR(INDEX(Areas!$C$2:$C$6,MATCH($A388,Areas!$B$2:$B$6,0)),"")</f>
        <v>Rest of Building</v>
      </c>
      <c r="J388" s="0" t="n">
        <f aca="false">IF(IF($B388="Trash",INDEX('Materials Master'!$F$2:$F$27,MATCH($C388,'Materials Master'!$A$2:$A$27,0)),IF($B388="GMPC Recycling",INDEX('Materials Master'!$G$2:$G$27,MATCH($C388,'Materials Master'!$A$2:$A$27,0)),IF($B388="Organics Recycling",INDEX('Materials Master'!$H$2:$H$27,MATCH($C388,'Materials Master'!$A$2:$A$27,0)),IF($B388="Cardboard Recycling",INDEX('Materials Master'!$I$2:$I$27,MATCH($C388,'Materials Master'!$A$2:$A$27,0)),IF($B388="Paper Recycling",INDEX('Materials Master'!$J$2:$J$27,MATCH($C388,'Materials Master'!$A$2:$A$27,0)),IF($B388="Terracycle",INDEX('Materials Master'!$K$2:$K$27,MATCH($C388,'Materials Master'!$A$2:$A$27,0)),"No"))))))="Yes",1,0)</f>
        <v>0</v>
      </c>
    </row>
    <row r="389" customFormat="false" ht="15" hidden="false" customHeight="false" outlineLevel="0" collapsed="false">
      <c r="A389" s="0" t="s">
        <v>98</v>
      </c>
      <c r="B389" s="0" t="s">
        <v>105</v>
      </c>
      <c r="C389" s="0" t="s">
        <v>82</v>
      </c>
      <c r="D389" s="0" t="str">
        <f aca="false">IFERROR(INDEX('Materials Master'!$B$2:$B$27,MATCH($C389,'Materials Master'!$A$2:$A$27,0)),"")</f>
        <v>Liquids</v>
      </c>
      <c r="E389" s="0" t="str">
        <f aca="false">IFERROR(INDEX('Materials Master'!$C$2:$C$27,MATCH($C389,'Materials Master'!$A$2:$A$27,0)),"")</f>
        <v>Unacceptable</v>
      </c>
      <c r="F389" s="0" t="n">
        <f aca="false">IF(SUMIFS(Fact_SortedWeights!$E$2:$E$89,Fact_SortedWeights!$C$2:$C$89,$A389,Fact_SortedWeights!$B$2:$B$89,$B389)=0,0,SUMIFS(Fact_SortedWeights!$E$2:$E$89,Fact_SortedWeights!$C$2:$C$89,$A389,Fact_SortedWeights!$B$2:$B$89,$B389,Fact_SortedWeights!$D$2:$D$89,$C389)/SUMIFS(Fact_SortedWeights!$E$2:$E$89,Fact_SortedWeights!$C$2:$C$89,$A389,Fact_SortedWeights!$B$2:$B$89,$B389)*(IF($B389="Cardboard Recycling",SUMIFS(Fact_SortedWeights!$E$2:$E$89,Fact_SortedWeights!$C$2:$C$89,$A389,Fact_SortedWeights!$B$2:$B$89,$B389),SUMIFS(Fact_PreSortWeights!$E$2:$E$186,Fact_PreSortWeights!$C$2:$C$186,$A389,Fact_PreSortWeights!$B$2:$B$186,$B389))))</f>
        <v>0</v>
      </c>
      <c r="G389" s="0" t="n">
        <f aca="false">IF(AND(IF($B389="Trash",INDEX('Materials Master'!$F$2:$F$27,MATCH($C389,'Materials Master'!$A$2:$A$27,0)),IF($B389="GMPC Recycling",INDEX('Materials Master'!$G$2:$G$27,MATCH($C389,'Materials Master'!$A$2:$A$27,0)),IF($B389="Organics Recycling",INDEX('Materials Master'!$H$2:$H$27,MATCH($C389,'Materials Master'!$A$2:$A$27,0)),IF($B389="Cardboard Recycling",INDEX('Materials Master'!$I$2:$I$27,MATCH($C389,'Materials Master'!$A$2:$A$27,0)),IF($B389="Paper Recycling",INDEX('Materials Master'!$J$2:$J$27,MATCH($C389,'Materials Master'!$A$2:$A$27,0)),IF($B389="Terracycle",INDEX('Materials Master'!$K$2:$K$27,MATCH($C389,'Materials Master'!$A$2:$A$27,0)),"No"))))))="Yes",INDEX('Materials Master'!$E$2:$E$27,MATCH($C389,'Materials Master'!$A$2:$A$27,0))="Yes",$B389&lt;&gt;"Trash"),1,0)</f>
        <v>0</v>
      </c>
      <c r="H389" s="0" t="str">
        <f aca="false">INDEX('Materials Master'!$E$2:$E$27,MATCH($C389,'Materials Master'!$A$2:$A$27,0))</f>
        <v>No</v>
      </c>
      <c r="I389" s="0" t="str">
        <f aca="false">IFERROR(INDEX(Areas!$C$2:$C$6,MATCH($A389,Areas!$B$2:$B$6,0)),"")</f>
        <v>Rest of Building</v>
      </c>
      <c r="J389" s="0" t="n">
        <f aca="false">IF(IF($B389="Trash",INDEX('Materials Master'!$F$2:$F$27,MATCH($C389,'Materials Master'!$A$2:$A$27,0)),IF($B389="GMPC Recycling",INDEX('Materials Master'!$G$2:$G$27,MATCH($C389,'Materials Master'!$A$2:$A$27,0)),IF($B389="Organics Recycling",INDEX('Materials Master'!$H$2:$H$27,MATCH($C389,'Materials Master'!$A$2:$A$27,0)),IF($B389="Cardboard Recycling",INDEX('Materials Master'!$I$2:$I$27,MATCH($C389,'Materials Master'!$A$2:$A$27,0)),IF($B389="Paper Recycling",INDEX('Materials Master'!$J$2:$J$27,MATCH($C389,'Materials Master'!$A$2:$A$27,0)),IF($B389="Terracycle",INDEX('Materials Master'!$K$2:$K$27,MATCH($C389,'Materials Master'!$A$2:$A$27,0)),"No"))))))="Yes",1,0)</f>
        <v>0</v>
      </c>
    </row>
    <row r="390" customFormat="false" ht="15" hidden="false" customHeight="false" outlineLevel="0" collapsed="false">
      <c r="A390" s="0" t="s">
        <v>98</v>
      </c>
      <c r="B390" s="0" t="s">
        <v>105</v>
      </c>
      <c r="C390" s="0" t="s">
        <v>84</v>
      </c>
      <c r="D390" s="0" t="str">
        <f aca="false">IFERROR(INDEX('Materials Master'!$B$2:$B$27,MATCH($C390,'Materials Master'!$A$2:$A$27,0)),"")</f>
        <v>Snack Wrappers (Composites)</v>
      </c>
      <c r="E390" s="0" t="str">
        <f aca="false">IFERROR(INDEX('Materials Master'!$C$2:$C$27,MATCH($C390,'Materials Master'!$A$2:$A$27,0)),"")</f>
        <v>Other</v>
      </c>
      <c r="F390" s="0" t="n">
        <f aca="false">IF(SUMIFS(Fact_SortedWeights!$E$2:$E$89,Fact_SortedWeights!$C$2:$C$89,$A390,Fact_SortedWeights!$B$2:$B$89,$B390)=0,0,SUMIFS(Fact_SortedWeights!$E$2:$E$89,Fact_SortedWeights!$C$2:$C$89,$A390,Fact_SortedWeights!$B$2:$B$89,$B390,Fact_SortedWeights!$D$2:$D$89,$C390)/SUMIFS(Fact_SortedWeights!$E$2:$E$89,Fact_SortedWeights!$C$2:$C$89,$A390,Fact_SortedWeights!$B$2:$B$89,$B390)*(IF($B390="Cardboard Recycling",SUMIFS(Fact_SortedWeights!$E$2:$E$89,Fact_SortedWeights!$C$2:$C$89,$A390,Fact_SortedWeights!$B$2:$B$89,$B390),SUMIFS(Fact_PreSortWeights!$E$2:$E$186,Fact_PreSortWeights!$C$2:$C$186,$A390,Fact_PreSortWeights!$B$2:$B$186,$B390))))</f>
        <v>0</v>
      </c>
      <c r="G390" s="0" t="n">
        <f aca="false">IF(AND(IF($B390="Trash",INDEX('Materials Master'!$F$2:$F$27,MATCH($C390,'Materials Master'!$A$2:$A$27,0)),IF($B390="GMPC Recycling",INDEX('Materials Master'!$G$2:$G$27,MATCH($C390,'Materials Master'!$A$2:$A$27,0)),IF($B390="Organics Recycling",INDEX('Materials Master'!$H$2:$H$27,MATCH($C390,'Materials Master'!$A$2:$A$27,0)),IF($B390="Cardboard Recycling",INDEX('Materials Master'!$I$2:$I$27,MATCH($C390,'Materials Master'!$A$2:$A$27,0)),IF($B390="Paper Recycling",INDEX('Materials Master'!$J$2:$J$27,MATCH($C390,'Materials Master'!$A$2:$A$27,0)),IF($B390="Terracycle",INDEX('Materials Master'!$K$2:$K$27,MATCH($C390,'Materials Master'!$A$2:$A$27,0)),"No"))))))="Yes",INDEX('Materials Master'!$E$2:$E$27,MATCH($C390,'Materials Master'!$A$2:$A$27,0))="Yes",$B390&lt;&gt;"Trash"),1,0)</f>
        <v>0</v>
      </c>
      <c r="H390" s="0" t="str">
        <f aca="false">INDEX('Materials Master'!$E$2:$E$27,MATCH($C390,'Materials Master'!$A$2:$A$27,0))</f>
        <v>Yes</v>
      </c>
      <c r="I390" s="0" t="str">
        <f aca="false">IFERROR(INDEX(Areas!$C$2:$C$6,MATCH($A390,Areas!$B$2:$B$6,0)),"")</f>
        <v>Rest of Building</v>
      </c>
      <c r="J390" s="0" t="n">
        <f aca="false">IF(IF($B390="Trash",INDEX('Materials Master'!$F$2:$F$27,MATCH($C390,'Materials Master'!$A$2:$A$27,0)),IF($B390="GMPC Recycling",INDEX('Materials Master'!$G$2:$G$27,MATCH($C390,'Materials Master'!$A$2:$A$27,0)),IF($B390="Organics Recycling",INDEX('Materials Master'!$H$2:$H$27,MATCH($C390,'Materials Master'!$A$2:$A$27,0)),IF($B390="Cardboard Recycling",INDEX('Materials Master'!$I$2:$I$27,MATCH($C390,'Materials Master'!$A$2:$A$27,0)),IF($B390="Paper Recycling",INDEX('Materials Master'!$J$2:$J$27,MATCH($C390,'Materials Master'!$A$2:$A$27,0)),IF($B390="Terracycle",INDEX('Materials Master'!$K$2:$K$27,MATCH($C390,'Materials Master'!$A$2:$A$27,0)),"No"))))))="Yes",1,0)</f>
        <v>0</v>
      </c>
    </row>
    <row r="391" customFormat="false" ht="15" hidden="false" customHeight="false" outlineLevel="0" collapsed="false">
      <c r="A391" s="0" t="s">
        <v>98</v>
      </c>
      <c r="B391" s="0" t="s">
        <v>105</v>
      </c>
      <c r="C391" s="0" t="s">
        <v>87</v>
      </c>
      <c r="D391" s="0" t="str">
        <f aca="false">IFERROR(INDEX('Materials Master'!$B$2:$B$27,MATCH($C391,'Materials Master'!$A$2:$A$27,0)),"")</f>
        <v>Other/Residual Materials</v>
      </c>
      <c r="E391" s="0" t="str">
        <f aca="false">IFERROR(INDEX('Materials Master'!$C$2:$C$27,MATCH($C391,'Materials Master'!$A$2:$A$27,0)),"")</f>
        <v>Other</v>
      </c>
      <c r="F391" s="0" t="n">
        <f aca="false">IF(SUMIFS(Fact_SortedWeights!$E$2:$E$89,Fact_SortedWeights!$C$2:$C$89,$A391,Fact_SortedWeights!$B$2:$B$89,$B391)=0,0,SUMIFS(Fact_SortedWeights!$E$2:$E$89,Fact_SortedWeights!$C$2:$C$89,$A391,Fact_SortedWeights!$B$2:$B$89,$B391,Fact_SortedWeights!$D$2:$D$89,$C391)/SUMIFS(Fact_SortedWeights!$E$2:$E$89,Fact_SortedWeights!$C$2:$C$89,$A391,Fact_SortedWeights!$B$2:$B$89,$B391)*(IF($B391="Cardboard Recycling",SUMIFS(Fact_SortedWeights!$E$2:$E$89,Fact_SortedWeights!$C$2:$C$89,$A391,Fact_SortedWeights!$B$2:$B$89,$B391),SUMIFS(Fact_PreSortWeights!$E$2:$E$186,Fact_PreSortWeights!$C$2:$C$186,$A391,Fact_PreSortWeights!$B$2:$B$186,$B391))))</f>
        <v>0</v>
      </c>
      <c r="G391" s="0" t="n">
        <f aca="false">IF(AND(IF($B391="Trash",INDEX('Materials Master'!$F$2:$F$27,MATCH($C391,'Materials Master'!$A$2:$A$27,0)),IF($B391="GMPC Recycling",INDEX('Materials Master'!$G$2:$G$27,MATCH($C391,'Materials Master'!$A$2:$A$27,0)),IF($B391="Organics Recycling",INDEX('Materials Master'!$H$2:$H$27,MATCH($C391,'Materials Master'!$A$2:$A$27,0)),IF($B391="Cardboard Recycling",INDEX('Materials Master'!$I$2:$I$27,MATCH($C391,'Materials Master'!$A$2:$A$27,0)),IF($B391="Paper Recycling",INDEX('Materials Master'!$J$2:$J$27,MATCH($C391,'Materials Master'!$A$2:$A$27,0)),IF($B391="Terracycle",INDEX('Materials Master'!$K$2:$K$27,MATCH($C391,'Materials Master'!$A$2:$A$27,0)),"No"))))))="Yes",INDEX('Materials Master'!$E$2:$E$27,MATCH($C391,'Materials Master'!$A$2:$A$27,0))="Yes",$B391&lt;&gt;"Trash"),1,0)</f>
        <v>0</v>
      </c>
      <c r="H391" s="0" t="str">
        <f aca="false">INDEX('Materials Master'!$E$2:$E$27,MATCH($C391,'Materials Master'!$A$2:$A$27,0))</f>
        <v>No</v>
      </c>
      <c r="I391" s="0" t="str">
        <f aca="false">IFERROR(INDEX(Areas!$C$2:$C$6,MATCH($A391,Areas!$B$2:$B$6,0)),"")</f>
        <v>Rest of Building</v>
      </c>
      <c r="J391" s="0" t="n">
        <f aca="false">IF(IF($B391="Trash",INDEX('Materials Master'!$F$2:$F$27,MATCH($C391,'Materials Master'!$A$2:$A$27,0)),IF($B391="GMPC Recycling",INDEX('Materials Master'!$G$2:$G$27,MATCH($C391,'Materials Master'!$A$2:$A$27,0)),IF($B391="Organics Recycling",INDEX('Materials Master'!$H$2:$H$27,MATCH($C391,'Materials Master'!$A$2:$A$27,0)),IF($B391="Cardboard Recycling",INDEX('Materials Master'!$I$2:$I$27,MATCH($C391,'Materials Master'!$A$2:$A$27,0)),IF($B391="Paper Recycling",INDEX('Materials Master'!$J$2:$J$27,MATCH($C391,'Materials Master'!$A$2:$A$27,0)),IF($B391="Terracycle",INDEX('Materials Master'!$K$2:$K$27,MATCH($C391,'Materials Master'!$A$2:$A$27,0)),"No"))))))="Yes",1,0)</f>
        <v>0</v>
      </c>
    </row>
    <row r="392" customFormat="false" ht="15" hidden="false" customHeight="false" outlineLevel="0" collapsed="false">
      <c r="A392" s="0" t="s">
        <v>98</v>
      </c>
      <c r="B392" s="0" t="s">
        <v>106</v>
      </c>
      <c r="C392" s="0" t="s">
        <v>28</v>
      </c>
      <c r="D392" s="0" t="str">
        <f aca="false">IFERROR(INDEX('Materials Master'!$B$2:$B$27,MATCH($C392,'Materials Master'!$A$2:$A$27,0)),"")</f>
        <v>Corrugated Cardboard</v>
      </c>
      <c r="E392" s="0" t="str">
        <f aca="false">IFERROR(INDEX('Materials Master'!$C$2:$C$27,MATCH($C392,'Materials Master'!$A$2:$A$27,0)),"")</f>
        <v>Fibers</v>
      </c>
      <c r="F392" s="0" t="n">
        <f aca="false">IF(SUMIFS(Fact_SortedWeights!$E$2:$E$89,Fact_SortedWeights!$C$2:$C$89,$A392,Fact_SortedWeights!$B$2:$B$89,$B392)=0,0,SUMIFS(Fact_SortedWeights!$E$2:$E$89,Fact_SortedWeights!$C$2:$C$89,$A392,Fact_SortedWeights!$B$2:$B$89,$B392,Fact_SortedWeights!$D$2:$D$89,$C392)/SUMIFS(Fact_SortedWeights!$E$2:$E$89,Fact_SortedWeights!$C$2:$C$89,$A392,Fact_SortedWeights!$B$2:$B$89,$B392)*(IF($B392="Cardboard Recycling",SUMIFS(Fact_SortedWeights!$E$2:$E$89,Fact_SortedWeights!$C$2:$C$89,$A392,Fact_SortedWeights!$B$2:$B$89,$B392),SUMIFS(Fact_PreSortWeights!$E$2:$E$186,Fact_PreSortWeights!$C$2:$C$186,$A392,Fact_PreSortWeights!$B$2:$B$186,$B392))))</f>
        <v>0</v>
      </c>
      <c r="G392" s="0" t="n">
        <f aca="false">IF(AND(IF($B392="Trash",INDEX('Materials Master'!$F$2:$F$27,MATCH($C392,'Materials Master'!$A$2:$A$27,0)),IF($B392="GMPC Recycling",INDEX('Materials Master'!$G$2:$G$27,MATCH($C392,'Materials Master'!$A$2:$A$27,0)),IF($B392="Organics Recycling",INDEX('Materials Master'!$H$2:$H$27,MATCH($C392,'Materials Master'!$A$2:$A$27,0)),IF($B392="Cardboard Recycling",INDEX('Materials Master'!$I$2:$I$27,MATCH($C392,'Materials Master'!$A$2:$A$27,0)),IF($B392="Paper Recycling",INDEX('Materials Master'!$J$2:$J$27,MATCH($C392,'Materials Master'!$A$2:$A$27,0)),IF($B392="Terracycle",INDEX('Materials Master'!$K$2:$K$27,MATCH($C392,'Materials Master'!$A$2:$A$27,0)),"No"))))))="Yes",INDEX('Materials Master'!$E$2:$E$27,MATCH($C392,'Materials Master'!$A$2:$A$27,0))="Yes",$B392&lt;&gt;"Trash"),1,0)</f>
        <v>1</v>
      </c>
      <c r="H392" s="0" t="str">
        <f aca="false">INDEX('Materials Master'!$E$2:$E$27,MATCH($C392,'Materials Master'!$A$2:$A$27,0))</f>
        <v>Yes</v>
      </c>
      <c r="I392" s="0" t="str">
        <f aca="false">IFERROR(INDEX(Areas!$C$2:$C$6,MATCH($A392,Areas!$B$2:$B$6,0)),"")</f>
        <v>Rest of Building</v>
      </c>
      <c r="J392" s="0" t="n">
        <f aca="false">IF(IF($B392="Trash",INDEX('Materials Master'!$F$2:$F$27,MATCH($C392,'Materials Master'!$A$2:$A$27,0)),IF($B392="GMPC Recycling",INDEX('Materials Master'!$G$2:$G$27,MATCH($C392,'Materials Master'!$A$2:$A$27,0)),IF($B392="Organics Recycling",INDEX('Materials Master'!$H$2:$H$27,MATCH($C392,'Materials Master'!$A$2:$A$27,0)),IF($B392="Cardboard Recycling",INDEX('Materials Master'!$I$2:$I$27,MATCH($C392,'Materials Master'!$A$2:$A$27,0)),IF($B392="Paper Recycling",INDEX('Materials Master'!$J$2:$J$27,MATCH($C392,'Materials Master'!$A$2:$A$27,0)),IF($B392="Terracycle",INDEX('Materials Master'!$K$2:$K$27,MATCH($C392,'Materials Master'!$A$2:$A$27,0)),"No"))))))="Yes",1,0)</f>
        <v>1</v>
      </c>
    </row>
    <row r="393" customFormat="false" ht="15" hidden="false" customHeight="false" outlineLevel="0" collapsed="false">
      <c r="A393" s="0" t="s">
        <v>98</v>
      </c>
      <c r="B393" s="0" t="s">
        <v>106</v>
      </c>
      <c r="C393" s="0" t="s">
        <v>33</v>
      </c>
      <c r="D393" s="0" t="str">
        <f aca="false">IFERROR(INDEX('Materials Master'!$B$2:$B$27,MATCH($C393,'Materials Master'!$A$2:$A$27,0)),"")</f>
        <v>Soiled Cardboard</v>
      </c>
      <c r="E393" s="0" t="str">
        <f aca="false">IFERROR(INDEX('Materials Master'!$C$2:$C$27,MATCH($C393,'Materials Master'!$A$2:$A$27,0)),"")</f>
        <v>Fibers</v>
      </c>
      <c r="F393" s="0" t="n">
        <f aca="false">IF(SUMIFS(Fact_SortedWeights!$E$2:$E$89,Fact_SortedWeights!$C$2:$C$89,$A393,Fact_SortedWeights!$B$2:$B$89,$B393)=0,0,SUMIFS(Fact_SortedWeights!$E$2:$E$89,Fact_SortedWeights!$C$2:$C$89,$A393,Fact_SortedWeights!$B$2:$B$89,$B393,Fact_SortedWeights!$D$2:$D$89,$C393)/SUMIFS(Fact_SortedWeights!$E$2:$E$89,Fact_SortedWeights!$C$2:$C$89,$A393,Fact_SortedWeights!$B$2:$B$89,$B393)*(IF($B393="Cardboard Recycling",SUMIFS(Fact_SortedWeights!$E$2:$E$89,Fact_SortedWeights!$C$2:$C$89,$A393,Fact_SortedWeights!$B$2:$B$89,$B393),SUMIFS(Fact_PreSortWeights!$E$2:$E$186,Fact_PreSortWeights!$C$2:$C$186,$A393,Fact_PreSortWeights!$B$2:$B$186,$B393))))</f>
        <v>0</v>
      </c>
      <c r="G393" s="0" t="n">
        <f aca="false">IF(AND(IF($B393="Trash",INDEX('Materials Master'!$F$2:$F$27,MATCH($C393,'Materials Master'!$A$2:$A$27,0)),IF($B393="GMPC Recycling",INDEX('Materials Master'!$G$2:$G$27,MATCH($C393,'Materials Master'!$A$2:$A$27,0)),IF($B393="Organics Recycling",INDEX('Materials Master'!$H$2:$H$27,MATCH($C393,'Materials Master'!$A$2:$A$27,0)),IF($B393="Cardboard Recycling",INDEX('Materials Master'!$I$2:$I$27,MATCH($C393,'Materials Master'!$A$2:$A$27,0)),IF($B393="Paper Recycling",INDEX('Materials Master'!$J$2:$J$27,MATCH($C393,'Materials Master'!$A$2:$A$27,0)),IF($B393="Terracycle",INDEX('Materials Master'!$K$2:$K$27,MATCH($C393,'Materials Master'!$A$2:$A$27,0)),"No"))))))="Yes",INDEX('Materials Master'!$E$2:$E$27,MATCH($C393,'Materials Master'!$A$2:$A$27,0))="Yes",$B393&lt;&gt;"Trash"),1,0)</f>
        <v>0</v>
      </c>
      <c r="H393" s="0" t="str">
        <f aca="false">INDEX('Materials Master'!$E$2:$E$27,MATCH($C393,'Materials Master'!$A$2:$A$27,0))</f>
        <v>No</v>
      </c>
      <c r="I393" s="0" t="str">
        <f aca="false">IFERROR(INDEX(Areas!$C$2:$C$6,MATCH($A393,Areas!$B$2:$B$6,0)),"")</f>
        <v>Rest of Building</v>
      </c>
      <c r="J393" s="0" t="n">
        <f aca="false">IF(IF($B393="Trash",INDEX('Materials Master'!$F$2:$F$27,MATCH($C393,'Materials Master'!$A$2:$A$27,0)),IF($B393="GMPC Recycling",INDEX('Materials Master'!$G$2:$G$27,MATCH($C393,'Materials Master'!$A$2:$A$27,0)),IF($B393="Organics Recycling",INDEX('Materials Master'!$H$2:$H$27,MATCH($C393,'Materials Master'!$A$2:$A$27,0)),IF($B393="Cardboard Recycling",INDEX('Materials Master'!$I$2:$I$27,MATCH($C393,'Materials Master'!$A$2:$A$27,0)),IF($B393="Paper Recycling",INDEX('Materials Master'!$J$2:$J$27,MATCH($C393,'Materials Master'!$A$2:$A$27,0)),IF($B393="Terracycle",INDEX('Materials Master'!$K$2:$K$27,MATCH($C393,'Materials Master'!$A$2:$A$27,0)),"No"))))))="Yes",1,0)</f>
        <v>0</v>
      </c>
    </row>
    <row r="394" customFormat="false" ht="15" hidden="false" customHeight="false" outlineLevel="0" collapsed="false">
      <c r="A394" s="0" t="s">
        <v>98</v>
      </c>
      <c r="B394" s="0" t="s">
        <v>106</v>
      </c>
      <c r="C394" s="0" t="s">
        <v>35</v>
      </c>
      <c r="D394" s="0" t="str">
        <f aca="false">IFERROR(INDEX('Materials Master'!$B$2:$B$27,MATCH($C394,'Materials Master'!$A$2:$A$27,0)),"")</f>
        <v>Waxed Cardboard</v>
      </c>
      <c r="E394" s="0" t="str">
        <f aca="false">IFERROR(INDEX('Materials Master'!$C$2:$C$27,MATCH($C394,'Materials Master'!$A$2:$A$27,0)),"")</f>
        <v>Fibers</v>
      </c>
      <c r="F394" s="0" t="n">
        <f aca="false">IF(SUMIFS(Fact_SortedWeights!$E$2:$E$89,Fact_SortedWeights!$C$2:$C$89,$A394,Fact_SortedWeights!$B$2:$B$89,$B394)=0,0,SUMIFS(Fact_SortedWeights!$E$2:$E$89,Fact_SortedWeights!$C$2:$C$89,$A394,Fact_SortedWeights!$B$2:$B$89,$B394,Fact_SortedWeights!$D$2:$D$89,$C394)/SUMIFS(Fact_SortedWeights!$E$2:$E$89,Fact_SortedWeights!$C$2:$C$89,$A394,Fact_SortedWeights!$B$2:$B$89,$B394)*(IF($B394="Cardboard Recycling",SUMIFS(Fact_SortedWeights!$E$2:$E$89,Fact_SortedWeights!$C$2:$C$89,$A394,Fact_SortedWeights!$B$2:$B$89,$B394),SUMIFS(Fact_PreSortWeights!$E$2:$E$186,Fact_PreSortWeights!$C$2:$C$186,$A394,Fact_PreSortWeights!$B$2:$B$186,$B394))))</f>
        <v>0</v>
      </c>
      <c r="G394" s="0" t="n">
        <f aca="false">IF(AND(IF($B394="Trash",INDEX('Materials Master'!$F$2:$F$27,MATCH($C394,'Materials Master'!$A$2:$A$27,0)),IF($B394="GMPC Recycling",INDEX('Materials Master'!$G$2:$G$27,MATCH($C394,'Materials Master'!$A$2:$A$27,0)),IF($B394="Organics Recycling",INDEX('Materials Master'!$H$2:$H$27,MATCH($C394,'Materials Master'!$A$2:$A$27,0)),IF($B394="Cardboard Recycling",INDEX('Materials Master'!$I$2:$I$27,MATCH($C394,'Materials Master'!$A$2:$A$27,0)),IF($B394="Paper Recycling",INDEX('Materials Master'!$J$2:$J$27,MATCH($C394,'Materials Master'!$A$2:$A$27,0)),IF($B394="Terracycle",INDEX('Materials Master'!$K$2:$K$27,MATCH($C394,'Materials Master'!$A$2:$A$27,0)),"No"))))))="Yes",INDEX('Materials Master'!$E$2:$E$27,MATCH($C394,'Materials Master'!$A$2:$A$27,0))="Yes",$B394&lt;&gt;"Trash"),1,0)</f>
        <v>0</v>
      </c>
      <c r="H394" s="0" t="str">
        <f aca="false">INDEX('Materials Master'!$E$2:$E$27,MATCH($C394,'Materials Master'!$A$2:$A$27,0))</f>
        <v>No</v>
      </c>
      <c r="I394" s="0" t="str">
        <f aca="false">IFERROR(INDEX(Areas!$C$2:$C$6,MATCH($A394,Areas!$B$2:$B$6,0)),"")</f>
        <v>Rest of Building</v>
      </c>
      <c r="J394" s="0" t="n">
        <f aca="false">IF(IF($B394="Trash",INDEX('Materials Master'!$F$2:$F$27,MATCH($C394,'Materials Master'!$A$2:$A$27,0)),IF($B394="GMPC Recycling",INDEX('Materials Master'!$G$2:$G$27,MATCH($C394,'Materials Master'!$A$2:$A$27,0)),IF($B394="Organics Recycling",INDEX('Materials Master'!$H$2:$H$27,MATCH($C394,'Materials Master'!$A$2:$A$27,0)),IF($B394="Cardboard Recycling",INDEX('Materials Master'!$I$2:$I$27,MATCH($C394,'Materials Master'!$A$2:$A$27,0)),IF($B394="Paper Recycling",INDEX('Materials Master'!$J$2:$J$27,MATCH($C394,'Materials Master'!$A$2:$A$27,0)),IF($B394="Terracycle",INDEX('Materials Master'!$K$2:$K$27,MATCH($C394,'Materials Master'!$A$2:$A$27,0)),"No"))))))="Yes",1,0)</f>
        <v>0</v>
      </c>
    </row>
    <row r="395" customFormat="false" ht="15" hidden="false" customHeight="false" outlineLevel="0" collapsed="false">
      <c r="A395" s="0" t="s">
        <v>98</v>
      </c>
      <c r="B395" s="0" t="s">
        <v>106</v>
      </c>
      <c r="C395" s="0" t="s">
        <v>37</v>
      </c>
      <c r="D395" s="0" t="str">
        <f aca="false">IFERROR(INDEX('Materials Master'!$B$2:$B$27,MATCH($C395,'Materials Master'!$A$2:$A$27,0)),"")</f>
        <v>Mixed Paper</v>
      </c>
      <c r="E395" s="0" t="str">
        <f aca="false">IFERROR(INDEX('Materials Master'!$C$2:$C$27,MATCH($C395,'Materials Master'!$A$2:$A$27,0)),"")</f>
        <v>Fibers</v>
      </c>
      <c r="F395" s="0" t="n">
        <f aca="false">IF(SUMIFS(Fact_SortedWeights!$E$2:$E$89,Fact_SortedWeights!$C$2:$C$89,$A395,Fact_SortedWeights!$B$2:$B$89,$B395)=0,0,SUMIFS(Fact_SortedWeights!$E$2:$E$89,Fact_SortedWeights!$C$2:$C$89,$A395,Fact_SortedWeights!$B$2:$B$89,$B395,Fact_SortedWeights!$D$2:$D$89,$C395)/SUMIFS(Fact_SortedWeights!$E$2:$E$89,Fact_SortedWeights!$C$2:$C$89,$A395,Fact_SortedWeights!$B$2:$B$89,$B395)*(IF($B395="Cardboard Recycling",SUMIFS(Fact_SortedWeights!$E$2:$E$89,Fact_SortedWeights!$C$2:$C$89,$A395,Fact_SortedWeights!$B$2:$B$89,$B395),SUMIFS(Fact_PreSortWeights!$E$2:$E$186,Fact_PreSortWeights!$C$2:$C$186,$A395,Fact_PreSortWeights!$B$2:$B$186,$B395))))</f>
        <v>0</v>
      </c>
      <c r="G395" s="0" t="n">
        <f aca="false">IF(AND(IF($B395="Trash",INDEX('Materials Master'!$F$2:$F$27,MATCH($C395,'Materials Master'!$A$2:$A$27,0)),IF($B395="GMPC Recycling",INDEX('Materials Master'!$G$2:$G$27,MATCH($C395,'Materials Master'!$A$2:$A$27,0)),IF($B395="Organics Recycling",INDEX('Materials Master'!$H$2:$H$27,MATCH($C395,'Materials Master'!$A$2:$A$27,0)),IF($B395="Cardboard Recycling",INDEX('Materials Master'!$I$2:$I$27,MATCH($C395,'Materials Master'!$A$2:$A$27,0)),IF($B395="Paper Recycling",INDEX('Materials Master'!$J$2:$J$27,MATCH($C395,'Materials Master'!$A$2:$A$27,0)),IF($B395="Terracycle",INDEX('Materials Master'!$K$2:$K$27,MATCH($C395,'Materials Master'!$A$2:$A$27,0)),"No"))))))="Yes",INDEX('Materials Master'!$E$2:$E$27,MATCH($C395,'Materials Master'!$A$2:$A$27,0))="Yes",$B395&lt;&gt;"Trash"),1,0)</f>
        <v>1</v>
      </c>
      <c r="H395" s="0" t="str">
        <f aca="false">INDEX('Materials Master'!$E$2:$E$27,MATCH($C395,'Materials Master'!$A$2:$A$27,0))</f>
        <v>Yes</v>
      </c>
      <c r="I395" s="0" t="str">
        <f aca="false">IFERROR(INDEX(Areas!$C$2:$C$6,MATCH($A395,Areas!$B$2:$B$6,0)),"")</f>
        <v>Rest of Building</v>
      </c>
      <c r="J395" s="0" t="n">
        <f aca="false">IF(IF($B395="Trash",INDEX('Materials Master'!$F$2:$F$27,MATCH($C395,'Materials Master'!$A$2:$A$27,0)),IF($B395="GMPC Recycling",INDEX('Materials Master'!$G$2:$G$27,MATCH($C395,'Materials Master'!$A$2:$A$27,0)),IF($B395="Organics Recycling",INDEX('Materials Master'!$H$2:$H$27,MATCH($C395,'Materials Master'!$A$2:$A$27,0)),IF($B395="Cardboard Recycling",INDEX('Materials Master'!$I$2:$I$27,MATCH($C395,'Materials Master'!$A$2:$A$27,0)),IF($B395="Paper Recycling",INDEX('Materials Master'!$J$2:$J$27,MATCH($C395,'Materials Master'!$A$2:$A$27,0)),IF($B395="Terracycle",INDEX('Materials Master'!$K$2:$K$27,MATCH($C395,'Materials Master'!$A$2:$A$27,0)),"No"))))))="Yes",1,0)</f>
        <v>1</v>
      </c>
    </row>
    <row r="396" customFormat="false" ht="15" hidden="false" customHeight="false" outlineLevel="0" collapsed="false">
      <c r="A396" s="0" t="s">
        <v>98</v>
      </c>
      <c r="B396" s="0" t="s">
        <v>106</v>
      </c>
      <c r="C396" s="0" t="s">
        <v>39</v>
      </c>
      <c r="D396" s="0" t="str">
        <f aca="false">IFERROR(INDEX('Materials Master'!$B$2:$B$27,MATCH($C396,'Materials Master'!$A$2:$A$27,0)),"")</f>
        <v>Soiled Paper</v>
      </c>
      <c r="E396" s="0" t="str">
        <f aca="false">IFERROR(INDEX('Materials Master'!$C$2:$C$27,MATCH($C396,'Materials Master'!$A$2:$A$27,0)),"")</f>
        <v>Fibers</v>
      </c>
      <c r="F396" s="0" t="n">
        <f aca="false">IF(SUMIFS(Fact_SortedWeights!$E$2:$E$89,Fact_SortedWeights!$C$2:$C$89,$A396,Fact_SortedWeights!$B$2:$B$89,$B396)=0,0,SUMIFS(Fact_SortedWeights!$E$2:$E$89,Fact_SortedWeights!$C$2:$C$89,$A396,Fact_SortedWeights!$B$2:$B$89,$B396,Fact_SortedWeights!$D$2:$D$89,$C396)/SUMIFS(Fact_SortedWeights!$E$2:$E$89,Fact_SortedWeights!$C$2:$C$89,$A396,Fact_SortedWeights!$B$2:$B$89,$B396)*(IF($B396="Cardboard Recycling",SUMIFS(Fact_SortedWeights!$E$2:$E$89,Fact_SortedWeights!$C$2:$C$89,$A396,Fact_SortedWeights!$B$2:$B$89,$B396),SUMIFS(Fact_PreSortWeights!$E$2:$E$186,Fact_PreSortWeights!$C$2:$C$186,$A396,Fact_PreSortWeights!$B$2:$B$186,$B396))))</f>
        <v>0</v>
      </c>
      <c r="G396" s="0" t="n">
        <f aca="false">IF(AND(IF($B396="Trash",INDEX('Materials Master'!$F$2:$F$27,MATCH($C396,'Materials Master'!$A$2:$A$27,0)),IF($B396="GMPC Recycling",INDEX('Materials Master'!$G$2:$G$27,MATCH($C396,'Materials Master'!$A$2:$A$27,0)),IF($B396="Organics Recycling",INDEX('Materials Master'!$H$2:$H$27,MATCH($C396,'Materials Master'!$A$2:$A$27,0)),IF($B396="Cardboard Recycling",INDEX('Materials Master'!$I$2:$I$27,MATCH($C396,'Materials Master'!$A$2:$A$27,0)),IF($B396="Paper Recycling",INDEX('Materials Master'!$J$2:$J$27,MATCH($C396,'Materials Master'!$A$2:$A$27,0)),IF($B396="Terracycle",INDEX('Materials Master'!$K$2:$K$27,MATCH($C396,'Materials Master'!$A$2:$A$27,0)),"No"))))))="Yes",INDEX('Materials Master'!$E$2:$E$27,MATCH($C396,'Materials Master'!$A$2:$A$27,0))="Yes",$B396&lt;&gt;"Trash"),1,0)</f>
        <v>0</v>
      </c>
      <c r="H396" s="0" t="str">
        <f aca="false">INDEX('Materials Master'!$E$2:$E$27,MATCH($C396,'Materials Master'!$A$2:$A$27,0))</f>
        <v>No</v>
      </c>
      <c r="I396" s="0" t="str">
        <f aca="false">IFERROR(INDEX(Areas!$C$2:$C$6,MATCH($A396,Areas!$B$2:$B$6,0)),"")</f>
        <v>Rest of Building</v>
      </c>
      <c r="J396" s="0" t="n">
        <f aca="false">IF(IF($B396="Trash",INDEX('Materials Master'!$F$2:$F$27,MATCH($C396,'Materials Master'!$A$2:$A$27,0)),IF($B396="GMPC Recycling",INDEX('Materials Master'!$G$2:$G$27,MATCH($C396,'Materials Master'!$A$2:$A$27,0)),IF($B396="Organics Recycling",INDEX('Materials Master'!$H$2:$H$27,MATCH($C396,'Materials Master'!$A$2:$A$27,0)),IF($B396="Cardboard Recycling",INDEX('Materials Master'!$I$2:$I$27,MATCH($C396,'Materials Master'!$A$2:$A$27,0)),IF($B396="Paper Recycling",INDEX('Materials Master'!$J$2:$J$27,MATCH($C396,'Materials Master'!$A$2:$A$27,0)),IF($B396="Terracycle",INDEX('Materials Master'!$K$2:$K$27,MATCH($C396,'Materials Master'!$A$2:$A$27,0)),"No"))))))="Yes",1,0)</f>
        <v>0</v>
      </c>
    </row>
    <row r="397" customFormat="false" ht="15" hidden="false" customHeight="false" outlineLevel="0" collapsed="false">
      <c r="A397" s="0" t="s">
        <v>98</v>
      </c>
      <c r="B397" s="0" t="s">
        <v>106</v>
      </c>
      <c r="C397" s="0" t="s">
        <v>41</v>
      </c>
      <c r="D397" s="0" t="str">
        <f aca="false">IFERROR(INDEX('Materials Master'!$B$2:$B$27,MATCH($C397,'Materials Master'!$A$2:$A$27,0)),"")</f>
        <v>Beverage Cartons</v>
      </c>
      <c r="E397" s="0" t="str">
        <f aca="false">IFERROR(INDEX('Materials Master'!$C$2:$C$27,MATCH($C397,'Materials Master'!$A$2:$A$27,0)),"")</f>
        <v>Fibers</v>
      </c>
      <c r="F397" s="0" t="n">
        <f aca="false">IF(SUMIFS(Fact_SortedWeights!$E$2:$E$89,Fact_SortedWeights!$C$2:$C$89,$A397,Fact_SortedWeights!$B$2:$B$89,$B397)=0,0,SUMIFS(Fact_SortedWeights!$E$2:$E$89,Fact_SortedWeights!$C$2:$C$89,$A397,Fact_SortedWeights!$B$2:$B$89,$B397,Fact_SortedWeights!$D$2:$D$89,$C397)/SUMIFS(Fact_SortedWeights!$E$2:$E$89,Fact_SortedWeights!$C$2:$C$89,$A397,Fact_SortedWeights!$B$2:$B$89,$B397)*(IF($B397="Cardboard Recycling",SUMIFS(Fact_SortedWeights!$E$2:$E$89,Fact_SortedWeights!$C$2:$C$89,$A397,Fact_SortedWeights!$B$2:$B$89,$B397),SUMIFS(Fact_PreSortWeights!$E$2:$E$186,Fact_PreSortWeights!$C$2:$C$186,$A397,Fact_PreSortWeights!$B$2:$B$186,$B397))))</f>
        <v>0</v>
      </c>
      <c r="G397" s="0" t="n">
        <f aca="false">IF(AND(IF($B397="Trash",INDEX('Materials Master'!$F$2:$F$27,MATCH($C397,'Materials Master'!$A$2:$A$27,0)),IF($B397="GMPC Recycling",INDEX('Materials Master'!$G$2:$G$27,MATCH($C397,'Materials Master'!$A$2:$A$27,0)),IF($B397="Organics Recycling",INDEX('Materials Master'!$H$2:$H$27,MATCH($C397,'Materials Master'!$A$2:$A$27,0)),IF($B397="Cardboard Recycling",INDEX('Materials Master'!$I$2:$I$27,MATCH($C397,'Materials Master'!$A$2:$A$27,0)),IF($B397="Paper Recycling",INDEX('Materials Master'!$J$2:$J$27,MATCH($C397,'Materials Master'!$A$2:$A$27,0)),IF($B397="Terracycle",INDEX('Materials Master'!$K$2:$K$27,MATCH($C397,'Materials Master'!$A$2:$A$27,0)),"No"))))))="Yes",INDEX('Materials Master'!$E$2:$E$27,MATCH($C397,'Materials Master'!$A$2:$A$27,0))="Yes",$B397&lt;&gt;"Trash"),1,0)</f>
        <v>1</v>
      </c>
      <c r="H397" s="0" t="str">
        <f aca="false">INDEX('Materials Master'!$E$2:$E$27,MATCH($C397,'Materials Master'!$A$2:$A$27,0))</f>
        <v>Yes</v>
      </c>
      <c r="I397" s="0" t="str">
        <f aca="false">IFERROR(INDEX(Areas!$C$2:$C$6,MATCH($A397,Areas!$B$2:$B$6,0)),"")</f>
        <v>Rest of Building</v>
      </c>
      <c r="J397" s="0" t="n">
        <f aca="false">IF(IF($B397="Trash",INDEX('Materials Master'!$F$2:$F$27,MATCH($C397,'Materials Master'!$A$2:$A$27,0)),IF($B397="GMPC Recycling",INDEX('Materials Master'!$G$2:$G$27,MATCH($C397,'Materials Master'!$A$2:$A$27,0)),IF($B397="Organics Recycling",INDEX('Materials Master'!$H$2:$H$27,MATCH($C397,'Materials Master'!$A$2:$A$27,0)),IF($B397="Cardboard Recycling",INDEX('Materials Master'!$I$2:$I$27,MATCH($C397,'Materials Master'!$A$2:$A$27,0)),IF($B397="Paper Recycling",INDEX('Materials Master'!$J$2:$J$27,MATCH($C397,'Materials Master'!$A$2:$A$27,0)),IF($B397="Terracycle",INDEX('Materials Master'!$K$2:$K$27,MATCH($C397,'Materials Master'!$A$2:$A$27,0)),"No"))))))="Yes",1,0)</f>
        <v>1</v>
      </c>
    </row>
    <row r="398" customFormat="false" ht="15" hidden="false" customHeight="false" outlineLevel="0" collapsed="false">
      <c r="A398" s="0" t="s">
        <v>98</v>
      </c>
      <c r="B398" s="0" t="s">
        <v>106</v>
      </c>
      <c r="C398" s="0" t="s">
        <v>43</v>
      </c>
      <c r="D398" s="0" t="str">
        <f aca="false">IFERROR(INDEX('Materials Master'!$B$2:$B$27,MATCH($C398,'Materials Master'!$A$2:$A$27,0)),"")</f>
        <v>Soiled Beverage Cartons</v>
      </c>
      <c r="E398" s="0" t="str">
        <f aca="false">IFERROR(INDEX('Materials Master'!$C$2:$C$27,MATCH($C398,'Materials Master'!$A$2:$A$27,0)),"")</f>
        <v>Fibers</v>
      </c>
      <c r="F398" s="0" t="n">
        <f aca="false">IF(SUMIFS(Fact_SortedWeights!$E$2:$E$89,Fact_SortedWeights!$C$2:$C$89,$A398,Fact_SortedWeights!$B$2:$B$89,$B398)=0,0,SUMIFS(Fact_SortedWeights!$E$2:$E$89,Fact_SortedWeights!$C$2:$C$89,$A398,Fact_SortedWeights!$B$2:$B$89,$B398,Fact_SortedWeights!$D$2:$D$89,$C398)/SUMIFS(Fact_SortedWeights!$E$2:$E$89,Fact_SortedWeights!$C$2:$C$89,$A398,Fact_SortedWeights!$B$2:$B$89,$B398)*(IF($B398="Cardboard Recycling",SUMIFS(Fact_SortedWeights!$E$2:$E$89,Fact_SortedWeights!$C$2:$C$89,$A398,Fact_SortedWeights!$B$2:$B$89,$B398),SUMIFS(Fact_PreSortWeights!$E$2:$E$186,Fact_PreSortWeights!$C$2:$C$186,$A398,Fact_PreSortWeights!$B$2:$B$186,$B398))))</f>
        <v>0</v>
      </c>
      <c r="G398" s="0" t="n">
        <f aca="false">IF(AND(IF($B398="Trash",INDEX('Materials Master'!$F$2:$F$27,MATCH($C398,'Materials Master'!$A$2:$A$27,0)),IF($B398="GMPC Recycling",INDEX('Materials Master'!$G$2:$G$27,MATCH($C398,'Materials Master'!$A$2:$A$27,0)),IF($B398="Organics Recycling",INDEX('Materials Master'!$H$2:$H$27,MATCH($C398,'Materials Master'!$A$2:$A$27,0)),IF($B398="Cardboard Recycling",INDEX('Materials Master'!$I$2:$I$27,MATCH($C398,'Materials Master'!$A$2:$A$27,0)),IF($B398="Paper Recycling",INDEX('Materials Master'!$J$2:$J$27,MATCH($C398,'Materials Master'!$A$2:$A$27,0)),IF($B398="Terracycle",INDEX('Materials Master'!$K$2:$K$27,MATCH($C398,'Materials Master'!$A$2:$A$27,0)),"No"))))))="Yes",INDEX('Materials Master'!$E$2:$E$27,MATCH($C398,'Materials Master'!$A$2:$A$27,0))="Yes",$B398&lt;&gt;"Trash"),1,0)</f>
        <v>0</v>
      </c>
      <c r="H398" s="0" t="str">
        <f aca="false">INDEX('Materials Master'!$E$2:$E$27,MATCH($C398,'Materials Master'!$A$2:$A$27,0))</f>
        <v>No</v>
      </c>
      <c r="I398" s="0" t="str">
        <f aca="false">IFERROR(INDEX(Areas!$C$2:$C$6,MATCH($A398,Areas!$B$2:$B$6,0)),"")</f>
        <v>Rest of Building</v>
      </c>
      <c r="J398" s="0" t="n">
        <f aca="false">IF(IF($B398="Trash",INDEX('Materials Master'!$F$2:$F$27,MATCH($C398,'Materials Master'!$A$2:$A$27,0)),IF($B398="GMPC Recycling",INDEX('Materials Master'!$G$2:$G$27,MATCH($C398,'Materials Master'!$A$2:$A$27,0)),IF($B398="Organics Recycling",INDEX('Materials Master'!$H$2:$H$27,MATCH($C398,'Materials Master'!$A$2:$A$27,0)),IF($B398="Cardboard Recycling",INDEX('Materials Master'!$I$2:$I$27,MATCH($C398,'Materials Master'!$A$2:$A$27,0)),IF($B398="Paper Recycling",INDEX('Materials Master'!$J$2:$J$27,MATCH($C398,'Materials Master'!$A$2:$A$27,0)),IF($B398="Terracycle",INDEX('Materials Master'!$K$2:$K$27,MATCH($C398,'Materials Master'!$A$2:$A$27,0)),"No"))))))="Yes",1,0)</f>
        <v>0</v>
      </c>
    </row>
    <row r="399" customFormat="false" ht="15" hidden="false" customHeight="false" outlineLevel="0" collapsed="false">
      <c r="A399" s="0" t="s">
        <v>98</v>
      </c>
      <c r="B399" s="0" t="s">
        <v>106</v>
      </c>
      <c r="C399" s="0" t="s">
        <v>45</v>
      </c>
      <c r="D399" s="0" t="str">
        <f aca="false">IFERROR(INDEX('Materials Master'!$B$2:$B$27,MATCH($C399,'Materials Master'!$A$2:$A$27,0)),"")</f>
        <v>Paper Cups / Other Coated Paper Containers</v>
      </c>
      <c r="E399" s="0" t="str">
        <f aca="false">IFERROR(INDEX('Materials Master'!$C$2:$C$27,MATCH($C399,'Materials Master'!$A$2:$A$27,0)),"")</f>
        <v>Fibers</v>
      </c>
      <c r="F399" s="0" t="n">
        <f aca="false">IF(SUMIFS(Fact_SortedWeights!$E$2:$E$89,Fact_SortedWeights!$C$2:$C$89,$A399,Fact_SortedWeights!$B$2:$B$89,$B399)=0,0,SUMIFS(Fact_SortedWeights!$E$2:$E$89,Fact_SortedWeights!$C$2:$C$89,$A399,Fact_SortedWeights!$B$2:$B$89,$B399,Fact_SortedWeights!$D$2:$D$89,$C399)/SUMIFS(Fact_SortedWeights!$E$2:$E$89,Fact_SortedWeights!$C$2:$C$89,$A399,Fact_SortedWeights!$B$2:$B$89,$B399)*(IF($B399="Cardboard Recycling",SUMIFS(Fact_SortedWeights!$E$2:$E$89,Fact_SortedWeights!$C$2:$C$89,$A399,Fact_SortedWeights!$B$2:$B$89,$B399),SUMIFS(Fact_PreSortWeights!$E$2:$E$186,Fact_PreSortWeights!$C$2:$C$186,$A399,Fact_PreSortWeights!$B$2:$B$186,$B399))))</f>
        <v>0</v>
      </c>
      <c r="G399" s="0" t="n">
        <f aca="false">IF(AND(IF($B399="Trash",INDEX('Materials Master'!$F$2:$F$27,MATCH($C399,'Materials Master'!$A$2:$A$27,0)),IF($B399="GMPC Recycling",INDEX('Materials Master'!$G$2:$G$27,MATCH($C399,'Materials Master'!$A$2:$A$27,0)),IF($B399="Organics Recycling",INDEX('Materials Master'!$H$2:$H$27,MATCH($C399,'Materials Master'!$A$2:$A$27,0)),IF($B399="Cardboard Recycling",INDEX('Materials Master'!$I$2:$I$27,MATCH($C399,'Materials Master'!$A$2:$A$27,0)),IF($B399="Paper Recycling",INDEX('Materials Master'!$J$2:$J$27,MATCH($C399,'Materials Master'!$A$2:$A$27,0)),IF($B399="Terracycle",INDEX('Materials Master'!$K$2:$K$27,MATCH($C399,'Materials Master'!$A$2:$A$27,0)),"No"))))))="Yes",INDEX('Materials Master'!$E$2:$E$27,MATCH($C399,'Materials Master'!$A$2:$A$27,0))="Yes",$B399&lt;&gt;"Trash"),1,0)</f>
        <v>0</v>
      </c>
      <c r="H399" s="0" t="str">
        <f aca="false">INDEX('Materials Master'!$E$2:$E$27,MATCH($C399,'Materials Master'!$A$2:$A$27,0))</f>
        <v>No</v>
      </c>
      <c r="I399" s="0" t="str">
        <f aca="false">IFERROR(INDEX(Areas!$C$2:$C$6,MATCH($A399,Areas!$B$2:$B$6,0)),"")</f>
        <v>Rest of Building</v>
      </c>
      <c r="J399" s="0" t="n">
        <f aca="false">IF(IF($B399="Trash",INDEX('Materials Master'!$F$2:$F$27,MATCH($C399,'Materials Master'!$A$2:$A$27,0)),IF($B399="GMPC Recycling",INDEX('Materials Master'!$G$2:$G$27,MATCH($C399,'Materials Master'!$A$2:$A$27,0)),IF($B399="Organics Recycling",INDEX('Materials Master'!$H$2:$H$27,MATCH($C399,'Materials Master'!$A$2:$A$27,0)),IF($B399="Cardboard Recycling",INDEX('Materials Master'!$I$2:$I$27,MATCH($C399,'Materials Master'!$A$2:$A$27,0)),IF($B399="Paper Recycling",INDEX('Materials Master'!$J$2:$J$27,MATCH($C399,'Materials Master'!$A$2:$A$27,0)),IF($B399="Terracycle",INDEX('Materials Master'!$K$2:$K$27,MATCH($C399,'Materials Master'!$A$2:$A$27,0)),"No"))))))="Yes",1,0)</f>
        <v>0</v>
      </c>
    </row>
    <row r="400" customFormat="false" ht="15" hidden="false" customHeight="false" outlineLevel="0" collapsed="false">
      <c r="A400" s="0" t="s">
        <v>98</v>
      </c>
      <c r="B400" s="0" t="s">
        <v>106</v>
      </c>
      <c r="C400" s="0" t="s">
        <v>47</v>
      </c>
      <c r="D400" s="0" t="str">
        <f aca="false">IFERROR(INDEX('Materials Master'!$B$2:$B$27,MATCH($C400,'Materials Master'!$A$2:$A$27,0)),"")</f>
        <v>Glass Bottles &amp; Jars</v>
      </c>
      <c r="E400" s="0" t="str">
        <f aca="false">IFERROR(INDEX('Materials Master'!$C$2:$C$27,MATCH($C400,'Materials Master'!$A$2:$A$27,0)),"")</f>
        <v>Glass</v>
      </c>
      <c r="F400" s="0" t="n">
        <f aca="false">IF(SUMIFS(Fact_SortedWeights!$E$2:$E$89,Fact_SortedWeights!$C$2:$C$89,$A400,Fact_SortedWeights!$B$2:$B$89,$B400)=0,0,SUMIFS(Fact_SortedWeights!$E$2:$E$89,Fact_SortedWeights!$C$2:$C$89,$A400,Fact_SortedWeights!$B$2:$B$89,$B400,Fact_SortedWeights!$D$2:$D$89,$C400)/SUMIFS(Fact_SortedWeights!$E$2:$E$89,Fact_SortedWeights!$C$2:$C$89,$A400,Fact_SortedWeights!$B$2:$B$89,$B400)*(IF($B400="Cardboard Recycling",SUMIFS(Fact_SortedWeights!$E$2:$E$89,Fact_SortedWeights!$C$2:$C$89,$A400,Fact_SortedWeights!$B$2:$B$89,$B400),SUMIFS(Fact_PreSortWeights!$E$2:$E$186,Fact_PreSortWeights!$C$2:$C$186,$A400,Fact_PreSortWeights!$B$2:$B$186,$B400))))</f>
        <v>0</v>
      </c>
      <c r="G400" s="0" t="n">
        <f aca="false">IF(AND(IF($B400="Trash",INDEX('Materials Master'!$F$2:$F$27,MATCH($C400,'Materials Master'!$A$2:$A$27,0)),IF($B400="GMPC Recycling",INDEX('Materials Master'!$G$2:$G$27,MATCH($C400,'Materials Master'!$A$2:$A$27,0)),IF($B400="Organics Recycling",INDEX('Materials Master'!$H$2:$H$27,MATCH($C400,'Materials Master'!$A$2:$A$27,0)),IF($B400="Cardboard Recycling",INDEX('Materials Master'!$I$2:$I$27,MATCH($C400,'Materials Master'!$A$2:$A$27,0)),IF($B400="Paper Recycling",INDEX('Materials Master'!$J$2:$J$27,MATCH($C400,'Materials Master'!$A$2:$A$27,0)),IF($B400="Terracycle",INDEX('Materials Master'!$K$2:$K$27,MATCH($C400,'Materials Master'!$A$2:$A$27,0)),"No"))))))="Yes",INDEX('Materials Master'!$E$2:$E$27,MATCH($C400,'Materials Master'!$A$2:$A$27,0))="Yes",$B400&lt;&gt;"Trash"),1,0)</f>
        <v>1</v>
      </c>
      <c r="H400" s="0" t="str">
        <f aca="false">INDEX('Materials Master'!$E$2:$E$27,MATCH($C400,'Materials Master'!$A$2:$A$27,0))</f>
        <v>Yes</v>
      </c>
      <c r="I400" s="0" t="str">
        <f aca="false">IFERROR(INDEX(Areas!$C$2:$C$6,MATCH($A400,Areas!$B$2:$B$6,0)),"")</f>
        <v>Rest of Building</v>
      </c>
      <c r="J400" s="0" t="n">
        <f aca="false">IF(IF($B400="Trash",INDEX('Materials Master'!$F$2:$F$27,MATCH($C400,'Materials Master'!$A$2:$A$27,0)),IF($B400="GMPC Recycling",INDEX('Materials Master'!$G$2:$G$27,MATCH($C400,'Materials Master'!$A$2:$A$27,0)),IF($B400="Organics Recycling",INDEX('Materials Master'!$H$2:$H$27,MATCH($C400,'Materials Master'!$A$2:$A$27,0)),IF($B400="Cardboard Recycling",INDEX('Materials Master'!$I$2:$I$27,MATCH($C400,'Materials Master'!$A$2:$A$27,0)),IF($B400="Paper Recycling",INDEX('Materials Master'!$J$2:$J$27,MATCH($C400,'Materials Master'!$A$2:$A$27,0)),IF($B400="Terracycle",INDEX('Materials Master'!$K$2:$K$27,MATCH($C400,'Materials Master'!$A$2:$A$27,0)),"No"))))))="Yes",1,0)</f>
        <v>1</v>
      </c>
    </row>
    <row r="401" customFormat="false" ht="15" hidden="false" customHeight="false" outlineLevel="0" collapsed="false">
      <c r="A401" s="0" t="s">
        <v>98</v>
      </c>
      <c r="B401" s="0" t="s">
        <v>106</v>
      </c>
      <c r="C401" s="0" t="s">
        <v>50</v>
      </c>
      <c r="D401" s="0" t="str">
        <f aca="false">IFERROR(INDEX('Materials Master'!$B$2:$B$27,MATCH($C401,'Materials Master'!$A$2:$A$27,0)),"")</f>
        <v>Soiled Glass</v>
      </c>
      <c r="E401" s="0" t="str">
        <f aca="false">IFERROR(INDEX('Materials Master'!$C$2:$C$27,MATCH($C401,'Materials Master'!$A$2:$A$27,0)),"")</f>
        <v>Glass</v>
      </c>
      <c r="F401" s="0" t="n">
        <f aca="false">IF(SUMIFS(Fact_SortedWeights!$E$2:$E$89,Fact_SortedWeights!$C$2:$C$89,$A401,Fact_SortedWeights!$B$2:$B$89,$B401)=0,0,SUMIFS(Fact_SortedWeights!$E$2:$E$89,Fact_SortedWeights!$C$2:$C$89,$A401,Fact_SortedWeights!$B$2:$B$89,$B401,Fact_SortedWeights!$D$2:$D$89,$C401)/SUMIFS(Fact_SortedWeights!$E$2:$E$89,Fact_SortedWeights!$C$2:$C$89,$A401,Fact_SortedWeights!$B$2:$B$89,$B401)*(IF($B401="Cardboard Recycling",SUMIFS(Fact_SortedWeights!$E$2:$E$89,Fact_SortedWeights!$C$2:$C$89,$A401,Fact_SortedWeights!$B$2:$B$89,$B401),SUMIFS(Fact_PreSortWeights!$E$2:$E$186,Fact_PreSortWeights!$C$2:$C$186,$A401,Fact_PreSortWeights!$B$2:$B$186,$B401))))</f>
        <v>0</v>
      </c>
      <c r="G401" s="0" t="n">
        <f aca="false">IF(AND(IF($B401="Trash",INDEX('Materials Master'!$F$2:$F$27,MATCH($C401,'Materials Master'!$A$2:$A$27,0)),IF($B401="GMPC Recycling",INDEX('Materials Master'!$G$2:$G$27,MATCH($C401,'Materials Master'!$A$2:$A$27,0)),IF($B401="Organics Recycling",INDEX('Materials Master'!$H$2:$H$27,MATCH($C401,'Materials Master'!$A$2:$A$27,0)),IF($B401="Cardboard Recycling",INDEX('Materials Master'!$I$2:$I$27,MATCH($C401,'Materials Master'!$A$2:$A$27,0)),IF($B401="Paper Recycling",INDEX('Materials Master'!$J$2:$J$27,MATCH($C401,'Materials Master'!$A$2:$A$27,0)),IF($B401="Terracycle",INDEX('Materials Master'!$K$2:$K$27,MATCH($C401,'Materials Master'!$A$2:$A$27,0)),"No"))))))="Yes",INDEX('Materials Master'!$E$2:$E$27,MATCH($C401,'Materials Master'!$A$2:$A$27,0))="Yes",$B401&lt;&gt;"Trash"),1,0)</f>
        <v>0</v>
      </c>
      <c r="H401" s="0" t="str">
        <f aca="false">INDEX('Materials Master'!$E$2:$E$27,MATCH($C401,'Materials Master'!$A$2:$A$27,0))</f>
        <v>No</v>
      </c>
      <c r="I401" s="0" t="str">
        <f aca="false">IFERROR(INDEX(Areas!$C$2:$C$6,MATCH($A401,Areas!$B$2:$B$6,0)),"")</f>
        <v>Rest of Building</v>
      </c>
      <c r="J401" s="0" t="n">
        <f aca="false">IF(IF($B401="Trash",INDEX('Materials Master'!$F$2:$F$27,MATCH($C401,'Materials Master'!$A$2:$A$27,0)),IF($B401="GMPC Recycling",INDEX('Materials Master'!$G$2:$G$27,MATCH($C401,'Materials Master'!$A$2:$A$27,0)),IF($B401="Organics Recycling",INDEX('Materials Master'!$H$2:$H$27,MATCH($C401,'Materials Master'!$A$2:$A$27,0)),IF($B401="Cardboard Recycling",INDEX('Materials Master'!$I$2:$I$27,MATCH($C401,'Materials Master'!$A$2:$A$27,0)),IF($B401="Paper Recycling",INDEX('Materials Master'!$J$2:$J$27,MATCH($C401,'Materials Master'!$A$2:$A$27,0)),IF($B401="Terracycle",INDEX('Materials Master'!$K$2:$K$27,MATCH($C401,'Materials Master'!$A$2:$A$27,0)),"No"))))))="Yes",1,0)</f>
        <v>0</v>
      </c>
    </row>
    <row r="402" customFormat="false" ht="15" hidden="false" customHeight="false" outlineLevel="0" collapsed="false">
      <c r="A402" s="0" t="s">
        <v>98</v>
      </c>
      <c r="B402" s="0" t="s">
        <v>106</v>
      </c>
      <c r="C402" s="0" t="s">
        <v>52</v>
      </c>
      <c r="D402" s="0" t="str">
        <f aca="false">IFERROR(INDEX('Materials Master'!$B$2:$B$27,MATCH($C402,'Materials Master'!$A$2:$A$27,0)),"")</f>
        <v>Aluminum &amp; Bi-Metal Containers</v>
      </c>
      <c r="E402" s="0" t="str">
        <f aca="false">IFERROR(INDEX('Materials Master'!$C$2:$C$27,MATCH($C402,'Materials Master'!$A$2:$A$27,0)),"")</f>
        <v>Metals</v>
      </c>
      <c r="F402" s="0" t="n">
        <f aca="false">IF(SUMIFS(Fact_SortedWeights!$E$2:$E$89,Fact_SortedWeights!$C$2:$C$89,$A402,Fact_SortedWeights!$B$2:$B$89,$B402)=0,0,SUMIFS(Fact_SortedWeights!$E$2:$E$89,Fact_SortedWeights!$C$2:$C$89,$A402,Fact_SortedWeights!$B$2:$B$89,$B402,Fact_SortedWeights!$D$2:$D$89,$C402)/SUMIFS(Fact_SortedWeights!$E$2:$E$89,Fact_SortedWeights!$C$2:$C$89,$A402,Fact_SortedWeights!$B$2:$B$89,$B402)*(IF($B402="Cardboard Recycling",SUMIFS(Fact_SortedWeights!$E$2:$E$89,Fact_SortedWeights!$C$2:$C$89,$A402,Fact_SortedWeights!$B$2:$B$89,$B402),SUMIFS(Fact_PreSortWeights!$E$2:$E$186,Fact_PreSortWeights!$C$2:$C$186,$A402,Fact_PreSortWeights!$B$2:$B$186,$B402))))</f>
        <v>0</v>
      </c>
      <c r="G402" s="0" t="n">
        <f aca="false">IF(AND(IF($B402="Trash",INDEX('Materials Master'!$F$2:$F$27,MATCH($C402,'Materials Master'!$A$2:$A$27,0)),IF($B402="GMPC Recycling",INDEX('Materials Master'!$G$2:$G$27,MATCH($C402,'Materials Master'!$A$2:$A$27,0)),IF($B402="Organics Recycling",INDEX('Materials Master'!$H$2:$H$27,MATCH($C402,'Materials Master'!$A$2:$A$27,0)),IF($B402="Cardboard Recycling",INDEX('Materials Master'!$I$2:$I$27,MATCH($C402,'Materials Master'!$A$2:$A$27,0)),IF($B402="Paper Recycling",INDEX('Materials Master'!$J$2:$J$27,MATCH($C402,'Materials Master'!$A$2:$A$27,0)),IF($B402="Terracycle",INDEX('Materials Master'!$K$2:$K$27,MATCH($C402,'Materials Master'!$A$2:$A$27,0)),"No"))))))="Yes",INDEX('Materials Master'!$E$2:$E$27,MATCH($C402,'Materials Master'!$A$2:$A$27,0))="Yes",$B402&lt;&gt;"Trash"),1,0)</f>
        <v>1</v>
      </c>
      <c r="H402" s="0" t="str">
        <f aca="false">INDEX('Materials Master'!$E$2:$E$27,MATCH($C402,'Materials Master'!$A$2:$A$27,0))</f>
        <v>Yes</v>
      </c>
      <c r="I402" s="0" t="str">
        <f aca="false">IFERROR(INDEX(Areas!$C$2:$C$6,MATCH($A402,Areas!$B$2:$B$6,0)),"")</f>
        <v>Rest of Building</v>
      </c>
      <c r="J402" s="0" t="n">
        <f aca="false">IF(IF($B402="Trash",INDEX('Materials Master'!$F$2:$F$27,MATCH($C402,'Materials Master'!$A$2:$A$27,0)),IF($B402="GMPC Recycling",INDEX('Materials Master'!$G$2:$G$27,MATCH($C402,'Materials Master'!$A$2:$A$27,0)),IF($B402="Organics Recycling",INDEX('Materials Master'!$H$2:$H$27,MATCH($C402,'Materials Master'!$A$2:$A$27,0)),IF($B402="Cardboard Recycling",INDEX('Materials Master'!$I$2:$I$27,MATCH($C402,'Materials Master'!$A$2:$A$27,0)),IF($B402="Paper Recycling",INDEX('Materials Master'!$J$2:$J$27,MATCH($C402,'Materials Master'!$A$2:$A$27,0)),IF($B402="Terracycle",INDEX('Materials Master'!$K$2:$K$27,MATCH($C402,'Materials Master'!$A$2:$A$27,0)),"No"))))))="Yes",1,0)</f>
        <v>1</v>
      </c>
    </row>
    <row r="403" customFormat="false" ht="15" hidden="false" customHeight="false" outlineLevel="0" collapsed="false">
      <c r="A403" s="0" t="s">
        <v>98</v>
      </c>
      <c r="B403" s="0" t="s">
        <v>106</v>
      </c>
      <c r="C403" s="0" t="s">
        <v>55</v>
      </c>
      <c r="D403" s="0" t="str">
        <f aca="false">IFERROR(INDEX('Materials Master'!$B$2:$B$27,MATCH($C403,'Materials Master'!$A$2:$A$27,0)),"")</f>
        <v>Soiled Metals</v>
      </c>
      <c r="E403" s="0" t="str">
        <f aca="false">IFERROR(INDEX('Materials Master'!$C$2:$C$27,MATCH($C403,'Materials Master'!$A$2:$A$27,0)),"")</f>
        <v>Metals</v>
      </c>
      <c r="F403" s="0" t="n">
        <f aca="false">IF(SUMIFS(Fact_SortedWeights!$E$2:$E$89,Fact_SortedWeights!$C$2:$C$89,$A403,Fact_SortedWeights!$B$2:$B$89,$B403)=0,0,SUMIFS(Fact_SortedWeights!$E$2:$E$89,Fact_SortedWeights!$C$2:$C$89,$A403,Fact_SortedWeights!$B$2:$B$89,$B403,Fact_SortedWeights!$D$2:$D$89,$C403)/SUMIFS(Fact_SortedWeights!$E$2:$E$89,Fact_SortedWeights!$C$2:$C$89,$A403,Fact_SortedWeights!$B$2:$B$89,$B403)*(IF($B403="Cardboard Recycling",SUMIFS(Fact_SortedWeights!$E$2:$E$89,Fact_SortedWeights!$C$2:$C$89,$A403,Fact_SortedWeights!$B$2:$B$89,$B403),SUMIFS(Fact_PreSortWeights!$E$2:$E$186,Fact_PreSortWeights!$C$2:$C$186,$A403,Fact_PreSortWeights!$B$2:$B$186,$B403))))</f>
        <v>0</v>
      </c>
      <c r="G403" s="0" t="n">
        <f aca="false">IF(AND(IF($B403="Trash",INDEX('Materials Master'!$F$2:$F$27,MATCH($C403,'Materials Master'!$A$2:$A$27,0)),IF($B403="GMPC Recycling",INDEX('Materials Master'!$G$2:$G$27,MATCH($C403,'Materials Master'!$A$2:$A$27,0)),IF($B403="Organics Recycling",INDEX('Materials Master'!$H$2:$H$27,MATCH($C403,'Materials Master'!$A$2:$A$27,0)),IF($B403="Cardboard Recycling",INDEX('Materials Master'!$I$2:$I$27,MATCH($C403,'Materials Master'!$A$2:$A$27,0)),IF($B403="Paper Recycling",INDEX('Materials Master'!$J$2:$J$27,MATCH($C403,'Materials Master'!$A$2:$A$27,0)),IF($B403="Terracycle",INDEX('Materials Master'!$K$2:$K$27,MATCH($C403,'Materials Master'!$A$2:$A$27,0)),"No"))))))="Yes",INDEX('Materials Master'!$E$2:$E$27,MATCH($C403,'Materials Master'!$A$2:$A$27,0))="Yes",$B403&lt;&gt;"Trash"),1,0)</f>
        <v>0</v>
      </c>
      <c r="H403" s="0" t="str">
        <f aca="false">INDEX('Materials Master'!$E$2:$E$27,MATCH($C403,'Materials Master'!$A$2:$A$27,0))</f>
        <v>No</v>
      </c>
      <c r="I403" s="0" t="str">
        <f aca="false">IFERROR(INDEX(Areas!$C$2:$C$6,MATCH($A403,Areas!$B$2:$B$6,0)),"")</f>
        <v>Rest of Building</v>
      </c>
      <c r="J403" s="0" t="n">
        <f aca="false">IF(IF($B403="Trash",INDEX('Materials Master'!$F$2:$F$27,MATCH($C403,'Materials Master'!$A$2:$A$27,0)),IF($B403="GMPC Recycling",INDEX('Materials Master'!$G$2:$G$27,MATCH($C403,'Materials Master'!$A$2:$A$27,0)),IF($B403="Organics Recycling",INDEX('Materials Master'!$H$2:$H$27,MATCH($C403,'Materials Master'!$A$2:$A$27,0)),IF($B403="Cardboard Recycling",INDEX('Materials Master'!$I$2:$I$27,MATCH($C403,'Materials Master'!$A$2:$A$27,0)),IF($B403="Paper Recycling",INDEX('Materials Master'!$J$2:$J$27,MATCH($C403,'Materials Master'!$A$2:$A$27,0)),IF($B403="Terracycle",INDEX('Materials Master'!$K$2:$K$27,MATCH($C403,'Materials Master'!$A$2:$A$27,0)),"No"))))))="Yes",1,0)</f>
        <v>0</v>
      </c>
    </row>
    <row r="404" customFormat="false" ht="15" hidden="false" customHeight="false" outlineLevel="0" collapsed="false">
      <c r="A404" s="0" t="s">
        <v>98</v>
      </c>
      <c r="B404" s="0" t="s">
        <v>106</v>
      </c>
      <c r="C404" s="0" t="s">
        <v>57</v>
      </c>
      <c r="D404" s="0" t="str">
        <f aca="false">IFERROR(INDEX('Materials Master'!$B$2:$B$27,MATCH($C404,'Materials Master'!$A$2:$A$27,0)),"")</f>
        <v>Rigid Plastics (1-6)</v>
      </c>
      <c r="E404" s="0" t="str">
        <f aca="false">IFERROR(INDEX('Materials Master'!$C$2:$C$27,MATCH($C404,'Materials Master'!$A$2:$A$27,0)),"")</f>
        <v>Plastics</v>
      </c>
      <c r="F404" s="0" t="n">
        <f aca="false">IF(SUMIFS(Fact_SortedWeights!$E$2:$E$89,Fact_SortedWeights!$C$2:$C$89,$A404,Fact_SortedWeights!$B$2:$B$89,$B404)=0,0,SUMIFS(Fact_SortedWeights!$E$2:$E$89,Fact_SortedWeights!$C$2:$C$89,$A404,Fact_SortedWeights!$B$2:$B$89,$B404,Fact_SortedWeights!$D$2:$D$89,$C404)/SUMIFS(Fact_SortedWeights!$E$2:$E$89,Fact_SortedWeights!$C$2:$C$89,$A404,Fact_SortedWeights!$B$2:$B$89,$B404)*(IF($B404="Cardboard Recycling",SUMIFS(Fact_SortedWeights!$E$2:$E$89,Fact_SortedWeights!$C$2:$C$89,$A404,Fact_SortedWeights!$B$2:$B$89,$B404),SUMIFS(Fact_PreSortWeights!$E$2:$E$186,Fact_PreSortWeights!$C$2:$C$186,$A404,Fact_PreSortWeights!$B$2:$B$186,$B404))))</f>
        <v>0</v>
      </c>
      <c r="G404" s="0" t="n">
        <f aca="false">IF(AND(IF($B404="Trash",INDEX('Materials Master'!$F$2:$F$27,MATCH($C404,'Materials Master'!$A$2:$A$27,0)),IF($B404="GMPC Recycling",INDEX('Materials Master'!$G$2:$G$27,MATCH($C404,'Materials Master'!$A$2:$A$27,0)),IF($B404="Organics Recycling",INDEX('Materials Master'!$H$2:$H$27,MATCH($C404,'Materials Master'!$A$2:$A$27,0)),IF($B404="Cardboard Recycling",INDEX('Materials Master'!$I$2:$I$27,MATCH($C404,'Materials Master'!$A$2:$A$27,0)),IF($B404="Paper Recycling",INDEX('Materials Master'!$J$2:$J$27,MATCH($C404,'Materials Master'!$A$2:$A$27,0)),IF($B404="Terracycle",INDEX('Materials Master'!$K$2:$K$27,MATCH($C404,'Materials Master'!$A$2:$A$27,0)),"No"))))))="Yes",INDEX('Materials Master'!$E$2:$E$27,MATCH($C404,'Materials Master'!$A$2:$A$27,0))="Yes",$B404&lt;&gt;"Trash"),1,0)</f>
        <v>1</v>
      </c>
      <c r="H404" s="0" t="str">
        <f aca="false">INDEX('Materials Master'!$E$2:$E$27,MATCH($C404,'Materials Master'!$A$2:$A$27,0))</f>
        <v>Yes</v>
      </c>
      <c r="I404" s="0" t="str">
        <f aca="false">IFERROR(INDEX(Areas!$C$2:$C$6,MATCH($A404,Areas!$B$2:$B$6,0)),"")</f>
        <v>Rest of Building</v>
      </c>
      <c r="J404" s="0" t="n">
        <f aca="false">IF(IF($B404="Trash",INDEX('Materials Master'!$F$2:$F$27,MATCH($C404,'Materials Master'!$A$2:$A$27,0)),IF($B404="GMPC Recycling",INDEX('Materials Master'!$G$2:$G$27,MATCH($C404,'Materials Master'!$A$2:$A$27,0)),IF($B404="Organics Recycling",INDEX('Materials Master'!$H$2:$H$27,MATCH($C404,'Materials Master'!$A$2:$A$27,0)),IF($B404="Cardboard Recycling",INDEX('Materials Master'!$I$2:$I$27,MATCH($C404,'Materials Master'!$A$2:$A$27,0)),IF($B404="Paper Recycling",INDEX('Materials Master'!$J$2:$J$27,MATCH($C404,'Materials Master'!$A$2:$A$27,0)),IF($B404="Terracycle",INDEX('Materials Master'!$K$2:$K$27,MATCH($C404,'Materials Master'!$A$2:$A$27,0)),"No"))))))="Yes",1,0)</f>
        <v>1</v>
      </c>
    </row>
    <row r="405" customFormat="false" ht="15" hidden="false" customHeight="false" outlineLevel="0" collapsed="false">
      <c r="A405" s="0" t="s">
        <v>98</v>
      </c>
      <c r="B405" s="0" t="s">
        <v>106</v>
      </c>
      <c r="C405" s="0" t="s">
        <v>60</v>
      </c>
      <c r="D405" s="0" t="str">
        <f aca="false">IFERROR(INDEX('Materials Master'!$B$2:$B$27,MATCH($C405,'Materials Master'!$A$2:$A$27,0)),"")</f>
        <v>Soiled Rigid Plastics</v>
      </c>
      <c r="E405" s="0" t="str">
        <f aca="false">IFERROR(INDEX('Materials Master'!$C$2:$C$27,MATCH($C405,'Materials Master'!$A$2:$A$27,0)),"")</f>
        <v>Plastics</v>
      </c>
      <c r="F405" s="0" t="n">
        <f aca="false">IF(SUMIFS(Fact_SortedWeights!$E$2:$E$89,Fact_SortedWeights!$C$2:$C$89,$A405,Fact_SortedWeights!$B$2:$B$89,$B405)=0,0,SUMIFS(Fact_SortedWeights!$E$2:$E$89,Fact_SortedWeights!$C$2:$C$89,$A405,Fact_SortedWeights!$B$2:$B$89,$B405,Fact_SortedWeights!$D$2:$D$89,$C405)/SUMIFS(Fact_SortedWeights!$E$2:$E$89,Fact_SortedWeights!$C$2:$C$89,$A405,Fact_SortedWeights!$B$2:$B$89,$B405)*(IF($B405="Cardboard Recycling",SUMIFS(Fact_SortedWeights!$E$2:$E$89,Fact_SortedWeights!$C$2:$C$89,$A405,Fact_SortedWeights!$B$2:$B$89,$B405),SUMIFS(Fact_PreSortWeights!$E$2:$E$186,Fact_PreSortWeights!$C$2:$C$186,$A405,Fact_PreSortWeights!$B$2:$B$186,$B405))))</f>
        <v>0</v>
      </c>
      <c r="G405" s="0" t="n">
        <f aca="false">IF(AND(IF($B405="Trash",INDEX('Materials Master'!$F$2:$F$27,MATCH($C405,'Materials Master'!$A$2:$A$27,0)),IF($B405="GMPC Recycling",INDEX('Materials Master'!$G$2:$G$27,MATCH($C405,'Materials Master'!$A$2:$A$27,0)),IF($B405="Organics Recycling",INDEX('Materials Master'!$H$2:$H$27,MATCH($C405,'Materials Master'!$A$2:$A$27,0)),IF($B405="Cardboard Recycling",INDEX('Materials Master'!$I$2:$I$27,MATCH($C405,'Materials Master'!$A$2:$A$27,0)),IF($B405="Paper Recycling",INDEX('Materials Master'!$J$2:$J$27,MATCH($C405,'Materials Master'!$A$2:$A$27,0)),IF($B405="Terracycle",INDEX('Materials Master'!$K$2:$K$27,MATCH($C405,'Materials Master'!$A$2:$A$27,0)),"No"))))))="Yes",INDEX('Materials Master'!$E$2:$E$27,MATCH($C405,'Materials Master'!$A$2:$A$27,0))="Yes",$B405&lt;&gt;"Trash"),1,0)</f>
        <v>0</v>
      </c>
      <c r="H405" s="0" t="str">
        <f aca="false">INDEX('Materials Master'!$E$2:$E$27,MATCH($C405,'Materials Master'!$A$2:$A$27,0))</f>
        <v>No</v>
      </c>
      <c r="I405" s="0" t="str">
        <f aca="false">IFERROR(INDEX(Areas!$C$2:$C$6,MATCH($A405,Areas!$B$2:$B$6,0)),"")</f>
        <v>Rest of Building</v>
      </c>
      <c r="J405" s="0" t="n">
        <f aca="false">IF(IF($B405="Trash",INDEX('Materials Master'!$F$2:$F$27,MATCH($C405,'Materials Master'!$A$2:$A$27,0)),IF($B405="GMPC Recycling",INDEX('Materials Master'!$G$2:$G$27,MATCH($C405,'Materials Master'!$A$2:$A$27,0)),IF($B405="Organics Recycling",INDEX('Materials Master'!$H$2:$H$27,MATCH($C405,'Materials Master'!$A$2:$A$27,0)),IF($B405="Cardboard Recycling",INDEX('Materials Master'!$I$2:$I$27,MATCH($C405,'Materials Master'!$A$2:$A$27,0)),IF($B405="Paper Recycling",INDEX('Materials Master'!$J$2:$J$27,MATCH($C405,'Materials Master'!$A$2:$A$27,0)),IF($B405="Terracycle",INDEX('Materials Master'!$K$2:$K$27,MATCH($C405,'Materials Master'!$A$2:$A$27,0)),"No"))))))="Yes",1,0)</f>
        <v>0</v>
      </c>
    </row>
    <row r="406" customFormat="false" ht="15" hidden="false" customHeight="false" outlineLevel="0" collapsed="false">
      <c r="A406" s="0" t="s">
        <v>98</v>
      </c>
      <c r="B406" s="0" t="s">
        <v>106</v>
      </c>
      <c r="C406" s="0" t="s">
        <v>62</v>
      </c>
      <c r="D406" s="0" t="str">
        <f aca="false">IFERROR(INDEX('Materials Master'!$B$2:$B$27,MATCH($C406,'Materials Master'!$A$2:$A$27,0)),"")</f>
        <v>Film Plastics</v>
      </c>
      <c r="E406" s="0" t="str">
        <f aca="false">IFERROR(INDEX('Materials Master'!$C$2:$C$27,MATCH($C406,'Materials Master'!$A$2:$A$27,0)),"")</f>
        <v>Plastics</v>
      </c>
      <c r="F406" s="0" t="n">
        <f aca="false">IF(SUMIFS(Fact_SortedWeights!$E$2:$E$89,Fact_SortedWeights!$C$2:$C$89,$A406,Fact_SortedWeights!$B$2:$B$89,$B406)=0,0,SUMIFS(Fact_SortedWeights!$E$2:$E$89,Fact_SortedWeights!$C$2:$C$89,$A406,Fact_SortedWeights!$B$2:$B$89,$B406,Fact_SortedWeights!$D$2:$D$89,$C406)/SUMIFS(Fact_SortedWeights!$E$2:$E$89,Fact_SortedWeights!$C$2:$C$89,$A406,Fact_SortedWeights!$B$2:$B$89,$B406)*(IF($B406="Cardboard Recycling",SUMIFS(Fact_SortedWeights!$E$2:$E$89,Fact_SortedWeights!$C$2:$C$89,$A406,Fact_SortedWeights!$B$2:$B$89,$B406),SUMIFS(Fact_PreSortWeights!$E$2:$E$186,Fact_PreSortWeights!$C$2:$C$186,$A406,Fact_PreSortWeights!$B$2:$B$186,$B406))))</f>
        <v>0</v>
      </c>
      <c r="G406" s="0" t="n">
        <f aca="false">IF(AND(IF($B406="Trash",INDEX('Materials Master'!$F$2:$F$27,MATCH($C406,'Materials Master'!$A$2:$A$27,0)),IF($B406="GMPC Recycling",INDEX('Materials Master'!$G$2:$G$27,MATCH($C406,'Materials Master'!$A$2:$A$27,0)),IF($B406="Organics Recycling",INDEX('Materials Master'!$H$2:$H$27,MATCH($C406,'Materials Master'!$A$2:$A$27,0)),IF($B406="Cardboard Recycling",INDEX('Materials Master'!$I$2:$I$27,MATCH($C406,'Materials Master'!$A$2:$A$27,0)),IF($B406="Paper Recycling",INDEX('Materials Master'!$J$2:$J$27,MATCH($C406,'Materials Master'!$A$2:$A$27,0)),IF($B406="Terracycle",INDEX('Materials Master'!$K$2:$K$27,MATCH($C406,'Materials Master'!$A$2:$A$27,0)),"No"))))))="Yes",INDEX('Materials Master'!$E$2:$E$27,MATCH($C406,'Materials Master'!$A$2:$A$27,0))="Yes",$B406&lt;&gt;"Trash"),1,0)</f>
        <v>0</v>
      </c>
      <c r="H406" s="0" t="str">
        <f aca="false">INDEX('Materials Master'!$E$2:$E$27,MATCH($C406,'Materials Master'!$A$2:$A$27,0))</f>
        <v>No</v>
      </c>
      <c r="I406" s="0" t="str">
        <f aca="false">IFERROR(INDEX(Areas!$C$2:$C$6,MATCH($A406,Areas!$B$2:$B$6,0)),"")</f>
        <v>Rest of Building</v>
      </c>
      <c r="J406" s="0" t="n">
        <f aca="false">IF(IF($B406="Trash",INDEX('Materials Master'!$F$2:$F$27,MATCH($C406,'Materials Master'!$A$2:$A$27,0)),IF($B406="GMPC Recycling",INDEX('Materials Master'!$G$2:$G$27,MATCH($C406,'Materials Master'!$A$2:$A$27,0)),IF($B406="Organics Recycling",INDEX('Materials Master'!$H$2:$H$27,MATCH($C406,'Materials Master'!$A$2:$A$27,0)),IF($B406="Cardboard Recycling",INDEX('Materials Master'!$I$2:$I$27,MATCH($C406,'Materials Master'!$A$2:$A$27,0)),IF($B406="Paper Recycling",INDEX('Materials Master'!$J$2:$J$27,MATCH($C406,'Materials Master'!$A$2:$A$27,0)),IF($B406="Terracycle",INDEX('Materials Master'!$K$2:$K$27,MATCH($C406,'Materials Master'!$A$2:$A$27,0)),"No"))))))="Yes",1,0)</f>
        <v>0</v>
      </c>
    </row>
    <row r="407" customFormat="false" ht="15" hidden="false" customHeight="false" outlineLevel="0" collapsed="false">
      <c r="A407" s="0" t="s">
        <v>98</v>
      </c>
      <c r="B407" s="0" t="s">
        <v>106</v>
      </c>
      <c r="C407" s="0" t="s">
        <v>64</v>
      </c>
      <c r="D407" s="0" t="str">
        <f aca="false">IFERROR(INDEX('Materials Master'!$B$2:$B$27,MATCH($C407,'Materials Master'!$A$2:$A$27,0)),"")</f>
        <v>Foams</v>
      </c>
      <c r="E407" s="0" t="str">
        <f aca="false">IFERROR(INDEX('Materials Master'!$C$2:$C$27,MATCH($C407,'Materials Master'!$A$2:$A$27,0)),"")</f>
        <v>Plastics</v>
      </c>
      <c r="F407" s="0" t="n">
        <f aca="false">IF(SUMIFS(Fact_SortedWeights!$E$2:$E$89,Fact_SortedWeights!$C$2:$C$89,$A407,Fact_SortedWeights!$B$2:$B$89,$B407)=0,0,SUMIFS(Fact_SortedWeights!$E$2:$E$89,Fact_SortedWeights!$C$2:$C$89,$A407,Fact_SortedWeights!$B$2:$B$89,$B407,Fact_SortedWeights!$D$2:$D$89,$C407)/SUMIFS(Fact_SortedWeights!$E$2:$E$89,Fact_SortedWeights!$C$2:$C$89,$A407,Fact_SortedWeights!$B$2:$B$89,$B407)*(IF($B407="Cardboard Recycling",SUMIFS(Fact_SortedWeights!$E$2:$E$89,Fact_SortedWeights!$C$2:$C$89,$A407,Fact_SortedWeights!$B$2:$B$89,$B407),SUMIFS(Fact_PreSortWeights!$E$2:$E$186,Fact_PreSortWeights!$C$2:$C$186,$A407,Fact_PreSortWeights!$B$2:$B$186,$B407))))</f>
        <v>0</v>
      </c>
      <c r="G407" s="0" t="n">
        <f aca="false">IF(AND(IF($B407="Trash",INDEX('Materials Master'!$F$2:$F$27,MATCH($C407,'Materials Master'!$A$2:$A$27,0)),IF($B407="GMPC Recycling",INDEX('Materials Master'!$G$2:$G$27,MATCH($C407,'Materials Master'!$A$2:$A$27,0)),IF($B407="Organics Recycling",INDEX('Materials Master'!$H$2:$H$27,MATCH($C407,'Materials Master'!$A$2:$A$27,0)),IF($B407="Cardboard Recycling",INDEX('Materials Master'!$I$2:$I$27,MATCH($C407,'Materials Master'!$A$2:$A$27,0)),IF($B407="Paper Recycling",INDEX('Materials Master'!$J$2:$J$27,MATCH($C407,'Materials Master'!$A$2:$A$27,0)),IF($B407="Terracycle",INDEX('Materials Master'!$K$2:$K$27,MATCH($C407,'Materials Master'!$A$2:$A$27,0)),"No"))))))="Yes",INDEX('Materials Master'!$E$2:$E$27,MATCH($C407,'Materials Master'!$A$2:$A$27,0))="Yes",$B407&lt;&gt;"Trash"),1,0)</f>
        <v>0</v>
      </c>
      <c r="H407" s="0" t="str">
        <f aca="false">INDEX('Materials Master'!$E$2:$E$27,MATCH($C407,'Materials Master'!$A$2:$A$27,0))</f>
        <v>No</v>
      </c>
      <c r="I407" s="0" t="str">
        <f aca="false">IFERROR(INDEX(Areas!$C$2:$C$6,MATCH($A407,Areas!$B$2:$B$6,0)),"")</f>
        <v>Rest of Building</v>
      </c>
      <c r="J407" s="0" t="n">
        <f aca="false">IF(IF($B407="Trash",INDEX('Materials Master'!$F$2:$F$27,MATCH($C407,'Materials Master'!$A$2:$A$27,0)),IF($B407="GMPC Recycling",INDEX('Materials Master'!$G$2:$G$27,MATCH($C407,'Materials Master'!$A$2:$A$27,0)),IF($B407="Organics Recycling",INDEX('Materials Master'!$H$2:$H$27,MATCH($C407,'Materials Master'!$A$2:$A$27,0)),IF($B407="Cardboard Recycling",INDEX('Materials Master'!$I$2:$I$27,MATCH($C407,'Materials Master'!$A$2:$A$27,0)),IF($B407="Paper Recycling",INDEX('Materials Master'!$J$2:$J$27,MATCH($C407,'Materials Master'!$A$2:$A$27,0)),IF($B407="Terracycle",INDEX('Materials Master'!$K$2:$K$27,MATCH($C407,'Materials Master'!$A$2:$A$27,0)),"No"))))))="Yes",1,0)</f>
        <v>0</v>
      </c>
    </row>
    <row r="408" customFormat="false" ht="15" hidden="false" customHeight="false" outlineLevel="0" collapsed="false">
      <c r="A408" s="0" t="s">
        <v>98</v>
      </c>
      <c r="B408" s="0" t="s">
        <v>106</v>
      </c>
      <c r="C408" s="0" t="s">
        <v>66</v>
      </c>
      <c r="D408" s="0" t="str">
        <f aca="false">IFERROR(INDEX('Materials Master'!$B$2:$B$27,MATCH($C408,'Materials Master'!$A$2:$A$27,0)),"")</f>
        <v>Food Waste</v>
      </c>
      <c r="E408" s="0" t="str">
        <f aca="false">IFERROR(INDEX('Materials Master'!$C$2:$C$27,MATCH($C408,'Materials Master'!$A$2:$A$27,0)),"")</f>
        <v>Organics</v>
      </c>
      <c r="F408" s="0" t="n">
        <f aca="false">IF(SUMIFS(Fact_SortedWeights!$E$2:$E$89,Fact_SortedWeights!$C$2:$C$89,$A408,Fact_SortedWeights!$B$2:$B$89,$B408)=0,0,SUMIFS(Fact_SortedWeights!$E$2:$E$89,Fact_SortedWeights!$C$2:$C$89,$A408,Fact_SortedWeights!$B$2:$B$89,$B408,Fact_SortedWeights!$D$2:$D$89,$C408)/SUMIFS(Fact_SortedWeights!$E$2:$E$89,Fact_SortedWeights!$C$2:$C$89,$A408,Fact_SortedWeights!$B$2:$B$89,$B408)*(IF($B408="Cardboard Recycling",SUMIFS(Fact_SortedWeights!$E$2:$E$89,Fact_SortedWeights!$C$2:$C$89,$A408,Fact_SortedWeights!$B$2:$B$89,$B408),SUMIFS(Fact_PreSortWeights!$E$2:$E$186,Fact_PreSortWeights!$C$2:$C$186,$A408,Fact_PreSortWeights!$B$2:$B$186,$B408))))</f>
        <v>0</v>
      </c>
      <c r="G408" s="0" t="n">
        <f aca="false">IF(AND(IF($B408="Trash",INDEX('Materials Master'!$F$2:$F$27,MATCH($C408,'Materials Master'!$A$2:$A$27,0)),IF($B408="GMPC Recycling",INDEX('Materials Master'!$G$2:$G$27,MATCH($C408,'Materials Master'!$A$2:$A$27,0)),IF($B408="Organics Recycling",INDEX('Materials Master'!$H$2:$H$27,MATCH($C408,'Materials Master'!$A$2:$A$27,0)),IF($B408="Cardboard Recycling",INDEX('Materials Master'!$I$2:$I$27,MATCH($C408,'Materials Master'!$A$2:$A$27,0)),IF($B408="Paper Recycling",INDEX('Materials Master'!$J$2:$J$27,MATCH($C408,'Materials Master'!$A$2:$A$27,0)),IF($B408="Terracycle",INDEX('Materials Master'!$K$2:$K$27,MATCH($C408,'Materials Master'!$A$2:$A$27,0)),"No"))))))="Yes",INDEX('Materials Master'!$E$2:$E$27,MATCH($C408,'Materials Master'!$A$2:$A$27,0))="Yes",$B408&lt;&gt;"Trash"),1,0)</f>
        <v>0</v>
      </c>
      <c r="H408" s="0" t="str">
        <f aca="false">INDEX('Materials Master'!$E$2:$E$27,MATCH($C408,'Materials Master'!$A$2:$A$27,0))</f>
        <v>Yes</v>
      </c>
      <c r="I408" s="0" t="str">
        <f aca="false">IFERROR(INDEX(Areas!$C$2:$C$6,MATCH($A408,Areas!$B$2:$B$6,0)),"")</f>
        <v>Rest of Building</v>
      </c>
      <c r="J408" s="0" t="n">
        <f aca="false">IF(IF($B408="Trash",INDEX('Materials Master'!$F$2:$F$27,MATCH($C408,'Materials Master'!$A$2:$A$27,0)),IF($B408="GMPC Recycling",INDEX('Materials Master'!$G$2:$G$27,MATCH($C408,'Materials Master'!$A$2:$A$27,0)),IF($B408="Organics Recycling",INDEX('Materials Master'!$H$2:$H$27,MATCH($C408,'Materials Master'!$A$2:$A$27,0)),IF($B408="Cardboard Recycling",INDEX('Materials Master'!$I$2:$I$27,MATCH($C408,'Materials Master'!$A$2:$A$27,0)),IF($B408="Paper Recycling",INDEX('Materials Master'!$J$2:$J$27,MATCH($C408,'Materials Master'!$A$2:$A$27,0)),IF($B408="Terracycle",INDEX('Materials Master'!$K$2:$K$27,MATCH($C408,'Materials Master'!$A$2:$A$27,0)),"No"))))))="Yes",1,0)</f>
        <v>0</v>
      </c>
    </row>
    <row r="409" customFormat="false" ht="15" hidden="false" customHeight="false" outlineLevel="0" collapsed="false">
      <c r="A409" s="0" t="s">
        <v>98</v>
      </c>
      <c r="B409" s="0" t="s">
        <v>106</v>
      </c>
      <c r="C409" s="0" t="s">
        <v>69</v>
      </c>
      <c r="D409" s="0" t="str">
        <f aca="false">IFERROR(INDEX('Materials Master'!$B$2:$B$27,MATCH($C409,'Materials Master'!$A$2:$A$27,0)),"")</f>
        <v>Paper Fibers and Food-Soiled Paper (FSP)</v>
      </c>
      <c r="E409" s="0" t="str">
        <f aca="false">IFERROR(INDEX('Materials Master'!$C$2:$C$27,MATCH($C409,'Materials Master'!$A$2:$A$27,0)),"")</f>
        <v>Organics</v>
      </c>
      <c r="F409" s="0" t="n">
        <f aca="false">IF(SUMIFS(Fact_SortedWeights!$E$2:$E$89,Fact_SortedWeights!$C$2:$C$89,$A409,Fact_SortedWeights!$B$2:$B$89,$B409)=0,0,SUMIFS(Fact_SortedWeights!$E$2:$E$89,Fact_SortedWeights!$C$2:$C$89,$A409,Fact_SortedWeights!$B$2:$B$89,$B409,Fact_SortedWeights!$D$2:$D$89,$C409)/SUMIFS(Fact_SortedWeights!$E$2:$E$89,Fact_SortedWeights!$C$2:$C$89,$A409,Fact_SortedWeights!$B$2:$B$89,$B409)*(IF($B409="Cardboard Recycling",SUMIFS(Fact_SortedWeights!$E$2:$E$89,Fact_SortedWeights!$C$2:$C$89,$A409,Fact_SortedWeights!$B$2:$B$89,$B409),SUMIFS(Fact_PreSortWeights!$E$2:$E$186,Fact_PreSortWeights!$C$2:$C$186,$A409,Fact_PreSortWeights!$B$2:$B$186,$B409))))</f>
        <v>0</v>
      </c>
      <c r="G409" s="0" t="n">
        <f aca="false">IF(AND(IF($B409="Trash",INDEX('Materials Master'!$F$2:$F$27,MATCH($C409,'Materials Master'!$A$2:$A$27,0)),IF($B409="GMPC Recycling",INDEX('Materials Master'!$G$2:$G$27,MATCH($C409,'Materials Master'!$A$2:$A$27,0)),IF($B409="Organics Recycling",INDEX('Materials Master'!$H$2:$H$27,MATCH($C409,'Materials Master'!$A$2:$A$27,0)),IF($B409="Cardboard Recycling",INDEX('Materials Master'!$I$2:$I$27,MATCH($C409,'Materials Master'!$A$2:$A$27,0)),IF($B409="Paper Recycling",INDEX('Materials Master'!$J$2:$J$27,MATCH($C409,'Materials Master'!$A$2:$A$27,0)),IF($B409="Terracycle",INDEX('Materials Master'!$K$2:$K$27,MATCH($C409,'Materials Master'!$A$2:$A$27,0)),"No"))))))="Yes",INDEX('Materials Master'!$E$2:$E$27,MATCH($C409,'Materials Master'!$A$2:$A$27,0))="Yes",$B409&lt;&gt;"Trash"),1,0)</f>
        <v>0</v>
      </c>
      <c r="H409" s="0" t="str">
        <f aca="false">INDEX('Materials Master'!$E$2:$E$27,MATCH($C409,'Materials Master'!$A$2:$A$27,0))</f>
        <v>No</v>
      </c>
      <c r="I409" s="0" t="str">
        <f aca="false">IFERROR(INDEX(Areas!$C$2:$C$6,MATCH($A409,Areas!$B$2:$B$6,0)),"")</f>
        <v>Rest of Building</v>
      </c>
      <c r="J409" s="0" t="n">
        <f aca="false">IF(IF($B409="Trash",INDEX('Materials Master'!$F$2:$F$27,MATCH($C409,'Materials Master'!$A$2:$A$27,0)),IF($B409="GMPC Recycling",INDEX('Materials Master'!$G$2:$G$27,MATCH($C409,'Materials Master'!$A$2:$A$27,0)),IF($B409="Organics Recycling",INDEX('Materials Master'!$H$2:$H$27,MATCH($C409,'Materials Master'!$A$2:$A$27,0)),IF($B409="Cardboard Recycling",INDEX('Materials Master'!$I$2:$I$27,MATCH($C409,'Materials Master'!$A$2:$A$27,0)),IF($B409="Paper Recycling",INDEX('Materials Master'!$J$2:$J$27,MATCH($C409,'Materials Master'!$A$2:$A$27,0)),IF($B409="Terracycle",INDEX('Materials Master'!$K$2:$K$27,MATCH($C409,'Materials Master'!$A$2:$A$27,0)),"No"))))))="Yes",1,0)</f>
        <v>0</v>
      </c>
    </row>
    <row r="410" customFormat="false" ht="15" hidden="false" customHeight="false" outlineLevel="0" collapsed="false">
      <c r="A410" s="0" t="s">
        <v>98</v>
      </c>
      <c r="B410" s="0" t="s">
        <v>106</v>
      </c>
      <c r="C410" s="0" t="s">
        <v>71</v>
      </c>
      <c r="D410" s="0" t="str">
        <f aca="false">IFERROR(INDEX('Materials Master'!$B$2:$B$27,MATCH($C410,'Materials Master'!$A$2:$A$27,0)),"")</f>
        <v>Fiber-based Compostable Serviceware</v>
      </c>
      <c r="E410" s="0" t="str">
        <f aca="false">IFERROR(INDEX('Materials Master'!$C$2:$C$27,MATCH($C410,'Materials Master'!$A$2:$A$27,0)),"")</f>
        <v>Organics</v>
      </c>
      <c r="F410" s="0" t="n">
        <f aca="false">IF(SUMIFS(Fact_SortedWeights!$E$2:$E$89,Fact_SortedWeights!$C$2:$C$89,$A410,Fact_SortedWeights!$B$2:$B$89,$B410)=0,0,SUMIFS(Fact_SortedWeights!$E$2:$E$89,Fact_SortedWeights!$C$2:$C$89,$A410,Fact_SortedWeights!$B$2:$B$89,$B410,Fact_SortedWeights!$D$2:$D$89,$C410)/SUMIFS(Fact_SortedWeights!$E$2:$E$89,Fact_SortedWeights!$C$2:$C$89,$A410,Fact_SortedWeights!$B$2:$B$89,$B410)*(IF($B410="Cardboard Recycling",SUMIFS(Fact_SortedWeights!$E$2:$E$89,Fact_SortedWeights!$C$2:$C$89,$A410,Fact_SortedWeights!$B$2:$B$89,$B410),SUMIFS(Fact_PreSortWeights!$E$2:$E$186,Fact_PreSortWeights!$C$2:$C$186,$A410,Fact_PreSortWeights!$B$2:$B$186,$B410))))</f>
        <v>0</v>
      </c>
      <c r="G410" s="0" t="n">
        <f aca="false">IF(AND(IF($B410="Trash",INDEX('Materials Master'!$F$2:$F$27,MATCH($C410,'Materials Master'!$A$2:$A$27,0)),IF($B410="GMPC Recycling",INDEX('Materials Master'!$G$2:$G$27,MATCH($C410,'Materials Master'!$A$2:$A$27,0)),IF($B410="Organics Recycling",INDEX('Materials Master'!$H$2:$H$27,MATCH($C410,'Materials Master'!$A$2:$A$27,0)),IF($B410="Cardboard Recycling",INDEX('Materials Master'!$I$2:$I$27,MATCH($C410,'Materials Master'!$A$2:$A$27,0)),IF($B410="Paper Recycling",INDEX('Materials Master'!$J$2:$J$27,MATCH($C410,'Materials Master'!$A$2:$A$27,0)),IF($B410="Terracycle",INDEX('Materials Master'!$K$2:$K$27,MATCH($C410,'Materials Master'!$A$2:$A$27,0)),"No"))))))="Yes",INDEX('Materials Master'!$E$2:$E$27,MATCH($C410,'Materials Master'!$A$2:$A$27,0))="Yes",$B410&lt;&gt;"Trash"),1,0)</f>
        <v>0</v>
      </c>
      <c r="H410" s="0" t="str">
        <f aca="false">INDEX('Materials Master'!$E$2:$E$27,MATCH($C410,'Materials Master'!$A$2:$A$27,0))</f>
        <v>No</v>
      </c>
      <c r="I410" s="0" t="str">
        <f aca="false">IFERROR(INDEX(Areas!$C$2:$C$6,MATCH($A410,Areas!$B$2:$B$6,0)),"")</f>
        <v>Rest of Building</v>
      </c>
      <c r="J410" s="0" t="n">
        <f aca="false">IF(IF($B410="Trash",INDEX('Materials Master'!$F$2:$F$27,MATCH($C410,'Materials Master'!$A$2:$A$27,0)),IF($B410="GMPC Recycling",INDEX('Materials Master'!$G$2:$G$27,MATCH($C410,'Materials Master'!$A$2:$A$27,0)),IF($B410="Organics Recycling",INDEX('Materials Master'!$H$2:$H$27,MATCH($C410,'Materials Master'!$A$2:$A$27,0)),IF($B410="Cardboard Recycling",INDEX('Materials Master'!$I$2:$I$27,MATCH($C410,'Materials Master'!$A$2:$A$27,0)),IF($B410="Paper Recycling",INDEX('Materials Master'!$J$2:$J$27,MATCH($C410,'Materials Master'!$A$2:$A$27,0)),IF($B410="Terracycle",INDEX('Materials Master'!$K$2:$K$27,MATCH($C410,'Materials Master'!$A$2:$A$27,0)),"No"))))))="Yes",1,0)</f>
        <v>0</v>
      </c>
    </row>
    <row r="411" customFormat="false" ht="15" hidden="false" customHeight="false" outlineLevel="0" collapsed="false">
      <c r="A411" s="0" t="s">
        <v>98</v>
      </c>
      <c r="B411" s="0" t="s">
        <v>106</v>
      </c>
      <c r="C411" s="0" t="s">
        <v>73</v>
      </c>
      <c r="D411" s="0" t="str">
        <f aca="false">IFERROR(INDEX('Materials Master'!$B$2:$B$27,MATCH($C411,'Materials Master'!$A$2:$A$27,0)),"")</f>
        <v>PLA Compostable Serviceware</v>
      </c>
      <c r="E411" s="0" t="str">
        <f aca="false">IFERROR(INDEX('Materials Master'!$C$2:$C$27,MATCH($C411,'Materials Master'!$A$2:$A$27,0)),"")</f>
        <v>Organics</v>
      </c>
      <c r="F411" s="0" t="n">
        <f aca="false">IF(SUMIFS(Fact_SortedWeights!$E$2:$E$89,Fact_SortedWeights!$C$2:$C$89,$A411,Fact_SortedWeights!$B$2:$B$89,$B411)=0,0,SUMIFS(Fact_SortedWeights!$E$2:$E$89,Fact_SortedWeights!$C$2:$C$89,$A411,Fact_SortedWeights!$B$2:$B$89,$B411,Fact_SortedWeights!$D$2:$D$89,$C411)/SUMIFS(Fact_SortedWeights!$E$2:$E$89,Fact_SortedWeights!$C$2:$C$89,$A411,Fact_SortedWeights!$B$2:$B$89,$B411)*(IF($B411="Cardboard Recycling",SUMIFS(Fact_SortedWeights!$E$2:$E$89,Fact_SortedWeights!$C$2:$C$89,$A411,Fact_SortedWeights!$B$2:$B$89,$B411),SUMIFS(Fact_PreSortWeights!$E$2:$E$186,Fact_PreSortWeights!$C$2:$C$186,$A411,Fact_PreSortWeights!$B$2:$B$186,$B411))))</f>
        <v>0</v>
      </c>
      <c r="G411" s="0" t="n">
        <f aca="false">IF(AND(IF($B411="Trash",INDEX('Materials Master'!$F$2:$F$27,MATCH($C411,'Materials Master'!$A$2:$A$27,0)),IF($B411="GMPC Recycling",INDEX('Materials Master'!$G$2:$G$27,MATCH($C411,'Materials Master'!$A$2:$A$27,0)),IF($B411="Organics Recycling",INDEX('Materials Master'!$H$2:$H$27,MATCH($C411,'Materials Master'!$A$2:$A$27,0)),IF($B411="Cardboard Recycling",INDEX('Materials Master'!$I$2:$I$27,MATCH($C411,'Materials Master'!$A$2:$A$27,0)),IF($B411="Paper Recycling",INDEX('Materials Master'!$J$2:$J$27,MATCH($C411,'Materials Master'!$A$2:$A$27,0)),IF($B411="Terracycle",INDEX('Materials Master'!$K$2:$K$27,MATCH($C411,'Materials Master'!$A$2:$A$27,0)),"No"))))))="Yes",INDEX('Materials Master'!$E$2:$E$27,MATCH($C411,'Materials Master'!$A$2:$A$27,0))="Yes",$B411&lt;&gt;"Trash"),1,0)</f>
        <v>0</v>
      </c>
      <c r="H411" s="0" t="str">
        <f aca="false">INDEX('Materials Master'!$E$2:$E$27,MATCH($C411,'Materials Master'!$A$2:$A$27,0))</f>
        <v>No</v>
      </c>
      <c r="I411" s="0" t="str">
        <f aca="false">IFERROR(INDEX(Areas!$C$2:$C$6,MATCH($A411,Areas!$B$2:$B$6,0)),"")</f>
        <v>Rest of Building</v>
      </c>
      <c r="J411" s="0" t="n">
        <f aca="false">IF(IF($B411="Trash",INDEX('Materials Master'!$F$2:$F$27,MATCH($C411,'Materials Master'!$A$2:$A$27,0)),IF($B411="GMPC Recycling",INDEX('Materials Master'!$G$2:$G$27,MATCH($C411,'Materials Master'!$A$2:$A$27,0)),IF($B411="Organics Recycling",INDEX('Materials Master'!$H$2:$H$27,MATCH($C411,'Materials Master'!$A$2:$A$27,0)),IF($B411="Cardboard Recycling",INDEX('Materials Master'!$I$2:$I$27,MATCH($C411,'Materials Master'!$A$2:$A$27,0)),IF($B411="Paper Recycling",INDEX('Materials Master'!$J$2:$J$27,MATCH($C411,'Materials Master'!$A$2:$A$27,0)),IF($B411="Terracycle",INDEX('Materials Master'!$K$2:$K$27,MATCH($C411,'Materials Master'!$A$2:$A$27,0)),"No"))))))="Yes",1,0)</f>
        <v>0</v>
      </c>
    </row>
    <row r="412" customFormat="false" ht="15" hidden="false" customHeight="false" outlineLevel="0" collapsed="false">
      <c r="A412" s="0" t="s">
        <v>98</v>
      </c>
      <c r="B412" s="0" t="s">
        <v>106</v>
      </c>
      <c r="C412" s="0" t="s">
        <v>75</v>
      </c>
      <c r="D412" s="0" t="str">
        <f aca="false">IFERROR(INDEX('Materials Master'!$B$2:$B$27,MATCH($C412,'Materials Master'!$A$2:$A$27,0)),"")</f>
        <v>E/U Waste</v>
      </c>
      <c r="E412" s="0" t="str">
        <f aca="false">IFERROR(INDEX('Materials Master'!$C$2:$C$27,MATCH($C412,'Materials Master'!$A$2:$A$27,0)),"")</f>
        <v>Unacceptable</v>
      </c>
      <c r="F412" s="0" t="n">
        <f aca="false">IF(SUMIFS(Fact_SortedWeights!$E$2:$E$89,Fact_SortedWeights!$C$2:$C$89,$A412,Fact_SortedWeights!$B$2:$B$89,$B412)=0,0,SUMIFS(Fact_SortedWeights!$E$2:$E$89,Fact_SortedWeights!$C$2:$C$89,$A412,Fact_SortedWeights!$B$2:$B$89,$B412,Fact_SortedWeights!$D$2:$D$89,$C412)/SUMIFS(Fact_SortedWeights!$E$2:$E$89,Fact_SortedWeights!$C$2:$C$89,$A412,Fact_SortedWeights!$B$2:$B$89,$B412)*(IF($B412="Cardboard Recycling",SUMIFS(Fact_SortedWeights!$E$2:$E$89,Fact_SortedWeights!$C$2:$C$89,$A412,Fact_SortedWeights!$B$2:$B$89,$B412),SUMIFS(Fact_PreSortWeights!$E$2:$E$186,Fact_PreSortWeights!$C$2:$C$186,$A412,Fact_PreSortWeights!$B$2:$B$186,$B412))))</f>
        <v>0</v>
      </c>
      <c r="G412" s="0" t="n">
        <f aca="false">IF(AND(IF($B412="Trash",INDEX('Materials Master'!$F$2:$F$27,MATCH($C412,'Materials Master'!$A$2:$A$27,0)),IF($B412="GMPC Recycling",INDEX('Materials Master'!$G$2:$G$27,MATCH($C412,'Materials Master'!$A$2:$A$27,0)),IF($B412="Organics Recycling",INDEX('Materials Master'!$H$2:$H$27,MATCH($C412,'Materials Master'!$A$2:$A$27,0)),IF($B412="Cardboard Recycling",INDEX('Materials Master'!$I$2:$I$27,MATCH($C412,'Materials Master'!$A$2:$A$27,0)),IF($B412="Paper Recycling",INDEX('Materials Master'!$J$2:$J$27,MATCH($C412,'Materials Master'!$A$2:$A$27,0)),IF($B412="Terracycle",INDEX('Materials Master'!$K$2:$K$27,MATCH($C412,'Materials Master'!$A$2:$A$27,0)),"No"))))))="Yes",INDEX('Materials Master'!$E$2:$E$27,MATCH($C412,'Materials Master'!$A$2:$A$27,0))="Yes",$B412&lt;&gt;"Trash"),1,0)</f>
        <v>0</v>
      </c>
      <c r="H412" s="0" t="str">
        <f aca="false">INDEX('Materials Master'!$E$2:$E$27,MATCH($C412,'Materials Master'!$A$2:$A$27,0))</f>
        <v>No</v>
      </c>
      <c r="I412" s="0" t="str">
        <f aca="false">IFERROR(INDEX(Areas!$C$2:$C$6,MATCH($A412,Areas!$B$2:$B$6,0)),"")</f>
        <v>Rest of Building</v>
      </c>
      <c r="J412" s="0" t="n">
        <f aca="false">IF(IF($B412="Trash",INDEX('Materials Master'!$F$2:$F$27,MATCH($C412,'Materials Master'!$A$2:$A$27,0)),IF($B412="GMPC Recycling",INDEX('Materials Master'!$G$2:$G$27,MATCH($C412,'Materials Master'!$A$2:$A$27,0)),IF($B412="Organics Recycling",INDEX('Materials Master'!$H$2:$H$27,MATCH($C412,'Materials Master'!$A$2:$A$27,0)),IF($B412="Cardboard Recycling",INDEX('Materials Master'!$I$2:$I$27,MATCH($C412,'Materials Master'!$A$2:$A$27,0)),IF($B412="Paper Recycling",INDEX('Materials Master'!$J$2:$J$27,MATCH($C412,'Materials Master'!$A$2:$A$27,0)),IF($B412="Terracycle",INDEX('Materials Master'!$K$2:$K$27,MATCH($C412,'Materials Master'!$A$2:$A$27,0)),"No"))))))="Yes",1,0)</f>
        <v>0</v>
      </c>
    </row>
    <row r="413" customFormat="false" ht="15" hidden="false" customHeight="false" outlineLevel="0" collapsed="false">
      <c r="A413" s="0" t="s">
        <v>98</v>
      </c>
      <c r="B413" s="0" t="s">
        <v>106</v>
      </c>
      <c r="C413" s="0" t="s">
        <v>78</v>
      </c>
      <c r="D413" s="0" t="str">
        <f aca="false">IFERROR(INDEX('Materials Master'!$B$2:$B$27,MATCH($C413,'Materials Master'!$A$2:$A$27,0)),"")</f>
        <v>Textiles</v>
      </c>
      <c r="E413" s="0" t="str">
        <f aca="false">IFERROR(INDEX('Materials Master'!$C$2:$C$27,MATCH($C413,'Materials Master'!$A$2:$A$27,0)),"")</f>
        <v>Unacceptable</v>
      </c>
      <c r="F413" s="0" t="n">
        <f aca="false">IF(SUMIFS(Fact_SortedWeights!$E$2:$E$89,Fact_SortedWeights!$C$2:$C$89,$A413,Fact_SortedWeights!$B$2:$B$89,$B413)=0,0,SUMIFS(Fact_SortedWeights!$E$2:$E$89,Fact_SortedWeights!$C$2:$C$89,$A413,Fact_SortedWeights!$B$2:$B$89,$B413,Fact_SortedWeights!$D$2:$D$89,$C413)/SUMIFS(Fact_SortedWeights!$E$2:$E$89,Fact_SortedWeights!$C$2:$C$89,$A413,Fact_SortedWeights!$B$2:$B$89,$B413)*(IF($B413="Cardboard Recycling",SUMIFS(Fact_SortedWeights!$E$2:$E$89,Fact_SortedWeights!$C$2:$C$89,$A413,Fact_SortedWeights!$B$2:$B$89,$B413),SUMIFS(Fact_PreSortWeights!$E$2:$E$186,Fact_PreSortWeights!$C$2:$C$186,$A413,Fact_PreSortWeights!$B$2:$B$186,$B413))))</f>
        <v>0</v>
      </c>
      <c r="G413" s="0" t="n">
        <f aca="false">IF(AND(IF($B413="Trash",INDEX('Materials Master'!$F$2:$F$27,MATCH($C413,'Materials Master'!$A$2:$A$27,0)),IF($B413="GMPC Recycling",INDEX('Materials Master'!$G$2:$G$27,MATCH($C413,'Materials Master'!$A$2:$A$27,0)),IF($B413="Organics Recycling",INDEX('Materials Master'!$H$2:$H$27,MATCH($C413,'Materials Master'!$A$2:$A$27,0)),IF($B413="Cardboard Recycling",INDEX('Materials Master'!$I$2:$I$27,MATCH($C413,'Materials Master'!$A$2:$A$27,0)),IF($B413="Paper Recycling",INDEX('Materials Master'!$J$2:$J$27,MATCH($C413,'Materials Master'!$A$2:$A$27,0)),IF($B413="Terracycle",INDEX('Materials Master'!$K$2:$K$27,MATCH($C413,'Materials Master'!$A$2:$A$27,0)),"No"))))))="Yes",INDEX('Materials Master'!$E$2:$E$27,MATCH($C413,'Materials Master'!$A$2:$A$27,0))="Yes",$B413&lt;&gt;"Trash"),1,0)</f>
        <v>0</v>
      </c>
      <c r="H413" s="0" t="str">
        <f aca="false">INDEX('Materials Master'!$E$2:$E$27,MATCH($C413,'Materials Master'!$A$2:$A$27,0))</f>
        <v>No</v>
      </c>
      <c r="I413" s="0" t="str">
        <f aca="false">IFERROR(INDEX(Areas!$C$2:$C$6,MATCH($A413,Areas!$B$2:$B$6,0)),"")</f>
        <v>Rest of Building</v>
      </c>
      <c r="J413" s="0" t="n">
        <f aca="false">IF(IF($B413="Trash",INDEX('Materials Master'!$F$2:$F$27,MATCH($C413,'Materials Master'!$A$2:$A$27,0)),IF($B413="GMPC Recycling",INDEX('Materials Master'!$G$2:$G$27,MATCH($C413,'Materials Master'!$A$2:$A$27,0)),IF($B413="Organics Recycling",INDEX('Materials Master'!$H$2:$H$27,MATCH($C413,'Materials Master'!$A$2:$A$27,0)),IF($B413="Cardboard Recycling",INDEX('Materials Master'!$I$2:$I$27,MATCH($C413,'Materials Master'!$A$2:$A$27,0)),IF($B413="Paper Recycling",INDEX('Materials Master'!$J$2:$J$27,MATCH($C413,'Materials Master'!$A$2:$A$27,0)),IF($B413="Terracycle",INDEX('Materials Master'!$K$2:$K$27,MATCH($C413,'Materials Master'!$A$2:$A$27,0)),"No"))))))="Yes",1,0)</f>
        <v>0</v>
      </c>
    </row>
    <row r="414" customFormat="false" ht="15" hidden="false" customHeight="false" outlineLevel="0" collapsed="false">
      <c r="A414" s="0" t="s">
        <v>98</v>
      </c>
      <c r="B414" s="0" t="s">
        <v>106</v>
      </c>
      <c r="C414" s="0" t="s">
        <v>80</v>
      </c>
      <c r="D414" s="0" t="str">
        <f aca="false">IFERROR(INDEX('Materials Master'!$B$2:$B$27,MATCH($C414,'Materials Master'!$A$2:$A$27,0)),"")</f>
        <v>Other Unacceptable (specify)</v>
      </c>
      <c r="E414" s="0" t="str">
        <f aca="false">IFERROR(INDEX('Materials Master'!$C$2:$C$27,MATCH($C414,'Materials Master'!$A$2:$A$27,0)),"")</f>
        <v>Unacceptable</v>
      </c>
      <c r="F414" s="0" t="n">
        <f aca="false">IF(SUMIFS(Fact_SortedWeights!$E$2:$E$89,Fact_SortedWeights!$C$2:$C$89,$A414,Fact_SortedWeights!$B$2:$B$89,$B414)=0,0,SUMIFS(Fact_SortedWeights!$E$2:$E$89,Fact_SortedWeights!$C$2:$C$89,$A414,Fact_SortedWeights!$B$2:$B$89,$B414,Fact_SortedWeights!$D$2:$D$89,$C414)/SUMIFS(Fact_SortedWeights!$E$2:$E$89,Fact_SortedWeights!$C$2:$C$89,$A414,Fact_SortedWeights!$B$2:$B$89,$B414)*(IF($B414="Cardboard Recycling",SUMIFS(Fact_SortedWeights!$E$2:$E$89,Fact_SortedWeights!$C$2:$C$89,$A414,Fact_SortedWeights!$B$2:$B$89,$B414),SUMIFS(Fact_PreSortWeights!$E$2:$E$186,Fact_PreSortWeights!$C$2:$C$186,$A414,Fact_PreSortWeights!$B$2:$B$186,$B414))))</f>
        <v>0</v>
      </c>
      <c r="G414" s="0" t="n">
        <f aca="false">IF(AND(IF($B414="Trash",INDEX('Materials Master'!$F$2:$F$27,MATCH($C414,'Materials Master'!$A$2:$A$27,0)),IF($B414="GMPC Recycling",INDEX('Materials Master'!$G$2:$G$27,MATCH($C414,'Materials Master'!$A$2:$A$27,0)),IF($B414="Organics Recycling",INDEX('Materials Master'!$H$2:$H$27,MATCH($C414,'Materials Master'!$A$2:$A$27,0)),IF($B414="Cardboard Recycling",INDEX('Materials Master'!$I$2:$I$27,MATCH($C414,'Materials Master'!$A$2:$A$27,0)),IF($B414="Paper Recycling",INDEX('Materials Master'!$J$2:$J$27,MATCH($C414,'Materials Master'!$A$2:$A$27,0)),IF($B414="Terracycle",INDEX('Materials Master'!$K$2:$K$27,MATCH($C414,'Materials Master'!$A$2:$A$27,0)),"No"))))))="Yes",INDEX('Materials Master'!$E$2:$E$27,MATCH($C414,'Materials Master'!$A$2:$A$27,0))="Yes",$B414&lt;&gt;"Trash"),1,0)</f>
        <v>0</v>
      </c>
      <c r="H414" s="0" t="str">
        <f aca="false">INDEX('Materials Master'!$E$2:$E$27,MATCH($C414,'Materials Master'!$A$2:$A$27,0))</f>
        <v>No</v>
      </c>
      <c r="I414" s="0" t="str">
        <f aca="false">IFERROR(INDEX(Areas!$C$2:$C$6,MATCH($A414,Areas!$B$2:$B$6,0)),"")</f>
        <v>Rest of Building</v>
      </c>
      <c r="J414" s="0" t="n">
        <f aca="false">IF(IF($B414="Trash",INDEX('Materials Master'!$F$2:$F$27,MATCH($C414,'Materials Master'!$A$2:$A$27,0)),IF($B414="GMPC Recycling",INDEX('Materials Master'!$G$2:$G$27,MATCH($C414,'Materials Master'!$A$2:$A$27,0)),IF($B414="Organics Recycling",INDEX('Materials Master'!$H$2:$H$27,MATCH($C414,'Materials Master'!$A$2:$A$27,0)),IF($B414="Cardboard Recycling",INDEX('Materials Master'!$I$2:$I$27,MATCH($C414,'Materials Master'!$A$2:$A$27,0)),IF($B414="Paper Recycling",INDEX('Materials Master'!$J$2:$J$27,MATCH($C414,'Materials Master'!$A$2:$A$27,0)),IF($B414="Terracycle",INDEX('Materials Master'!$K$2:$K$27,MATCH($C414,'Materials Master'!$A$2:$A$27,0)),"No"))))))="Yes",1,0)</f>
        <v>0</v>
      </c>
    </row>
    <row r="415" customFormat="false" ht="15" hidden="false" customHeight="false" outlineLevel="0" collapsed="false">
      <c r="A415" s="0" t="s">
        <v>98</v>
      </c>
      <c r="B415" s="0" t="s">
        <v>106</v>
      </c>
      <c r="C415" s="0" t="s">
        <v>82</v>
      </c>
      <c r="D415" s="0" t="str">
        <f aca="false">IFERROR(INDEX('Materials Master'!$B$2:$B$27,MATCH($C415,'Materials Master'!$A$2:$A$27,0)),"")</f>
        <v>Liquids</v>
      </c>
      <c r="E415" s="0" t="str">
        <f aca="false">IFERROR(INDEX('Materials Master'!$C$2:$C$27,MATCH($C415,'Materials Master'!$A$2:$A$27,0)),"")</f>
        <v>Unacceptable</v>
      </c>
      <c r="F415" s="0" t="n">
        <f aca="false">IF(SUMIFS(Fact_SortedWeights!$E$2:$E$89,Fact_SortedWeights!$C$2:$C$89,$A415,Fact_SortedWeights!$B$2:$B$89,$B415)=0,0,SUMIFS(Fact_SortedWeights!$E$2:$E$89,Fact_SortedWeights!$C$2:$C$89,$A415,Fact_SortedWeights!$B$2:$B$89,$B415,Fact_SortedWeights!$D$2:$D$89,$C415)/SUMIFS(Fact_SortedWeights!$E$2:$E$89,Fact_SortedWeights!$C$2:$C$89,$A415,Fact_SortedWeights!$B$2:$B$89,$B415)*(IF($B415="Cardboard Recycling",SUMIFS(Fact_SortedWeights!$E$2:$E$89,Fact_SortedWeights!$C$2:$C$89,$A415,Fact_SortedWeights!$B$2:$B$89,$B415),SUMIFS(Fact_PreSortWeights!$E$2:$E$186,Fact_PreSortWeights!$C$2:$C$186,$A415,Fact_PreSortWeights!$B$2:$B$186,$B415))))</f>
        <v>0</v>
      </c>
      <c r="G415" s="0" t="n">
        <f aca="false">IF(AND(IF($B415="Trash",INDEX('Materials Master'!$F$2:$F$27,MATCH($C415,'Materials Master'!$A$2:$A$27,0)),IF($B415="GMPC Recycling",INDEX('Materials Master'!$G$2:$G$27,MATCH($C415,'Materials Master'!$A$2:$A$27,0)),IF($B415="Organics Recycling",INDEX('Materials Master'!$H$2:$H$27,MATCH($C415,'Materials Master'!$A$2:$A$27,0)),IF($B415="Cardboard Recycling",INDEX('Materials Master'!$I$2:$I$27,MATCH($C415,'Materials Master'!$A$2:$A$27,0)),IF($B415="Paper Recycling",INDEX('Materials Master'!$J$2:$J$27,MATCH($C415,'Materials Master'!$A$2:$A$27,0)),IF($B415="Terracycle",INDEX('Materials Master'!$K$2:$K$27,MATCH($C415,'Materials Master'!$A$2:$A$27,0)),"No"))))))="Yes",INDEX('Materials Master'!$E$2:$E$27,MATCH($C415,'Materials Master'!$A$2:$A$27,0))="Yes",$B415&lt;&gt;"Trash"),1,0)</f>
        <v>0</v>
      </c>
      <c r="H415" s="0" t="str">
        <f aca="false">INDEX('Materials Master'!$E$2:$E$27,MATCH($C415,'Materials Master'!$A$2:$A$27,0))</f>
        <v>No</v>
      </c>
      <c r="I415" s="0" t="str">
        <f aca="false">IFERROR(INDEX(Areas!$C$2:$C$6,MATCH($A415,Areas!$B$2:$B$6,0)),"")</f>
        <v>Rest of Building</v>
      </c>
      <c r="J415" s="0" t="n">
        <f aca="false">IF(IF($B415="Trash",INDEX('Materials Master'!$F$2:$F$27,MATCH($C415,'Materials Master'!$A$2:$A$27,0)),IF($B415="GMPC Recycling",INDEX('Materials Master'!$G$2:$G$27,MATCH($C415,'Materials Master'!$A$2:$A$27,0)),IF($B415="Organics Recycling",INDEX('Materials Master'!$H$2:$H$27,MATCH($C415,'Materials Master'!$A$2:$A$27,0)),IF($B415="Cardboard Recycling",INDEX('Materials Master'!$I$2:$I$27,MATCH($C415,'Materials Master'!$A$2:$A$27,0)),IF($B415="Paper Recycling",INDEX('Materials Master'!$J$2:$J$27,MATCH($C415,'Materials Master'!$A$2:$A$27,0)),IF($B415="Terracycle",INDEX('Materials Master'!$K$2:$K$27,MATCH($C415,'Materials Master'!$A$2:$A$27,0)),"No"))))))="Yes",1,0)</f>
        <v>0</v>
      </c>
    </row>
    <row r="416" customFormat="false" ht="15" hidden="false" customHeight="false" outlineLevel="0" collapsed="false">
      <c r="A416" s="0" t="s">
        <v>98</v>
      </c>
      <c r="B416" s="0" t="s">
        <v>106</v>
      </c>
      <c r="C416" s="0" t="s">
        <v>84</v>
      </c>
      <c r="D416" s="0" t="str">
        <f aca="false">IFERROR(INDEX('Materials Master'!$B$2:$B$27,MATCH($C416,'Materials Master'!$A$2:$A$27,0)),"")</f>
        <v>Snack Wrappers (Composites)</v>
      </c>
      <c r="E416" s="0" t="str">
        <f aca="false">IFERROR(INDEX('Materials Master'!$C$2:$C$27,MATCH($C416,'Materials Master'!$A$2:$A$27,0)),"")</f>
        <v>Other</v>
      </c>
      <c r="F416" s="0" t="n">
        <f aca="false">IF(SUMIFS(Fact_SortedWeights!$E$2:$E$89,Fact_SortedWeights!$C$2:$C$89,$A416,Fact_SortedWeights!$B$2:$B$89,$B416)=0,0,SUMIFS(Fact_SortedWeights!$E$2:$E$89,Fact_SortedWeights!$C$2:$C$89,$A416,Fact_SortedWeights!$B$2:$B$89,$B416,Fact_SortedWeights!$D$2:$D$89,$C416)/SUMIFS(Fact_SortedWeights!$E$2:$E$89,Fact_SortedWeights!$C$2:$C$89,$A416,Fact_SortedWeights!$B$2:$B$89,$B416)*(IF($B416="Cardboard Recycling",SUMIFS(Fact_SortedWeights!$E$2:$E$89,Fact_SortedWeights!$C$2:$C$89,$A416,Fact_SortedWeights!$B$2:$B$89,$B416),SUMIFS(Fact_PreSortWeights!$E$2:$E$186,Fact_PreSortWeights!$C$2:$C$186,$A416,Fact_PreSortWeights!$B$2:$B$186,$B416))))</f>
        <v>0</v>
      </c>
      <c r="G416" s="0" t="n">
        <f aca="false">IF(AND(IF($B416="Trash",INDEX('Materials Master'!$F$2:$F$27,MATCH($C416,'Materials Master'!$A$2:$A$27,0)),IF($B416="GMPC Recycling",INDEX('Materials Master'!$G$2:$G$27,MATCH($C416,'Materials Master'!$A$2:$A$27,0)),IF($B416="Organics Recycling",INDEX('Materials Master'!$H$2:$H$27,MATCH($C416,'Materials Master'!$A$2:$A$27,0)),IF($B416="Cardboard Recycling",INDEX('Materials Master'!$I$2:$I$27,MATCH($C416,'Materials Master'!$A$2:$A$27,0)),IF($B416="Paper Recycling",INDEX('Materials Master'!$J$2:$J$27,MATCH($C416,'Materials Master'!$A$2:$A$27,0)),IF($B416="Terracycle",INDEX('Materials Master'!$K$2:$K$27,MATCH($C416,'Materials Master'!$A$2:$A$27,0)),"No"))))))="Yes",INDEX('Materials Master'!$E$2:$E$27,MATCH($C416,'Materials Master'!$A$2:$A$27,0))="Yes",$B416&lt;&gt;"Trash"),1,0)</f>
        <v>0</v>
      </c>
      <c r="H416" s="0" t="str">
        <f aca="false">INDEX('Materials Master'!$E$2:$E$27,MATCH($C416,'Materials Master'!$A$2:$A$27,0))</f>
        <v>Yes</v>
      </c>
      <c r="I416" s="0" t="str">
        <f aca="false">IFERROR(INDEX(Areas!$C$2:$C$6,MATCH($A416,Areas!$B$2:$B$6,0)),"")</f>
        <v>Rest of Building</v>
      </c>
      <c r="J416" s="0" t="n">
        <f aca="false">IF(IF($B416="Trash",INDEX('Materials Master'!$F$2:$F$27,MATCH($C416,'Materials Master'!$A$2:$A$27,0)),IF($B416="GMPC Recycling",INDEX('Materials Master'!$G$2:$G$27,MATCH($C416,'Materials Master'!$A$2:$A$27,0)),IF($B416="Organics Recycling",INDEX('Materials Master'!$H$2:$H$27,MATCH($C416,'Materials Master'!$A$2:$A$27,0)),IF($B416="Cardboard Recycling",INDEX('Materials Master'!$I$2:$I$27,MATCH($C416,'Materials Master'!$A$2:$A$27,0)),IF($B416="Paper Recycling",INDEX('Materials Master'!$J$2:$J$27,MATCH($C416,'Materials Master'!$A$2:$A$27,0)),IF($B416="Terracycle",INDEX('Materials Master'!$K$2:$K$27,MATCH($C416,'Materials Master'!$A$2:$A$27,0)),"No"))))))="Yes",1,0)</f>
        <v>0</v>
      </c>
    </row>
    <row r="417" customFormat="false" ht="15" hidden="false" customHeight="false" outlineLevel="0" collapsed="false">
      <c r="A417" s="0" t="s">
        <v>98</v>
      </c>
      <c r="B417" s="0" t="s">
        <v>106</v>
      </c>
      <c r="C417" s="0" t="s">
        <v>87</v>
      </c>
      <c r="D417" s="0" t="str">
        <f aca="false">IFERROR(INDEX('Materials Master'!$B$2:$B$27,MATCH($C417,'Materials Master'!$A$2:$A$27,0)),"")</f>
        <v>Other/Residual Materials</v>
      </c>
      <c r="E417" s="0" t="str">
        <f aca="false">IFERROR(INDEX('Materials Master'!$C$2:$C$27,MATCH($C417,'Materials Master'!$A$2:$A$27,0)),"")</f>
        <v>Other</v>
      </c>
      <c r="F417" s="0" t="n">
        <f aca="false">IF(SUMIFS(Fact_SortedWeights!$E$2:$E$89,Fact_SortedWeights!$C$2:$C$89,$A417,Fact_SortedWeights!$B$2:$B$89,$B417)=0,0,SUMIFS(Fact_SortedWeights!$E$2:$E$89,Fact_SortedWeights!$C$2:$C$89,$A417,Fact_SortedWeights!$B$2:$B$89,$B417,Fact_SortedWeights!$D$2:$D$89,$C417)/SUMIFS(Fact_SortedWeights!$E$2:$E$89,Fact_SortedWeights!$C$2:$C$89,$A417,Fact_SortedWeights!$B$2:$B$89,$B417)*(IF($B417="Cardboard Recycling",SUMIFS(Fact_SortedWeights!$E$2:$E$89,Fact_SortedWeights!$C$2:$C$89,$A417,Fact_SortedWeights!$B$2:$B$89,$B417),SUMIFS(Fact_PreSortWeights!$E$2:$E$186,Fact_PreSortWeights!$C$2:$C$186,$A417,Fact_PreSortWeights!$B$2:$B$186,$B417))))</f>
        <v>0</v>
      </c>
      <c r="G417" s="0" t="n">
        <f aca="false">IF(AND(IF($B417="Trash",INDEX('Materials Master'!$F$2:$F$27,MATCH($C417,'Materials Master'!$A$2:$A$27,0)),IF($B417="GMPC Recycling",INDEX('Materials Master'!$G$2:$G$27,MATCH($C417,'Materials Master'!$A$2:$A$27,0)),IF($B417="Organics Recycling",INDEX('Materials Master'!$H$2:$H$27,MATCH($C417,'Materials Master'!$A$2:$A$27,0)),IF($B417="Cardboard Recycling",INDEX('Materials Master'!$I$2:$I$27,MATCH($C417,'Materials Master'!$A$2:$A$27,0)),IF($B417="Paper Recycling",INDEX('Materials Master'!$J$2:$J$27,MATCH($C417,'Materials Master'!$A$2:$A$27,0)),IF($B417="Terracycle",INDEX('Materials Master'!$K$2:$K$27,MATCH($C417,'Materials Master'!$A$2:$A$27,0)),"No"))))))="Yes",INDEX('Materials Master'!$E$2:$E$27,MATCH($C417,'Materials Master'!$A$2:$A$27,0))="Yes",$B417&lt;&gt;"Trash"),1,0)</f>
        <v>0</v>
      </c>
      <c r="H417" s="0" t="str">
        <f aca="false">INDEX('Materials Master'!$E$2:$E$27,MATCH($C417,'Materials Master'!$A$2:$A$27,0))</f>
        <v>No</v>
      </c>
      <c r="I417" s="0" t="str">
        <f aca="false">IFERROR(INDEX(Areas!$C$2:$C$6,MATCH($A417,Areas!$B$2:$B$6,0)),"")</f>
        <v>Rest of Building</v>
      </c>
      <c r="J417" s="0" t="n">
        <f aca="false">IF(IF($B417="Trash",INDEX('Materials Master'!$F$2:$F$27,MATCH($C417,'Materials Master'!$A$2:$A$27,0)),IF($B417="GMPC Recycling",INDEX('Materials Master'!$G$2:$G$27,MATCH($C417,'Materials Master'!$A$2:$A$27,0)),IF($B417="Organics Recycling",INDEX('Materials Master'!$H$2:$H$27,MATCH($C417,'Materials Master'!$A$2:$A$27,0)),IF($B417="Cardboard Recycling",INDEX('Materials Master'!$I$2:$I$27,MATCH($C417,'Materials Master'!$A$2:$A$27,0)),IF($B417="Paper Recycling",INDEX('Materials Master'!$J$2:$J$27,MATCH($C417,'Materials Master'!$A$2:$A$27,0)),IF($B417="Terracycle",INDEX('Materials Master'!$K$2:$K$27,MATCH($C417,'Materials Master'!$A$2:$A$27,0)),"No"))))))="Yes",1,0)</f>
        <v>0</v>
      </c>
    </row>
    <row r="418" customFormat="false" ht="15" hidden="false" customHeight="false" outlineLevel="0" collapsed="false">
      <c r="A418" s="0" t="s">
        <v>98</v>
      </c>
      <c r="B418" s="0" t="s">
        <v>107</v>
      </c>
      <c r="C418" s="0" t="s">
        <v>28</v>
      </c>
      <c r="D418" s="0" t="str">
        <f aca="false">IFERROR(INDEX('Materials Master'!$B$2:$B$27,MATCH($C418,'Materials Master'!$A$2:$A$27,0)),"")</f>
        <v>Corrugated Cardboard</v>
      </c>
      <c r="E418" s="0" t="str">
        <f aca="false">IFERROR(INDEX('Materials Master'!$C$2:$C$27,MATCH($C418,'Materials Master'!$A$2:$A$27,0)),"")</f>
        <v>Fibers</v>
      </c>
      <c r="F418" s="0" t="n">
        <f aca="false">IF(SUMIFS(Fact_SortedWeights!$E$2:$E$89,Fact_SortedWeights!$C$2:$C$89,$A418,Fact_SortedWeights!$B$2:$B$89,$B418)=0,0,SUMIFS(Fact_SortedWeights!$E$2:$E$89,Fact_SortedWeights!$C$2:$C$89,$A418,Fact_SortedWeights!$B$2:$B$89,$B418,Fact_SortedWeights!$D$2:$D$89,$C418)/SUMIFS(Fact_SortedWeights!$E$2:$E$89,Fact_SortedWeights!$C$2:$C$89,$A418,Fact_SortedWeights!$B$2:$B$89,$B418)*(IF($B418="Cardboard Recycling",SUMIFS(Fact_SortedWeights!$E$2:$E$89,Fact_SortedWeights!$C$2:$C$89,$A418,Fact_SortedWeights!$B$2:$B$89,$B418),SUMIFS(Fact_PreSortWeights!$E$2:$E$186,Fact_PreSortWeights!$C$2:$C$186,$A418,Fact_PreSortWeights!$B$2:$B$186,$B418))))</f>
        <v>0</v>
      </c>
      <c r="G418" s="0" t="n">
        <f aca="false">IF(AND(IF($B418="Trash",INDEX('Materials Master'!$F$2:$F$27,MATCH($C418,'Materials Master'!$A$2:$A$27,0)),IF($B418="GMPC Recycling",INDEX('Materials Master'!$G$2:$G$27,MATCH($C418,'Materials Master'!$A$2:$A$27,0)),IF($B418="Organics Recycling",INDEX('Materials Master'!$H$2:$H$27,MATCH($C418,'Materials Master'!$A$2:$A$27,0)),IF($B418="Cardboard Recycling",INDEX('Materials Master'!$I$2:$I$27,MATCH($C418,'Materials Master'!$A$2:$A$27,0)),IF($B418="Paper Recycling",INDEX('Materials Master'!$J$2:$J$27,MATCH($C418,'Materials Master'!$A$2:$A$27,0)),IF($B418="Terracycle",INDEX('Materials Master'!$K$2:$K$27,MATCH($C418,'Materials Master'!$A$2:$A$27,0)),"No"))))))="Yes",INDEX('Materials Master'!$E$2:$E$27,MATCH($C418,'Materials Master'!$A$2:$A$27,0))="Yes",$B418&lt;&gt;"Trash"),1,0)</f>
        <v>1</v>
      </c>
      <c r="H418" s="0" t="str">
        <f aca="false">INDEX('Materials Master'!$E$2:$E$27,MATCH($C418,'Materials Master'!$A$2:$A$27,0))</f>
        <v>Yes</v>
      </c>
      <c r="I418" s="0" t="str">
        <f aca="false">IFERROR(INDEX(Areas!$C$2:$C$6,MATCH($A418,Areas!$B$2:$B$6,0)),"")</f>
        <v>Rest of Building</v>
      </c>
      <c r="J418" s="0" t="n">
        <f aca="false">IF(IF($B418="Trash",INDEX('Materials Master'!$F$2:$F$27,MATCH($C418,'Materials Master'!$A$2:$A$27,0)),IF($B418="GMPC Recycling",INDEX('Materials Master'!$G$2:$G$27,MATCH($C418,'Materials Master'!$A$2:$A$27,0)),IF($B418="Organics Recycling",INDEX('Materials Master'!$H$2:$H$27,MATCH($C418,'Materials Master'!$A$2:$A$27,0)),IF($B418="Cardboard Recycling",INDEX('Materials Master'!$I$2:$I$27,MATCH($C418,'Materials Master'!$A$2:$A$27,0)),IF($B418="Paper Recycling",INDEX('Materials Master'!$J$2:$J$27,MATCH($C418,'Materials Master'!$A$2:$A$27,0)),IF($B418="Terracycle",INDEX('Materials Master'!$K$2:$K$27,MATCH($C418,'Materials Master'!$A$2:$A$27,0)),"No"))))))="Yes",1,0)</f>
        <v>1</v>
      </c>
    </row>
    <row r="419" customFormat="false" ht="15" hidden="false" customHeight="false" outlineLevel="0" collapsed="false">
      <c r="A419" s="0" t="s">
        <v>98</v>
      </c>
      <c r="B419" s="0" t="s">
        <v>107</v>
      </c>
      <c r="C419" s="0" t="s">
        <v>33</v>
      </c>
      <c r="D419" s="0" t="str">
        <f aca="false">IFERROR(INDEX('Materials Master'!$B$2:$B$27,MATCH($C419,'Materials Master'!$A$2:$A$27,0)),"")</f>
        <v>Soiled Cardboard</v>
      </c>
      <c r="E419" s="0" t="str">
        <f aca="false">IFERROR(INDEX('Materials Master'!$C$2:$C$27,MATCH($C419,'Materials Master'!$A$2:$A$27,0)),"")</f>
        <v>Fibers</v>
      </c>
      <c r="F419" s="0" t="n">
        <f aca="false">IF(SUMIFS(Fact_SortedWeights!$E$2:$E$89,Fact_SortedWeights!$C$2:$C$89,$A419,Fact_SortedWeights!$B$2:$B$89,$B419)=0,0,SUMIFS(Fact_SortedWeights!$E$2:$E$89,Fact_SortedWeights!$C$2:$C$89,$A419,Fact_SortedWeights!$B$2:$B$89,$B419,Fact_SortedWeights!$D$2:$D$89,$C419)/SUMIFS(Fact_SortedWeights!$E$2:$E$89,Fact_SortedWeights!$C$2:$C$89,$A419,Fact_SortedWeights!$B$2:$B$89,$B419)*(IF($B419="Cardboard Recycling",SUMIFS(Fact_SortedWeights!$E$2:$E$89,Fact_SortedWeights!$C$2:$C$89,$A419,Fact_SortedWeights!$B$2:$B$89,$B419),SUMIFS(Fact_PreSortWeights!$E$2:$E$186,Fact_PreSortWeights!$C$2:$C$186,$A419,Fact_PreSortWeights!$B$2:$B$186,$B419))))</f>
        <v>0</v>
      </c>
      <c r="G419" s="0" t="n">
        <f aca="false">IF(AND(IF($B419="Trash",INDEX('Materials Master'!$F$2:$F$27,MATCH($C419,'Materials Master'!$A$2:$A$27,0)),IF($B419="GMPC Recycling",INDEX('Materials Master'!$G$2:$G$27,MATCH($C419,'Materials Master'!$A$2:$A$27,0)),IF($B419="Organics Recycling",INDEX('Materials Master'!$H$2:$H$27,MATCH($C419,'Materials Master'!$A$2:$A$27,0)),IF($B419="Cardboard Recycling",INDEX('Materials Master'!$I$2:$I$27,MATCH($C419,'Materials Master'!$A$2:$A$27,0)),IF($B419="Paper Recycling",INDEX('Materials Master'!$J$2:$J$27,MATCH($C419,'Materials Master'!$A$2:$A$27,0)),IF($B419="Terracycle",INDEX('Materials Master'!$K$2:$K$27,MATCH($C419,'Materials Master'!$A$2:$A$27,0)),"No"))))))="Yes",INDEX('Materials Master'!$E$2:$E$27,MATCH($C419,'Materials Master'!$A$2:$A$27,0))="Yes",$B419&lt;&gt;"Trash"),1,0)</f>
        <v>0</v>
      </c>
      <c r="H419" s="0" t="str">
        <f aca="false">INDEX('Materials Master'!$E$2:$E$27,MATCH($C419,'Materials Master'!$A$2:$A$27,0))</f>
        <v>No</v>
      </c>
      <c r="I419" s="0" t="str">
        <f aca="false">IFERROR(INDEX(Areas!$C$2:$C$6,MATCH($A419,Areas!$B$2:$B$6,0)),"")</f>
        <v>Rest of Building</v>
      </c>
      <c r="J419" s="0" t="n">
        <f aca="false">IF(IF($B419="Trash",INDEX('Materials Master'!$F$2:$F$27,MATCH($C419,'Materials Master'!$A$2:$A$27,0)),IF($B419="GMPC Recycling",INDEX('Materials Master'!$G$2:$G$27,MATCH($C419,'Materials Master'!$A$2:$A$27,0)),IF($B419="Organics Recycling",INDEX('Materials Master'!$H$2:$H$27,MATCH($C419,'Materials Master'!$A$2:$A$27,0)),IF($B419="Cardboard Recycling",INDEX('Materials Master'!$I$2:$I$27,MATCH($C419,'Materials Master'!$A$2:$A$27,0)),IF($B419="Paper Recycling",INDEX('Materials Master'!$J$2:$J$27,MATCH($C419,'Materials Master'!$A$2:$A$27,0)),IF($B419="Terracycle",INDEX('Materials Master'!$K$2:$K$27,MATCH($C419,'Materials Master'!$A$2:$A$27,0)),"No"))))))="Yes",1,0)</f>
        <v>0</v>
      </c>
    </row>
    <row r="420" customFormat="false" ht="15" hidden="false" customHeight="false" outlineLevel="0" collapsed="false">
      <c r="A420" s="0" t="s">
        <v>98</v>
      </c>
      <c r="B420" s="0" t="s">
        <v>107</v>
      </c>
      <c r="C420" s="0" t="s">
        <v>35</v>
      </c>
      <c r="D420" s="0" t="str">
        <f aca="false">IFERROR(INDEX('Materials Master'!$B$2:$B$27,MATCH($C420,'Materials Master'!$A$2:$A$27,0)),"")</f>
        <v>Waxed Cardboard</v>
      </c>
      <c r="E420" s="0" t="str">
        <f aca="false">IFERROR(INDEX('Materials Master'!$C$2:$C$27,MATCH($C420,'Materials Master'!$A$2:$A$27,0)),"")</f>
        <v>Fibers</v>
      </c>
      <c r="F420" s="0" t="n">
        <f aca="false">IF(SUMIFS(Fact_SortedWeights!$E$2:$E$89,Fact_SortedWeights!$C$2:$C$89,$A420,Fact_SortedWeights!$B$2:$B$89,$B420)=0,0,SUMIFS(Fact_SortedWeights!$E$2:$E$89,Fact_SortedWeights!$C$2:$C$89,$A420,Fact_SortedWeights!$B$2:$B$89,$B420,Fact_SortedWeights!$D$2:$D$89,$C420)/SUMIFS(Fact_SortedWeights!$E$2:$E$89,Fact_SortedWeights!$C$2:$C$89,$A420,Fact_SortedWeights!$B$2:$B$89,$B420)*(IF($B420="Cardboard Recycling",SUMIFS(Fact_SortedWeights!$E$2:$E$89,Fact_SortedWeights!$C$2:$C$89,$A420,Fact_SortedWeights!$B$2:$B$89,$B420),SUMIFS(Fact_PreSortWeights!$E$2:$E$186,Fact_PreSortWeights!$C$2:$C$186,$A420,Fact_PreSortWeights!$B$2:$B$186,$B420))))</f>
        <v>0</v>
      </c>
      <c r="G420" s="0" t="n">
        <f aca="false">IF(AND(IF($B420="Trash",INDEX('Materials Master'!$F$2:$F$27,MATCH($C420,'Materials Master'!$A$2:$A$27,0)),IF($B420="GMPC Recycling",INDEX('Materials Master'!$G$2:$G$27,MATCH($C420,'Materials Master'!$A$2:$A$27,0)),IF($B420="Organics Recycling",INDEX('Materials Master'!$H$2:$H$27,MATCH($C420,'Materials Master'!$A$2:$A$27,0)),IF($B420="Cardboard Recycling",INDEX('Materials Master'!$I$2:$I$27,MATCH($C420,'Materials Master'!$A$2:$A$27,0)),IF($B420="Paper Recycling",INDEX('Materials Master'!$J$2:$J$27,MATCH($C420,'Materials Master'!$A$2:$A$27,0)),IF($B420="Terracycle",INDEX('Materials Master'!$K$2:$K$27,MATCH($C420,'Materials Master'!$A$2:$A$27,0)),"No"))))))="Yes",INDEX('Materials Master'!$E$2:$E$27,MATCH($C420,'Materials Master'!$A$2:$A$27,0))="Yes",$B420&lt;&gt;"Trash"),1,0)</f>
        <v>0</v>
      </c>
      <c r="H420" s="0" t="str">
        <f aca="false">INDEX('Materials Master'!$E$2:$E$27,MATCH($C420,'Materials Master'!$A$2:$A$27,0))</f>
        <v>No</v>
      </c>
      <c r="I420" s="0" t="str">
        <f aca="false">IFERROR(INDEX(Areas!$C$2:$C$6,MATCH($A420,Areas!$B$2:$B$6,0)),"")</f>
        <v>Rest of Building</v>
      </c>
      <c r="J420" s="0" t="n">
        <f aca="false">IF(IF($B420="Trash",INDEX('Materials Master'!$F$2:$F$27,MATCH($C420,'Materials Master'!$A$2:$A$27,0)),IF($B420="GMPC Recycling",INDEX('Materials Master'!$G$2:$G$27,MATCH($C420,'Materials Master'!$A$2:$A$27,0)),IF($B420="Organics Recycling",INDEX('Materials Master'!$H$2:$H$27,MATCH($C420,'Materials Master'!$A$2:$A$27,0)),IF($B420="Cardboard Recycling",INDEX('Materials Master'!$I$2:$I$27,MATCH($C420,'Materials Master'!$A$2:$A$27,0)),IF($B420="Paper Recycling",INDEX('Materials Master'!$J$2:$J$27,MATCH($C420,'Materials Master'!$A$2:$A$27,0)),IF($B420="Terracycle",INDEX('Materials Master'!$K$2:$K$27,MATCH($C420,'Materials Master'!$A$2:$A$27,0)),"No"))))))="Yes",1,0)</f>
        <v>0</v>
      </c>
    </row>
    <row r="421" customFormat="false" ht="15" hidden="false" customHeight="false" outlineLevel="0" collapsed="false">
      <c r="A421" s="0" t="s">
        <v>98</v>
      </c>
      <c r="B421" s="0" t="s">
        <v>107</v>
      </c>
      <c r="C421" s="0" t="s">
        <v>37</v>
      </c>
      <c r="D421" s="0" t="str">
        <f aca="false">IFERROR(INDEX('Materials Master'!$B$2:$B$27,MATCH($C421,'Materials Master'!$A$2:$A$27,0)),"")</f>
        <v>Mixed Paper</v>
      </c>
      <c r="E421" s="0" t="str">
        <f aca="false">IFERROR(INDEX('Materials Master'!$C$2:$C$27,MATCH($C421,'Materials Master'!$A$2:$A$27,0)),"")</f>
        <v>Fibers</v>
      </c>
      <c r="F421" s="0" t="n">
        <f aca="false">IF(SUMIFS(Fact_SortedWeights!$E$2:$E$89,Fact_SortedWeights!$C$2:$C$89,$A421,Fact_SortedWeights!$B$2:$B$89,$B421)=0,0,SUMIFS(Fact_SortedWeights!$E$2:$E$89,Fact_SortedWeights!$C$2:$C$89,$A421,Fact_SortedWeights!$B$2:$B$89,$B421,Fact_SortedWeights!$D$2:$D$89,$C421)/SUMIFS(Fact_SortedWeights!$E$2:$E$89,Fact_SortedWeights!$C$2:$C$89,$A421,Fact_SortedWeights!$B$2:$B$89,$B421)*(IF($B421="Cardboard Recycling",SUMIFS(Fact_SortedWeights!$E$2:$E$89,Fact_SortedWeights!$C$2:$C$89,$A421,Fact_SortedWeights!$B$2:$B$89,$B421),SUMIFS(Fact_PreSortWeights!$E$2:$E$186,Fact_PreSortWeights!$C$2:$C$186,$A421,Fact_PreSortWeights!$B$2:$B$186,$B421))))</f>
        <v>0</v>
      </c>
      <c r="G421" s="0" t="n">
        <f aca="false">IF(AND(IF($B421="Trash",INDEX('Materials Master'!$F$2:$F$27,MATCH($C421,'Materials Master'!$A$2:$A$27,0)),IF($B421="GMPC Recycling",INDEX('Materials Master'!$G$2:$G$27,MATCH($C421,'Materials Master'!$A$2:$A$27,0)),IF($B421="Organics Recycling",INDEX('Materials Master'!$H$2:$H$27,MATCH($C421,'Materials Master'!$A$2:$A$27,0)),IF($B421="Cardboard Recycling",INDEX('Materials Master'!$I$2:$I$27,MATCH($C421,'Materials Master'!$A$2:$A$27,0)),IF($B421="Paper Recycling",INDEX('Materials Master'!$J$2:$J$27,MATCH($C421,'Materials Master'!$A$2:$A$27,0)),IF($B421="Terracycle",INDEX('Materials Master'!$K$2:$K$27,MATCH($C421,'Materials Master'!$A$2:$A$27,0)),"No"))))))="Yes",INDEX('Materials Master'!$E$2:$E$27,MATCH($C421,'Materials Master'!$A$2:$A$27,0))="Yes",$B421&lt;&gt;"Trash"),1,0)</f>
        <v>1</v>
      </c>
      <c r="H421" s="0" t="str">
        <f aca="false">INDEX('Materials Master'!$E$2:$E$27,MATCH($C421,'Materials Master'!$A$2:$A$27,0))</f>
        <v>Yes</v>
      </c>
      <c r="I421" s="0" t="str">
        <f aca="false">IFERROR(INDEX(Areas!$C$2:$C$6,MATCH($A421,Areas!$B$2:$B$6,0)),"")</f>
        <v>Rest of Building</v>
      </c>
      <c r="J421" s="0" t="n">
        <f aca="false">IF(IF($B421="Trash",INDEX('Materials Master'!$F$2:$F$27,MATCH($C421,'Materials Master'!$A$2:$A$27,0)),IF($B421="GMPC Recycling",INDEX('Materials Master'!$G$2:$G$27,MATCH($C421,'Materials Master'!$A$2:$A$27,0)),IF($B421="Organics Recycling",INDEX('Materials Master'!$H$2:$H$27,MATCH($C421,'Materials Master'!$A$2:$A$27,0)),IF($B421="Cardboard Recycling",INDEX('Materials Master'!$I$2:$I$27,MATCH($C421,'Materials Master'!$A$2:$A$27,0)),IF($B421="Paper Recycling",INDEX('Materials Master'!$J$2:$J$27,MATCH($C421,'Materials Master'!$A$2:$A$27,0)),IF($B421="Terracycle",INDEX('Materials Master'!$K$2:$K$27,MATCH($C421,'Materials Master'!$A$2:$A$27,0)),"No"))))))="Yes",1,0)</f>
        <v>1</v>
      </c>
    </row>
    <row r="422" customFormat="false" ht="15" hidden="false" customHeight="false" outlineLevel="0" collapsed="false">
      <c r="A422" s="0" t="s">
        <v>98</v>
      </c>
      <c r="B422" s="0" t="s">
        <v>107</v>
      </c>
      <c r="C422" s="0" t="s">
        <v>39</v>
      </c>
      <c r="D422" s="0" t="str">
        <f aca="false">IFERROR(INDEX('Materials Master'!$B$2:$B$27,MATCH($C422,'Materials Master'!$A$2:$A$27,0)),"")</f>
        <v>Soiled Paper</v>
      </c>
      <c r="E422" s="0" t="str">
        <f aca="false">IFERROR(INDEX('Materials Master'!$C$2:$C$27,MATCH($C422,'Materials Master'!$A$2:$A$27,0)),"")</f>
        <v>Fibers</v>
      </c>
      <c r="F422" s="0" t="n">
        <f aca="false">IF(SUMIFS(Fact_SortedWeights!$E$2:$E$89,Fact_SortedWeights!$C$2:$C$89,$A422,Fact_SortedWeights!$B$2:$B$89,$B422)=0,0,SUMIFS(Fact_SortedWeights!$E$2:$E$89,Fact_SortedWeights!$C$2:$C$89,$A422,Fact_SortedWeights!$B$2:$B$89,$B422,Fact_SortedWeights!$D$2:$D$89,$C422)/SUMIFS(Fact_SortedWeights!$E$2:$E$89,Fact_SortedWeights!$C$2:$C$89,$A422,Fact_SortedWeights!$B$2:$B$89,$B422)*(IF($B422="Cardboard Recycling",SUMIFS(Fact_SortedWeights!$E$2:$E$89,Fact_SortedWeights!$C$2:$C$89,$A422,Fact_SortedWeights!$B$2:$B$89,$B422),SUMIFS(Fact_PreSortWeights!$E$2:$E$186,Fact_PreSortWeights!$C$2:$C$186,$A422,Fact_PreSortWeights!$B$2:$B$186,$B422))))</f>
        <v>0</v>
      </c>
      <c r="G422" s="0" t="n">
        <f aca="false">IF(AND(IF($B422="Trash",INDEX('Materials Master'!$F$2:$F$27,MATCH($C422,'Materials Master'!$A$2:$A$27,0)),IF($B422="GMPC Recycling",INDEX('Materials Master'!$G$2:$G$27,MATCH($C422,'Materials Master'!$A$2:$A$27,0)),IF($B422="Organics Recycling",INDEX('Materials Master'!$H$2:$H$27,MATCH($C422,'Materials Master'!$A$2:$A$27,0)),IF($B422="Cardboard Recycling",INDEX('Materials Master'!$I$2:$I$27,MATCH($C422,'Materials Master'!$A$2:$A$27,0)),IF($B422="Paper Recycling",INDEX('Materials Master'!$J$2:$J$27,MATCH($C422,'Materials Master'!$A$2:$A$27,0)),IF($B422="Terracycle",INDEX('Materials Master'!$K$2:$K$27,MATCH($C422,'Materials Master'!$A$2:$A$27,0)),"No"))))))="Yes",INDEX('Materials Master'!$E$2:$E$27,MATCH($C422,'Materials Master'!$A$2:$A$27,0))="Yes",$B422&lt;&gt;"Trash"),1,0)</f>
        <v>0</v>
      </c>
      <c r="H422" s="0" t="str">
        <f aca="false">INDEX('Materials Master'!$E$2:$E$27,MATCH($C422,'Materials Master'!$A$2:$A$27,0))</f>
        <v>No</v>
      </c>
      <c r="I422" s="0" t="str">
        <f aca="false">IFERROR(INDEX(Areas!$C$2:$C$6,MATCH($A422,Areas!$B$2:$B$6,0)),"")</f>
        <v>Rest of Building</v>
      </c>
      <c r="J422" s="0" t="n">
        <f aca="false">IF(IF($B422="Trash",INDEX('Materials Master'!$F$2:$F$27,MATCH($C422,'Materials Master'!$A$2:$A$27,0)),IF($B422="GMPC Recycling",INDEX('Materials Master'!$G$2:$G$27,MATCH($C422,'Materials Master'!$A$2:$A$27,0)),IF($B422="Organics Recycling",INDEX('Materials Master'!$H$2:$H$27,MATCH($C422,'Materials Master'!$A$2:$A$27,0)),IF($B422="Cardboard Recycling",INDEX('Materials Master'!$I$2:$I$27,MATCH($C422,'Materials Master'!$A$2:$A$27,0)),IF($B422="Paper Recycling",INDEX('Materials Master'!$J$2:$J$27,MATCH($C422,'Materials Master'!$A$2:$A$27,0)),IF($B422="Terracycle",INDEX('Materials Master'!$K$2:$K$27,MATCH($C422,'Materials Master'!$A$2:$A$27,0)),"No"))))))="Yes",1,0)</f>
        <v>0</v>
      </c>
    </row>
    <row r="423" customFormat="false" ht="15" hidden="false" customHeight="false" outlineLevel="0" collapsed="false">
      <c r="A423" s="0" t="s">
        <v>98</v>
      </c>
      <c r="B423" s="0" t="s">
        <v>107</v>
      </c>
      <c r="C423" s="0" t="s">
        <v>41</v>
      </c>
      <c r="D423" s="0" t="str">
        <f aca="false">IFERROR(INDEX('Materials Master'!$B$2:$B$27,MATCH($C423,'Materials Master'!$A$2:$A$27,0)),"")</f>
        <v>Beverage Cartons</v>
      </c>
      <c r="E423" s="0" t="str">
        <f aca="false">IFERROR(INDEX('Materials Master'!$C$2:$C$27,MATCH($C423,'Materials Master'!$A$2:$A$27,0)),"")</f>
        <v>Fibers</v>
      </c>
      <c r="F423" s="0" t="n">
        <f aca="false">IF(SUMIFS(Fact_SortedWeights!$E$2:$E$89,Fact_SortedWeights!$C$2:$C$89,$A423,Fact_SortedWeights!$B$2:$B$89,$B423)=0,0,SUMIFS(Fact_SortedWeights!$E$2:$E$89,Fact_SortedWeights!$C$2:$C$89,$A423,Fact_SortedWeights!$B$2:$B$89,$B423,Fact_SortedWeights!$D$2:$D$89,$C423)/SUMIFS(Fact_SortedWeights!$E$2:$E$89,Fact_SortedWeights!$C$2:$C$89,$A423,Fact_SortedWeights!$B$2:$B$89,$B423)*(IF($B423="Cardboard Recycling",SUMIFS(Fact_SortedWeights!$E$2:$E$89,Fact_SortedWeights!$C$2:$C$89,$A423,Fact_SortedWeights!$B$2:$B$89,$B423),SUMIFS(Fact_PreSortWeights!$E$2:$E$186,Fact_PreSortWeights!$C$2:$C$186,$A423,Fact_PreSortWeights!$B$2:$B$186,$B423))))</f>
        <v>0</v>
      </c>
      <c r="G423" s="0" t="n">
        <f aca="false">IF(AND(IF($B423="Trash",INDEX('Materials Master'!$F$2:$F$27,MATCH($C423,'Materials Master'!$A$2:$A$27,0)),IF($B423="GMPC Recycling",INDEX('Materials Master'!$G$2:$G$27,MATCH($C423,'Materials Master'!$A$2:$A$27,0)),IF($B423="Organics Recycling",INDEX('Materials Master'!$H$2:$H$27,MATCH($C423,'Materials Master'!$A$2:$A$27,0)),IF($B423="Cardboard Recycling",INDEX('Materials Master'!$I$2:$I$27,MATCH($C423,'Materials Master'!$A$2:$A$27,0)),IF($B423="Paper Recycling",INDEX('Materials Master'!$J$2:$J$27,MATCH($C423,'Materials Master'!$A$2:$A$27,0)),IF($B423="Terracycle",INDEX('Materials Master'!$K$2:$K$27,MATCH($C423,'Materials Master'!$A$2:$A$27,0)),"No"))))))="Yes",INDEX('Materials Master'!$E$2:$E$27,MATCH($C423,'Materials Master'!$A$2:$A$27,0))="Yes",$B423&lt;&gt;"Trash"),1,0)</f>
        <v>1</v>
      </c>
      <c r="H423" s="0" t="str">
        <f aca="false">INDEX('Materials Master'!$E$2:$E$27,MATCH($C423,'Materials Master'!$A$2:$A$27,0))</f>
        <v>Yes</v>
      </c>
      <c r="I423" s="0" t="str">
        <f aca="false">IFERROR(INDEX(Areas!$C$2:$C$6,MATCH($A423,Areas!$B$2:$B$6,0)),"")</f>
        <v>Rest of Building</v>
      </c>
      <c r="J423" s="0" t="n">
        <f aca="false">IF(IF($B423="Trash",INDEX('Materials Master'!$F$2:$F$27,MATCH($C423,'Materials Master'!$A$2:$A$27,0)),IF($B423="GMPC Recycling",INDEX('Materials Master'!$G$2:$G$27,MATCH($C423,'Materials Master'!$A$2:$A$27,0)),IF($B423="Organics Recycling",INDEX('Materials Master'!$H$2:$H$27,MATCH($C423,'Materials Master'!$A$2:$A$27,0)),IF($B423="Cardboard Recycling",INDEX('Materials Master'!$I$2:$I$27,MATCH($C423,'Materials Master'!$A$2:$A$27,0)),IF($B423="Paper Recycling",INDEX('Materials Master'!$J$2:$J$27,MATCH($C423,'Materials Master'!$A$2:$A$27,0)),IF($B423="Terracycle",INDEX('Materials Master'!$K$2:$K$27,MATCH($C423,'Materials Master'!$A$2:$A$27,0)),"No"))))))="Yes",1,0)</f>
        <v>1</v>
      </c>
    </row>
    <row r="424" customFormat="false" ht="15" hidden="false" customHeight="false" outlineLevel="0" collapsed="false">
      <c r="A424" s="0" t="s">
        <v>98</v>
      </c>
      <c r="B424" s="0" t="s">
        <v>107</v>
      </c>
      <c r="C424" s="0" t="s">
        <v>43</v>
      </c>
      <c r="D424" s="0" t="str">
        <f aca="false">IFERROR(INDEX('Materials Master'!$B$2:$B$27,MATCH($C424,'Materials Master'!$A$2:$A$27,0)),"")</f>
        <v>Soiled Beverage Cartons</v>
      </c>
      <c r="E424" s="0" t="str">
        <f aca="false">IFERROR(INDEX('Materials Master'!$C$2:$C$27,MATCH($C424,'Materials Master'!$A$2:$A$27,0)),"")</f>
        <v>Fibers</v>
      </c>
      <c r="F424" s="0" t="n">
        <f aca="false">IF(SUMIFS(Fact_SortedWeights!$E$2:$E$89,Fact_SortedWeights!$C$2:$C$89,$A424,Fact_SortedWeights!$B$2:$B$89,$B424)=0,0,SUMIFS(Fact_SortedWeights!$E$2:$E$89,Fact_SortedWeights!$C$2:$C$89,$A424,Fact_SortedWeights!$B$2:$B$89,$B424,Fact_SortedWeights!$D$2:$D$89,$C424)/SUMIFS(Fact_SortedWeights!$E$2:$E$89,Fact_SortedWeights!$C$2:$C$89,$A424,Fact_SortedWeights!$B$2:$B$89,$B424)*(IF($B424="Cardboard Recycling",SUMIFS(Fact_SortedWeights!$E$2:$E$89,Fact_SortedWeights!$C$2:$C$89,$A424,Fact_SortedWeights!$B$2:$B$89,$B424),SUMIFS(Fact_PreSortWeights!$E$2:$E$186,Fact_PreSortWeights!$C$2:$C$186,$A424,Fact_PreSortWeights!$B$2:$B$186,$B424))))</f>
        <v>0</v>
      </c>
      <c r="G424" s="0" t="n">
        <f aca="false">IF(AND(IF($B424="Trash",INDEX('Materials Master'!$F$2:$F$27,MATCH($C424,'Materials Master'!$A$2:$A$27,0)),IF($B424="GMPC Recycling",INDEX('Materials Master'!$G$2:$G$27,MATCH($C424,'Materials Master'!$A$2:$A$27,0)),IF($B424="Organics Recycling",INDEX('Materials Master'!$H$2:$H$27,MATCH($C424,'Materials Master'!$A$2:$A$27,0)),IF($B424="Cardboard Recycling",INDEX('Materials Master'!$I$2:$I$27,MATCH($C424,'Materials Master'!$A$2:$A$27,0)),IF($B424="Paper Recycling",INDEX('Materials Master'!$J$2:$J$27,MATCH($C424,'Materials Master'!$A$2:$A$27,0)),IF($B424="Terracycle",INDEX('Materials Master'!$K$2:$K$27,MATCH($C424,'Materials Master'!$A$2:$A$27,0)),"No"))))))="Yes",INDEX('Materials Master'!$E$2:$E$27,MATCH($C424,'Materials Master'!$A$2:$A$27,0))="Yes",$B424&lt;&gt;"Trash"),1,0)</f>
        <v>0</v>
      </c>
      <c r="H424" s="0" t="str">
        <f aca="false">INDEX('Materials Master'!$E$2:$E$27,MATCH($C424,'Materials Master'!$A$2:$A$27,0))</f>
        <v>No</v>
      </c>
      <c r="I424" s="0" t="str">
        <f aca="false">IFERROR(INDEX(Areas!$C$2:$C$6,MATCH($A424,Areas!$B$2:$B$6,0)),"")</f>
        <v>Rest of Building</v>
      </c>
      <c r="J424" s="0" t="n">
        <f aca="false">IF(IF($B424="Trash",INDEX('Materials Master'!$F$2:$F$27,MATCH($C424,'Materials Master'!$A$2:$A$27,0)),IF($B424="GMPC Recycling",INDEX('Materials Master'!$G$2:$G$27,MATCH($C424,'Materials Master'!$A$2:$A$27,0)),IF($B424="Organics Recycling",INDEX('Materials Master'!$H$2:$H$27,MATCH($C424,'Materials Master'!$A$2:$A$27,0)),IF($B424="Cardboard Recycling",INDEX('Materials Master'!$I$2:$I$27,MATCH($C424,'Materials Master'!$A$2:$A$27,0)),IF($B424="Paper Recycling",INDEX('Materials Master'!$J$2:$J$27,MATCH($C424,'Materials Master'!$A$2:$A$27,0)),IF($B424="Terracycle",INDEX('Materials Master'!$K$2:$K$27,MATCH($C424,'Materials Master'!$A$2:$A$27,0)),"No"))))))="Yes",1,0)</f>
        <v>0</v>
      </c>
    </row>
    <row r="425" customFormat="false" ht="15" hidden="false" customHeight="false" outlineLevel="0" collapsed="false">
      <c r="A425" s="0" t="s">
        <v>98</v>
      </c>
      <c r="B425" s="0" t="s">
        <v>107</v>
      </c>
      <c r="C425" s="0" t="s">
        <v>45</v>
      </c>
      <c r="D425" s="0" t="str">
        <f aca="false">IFERROR(INDEX('Materials Master'!$B$2:$B$27,MATCH($C425,'Materials Master'!$A$2:$A$27,0)),"")</f>
        <v>Paper Cups / Other Coated Paper Containers</v>
      </c>
      <c r="E425" s="0" t="str">
        <f aca="false">IFERROR(INDEX('Materials Master'!$C$2:$C$27,MATCH($C425,'Materials Master'!$A$2:$A$27,0)),"")</f>
        <v>Fibers</v>
      </c>
      <c r="F425" s="0" t="n">
        <f aca="false">IF(SUMIFS(Fact_SortedWeights!$E$2:$E$89,Fact_SortedWeights!$C$2:$C$89,$A425,Fact_SortedWeights!$B$2:$B$89,$B425)=0,0,SUMIFS(Fact_SortedWeights!$E$2:$E$89,Fact_SortedWeights!$C$2:$C$89,$A425,Fact_SortedWeights!$B$2:$B$89,$B425,Fact_SortedWeights!$D$2:$D$89,$C425)/SUMIFS(Fact_SortedWeights!$E$2:$E$89,Fact_SortedWeights!$C$2:$C$89,$A425,Fact_SortedWeights!$B$2:$B$89,$B425)*(IF($B425="Cardboard Recycling",SUMIFS(Fact_SortedWeights!$E$2:$E$89,Fact_SortedWeights!$C$2:$C$89,$A425,Fact_SortedWeights!$B$2:$B$89,$B425),SUMIFS(Fact_PreSortWeights!$E$2:$E$186,Fact_PreSortWeights!$C$2:$C$186,$A425,Fact_PreSortWeights!$B$2:$B$186,$B425))))</f>
        <v>0</v>
      </c>
      <c r="G425" s="0" t="n">
        <f aca="false">IF(AND(IF($B425="Trash",INDEX('Materials Master'!$F$2:$F$27,MATCH($C425,'Materials Master'!$A$2:$A$27,0)),IF($B425="GMPC Recycling",INDEX('Materials Master'!$G$2:$G$27,MATCH($C425,'Materials Master'!$A$2:$A$27,0)),IF($B425="Organics Recycling",INDEX('Materials Master'!$H$2:$H$27,MATCH($C425,'Materials Master'!$A$2:$A$27,0)),IF($B425="Cardboard Recycling",INDEX('Materials Master'!$I$2:$I$27,MATCH($C425,'Materials Master'!$A$2:$A$27,0)),IF($B425="Paper Recycling",INDEX('Materials Master'!$J$2:$J$27,MATCH($C425,'Materials Master'!$A$2:$A$27,0)),IF($B425="Terracycle",INDEX('Materials Master'!$K$2:$K$27,MATCH($C425,'Materials Master'!$A$2:$A$27,0)),"No"))))))="Yes",INDEX('Materials Master'!$E$2:$E$27,MATCH($C425,'Materials Master'!$A$2:$A$27,0))="Yes",$B425&lt;&gt;"Trash"),1,0)</f>
        <v>0</v>
      </c>
      <c r="H425" s="0" t="str">
        <f aca="false">INDEX('Materials Master'!$E$2:$E$27,MATCH($C425,'Materials Master'!$A$2:$A$27,0))</f>
        <v>No</v>
      </c>
      <c r="I425" s="0" t="str">
        <f aca="false">IFERROR(INDEX(Areas!$C$2:$C$6,MATCH($A425,Areas!$B$2:$B$6,0)),"")</f>
        <v>Rest of Building</v>
      </c>
      <c r="J425" s="0" t="n">
        <f aca="false">IF(IF($B425="Trash",INDEX('Materials Master'!$F$2:$F$27,MATCH($C425,'Materials Master'!$A$2:$A$27,0)),IF($B425="GMPC Recycling",INDEX('Materials Master'!$G$2:$G$27,MATCH($C425,'Materials Master'!$A$2:$A$27,0)),IF($B425="Organics Recycling",INDEX('Materials Master'!$H$2:$H$27,MATCH($C425,'Materials Master'!$A$2:$A$27,0)),IF($B425="Cardboard Recycling",INDEX('Materials Master'!$I$2:$I$27,MATCH($C425,'Materials Master'!$A$2:$A$27,0)),IF($B425="Paper Recycling",INDEX('Materials Master'!$J$2:$J$27,MATCH($C425,'Materials Master'!$A$2:$A$27,0)),IF($B425="Terracycle",INDEX('Materials Master'!$K$2:$K$27,MATCH($C425,'Materials Master'!$A$2:$A$27,0)),"No"))))))="Yes",1,0)</f>
        <v>0</v>
      </c>
    </row>
    <row r="426" customFormat="false" ht="15" hidden="false" customHeight="false" outlineLevel="0" collapsed="false">
      <c r="A426" s="0" t="s">
        <v>98</v>
      </c>
      <c r="B426" s="0" t="s">
        <v>107</v>
      </c>
      <c r="C426" s="0" t="s">
        <v>47</v>
      </c>
      <c r="D426" s="0" t="str">
        <f aca="false">IFERROR(INDEX('Materials Master'!$B$2:$B$27,MATCH($C426,'Materials Master'!$A$2:$A$27,0)),"")</f>
        <v>Glass Bottles &amp; Jars</v>
      </c>
      <c r="E426" s="0" t="str">
        <f aca="false">IFERROR(INDEX('Materials Master'!$C$2:$C$27,MATCH($C426,'Materials Master'!$A$2:$A$27,0)),"")</f>
        <v>Glass</v>
      </c>
      <c r="F426" s="0" t="n">
        <f aca="false">IF(SUMIFS(Fact_SortedWeights!$E$2:$E$89,Fact_SortedWeights!$C$2:$C$89,$A426,Fact_SortedWeights!$B$2:$B$89,$B426)=0,0,SUMIFS(Fact_SortedWeights!$E$2:$E$89,Fact_SortedWeights!$C$2:$C$89,$A426,Fact_SortedWeights!$B$2:$B$89,$B426,Fact_SortedWeights!$D$2:$D$89,$C426)/SUMIFS(Fact_SortedWeights!$E$2:$E$89,Fact_SortedWeights!$C$2:$C$89,$A426,Fact_SortedWeights!$B$2:$B$89,$B426)*(IF($B426="Cardboard Recycling",SUMIFS(Fact_SortedWeights!$E$2:$E$89,Fact_SortedWeights!$C$2:$C$89,$A426,Fact_SortedWeights!$B$2:$B$89,$B426),SUMIFS(Fact_PreSortWeights!$E$2:$E$186,Fact_PreSortWeights!$C$2:$C$186,$A426,Fact_PreSortWeights!$B$2:$B$186,$B426))))</f>
        <v>0</v>
      </c>
      <c r="G426" s="0" t="n">
        <f aca="false">IF(AND(IF($B426="Trash",INDEX('Materials Master'!$F$2:$F$27,MATCH($C426,'Materials Master'!$A$2:$A$27,0)),IF($B426="GMPC Recycling",INDEX('Materials Master'!$G$2:$G$27,MATCH($C426,'Materials Master'!$A$2:$A$27,0)),IF($B426="Organics Recycling",INDEX('Materials Master'!$H$2:$H$27,MATCH($C426,'Materials Master'!$A$2:$A$27,0)),IF($B426="Cardboard Recycling",INDEX('Materials Master'!$I$2:$I$27,MATCH($C426,'Materials Master'!$A$2:$A$27,0)),IF($B426="Paper Recycling",INDEX('Materials Master'!$J$2:$J$27,MATCH($C426,'Materials Master'!$A$2:$A$27,0)),IF($B426="Terracycle",INDEX('Materials Master'!$K$2:$K$27,MATCH($C426,'Materials Master'!$A$2:$A$27,0)),"No"))))))="Yes",INDEX('Materials Master'!$E$2:$E$27,MATCH($C426,'Materials Master'!$A$2:$A$27,0))="Yes",$B426&lt;&gt;"Trash"),1,0)</f>
        <v>1</v>
      </c>
      <c r="H426" s="0" t="str">
        <f aca="false">INDEX('Materials Master'!$E$2:$E$27,MATCH($C426,'Materials Master'!$A$2:$A$27,0))</f>
        <v>Yes</v>
      </c>
      <c r="I426" s="0" t="str">
        <f aca="false">IFERROR(INDEX(Areas!$C$2:$C$6,MATCH($A426,Areas!$B$2:$B$6,0)),"")</f>
        <v>Rest of Building</v>
      </c>
      <c r="J426" s="0" t="n">
        <f aca="false">IF(IF($B426="Trash",INDEX('Materials Master'!$F$2:$F$27,MATCH($C426,'Materials Master'!$A$2:$A$27,0)),IF($B426="GMPC Recycling",INDEX('Materials Master'!$G$2:$G$27,MATCH($C426,'Materials Master'!$A$2:$A$27,0)),IF($B426="Organics Recycling",INDEX('Materials Master'!$H$2:$H$27,MATCH($C426,'Materials Master'!$A$2:$A$27,0)),IF($B426="Cardboard Recycling",INDEX('Materials Master'!$I$2:$I$27,MATCH($C426,'Materials Master'!$A$2:$A$27,0)),IF($B426="Paper Recycling",INDEX('Materials Master'!$J$2:$J$27,MATCH($C426,'Materials Master'!$A$2:$A$27,0)),IF($B426="Terracycle",INDEX('Materials Master'!$K$2:$K$27,MATCH($C426,'Materials Master'!$A$2:$A$27,0)),"No"))))))="Yes",1,0)</f>
        <v>1</v>
      </c>
    </row>
    <row r="427" customFormat="false" ht="15" hidden="false" customHeight="false" outlineLevel="0" collapsed="false">
      <c r="A427" s="0" t="s">
        <v>98</v>
      </c>
      <c r="B427" s="0" t="s">
        <v>107</v>
      </c>
      <c r="C427" s="0" t="s">
        <v>50</v>
      </c>
      <c r="D427" s="0" t="str">
        <f aca="false">IFERROR(INDEX('Materials Master'!$B$2:$B$27,MATCH($C427,'Materials Master'!$A$2:$A$27,0)),"")</f>
        <v>Soiled Glass</v>
      </c>
      <c r="E427" s="0" t="str">
        <f aca="false">IFERROR(INDEX('Materials Master'!$C$2:$C$27,MATCH($C427,'Materials Master'!$A$2:$A$27,0)),"")</f>
        <v>Glass</v>
      </c>
      <c r="F427" s="0" t="n">
        <f aca="false">IF(SUMIFS(Fact_SortedWeights!$E$2:$E$89,Fact_SortedWeights!$C$2:$C$89,$A427,Fact_SortedWeights!$B$2:$B$89,$B427)=0,0,SUMIFS(Fact_SortedWeights!$E$2:$E$89,Fact_SortedWeights!$C$2:$C$89,$A427,Fact_SortedWeights!$B$2:$B$89,$B427,Fact_SortedWeights!$D$2:$D$89,$C427)/SUMIFS(Fact_SortedWeights!$E$2:$E$89,Fact_SortedWeights!$C$2:$C$89,$A427,Fact_SortedWeights!$B$2:$B$89,$B427)*(IF($B427="Cardboard Recycling",SUMIFS(Fact_SortedWeights!$E$2:$E$89,Fact_SortedWeights!$C$2:$C$89,$A427,Fact_SortedWeights!$B$2:$B$89,$B427),SUMIFS(Fact_PreSortWeights!$E$2:$E$186,Fact_PreSortWeights!$C$2:$C$186,$A427,Fact_PreSortWeights!$B$2:$B$186,$B427))))</f>
        <v>0</v>
      </c>
      <c r="G427" s="0" t="n">
        <f aca="false">IF(AND(IF($B427="Trash",INDEX('Materials Master'!$F$2:$F$27,MATCH($C427,'Materials Master'!$A$2:$A$27,0)),IF($B427="GMPC Recycling",INDEX('Materials Master'!$G$2:$G$27,MATCH($C427,'Materials Master'!$A$2:$A$27,0)),IF($B427="Organics Recycling",INDEX('Materials Master'!$H$2:$H$27,MATCH($C427,'Materials Master'!$A$2:$A$27,0)),IF($B427="Cardboard Recycling",INDEX('Materials Master'!$I$2:$I$27,MATCH($C427,'Materials Master'!$A$2:$A$27,0)),IF($B427="Paper Recycling",INDEX('Materials Master'!$J$2:$J$27,MATCH($C427,'Materials Master'!$A$2:$A$27,0)),IF($B427="Terracycle",INDEX('Materials Master'!$K$2:$K$27,MATCH($C427,'Materials Master'!$A$2:$A$27,0)),"No"))))))="Yes",INDEX('Materials Master'!$E$2:$E$27,MATCH($C427,'Materials Master'!$A$2:$A$27,0))="Yes",$B427&lt;&gt;"Trash"),1,0)</f>
        <v>0</v>
      </c>
      <c r="H427" s="0" t="str">
        <f aca="false">INDEX('Materials Master'!$E$2:$E$27,MATCH($C427,'Materials Master'!$A$2:$A$27,0))</f>
        <v>No</v>
      </c>
      <c r="I427" s="0" t="str">
        <f aca="false">IFERROR(INDEX(Areas!$C$2:$C$6,MATCH($A427,Areas!$B$2:$B$6,0)),"")</f>
        <v>Rest of Building</v>
      </c>
      <c r="J427" s="0" t="n">
        <f aca="false">IF(IF($B427="Trash",INDEX('Materials Master'!$F$2:$F$27,MATCH($C427,'Materials Master'!$A$2:$A$27,0)),IF($B427="GMPC Recycling",INDEX('Materials Master'!$G$2:$G$27,MATCH($C427,'Materials Master'!$A$2:$A$27,0)),IF($B427="Organics Recycling",INDEX('Materials Master'!$H$2:$H$27,MATCH($C427,'Materials Master'!$A$2:$A$27,0)),IF($B427="Cardboard Recycling",INDEX('Materials Master'!$I$2:$I$27,MATCH($C427,'Materials Master'!$A$2:$A$27,0)),IF($B427="Paper Recycling",INDEX('Materials Master'!$J$2:$J$27,MATCH($C427,'Materials Master'!$A$2:$A$27,0)),IF($B427="Terracycle",INDEX('Materials Master'!$K$2:$K$27,MATCH($C427,'Materials Master'!$A$2:$A$27,0)),"No"))))))="Yes",1,0)</f>
        <v>0</v>
      </c>
    </row>
    <row r="428" customFormat="false" ht="15" hidden="false" customHeight="false" outlineLevel="0" collapsed="false">
      <c r="A428" s="0" t="s">
        <v>98</v>
      </c>
      <c r="B428" s="0" t="s">
        <v>107</v>
      </c>
      <c r="C428" s="0" t="s">
        <v>52</v>
      </c>
      <c r="D428" s="0" t="str">
        <f aca="false">IFERROR(INDEX('Materials Master'!$B$2:$B$27,MATCH($C428,'Materials Master'!$A$2:$A$27,0)),"")</f>
        <v>Aluminum &amp; Bi-Metal Containers</v>
      </c>
      <c r="E428" s="0" t="str">
        <f aca="false">IFERROR(INDEX('Materials Master'!$C$2:$C$27,MATCH($C428,'Materials Master'!$A$2:$A$27,0)),"")</f>
        <v>Metals</v>
      </c>
      <c r="F428" s="0" t="n">
        <f aca="false">IF(SUMIFS(Fact_SortedWeights!$E$2:$E$89,Fact_SortedWeights!$C$2:$C$89,$A428,Fact_SortedWeights!$B$2:$B$89,$B428)=0,0,SUMIFS(Fact_SortedWeights!$E$2:$E$89,Fact_SortedWeights!$C$2:$C$89,$A428,Fact_SortedWeights!$B$2:$B$89,$B428,Fact_SortedWeights!$D$2:$D$89,$C428)/SUMIFS(Fact_SortedWeights!$E$2:$E$89,Fact_SortedWeights!$C$2:$C$89,$A428,Fact_SortedWeights!$B$2:$B$89,$B428)*(IF($B428="Cardboard Recycling",SUMIFS(Fact_SortedWeights!$E$2:$E$89,Fact_SortedWeights!$C$2:$C$89,$A428,Fact_SortedWeights!$B$2:$B$89,$B428),SUMIFS(Fact_PreSortWeights!$E$2:$E$186,Fact_PreSortWeights!$C$2:$C$186,$A428,Fact_PreSortWeights!$B$2:$B$186,$B428))))</f>
        <v>0</v>
      </c>
      <c r="G428" s="0" t="n">
        <f aca="false">IF(AND(IF($B428="Trash",INDEX('Materials Master'!$F$2:$F$27,MATCH($C428,'Materials Master'!$A$2:$A$27,0)),IF($B428="GMPC Recycling",INDEX('Materials Master'!$G$2:$G$27,MATCH($C428,'Materials Master'!$A$2:$A$27,0)),IF($B428="Organics Recycling",INDEX('Materials Master'!$H$2:$H$27,MATCH($C428,'Materials Master'!$A$2:$A$27,0)),IF($B428="Cardboard Recycling",INDEX('Materials Master'!$I$2:$I$27,MATCH($C428,'Materials Master'!$A$2:$A$27,0)),IF($B428="Paper Recycling",INDEX('Materials Master'!$J$2:$J$27,MATCH($C428,'Materials Master'!$A$2:$A$27,0)),IF($B428="Terracycle",INDEX('Materials Master'!$K$2:$K$27,MATCH($C428,'Materials Master'!$A$2:$A$27,0)),"No"))))))="Yes",INDEX('Materials Master'!$E$2:$E$27,MATCH($C428,'Materials Master'!$A$2:$A$27,0))="Yes",$B428&lt;&gt;"Trash"),1,0)</f>
        <v>1</v>
      </c>
      <c r="H428" s="0" t="str">
        <f aca="false">INDEX('Materials Master'!$E$2:$E$27,MATCH($C428,'Materials Master'!$A$2:$A$27,0))</f>
        <v>Yes</v>
      </c>
      <c r="I428" s="0" t="str">
        <f aca="false">IFERROR(INDEX(Areas!$C$2:$C$6,MATCH($A428,Areas!$B$2:$B$6,0)),"")</f>
        <v>Rest of Building</v>
      </c>
      <c r="J428" s="0" t="n">
        <f aca="false">IF(IF($B428="Trash",INDEX('Materials Master'!$F$2:$F$27,MATCH($C428,'Materials Master'!$A$2:$A$27,0)),IF($B428="GMPC Recycling",INDEX('Materials Master'!$G$2:$G$27,MATCH($C428,'Materials Master'!$A$2:$A$27,0)),IF($B428="Organics Recycling",INDEX('Materials Master'!$H$2:$H$27,MATCH($C428,'Materials Master'!$A$2:$A$27,0)),IF($B428="Cardboard Recycling",INDEX('Materials Master'!$I$2:$I$27,MATCH($C428,'Materials Master'!$A$2:$A$27,0)),IF($B428="Paper Recycling",INDEX('Materials Master'!$J$2:$J$27,MATCH($C428,'Materials Master'!$A$2:$A$27,0)),IF($B428="Terracycle",INDEX('Materials Master'!$K$2:$K$27,MATCH($C428,'Materials Master'!$A$2:$A$27,0)),"No"))))))="Yes",1,0)</f>
        <v>1</v>
      </c>
    </row>
    <row r="429" customFormat="false" ht="15" hidden="false" customHeight="false" outlineLevel="0" collapsed="false">
      <c r="A429" s="0" t="s">
        <v>98</v>
      </c>
      <c r="B429" s="0" t="s">
        <v>107</v>
      </c>
      <c r="C429" s="0" t="s">
        <v>55</v>
      </c>
      <c r="D429" s="0" t="str">
        <f aca="false">IFERROR(INDEX('Materials Master'!$B$2:$B$27,MATCH($C429,'Materials Master'!$A$2:$A$27,0)),"")</f>
        <v>Soiled Metals</v>
      </c>
      <c r="E429" s="0" t="str">
        <f aca="false">IFERROR(INDEX('Materials Master'!$C$2:$C$27,MATCH($C429,'Materials Master'!$A$2:$A$27,0)),"")</f>
        <v>Metals</v>
      </c>
      <c r="F429" s="0" t="n">
        <f aca="false">IF(SUMIFS(Fact_SortedWeights!$E$2:$E$89,Fact_SortedWeights!$C$2:$C$89,$A429,Fact_SortedWeights!$B$2:$B$89,$B429)=0,0,SUMIFS(Fact_SortedWeights!$E$2:$E$89,Fact_SortedWeights!$C$2:$C$89,$A429,Fact_SortedWeights!$B$2:$B$89,$B429,Fact_SortedWeights!$D$2:$D$89,$C429)/SUMIFS(Fact_SortedWeights!$E$2:$E$89,Fact_SortedWeights!$C$2:$C$89,$A429,Fact_SortedWeights!$B$2:$B$89,$B429)*(IF($B429="Cardboard Recycling",SUMIFS(Fact_SortedWeights!$E$2:$E$89,Fact_SortedWeights!$C$2:$C$89,$A429,Fact_SortedWeights!$B$2:$B$89,$B429),SUMIFS(Fact_PreSortWeights!$E$2:$E$186,Fact_PreSortWeights!$C$2:$C$186,$A429,Fact_PreSortWeights!$B$2:$B$186,$B429))))</f>
        <v>0</v>
      </c>
      <c r="G429" s="0" t="n">
        <f aca="false">IF(AND(IF($B429="Trash",INDEX('Materials Master'!$F$2:$F$27,MATCH($C429,'Materials Master'!$A$2:$A$27,0)),IF($B429="GMPC Recycling",INDEX('Materials Master'!$G$2:$G$27,MATCH($C429,'Materials Master'!$A$2:$A$27,0)),IF($B429="Organics Recycling",INDEX('Materials Master'!$H$2:$H$27,MATCH($C429,'Materials Master'!$A$2:$A$27,0)),IF($B429="Cardboard Recycling",INDEX('Materials Master'!$I$2:$I$27,MATCH($C429,'Materials Master'!$A$2:$A$27,0)),IF($B429="Paper Recycling",INDEX('Materials Master'!$J$2:$J$27,MATCH($C429,'Materials Master'!$A$2:$A$27,0)),IF($B429="Terracycle",INDEX('Materials Master'!$K$2:$K$27,MATCH($C429,'Materials Master'!$A$2:$A$27,0)),"No"))))))="Yes",INDEX('Materials Master'!$E$2:$E$27,MATCH($C429,'Materials Master'!$A$2:$A$27,0))="Yes",$B429&lt;&gt;"Trash"),1,0)</f>
        <v>0</v>
      </c>
      <c r="H429" s="0" t="str">
        <f aca="false">INDEX('Materials Master'!$E$2:$E$27,MATCH($C429,'Materials Master'!$A$2:$A$27,0))</f>
        <v>No</v>
      </c>
      <c r="I429" s="0" t="str">
        <f aca="false">IFERROR(INDEX(Areas!$C$2:$C$6,MATCH($A429,Areas!$B$2:$B$6,0)),"")</f>
        <v>Rest of Building</v>
      </c>
      <c r="J429" s="0" t="n">
        <f aca="false">IF(IF($B429="Trash",INDEX('Materials Master'!$F$2:$F$27,MATCH($C429,'Materials Master'!$A$2:$A$27,0)),IF($B429="GMPC Recycling",INDEX('Materials Master'!$G$2:$G$27,MATCH($C429,'Materials Master'!$A$2:$A$27,0)),IF($B429="Organics Recycling",INDEX('Materials Master'!$H$2:$H$27,MATCH($C429,'Materials Master'!$A$2:$A$27,0)),IF($B429="Cardboard Recycling",INDEX('Materials Master'!$I$2:$I$27,MATCH($C429,'Materials Master'!$A$2:$A$27,0)),IF($B429="Paper Recycling",INDEX('Materials Master'!$J$2:$J$27,MATCH($C429,'Materials Master'!$A$2:$A$27,0)),IF($B429="Terracycle",INDEX('Materials Master'!$K$2:$K$27,MATCH($C429,'Materials Master'!$A$2:$A$27,0)),"No"))))))="Yes",1,0)</f>
        <v>0</v>
      </c>
    </row>
    <row r="430" customFormat="false" ht="15" hidden="false" customHeight="false" outlineLevel="0" collapsed="false">
      <c r="A430" s="0" t="s">
        <v>98</v>
      </c>
      <c r="B430" s="0" t="s">
        <v>107</v>
      </c>
      <c r="C430" s="0" t="s">
        <v>57</v>
      </c>
      <c r="D430" s="0" t="str">
        <f aca="false">IFERROR(INDEX('Materials Master'!$B$2:$B$27,MATCH($C430,'Materials Master'!$A$2:$A$27,0)),"")</f>
        <v>Rigid Plastics (1-6)</v>
      </c>
      <c r="E430" s="0" t="str">
        <f aca="false">IFERROR(INDEX('Materials Master'!$C$2:$C$27,MATCH($C430,'Materials Master'!$A$2:$A$27,0)),"")</f>
        <v>Plastics</v>
      </c>
      <c r="F430" s="0" t="n">
        <f aca="false">IF(SUMIFS(Fact_SortedWeights!$E$2:$E$89,Fact_SortedWeights!$C$2:$C$89,$A430,Fact_SortedWeights!$B$2:$B$89,$B430)=0,0,SUMIFS(Fact_SortedWeights!$E$2:$E$89,Fact_SortedWeights!$C$2:$C$89,$A430,Fact_SortedWeights!$B$2:$B$89,$B430,Fact_SortedWeights!$D$2:$D$89,$C430)/SUMIFS(Fact_SortedWeights!$E$2:$E$89,Fact_SortedWeights!$C$2:$C$89,$A430,Fact_SortedWeights!$B$2:$B$89,$B430)*(IF($B430="Cardboard Recycling",SUMIFS(Fact_SortedWeights!$E$2:$E$89,Fact_SortedWeights!$C$2:$C$89,$A430,Fact_SortedWeights!$B$2:$B$89,$B430),SUMIFS(Fact_PreSortWeights!$E$2:$E$186,Fact_PreSortWeights!$C$2:$C$186,$A430,Fact_PreSortWeights!$B$2:$B$186,$B430))))</f>
        <v>0</v>
      </c>
      <c r="G430" s="0" t="n">
        <f aca="false">IF(AND(IF($B430="Trash",INDEX('Materials Master'!$F$2:$F$27,MATCH($C430,'Materials Master'!$A$2:$A$27,0)),IF($B430="GMPC Recycling",INDEX('Materials Master'!$G$2:$G$27,MATCH($C430,'Materials Master'!$A$2:$A$27,0)),IF($B430="Organics Recycling",INDEX('Materials Master'!$H$2:$H$27,MATCH($C430,'Materials Master'!$A$2:$A$27,0)),IF($B430="Cardboard Recycling",INDEX('Materials Master'!$I$2:$I$27,MATCH($C430,'Materials Master'!$A$2:$A$27,0)),IF($B430="Paper Recycling",INDEX('Materials Master'!$J$2:$J$27,MATCH($C430,'Materials Master'!$A$2:$A$27,0)),IF($B430="Terracycle",INDEX('Materials Master'!$K$2:$K$27,MATCH($C430,'Materials Master'!$A$2:$A$27,0)),"No"))))))="Yes",INDEX('Materials Master'!$E$2:$E$27,MATCH($C430,'Materials Master'!$A$2:$A$27,0))="Yes",$B430&lt;&gt;"Trash"),1,0)</f>
        <v>1</v>
      </c>
      <c r="H430" s="0" t="str">
        <f aca="false">INDEX('Materials Master'!$E$2:$E$27,MATCH($C430,'Materials Master'!$A$2:$A$27,0))</f>
        <v>Yes</v>
      </c>
      <c r="I430" s="0" t="str">
        <f aca="false">IFERROR(INDEX(Areas!$C$2:$C$6,MATCH($A430,Areas!$B$2:$B$6,0)),"")</f>
        <v>Rest of Building</v>
      </c>
      <c r="J430" s="0" t="n">
        <f aca="false">IF(IF($B430="Trash",INDEX('Materials Master'!$F$2:$F$27,MATCH($C430,'Materials Master'!$A$2:$A$27,0)),IF($B430="GMPC Recycling",INDEX('Materials Master'!$G$2:$G$27,MATCH($C430,'Materials Master'!$A$2:$A$27,0)),IF($B430="Organics Recycling",INDEX('Materials Master'!$H$2:$H$27,MATCH($C430,'Materials Master'!$A$2:$A$27,0)),IF($B430="Cardboard Recycling",INDEX('Materials Master'!$I$2:$I$27,MATCH($C430,'Materials Master'!$A$2:$A$27,0)),IF($B430="Paper Recycling",INDEX('Materials Master'!$J$2:$J$27,MATCH($C430,'Materials Master'!$A$2:$A$27,0)),IF($B430="Terracycle",INDEX('Materials Master'!$K$2:$K$27,MATCH($C430,'Materials Master'!$A$2:$A$27,0)),"No"))))))="Yes",1,0)</f>
        <v>1</v>
      </c>
    </row>
    <row r="431" customFormat="false" ht="15" hidden="false" customHeight="false" outlineLevel="0" collapsed="false">
      <c r="A431" s="0" t="s">
        <v>98</v>
      </c>
      <c r="B431" s="0" t="s">
        <v>107</v>
      </c>
      <c r="C431" s="0" t="s">
        <v>60</v>
      </c>
      <c r="D431" s="0" t="str">
        <f aca="false">IFERROR(INDEX('Materials Master'!$B$2:$B$27,MATCH($C431,'Materials Master'!$A$2:$A$27,0)),"")</f>
        <v>Soiled Rigid Plastics</v>
      </c>
      <c r="E431" s="0" t="str">
        <f aca="false">IFERROR(INDEX('Materials Master'!$C$2:$C$27,MATCH($C431,'Materials Master'!$A$2:$A$27,0)),"")</f>
        <v>Plastics</v>
      </c>
      <c r="F431" s="0" t="n">
        <f aca="false">IF(SUMIFS(Fact_SortedWeights!$E$2:$E$89,Fact_SortedWeights!$C$2:$C$89,$A431,Fact_SortedWeights!$B$2:$B$89,$B431)=0,0,SUMIFS(Fact_SortedWeights!$E$2:$E$89,Fact_SortedWeights!$C$2:$C$89,$A431,Fact_SortedWeights!$B$2:$B$89,$B431,Fact_SortedWeights!$D$2:$D$89,$C431)/SUMIFS(Fact_SortedWeights!$E$2:$E$89,Fact_SortedWeights!$C$2:$C$89,$A431,Fact_SortedWeights!$B$2:$B$89,$B431)*(IF($B431="Cardboard Recycling",SUMIFS(Fact_SortedWeights!$E$2:$E$89,Fact_SortedWeights!$C$2:$C$89,$A431,Fact_SortedWeights!$B$2:$B$89,$B431),SUMIFS(Fact_PreSortWeights!$E$2:$E$186,Fact_PreSortWeights!$C$2:$C$186,$A431,Fact_PreSortWeights!$B$2:$B$186,$B431))))</f>
        <v>0</v>
      </c>
      <c r="G431" s="0" t="n">
        <f aca="false">IF(AND(IF($B431="Trash",INDEX('Materials Master'!$F$2:$F$27,MATCH($C431,'Materials Master'!$A$2:$A$27,0)),IF($B431="GMPC Recycling",INDEX('Materials Master'!$G$2:$G$27,MATCH($C431,'Materials Master'!$A$2:$A$27,0)),IF($B431="Organics Recycling",INDEX('Materials Master'!$H$2:$H$27,MATCH($C431,'Materials Master'!$A$2:$A$27,0)),IF($B431="Cardboard Recycling",INDEX('Materials Master'!$I$2:$I$27,MATCH($C431,'Materials Master'!$A$2:$A$27,0)),IF($B431="Paper Recycling",INDEX('Materials Master'!$J$2:$J$27,MATCH($C431,'Materials Master'!$A$2:$A$27,0)),IF($B431="Terracycle",INDEX('Materials Master'!$K$2:$K$27,MATCH($C431,'Materials Master'!$A$2:$A$27,0)),"No"))))))="Yes",INDEX('Materials Master'!$E$2:$E$27,MATCH($C431,'Materials Master'!$A$2:$A$27,0))="Yes",$B431&lt;&gt;"Trash"),1,0)</f>
        <v>0</v>
      </c>
      <c r="H431" s="0" t="str">
        <f aca="false">INDEX('Materials Master'!$E$2:$E$27,MATCH($C431,'Materials Master'!$A$2:$A$27,0))</f>
        <v>No</v>
      </c>
      <c r="I431" s="0" t="str">
        <f aca="false">IFERROR(INDEX(Areas!$C$2:$C$6,MATCH($A431,Areas!$B$2:$B$6,0)),"")</f>
        <v>Rest of Building</v>
      </c>
      <c r="J431" s="0" t="n">
        <f aca="false">IF(IF($B431="Trash",INDEX('Materials Master'!$F$2:$F$27,MATCH($C431,'Materials Master'!$A$2:$A$27,0)),IF($B431="GMPC Recycling",INDEX('Materials Master'!$G$2:$G$27,MATCH($C431,'Materials Master'!$A$2:$A$27,0)),IF($B431="Organics Recycling",INDEX('Materials Master'!$H$2:$H$27,MATCH($C431,'Materials Master'!$A$2:$A$27,0)),IF($B431="Cardboard Recycling",INDEX('Materials Master'!$I$2:$I$27,MATCH($C431,'Materials Master'!$A$2:$A$27,0)),IF($B431="Paper Recycling",INDEX('Materials Master'!$J$2:$J$27,MATCH($C431,'Materials Master'!$A$2:$A$27,0)),IF($B431="Terracycle",INDEX('Materials Master'!$K$2:$K$27,MATCH($C431,'Materials Master'!$A$2:$A$27,0)),"No"))))))="Yes",1,0)</f>
        <v>0</v>
      </c>
    </row>
    <row r="432" customFormat="false" ht="15" hidden="false" customHeight="false" outlineLevel="0" collapsed="false">
      <c r="A432" s="0" t="s">
        <v>98</v>
      </c>
      <c r="B432" s="0" t="s">
        <v>107</v>
      </c>
      <c r="C432" s="0" t="s">
        <v>62</v>
      </c>
      <c r="D432" s="0" t="str">
        <f aca="false">IFERROR(INDEX('Materials Master'!$B$2:$B$27,MATCH($C432,'Materials Master'!$A$2:$A$27,0)),"")</f>
        <v>Film Plastics</v>
      </c>
      <c r="E432" s="0" t="str">
        <f aca="false">IFERROR(INDEX('Materials Master'!$C$2:$C$27,MATCH($C432,'Materials Master'!$A$2:$A$27,0)),"")</f>
        <v>Plastics</v>
      </c>
      <c r="F432" s="0" t="n">
        <f aca="false">IF(SUMIFS(Fact_SortedWeights!$E$2:$E$89,Fact_SortedWeights!$C$2:$C$89,$A432,Fact_SortedWeights!$B$2:$B$89,$B432)=0,0,SUMIFS(Fact_SortedWeights!$E$2:$E$89,Fact_SortedWeights!$C$2:$C$89,$A432,Fact_SortedWeights!$B$2:$B$89,$B432,Fact_SortedWeights!$D$2:$D$89,$C432)/SUMIFS(Fact_SortedWeights!$E$2:$E$89,Fact_SortedWeights!$C$2:$C$89,$A432,Fact_SortedWeights!$B$2:$B$89,$B432)*(IF($B432="Cardboard Recycling",SUMIFS(Fact_SortedWeights!$E$2:$E$89,Fact_SortedWeights!$C$2:$C$89,$A432,Fact_SortedWeights!$B$2:$B$89,$B432),SUMIFS(Fact_PreSortWeights!$E$2:$E$186,Fact_PreSortWeights!$C$2:$C$186,$A432,Fact_PreSortWeights!$B$2:$B$186,$B432))))</f>
        <v>0</v>
      </c>
      <c r="G432" s="0" t="n">
        <f aca="false">IF(AND(IF($B432="Trash",INDEX('Materials Master'!$F$2:$F$27,MATCH($C432,'Materials Master'!$A$2:$A$27,0)),IF($B432="GMPC Recycling",INDEX('Materials Master'!$G$2:$G$27,MATCH($C432,'Materials Master'!$A$2:$A$27,0)),IF($B432="Organics Recycling",INDEX('Materials Master'!$H$2:$H$27,MATCH($C432,'Materials Master'!$A$2:$A$27,0)),IF($B432="Cardboard Recycling",INDEX('Materials Master'!$I$2:$I$27,MATCH($C432,'Materials Master'!$A$2:$A$27,0)),IF($B432="Paper Recycling",INDEX('Materials Master'!$J$2:$J$27,MATCH($C432,'Materials Master'!$A$2:$A$27,0)),IF($B432="Terracycle",INDEX('Materials Master'!$K$2:$K$27,MATCH($C432,'Materials Master'!$A$2:$A$27,0)),"No"))))))="Yes",INDEX('Materials Master'!$E$2:$E$27,MATCH($C432,'Materials Master'!$A$2:$A$27,0))="Yes",$B432&lt;&gt;"Trash"),1,0)</f>
        <v>0</v>
      </c>
      <c r="H432" s="0" t="str">
        <f aca="false">INDEX('Materials Master'!$E$2:$E$27,MATCH($C432,'Materials Master'!$A$2:$A$27,0))</f>
        <v>No</v>
      </c>
      <c r="I432" s="0" t="str">
        <f aca="false">IFERROR(INDEX(Areas!$C$2:$C$6,MATCH($A432,Areas!$B$2:$B$6,0)),"")</f>
        <v>Rest of Building</v>
      </c>
      <c r="J432" s="0" t="n">
        <f aca="false">IF(IF($B432="Trash",INDEX('Materials Master'!$F$2:$F$27,MATCH($C432,'Materials Master'!$A$2:$A$27,0)),IF($B432="GMPC Recycling",INDEX('Materials Master'!$G$2:$G$27,MATCH($C432,'Materials Master'!$A$2:$A$27,0)),IF($B432="Organics Recycling",INDEX('Materials Master'!$H$2:$H$27,MATCH($C432,'Materials Master'!$A$2:$A$27,0)),IF($B432="Cardboard Recycling",INDEX('Materials Master'!$I$2:$I$27,MATCH($C432,'Materials Master'!$A$2:$A$27,0)),IF($B432="Paper Recycling",INDEX('Materials Master'!$J$2:$J$27,MATCH($C432,'Materials Master'!$A$2:$A$27,0)),IF($B432="Terracycle",INDEX('Materials Master'!$K$2:$K$27,MATCH($C432,'Materials Master'!$A$2:$A$27,0)),"No"))))))="Yes",1,0)</f>
        <v>0</v>
      </c>
    </row>
    <row r="433" customFormat="false" ht="15" hidden="false" customHeight="false" outlineLevel="0" collapsed="false">
      <c r="A433" s="0" t="s">
        <v>98</v>
      </c>
      <c r="B433" s="0" t="s">
        <v>107</v>
      </c>
      <c r="C433" s="0" t="s">
        <v>64</v>
      </c>
      <c r="D433" s="0" t="str">
        <f aca="false">IFERROR(INDEX('Materials Master'!$B$2:$B$27,MATCH($C433,'Materials Master'!$A$2:$A$27,0)),"")</f>
        <v>Foams</v>
      </c>
      <c r="E433" s="0" t="str">
        <f aca="false">IFERROR(INDEX('Materials Master'!$C$2:$C$27,MATCH($C433,'Materials Master'!$A$2:$A$27,0)),"")</f>
        <v>Plastics</v>
      </c>
      <c r="F433" s="0" t="n">
        <f aca="false">IF(SUMIFS(Fact_SortedWeights!$E$2:$E$89,Fact_SortedWeights!$C$2:$C$89,$A433,Fact_SortedWeights!$B$2:$B$89,$B433)=0,0,SUMIFS(Fact_SortedWeights!$E$2:$E$89,Fact_SortedWeights!$C$2:$C$89,$A433,Fact_SortedWeights!$B$2:$B$89,$B433,Fact_SortedWeights!$D$2:$D$89,$C433)/SUMIFS(Fact_SortedWeights!$E$2:$E$89,Fact_SortedWeights!$C$2:$C$89,$A433,Fact_SortedWeights!$B$2:$B$89,$B433)*(IF($B433="Cardboard Recycling",SUMIFS(Fact_SortedWeights!$E$2:$E$89,Fact_SortedWeights!$C$2:$C$89,$A433,Fact_SortedWeights!$B$2:$B$89,$B433),SUMIFS(Fact_PreSortWeights!$E$2:$E$186,Fact_PreSortWeights!$C$2:$C$186,$A433,Fact_PreSortWeights!$B$2:$B$186,$B433))))</f>
        <v>0</v>
      </c>
      <c r="G433" s="0" t="n">
        <f aca="false">IF(AND(IF($B433="Trash",INDEX('Materials Master'!$F$2:$F$27,MATCH($C433,'Materials Master'!$A$2:$A$27,0)),IF($B433="GMPC Recycling",INDEX('Materials Master'!$G$2:$G$27,MATCH($C433,'Materials Master'!$A$2:$A$27,0)),IF($B433="Organics Recycling",INDEX('Materials Master'!$H$2:$H$27,MATCH($C433,'Materials Master'!$A$2:$A$27,0)),IF($B433="Cardboard Recycling",INDEX('Materials Master'!$I$2:$I$27,MATCH($C433,'Materials Master'!$A$2:$A$27,0)),IF($B433="Paper Recycling",INDEX('Materials Master'!$J$2:$J$27,MATCH($C433,'Materials Master'!$A$2:$A$27,0)),IF($B433="Terracycle",INDEX('Materials Master'!$K$2:$K$27,MATCH($C433,'Materials Master'!$A$2:$A$27,0)),"No"))))))="Yes",INDEX('Materials Master'!$E$2:$E$27,MATCH($C433,'Materials Master'!$A$2:$A$27,0))="Yes",$B433&lt;&gt;"Trash"),1,0)</f>
        <v>0</v>
      </c>
      <c r="H433" s="0" t="str">
        <f aca="false">INDEX('Materials Master'!$E$2:$E$27,MATCH($C433,'Materials Master'!$A$2:$A$27,0))</f>
        <v>No</v>
      </c>
      <c r="I433" s="0" t="str">
        <f aca="false">IFERROR(INDEX(Areas!$C$2:$C$6,MATCH($A433,Areas!$B$2:$B$6,0)),"")</f>
        <v>Rest of Building</v>
      </c>
      <c r="J433" s="0" t="n">
        <f aca="false">IF(IF($B433="Trash",INDEX('Materials Master'!$F$2:$F$27,MATCH($C433,'Materials Master'!$A$2:$A$27,0)),IF($B433="GMPC Recycling",INDEX('Materials Master'!$G$2:$G$27,MATCH($C433,'Materials Master'!$A$2:$A$27,0)),IF($B433="Organics Recycling",INDEX('Materials Master'!$H$2:$H$27,MATCH($C433,'Materials Master'!$A$2:$A$27,0)),IF($B433="Cardboard Recycling",INDEX('Materials Master'!$I$2:$I$27,MATCH($C433,'Materials Master'!$A$2:$A$27,0)),IF($B433="Paper Recycling",INDEX('Materials Master'!$J$2:$J$27,MATCH($C433,'Materials Master'!$A$2:$A$27,0)),IF($B433="Terracycle",INDEX('Materials Master'!$K$2:$K$27,MATCH($C433,'Materials Master'!$A$2:$A$27,0)),"No"))))))="Yes",1,0)</f>
        <v>0</v>
      </c>
    </row>
    <row r="434" customFormat="false" ht="15" hidden="false" customHeight="false" outlineLevel="0" collapsed="false">
      <c r="A434" s="0" t="s">
        <v>98</v>
      </c>
      <c r="B434" s="0" t="s">
        <v>107</v>
      </c>
      <c r="C434" s="0" t="s">
        <v>66</v>
      </c>
      <c r="D434" s="0" t="str">
        <f aca="false">IFERROR(INDEX('Materials Master'!$B$2:$B$27,MATCH($C434,'Materials Master'!$A$2:$A$27,0)),"")</f>
        <v>Food Waste</v>
      </c>
      <c r="E434" s="0" t="str">
        <f aca="false">IFERROR(INDEX('Materials Master'!$C$2:$C$27,MATCH($C434,'Materials Master'!$A$2:$A$27,0)),"")</f>
        <v>Organics</v>
      </c>
      <c r="F434" s="0" t="n">
        <f aca="false">IF(SUMIFS(Fact_SortedWeights!$E$2:$E$89,Fact_SortedWeights!$C$2:$C$89,$A434,Fact_SortedWeights!$B$2:$B$89,$B434)=0,0,SUMIFS(Fact_SortedWeights!$E$2:$E$89,Fact_SortedWeights!$C$2:$C$89,$A434,Fact_SortedWeights!$B$2:$B$89,$B434,Fact_SortedWeights!$D$2:$D$89,$C434)/SUMIFS(Fact_SortedWeights!$E$2:$E$89,Fact_SortedWeights!$C$2:$C$89,$A434,Fact_SortedWeights!$B$2:$B$89,$B434)*(IF($B434="Cardboard Recycling",SUMIFS(Fact_SortedWeights!$E$2:$E$89,Fact_SortedWeights!$C$2:$C$89,$A434,Fact_SortedWeights!$B$2:$B$89,$B434),SUMIFS(Fact_PreSortWeights!$E$2:$E$186,Fact_PreSortWeights!$C$2:$C$186,$A434,Fact_PreSortWeights!$B$2:$B$186,$B434))))</f>
        <v>0</v>
      </c>
      <c r="G434" s="0" t="n">
        <f aca="false">IF(AND(IF($B434="Trash",INDEX('Materials Master'!$F$2:$F$27,MATCH($C434,'Materials Master'!$A$2:$A$27,0)),IF($B434="GMPC Recycling",INDEX('Materials Master'!$G$2:$G$27,MATCH($C434,'Materials Master'!$A$2:$A$27,0)),IF($B434="Organics Recycling",INDEX('Materials Master'!$H$2:$H$27,MATCH($C434,'Materials Master'!$A$2:$A$27,0)),IF($B434="Cardboard Recycling",INDEX('Materials Master'!$I$2:$I$27,MATCH($C434,'Materials Master'!$A$2:$A$27,0)),IF($B434="Paper Recycling",INDEX('Materials Master'!$J$2:$J$27,MATCH($C434,'Materials Master'!$A$2:$A$27,0)),IF($B434="Terracycle",INDEX('Materials Master'!$K$2:$K$27,MATCH($C434,'Materials Master'!$A$2:$A$27,0)),"No"))))))="Yes",INDEX('Materials Master'!$E$2:$E$27,MATCH($C434,'Materials Master'!$A$2:$A$27,0))="Yes",$B434&lt;&gt;"Trash"),1,0)</f>
        <v>0</v>
      </c>
      <c r="H434" s="0" t="str">
        <f aca="false">INDEX('Materials Master'!$E$2:$E$27,MATCH($C434,'Materials Master'!$A$2:$A$27,0))</f>
        <v>Yes</v>
      </c>
      <c r="I434" s="0" t="str">
        <f aca="false">IFERROR(INDEX(Areas!$C$2:$C$6,MATCH($A434,Areas!$B$2:$B$6,0)),"")</f>
        <v>Rest of Building</v>
      </c>
      <c r="J434" s="0" t="n">
        <f aca="false">IF(IF($B434="Trash",INDEX('Materials Master'!$F$2:$F$27,MATCH($C434,'Materials Master'!$A$2:$A$27,0)),IF($B434="GMPC Recycling",INDEX('Materials Master'!$G$2:$G$27,MATCH($C434,'Materials Master'!$A$2:$A$27,0)),IF($B434="Organics Recycling",INDEX('Materials Master'!$H$2:$H$27,MATCH($C434,'Materials Master'!$A$2:$A$27,0)),IF($B434="Cardboard Recycling",INDEX('Materials Master'!$I$2:$I$27,MATCH($C434,'Materials Master'!$A$2:$A$27,0)),IF($B434="Paper Recycling",INDEX('Materials Master'!$J$2:$J$27,MATCH($C434,'Materials Master'!$A$2:$A$27,0)),IF($B434="Terracycle",INDEX('Materials Master'!$K$2:$K$27,MATCH($C434,'Materials Master'!$A$2:$A$27,0)),"No"))))))="Yes",1,0)</f>
        <v>0</v>
      </c>
    </row>
    <row r="435" customFormat="false" ht="15" hidden="false" customHeight="false" outlineLevel="0" collapsed="false">
      <c r="A435" s="0" t="s">
        <v>98</v>
      </c>
      <c r="B435" s="0" t="s">
        <v>107</v>
      </c>
      <c r="C435" s="0" t="s">
        <v>69</v>
      </c>
      <c r="D435" s="0" t="str">
        <f aca="false">IFERROR(INDEX('Materials Master'!$B$2:$B$27,MATCH($C435,'Materials Master'!$A$2:$A$27,0)),"")</f>
        <v>Paper Fibers and Food-Soiled Paper (FSP)</v>
      </c>
      <c r="E435" s="0" t="str">
        <f aca="false">IFERROR(INDEX('Materials Master'!$C$2:$C$27,MATCH($C435,'Materials Master'!$A$2:$A$27,0)),"")</f>
        <v>Organics</v>
      </c>
      <c r="F435" s="0" t="n">
        <f aca="false">IF(SUMIFS(Fact_SortedWeights!$E$2:$E$89,Fact_SortedWeights!$C$2:$C$89,$A435,Fact_SortedWeights!$B$2:$B$89,$B435)=0,0,SUMIFS(Fact_SortedWeights!$E$2:$E$89,Fact_SortedWeights!$C$2:$C$89,$A435,Fact_SortedWeights!$B$2:$B$89,$B435,Fact_SortedWeights!$D$2:$D$89,$C435)/SUMIFS(Fact_SortedWeights!$E$2:$E$89,Fact_SortedWeights!$C$2:$C$89,$A435,Fact_SortedWeights!$B$2:$B$89,$B435)*(IF($B435="Cardboard Recycling",SUMIFS(Fact_SortedWeights!$E$2:$E$89,Fact_SortedWeights!$C$2:$C$89,$A435,Fact_SortedWeights!$B$2:$B$89,$B435),SUMIFS(Fact_PreSortWeights!$E$2:$E$186,Fact_PreSortWeights!$C$2:$C$186,$A435,Fact_PreSortWeights!$B$2:$B$186,$B435))))</f>
        <v>0</v>
      </c>
      <c r="G435" s="0" t="n">
        <f aca="false">IF(AND(IF($B435="Trash",INDEX('Materials Master'!$F$2:$F$27,MATCH($C435,'Materials Master'!$A$2:$A$27,0)),IF($B435="GMPC Recycling",INDEX('Materials Master'!$G$2:$G$27,MATCH($C435,'Materials Master'!$A$2:$A$27,0)),IF($B435="Organics Recycling",INDEX('Materials Master'!$H$2:$H$27,MATCH($C435,'Materials Master'!$A$2:$A$27,0)),IF($B435="Cardboard Recycling",INDEX('Materials Master'!$I$2:$I$27,MATCH($C435,'Materials Master'!$A$2:$A$27,0)),IF($B435="Paper Recycling",INDEX('Materials Master'!$J$2:$J$27,MATCH($C435,'Materials Master'!$A$2:$A$27,0)),IF($B435="Terracycle",INDEX('Materials Master'!$K$2:$K$27,MATCH($C435,'Materials Master'!$A$2:$A$27,0)),"No"))))))="Yes",INDEX('Materials Master'!$E$2:$E$27,MATCH($C435,'Materials Master'!$A$2:$A$27,0))="Yes",$B435&lt;&gt;"Trash"),1,0)</f>
        <v>0</v>
      </c>
      <c r="H435" s="0" t="str">
        <f aca="false">INDEX('Materials Master'!$E$2:$E$27,MATCH($C435,'Materials Master'!$A$2:$A$27,0))</f>
        <v>No</v>
      </c>
      <c r="I435" s="0" t="str">
        <f aca="false">IFERROR(INDEX(Areas!$C$2:$C$6,MATCH($A435,Areas!$B$2:$B$6,0)),"")</f>
        <v>Rest of Building</v>
      </c>
      <c r="J435" s="0" t="n">
        <f aca="false">IF(IF($B435="Trash",INDEX('Materials Master'!$F$2:$F$27,MATCH($C435,'Materials Master'!$A$2:$A$27,0)),IF($B435="GMPC Recycling",INDEX('Materials Master'!$G$2:$G$27,MATCH($C435,'Materials Master'!$A$2:$A$27,0)),IF($B435="Organics Recycling",INDEX('Materials Master'!$H$2:$H$27,MATCH($C435,'Materials Master'!$A$2:$A$27,0)),IF($B435="Cardboard Recycling",INDEX('Materials Master'!$I$2:$I$27,MATCH($C435,'Materials Master'!$A$2:$A$27,0)),IF($B435="Paper Recycling",INDEX('Materials Master'!$J$2:$J$27,MATCH($C435,'Materials Master'!$A$2:$A$27,0)),IF($B435="Terracycle",INDEX('Materials Master'!$K$2:$K$27,MATCH($C435,'Materials Master'!$A$2:$A$27,0)),"No"))))))="Yes",1,0)</f>
        <v>0</v>
      </c>
    </row>
    <row r="436" customFormat="false" ht="15" hidden="false" customHeight="false" outlineLevel="0" collapsed="false">
      <c r="A436" s="0" t="s">
        <v>98</v>
      </c>
      <c r="B436" s="0" t="s">
        <v>107</v>
      </c>
      <c r="C436" s="0" t="s">
        <v>71</v>
      </c>
      <c r="D436" s="0" t="str">
        <f aca="false">IFERROR(INDEX('Materials Master'!$B$2:$B$27,MATCH($C436,'Materials Master'!$A$2:$A$27,0)),"")</f>
        <v>Fiber-based Compostable Serviceware</v>
      </c>
      <c r="E436" s="0" t="str">
        <f aca="false">IFERROR(INDEX('Materials Master'!$C$2:$C$27,MATCH($C436,'Materials Master'!$A$2:$A$27,0)),"")</f>
        <v>Organics</v>
      </c>
      <c r="F436" s="0" t="n">
        <f aca="false">IF(SUMIFS(Fact_SortedWeights!$E$2:$E$89,Fact_SortedWeights!$C$2:$C$89,$A436,Fact_SortedWeights!$B$2:$B$89,$B436)=0,0,SUMIFS(Fact_SortedWeights!$E$2:$E$89,Fact_SortedWeights!$C$2:$C$89,$A436,Fact_SortedWeights!$B$2:$B$89,$B436,Fact_SortedWeights!$D$2:$D$89,$C436)/SUMIFS(Fact_SortedWeights!$E$2:$E$89,Fact_SortedWeights!$C$2:$C$89,$A436,Fact_SortedWeights!$B$2:$B$89,$B436)*(IF($B436="Cardboard Recycling",SUMIFS(Fact_SortedWeights!$E$2:$E$89,Fact_SortedWeights!$C$2:$C$89,$A436,Fact_SortedWeights!$B$2:$B$89,$B436),SUMIFS(Fact_PreSortWeights!$E$2:$E$186,Fact_PreSortWeights!$C$2:$C$186,$A436,Fact_PreSortWeights!$B$2:$B$186,$B436))))</f>
        <v>0</v>
      </c>
      <c r="G436" s="0" t="n">
        <f aca="false">IF(AND(IF($B436="Trash",INDEX('Materials Master'!$F$2:$F$27,MATCH($C436,'Materials Master'!$A$2:$A$27,0)),IF($B436="GMPC Recycling",INDEX('Materials Master'!$G$2:$G$27,MATCH($C436,'Materials Master'!$A$2:$A$27,0)),IF($B436="Organics Recycling",INDEX('Materials Master'!$H$2:$H$27,MATCH($C436,'Materials Master'!$A$2:$A$27,0)),IF($B436="Cardboard Recycling",INDEX('Materials Master'!$I$2:$I$27,MATCH($C436,'Materials Master'!$A$2:$A$27,0)),IF($B436="Paper Recycling",INDEX('Materials Master'!$J$2:$J$27,MATCH($C436,'Materials Master'!$A$2:$A$27,0)),IF($B436="Terracycle",INDEX('Materials Master'!$K$2:$K$27,MATCH($C436,'Materials Master'!$A$2:$A$27,0)),"No"))))))="Yes",INDEX('Materials Master'!$E$2:$E$27,MATCH($C436,'Materials Master'!$A$2:$A$27,0))="Yes",$B436&lt;&gt;"Trash"),1,0)</f>
        <v>0</v>
      </c>
      <c r="H436" s="0" t="str">
        <f aca="false">INDEX('Materials Master'!$E$2:$E$27,MATCH($C436,'Materials Master'!$A$2:$A$27,0))</f>
        <v>No</v>
      </c>
      <c r="I436" s="0" t="str">
        <f aca="false">IFERROR(INDEX(Areas!$C$2:$C$6,MATCH($A436,Areas!$B$2:$B$6,0)),"")</f>
        <v>Rest of Building</v>
      </c>
      <c r="J436" s="0" t="n">
        <f aca="false">IF(IF($B436="Trash",INDEX('Materials Master'!$F$2:$F$27,MATCH($C436,'Materials Master'!$A$2:$A$27,0)),IF($B436="GMPC Recycling",INDEX('Materials Master'!$G$2:$G$27,MATCH($C436,'Materials Master'!$A$2:$A$27,0)),IF($B436="Organics Recycling",INDEX('Materials Master'!$H$2:$H$27,MATCH($C436,'Materials Master'!$A$2:$A$27,0)),IF($B436="Cardboard Recycling",INDEX('Materials Master'!$I$2:$I$27,MATCH($C436,'Materials Master'!$A$2:$A$27,0)),IF($B436="Paper Recycling",INDEX('Materials Master'!$J$2:$J$27,MATCH($C436,'Materials Master'!$A$2:$A$27,0)),IF($B436="Terracycle",INDEX('Materials Master'!$K$2:$K$27,MATCH($C436,'Materials Master'!$A$2:$A$27,0)),"No"))))))="Yes",1,0)</f>
        <v>0</v>
      </c>
    </row>
    <row r="437" customFormat="false" ht="15" hidden="false" customHeight="false" outlineLevel="0" collapsed="false">
      <c r="A437" s="0" t="s">
        <v>98</v>
      </c>
      <c r="B437" s="0" t="s">
        <v>107</v>
      </c>
      <c r="C437" s="0" t="s">
        <v>73</v>
      </c>
      <c r="D437" s="0" t="str">
        <f aca="false">IFERROR(INDEX('Materials Master'!$B$2:$B$27,MATCH($C437,'Materials Master'!$A$2:$A$27,0)),"")</f>
        <v>PLA Compostable Serviceware</v>
      </c>
      <c r="E437" s="0" t="str">
        <f aca="false">IFERROR(INDEX('Materials Master'!$C$2:$C$27,MATCH($C437,'Materials Master'!$A$2:$A$27,0)),"")</f>
        <v>Organics</v>
      </c>
      <c r="F437" s="0" t="n">
        <f aca="false">IF(SUMIFS(Fact_SortedWeights!$E$2:$E$89,Fact_SortedWeights!$C$2:$C$89,$A437,Fact_SortedWeights!$B$2:$B$89,$B437)=0,0,SUMIFS(Fact_SortedWeights!$E$2:$E$89,Fact_SortedWeights!$C$2:$C$89,$A437,Fact_SortedWeights!$B$2:$B$89,$B437,Fact_SortedWeights!$D$2:$D$89,$C437)/SUMIFS(Fact_SortedWeights!$E$2:$E$89,Fact_SortedWeights!$C$2:$C$89,$A437,Fact_SortedWeights!$B$2:$B$89,$B437)*(IF($B437="Cardboard Recycling",SUMIFS(Fact_SortedWeights!$E$2:$E$89,Fact_SortedWeights!$C$2:$C$89,$A437,Fact_SortedWeights!$B$2:$B$89,$B437),SUMIFS(Fact_PreSortWeights!$E$2:$E$186,Fact_PreSortWeights!$C$2:$C$186,$A437,Fact_PreSortWeights!$B$2:$B$186,$B437))))</f>
        <v>0</v>
      </c>
      <c r="G437" s="0" t="n">
        <f aca="false">IF(AND(IF($B437="Trash",INDEX('Materials Master'!$F$2:$F$27,MATCH($C437,'Materials Master'!$A$2:$A$27,0)),IF($B437="GMPC Recycling",INDEX('Materials Master'!$G$2:$G$27,MATCH($C437,'Materials Master'!$A$2:$A$27,0)),IF($B437="Organics Recycling",INDEX('Materials Master'!$H$2:$H$27,MATCH($C437,'Materials Master'!$A$2:$A$27,0)),IF($B437="Cardboard Recycling",INDEX('Materials Master'!$I$2:$I$27,MATCH($C437,'Materials Master'!$A$2:$A$27,0)),IF($B437="Paper Recycling",INDEX('Materials Master'!$J$2:$J$27,MATCH($C437,'Materials Master'!$A$2:$A$27,0)),IF($B437="Terracycle",INDEX('Materials Master'!$K$2:$K$27,MATCH($C437,'Materials Master'!$A$2:$A$27,0)),"No"))))))="Yes",INDEX('Materials Master'!$E$2:$E$27,MATCH($C437,'Materials Master'!$A$2:$A$27,0))="Yes",$B437&lt;&gt;"Trash"),1,0)</f>
        <v>0</v>
      </c>
      <c r="H437" s="0" t="str">
        <f aca="false">INDEX('Materials Master'!$E$2:$E$27,MATCH($C437,'Materials Master'!$A$2:$A$27,0))</f>
        <v>No</v>
      </c>
      <c r="I437" s="0" t="str">
        <f aca="false">IFERROR(INDEX(Areas!$C$2:$C$6,MATCH($A437,Areas!$B$2:$B$6,0)),"")</f>
        <v>Rest of Building</v>
      </c>
      <c r="J437" s="0" t="n">
        <f aca="false">IF(IF($B437="Trash",INDEX('Materials Master'!$F$2:$F$27,MATCH($C437,'Materials Master'!$A$2:$A$27,0)),IF($B437="GMPC Recycling",INDEX('Materials Master'!$G$2:$G$27,MATCH($C437,'Materials Master'!$A$2:$A$27,0)),IF($B437="Organics Recycling",INDEX('Materials Master'!$H$2:$H$27,MATCH($C437,'Materials Master'!$A$2:$A$27,0)),IF($B437="Cardboard Recycling",INDEX('Materials Master'!$I$2:$I$27,MATCH($C437,'Materials Master'!$A$2:$A$27,0)),IF($B437="Paper Recycling",INDEX('Materials Master'!$J$2:$J$27,MATCH($C437,'Materials Master'!$A$2:$A$27,0)),IF($B437="Terracycle",INDEX('Materials Master'!$K$2:$K$27,MATCH($C437,'Materials Master'!$A$2:$A$27,0)),"No"))))))="Yes",1,0)</f>
        <v>0</v>
      </c>
    </row>
    <row r="438" customFormat="false" ht="15" hidden="false" customHeight="false" outlineLevel="0" collapsed="false">
      <c r="A438" s="0" t="s">
        <v>98</v>
      </c>
      <c r="B438" s="0" t="s">
        <v>107</v>
      </c>
      <c r="C438" s="0" t="s">
        <v>75</v>
      </c>
      <c r="D438" s="0" t="str">
        <f aca="false">IFERROR(INDEX('Materials Master'!$B$2:$B$27,MATCH($C438,'Materials Master'!$A$2:$A$27,0)),"")</f>
        <v>E/U Waste</v>
      </c>
      <c r="E438" s="0" t="str">
        <f aca="false">IFERROR(INDEX('Materials Master'!$C$2:$C$27,MATCH($C438,'Materials Master'!$A$2:$A$27,0)),"")</f>
        <v>Unacceptable</v>
      </c>
      <c r="F438" s="0" t="n">
        <f aca="false">IF(SUMIFS(Fact_SortedWeights!$E$2:$E$89,Fact_SortedWeights!$C$2:$C$89,$A438,Fact_SortedWeights!$B$2:$B$89,$B438)=0,0,SUMIFS(Fact_SortedWeights!$E$2:$E$89,Fact_SortedWeights!$C$2:$C$89,$A438,Fact_SortedWeights!$B$2:$B$89,$B438,Fact_SortedWeights!$D$2:$D$89,$C438)/SUMIFS(Fact_SortedWeights!$E$2:$E$89,Fact_SortedWeights!$C$2:$C$89,$A438,Fact_SortedWeights!$B$2:$B$89,$B438)*(IF($B438="Cardboard Recycling",SUMIFS(Fact_SortedWeights!$E$2:$E$89,Fact_SortedWeights!$C$2:$C$89,$A438,Fact_SortedWeights!$B$2:$B$89,$B438),SUMIFS(Fact_PreSortWeights!$E$2:$E$186,Fact_PreSortWeights!$C$2:$C$186,$A438,Fact_PreSortWeights!$B$2:$B$186,$B438))))</f>
        <v>0</v>
      </c>
      <c r="G438" s="0" t="n">
        <f aca="false">IF(AND(IF($B438="Trash",INDEX('Materials Master'!$F$2:$F$27,MATCH($C438,'Materials Master'!$A$2:$A$27,0)),IF($B438="GMPC Recycling",INDEX('Materials Master'!$G$2:$G$27,MATCH($C438,'Materials Master'!$A$2:$A$27,0)),IF($B438="Organics Recycling",INDEX('Materials Master'!$H$2:$H$27,MATCH($C438,'Materials Master'!$A$2:$A$27,0)),IF($B438="Cardboard Recycling",INDEX('Materials Master'!$I$2:$I$27,MATCH($C438,'Materials Master'!$A$2:$A$27,0)),IF($B438="Paper Recycling",INDEX('Materials Master'!$J$2:$J$27,MATCH($C438,'Materials Master'!$A$2:$A$27,0)),IF($B438="Terracycle",INDEX('Materials Master'!$K$2:$K$27,MATCH($C438,'Materials Master'!$A$2:$A$27,0)),"No"))))))="Yes",INDEX('Materials Master'!$E$2:$E$27,MATCH($C438,'Materials Master'!$A$2:$A$27,0))="Yes",$B438&lt;&gt;"Trash"),1,0)</f>
        <v>0</v>
      </c>
      <c r="H438" s="0" t="str">
        <f aca="false">INDEX('Materials Master'!$E$2:$E$27,MATCH($C438,'Materials Master'!$A$2:$A$27,0))</f>
        <v>No</v>
      </c>
      <c r="I438" s="0" t="str">
        <f aca="false">IFERROR(INDEX(Areas!$C$2:$C$6,MATCH($A438,Areas!$B$2:$B$6,0)),"")</f>
        <v>Rest of Building</v>
      </c>
      <c r="J438" s="0" t="n">
        <f aca="false">IF(IF($B438="Trash",INDEX('Materials Master'!$F$2:$F$27,MATCH($C438,'Materials Master'!$A$2:$A$27,0)),IF($B438="GMPC Recycling",INDEX('Materials Master'!$G$2:$G$27,MATCH($C438,'Materials Master'!$A$2:$A$27,0)),IF($B438="Organics Recycling",INDEX('Materials Master'!$H$2:$H$27,MATCH($C438,'Materials Master'!$A$2:$A$27,0)),IF($B438="Cardboard Recycling",INDEX('Materials Master'!$I$2:$I$27,MATCH($C438,'Materials Master'!$A$2:$A$27,0)),IF($B438="Paper Recycling",INDEX('Materials Master'!$J$2:$J$27,MATCH($C438,'Materials Master'!$A$2:$A$27,0)),IF($B438="Terracycle",INDEX('Materials Master'!$K$2:$K$27,MATCH($C438,'Materials Master'!$A$2:$A$27,0)),"No"))))))="Yes",1,0)</f>
        <v>0</v>
      </c>
    </row>
    <row r="439" customFormat="false" ht="15" hidden="false" customHeight="false" outlineLevel="0" collapsed="false">
      <c r="A439" s="0" t="s">
        <v>98</v>
      </c>
      <c r="B439" s="0" t="s">
        <v>107</v>
      </c>
      <c r="C439" s="0" t="s">
        <v>78</v>
      </c>
      <c r="D439" s="0" t="str">
        <f aca="false">IFERROR(INDEX('Materials Master'!$B$2:$B$27,MATCH($C439,'Materials Master'!$A$2:$A$27,0)),"")</f>
        <v>Textiles</v>
      </c>
      <c r="E439" s="0" t="str">
        <f aca="false">IFERROR(INDEX('Materials Master'!$C$2:$C$27,MATCH($C439,'Materials Master'!$A$2:$A$27,0)),"")</f>
        <v>Unacceptable</v>
      </c>
      <c r="F439" s="0" t="n">
        <f aca="false">IF(SUMIFS(Fact_SortedWeights!$E$2:$E$89,Fact_SortedWeights!$C$2:$C$89,$A439,Fact_SortedWeights!$B$2:$B$89,$B439)=0,0,SUMIFS(Fact_SortedWeights!$E$2:$E$89,Fact_SortedWeights!$C$2:$C$89,$A439,Fact_SortedWeights!$B$2:$B$89,$B439,Fact_SortedWeights!$D$2:$D$89,$C439)/SUMIFS(Fact_SortedWeights!$E$2:$E$89,Fact_SortedWeights!$C$2:$C$89,$A439,Fact_SortedWeights!$B$2:$B$89,$B439)*(IF($B439="Cardboard Recycling",SUMIFS(Fact_SortedWeights!$E$2:$E$89,Fact_SortedWeights!$C$2:$C$89,$A439,Fact_SortedWeights!$B$2:$B$89,$B439),SUMIFS(Fact_PreSortWeights!$E$2:$E$186,Fact_PreSortWeights!$C$2:$C$186,$A439,Fact_PreSortWeights!$B$2:$B$186,$B439))))</f>
        <v>0</v>
      </c>
      <c r="G439" s="0" t="n">
        <f aca="false">IF(AND(IF($B439="Trash",INDEX('Materials Master'!$F$2:$F$27,MATCH($C439,'Materials Master'!$A$2:$A$27,0)),IF($B439="GMPC Recycling",INDEX('Materials Master'!$G$2:$G$27,MATCH($C439,'Materials Master'!$A$2:$A$27,0)),IF($B439="Organics Recycling",INDEX('Materials Master'!$H$2:$H$27,MATCH($C439,'Materials Master'!$A$2:$A$27,0)),IF($B439="Cardboard Recycling",INDEX('Materials Master'!$I$2:$I$27,MATCH($C439,'Materials Master'!$A$2:$A$27,0)),IF($B439="Paper Recycling",INDEX('Materials Master'!$J$2:$J$27,MATCH($C439,'Materials Master'!$A$2:$A$27,0)),IF($B439="Terracycle",INDEX('Materials Master'!$K$2:$K$27,MATCH($C439,'Materials Master'!$A$2:$A$27,0)),"No"))))))="Yes",INDEX('Materials Master'!$E$2:$E$27,MATCH($C439,'Materials Master'!$A$2:$A$27,0))="Yes",$B439&lt;&gt;"Trash"),1,0)</f>
        <v>0</v>
      </c>
      <c r="H439" s="0" t="str">
        <f aca="false">INDEX('Materials Master'!$E$2:$E$27,MATCH($C439,'Materials Master'!$A$2:$A$27,0))</f>
        <v>No</v>
      </c>
      <c r="I439" s="0" t="str">
        <f aca="false">IFERROR(INDEX(Areas!$C$2:$C$6,MATCH($A439,Areas!$B$2:$B$6,0)),"")</f>
        <v>Rest of Building</v>
      </c>
      <c r="J439" s="0" t="n">
        <f aca="false">IF(IF($B439="Trash",INDEX('Materials Master'!$F$2:$F$27,MATCH($C439,'Materials Master'!$A$2:$A$27,0)),IF($B439="GMPC Recycling",INDEX('Materials Master'!$G$2:$G$27,MATCH($C439,'Materials Master'!$A$2:$A$27,0)),IF($B439="Organics Recycling",INDEX('Materials Master'!$H$2:$H$27,MATCH($C439,'Materials Master'!$A$2:$A$27,0)),IF($B439="Cardboard Recycling",INDEX('Materials Master'!$I$2:$I$27,MATCH($C439,'Materials Master'!$A$2:$A$27,0)),IF($B439="Paper Recycling",INDEX('Materials Master'!$J$2:$J$27,MATCH($C439,'Materials Master'!$A$2:$A$27,0)),IF($B439="Terracycle",INDEX('Materials Master'!$K$2:$K$27,MATCH($C439,'Materials Master'!$A$2:$A$27,0)),"No"))))))="Yes",1,0)</f>
        <v>0</v>
      </c>
    </row>
    <row r="440" customFormat="false" ht="15" hidden="false" customHeight="false" outlineLevel="0" collapsed="false">
      <c r="A440" s="0" t="s">
        <v>98</v>
      </c>
      <c r="B440" s="0" t="s">
        <v>107</v>
      </c>
      <c r="C440" s="0" t="s">
        <v>80</v>
      </c>
      <c r="D440" s="0" t="str">
        <f aca="false">IFERROR(INDEX('Materials Master'!$B$2:$B$27,MATCH($C440,'Materials Master'!$A$2:$A$27,0)),"")</f>
        <v>Other Unacceptable (specify)</v>
      </c>
      <c r="E440" s="0" t="str">
        <f aca="false">IFERROR(INDEX('Materials Master'!$C$2:$C$27,MATCH($C440,'Materials Master'!$A$2:$A$27,0)),"")</f>
        <v>Unacceptable</v>
      </c>
      <c r="F440" s="0" t="n">
        <f aca="false">IF(SUMIFS(Fact_SortedWeights!$E$2:$E$89,Fact_SortedWeights!$C$2:$C$89,$A440,Fact_SortedWeights!$B$2:$B$89,$B440)=0,0,SUMIFS(Fact_SortedWeights!$E$2:$E$89,Fact_SortedWeights!$C$2:$C$89,$A440,Fact_SortedWeights!$B$2:$B$89,$B440,Fact_SortedWeights!$D$2:$D$89,$C440)/SUMIFS(Fact_SortedWeights!$E$2:$E$89,Fact_SortedWeights!$C$2:$C$89,$A440,Fact_SortedWeights!$B$2:$B$89,$B440)*(IF($B440="Cardboard Recycling",SUMIFS(Fact_SortedWeights!$E$2:$E$89,Fact_SortedWeights!$C$2:$C$89,$A440,Fact_SortedWeights!$B$2:$B$89,$B440),SUMIFS(Fact_PreSortWeights!$E$2:$E$186,Fact_PreSortWeights!$C$2:$C$186,$A440,Fact_PreSortWeights!$B$2:$B$186,$B440))))</f>
        <v>0</v>
      </c>
      <c r="G440" s="0" t="n">
        <f aca="false">IF(AND(IF($B440="Trash",INDEX('Materials Master'!$F$2:$F$27,MATCH($C440,'Materials Master'!$A$2:$A$27,0)),IF($B440="GMPC Recycling",INDEX('Materials Master'!$G$2:$G$27,MATCH($C440,'Materials Master'!$A$2:$A$27,0)),IF($B440="Organics Recycling",INDEX('Materials Master'!$H$2:$H$27,MATCH($C440,'Materials Master'!$A$2:$A$27,0)),IF($B440="Cardboard Recycling",INDEX('Materials Master'!$I$2:$I$27,MATCH($C440,'Materials Master'!$A$2:$A$27,0)),IF($B440="Paper Recycling",INDEX('Materials Master'!$J$2:$J$27,MATCH($C440,'Materials Master'!$A$2:$A$27,0)),IF($B440="Terracycle",INDEX('Materials Master'!$K$2:$K$27,MATCH($C440,'Materials Master'!$A$2:$A$27,0)),"No"))))))="Yes",INDEX('Materials Master'!$E$2:$E$27,MATCH($C440,'Materials Master'!$A$2:$A$27,0))="Yes",$B440&lt;&gt;"Trash"),1,0)</f>
        <v>0</v>
      </c>
      <c r="H440" s="0" t="str">
        <f aca="false">INDEX('Materials Master'!$E$2:$E$27,MATCH($C440,'Materials Master'!$A$2:$A$27,0))</f>
        <v>No</v>
      </c>
      <c r="I440" s="0" t="str">
        <f aca="false">IFERROR(INDEX(Areas!$C$2:$C$6,MATCH($A440,Areas!$B$2:$B$6,0)),"")</f>
        <v>Rest of Building</v>
      </c>
      <c r="J440" s="0" t="n">
        <f aca="false">IF(IF($B440="Trash",INDEX('Materials Master'!$F$2:$F$27,MATCH($C440,'Materials Master'!$A$2:$A$27,0)),IF($B440="GMPC Recycling",INDEX('Materials Master'!$G$2:$G$27,MATCH($C440,'Materials Master'!$A$2:$A$27,0)),IF($B440="Organics Recycling",INDEX('Materials Master'!$H$2:$H$27,MATCH($C440,'Materials Master'!$A$2:$A$27,0)),IF($B440="Cardboard Recycling",INDEX('Materials Master'!$I$2:$I$27,MATCH($C440,'Materials Master'!$A$2:$A$27,0)),IF($B440="Paper Recycling",INDEX('Materials Master'!$J$2:$J$27,MATCH($C440,'Materials Master'!$A$2:$A$27,0)),IF($B440="Terracycle",INDEX('Materials Master'!$K$2:$K$27,MATCH($C440,'Materials Master'!$A$2:$A$27,0)),"No"))))))="Yes",1,0)</f>
        <v>0</v>
      </c>
    </row>
    <row r="441" customFormat="false" ht="15" hidden="false" customHeight="false" outlineLevel="0" collapsed="false">
      <c r="A441" s="0" t="s">
        <v>98</v>
      </c>
      <c r="B441" s="0" t="s">
        <v>107</v>
      </c>
      <c r="C441" s="0" t="s">
        <v>82</v>
      </c>
      <c r="D441" s="0" t="str">
        <f aca="false">IFERROR(INDEX('Materials Master'!$B$2:$B$27,MATCH($C441,'Materials Master'!$A$2:$A$27,0)),"")</f>
        <v>Liquids</v>
      </c>
      <c r="E441" s="0" t="str">
        <f aca="false">IFERROR(INDEX('Materials Master'!$C$2:$C$27,MATCH($C441,'Materials Master'!$A$2:$A$27,0)),"")</f>
        <v>Unacceptable</v>
      </c>
      <c r="F441" s="0" t="n">
        <f aca="false">IF(SUMIFS(Fact_SortedWeights!$E$2:$E$89,Fact_SortedWeights!$C$2:$C$89,$A441,Fact_SortedWeights!$B$2:$B$89,$B441)=0,0,SUMIFS(Fact_SortedWeights!$E$2:$E$89,Fact_SortedWeights!$C$2:$C$89,$A441,Fact_SortedWeights!$B$2:$B$89,$B441,Fact_SortedWeights!$D$2:$D$89,$C441)/SUMIFS(Fact_SortedWeights!$E$2:$E$89,Fact_SortedWeights!$C$2:$C$89,$A441,Fact_SortedWeights!$B$2:$B$89,$B441)*(IF($B441="Cardboard Recycling",SUMIFS(Fact_SortedWeights!$E$2:$E$89,Fact_SortedWeights!$C$2:$C$89,$A441,Fact_SortedWeights!$B$2:$B$89,$B441),SUMIFS(Fact_PreSortWeights!$E$2:$E$186,Fact_PreSortWeights!$C$2:$C$186,$A441,Fact_PreSortWeights!$B$2:$B$186,$B441))))</f>
        <v>0</v>
      </c>
      <c r="G441" s="0" t="n">
        <f aca="false">IF(AND(IF($B441="Trash",INDEX('Materials Master'!$F$2:$F$27,MATCH($C441,'Materials Master'!$A$2:$A$27,0)),IF($B441="GMPC Recycling",INDEX('Materials Master'!$G$2:$G$27,MATCH($C441,'Materials Master'!$A$2:$A$27,0)),IF($B441="Organics Recycling",INDEX('Materials Master'!$H$2:$H$27,MATCH($C441,'Materials Master'!$A$2:$A$27,0)),IF($B441="Cardboard Recycling",INDEX('Materials Master'!$I$2:$I$27,MATCH($C441,'Materials Master'!$A$2:$A$27,0)),IF($B441="Paper Recycling",INDEX('Materials Master'!$J$2:$J$27,MATCH($C441,'Materials Master'!$A$2:$A$27,0)),IF($B441="Terracycle",INDEX('Materials Master'!$K$2:$K$27,MATCH($C441,'Materials Master'!$A$2:$A$27,0)),"No"))))))="Yes",INDEX('Materials Master'!$E$2:$E$27,MATCH($C441,'Materials Master'!$A$2:$A$27,0))="Yes",$B441&lt;&gt;"Trash"),1,0)</f>
        <v>0</v>
      </c>
      <c r="H441" s="0" t="str">
        <f aca="false">INDEX('Materials Master'!$E$2:$E$27,MATCH($C441,'Materials Master'!$A$2:$A$27,0))</f>
        <v>No</v>
      </c>
      <c r="I441" s="0" t="str">
        <f aca="false">IFERROR(INDEX(Areas!$C$2:$C$6,MATCH($A441,Areas!$B$2:$B$6,0)),"")</f>
        <v>Rest of Building</v>
      </c>
      <c r="J441" s="0" t="n">
        <f aca="false">IF(IF($B441="Trash",INDEX('Materials Master'!$F$2:$F$27,MATCH($C441,'Materials Master'!$A$2:$A$27,0)),IF($B441="GMPC Recycling",INDEX('Materials Master'!$G$2:$G$27,MATCH($C441,'Materials Master'!$A$2:$A$27,0)),IF($B441="Organics Recycling",INDEX('Materials Master'!$H$2:$H$27,MATCH($C441,'Materials Master'!$A$2:$A$27,0)),IF($B441="Cardboard Recycling",INDEX('Materials Master'!$I$2:$I$27,MATCH($C441,'Materials Master'!$A$2:$A$27,0)),IF($B441="Paper Recycling",INDEX('Materials Master'!$J$2:$J$27,MATCH($C441,'Materials Master'!$A$2:$A$27,0)),IF($B441="Terracycle",INDEX('Materials Master'!$K$2:$K$27,MATCH($C441,'Materials Master'!$A$2:$A$27,0)),"No"))))))="Yes",1,0)</f>
        <v>0</v>
      </c>
    </row>
    <row r="442" customFormat="false" ht="15" hidden="false" customHeight="false" outlineLevel="0" collapsed="false">
      <c r="A442" s="0" t="s">
        <v>98</v>
      </c>
      <c r="B442" s="0" t="s">
        <v>107</v>
      </c>
      <c r="C442" s="0" t="s">
        <v>84</v>
      </c>
      <c r="D442" s="0" t="str">
        <f aca="false">IFERROR(INDEX('Materials Master'!$B$2:$B$27,MATCH($C442,'Materials Master'!$A$2:$A$27,0)),"")</f>
        <v>Snack Wrappers (Composites)</v>
      </c>
      <c r="E442" s="0" t="str">
        <f aca="false">IFERROR(INDEX('Materials Master'!$C$2:$C$27,MATCH($C442,'Materials Master'!$A$2:$A$27,0)),"")</f>
        <v>Other</v>
      </c>
      <c r="F442" s="0" t="n">
        <f aca="false">IF(SUMIFS(Fact_SortedWeights!$E$2:$E$89,Fact_SortedWeights!$C$2:$C$89,$A442,Fact_SortedWeights!$B$2:$B$89,$B442)=0,0,SUMIFS(Fact_SortedWeights!$E$2:$E$89,Fact_SortedWeights!$C$2:$C$89,$A442,Fact_SortedWeights!$B$2:$B$89,$B442,Fact_SortedWeights!$D$2:$D$89,$C442)/SUMIFS(Fact_SortedWeights!$E$2:$E$89,Fact_SortedWeights!$C$2:$C$89,$A442,Fact_SortedWeights!$B$2:$B$89,$B442)*(IF($B442="Cardboard Recycling",SUMIFS(Fact_SortedWeights!$E$2:$E$89,Fact_SortedWeights!$C$2:$C$89,$A442,Fact_SortedWeights!$B$2:$B$89,$B442),SUMIFS(Fact_PreSortWeights!$E$2:$E$186,Fact_PreSortWeights!$C$2:$C$186,$A442,Fact_PreSortWeights!$B$2:$B$186,$B442))))</f>
        <v>0</v>
      </c>
      <c r="G442" s="0" t="n">
        <f aca="false">IF(AND(IF($B442="Trash",INDEX('Materials Master'!$F$2:$F$27,MATCH($C442,'Materials Master'!$A$2:$A$27,0)),IF($B442="GMPC Recycling",INDEX('Materials Master'!$G$2:$G$27,MATCH($C442,'Materials Master'!$A$2:$A$27,0)),IF($B442="Organics Recycling",INDEX('Materials Master'!$H$2:$H$27,MATCH($C442,'Materials Master'!$A$2:$A$27,0)),IF($B442="Cardboard Recycling",INDEX('Materials Master'!$I$2:$I$27,MATCH($C442,'Materials Master'!$A$2:$A$27,0)),IF($B442="Paper Recycling",INDEX('Materials Master'!$J$2:$J$27,MATCH($C442,'Materials Master'!$A$2:$A$27,0)),IF($B442="Terracycle",INDEX('Materials Master'!$K$2:$K$27,MATCH($C442,'Materials Master'!$A$2:$A$27,0)),"No"))))))="Yes",INDEX('Materials Master'!$E$2:$E$27,MATCH($C442,'Materials Master'!$A$2:$A$27,0))="Yes",$B442&lt;&gt;"Trash"),1,0)</f>
        <v>0</v>
      </c>
      <c r="H442" s="0" t="str">
        <f aca="false">INDEX('Materials Master'!$E$2:$E$27,MATCH($C442,'Materials Master'!$A$2:$A$27,0))</f>
        <v>Yes</v>
      </c>
      <c r="I442" s="0" t="str">
        <f aca="false">IFERROR(INDEX(Areas!$C$2:$C$6,MATCH($A442,Areas!$B$2:$B$6,0)),"")</f>
        <v>Rest of Building</v>
      </c>
      <c r="J442" s="0" t="n">
        <f aca="false">IF(IF($B442="Trash",INDEX('Materials Master'!$F$2:$F$27,MATCH($C442,'Materials Master'!$A$2:$A$27,0)),IF($B442="GMPC Recycling",INDEX('Materials Master'!$G$2:$G$27,MATCH($C442,'Materials Master'!$A$2:$A$27,0)),IF($B442="Organics Recycling",INDEX('Materials Master'!$H$2:$H$27,MATCH($C442,'Materials Master'!$A$2:$A$27,0)),IF($B442="Cardboard Recycling",INDEX('Materials Master'!$I$2:$I$27,MATCH($C442,'Materials Master'!$A$2:$A$27,0)),IF($B442="Paper Recycling",INDEX('Materials Master'!$J$2:$J$27,MATCH($C442,'Materials Master'!$A$2:$A$27,0)),IF($B442="Terracycle",INDEX('Materials Master'!$K$2:$K$27,MATCH($C442,'Materials Master'!$A$2:$A$27,0)),"No"))))))="Yes",1,0)</f>
        <v>0</v>
      </c>
    </row>
    <row r="443" customFormat="false" ht="15" hidden="false" customHeight="false" outlineLevel="0" collapsed="false">
      <c r="A443" s="0" t="s">
        <v>98</v>
      </c>
      <c r="B443" s="0" t="s">
        <v>107</v>
      </c>
      <c r="C443" s="0" t="s">
        <v>87</v>
      </c>
      <c r="D443" s="0" t="str">
        <f aca="false">IFERROR(INDEX('Materials Master'!$B$2:$B$27,MATCH($C443,'Materials Master'!$A$2:$A$27,0)),"")</f>
        <v>Other/Residual Materials</v>
      </c>
      <c r="E443" s="0" t="str">
        <f aca="false">IFERROR(INDEX('Materials Master'!$C$2:$C$27,MATCH($C443,'Materials Master'!$A$2:$A$27,0)),"")</f>
        <v>Other</v>
      </c>
      <c r="F443" s="0" t="n">
        <f aca="false">IF(SUMIFS(Fact_SortedWeights!$E$2:$E$89,Fact_SortedWeights!$C$2:$C$89,$A443,Fact_SortedWeights!$B$2:$B$89,$B443)=0,0,SUMIFS(Fact_SortedWeights!$E$2:$E$89,Fact_SortedWeights!$C$2:$C$89,$A443,Fact_SortedWeights!$B$2:$B$89,$B443,Fact_SortedWeights!$D$2:$D$89,$C443)/SUMIFS(Fact_SortedWeights!$E$2:$E$89,Fact_SortedWeights!$C$2:$C$89,$A443,Fact_SortedWeights!$B$2:$B$89,$B443)*(IF($B443="Cardboard Recycling",SUMIFS(Fact_SortedWeights!$E$2:$E$89,Fact_SortedWeights!$C$2:$C$89,$A443,Fact_SortedWeights!$B$2:$B$89,$B443),SUMIFS(Fact_PreSortWeights!$E$2:$E$186,Fact_PreSortWeights!$C$2:$C$186,$A443,Fact_PreSortWeights!$B$2:$B$186,$B443))))</f>
        <v>0</v>
      </c>
      <c r="G443" s="0" t="n">
        <f aca="false">IF(AND(IF($B443="Trash",INDEX('Materials Master'!$F$2:$F$27,MATCH($C443,'Materials Master'!$A$2:$A$27,0)),IF($B443="GMPC Recycling",INDEX('Materials Master'!$G$2:$G$27,MATCH($C443,'Materials Master'!$A$2:$A$27,0)),IF($B443="Organics Recycling",INDEX('Materials Master'!$H$2:$H$27,MATCH($C443,'Materials Master'!$A$2:$A$27,0)),IF($B443="Cardboard Recycling",INDEX('Materials Master'!$I$2:$I$27,MATCH($C443,'Materials Master'!$A$2:$A$27,0)),IF($B443="Paper Recycling",INDEX('Materials Master'!$J$2:$J$27,MATCH($C443,'Materials Master'!$A$2:$A$27,0)),IF($B443="Terracycle",INDEX('Materials Master'!$K$2:$K$27,MATCH($C443,'Materials Master'!$A$2:$A$27,0)),"No"))))))="Yes",INDEX('Materials Master'!$E$2:$E$27,MATCH($C443,'Materials Master'!$A$2:$A$27,0))="Yes",$B443&lt;&gt;"Trash"),1,0)</f>
        <v>0</v>
      </c>
      <c r="H443" s="0" t="str">
        <f aca="false">INDEX('Materials Master'!$E$2:$E$27,MATCH($C443,'Materials Master'!$A$2:$A$27,0))</f>
        <v>No</v>
      </c>
      <c r="I443" s="0" t="str">
        <f aca="false">IFERROR(INDEX(Areas!$C$2:$C$6,MATCH($A443,Areas!$B$2:$B$6,0)),"")</f>
        <v>Rest of Building</v>
      </c>
      <c r="J443" s="0" t="n">
        <f aca="false">IF(IF($B443="Trash",INDEX('Materials Master'!$F$2:$F$27,MATCH($C443,'Materials Master'!$A$2:$A$27,0)),IF($B443="GMPC Recycling",INDEX('Materials Master'!$G$2:$G$27,MATCH($C443,'Materials Master'!$A$2:$A$27,0)),IF($B443="Organics Recycling",INDEX('Materials Master'!$H$2:$H$27,MATCH($C443,'Materials Master'!$A$2:$A$27,0)),IF($B443="Cardboard Recycling",INDEX('Materials Master'!$I$2:$I$27,MATCH($C443,'Materials Master'!$A$2:$A$27,0)),IF($B443="Paper Recycling",INDEX('Materials Master'!$J$2:$J$27,MATCH($C443,'Materials Master'!$A$2:$A$27,0)),IF($B443="Terracycle",INDEX('Materials Master'!$K$2:$K$27,MATCH($C443,'Materials Master'!$A$2:$A$27,0)),"No"))))))="Yes",1,0)</f>
        <v>0</v>
      </c>
    </row>
    <row r="444" customFormat="false" ht="15" hidden="false" customHeight="false" outlineLevel="0" collapsed="false">
      <c r="A444" s="0" t="s">
        <v>98</v>
      </c>
      <c r="B444" s="0" t="s">
        <v>108</v>
      </c>
      <c r="C444" s="0" t="s">
        <v>28</v>
      </c>
      <c r="D444" s="0" t="str">
        <f aca="false">IFERROR(INDEX('Materials Master'!$B$2:$B$27,MATCH($C444,'Materials Master'!$A$2:$A$27,0)),"")</f>
        <v>Corrugated Cardboard</v>
      </c>
      <c r="E444" s="0" t="str">
        <f aca="false">IFERROR(INDEX('Materials Master'!$C$2:$C$27,MATCH($C444,'Materials Master'!$A$2:$A$27,0)),"")</f>
        <v>Fibers</v>
      </c>
      <c r="F444" s="0" t="n">
        <f aca="false">IF(SUMIFS(Fact_SortedWeights!$E$2:$E$89,Fact_SortedWeights!$C$2:$C$89,$A444,Fact_SortedWeights!$B$2:$B$89,$B444)=0,0,SUMIFS(Fact_SortedWeights!$E$2:$E$89,Fact_SortedWeights!$C$2:$C$89,$A444,Fact_SortedWeights!$B$2:$B$89,$B444,Fact_SortedWeights!$D$2:$D$89,$C444)/SUMIFS(Fact_SortedWeights!$E$2:$E$89,Fact_SortedWeights!$C$2:$C$89,$A444,Fact_SortedWeights!$B$2:$B$89,$B444)*(IF($B444="Cardboard Recycling",SUMIFS(Fact_SortedWeights!$E$2:$E$89,Fact_SortedWeights!$C$2:$C$89,$A444,Fact_SortedWeights!$B$2:$B$89,$B444),SUMIFS(Fact_PreSortWeights!$E$2:$E$186,Fact_PreSortWeights!$C$2:$C$186,$A444,Fact_PreSortWeights!$B$2:$B$186,$B444))))</f>
        <v>0</v>
      </c>
      <c r="G444" s="0" t="n">
        <f aca="false">IF(AND(IF($B444="Trash",INDEX('Materials Master'!$F$2:$F$27,MATCH($C444,'Materials Master'!$A$2:$A$27,0)),IF($B444="GMPC Recycling",INDEX('Materials Master'!$G$2:$G$27,MATCH($C444,'Materials Master'!$A$2:$A$27,0)),IF($B444="Organics Recycling",INDEX('Materials Master'!$H$2:$H$27,MATCH($C444,'Materials Master'!$A$2:$A$27,0)),IF($B444="Cardboard Recycling",INDEX('Materials Master'!$I$2:$I$27,MATCH($C444,'Materials Master'!$A$2:$A$27,0)),IF($B444="Paper Recycling",INDEX('Materials Master'!$J$2:$J$27,MATCH($C444,'Materials Master'!$A$2:$A$27,0)),IF($B444="Terracycle",INDEX('Materials Master'!$K$2:$K$27,MATCH($C444,'Materials Master'!$A$2:$A$27,0)),"No"))))))="Yes",INDEX('Materials Master'!$E$2:$E$27,MATCH($C444,'Materials Master'!$A$2:$A$27,0))="Yes",$B444&lt;&gt;"Trash"),1,0)</f>
        <v>0</v>
      </c>
      <c r="H444" s="0" t="str">
        <f aca="false">INDEX('Materials Master'!$E$2:$E$27,MATCH($C444,'Materials Master'!$A$2:$A$27,0))</f>
        <v>Yes</v>
      </c>
      <c r="I444" s="0" t="str">
        <f aca="false">IFERROR(INDEX(Areas!$C$2:$C$6,MATCH($A444,Areas!$B$2:$B$6,0)),"")</f>
        <v>Rest of Building</v>
      </c>
      <c r="J444" s="0" t="n">
        <f aca="false">IF(IF($B444="Trash",INDEX('Materials Master'!$F$2:$F$27,MATCH($C444,'Materials Master'!$A$2:$A$27,0)),IF($B444="GMPC Recycling",INDEX('Materials Master'!$G$2:$G$27,MATCH($C444,'Materials Master'!$A$2:$A$27,0)),IF($B444="Organics Recycling",INDEX('Materials Master'!$H$2:$H$27,MATCH($C444,'Materials Master'!$A$2:$A$27,0)),IF($B444="Cardboard Recycling",INDEX('Materials Master'!$I$2:$I$27,MATCH($C444,'Materials Master'!$A$2:$A$27,0)),IF($B444="Paper Recycling",INDEX('Materials Master'!$J$2:$J$27,MATCH($C444,'Materials Master'!$A$2:$A$27,0)),IF($B444="Terracycle",INDEX('Materials Master'!$K$2:$K$27,MATCH($C444,'Materials Master'!$A$2:$A$27,0)),"No"))))))="Yes",1,0)</f>
        <v>0</v>
      </c>
    </row>
    <row r="445" customFormat="false" ht="15" hidden="false" customHeight="false" outlineLevel="0" collapsed="false">
      <c r="A445" s="0" t="s">
        <v>98</v>
      </c>
      <c r="B445" s="0" t="s">
        <v>108</v>
      </c>
      <c r="C445" s="0" t="s">
        <v>33</v>
      </c>
      <c r="D445" s="0" t="str">
        <f aca="false">IFERROR(INDEX('Materials Master'!$B$2:$B$27,MATCH($C445,'Materials Master'!$A$2:$A$27,0)),"")</f>
        <v>Soiled Cardboard</v>
      </c>
      <c r="E445" s="0" t="str">
        <f aca="false">IFERROR(INDEX('Materials Master'!$C$2:$C$27,MATCH($C445,'Materials Master'!$A$2:$A$27,0)),"")</f>
        <v>Fibers</v>
      </c>
      <c r="F445" s="0" t="n">
        <f aca="false">IF(SUMIFS(Fact_SortedWeights!$E$2:$E$89,Fact_SortedWeights!$C$2:$C$89,$A445,Fact_SortedWeights!$B$2:$B$89,$B445)=0,0,SUMIFS(Fact_SortedWeights!$E$2:$E$89,Fact_SortedWeights!$C$2:$C$89,$A445,Fact_SortedWeights!$B$2:$B$89,$B445,Fact_SortedWeights!$D$2:$D$89,$C445)/SUMIFS(Fact_SortedWeights!$E$2:$E$89,Fact_SortedWeights!$C$2:$C$89,$A445,Fact_SortedWeights!$B$2:$B$89,$B445)*(IF($B445="Cardboard Recycling",SUMIFS(Fact_SortedWeights!$E$2:$E$89,Fact_SortedWeights!$C$2:$C$89,$A445,Fact_SortedWeights!$B$2:$B$89,$B445),SUMIFS(Fact_PreSortWeights!$E$2:$E$186,Fact_PreSortWeights!$C$2:$C$186,$A445,Fact_PreSortWeights!$B$2:$B$186,$B445))))</f>
        <v>0</v>
      </c>
      <c r="G445" s="0" t="n">
        <f aca="false">IF(AND(IF($B445="Trash",INDEX('Materials Master'!$F$2:$F$27,MATCH($C445,'Materials Master'!$A$2:$A$27,0)),IF($B445="GMPC Recycling",INDEX('Materials Master'!$G$2:$G$27,MATCH($C445,'Materials Master'!$A$2:$A$27,0)),IF($B445="Organics Recycling",INDEX('Materials Master'!$H$2:$H$27,MATCH($C445,'Materials Master'!$A$2:$A$27,0)),IF($B445="Cardboard Recycling",INDEX('Materials Master'!$I$2:$I$27,MATCH($C445,'Materials Master'!$A$2:$A$27,0)),IF($B445="Paper Recycling",INDEX('Materials Master'!$J$2:$J$27,MATCH($C445,'Materials Master'!$A$2:$A$27,0)),IF($B445="Terracycle",INDEX('Materials Master'!$K$2:$K$27,MATCH($C445,'Materials Master'!$A$2:$A$27,0)),"No"))))))="Yes",INDEX('Materials Master'!$E$2:$E$27,MATCH($C445,'Materials Master'!$A$2:$A$27,0))="Yes",$B445&lt;&gt;"Trash"),1,0)</f>
        <v>0</v>
      </c>
      <c r="H445" s="0" t="str">
        <f aca="false">INDEX('Materials Master'!$E$2:$E$27,MATCH($C445,'Materials Master'!$A$2:$A$27,0))</f>
        <v>No</v>
      </c>
      <c r="I445" s="0" t="str">
        <f aca="false">IFERROR(INDEX(Areas!$C$2:$C$6,MATCH($A445,Areas!$B$2:$B$6,0)),"")</f>
        <v>Rest of Building</v>
      </c>
      <c r="J445" s="0" t="n">
        <f aca="false">IF(IF($B445="Trash",INDEX('Materials Master'!$F$2:$F$27,MATCH($C445,'Materials Master'!$A$2:$A$27,0)),IF($B445="GMPC Recycling",INDEX('Materials Master'!$G$2:$G$27,MATCH($C445,'Materials Master'!$A$2:$A$27,0)),IF($B445="Organics Recycling",INDEX('Materials Master'!$H$2:$H$27,MATCH($C445,'Materials Master'!$A$2:$A$27,0)),IF($B445="Cardboard Recycling",INDEX('Materials Master'!$I$2:$I$27,MATCH($C445,'Materials Master'!$A$2:$A$27,0)),IF($B445="Paper Recycling",INDEX('Materials Master'!$J$2:$J$27,MATCH($C445,'Materials Master'!$A$2:$A$27,0)),IF($B445="Terracycle",INDEX('Materials Master'!$K$2:$K$27,MATCH($C445,'Materials Master'!$A$2:$A$27,0)),"No"))))))="Yes",1,0)</f>
        <v>0</v>
      </c>
    </row>
    <row r="446" customFormat="false" ht="15" hidden="false" customHeight="false" outlineLevel="0" collapsed="false">
      <c r="A446" s="0" t="s">
        <v>98</v>
      </c>
      <c r="B446" s="0" t="s">
        <v>108</v>
      </c>
      <c r="C446" s="0" t="s">
        <v>35</v>
      </c>
      <c r="D446" s="0" t="str">
        <f aca="false">IFERROR(INDEX('Materials Master'!$B$2:$B$27,MATCH($C446,'Materials Master'!$A$2:$A$27,0)),"")</f>
        <v>Waxed Cardboard</v>
      </c>
      <c r="E446" s="0" t="str">
        <f aca="false">IFERROR(INDEX('Materials Master'!$C$2:$C$27,MATCH($C446,'Materials Master'!$A$2:$A$27,0)),"")</f>
        <v>Fibers</v>
      </c>
      <c r="F446" s="0" t="n">
        <f aca="false">IF(SUMIFS(Fact_SortedWeights!$E$2:$E$89,Fact_SortedWeights!$C$2:$C$89,$A446,Fact_SortedWeights!$B$2:$B$89,$B446)=0,0,SUMIFS(Fact_SortedWeights!$E$2:$E$89,Fact_SortedWeights!$C$2:$C$89,$A446,Fact_SortedWeights!$B$2:$B$89,$B446,Fact_SortedWeights!$D$2:$D$89,$C446)/SUMIFS(Fact_SortedWeights!$E$2:$E$89,Fact_SortedWeights!$C$2:$C$89,$A446,Fact_SortedWeights!$B$2:$B$89,$B446)*(IF($B446="Cardboard Recycling",SUMIFS(Fact_SortedWeights!$E$2:$E$89,Fact_SortedWeights!$C$2:$C$89,$A446,Fact_SortedWeights!$B$2:$B$89,$B446),SUMIFS(Fact_PreSortWeights!$E$2:$E$186,Fact_PreSortWeights!$C$2:$C$186,$A446,Fact_PreSortWeights!$B$2:$B$186,$B446))))</f>
        <v>0</v>
      </c>
      <c r="G446" s="0" t="n">
        <f aca="false">IF(AND(IF($B446="Trash",INDEX('Materials Master'!$F$2:$F$27,MATCH($C446,'Materials Master'!$A$2:$A$27,0)),IF($B446="GMPC Recycling",INDEX('Materials Master'!$G$2:$G$27,MATCH($C446,'Materials Master'!$A$2:$A$27,0)),IF($B446="Organics Recycling",INDEX('Materials Master'!$H$2:$H$27,MATCH($C446,'Materials Master'!$A$2:$A$27,0)),IF($B446="Cardboard Recycling",INDEX('Materials Master'!$I$2:$I$27,MATCH($C446,'Materials Master'!$A$2:$A$27,0)),IF($B446="Paper Recycling",INDEX('Materials Master'!$J$2:$J$27,MATCH($C446,'Materials Master'!$A$2:$A$27,0)),IF($B446="Terracycle",INDEX('Materials Master'!$K$2:$K$27,MATCH($C446,'Materials Master'!$A$2:$A$27,0)),"No"))))))="Yes",INDEX('Materials Master'!$E$2:$E$27,MATCH($C446,'Materials Master'!$A$2:$A$27,0))="Yes",$B446&lt;&gt;"Trash"),1,0)</f>
        <v>0</v>
      </c>
      <c r="H446" s="0" t="str">
        <f aca="false">INDEX('Materials Master'!$E$2:$E$27,MATCH($C446,'Materials Master'!$A$2:$A$27,0))</f>
        <v>No</v>
      </c>
      <c r="I446" s="0" t="str">
        <f aca="false">IFERROR(INDEX(Areas!$C$2:$C$6,MATCH($A446,Areas!$B$2:$B$6,0)),"")</f>
        <v>Rest of Building</v>
      </c>
      <c r="J446" s="0" t="n">
        <f aca="false">IF(IF($B446="Trash",INDEX('Materials Master'!$F$2:$F$27,MATCH($C446,'Materials Master'!$A$2:$A$27,0)),IF($B446="GMPC Recycling",INDEX('Materials Master'!$G$2:$G$27,MATCH($C446,'Materials Master'!$A$2:$A$27,0)),IF($B446="Organics Recycling",INDEX('Materials Master'!$H$2:$H$27,MATCH($C446,'Materials Master'!$A$2:$A$27,0)),IF($B446="Cardboard Recycling",INDEX('Materials Master'!$I$2:$I$27,MATCH($C446,'Materials Master'!$A$2:$A$27,0)),IF($B446="Paper Recycling",INDEX('Materials Master'!$J$2:$J$27,MATCH($C446,'Materials Master'!$A$2:$A$27,0)),IF($B446="Terracycle",INDEX('Materials Master'!$K$2:$K$27,MATCH($C446,'Materials Master'!$A$2:$A$27,0)),"No"))))))="Yes",1,0)</f>
        <v>0</v>
      </c>
    </row>
    <row r="447" customFormat="false" ht="15" hidden="false" customHeight="false" outlineLevel="0" collapsed="false">
      <c r="A447" s="0" t="s">
        <v>98</v>
      </c>
      <c r="B447" s="0" t="s">
        <v>108</v>
      </c>
      <c r="C447" s="0" t="s">
        <v>37</v>
      </c>
      <c r="D447" s="0" t="str">
        <f aca="false">IFERROR(INDEX('Materials Master'!$B$2:$B$27,MATCH($C447,'Materials Master'!$A$2:$A$27,0)),"")</f>
        <v>Mixed Paper</v>
      </c>
      <c r="E447" s="0" t="str">
        <f aca="false">IFERROR(INDEX('Materials Master'!$C$2:$C$27,MATCH($C447,'Materials Master'!$A$2:$A$27,0)),"")</f>
        <v>Fibers</v>
      </c>
      <c r="F447" s="0" t="n">
        <f aca="false">IF(SUMIFS(Fact_SortedWeights!$E$2:$E$89,Fact_SortedWeights!$C$2:$C$89,$A447,Fact_SortedWeights!$B$2:$B$89,$B447)=0,0,SUMIFS(Fact_SortedWeights!$E$2:$E$89,Fact_SortedWeights!$C$2:$C$89,$A447,Fact_SortedWeights!$B$2:$B$89,$B447,Fact_SortedWeights!$D$2:$D$89,$C447)/SUMIFS(Fact_SortedWeights!$E$2:$E$89,Fact_SortedWeights!$C$2:$C$89,$A447,Fact_SortedWeights!$B$2:$B$89,$B447)*(IF($B447="Cardboard Recycling",SUMIFS(Fact_SortedWeights!$E$2:$E$89,Fact_SortedWeights!$C$2:$C$89,$A447,Fact_SortedWeights!$B$2:$B$89,$B447),SUMIFS(Fact_PreSortWeights!$E$2:$E$186,Fact_PreSortWeights!$C$2:$C$186,$A447,Fact_PreSortWeights!$B$2:$B$186,$B447))))</f>
        <v>0</v>
      </c>
      <c r="G447" s="0" t="n">
        <f aca="false">IF(AND(IF($B447="Trash",INDEX('Materials Master'!$F$2:$F$27,MATCH($C447,'Materials Master'!$A$2:$A$27,0)),IF($B447="GMPC Recycling",INDEX('Materials Master'!$G$2:$G$27,MATCH($C447,'Materials Master'!$A$2:$A$27,0)),IF($B447="Organics Recycling",INDEX('Materials Master'!$H$2:$H$27,MATCH($C447,'Materials Master'!$A$2:$A$27,0)),IF($B447="Cardboard Recycling",INDEX('Materials Master'!$I$2:$I$27,MATCH($C447,'Materials Master'!$A$2:$A$27,0)),IF($B447="Paper Recycling",INDEX('Materials Master'!$J$2:$J$27,MATCH($C447,'Materials Master'!$A$2:$A$27,0)),IF($B447="Terracycle",INDEX('Materials Master'!$K$2:$K$27,MATCH($C447,'Materials Master'!$A$2:$A$27,0)),"No"))))))="Yes",INDEX('Materials Master'!$E$2:$E$27,MATCH($C447,'Materials Master'!$A$2:$A$27,0))="Yes",$B447&lt;&gt;"Trash"),1,0)</f>
        <v>0</v>
      </c>
      <c r="H447" s="0" t="str">
        <f aca="false">INDEX('Materials Master'!$E$2:$E$27,MATCH($C447,'Materials Master'!$A$2:$A$27,0))</f>
        <v>Yes</v>
      </c>
      <c r="I447" s="0" t="str">
        <f aca="false">IFERROR(INDEX(Areas!$C$2:$C$6,MATCH($A447,Areas!$B$2:$B$6,0)),"")</f>
        <v>Rest of Building</v>
      </c>
      <c r="J447" s="0" t="n">
        <f aca="false">IF(IF($B447="Trash",INDEX('Materials Master'!$F$2:$F$27,MATCH($C447,'Materials Master'!$A$2:$A$27,0)),IF($B447="GMPC Recycling",INDEX('Materials Master'!$G$2:$G$27,MATCH($C447,'Materials Master'!$A$2:$A$27,0)),IF($B447="Organics Recycling",INDEX('Materials Master'!$H$2:$H$27,MATCH($C447,'Materials Master'!$A$2:$A$27,0)),IF($B447="Cardboard Recycling",INDEX('Materials Master'!$I$2:$I$27,MATCH($C447,'Materials Master'!$A$2:$A$27,0)),IF($B447="Paper Recycling",INDEX('Materials Master'!$J$2:$J$27,MATCH($C447,'Materials Master'!$A$2:$A$27,0)),IF($B447="Terracycle",INDEX('Materials Master'!$K$2:$K$27,MATCH($C447,'Materials Master'!$A$2:$A$27,0)),"No"))))))="Yes",1,0)</f>
        <v>0</v>
      </c>
    </row>
    <row r="448" customFormat="false" ht="15" hidden="false" customHeight="false" outlineLevel="0" collapsed="false">
      <c r="A448" s="0" t="s">
        <v>98</v>
      </c>
      <c r="B448" s="0" t="s">
        <v>108</v>
      </c>
      <c r="C448" s="0" t="s">
        <v>39</v>
      </c>
      <c r="D448" s="0" t="str">
        <f aca="false">IFERROR(INDEX('Materials Master'!$B$2:$B$27,MATCH($C448,'Materials Master'!$A$2:$A$27,0)),"")</f>
        <v>Soiled Paper</v>
      </c>
      <c r="E448" s="0" t="str">
        <f aca="false">IFERROR(INDEX('Materials Master'!$C$2:$C$27,MATCH($C448,'Materials Master'!$A$2:$A$27,0)),"")</f>
        <v>Fibers</v>
      </c>
      <c r="F448" s="0" t="n">
        <f aca="false">IF(SUMIFS(Fact_SortedWeights!$E$2:$E$89,Fact_SortedWeights!$C$2:$C$89,$A448,Fact_SortedWeights!$B$2:$B$89,$B448)=0,0,SUMIFS(Fact_SortedWeights!$E$2:$E$89,Fact_SortedWeights!$C$2:$C$89,$A448,Fact_SortedWeights!$B$2:$B$89,$B448,Fact_SortedWeights!$D$2:$D$89,$C448)/SUMIFS(Fact_SortedWeights!$E$2:$E$89,Fact_SortedWeights!$C$2:$C$89,$A448,Fact_SortedWeights!$B$2:$B$89,$B448)*(IF($B448="Cardboard Recycling",SUMIFS(Fact_SortedWeights!$E$2:$E$89,Fact_SortedWeights!$C$2:$C$89,$A448,Fact_SortedWeights!$B$2:$B$89,$B448),SUMIFS(Fact_PreSortWeights!$E$2:$E$186,Fact_PreSortWeights!$C$2:$C$186,$A448,Fact_PreSortWeights!$B$2:$B$186,$B448))))</f>
        <v>0</v>
      </c>
      <c r="G448" s="0" t="n">
        <f aca="false">IF(AND(IF($B448="Trash",INDEX('Materials Master'!$F$2:$F$27,MATCH($C448,'Materials Master'!$A$2:$A$27,0)),IF($B448="GMPC Recycling",INDEX('Materials Master'!$G$2:$G$27,MATCH($C448,'Materials Master'!$A$2:$A$27,0)),IF($B448="Organics Recycling",INDEX('Materials Master'!$H$2:$H$27,MATCH($C448,'Materials Master'!$A$2:$A$27,0)),IF($B448="Cardboard Recycling",INDEX('Materials Master'!$I$2:$I$27,MATCH($C448,'Materials Master'!$A$2:$A$27,0)),IF($B448="Paper Recycling",INDEX('Materials Master'!$J$2:$J$27,MATCH($C448,'Materials Master'!$A$2:$A$27,0)),IF($B448="Terracycle",INDEX('Materials Master'!$K$2:$K$27,MATCH($C448,'Materials Master'!$A$2:$A$27,0)),"No"))))))="Yes",INDEX('Materials Master'!$E$2:$E$27,MATCH($C448,'Materials Master'!$A$2:$A$27,0))="Yes",$B448&lt;&gt;"Trash"),1,0)</f>
        <v>0</v>
      </c>
      <c r="H448" s="0" t="str">
        <f aca="false">INDEX('Materials Master'!$E$2:$E$27,MATCH($C448,'Materials Master'!$A$2:$A$27,0))</f>
        <v>No</v>
      </c>
      <c r="I448" s="0" t="str">
        <f aca="false">IFERROR(INDEX(Areas!$C$2:$C$6,MATCH($A448,Areas!$B$2:$B$6,0)),"")</f>
        <v>Rest of Building</v>
      </c>
      <c r="J448" s="0" t="n">
        <f aca="false">IF(IF($B448="Trash",INDEX('Materials Master'!$F$2:$F$27,MATCH($C448,'Materials Master'!$A$2:$A$27,0)),IF($B448="GMPC Recycling",INDEX('Materials Master'!$G$2:$G$27,MATCH($C448,'Materials Master'!$A$2:$A$27,0)),IF($B448="Organics Recycling",INDEX('Materials Master'!$H$2:$H$27,MATCH($C448,'Materials Master'!$A$2:$A$27,0)),IF($B448="Cardboard Recycling",INDEX('Materials Master'!$I$2:$I$27,MATCH($C448,'Materials Master'!$A$2:$A$27,0)),IF($B448="Paper Recycling",INDEX('Materials Master'!$J$2:$J$27,MATCH($C448,'Materials Master'!$A$2:$A$27,0)),IF($B448="Terracycle",INDEX('Materials Master'!$K$2:$K$27,MATCH($C448,'Materials Master'!$A$2:$A$27,0)),"No"))))))="Yes",1,0)</f>
        <v>0</v>
      </c>
    </row>
    <row r="449" customFormat="false" ht="15" hidden="false" customHeight="false" outlineLevel="0" collapsed="false">
      <c r="A449" s="0" t="s">
        <v>98</v>
      </c>
      <c r="B449" s="0" t="s">
        <v>108</v>
      </c>
      <c r="C449" s="0" t="s">
        <v>41</v>
      </c>
      <c r="D449" s="0" t="str">
        <f aca="false">IFERROR(INDEX('Materials Master'!$B$2:$B$27,MATCH($C449,'Materials Master'!$A$2:$A$27,0)),"")</f>
        <v>Beverage Cartons</v>
      </c>
      <c r="E449" s="0" t="str">
        <f aca="false">IFERROR(INDEX('Materials Master'!$C$2:$C$27,MATCH($C449,'Materials Master'!$A$2:$A$27,0)),"")</f>
        <v>Fibers</v>
      </c>
      <c r="F449" s="0" t="n">
        <f aca="false">IF(SUMIFS(Fact_SortedWeights!$E$2:$E$89,Fact_SortedWeights!$C$2:$C$89,$A449,Fact_SortedWeights!$B$2:$B$89,$B449)=0,0,SUMIFS(Fact_SortedWeights!$E$2:$E$89,Fact_SortedWeights!$C$2:$C$89,$A449,Fact_SortedWeights!$B$2:$B$89,$B449,Fact_SortedWeights!$D$2:$D$89,$C449)/SUMIFS(Fact_SortedWeights!$E$2:$E$89,Fact_SortedWeights!$C$2:$C$89,$A449,Fact_SortedWeights!$B$2:$B$89,$B449)*(IF($B449="Cardboard Recycling",SUMIFS(Fact_SortedWeights!$E$2:$E$89,Fact_SortedWeights!$C$2:$C$89,$A449,Fact_SortedWeights!$B$2:$B$89,$B449),SUMIFS(Fact_PreSortWeights!$E$2:$E$186,Fact_PreSortWeights!$C$2:$C$186,$A449,Fact_PreSortWeights!$B$2:$B$186,$B449))))</f>
        <v>0</v>
      </c>
      <c r="G449" s="0" t="n">
        <f aca="false">IF(AND(IF($B449="Trash",INDEX('Materials Master'!$F$2:$F$27,MATCH($C449,'Materials Master'!$A$2:$A$27,0)),IF($B449="GMPC Recycling",INDEX('Materials Master'!$G$2:$G$27,MATCH($C449,'Materials Master'!$A$2:$A$27,0)),IF($B449="Organics Recycling",INDEX('Materials Master'!$H$2:$H$27,MATCH($C449,'Materials Master'!$A$2:$A$27,0)),IF($B449="Cardboard Recycling",INDEX('Materials Master'!$I$2:$I$27,MATCH($C449,'Materials Master'!$A$2:$A$27,0)),IF($B449="Paper Recycling",INDEX('Materials Master'!$J$2:$J$27,MATCH($C449,'Materials Master'!$A$2:$A$27,0)),IF($B449="Terracycle",INDEX('Materials Master'!$K$2:$K$27,MATCH($C449,'Materials Master'!$A$2:$A$27,0)),"No"))))))="Yes",INDEX('Materials Master'!$E$2:$E$27,MATCH($C449,'Materials Master'!$A$2:$A$27,0))="Yes",$B449&lt;&gt;"Trash"),1,0)</f>
        <v>0</v>
      </c>
      <c r="H449" s="0" t="str">
        <f aca="false">INDEX('Materials Master'!$E$2:$E$27,MATCH($C449,'Materials Master'!$A$2:$A$27,0))</f>
        <v>Yes</v>
      </c>
      <c r="I449" s="0" t="str">
        <f aca="false">IFERROR(INDEX(Areas!$C$2:$C$6,MATCH($A449,Areas!$B$2:$B$6,0)),"")</f>
        <v>Rest of Building</v>
      </c>
      <c r="J449" s="0" t="n">
        <f aca="false">IF(IF($B449="Trash",INDEX('Materials Master'!$F$2:$F$27,MATCH($C449,'Materials Master'!$A$2:$A$27,0)),IF($B449="GMPC Recycling",INDEX('Materials Master'!$G$2:$G$27,MATCH($C449,'Materials Master'!$A$2:$A$27,0)),IF($B449="Organics Recycling",INDEX('Materials Master'!$H$2:$H$27,MATCH($C449,'Materials Master'!$A$2:$A$27,0)),IF($B449="Cardboard Recycling",INDEX('Materials Master'!$I$2:$I$27,MATCH($C449,'Materials Master'!$A$2:$A$27,0)),IF($B449="Paper Recycling",INDEX('Materials Master'!$J$2:$J$27,MATCH($C449,'Materials Master'!$A$2:$A$27,0)),IF($B449="Terracycle",INDEX('Materials Master'!$K$2:$K$27,MATCH($C449,'Materials Master'!$A$2:$A$27,0)),"No"))))))="Yes",1,0)</f>
        <v>0</v>
      </c>
    </row>
    <row r="450" customFormat="false" ht="15" hidden="false" customHeight="false" outlineLevel="0" collapsed="false">
      <c r="A450" s="0" t="s">
        <v>98</v>
      </c>
      <c r="B450" s="0" t="s">
        <v>108</v>
      </c>
      <c r="C450" s="0" t="s">
        <v>43</v>
      </c>
      <c r="D450" s="0" t="str">
        <f aca="false">IFERROR(INDEX('Materials Master'!$B$2:$B$27,MATCH($C450,'Materials Master'!$A$2:$A$27,0)),"")</f>
        <v>Soiled Beverage Cartons</v>
      </c>
      <c r="E450" s="0" t="str">
        <f aca="false">IFERROR(INDEX('Materials Master'!$C$2:$C$27,MATCH($C450,'Materials Master'!$A$2:$A$27,0)),"")</f>
        <v>Fibers</v>
      </c>
      <c r="F450" s="0" t="n">
        <f aca="false">IF(SUMIFS(Fact_SortedWeights!$E$2:$E$89,Fact_SortedWeights!$C$2:$C$89,$A450,Fact_SortedWeights!$B$2:$B$89,$B450)=0,0,SUMIFS(Fact_SortedWeights!$E$2:$E$89,Fact_SortedWeights!$C$2:$C$89,$A450,Fact_SortedWeights!$B$2:$B$89,$B450,Fact_SortedWeights!$D$2:$D$89,$C450)/SUMIFS(Fact_SortedWeights!$E$2:$E$89,Fact_SortedWeights!$C$2:$C$89,$A450,Fact_SortedWeights!$B$2:$B$89,$B450)*(IF($B450="Cardboard Recycling",SUMIFS(Fact_SortedWeights!$E$2:$E$89,Fact_SortedWeights!$C$2:$C$89,$A450,Fact_SortedWeights!$B$2:$B$89,$B450),SUMIFS(Fact_PreSortWeights!$E$2:$E$186,Fact_PreSortWeights!$C$2:$C$186,$A450,Fact_PreSortWeights!$B$2:$B$186,$B450))))</f>
        <v>0</v>
      </c>
      <c r="G450" s="0" t="n">
        <f aca="false">IF(AND(IF($B450="Trash",INDEX('Materials Master'!$F$2:$F$27,MATCH($C450,'Materials Master'!$A$2:$A$27,0)),IF($B450="GMPC Recycling",INDEX('Materials Master'!$G$2:$G$27,MATCH($C450,'Materials Master'!$A$2:$A$27,0)),IF($B450="Organics Recycling",INDEX('Materials Master'!$H$2:$H$27,MATCH($C450,'Materials Master'!$A$2:$A$27,0)),IF($B450="Cardboard Recycling",INDEX('Materials Master'!$I$2:$I$27,MATCH($C450,'Materials Master'!$A$2:$A$27,0)),IF($B450="Paper Recycling",INDEX('Materials Master'!$J$2:$J$27,MATCH($C450,'Materials Master'!$A$2:$A$27,0)),IF($B450="Terracycle",INDEX('Materials Master'!$K$2:$K$27,MATCH($C450,'Materials Master'!$A$2:$A$27,0)),"No"))))))="Yes",INDEX('Materials Master'!$E$2:$E$27,MATCH($C450,'Materials Master'!$A$2:$A$27,0))="Yes",$B450&lt;&gt;"Trash"),1,0)</f>
        <v>0</v>
      </c>
      <c r="H450" s="0" t="str">
        <f aca="false">INDEX('Materials Master'!$E$2:$E$27,MATCH($C450,'Materials Master'!$A$2:$A$27,0))</f>
        <v>No</v>
      </c>
      <c r="I450" s="0" t="str">
        <f aca="false">IFERROR(INDEX(Areas!$C$2:$C$6,MATCH($A450,Areas!$B$2:$B$6,0)),"")</f>
        <v>Rest of Building</v>
      </c>
      <c r="J450" s="0" t="n">
        <f aca="false">IF(IF($B450="Trash",INDEX('Materials Master'!$F$2:$F$27,MATCH($C450,'Materials Master'!$A$2:$A$27,0)),IF($B450="GMPC Recycling",INDEX('Materials Master'!$G$2:$G$27,MATCH($C450,'Materials Master'!$A$2:$A$27,0)),IF($B450="Organics Recycling",INDEX('Materials Master'!$H$2:$H$27,MATCH($C450,'Materials Master'!$A$2:$A$27,0)),IF($B450="Cardboard Recycling",INDEX('Materials Master'!$I$2:$I$27,MATCH($C450,'Materials Master'!$A$2:$A$27,0)),IF($B450="Paper Recycling",INDEX('Materials Master'!$J$2:$J$27,MATCH($C450,'Materials Master'!$A$2:$A$27,0)),IF($B450="Terracycle",INDEX('Materials Master'!$K$2:$K$27,MATCH($C450,'Materials Master'!$A$2:$A$27,0)),"No"))))))="Yes",1,0)</f>
        <v>0</v>
      </c>
    </row>
    <row r="451" customFormat="false" ht="15" hidden="false" customHeight="false" outlineLevel="0" collapsed="false">
      <c r="A451" s="0" t="s">
        <v>98</v>
      </c>
      <c r="B451" s="0" t="s">
        <v>108</v>
      </c>
      <c r="C451" s="0" t="s">
        <v>45</v>
      </c>
      <c r="D451" s="0" t="str">
        <f aca="false">IFERROR(INDEX('Materials Master'!$B$2:$B$27,MATCH($C451,'Materials Master'!$A$2:$A$27,0)),"")</f>
        <v>Paper Cups / Other Coated Paper Containers</v>
      </c>
      <c r="E451" s="0" t="str">
        <f aca="false">IFERROR(INDEX('Materials Master'!$C$2:$C$27,MATCH($C451,'Materials Master'!$A$2:$A$27,0)),"")</f>
        <v>Fibers</v>
      </c>
      <c r="F451" s="0" t="n">
        <f aca="false">IF(SUMIFS(Fact_SortedWeights!$E$2:$E$89,Fact_SortedWeights!$C$2:$C$89,$A451,Fact_SortedWeights!$B$2:$B$89,$B451)=0,0,SUMIFS(Fact_SortedWeights!$E$2:$E$89,Fact_SortedWeights!$C$2:$C$89,$A451,Fact_SortedWeights!$B$2:$B$89,$B451,Fact_SortedWeights!$D$2:$D$89,$C451)/SUMIFS(Fact_SortedWeights!$E$2:$E$89,Fact_SortedWeights!$C$2:$C$89,$A451,Fact_SortedWeights!$B$2:$B$89,$B451)*(IF($B451="Cardboard Recycling",SUMIFS(Fact_SortedWeights!$E$2:$E$89,Fact_SortedWeights!$C$2:$C$89,$A451,Fact_SortedWeights!$B$2:$B$89,$B451),SUMIFS(Fact_PreSortWeights!$E$2:$E$186,Fact_PreSortWeights!$C$2:$C$186,$A451,Fact_PreSortWeights!$B$2:$B$186,$B451))))</f>
        <v>0</v>
      </c>
      <c r="G451" s="0" t="n">
        <f aca="false">IF(AND(IF($B451="Trash",INDEX('Materials Master'!$F$2:$F$27,MATCH($C451,'Materials Master'!$A$2:$A$27,0)),IF($B451="GMPC Recycling",INDEX('Materials Master'!$G$2:$G$27,MATCH($C451,'Materials Master'!$A$2:$A$27,0)),IF($B451="Organics Recycling",INDEX('Materials Master'!$H$2:$H$27,MATCH($C451,'Materials Master'!$A$2:$A$27,0)),IF($B451="Cardboard Recycling",INDEX('Materials Master'!$I$2:$I$27,MATCH($C451,'Materials Master'!$A$2:$A$27,0)),IF($B451="Paper Recycling",INDEX('Materials Master'!$J$2:$J$27,MATCH($C451,'Materials Master'!$A$2:$A$27,0)),IF($B451="Terracycle",INDEX('Materials Master'!$K$2:$K$27,MATCH($C451,'Materials Master'!$A$2:$A$27,0)),"No"))))))="Yes",INDEX('Materials Master'!$E$2:$E$27,MATCH($C451,'Materials Master'!$A$2:$A$27,0))="Yes",$B451&lt;&gt;"Trash"),1,0)</f>
        <v>0</v>
      </c>
      <c r="H451" s="0" t="str">
        <f aca="false">INDEX('Materials Master'!$E$2:$E$27,MATCH($C451,'Materials Master'!$A$2:$A$27,0))</f>
        <v>No</v>
      </c>
      <c r="I451" s="0" t="str">
        <f aca="false">IFERROR(INDEX(Areas!$C$2:$C$6,MATCH($A451,Areas!$B$2:$B$6,0)),"")</f>
        <v>Rest of Building</v>
      </c>
      <c r="J451" s="0" t="n">
        <f aca="false">IF(IF($B451="Trash",INDEX('Materials Master'!$F$2:$F$27,MATCH($C451,'Materials Master'!$A$2:$A$27,0)),IF($B451="GMPC Recycling",INDEX('Materials Master'!$G$2:$G$27,MATCH($C451,'Materials Master'!$A$2:$A$27,0)),IF($B451="Organics Recycling",INDEX('Materials Master'!$H$2:$H$27,MATCH($C451,'Materials Master'!$A$2:$A$27,0)),IF($B451="Cardboard Recycling",INDEX('Materials Master'!$I$2:$I$27,MATCH($C451,'Materials Master'!$A$2:$A$27,0)),IF($B451="Paper Recycling",INDEX('Materials Master'!$J$2:$J$27,MATCH($C451,'Materials Master'!$A$2:$A$27,0)),IF($B451="Terracycle",INDEX('Materials Master'!$K$2:$K$27,MATCH($C451,'Materials Master'!$A$2:$A$27,0)),"No"))))))="Yes",1,0)</f>
        <v>0</v>
      </c>
    </row>
    <row r="452" customFormat="false" ht="15" hidden="false" customHeight="false" outlineLevel="0" collapsed="false">
      <c r="A452" s="0" t="s">
        <v>98</v>
      </c>
      <c r="B452" s="0" t="s">
        <v>108</v>
      </c>
      <c r="C452" s="0" t="s">
        <v>47</v>
      </c>
      <c r="D452" s="0" t="str">
        <f aca="false">IFERROR(INDEX('Materials Master'!$B$2:$B$27,MATCH($C452,'Materials Master'!$A$2:$A$27,0)),"")</f>
        <v>Glass Bottles &amp; Jars</v>
      </c>
      <c r="E452" s="0" t="str">
        <f aca="false">IFERROR(INDEX('Materials Master'!$C$2:$C$27,MATCH($C452,'Materials Master'!$A$2:$A$27,0)),"")</f>
        <v>Glass</v>
      </c>
      <c r="F452" s="0" t="n">
        <f aca="false">IF(SUMIFS(Fact_SortedWeights!$E$2:$E$89,Fact_SortedWeights!$C$2:$C$89,$A452,Fact_SortedWeights!$B$2:$B$89,$B452)=0,0,SUMIFS(Fact_SortedWeights!$E$2:$E$89,Fact_SortedWeights!$C$2:$C$89,$A452,Fact_SortedWeights!$B$2:$B$89,$B452,Fact_SortedWeights!$D$2:$D$89,$C452)/SUMIFS(Fact_SortedWeights!$E$2:$E$89,Fact_SortedWeights!$C$2:$C$89,$A452,Fact_SortedWeights!$B$2:$B$89,$B452)*(IF($B452="Cardboard Recycling",SUMIFS(Fact_SortedWeights!$E$2:$E$89,Fact_SortedWeights!$C$2:$C$89,$A452,Fact_SortedWeights!$B$2:$B$89,$B452),SUMIFS(Fact_PreSortWeights!$E$2:$E$186,Fact_PreSortWeights!$C$2:$C$186,$A452,Fact_PreSortWeights!$B$2:$B$186,$B452))))</f>
        <v>0</v>
      </c>
      <c r="G452" s="0" t="n">
        <f aca="false">IF(AND(IF($B452="Trash",INDEX('Materials Master'!$F$2:$F$27,MATCH($C452,'Materials Master'!$A$2:$A$27,0)),IF($B452="GMPC Recycling",INDEX('Materials Master'!$G$2:$G$27,MATCH($C452,'Materials Master'!$A$2:$A$27,0)),IF($B452="Organics Recycling",INDEX('Materials Master'!$H$2:$H$27,MATCH($C452,'Materials Master'!$A$2:$A$27,0)),IF($B452="Cardboard Recycling",INDEX('Materials Master'!$I$2:$I$27,MATCH($C452,'Materials Master'!$A$2:$A$27,0)),IF($B452="Paper Recycling",INDEX('Materials Master'!$J$2:$J$27,MATCH($C452,'Materials Master'!$A$2:$A$27,0)),IF($B452="Terracycle",INDEX('Materials Master'!$K$2:$K$27,MATCH($C452,'Materials Master'!$A$2:$A$27,0)),"No"))))))="Yes",INDEX('Materials Master'!$E$2:$E$27,MATCH($C452,'Materials Master'!$A$2:$A$27,0))="Yes",$B452&lt;&gt;"Trash"),1,0)</f>
        <v>0</v>
      </c>
      <c r="H452" s="0" t="str">
        <f aca="false">INDEX('Materials Master'!$E$2:$E$27,MATCH($C452,'Materials Master'!$A$2:$A$27,0))</f>
        <v>Yes</v>
      </c>
      <c r="I452" s="0" t="str">
        <f aca="false">IFERROR(INDEX(Areas!$C$2:$C$6,MATCH($A452,Areas!$B$2:$B$6,0)),"")</f>
        <v>Rest of Building</v>
      </c>
      <c r="J452" s="0" t="n">
        <f aca="false">IF(IF($B452="Trash",INDEX('Materials Master'!$F$2:$F$27,MATCH($C452,'Materials Master'!$A$2:$A$27,0)),IF($B452="GMPC Recycling",INDEX('Materials Master'!$G$2:$G$27,MATCH($C452,'Materials Master'!$A$2:$A$27,0)),IF($B452="Organics Recycling",INDEX('Materials Master'!$H$2:$H$27,MATCH($C452,'Materials Master'!$A$2:$A$27,0)),IF($B452="Cardboard Recycling",INDEX('Materials Master'!$I$2:$I$27,MATCH($C452,'Materials Master'!$A$2:$A$27,0)),IF($B452="Paper Recycling",INDEX('Materials Master'!$J$2:$J$27,MATCH($C452,'Materials Master'!$A$2:$A$27,0)),IF($B452="Terracycle",INDEX('Materials Master'!$K$2:$K$27,MATCH($C452,'Materials Master'!$A$2:$A$27,0)),"No"))))))="Yes",1,0)</f>
        <v>0</v>
      </c>
    </row>
    <row r="453" customFormat="false" ht="15" hidden="false" customHeight="false" outlineLevel="0" collapsed="false">
      <c r="A453" s="0" t="s">
        <v>98</v>
      </c>
      <c r="B453" s="0" t="s">
        <v>108</v>
      </c>
      <c r="C453" s="0" t="s">
        <v>50</v>
      </c>
      <c r="D453" s="0" t="str">
        <f aca="false">IFERROR(INDEX('Materials Master'!$B$2:$B$27,MATCH($C453,'Materials Master'!$A$2:$A$27,0)),"")</f>
        <v>Soiled Glass</v>
      </c>
      <c r="E453" s="0" t="str">
        <f aca="false">IFERROR(INDEX('Materials Master'!$C$2:$C$27,MATCH($C453,'Materials Master'!$A$2:$A$27,0)),"")</f>
        <v>Glass</v>
      </c>
      <c r="F453" s="0" t="n">
        <f aca="false">IF(SUMIFS(Fact_SortedWeights!$E$2:$E$89,Fact_SortedWeights!$C$2:$C$89,$A453,Fact_SortedWeights!$B$2:$B$89,$B453)=0,0,SUMIFS(Fact_SortedWeights!$E$2:$E$89,Fact_SortedWeights!$C$2:$C$89,$A453,Fact_SortedWeights!$B$2:$B$89,$B453,Fact_SortedWeights!$D$2:$D$89,$C453)/SUMIFS(Fact_SortedWeights!$E$2:$E$89,Fact_SortedWeights!$C$2:$C$89,$A453,Fact_SortedWeights!$B$2:$B$89,$B453)*(IF($B453="Cardboard Recycling",SUMIFS(Fact_SortedWeights!$E$2:$E$89,Fact_SortedWeights!$C$2:$C$89,$A453,Fact_SortedWeights!$B$2:$B$89,$B453),SUMIFS(Fact_PreSortWeights!$E$2:$E$186,Fact_PreSortWeights!$C$2:$C$186,$A453,Fact_PreSortWeights!$B$2:$B$186,$B453))))</f>
        <v>0</v>
      </c>
      <c r="G453" s="0" t="n">
        <f aca="false">IF(AND(IF($B453="Trash",INDEX('Materials Master'!$F$2:$F$27,MATCH($C453,'Materials Master'!$A$2:$A$27,0)),IF($B453="GMPC Recycling",INDEX('Materials Master'!$G$2:$G$27,MATCH($C453,'Materials Master'!$A$2:$A$27,0)),IF($B453="Organics Recycling",INDEX('Materials Master'!$H$2:$H$27,MATCH($C453,'Materials Master'!$A$2:$A$27,0)),IF($B453="Cardboard Recycling",INDEX('Materials Master'!$I$2:$I$27,MATCH($C453,'Materials Master'!$A$2:$A$27,0)),IF($B453="Paper Recycling",INDEX('Materials Master'!$J$2:$J$27,MATCH($C453,'Materials Master'!$A$2:$A$27,0)),IF($B453="Terracycle",INDEX('Materials Master'!$K$2:$K$27,MATCH($C453,'Materials Master'!$A$2:$A$27,0)),"No"))))))="Yes",INDEX('Materials Master'!$E$2:$E$27,MATCH($C453,'Materials Master'!$A$2:$A$27,0))="Yes",$B453&lt;&gt;"Trash"),1,0)</f>
        <v>0</v>
      </c>
      <c r="H453" s="0" t="str">
        <f aca="false">INDEX('Materials Master'!$E$2:$E$27,MATCH($C453,'Materials Master'!$A$2:$A$27,0))</f>
        <v>No</v>
      </c>
      <c r="I453" s="0" t="str">
        <f aca="false">IFERROR(INDEX(Areas!$C$2:$C$6,MATCH($A453,Areas!$B$2:$B$6,0)),"")</f>
        <v>Rest of Building</v>
      </c>
      <c r="J453" s="0" t="n">
        <f aca="false">IF(IF($B453="Trash",INDEX('Materials Master'!$F$2:$F$27,MATCH($C453,'Materials Master'!$A$2:$A$27,0)),IF($B453="GMPC Recycling",INDEX('Materials Master'!$G$2:$G$27,MATCH($C453,'Materials Master'!$A$2:$A$27,0)),IF($B453="Organics Recycling",INDEX('Materials Master'!$H$2:$H$27,MATCH($C453,'Materials Master'!$A$2:$A$27,0)),IF($B453="Cardboard Recycling",INDEX('Materials Master'!$I$2:$I$27,MATCH($C453,'Materials Master'!$A$2:$A$27,0)),IF($B453="Paper Recycling",INDEX('Materials Master'!$J$2:$J$27,MATCH($C453,'Materials Master'!$A$2:$A$27,0)),IF($B453="Terracycle",INDEX('Materials Master'!$K$2:$K$27,MATCH($C453,'Materials Master'!$A$2:$A$27,0)),"No"))))))="Yes",1,0)</f>
        <v>0</v>
      </c>
    </row>
    <row r="454" customFormat="false" ht="15" hidden="false" customHeight="false" outlineLevel="0" collapsed="false">
      <c r="A454" s="0" t="s">
        <v>98</v>
      </c>
      <c r="B454" s="0" t="s">
        <v>108</v>
      </c>
      <c r="C454" s="0" t="s">
        <v>52</v>
      </c>
      <c r="D454" s="0" t="str">
        <f aca="false">IFERROR(INDEX('Materials Master'!$B$2:$B$27,MATCH($C454,'Materials Master'!$A$2:$A$27,0)),"")</f>
        <v>Aluminum &amp; Bi-Metal Containers</v>
      </c>
      <c r="E454" s="0" t="str">
        <f aca="false">IFERROR(INDEX('Materials Master'!$C$2:$C$27,MATCH($C454,'Materials Master'!$A$2:$A$27,0)),"")</f>
        <v>Metals</v>
      </c>
      <c r="F454" s="0" t="n">
        <f aca="false">IF(SUMIFS(Fact_SortedWeights!$E$2:$E$89,Fact_SortedWeights!$C$2:$C$89,$A454,Fact_SortedWeights!$B$2:$B$89,$B454)=0,0,SUMIFS(Fact_SortedWeights!$E$2:$E$89,Fact_SortedWeights!$C$2:$C$89,$A454,Fact_SortedWeights!$B$2:$B$89,$B454,Fact_SortedWeights!$D$2:$D$89,$C454)/SUMIFS(Fact_SortedWeights!$E$2:$E$89,Fact_SortedWeights!$C$2:$C$89,$A454,Fact_SortedWeights!$B$2:$B$89,$B454)*(IF($B454="Cardboard Recycling",SUMIFS(Fact_SortedWeights!$E$2:$E$89,Fact_SortedWeights!$C$2:$C$89,$A454,Fact_SortedWeights!$B$2:$B$89,$B454),SUMIFS(Fact_PreSortWeights!$E$2:$E$186,Fact_PreSortWeights!$C$2:$C$186,$A454,Fact_PreSortWeights!$B$2:$B$186,$B454))))</f>
        <v>0</v>
      </c>
      <c r="G454" s="0" t="n">
        <f aca="false">IF(AND(IF($B454="Trash",INDEX('Materials Master'!$F$2:$F$27,MATCH($C454,'Materials Master'!$A$2:$A$27,0)),IF($B454="GMPC Recycling",INDEX('Materials Master'!$G$2:$G$27,MATCH($C454,'Materials Master'!$A$2:$A$27,0)),IF($B454="Organics Recycling",INDEX('Materials Master'!$H$2:$H$27,MATCH($C454,'Materials Master'!$A$2:$A$27,0)),IF($B454="Cardboard Recycling",INDEX('Materials Master'!$I$2:$I$27,MATCH($C454,'Materials Master'!$A$2:$A$27,0)),IF($B454="Paper Recycling",INDEX('Materials Master'!$J$2:$J$27,MATCH($C454,'Materials Master'!$A$2:$A$27,0)),IF($B454="Terracycle",INDEX('Materials Master'!$K$2:$K$27,MATCH($C454,'Materials Master'!$A$2:$A$27,0)),"No"))))))="Yes",INDEX('Materials Master'!$E$2:$E$27,MATCH($C454,'Materials Master'!$A$2:$A$27,0))="Yes",$B454&lt;&gt;"Trash"),1,0)</f>
        <v>0</v>
      </c>
      <c r="H454" s="0" t="str">
        <f aca="false">INDEX('Materials Master'!$E$2:$E$27,MATCH($C454,'Materials Master'!$A$2:$A$27,0))</f>
        <v>Yes</v>
      </c>
      <c r="I454" s="0" t="str">
        <f aca="false">IFERROR(INDEX(Areas!$C$2:$C$6,MATCH($A454,Areas!$B$2:$B$6,0)),"")</f>
        <v>Rest of Building</v>
      </c>
      <c r="J454" s="0" t="n">
        <f aca="false">IF(IF($B454="Trash",INDEX('Materials Master'!$F$2:$F$27,MATCH($C454,'Materials Master'!$A$2:$A$27,0)),IF($B454="GMPC Recycling",INDEX('Materials Master'!$G$2:$G$27,MATCH($C454,'Materials Master'!$A$2:$A$27,0)),IF($B454="Organics Recycling",INDEX('Materials Master'!$H$2:$H$27,MATCH($C454,'Materials Master'!$A$2:$A$27,0)),IF($B454="Cardboard Recycling",INDEX('Materials Master'!$I$2:$I$27,MATCH($C454,'Materials Master'!$A$2:$A$27,0)),IF($B454="Paper Recycling",INDEX('Materials Master'!$J$2:$J$27,MATCH($C454,'Materials Master'!$A$2:$A$27,0)),IF($B454="Terracycle",INDEX('Materials Master'!$K$2:$K$27,MATCH($C454,'Materials Master'!$A$2:$A$27,0)),"No"))))))="Yes",1,0)</f>
        <v>0</v>
      </c>
    </row>
    <row r="455" customFormat="false" ht="15" hidden="false" customHeight="false" outlineLevel="0" collapsed="false">
      <c r="A455" s="0" t="s">
        <v>98</v>
      </c>
      <c r="B455" s="0" t="s">
        <v>108</v>
      </c>
      <c r="C455" s="0" t="s">
        <v>55</v>
      </c>
      <c r="D455" s="0" t="str">
        <f aca="false">IFERROR(INDEX('Materials Master'!$B$2:$B$27,MATCH($C455,'Materials Master'!$A$2:$A$27,0)),"")</f>
        <v>Soiled Metals</v>
      </c>
      <c r="E455" s="0" t="str">
        <f aca="false">IFERROR(INDEX('Materials Master'!$C$2:$C$27,MATCH($C455,'Materials Master'!$A$2:$A$27,0)),"")</f>
        <v>Metals</v>
      </c>
      <c r="F455" s="0" t="n">
        <f aca="false">IF(SUMIFS(Fact_SortedWeights!$E$2:$E$89,Fact_SortedWeights!$C$2:$C$89,$A455,Fact_SortedWeights!$B$2:$B$89,$B455)=0,0,SUMIFS(Fact_SortedWeights!$E$2:$E$89,Fact_SortedWeights!$C$2:$C$89,$A455,Fact_SortedWeights!$B$2:$B$89,$B455,Fact_SortedWeights!$D$2:$D$89,$C455)/SUMIFS(Fact_SortedWeights!$E$2:$E$89,Fact_SortedWeights!$C$2:$C$89,$A455,Fact_SortedWeights!$B$2:$B$89,$B455)*(IF($B455="Cardboard Recycling",SUMIFS(Fact_SortedWeights!$E$2:$E$89,Fact_SortedWeights!$C$2:$C$89,$A455,Fact_SortedWeights!$B$2:$B$89,$B455),SUMIFS(Fact_PreSortWeights!$E$2:$E$186,Fact_PreSortWeights!$C$2:$C$186,$A455,Fact_PreSortWeights!$B$2:$B$186,$B455))))</f>
        <v>0</v>
      </c>
      <c r="G455" s="0" t="n">
        <f aca="false">IF(AND(IF($B455="Trash",INDEX('Materials Master'!$F$2:$F$27,MATCH($C455,'Materials Master'!$A$2:$A$27,0)),IF($B455="GMPC Recycling",INDEX('Materials Master'!$G$2:$G$27,MATCH($C455,'Materials Master'!$A$2:$A$27,0)),IF($B455="Organics Recycling",INDEX('Materials Master'!$H$2:$H$27,MATCH($C455,'Materials Master'!$A$2:$A$27,0)),IF($B455="Cardboard Recycling",INDEX('Materials Master'!$I$2:$I$27,MATCH($C455,'Materials Master'!$A$2:$A$27,0)),IF($B455="Paper Recycling",INDEX('Materials Master'!$J$2:$J$27,MATCH($C455,'Materials Master'!$A$2:$A$27,0)),IF($B455="Terracycle",INDEX('Materials Master'!$K$2:$K$27,MATCH($C455,'Materials Master'!$A$2:$A$27,0)),"No"))))))="Yes",INDEX('Materials Master'!$E$2:$E$27,MATCH($C455,'Materials Master'!$A$2:$A$27,0))="Yes",$B455&lt;&gt;"Trash"),1,0)</f>
        <v>0</v>
      </c>
      <c r="H455" s="0" t="str">
        <f aca="false">INDEX('Materials Master'!$E$2:$E$27,MATCH($C455,'Materials Master'!$A$2:$A$27,0))</f>
        <v>No</v>
      </c>
      <c r="I455" s="0" t="str">
        <f aca="false">IFERROR(INDEX(Areas!$C$2:$C$6,MATCH($A455,Areas!$B$2:$B$6,0)),"")</f>
        <v>Rest of Building</v>
      </c>
      <c r="J455" s="0" t="n">
        <f aca="false">IF(IF($B455="Trash",INDEX('Materials Master'!$F$2:$F$27,MATCH($C455,'Materials Master'!$A$2:$A$27,0)),IF($B455="GMPC Recycling",INDEX('Materials Master'!$G$2:$G$27,MATCH($C455,'Materials Master'!$A$2:$A$27,0)),IF($B455="Organics Recycling",INDEX('Materials Master'!$H$2:$H$27,MATCH($C455,'Materials Master'!$A$2:$A$27,0)),IF($B455="Cardboard Recycling",INDEX('Materials Master'!$I$2:$I$27,MATCH($C455,'Materials Master'!$A$2:$A$27,0)),IF($B455="Paper Recycling",INDEX('Materials Master'!$J$2:$J$27,MATCH($C455,'Materials Master'!$A$2:$A$27,0)),IF($B455="Terracycle",INDEX('Materials Master'!$K$2:$K$27,MATCH($C455,'Materials Master'!$A$2:$A$27,0)),"No"))))))="Yes",1,0)</f>
        <v>0</v>
      </c>
    </row>
    <row r="456" customFormat="false" ht="15" hidden="false" customHeight="false" outlineLevel="0" collapsed="false">
      <c r="A456" s="0" t="s">
        <v>98</v>
      </c>
      <c r="B456" s="0" t="s">
        <v>108</v>
      </c>
      <c r="C456" s="0" t="s">
        <v>57</v>
      </c>
      <c r="D456" s="0" t="str">
        <f aca="false">IFERROR(INDEX('Materials Master'!$B$2:$B$27,MATCH($C456,'Materials Master'!$A$2:$A$27,0)),"")</f>
        <v>Rigid Plastics (1-6)</v>
      </c>
      <c r="E456" s="0" t="str">
        <f aca="false">IFERROR(INDEX('Materials Master'!$C$2:$C$27,MATCH($C456,'Materials Master'!$A$2:$A$27,0)),"")</f>
        <v>Plastics</v>
      </c>
      <c r="F456" s="0" t="n">
        <f aca="false">IF(SUMIFS(Fact_SortedWeights!$E$2:$E$89,Fact_SortedWeights!$C$2:$C$89,$A456,Fact_SortedWeights!$B$2:$B$89,$B456)=0,0,SUMIFS(Fact_SortedWeights!$E$2:$E$89,Fact_SortedWeights!$C$2:$C$89,$A456,Fact_SortedWeights!$B$2:$B$89,$B456,Fact_SortedWeights!$D$2:$D$89,$C456)/SUMIFS(Fact_SortedWeights!$E$2:$E$89,Fact_SortedWeights!$C$2:$C$89,$A456,Fact_SortedWeights!$B$2:$B$89,$B456)*(IF($B456="Cardboard Recycling",SUMIFS(Fact_SortedWeights!$E$2:$E$89,Fact_SortedWeights!$C$2:$C$89,$A456,Fact_SortedWeights!$B$2:$B$89,$B456),SUMIFS(Fact_PreSortWeights!$E$2:$E$186,Fact_PreSortWeights!$C$2:$C$186,$A456,Fact_PreSortWeights!$B$2:$B$186,$B456))))</f>
        <v>0</v>
      </c>
      <c r="G456" s="0" t="n">
        <f aca="false">IF(AND(IF($B456="Trash",INDEX('Materials Master'!$F$2:$F$27,MATCH($C456,'Materials Master'!$A$2:$A$27,0)),IF($B456="GMPC Recycling",INDEX('Materials Master'!$G$2:$G$27,MATCH($C456,'Materials Master'!$A$2:$A$27,0)),IF($B456="Organics Recycling",INDEX('Materials Master'!$H$2:$H$27,MATCH($C456,'Materials Master'!$A$2:$A$27,0)),IF($B456="Cardboard Recycling",INDEX('Materials Master'!$I$2:$I$27,MATCH($C456,'Materials Master'!$A$2:$A$27,0)),IF($B456="Paper Recycling",INDEX('Materials Master'!$J$2:$J$27,MATCH($C456,'Materials Master'!$A$2:$A$27,0)),IF($B456="Terracycle",INDEX('Materials Master'!$K$2:$K$27,MATCH($C456,'Materials Master'!$A$2:$A$27,0)),"No"))))))="Yes",INDEX('Materials Master'!$E$2:$E$27,MATCH($C456,'Materials Master'!$A$2:$A$27,0))="Yes",$B456&lt;&gt;"Trash"),1,0)</f>
        <v>0</v>
      </c>
      <c r="H456" s="0" t="str">
        <f aca="false">INDEX('Materials Master'!$E$2:$E$27,MATCH($C456,'Materials Master'!$A$2:$A$27,0))</f>
        <v>Yes</v>
      </c>
      <c r="I456" s="0" t="str">
        <f aca="false">IFERROR(INDEX(Areas!$C$2:$C$6,MATCH($A456,Areas!$B$2:$B$6,0)),"")</f>
        <v>Rest of Building</v>
      </c>
      <c r="J456" s="0" t="n">
        <f aca="false">IF(IF($B456="Trash",INDEX('Materials Master'!$F$2:$F$27,MATCH($C456,'Materials Master'!$A$2:$A$27,0)),IF($B456="GMPC Recycling",INDEX('Materials Master'!$G$2:$G$27,MATCH($C456,'Materials Master'!$A$2:$A$27,0)),IF($B456="Organics Recycling",INDEX('Materials Master'!$H$2:$H$27,MATCH($C456,'Materials Master'!$A$2:$A$27,0)),IF($B456="Cardboard Recycling",INDEX('Materials Master'!$I$2:$I$27,MATCH($C456,'Materials Master'!$A$2:$A$27,0)),IF($B456="Paper Recycling",INDEX('Materials Master'!$J$2:$J$27,MATCH($C456,'Materials Master'!$A$2:$A$27,0)),IF($B456="Terracycle",INDEX('Materials Master'!$K$2:$K$27,MATCH($C456,'Materials Master'!$A$2:$A$27,0)),"No"))))))="Yes",1,0)</f>
        <v>0</v>
      </c>
    </row>
    <row r="457" customFormat="false" ht="15" hidden="false" customHeight="false" outlineLevel="0" collapsed="false">
      <c r="A457" s="0" t="s">
        <v>98</v>
      </c>
      <c r="B457" s="0" t="s">
        <v>108</v>
      </c>
      <c r="C457" s="0" t="s">
        <v>60</v>
      </c>
      <c r="D457" s="0" t="str">
        <f aca="false">IFERROR(INDEX('Materials Master'!$B$2:$B$27,MATCH($C457,'Materials Master'!$A$2:$A$27,0)),"")</f>
        <v>Soiled Rigid Plastics</v>
      </c>
      <c r="E457" s="0" t="str">
        <f aca="false">IFERROR(INDEX('Materials Master'!$C$2:$C$27,MATCH($C457,'Materials Master'!$A$2:$A$27,0)),"")</f>
        <v>Plastics</v>
      </c>
      <c r="F457" s="0" t="n">
        <f aca="false">IF(SUMIFS(Fact_SortedWeights!$E$2:$E$89,Fact_SortedWeights!$C$2:$C$89,$A457,Fact_SortedWeights!$B$2:$B$89,$B457)=0,0,SUMIFS(Fact_SortedWeights!$E$2:$E$89,Fact_SortedWeights!$C$2:$C$89,$A457,Fact_SortedWeights!$B$2:$B$89,$B457,Fact_SortedWeights!$D$2:$D$89,$C457)/SUMIFS(Fact_SortedWeights!$E$2:$E$89,Fact_SortedWeights!$C$2:$C$89,$A457,Fact_SortedWeights!$B$2:$B$89,$B457)*(IF($B457="Cardboard Recycling",SUMIFS(Fact_SortedWeights!$E$2:$E$89,Fact_SortedWeights!$C$2:$C$89,$A457,Fact_SortedWeights!$B$2:$B$89,$B457),SUMIFS(Fact_PreSortWeights!$E$2:$E$186,Fact_PreSortWeights!$C$2:$C$186,$A457,Fact_PreSortWeights!$B$2:$B$186,$B457))))</f>
        <v>0</v>
      </c>
      <c r="G457" s="0" t="n">
        <f aca="false">IF(AND(IF($B457="Trash",INDEX('Materials Master'!$F$2:$F$27,MATCH($C457,'Materials Master'!$A$2:$A$27,0)),IF($B457="GMPC Recycling",INDEX('Materials Master'!$G$2:$G$27,MATCH($C457,'Materials Master'!$A$2:$A$27,0)),IF($B457="Organics Recycling",INDEX('Materials Master'!$H$2:$H$27,MATCH($C457,'Materials Master'!$A$2:$A$27,0)),IF($B457="Cardboard Recycling",INDEX('Materials Master'!$I$2:$I$27,MATCH($C457,'Materials Master'!$A$2:$A$27,0)),IF($B457="Paper Recycling",INDEX('Materials Master'!$J$2:$J$27,MATCH($C457,'Materials Master'!$A$2:$A$27,0)),IF($B457="Terracycle",INDEX('Materials Master'!$K$2:$K$27,MATCH($C457,'Materials Master'!$A$2:$A$27,0)),"No"))))))="Yes",INDEX('Materials Master'!$E$2:$E$27,MATCH($C457,'Materials Master'!$A$2:$A$27,0))="Yes",$B457&lt;&gt;"Trash"),1,0)</f>
        <v>0</v>
      </c>
      <c r="H457" s="0" t="str">
        <f aca="false">INDEX('Materials Master'!$E$2:$E$27,MATCH($C457,'Materials Master'!$A$2:$A$27,0))</f>
        <v>No</v>
      </c>
      <c r="I457" s="0" t="str">
        <f aca="false">IFERROR(INDEX(Areas!$C$2:$C$6,MATCH($A457,Areas!$B$2:$B$6,0)),"")</f>
        <v>Rest of Building</v>
      </c>
      <c r="J457" s="0" t="n">
        <f aca="false">IF(IF($B457="Trash",INDEX('Materials Master'!$F$2:$F$27,MATCH($C457,'Materials Master'!$A$2:$A$27,0)),IF($B457="GMPC Recycling",INDEX('Materials Master'!$G$2:$G$27,MATCH($C457,'Materials Master'!$A$2:$A$27,0)),IF($B457="Organics Recycling",INDEX('Materials Master'!$H$2:$H$27,MATCH($C457,'Materials Master'!$A$2:$A$27,0)),IF($B457="Cardboard Recycling",INDEX('Materials Master'!$I$2:$I$27,MATCH($C457,'Materials Master'!$A$2:$A$27,0)),IF($B457="Paper Recycling",INDEX('Materials Master'!$J$2:$J$27,MATCH($C457,'Materials Master'!$A$2:$A$27,0)),IF($B457="Terracycle",INDEX('Materials Master'!$K$2:$K$27,MATCH($C457,'Materials Master'!$A$2:$A$27,0)),"No"))))))="Yes",1,0)</f>
        <v>0</v>
      </c>
    </row>
    <row r="458" customFormat="false" ht="15" hidden="false" customHeight="false" outlineLevel="0" collapsed="false">
      <c r="A458" s="0" t="s">
        <v>98</v>
      </c>
      <c r="B458" s="0" t="s">
        <v>108</v>
      </c>
      <c r="C458" s="0" t="s">
        <v>62</v>
      </c>
      <c r="D458" s="0" t="str">
        <f aca="false">IFERROR(INDEX('Materials Master'!$B$2:$B$27,MATCH($C458,'Materials Master'!$A$2:$A$27,0)),"")</f>
        <v>Film Plastics</v>
      </c>
      <c r="E458" s="0" t="str">
        <f aca="false">IFERROR(INDEX('Materials Master'!$C$2:$C$27,MATCH($C458,'Materials Master'!$A$2:$A$27,0)),"")</f>
        <v>Plastics</v>
      </c>
      <c r="F458" s="0" t="n">
        <f aca="false">IF(SUMIFS(Fact_SortedWeights!$E$2:$E$89,Fact_SortedWeights!$C$2:$C$89,$A458,Fact_SortedWeights!$B$2:$B$89,$B458)=0,0,SUMIFS(Fact_SortedWeights!$E$2:$E$89,Fact_SortedWeights!$C$2:$C$89,$A458,Fact_SortedWeights!$B$2:$B$89,$B458,Fact_SortedWeights!$D$2:$D$89,$C458)/SUMIFS(Fact_SortedWeights!$E$2:$E$89,Fact_SortedWeights!$C$2:$C$89,$A458,Fact_SortedWeights!$B$2:$B$89,$B458)*(IF($B458="Cardboard Recycling",SUMIFS(Fact_SortedWeights!$E$2:$E$89,Fact_SortedWeights!$C$2:$C$89,$A458,Fact_SortedWeights!$B$2:$B$89,$B458),SUMIFS(Fact_PreSortWeights!$E$2:$E$186,Fact_PreSortWeights!$C$2:$C$186,$A458,Fact_PreSortWeights!$B$2:$B$186,$B458))))</f>
        <v>0</v>
      </c>
      <c r="G458" s="0" t="n">
        <f aca="false">IF(AND(IF($B458="Trash",INDEX('Materials Master'!$F$2:$F$27,MATCH($C458,'Materials Master'!$A$2:$A$27,0)),IF($B458="GMPC Recycling",INDEX('Materials Master'!$G$2:$G$27,MATCH($C458,'Materials Master'!$A$2:$A$27,0)),IF($B458="Organics Recycling",INDEX('Materials Master'!$H$2:$H$27,MATCH($C458,'Materials Master'!$A$2:$A$27,0)),IF($B458="Cardboard Recycling",INDEX('Materials Master'!$I$2:$I$27,MATCH($C458,'Materials Master'!$A$2:$A$27,0)),IF($B458="Paper Recycling",INDEX('Materials Master'!$J$2:$J$27,MATCH($C458,'Materials Master'!$A$2:$A$27,0)),IF($B458="Terracycle",INDEX('Materials Master'!$K$2:$K$27,MATCH($C458,'Materials Master'!$A$2:$A$27,0)),"No"))))))="Yes",INDEX('Materials Master'!$E$2:$E$27,MATCH($C458,'Materials Master'!$A$2:$A$27,0))="Yes",$B458&lt;&gt;"Trash"),1,0)</f>
        <v>0</v>
      </c>
      <c r="H458" s="0" t="str">
        <f aca="false">INDEX('Materials Master'!$E$2:$E$27,MATCH($C458,'Materials Master'!$A$2:$A$27,0))</f>
        <v>No</v>
      </c>
      <c r="I458" s="0" t="str">
        <f aca="false">IFERROR(INDEX(Areas!$C$2:$C$6,MATCH($A458,Areas!$B$2:$B$6,0)),"")</f>
        <v>Rest of Building</v>
      </c>
      <c r="J458" s="0" t="n">
        <f aca="false">IF(IF($B458="Trash",INDEX('Materials Master'!$F$2:$F$27,MATCH($C458,'Materials Master'!$A$2:$A$27,0)),IF($B458="GMPC Recycling",INDEX('Materials Master'!$G$2:$G$27,MATCH($C458,'Materials Master'!$A$2:$A$27,0)),IF($B458="Organics Recycling",INDEX('Materials Master'!$H$2:$H$27,MATCH($C458,'Materials Master'!$A$2:$A$27,0)),IF($B458="Cardboard Recycling",INDEX('Materials Master'!$I$2:$I$27,MATCH($C458,'Materials Master'!$A$2:$A$27,0)),IF($B458="Paper Recycling",INDEX('Materials Master'!$J$2:$J$27,MATCH($C458,'Materials Master'!$A$2:$A$27,0)),IF($B458="Terracycle",INDEX('Materials Master'!$K$2:$K$27,MATCH($C458,'Materials Master'!$A$2:$A$27,0)),"No"))))))="Yes",1,0)</f>
        <v>0</v>
      </c>
    </row>
    <row r="459" customFormat="false" ht="15" hidden="false" customHeight="false" outlineLevel="0" collapsed="false">
      <c r="A459" s="0" t="s">
        <v>98</v>
      </c>
      <c r="B459" s="0" t="s">
        <v>108</v>
      </c>
      <c r="C459" s="0" t="s">
        <v>64</v>
      </c>
      <c r="D459" s="0" t="str">
        <f aca="false">IFERROR(INDEX('Materials Master'!$B$2:$B$27,MATCH($C459,'Materials Master'!$A$2:$A$27,0)),"")</f>
        <v>Foams</v>
      </c>
      <c r="E459" s="0" t="str">
        <f aca="false">IFERROR(INDEX('Materials Master'!$C$2:$C$27,MATCH($C459,'Materials Master'!$A$2:$A$27,0)),"")</f>
        <v>Plastics</v>
      </c>
      <c r="F459" s="0" t="n">
        <f aca="false">IF(SUMIFS(Fact_SortedWeights!$E$2:$E$89,Fact_SortedWeights!$C$2:$C$89,$A459,Fact_SortedWeights!$B$2:$B$89,$B459)=0,0,SUMIFS(Fact_SortedWeights!$E$2:$E$89,Fact_SortedWeights!$C$2:$C$89,$A459,Fact_SortedWeights!$B$2:$B$89,$B459,Fact_SortedWeights!$D$2:$D$89,$C459)/SUMIFS(Fact_SortedWeights!$E$2:$E$89,Fact_SortedWeights!$C$2:$C$89,$A459,Fact_SortedWeights!$B$2:$B$89,$B459)*(IF($B459="Cardboard Recycling",SUMIFS(Fact_SortedWeights!$E$2:$E$89,Fact_SortedWeights!$C$2:$C$89,$A459,Fact_SortedWeights!$B$2:$B$89,$B459),SUMIFS(Fact_PreSortWeights!$E$2:$E$186,Fact_PreSortWeights!$C$2:$C$186,$A459,Fact_PreSortWeights!$B$2:$B$186,$B459))))</f>
        <v>0</v>
      </c>
      <c r="G459" s="0" t="n">
        <f aca="false">IF(AND(IF($B459="Trash",INDEX('Materials Master'!$F$2:$F$27,MATCH($C459,'Materials Master'!$A$2:$A$27,0)),IF($B459="GMPC Recycling",INDEX('Materials Master'!$G$2:$G$27,MATCH($C459,'Materials Master'!$A$2:$A$27,0)),IF($B459="Organics Recycling",INDEX('Materials Master'!$H$2:$H$27,MATCH($C459,'Materials Master'!$A$2:$A$27,0)),IF($B459="Cardboard Recycling",INDEX('Materials Master'!$I$2:$I$27,MATCH($C459,'Materials Master'!$A$2:$A$27,0)),IF($B459="Paper Recycling",INDEX('Materials Master'!$J$2:$J$27,MATCH($C459,'Materials Master'!$A$2:$A$27,0)),IF($B459="Terracycle",INDEX('Materials Master'!$K$2:$K$27,MATCH($C459,'Materials Master'!$A$2:$A$27,0)),"No"))))))="Yes",INDEX('Materials Master'!$E$2:$E$27,MATCH($C459,'Materials Master'!$A$2:$A$27,0))="Yes",$B459&lt;&gt;"Trash"),1,0)</f>
        <v>0</v>
      </c>
      <c r="H459" s="0" t="str">
        <f aca="false">INDEX('Materials Master'!$E$2:$E$27,MATCH($C459,'Materials Master'!$A$2:$A$27,0))</f>
        <v>No</v>
      </c>
      <c r="I459" s="0" t="str">
        <f aca="false">IFERROR(INDEX(Areas!$C$2:$C$6,MATCH($A459,Areas!$B$2:$B$6,0)),"")</f>
        <v>Rest of Building</v>
      </c>
      <c r="J459" s="0" t="n">
        <f aca="false">IF(IF($B459="Trash",INDEX('Materials Master'!$F$2:$F$27,MATCH($C459,'Materials Master'!$A$2:$A$27,0)),IF($B459="GMPC Recycling",INDEX('Materials Master'!$G$2:$G$27,MATCH($C459,'Materials Master'!$A$2:$A$27,0)),IF($B459="Organics Recycling",INDEX('Materials Master'!$H$2:$H$27,MATCH($C459,'Materials Master'!$A$2:$A$27,0)),IF($B459="Cardboard Recycling",INDEX('Materials Master'!$I$2:$I$27,MATCH($C459,'Materials Master'!$A$2:$A$27,0)),IF($B459="Paper Recycling",INDEX('Materials Master'!$J$2:$J$27,MATCH($C459,'Materials Master'!$A$2:$A$27,0)),IF($B459="Terracycle",INDEX('Materials Master'!$K$2:$K$27,MATCH($C459,'Materials Master'!$A$2:$A$27,0)),"No"))))))="Yes",1,0)</f>
        <v>0</v>
      </c>
    </row>
    <row r="460" customFormat="false" ht="15" hidden="false" customHeight="false" outlineLevel="0" collapsed="false">
      <c r="A460" s="0" t="s">
        <v>98</v>
      </c>
      <c r="B460" s="0" t="s">
        <v>108</v>
      </c>
      <c r="C460" s="0" t="s">
        <v>66</v>
      </c>
      <c r="D460" s="0" t="str">
        <f aca="false">IFERROR(INDEX('Materials Master'!$B$2:$B$27,MATCH($C460,'Materials Master'!$A$2:$A$27,0)),"")</f>
        <v>Food Waste</v>
      </c>
      <c r="E460" s="0" t="str">
        <f aca="false">IFERROR(INDEX('Materials Master'!$C$2:$C$27,MATCH($C460,'Materials Master'!$A$2:$A$27,0)),"")</f>
        <v>Organics</v>
      </c>
      <c r="F460" s="0" t="n">
        <f aca="false">IF(SUMIFS(Fact_SortedWeights!$E$2:$E$89,Fact_SortedWeights!$C$2:$C$89,$A460,Fact_SortedWeights!$B$2:$B$89,$B460)=0,0,SUMIFS(Fact_SortedWeights!$E$2:$E$89,Fact_SortedWeights!$C$2:$C$89,$A460,Fact_SortedWeights!$B$2:$B$89,$B460,Fact_SortedWeights!$D$2:$D$89,$C460)/SUMIFS(Fact_SortedWeights!$E$2:$E$89,Fact_SortedWeights!$C$2:$C$89,$A460,Fact_SortedWeights!$B$2:$B$89,$B460)*(IF($B460="Cardboard Recycling",SUMIFS(Fact_SortedWeights!$E$2:$E$89,Fact_SortedWeights!$C$2:$C$89,$A460,Fact_SortedWeights!$B$2:$B$89,$B460),SUMIFS(Fact_PreSortWeights!$E$2:$E$186,Fact_PreSortWeights!$C$2:$C$186,$A460,Fact_PreSortWeights!$B$2:$B$186,$B460))))</f>
        <v>0</v>
      </c>
      <c r="G460" s="0" t="n">
        <f aca="false">IF(AND(IF($B460="Trash",INDEX('Materials Master'!$F$2:$F$27,MATCH($C460,'Materials Master'!$A$2:$A$27,0)),IF($B460="GMPC Recycling",INDEX('Materials Master'!$G$2:$G$27,MATCH($C460,'Materials Master'!$A$2:$A$27,0)),IF($B460="Organics Recycling",INDEX('Materials Master'!$H$2:$H$27,MATCH($C460,'Materials Master'!$A$2:$A$27,0)),IF($B460="Cardboard Recycling",INDEX('Materials Master'!$I$2:$I$27,MATCH($C460,'Materials Master'!$A$2:$A$27,0)),IF($B460="Paper Recycling",INDEX('Materials Master'!$J$2:$J$27,MATCH($C460,'Materials Master'!$A$2:$A$27,0)),IF($B460="Terracycle",INDEX('Materials Master'!$K$2:$K$27,MATCH($C460,'Materials Master'!$A$2:$A$27,0)),"No"))))))="Yes",INDEX('Materials Master'!$E$2:$E$27,MATCH($C460,'Materials Master'!$A$2:$A$27,0))="Yes",$B460&lt;&gt;"Trash"),1,0)</f>
        <v>0</v>
      </c>
      <c r="H460" s="0" t="str">
        <f aca="false">INDEX('Materials Master'!$E$2:$E$27,MATCH($C460,'Materials Master'!$A$2:$A$27,0))</f>
        <v>Yes</v>
      </c>
      <c r="I460" s="0" t="str">
        <f aca="false">IFERROR(INDEX(Areas!$C$2:$C$6,MATCH($A460,Areas!$B$2:$B$6,0)),"")</f>
        <v>Rest of Building</v>
      </c>
      <c r="J460" s="0" t="n">
        <f aca="false">IF(IF($B460="Trash",INDEX('Materials Master'!$F$2:$F$27,MATCH($C460,'Materials Master'!$A$2:$A$27,0)),IF($B460="GMPC Recycling",INDEX('Materials Master'!$G$2:$G$27,MATCH($C460,'Materials Master'!$A$2:$A$27,0)),IF($B460="Organics Recycling",INDEX('Materials Master'!$H$2:$H$27,MATCH($C460,'Materials Master'!$A$2:$A$27,0)),IF($B460="Cardboard Recycling",INDEX('Materials Master'!$I$2:$I$27,MATCH($C460,'Materials Master'!$A$2:$A$27,0)),IF($B460="Paper Recycling",INDEX('Materials Master'!$J$2:$J$27,MATCH($C460,'Materials Master'!$A$2:$A$27,0)),IF($B460="Terracycle",INDEX('Materials Master'!$K$2:$K$27,MATCH($C460,'Materials Master'!$A$2:$A$27,0)),"No"))))))="Yes",1,0)</f>
        <v>0</v>
      </c>
    </row>
    <row r="461" customFormat="false" ht="15" hidden="false" customHeight="false" outlineLevel="0" collapsed="false">
      <c r="A461" s="0" t="s">
        <v>98</v>
      </c>
      <c r="B461" s="0" t="s">
        <v>108</v>
      </c>
      <c r="C461" s="0" t="s">
        <v>69</v>
      </c>
      <c r="D461" s="0" t="str">
        <f aca="false">IFERROR(INDEX('Materials Master'!$B$2:$B$27,MATCH($C461,'Materials Master'!$A$2:$A$27,0)),"")</f>
        <v>Paper Fibers and Food-Soiled Paper (FSP)</v>
      </c>
      <c r="E461" s="0" t="str">
        <f aca="false">IFERROR(INDEX('Materials Master'!$C$2:$C$27,MATCH($C461,'Materials Master'!$A$2:$A$27,0)),"")</f>
        <v>Organics</v>
      </c>
      <c r="F461" s="0" t="n">
        <f aca="false">IF(SUMIFS(Fact_SortedWeights!$E$2:$E$89,Fact_SortedWeights!$C$2:$C$89,$A461,Fact_SortedWeights!$B$2:$B$89,$B461)=0,0,SUMIFS(Fact_SortedWeights!$E$2:$E$89,Fact_SortedWeights!$C$2:$C$89,$A461,Fact_SortedWeights!$B$2:$B$89,$B461,Fact_SortedWeights!$D$2:$D$89,$C461)/SUMIFS(Fact_SortedWeights!$E$2:$E$89,Fact_SortedWeights!$C$2:$C$89,$A461,Fact_SortedWeights!$B$2:$B$89,$B461)*(IF($B461="Cardboard Recycling",SUMIFS(Fact_SortedWeights!$E$2:$E$89,Fact_SortedWeights!$C$2:$C$89,$A461,Fact_SortedWeights!$B$2:$B$89,$B461),SUMIFS(Fact_PreSortWeights!$E$2:$E$186,Fact_PreSortWeights!$C$2:$C$186,$A461,Fact_PreSortWeights!$B$2:$B$186,$B461))))</f>
        <v>0</v>
      </c>
      <c r="G461" s="0" t="n">
        <f aca="false">IF(AND(IF($B461="Trash",INDEX('Materials Master'!$F$2:$F$27,MATCH($C461,'Materials Master'!$A$2:$A$27,0)),IF($B461="GMPC Recycling",INDEX('Materials Master'!$G$2:$G$27,MATCH($C461,'Materials Master'!$A$2:$A$27,0)),IF($B461="Organics Recycling",INDEX('Materials Master'!$H$2:$H$27,MATCH($C461,'Materials Master'!$A$2:$A$27,0)),IF($B461="Cardboard Recycling",INDEX('Materials Master'!$I$2:$I$27,MATCH($C461,'Materials Master'!$A$2:$A$27,0)),IF($B461="Paper Recycling",INDEX('Materials Master'!$J$2:$J$27,MATCH($C461,'Materials Master'!$A$2:$A$27,0)),IF($B461="Terracycle",INDEX('Materials Master'!$K$2:$K$27,MATCH($C461,'Materials Master'!$A$2:$A$27,0)),"No"))))))="Yes",INDEX('Materials Master'!$E$2:$E$27,MATCH($C461,'Materials Master'!$A$2:$A$27,0))="Yes",$B461&lt;&gt;"Trash"),1,0)</f>
        <v>0</v>
      </c>
      <c r="H461" s="0" t="str">
        <f aca="false">INDEX('Materials Master'!$E$2:$E$27,MATCH($C461,'Materials Master'!$A$2:$A$27,0))</f>
        <v>No</v>
      </c>
      <c r="I461" s="0" t="str">
        <f aca="false">IFERROR(INDEX(Areas!$C$2:$C$6,MATCH($A461,Areas!$B$2:$B$6,0)),"")</f>
        <v>Rest of Building</v>
      </c>
      <c r="J461" s="0" t="n">
        <f aca="false">IF(IF($B461="Trash",INDEX('Materials Master'!$F$2:$F$27,MATCH($C461,'Materials Master'!$A$2:$A$27,0)),IF($B461="GMPC Recycling",INDEX('Materials Master'!$G$2:$G$27,MATCH($C461,'Materials Master'!$A$2:$A$27,0)),IF($B461="Organics Recycling",INDEX('Materials Master'!$H$2:$H$27,MATCH($C461,'Materials Master'!$A$2:$A$27,0)),IF($B461="Cardboard Recycling",INDEX('Materials Master'!$I$2:$I$27,MATCH($C461,'Materials Master'!$A$2:$A$27,0)),IF($B461="Paper Recycling",INDEX('Materials Master'!$J$2:$J$27,MATCH($C461,'Materials Master'!$A$2:$A$27,0)),IF($B461="Terracycle",INDEX('Materials Master'!$K$2:$K$27,MATCH($C461,'Materials Master'!$A$2:$A$27,0)),"No"))))))="Yes",1,0)</f>
        <v>0</v>
      </c>
    </row>
    <row r="462" customFormat="false" ht="15" hidden="false" customHeight="false" outlineLevel="0" collapsed="false">
      <c r="A462" s="0" t="s">
        <v>98</v>
      </c>
      <c r="B462" s="0" t="s">
        <v>108</v>
      </c>
      <c r="C462" s="0" t="s">
        <v>71</v>
      </c>
      <c r="D462" s="0" t="str">
        <f aca="false">IFERROR(INDEX('Materials Master'!$B$2:$B$27,MATCH($C462,'Materials Master'!$A$2:$A$27,0)),"")</f>
        <v>Fiber-based Compostable Serviceware</v>
      </c>
      <c r="E462" s="0" t="str">
        <f aca="false">IFERROR(INDEX('Materials Master'!$C$2:$C$27,MATCH($C462,'Materials Master'!$A$2:$A$27,0)),"")</f>
        <v>Organics</v>
      </c>
      <c r="F462" s="0" t="n">
        <f aca="false">IF(SUMIFS(Fact_SortedWeights!$E$2:$E$89,Fact_SortedWeights!$C$2:$C$89,$A462,Fact_SortedWeights!$B$2:$B$89,$B462)=0,0,SUMIFS(Fact_SortedWeights!$E$2:$E$89,Fact_SortedWeights!$C$2:$C$89,$A462,Fact_SortedWeights!$B$2:$B$89,$B462,Fact_SortedWeights!$D$2:$D$89,$C462)/SUMIFS(Fact_SortedWeights!$E$2:$E$89,Fact_SortedWeights!$C$2:$C$89,$A462,Fact_SortedWeights!$B$2:$B$89,$B462)*(IF($B462="Cardboard Recycling",SUMIFS(Fact_SortedWeights!$E$2:$E$89,Fact_SortedWeights!$C$2:$C$89,$A462,Fact_SortedWeights!$B$2:$B$89,$B462),SUMIFS(Fact_PreSortWeights!$E$2:$E$186,Fact_PreSortWeights!$C$2:$C$186,$A462,Fact_PreSortWeights!$B$2:$B$186,$B462))))</f>
        <v>0</v>
      </c>
      <c r="G462" s="0" t="n">
        <f aca="false">IF(AND(IF($B462="Trash",INDEX('Materials Master'!$F$2:$F$27,MATCH($C462,'Materials Master'!$A$2:$A$27,0)),IF($B462="GMPC Recycling",INDEX('Materials Master'!$G$2:$G$27,MATCH($C462,'Materials Master'!$A$2:$A$27,0)),IF($B462="Organics Recycling",INDEX('Materials Master'!$H$2:$H$27,MATCH($C462,'Materials Master'!$A$2:$A$27,0)),IF($B462="Cardboard Recycling",INDEX('Materials Master'!$I$2:$I$27,MATCH($C462,'Materials Master'!$A$2:$A$27,0)),IF($B462="Paper Recycling",INDEX('Materials Master'!$J$2:$J$27,MATCH($C462,'Materials Master'!$A$2:$A$27,0)),IF($B462="Terracycle",INDEX('Materials Master'!$K$2:$K$27,MATCH($C462,'Materials Master'!$A$2:$A$27,0)),"No"))))))="Yes",INDEX('Materials Master'!$E$2:$E$27,MATCH($C462,'Materials Master'!$A$2:$A$27,0))="Yes",$B462&lt;&gt;"Trash"),1,0)</f>
        <v>0</v>
      </c>
      <c r="H462" s="0" t="str">
        <f aca="false">INDEX('Materials Master'!$E$2:$E$27,MATCH($C462,'Materials Master'!$A$2:$A$27,0))</f>
        <v>No</v>
      </c>
      <c r="I462" s="0" t="str">
        <f aca="false">IFERROR(INDEX(Areas!$C$2:$C$6,MATCH($A462,Areas!$B$2:$B$6,0)),"")</f>
        <v>Rest of Building</v>
      </c>
      <c r="J462" s="0" t="n">
        <f aca="false">IF(IF($B462="Trash",INDEX('Materials Master'!$F$2:$F$27,MATCH($C462,'Materials Master'!$A$2:$A$27,0)),IF($B462="GMPC Recycling",INDEX('Materials Master'!$G$2:$G$27,MATCH($C462,'Materials Master'!$A$2:$A$27,0)),IF($B462="Organics Recycling",INDEX('Materials Master'!$H$2:$H$27,MATCH($C462,'Materials Master'!$A$2:$A$27,0)),IF($B462="Cardboard Recycling",INDEX('Materials Master'!$I$2:$I$27,MATCH($C462,'Materials Master'!$A$2:$A$27,0)),IF($B462="Paper Recycling",INDEX('Materials Master'!$J$2:$J$27,MATCH($C462,'Materials Master'!$A$2:$A$27,0)),IF($B462="Terracycle",INDEX('Materials Master'!$K$2:$K$27,MATCH($C462,'Materials Master'!$A$2:$A$27,0)),"No"))))))="Yes",1,0)</f>
        <v>0</v>
      </c>
    </row>
    <row r="463" customFormat="false" ht="15" hidden="false" customHeight="false" outlineLevel="0" collapsed="false">
      <c r="A463" s="0" t="s">
        <v>98</v>
      </c>
      <c r="B463" s="0" t="s">
        <v>108</v>
      </c>
      <c r="C463" s="0" t="s">
        <v>73</v>
      </c>
      <c r="D463" s="0" t="str">
        <f aca="false">IFERROR(INDEX('Materials Master'!$B$2:$B$27,MATCH($C463,'Materials Master'!$A$2:$A$27,0)),"")</f>
        <v>PLA Compostable Serviceware</v>
      </c>
      <c r="E463" s="0" t="str">
        <f aca="false">IFERROR(INDEX('Materials Master'!$C$2:$C$27,MATCH($C463,'Materials Master'!$A$2:$A$27,0)),"")</f>
        <v>Organics</v>
      </c>
      <c r="F463" s="0" t="n">
        <f aca="false">IF(SUMIFS(Fact_SortedWeights!$E$2:$E$89,Fact_SortedWeights!$C$2:$C$89,$A463,Fact_SortedWeights!$B$2:$B$89,$B463)=0,0,SUMIFS(Fact_SortedWeights!$E$2:$E$89,Fact_SortedWeights!$C$2:$C$89,$A463,Fact_SortedWeights!$B$2:$B$89,$B463,Fact_SortedWeights!$D$2:$D$89,$C463)/SUMIFS(Fact_SortedWeights!$E$2:$E$89,Fact_SortedWeights!$C$2:$C$89,$A463,Fact_SortedWeights!$B$2:$B$89,$B463)*(IF($B463="Cardboard Recycling",SUMIFS(Fact_SortedWeights!$E$2:$E$89,Fact_SortedWeights!$C$2:$C$89,$A463,Fact_SortedWeights!$B$2:$B$89,$B463),SUMIFS(Fact_PreSortWeights!$E$2:$E$186,Fact_PreSortWeights!$C$2:$C$186,$A463,Fact_PreSortWeights!$B$2:$B$186,$B463))))</f>
        <v>0</v>
      </c>
      <c r="G463" s="0" t="n">
        <f aca="false">IF(AND(IF($B463="Trash",INDEX('Materials Master'!$F$2:$F$27,MATCH($C463,'Materials Master'!$A$2:$A$27,0)),IF($B463="GMPC Recycling",INDEX('Materials Master'!$G$2:$G$27,MATCH($C463,'Materials Master'!$A$2:$A$27,0)),IF($B463="Organics Recycling",INDEX('Materials Master'!$H$2:$H$27,MATCH($C463,'Materials Master'!$A$2:$A$27,0)),IF($B463="Cardboard Recycling",INDEX('Materials Master'!$I$2:$I$27,MATCH($C463,'Materials Master'!$A$2:$A$27,0)),IF($B463="Paper Recycling",INDEX('Materials Master'!$J$2:$J$27,MATCH($C463,'Materials Master'!$A$2:$A$27,0)),IF($B463="Terracycle",INDEX('Materials Master'!$K$2:$K$27,MATCH($C463,'Materials Master'!$A$2:$A$27,0)),"No"))))))="Yes",INDEX('Materials Master'!$E$2:$E$27,MATCH($C463,'Materials Master'!$A$2:$A$27,0))="Yes",$B463&lt;&gt;"Trash"),1,0)</f>
        <v>0</v>
      </c>
      <c r="H463" s="0" t="str">
        <f aca="false">INDEX('Materials Master'!$E$2:$E$27,MATCH($C463,'Materials Master'!$A$2:$A$27,0))</f>
        <v>No</v>
      </c>
      <c r="I463" s="0" t="str">
        <f aca="false">IFERROR(INDEX(Areas!$C$2:$C$6,MATCH($A463,Areas!$B$2:$B$6,0)),"")</f>
        <v>Rest of Building</v>
      </c>
      <c r="J463" s="0" t="n">
        <f aca="false">IF(IF($B463="Trash",INDEX('Materials Master'!$F$2:$F$27,MATCH($C463,'Materials Master'!$A$2:$A$27,0)),IF($B463="GMPC Recycling",INDEX('Materials Master'!$G$2:$G$27,MATCH($C463,'Materials Master'!$A$2:$A$27,0)),IF($B463="Organics Recycling",INDEX('Materials Master'!$H$2:$H$27,MATCH($C463,'Materials Master'!$A$2:$A$27,0)),IF($B463="Cardboard Recycling",INDEX('Materials Master'!$I$2:$I$27,MATCH($C463,'Materials Master'!$A$2:$A$27,0)),IF($B463="Paper Recycling",INDEX('Materials Master'!$J$2:$J$27,MATCH($C463,'Materials Master'!$A$2:$A$27,0)),IF($B463="Terracycle",INDEX('Materials Master'!$K$2:$K$27,MATCH($C463,'Materials Master'!$A$2:$A$27,0)),"No"))))))="Yes",1,0)</f>
        <v>0</v>
      </c>
    </row>
    <row r="464" customFormat="false" ht="15" hidden="false" customHeight="false" outlineLevel="0" collapsed="false">
      <c r="A464" s="0" t="s">
        <v>98</v>
      </c>
      <c r="B464" s="0" t="s">
        <v>108</v>
      </c>
      <c r="C464" s="0" t="s">
        <v>75</v>
      </c>
      <c r="D464" s="0" t="str">
        <f aca="false">IFERROR(INDEX('Materials Master'!$B$2:$B$27,MATCH($C464,'Materials Master'!$A$2:$A$27,0)),"")</f>
        <v>E/U Waste</v>
      </c>
      <c r="E464" s="0" t="str">
        <f aca="false">IFERROR(INDEX('Materials Master'!$C$2:$C$27,MATCH($C464,'Materials Master'!$A$2:$A$27,0)),"")</f>
        <v>Unacceptable</v>
      </c>
      <c r="F464" s="0" t="n">
        <f aca="false">IF(SUMIFS(Fact_SortedWeights!$E$2:$E$89,Fact_SortedWeights!$C$2:$C$89,$A464,Fact_SortedWeights!$B$2:$B$89,$B464)=0,0,SUMIFS(Fact_SortedWeights!$E$2:$E$89,Fact_SortedWeights!$C$2:$C$89,$A464,Fact_SortedWeights!$B$2:$B$89,$B464,Fact_SortedWeights!$D$2:$D$89,$C464)/SUMIFS(Fact_SortedWeights!$E$2:$E$89,Fact_SortedWeights!$C$2:$C$89,$A464,Fact_SortedWeights!$B$2:$B$89,$B464)*(IF($B464="Cardboard Recycling",SUMIFS(Fact_SortedWeights!$E$2:$E$89,Fact_SortedWeights!$C$2:$C$89,$A464,Fact_SortedWeights!$B$2:$B$89,$B464),SUMIFS(Fact_PreSortWeights!$E$2:$E$186,Fact_PreSortWeights!$C$2:$C$186,$A464,Fact_PreSortWeights!$B$2:$B$186,$B464))))</f>
        <v>0</v>
      </c>
      <c r="G464" s="0" t="n">
        <f aca="false">IF(AND(IF($B464="Trash",INDEX('Materials Master'!$F$2:$F$27,MATCH($C464,'Materials Master'!$A$2:$A$27,0)),IF($B464="GMPC Recycling",INDEX('Materials Master'!$G$2:$G$27,MATCH($C464,'Materials Master'!$A$2:$A$27,0)),IF($B464="Organics Recycling",INDEX('Materials Master'!$H$2:$H$27,MATCH($C464,'Materials Master'!$A$2:$A$27,0)),IF($B464="Cardboard Recycling",INDEX('Materials Master'!$I$2:$I$27,MATCH($C464,'Materials Master'!$A$2:$A$27,0)),IF($B464="Paper Recycling",INDEX('Materials Master'!$J$2:$J$27,MATCH($C464,'Materials Master'!$A$2:$A$27,0)),IF($B464="Terracycle",INDEX('Materials Master'!$K$2:$K$27,MATCH($C464,'Materials Master'!$A$2:$A$27,0)),"No"))))))="Yes",INDEX('Materials Master'!$E$2:$E$27,MATCH($C464,'Materials Master'!$A$2:$A$27,0))="Yes",$B464&lt;&gt;"Trash"),1,0)</f>
        <v>0</v>
      </c>
      <c r="H464" s="0" t="str">
        <f aca="false">INDEX('Materials Master'!$E$2:$E$27,MATCH($C464,'Materials Master'!$A$2:$A$27,0))</f>
        <v>No</v>
      </c>
      <c r="I464" s="0" t="str">
        <f aca="false">IFERROR(INDEX(Areas!$C$2:$C$6,MATCH($A464,Areas!$B$2:$B$6,0)),"")</f>
        <v>Rest of Building</v>
      </c>
      <c r="J464" s="0" t="n">
        <f aca="false">IF(IF($B464="Trash",INDEX('Materials Master'!$F$2:$F$27,MATCH($C464,'Materials Master'!$A$2:$A$27,0)),IF($B464="GMPC Recycling",INDEX('Materials Master'!$G$2:$G$27,MATCH($C464,'Materials Master'!$A$2:$A$27,0)),IF($B464="Organics Recycling",INDEX('Materials Master'!$H$2:$H$27,MATCH($C464,'Materials Master'!$A$2:$A$27,0)),IF($B464="Cardboard Recycling",INDEX('Materials Master'!$I$2:$I$27,MATCH($C464,'Materials Master'!$A$2:$A$27,0)),IF($B464="Paper Recycling",INDEX('Materials Master'!$J$2:$J$27,MATCH($C464,'Materials Master'!$A$2:$A$27,0)),IF($B464="Terracycle",INDEX('Materials Master'!$K$2:$K$27,MATCH($C464,'Materials Master'!$A$2:$A$27,0)),"No"))))))="Yes",1,0)</f>
        <v>0</v>
      </c>
    </row>
    <row r="465" customFormat="false" ht="15" hidden="false" customHeight="false" outlineLevel="0" collapsed="false">
      <c r="A465" s="0" t="s">
        <v>98</v>
      </c>
      <c r="B465" s="0" t="s">
        <v>108</v>
      </c>
      <c r="C465" s="0" t="s">
        <v>78</v>
      </c>
      <c r="D465" s="0" t="str">
        <f aca="false">IFERROR(INDEX('Materials Master'!$B$2:$B$27,MATCH($C465,'Materials Master'!$A$2:$A$27,0)),"")</f>
        <v>Textiles</v>
      </c>
      <c r="E465" s="0" t="str">
        <f aca="false">IFERROR(INDEX('Materials Master'!$C$2:$C$27,MATCH($C465,'Materials Master'!$A$2:$A$27,0)),"")</f>
        <v>Unacceptable</v>
      </c>
      <c r="F465" s="0" t="n">
        <f aca="false">IF(SUMIFS(Fact_SortedWeights!$E$2:$E$89,Fact_SortedWeights!$C$2:$C$89,$A465,Fact_SortedWeights!$B$2:$B$89,$B465)=0,0,SUMIFS(Fact_SortedWeights!$E$2:$E$89,Fact_SortedWeights!$C$2:$C$89,$A465,Fact_SortedWeights!$B$2:$B$89,$B465,Fact_SortedWeights!$D$2:$D$89,$C465)/SUMIFS(Fact_SortedWeights!$E$2:$E$89,Fact_SortedWeights!$C$2:$C$89,$A465,Fact_SortedWeights!$B$2:$B$89,$B465)*(IF($B465="Cardboard Recycling",SUMIFS(Fact_SortedWeights!$E$2:$E$89,Fact_SortedWeights!$C$2:$C$89,$A465,Fact_SortedWeights!$B$2:$B$89,$B465),SUMIFS(Fact_PreSortWeights!$E$2:$E$186,Fact_PreSortWeights!$C$2:$C$186,$A465,Fact_PreSortWeights!$B$2:$B$186,$B465))))</f>
        <v>0</v>
      </c>
      <c r="G465" s="0" t="n">
        <f aca="false">IF(AND(IF($B465="Trash",INDEX('Materials Master'!$F$2:$F$27,MATCH($C465,'Materials Master'!$A$2:$A$27,0)),IF($B465="GMPC Recycling",INDEX('Materials Master'!$G$2:$G$27,MATCH($C465,'Materials Master'!$A$2:$A$27,0)),IF($B465="Organics Recycling",INDEX('Materials Master'!$H$2:$H$27,MATCH($C465,'Materials Master'!$A$2:$A$27,0)),IF($B465="Cardboard Recycling",INDEX('Materials Master'!$I$2:$I$27,MATCH($C465,'Materials Master'!$A$2:$A$27,0)),IF($B465="Paper Recycling",INDEX('Materials Master'!$J$2:$J$27,MATCH($C465,'Materials Master'!$A$2:$A$27,0)),IF($B465="Terracycle",INDEX('Materials Master'!$K$2:$K$27,MATCH($C465,'Materials Master'!$A$2:$A$27,0)),"No"))))))="Yes",INDEX('Materials Master'!$E$2:$E$27,MATCH($C465,'Materials Master'!$A$2:$A$27,0))="Yes",$B465&lt;&gt;"Trash"),1,0)</f>
        <v>0</v>
      </c>
      <c r="H465" s="0" t="str">
        <f aca="false">INDEX('Materials Master'!$E$2:$E$27,MATCH($C465,'Materials Master'!$A$2:$A$27,0))</f>
        <v>No</v>
      </c>
      <c r="I465" s="0" t="str">
        <f aca="false">IFERROR(INDEX(Areas!$C$2:$C$6,MATCH($A465,Areas!$B$2:$B$6,0)),"")</f>
        <v>Rest of Building</v>
      </c>
      <c r="J465" s="0" t="n">
        <f aca="false">IF(IF($B465="Trash",INDEX('Materials Master'!$F$2:$F$27,MATCH($C465,'Materials Master'!$A$2:$A$27,0)),IF($B465="GMPC Recycling",INDEX('Materials Master'!$G$2:$G$27,MATCH($C465,'Materials Master'!$A$2:$A$27,0)),IF($B465="Organics Recycling",INDEX('Materials Master'!$H$2:$H$27,MATCH($C465,'Materials Master'!$A$2:$A$27,0)),IF($B465="Cardboard Recycling",INDEX('Materials Master'!$I$2:$I$27,MATCH($C465,'Materials Master'!$A$2:$A$27,0)),IF($B465="Paper Recycling",INDEX('Materials Master'!$J$2:$J$27,MATCH($C465,'Materials Master'!$A$2:$A$27,0)),IF($B465="Terracycle",INDEX('Materials Master'!$K$2:$K$27,MATCH($C465,'Materials Master'!$A$2:$A$27,0)),"No"))))))="Yes",1,0)</f>
        <v>0</v>
      </c>
    </row>
    <row r="466" customFormat="false" ht="15" hidden="false" customHeight="false" outlineLevel="0" collapsed="false">
      <c r="A466" s="0" t="s">
        <v>98</v>
      </c>
      <c r="B466" s="0" t="s">
        <v>108</v>
      </c>
      <c r="C466" s="0" t="s">
        <v>80</v>
      </c>
      <c r="D466" s="0" t="str">
        <f aca="false">IFERROR(INDEX('Materials Master'!$B$2:$B$27,MATCH($C466,'Materials Master'!$A$2:$A$27,0)),"")</f>
        <v>Other Unacceptable (specify)</v>
      </c>
      <c r="E466" s="0" t="str">
        <f aca="false">IFERROR(INDEX('Materials Master'!$C$2:$C$27,MATCH($C466,'Materials Master'!$A$2:$A$27,0)),"")</f>
        <v>Unacceptable</v>
      </c>
      <c r="F466" s="0" t="n">
        <f aca="false">IF(SUMIFS(Fact_SortedWeights!$E$2:$E$89,Fact_SortedWeights!$C$2:$C$89,$A466,Fact_SortedWeights!$B$2:$B$89,$B466)=0,0,SUMIFS(Fact_SortedWeights!$E$2:$E$89,Fact_SortedWeights!$C$2:$C$89,$A466,Fact_SortedWeights!$B$2:$B$89,$B466,Fact_SortedWeights!$D$2:$D$89,$C466)/SUMIFS(Fact_SortedWeights!$E$2:$E$89,Fact_SortedWeights!$C$2:$C$89,$A466,Fact_SortedWeights!$B$2:$B$89,$B466)*(IF($B466="Cardboard Recycling",SUMIFS(Fact_SortedWeights!$E$2:$E$89,Fact_SortedWeights!$C$2:$C$89,$A466,Fact_SortedWeights!$B$2:$B$89,$B466),SUMIFS(Fact_PreSortWeights!$E$2:$E$186,Fact_PreSortWeights!$C$2:$C$186,$A466,Fact_PreSortWeights!$B$2:$B$186,$B466))))</f>
        <v>0</v>
      </c>
      <c r="G466" s="0" t="n">
        <f aca="false">IF(AND(IF($B466="Trash",INDEX('Materials Master'!$F$2:$F$27,MATCH($C466,'Materials Master'!$A$2:$A$27,0)),IF($B466="GMPC Recycling",INDEX('Materials Master'!$G$2:$G$27,MATCH($C466,'Materials Master'!$A$2:$A$27,0)),IF($B466="Organics Recycling",INDEX('Materials Master'!$H$2:$H$27,MATCH($C466,'Materials Master'!$A$2:$A$27,0)),IF($B466="Cardboard Recycling",INDEX('Materials Master'!$I$2:$I$27,MATCH($C466,'Materials Master'!$A$2:$A$27,0)),IF($B466="Paper Recycling",INDEX('Materials Master'!$J$2:$J$27,MATCH($C466,'Materials Master'!$A$2:$A$27,0)),IF($B466="Terracycle",INDEX('Materials Master'!$K$2:$K$27,MATCH($C466,'Materials Master'!$A$2:$A$27,0)),"No"))))))="Yes",INDEX('Materials Master'!$E$2:$E$27,MATCH($C466,'Materials Master'!$A$2:$A$27,0))="Yes",$B466&lt;&gt;"Trash"),1,0)</f>
        <v>0</v>
      </c>
      <c r="H466" s="0" t="str">
        <f aca="false">INDEX('Materials Master'!$E$2:$E$27,MATCH($C466,'Materials Master'!$A$2:$A$27,0))</f>
        <v>No</v>
      </c>
      <c r="I466" s="0" t="str">
        <f aca="false">IFERROR(INDEX(Areas!$C$2:$C$6,MATCH($A466,Areas!$B$2:$B$6,0)),"")</f>
        <v>Rest of Building</v>
      </c>
      <c r="J466" s="0" t="n">
        <f aca="false">IF(IF($B466="Trash",INDEX('Materials Master'!$F$2:$F$27,MATCH($C466,'Materials Master'!$A$2:$A$27,0)),IF($B466="GMPC Recycling",INDEX('Materials Master'!$G$2:$G$27,MATCH($C466,'Materials Master'!$A$2:$A$27,0)),IF($B466="Organics Recycling",INDEX('Materials Master'!$H$2:$H$27,MATCH($C466,'Materials Master'!$A$2:$A$27,0)),IF($B466="Cardboard Recycling",INDEX('Materials Master'!$I$2:$I$27,MATCH($C466,'Materials Master'!$A$2:$A$27,0)),IF($B466="Paper Recycling",INDEX('Materials Master'!$J$2:$J$27,MATCH($C466,'Materials Master'!$A$2:$A$27,0)),IF($B466="Terracycle",INDEX('Materials Master'!$K$2:$K$27,MATCH($C466,'Materials Master'!$A$2:$A$27,0)),"No"))))))="Yes",1,0)</f>
        <v>0</v>
      </c>
    </row>
    <row r="467" customFormat="false" ht="15" hidden="false" customHeight="false" outlineLevel="0" collapsed="false">
      <c r="A467" s="0" t="s">
        <v>98</v>
      </c>
      <c r="B467" s="0" t="s">
        <v>108</v>
      </c>
      <c r="C467" s="0" t="s">
        <v>82</v>
      </c>
      <c r="D467" s="0" t="str">
        <f aca="false">IFERROR(INDEX('Materials Master'!$B$2:$B$27,MATCH($C467,'Materials Master'!$A$2:$A$27,0)),"")</f>
        <v>Liquids</v>
      </c>
      <c r="E467" s="0" t="str">
        <f aca="false">IFERROR(INDEX('Materials Master'!$C$2:$C$27,MATCH($C467,'Materials Master'!$A$2:$A$27,0)),"")</f>
        <v>Unacceptable</v>
      </c>
      <c r="F467" s="0" t="n">
        <f aca="false">IF(SUMIFS(Fact_SortedWeights!$E$2:$E$89,Fact_SortedWeights!$C$2:$C$89,$A467,Fact_SortedWeights!$B$2:$B$89,$B467)=0,0,SUMIFS(Fact_SortedWeights!$E$2:$E$89,Fact_SortedWeights!$C$2:$C$89,$A467,Fact_SortedWeights!$B$2:$B$89,$B467,Fact_SortedWeights!$D$2:$D$89,$C467)/SUMIFS(Fact_SortedWeights!$E$2:$E$89,Fact_SortedWeights!$C$2:$C$89,$A467,Fact_SortedWeights!$B$2:$B$89,$B467)*(IF($B467="Cardboard Recycling",SUMIFS(Fact_SortedWeights!$E$2:$E$89,Fact_SortedWeights!$C$2:$C$89,$A467,Fact_SortedWeights!$B$2:$B$89,$B467),SUMIFS(Fact_PreSortWeights!$E$2:$E$186,Fact_PreSortWeights!$C$2:$C$186,$A467,Fact_PreSortWeights!$B$2:$B$186,$B467))))</f>
        <v>0</v>
      </c>
      <c r="G467" s="0" t="n">
        <f aca="false">IF(AND(IF($B467="Trash",INDEX('Materials Master'!$F$2:$F$27,MATCH($C467,'Materials Master'!$A$2:$A$27,0)),IF($B467="GMPC Recycling",INDEX('Materials Master'!$G$2:$G$27,MATCH($C467,'Materials Master'!$A$2:$A$27,0)),IF($B467="Organics Recycling",INDEX('Materials Master'!$H$2:$H$27,MATCH($C467,'Materials Master'!$A$2:$A$27,0)),IF($B467="Cardboard Recycling",INDEX('Materials Master'!$I$2:$I$27,MATCH($C467,'Materials Master'!$A$2:$A$27,0)),IF($B467="Paper Recycling",INDEX('Materials Master'!$J$2:$J$27,MATCH($C467,'Materials Master'!$A$2:$A$27,0)),IF($B467="Terracycle",INDEX('Materials Master'!$K$2:$K$27,MATCH($C467,'Materials Master'!$A$2:$A$27,0)),"No"))))))="Yes",INDEX('Materials Master'!$E$2:$E$27,MATCH($C467,'Materials Master'!$A$2:$A$27,0))="Yes",$B467&lt;&gt;"Trash"),1,0)</f>
        <v>0</v>
      </c>
      <c r="H467" s="0" t="str">
        <f aca="false">INDEX('Materials Master'!$E$2:$E$27,MATCH($C467,'Materials Master'!$A$2:$A$27,0))</f>
        <v>No</v>
      </c>
      <c r="I467" s="0" t="str">
        <f aca="false">IFERROR(INDEX(Areas!$C$2:$C$6,MATCH($A467,Areas!$B$2:$B$6,0)),"")</f>
        <v>Rest of Building</v>
      </c>
      <c r="J467" s="0" t="n">
        <f aca="false">IF(IF($B467="Trash",INDEX('Materials Master'!$F$2:$F$27,MATCH($C467,'Materials Master'!$A$2:$A$27,0)),IF($B467="GMPC Recycling",INDEX('Materials Master'!$G$2:$G$27,MATCH($C467,'Materials Master'!$A$2:$A$27,0)),IF($B467="Organics Recycling",INDEX('Materials Master'!$H$2:$H$27,MATCH($C467,'Materials Master'!$A$2:$A$27,0)),IF($B467="Cardboard Recycling",INDEX('Materials Master'!$I$2:$I$27,MATCH($C467,'Materials Master'!$A$2:$A$27,0)),IF($B467="Paper Recycling",INDEX('Materials Master'!$J$2:$J$27,MATCH($C467,'Materials Master'!$A$2:$A$27,0)),IF($B467="Terracycle",INDEX('Materials Master'!$K$2:$K$27,MATCH($C467,'Materials Master'!$A$2:$A$27,0)),"No"))))))="Yes",1,0)</f>
        <v>0</v>
      </c>
    </row>
    <row r="468" customFormat="false" ht="15" hidden="false" customHeight="false" outlineLevel="0" collapsed="false">
      <c r="A468" s="0" t="s">
        <v>98</v>
      </c>
      <c r="B468" s="0" t="s">
        <v>108</v>
      </c>
      <c r="C468" s="0" t="s">
        <v>84</v>
      </c>
      <c r="D468" s="0" t="str">
        <f aca="false">IFERROR(INDEX('Materials Master'!$B$2:$B$27,MATCH($C468,'Materials Master'!$A$2:$A$27,0)),"")</f>
        <v>Snack Wrappers (Composites)</v>
      </c>
      <c r="E468" s="0" t="str">
        <f aca="false">IFERROR(INDEX('Materials Master'!$C$2:$C$27,MATCH($C468,'Materials Master'!$A$2:$A$27,0)),"")</f>
        <v>Other</v>
      </c>
      <c r="F468" s="0" t="n">
        <f aca="false">IF(SUMIFS(Fact_SortedWeights!$E$2:$E$89,Fact_SortedWeights!$C$2:$C$89,$A468,Fact_SortedWeights!$B$2:$B$89,$B468)=0,0,SUMIFS(Fact_SortedWeights!$E$2:$E$89,Fact_SortedWeights!$C$2:$C$89,$A468,Fact_SortedWeights!$B$2:$B$89,$B468,Fact_SortedWeights!$D$2:$D$89,$C468)/SUMIFS(Fact_SortedWeights!$E$2:$E$89,Fact_SortedWeights!$C$2:$C$89,$A468,Fact_SortedWeights!$B$2:$B$89,$B468)*(IF($B468="Cardboard Recycling",SUMIFS(Fact_SortedWeights!$E$2:$E$89,Fact_SortedWeights!$C$2:$C$89,$A468,Fact_SortedWeights!$B$2:$B$89,$B468),SUMIFS(Fact_PreSortWeights!$E$2:$E$186,Fact_PreSortWeights!$C$2:$C$186,$A468,Fact_PreSortWeights!$B$2:$B$186,$B468))))</f>
        <v>0</v>
      </c>
      <c r="G468" s="0" t="n">
        <f aca="false">IF(AND(IF($B468="Trash",INDEX('Materials Master'!$F$2:$F$27,MATCH($C468,'Materials Master'!$A$2:$A$27,0)),IF($B468="GMPC Recycling",INDEX('Materials Master'!$G$2:$G$27,MATCH($C468,'Materials Master'!$A$2:$A$27,0)),IF($B468="Organics Recycling",INDEX('Materials Master'!$H$2:$H$27,MATCH($C468,'Materials Master'!$A$2:$A$27,0)),IF($B468="Cardboard Recycling",INDEX('Materials Master'!$I$2:$I$27,MATCH($C468,'Materials Master'!$A$2:$A$27,0)),IF($B468="Paper Recycling",INDEX('Materials Master'!$J$2:$J$27,MATCH($C468,'Materials Master'!$A$2:$A$27,0)),IF($B468="Terracycle",INDEX('Materials Master'!$K$2:$K$27,MATCH($C468,'Materials Master'!$A$2:$A$27,0)),"No"))))))="Yes",INDEX('Materials Master'!$E$2:$E$27,MATCH($C468,'Materials Master'!$A$2:$A$27,0))="Yes",$B468&lt;&gt;"Trash"),1,0)</f>
        <v>1</v>
      </c>
      <c r="H468" s="0" t="str">
        <f aca="false">INDEX('Materials Master'!$E$2:$E$27,MATCH($C468,'Materials Master'!$A$2:$A$27,0))</f>
        <v>Yes</v>
      </c>
      <c r="I468" s="0" t="str">
        <f aca="false">IFERROR(INDEX(Areas!$C$2:$C$6,MATCH($A468,Areas!$B$2:$B$6,0)),"")</f>
        <v>Rest of Building</v>
      </c>
      <c r="J468" s="0" t="n">
        <f aca="false">IF(IF($B468="Trash",INDEX('Materials Master'!$F$2:$F$27,MATCH($C468,'Materials Master'!$A$2:$A$27,0)),IF($B468="GMPC Recycling",INDEX('Materials Master'!$G$2:$G$27,MATCH($C468,'Materials Master'!$A$2:$A$27,0)),IF($B468="Organics Recycling",INDEX('Materials Master'!$H$2:$H$27,MATCH($C468,'Materials Master'!$A$2:$A$27,0)),IF($B468="Cardboard Recycling",INDEX('Materials Master'!$I$2:$I$27,MATCH($C468,'Materials Master'!$A$2:$A$27,0)),IF($B468="Paper Recycling",INDEX('Materials Master'!$J$2:$J$27,MATCH($C468,'Materials Master'!$A$2:$A$27,0)),IF($B468="Terracycle",INDEX('Materials Master'!$K$2:$K$27,MATCH($C468,'Materials Master'!$A$2:$A$27,0)),"No"))))))="Yes",1,0)</f>
        <v>1</v>
      </c>
    </row>
    <row r="469" customFormat="false" ht="15" hidden="false" customHeight="false" outlineLevel="0" collapsed="false">
      <c r="A469" s="0" t="s">
        <v>98</v>
      </c>
      <c r="B469" s="0" t="s">
        <v>108</v>
      </c>
      <c r="C469" s="0" t="s">
        <v>87</v>
      </c>
      <c r="D469" s="0" t="str">
        <f aca="false">IFERROR(INDEX('Materials Master'!$B$2:$B$27,MATCH($C469,'Materials Master'!$A$2:$A$27,0)),"")</f>
        <v>Other/Residual Materials</v>
      </c>
      <c r="E469" s="0" t="str">
        <f aca="false">IFERROR(INDEX('Materials Master'!$C$2:$C$27,MATCH($C469,'Materials Master'!$A$2:$A$27,0)),"")</f>
        <v>Other</v>
      </c>
      <c r="F469" s="0" t="n">
        <f aca="false">IF(SUMIFS(Fact_SortedWeights!$E$2:$E$89,Fact_SortedWeights!$C$2:$C$89,$A469,Fact_SortedWeights!$B$2:$B$89,$B469)=0,0,SUMIFS(Fact_SortedWeights!$E$2:$E$89,Fact_SortedWeights!$C$2:$C$89,$A469,Fact_SortedWeights!$B$2:$B$89,$B469,Fact_SortedWeights!$D$2:$D$89,$C469)/SUMIFS(Fact_SortedWeights!$E$2:$E$89,Fact_SortedWeights!$C$2:$C$89,$A469,Fact_SortedWeights!$B$2:$B$89,$B469)*(IF($B469="Cardboard Recycling",SUMIFS(Fact_SortedWeights!$E$2:$E$89,Fact_SortedWeights!$C$2:$C$89,$A469,Fact_SortedWeights!$B$2:$B$89,$B469),SUMIFS(Fact_PreSortWeights!$E$2:$E$186,Fact_PreSortWeights!$C$2:$C$186,$A469,Fact_PreSortWeights!$B$2:$B$186,$B469))))</f>
        <v>0</v>
      </c>
      <c r="G469" s="0" t="n">
        <f aca="false">IF(AND(IF($B469="Trash",INDEX('Materials Master'!$F$2:$F$27,MATCH($C469,'Materials Master'!$A$2:$A$27,0)),IF($B469="GMPC Recycling",INDEX('Materials Master'!$G$2:$G$27,MATCH($C469,'Materials Master'!$A$2:$A$27,0)),IF($B469="Organics Recycling",INDEX('Materials Master'!$H$2:$H$27,MATCH($C469,'Materials Master'!$A$2:$A$27,0)),IF($B469="Cardboard Recycling",INDEX('Materials Master'!$I$2:$I$27,MATCH($C469,'Materials Master'!$A$2:$A$27,0)),IF($B469="Paper Recycling",INDEX('Materials Master'!$J$2:$J$27,MATCH($C469,'Materials Master'!$A$2:$A$27,0)),IF($B469="Terracycle",INDEX('Materials Master'!$K$2:$K$27,MATCH($C469,'Materials Master'!$A$2:$A$27,0)),"No"))))))="Yes",INDEX('Materials Master'!$E$2:$E$27,MATCH($C469,'Materials Master'!$A$2:$A$27,0))="Yes",$B469&lt;&gt;"Trash"),1,0)</f>
        <v>0</v>
      </c>
      <c r="H469" s="0" t="str">
        <f aca="false">INDEX('Materials Master'!$E$2:$E$27,MATCH($C469,'Materials Master'!$A$2:$A$27,0))</f>
        <v>No</v>
      </c>
      <c r="I469" s="0" t="str">
        <f aca="false">IFERROR(INDEX(Areas!$C$2:$C$6,MATCH($A469,Areas!$B$2:$B$6,0)),"")</f>
        <v>Rest of Building</v>
      </c>
      <c r="J469" s="0" t="n">
        <f aca="false">IF(IF($B469="Trash",INDEX('Materials Master'!$F$2:$F$27,MATCH($C469,'Materials Master'!$A$2:$A$27,0)),IF($B469="GMPC Recycling",INDEX('Materials Master'!$G$2:$G$27,MATCH($C469,'Materials Master'!$A$2:$A$27,0)),IF($B469="Organics Recycling",INDEX('Materials Master'!$H$2:$H$27,MATCH($C469,'Materials Master'!$A$2:$A$27,0)),IF($B469="Cardboard Recycling",INDEX('Materials Master'!$I$2:$I$27,MATCH($C469,'Materials Master'!$A$2:$A$27,0)),IF($B469="Paper Recycling",INDEX('Materials Master'!$J$2:$J$27,MATCH($C469,'Materials Master'!$A$2:$A$27,0)),IF($B469="Terracycle",INDEX('Materials Master'!$K$2:$K$27,MATCH($C469,'Materials Master'!$A$2:$A$27,0)),"No"))))))="Yes",1,0)</f>
        <v>0</v>
      </c>
    </row>
    <row r="470" customFormat="false" ht="15" hidden="false" customHeight="false" outlineLevel="0" collapsed="false">
      <c r="A470" s="0" t="s">
        <v>100</v>
      </c>
      <c r="B470" s="0" t="s">
        <v>103</v>
      </c>
      <c r="C470" s="0" t="s">
        <v>28</v>
      </c>
      <c r="D470" s="0" t="str">
        <f aca="false">IFERROR(INDEX('Materials Master'!$B$2:$B$27,MATCH($C470,'Materials Master'!$A$2:$A$27,0)),"")</f>
        <v>Corrugated Cardboard</v>
      </c>
      <c r="E470" s="0" t="str">
        <f aca="false">IFERROR(INDEX('Materials Master'!$C$2:$C$27,MATCH($C470,'Materials Master'!$A$2:$A$27,0)),"")</f>
        <v>Fibers</v>
      </c>
      <c r="F470" s="0" t="n">
        <f aca="false">IF(SUMIFS(Fact_SortedWeights!$E$2:$E$89,Fact_SortedWeights!$C$2:$C$89,$A470,Fact_SortedWeights!$B$2:$B$89,$B470)=0,0,SUMIFS(Fact_SortedWeights!$E$2:$E$89,Fact_SortedWeights!$C$2:$C$89,$A470,Fact_SortedWeights!$B$2:$B$89,$B470,Fact_SortedWeights!$D$2:$D$89,$C470)/SUMIFS(Fact_SortedWeights!$E$2:$E$89,Fact_SortedWeights!$C$2:$C$89,$A470,Fact_SortedWeights!$B$2:$B$89,$B470)*(IF($B470="Cardboard Recycling",SUMIFS(Fact_SortedWeights!$E$2:$E$89,Fact_SortedWeights!$C$2:$C$89,$A470,Fact_SortedWeights!$B$2:$B$89,$B470),SUMIFS(Fact_PreSortWeights!$E$2:$E$186,Fact_PreSortWeights!$C$2:$C$186,$A470,Fact_PreSortWeights!$B$2:$B$186,$B470))))</f>
        <v>0</v>
      </c>
      <c r="G470" s="0" t="n">
        <f aca="false">IF(AND(IF($B470="Trash",INDEX('Materials Master'!$F$2:$F$27,MATCH($C470,'Materials Master'!$A$2:$A$27,0)),IF($B470="GMPC Recycling",INDEX('Materials Master'!$G$2:$G$27,MATCH($C470,'Materials Master'!$A$2:$A$27,0)),IF($B470="Organics Recycling",INDEX('Materials Master'!$H$2:$H$27,MATCH($C470,'Materials Master'!$A$2:$A$27,0)),IF($B470="Cardboard Recycling",INDEX('Materials Master'!$I$2:$I$27,MATCH($C470,'Materials Master'!$A$2:$A$27,0)),IF($B470="Paper Recycling",INDEX('Materials Master'!$J$2:$J$27,MATCH($C470,'Materials Master'!$A$2:$A$27,0)),IF($B470="Terracycle",INDEX('Materials Master'!$K$2:$K$27,MATCH($C470,'Materials Master'!$A$2:$A$27,0)),"No"))))))="Yes",INDEX('Materials Master'!$E$2:$E$27,MATCH($C470,'Materials Master'!$A$2:$A$27,0))="Yes",$B470&lt;&gt;"Trash"),1,0)</f>
        <v>0</v>
      </c>
      <c r="H470" s="0" t="str">
        <f aca="false">INDEX('Materials Master'!$E$2:$E$27,MATCH($C470,'Materials Master'!$A$2:$A$27,0))</f>
        <v>Yes</v>
      </c>
      <c r="I470" s="0" t="str">
        <f aca="false">IFERROR(INDEX(Areas!$C$2:$C$6,MATCH($A470,Areas!$B$2:$B$6,0)),"")</f>
        <v>Rest of Building</v>
      </c>
      <c r="J470" s="0" t="n">
        <f aca="false">IF(IF($B470="Trash",INDEX('Materials Master'!$F$2:$F$27,MATCH($C470,'Materials Master'!$A$2:$A$27,0)),IF($B470="GMPC Recycling",INDEX('Materials Master'!$G$2:$G$27,MATCH($C470,'Materials Master'!$A$2:$A$27,0)),IF($B470="Organics Recycling",INDEX('Materials Master'!$H$2:$H$27,MATCH($C470,'Materials Master'!$A$2:$A$27,0)),IF($B470="Cardboard Recycling",INDEX('Materials Master'!$I$2:$I$27,MATCH($C470,'Materials Master'!$A$2:$A$27,0)),IF($B470="Paper Recycling",INDEX('Materials Master'!$J$2:$J$27,MATCH($C470,'Materials Master'!$A$2:$A$27,0)),IF($B470="Terracycle",INDEX('Materials Master'!$K$2:$K$27,MATCH($C470,'Materials Master'!$A$2:$A$27,0)),"No"))))))="Yes",1,0)</f>
        <v>0</v>
      </c>
    </row>
    <row r="471" customFormat="false" ht="15" hidden="false" customHeight="false" outlineLevel="0" collapsed="false">
      <c r="A471" s="0" t="s">
        <v>100</v>
      </c>
      <c r="B471" s="0" t="s">
        <v>103</v>
      </c>
      <c r="C471" s="0" t="s">
        <v>33</v>
      </c>
      <c r="D471" s="0" t="str">
        <f aca="false">IFERROR(INDEX('Materials Master'!$B$2:$B$27,MATCH($C471,'Materials Master'!$A$2:$A$27,0)),"")</f>
        <v>Soiled Cardboard</v>
      </c>
      <c r="E471" s="0" t="str">
        <f aca="false">IFERROR(INDEX('Materials Master'!$C$2:$C$27,MATCH($C471,'Materials Master'!$A$2:$A$27,0)),"")</f>
        <v>Fibers</v>
      </c>
      <c r="F471" s="0" t="n">
        <f aca="false">IF(SUMIFS(Fact_SortedWeights!$E$2:$E$89,Fact_SortedWeights!$C$2:$C$89,$A471,Fact_SortedWeights!$B$2:$B$89,$B471)=0,0,SUMIFS(Fact_SortedWeights!$E$2:$E$89,Fact_SortedWeights!$C$2:$C$89,$A471,Fact_SortedWeights!$B$2:$B$89,$B471,Fact_SortedWeights!$D$2:$D$89,$C471)/SUMIFS(Fact_SortedWeights!$E$2:$E$89,Fact_SortedWeights!$C$2:$C$89,$A471,Fact_SortedWeights!$B$2:$B$89,$B471)*(IF($B471="Cardboard Recycling",SUMIFS(Fact_SortedWeights!$E$2:$E$89,Fact_SortedWeights!$C$2:$C$89,$A471,Fact_SortedWeights!$B$2:$B$89,$B471),SUMIFS(Fact_PreSortWeights!$E$2:$E$186,Fact_PreSortWeights!$C$2:$C$186,$A471,Fact_PreSortWeights!$B$2:$B$186,$B471))))</f>
        <v>0</v>
      </c>
      <c r="G471" s="0" t="n">
        <f aca="false">IF(AND(IF($B471="Trash",INDEX('Materials Master'!$F$2:$F$27,MATCH($C471,'Materials Master'!$A$2:$A$27,0)),IF($B471="GMPC Recycling",INDEX('Materials Master'!$G$2:$G$27,MATCH($C471,'Materials Master'!$A$2:$A$27,0)),IF($B471="Organics Recycling",INDEX('Materials Master'!$H$2:$H$27,MATCH($C471,'Materials Master'!$A$2:$A$27,0)),IF($B471="Cardboard Recycling",INDEX('Materials Master'!$I$2:$I$27,MATCH($C471,'Materials Master'!$A$2:$A$27,0)),IF($B471="Paper Recycling",INDEX('Materials Master'!$J$2:$J$27,MATCH($C471,'Materials Master'!$A$2:$A$27,0)),IF($B471="Terracycle",INDEX('Materials Master'!$K$2:$K$27,MATCH($C471,'Materials Master'!$A$2:$A$27,0)),"No"))))))="Yes",INDEX('Materials Master'!$E$2:$E$27,MATCH($C471,'Materials Master'!$A$2:$A$27,0))="Yes",$B471&lt;&gt;"Trash"),1,0)</f>
        <v>0</v>
      </c>
      <c r="H471" s="0" t="str">
        <f aca="false">INDEX('Materials Master'!$E$2:$E$27,MATCH($C471,'Materials Master'!$A$2:$A$27,0))</f>
        <v>No</v>
      </c>
      <c r="I471" s="0" t="str">
        <f aca="false">IFERROR(INDEX(Areas!$C$2:$C$6,MATCH($A471,Areas!$B$2:$B$6,0)),"")</f>
        <v>Rest of Building</v>
      </c>
      <c r="J471" s="0" t="n">
        <f aca="false">IF(IF($B471="Trash",INDEX('Materials Master'!$F$2:$F$27,MATCH($C471,'Materials Master'!$A$2:$A$27,0)),IF($B471="GMPC Recycling",INDEX('Materials Master'!$G$2:$G$27,MATCH($C471,'Materials Master'!$A$2:$A$27,0)),IF($B471="Organics Recycling",INDEX('Materials Master'!$H$2:$H$27,MATCH($C471,'Materials Master'!$A$2:$A$27,0)),IF($B471="Cardboard Recycling",INDEX('Materials Master'!$I$2:$I$27,MATCH($C471,'Materials Master'!$A$2:$A$27,0)),IF($B471="Paper Recycling",INDEX('Materials Master'!$J$2:$J$27,MATCH($C471,'Materials Master'!$A$2:$A$27,0)),IF($B471="Terracycle",INDEX('Materials Master'!$K$2:$K$27,MATCH($C471,'Materials Master'!$A$2:$A$27,0)),"No"))))))="Yes",1,0)</f>
        <v>1</v>
      </c>
    </row>
    <row r="472" customFormat="false" ht="15" hidden="false" customHeight="false" outlineLevel="0" collapsed="false">
      <c r="A472" s="0" t="s">
        <v>100</v>
      </c>
      <c r="B472" s="0" t="s">
        <v>103</v>
      </c>
      <c r="C472" s="0" t="s">
        <v>35</v>
      </c>
      <c r="D472" s="0" t="str">
        <f aca="false">IFERROR(INDEX('Materials Master'!$B$2:$B$27,MATCH($C472,'Materials Master'!$A$2:$A$27,0)),"")</f>
        <v>Waxed Cardboard</v>
      </c>
      <c r="E472" s="0" t="str">
        <f aca="false">IFERROR(INDEX('Materials Master'!$C$2:$C$27,MATCH($C472,'Materials Master'!$A$2:$A$27,0)),"")</f>
        <v>Fibers</v>
      </c>
      <c r="F472" s="0" t="n">
        <f aca="false">IF(SUMIFS(Fact_SortedWeights!$E$2:$E$89,Fact_SortedWeights!$C$2:$C$89,$A472,Fact_SortedWeights!$B$2:$B$89,$B472)=0,0,SUMIFS(Fact_SortedWeights!$E$2:$E$89,Fact_SortedWeights!$C$2:$C$89,$A472,Fact_SortedWeights!$B$2:$B$89,$B472,Fact_SortedWeights!$D$2:$D$89,$C472)/SUMIFS(Fact_SortedWeights!$E$2:$E$89,Fact_SortedWeights!$C$2:$C$89,$A472,Fact_SortedWeights!$B$2:$B$89,$B472)*(IF($B472="Cardboard Recycling",SUMIFS(Fact_SortedWeights!$E$2:$E$89,Fact_SortedWeights!$C$2:$C$89,$A472,Fact_SortedWeights!$B$2:$B$89,$B472),SUMIFS(Fact_PreSortWeights!$E$2:$E$186,Fact_PreSortWeights!$C$2:$C$186,$A472,Fact_PreSortWeights!$B$2:$B$186,$B472))))</f>
        <v>0</v>
      </c>
      <c r="G472" s="0" t="n">
        <f aca="false">IF(AND(IF($B472="Trash",INDEX('Materials Master'!$F$2:$F$27,MATCH($C472,'Materials Master'!$A$2:$A$27,0)),IF($B472="GMPC Recycling",INDEX('Materials Master'!$G$2:$G$27,MATCH($C472,'Materials Master'!$A$2:$A$27,0)),IF($B472="Organics Recycling",INDEX('Materials Master'!$H$2:$H$27,MATCH($C472,'Materials Master'!$A$2:$A$27,0)),IF($B472="Cardboard Recycling",INDEX('Materials Master'!$I$2:$I$27,MATCH($C472,'Materials Master'!$A$2:$A$27,0)),IF($B472="Paper Recycling",INDEX('Materials Master'!$J$2:$J$27,MATCH($C472,'Materials Master'!$A$2:$A$27,0)),IF($B472="Terracycle",INDEX('Materials Master'!$K$2:$K$27,MATCH($C472,'Materials Master'!$A$2:$A$27,0)),"No"))))))="Yes",INDEX('Materials Master'!$E$2:$E$27,MATCH($C472,'Materials Master'!$A$2:$A$27,0))="Yes",$B472&lt;&gt;"Trash"),1,0)</f>
        <v>0</v>
      </c>
      <c r="H472" s="0" t="str">
        <f aca="false">INDEX('Materials Master'!$E$2:$E$27,MATCH($C472,'Materials Master'!$A$2:$A$27,0))</f>
        <v>No</v>
      </c>
      <c r="I472" s="0" t="str">
        <f aca="false">IFERROR(INDEX(Areas!$C$2:$C$6,MATCH($A472,Areas!$B$2:$B$6,0)),"")</f>
        <v>Rest of Building</v>
      </c>
      <c r="J472" s="0" t="n">
        <f aca="false">IF(IF($B472="Trash",INDEX('Materials Master'!$F$2:$F$27,MATCH($C472,'Materials Master'!$A$2:$A$27,0)),IF($B472="GMPC Recycling",INDEX('Materials Master'!$G$2:$G$27,MATCH($C472,'Materials Master'!$A$2:$A$27,0)),IF($B472="Organics Recycling",INDEX('Materials Master'!$H$2:$H$27,MATCH($C472,'Materials Master'!$A$2:$A$27,0)),IF($B472="Cardboard Recycling",INDEX('Materials Master'!$I$2:$I$27,MATCH($C472,'Materials Master'!$A$2:$A$27,0)),IF($B472="Paper Recycling",INDEX('Materials Master'!$J$2:$J$27,MATCH($C472,'Materials Master'!$A$2:$A$27,0)),IF($B472="Terracycle",INDEX('Materials Master'!$K$2:$K$27,MATCH($C472,'Materials Master'!$A$2:$A$27,0)),"No"))))))="Yes",1,0)</f>
        <v>1</v>
      </c>
    </row>
    <row r="473" customFormat="false" ht="15" hidden="false" customHeight="false" outlineLevel="0" collapsed="false">
      <c r="A473" s="0" t="s">
        <v>100</v>
      </c>
      <c r="B473" s="0" t="s">
        <v>103</v>
      </c>
      <c r="C473" s="0" t="s">
        <v>37</v>
      </c>
      <c r="D473" s="0" t="str">
        <f aca="false">IFERROR(INDEX('Materials Master'!$B$2:$B$27,MATCH($C473,'Materials Master'!$A$2:$A$27,0)),"")</f>
        <v>Mixed Paper</v>
      </c>
      <c r="E473" s="0" t="str">
        <f aca="false">IFERROR(INDEX('Materials Master'!$C$2:$C$27,MATCH($C473,'Materials Master'!$A$2:$A$27,0)),"")</f>
        <v>Fibers</v>
      </c>
      <c r="F473" s="0" t="n">
        <f aca="false">IF(SUMIFS(Fact_SortedWeights!$E$2:$E$89,Fact_SortedWeights!$C$2:$C$89,$A473,Fact_SortedWeights!$B$2:$B$89,$B473)=0,0,SUMIFS(Fact_SortedWeights!$E$2:$E$89,Fact_SortedWeights!$C$2:$C$89,$A473,Fact_SortedWeights!$B$2:$B$89,$B473,Fact_SortedWeights!$D$2:$D$89,$C473)/SUMIFS(Fact_SortedWeights!$E$2:$E$89,Fact_SortedWeights!$C$2:$C$89,$A473,Fact_SortedWeights!$B$2:$B$89,$B473)*(IF($B473="Cardboard Recycling",SUMIFS(Fact_SortedWeights!$E$2:$E$89,Fact_SortedWeights!$C$2:$C$89,$A473,Fact_SortedWeights!$B$2:$B$89,$B473),SUMIFS(Fact_PreSortWeights!$E$2:$E$186,Fact_PreSortWeights!$C$2:$C$186,$A473,Fact_PreSortWeights!$B$2:$B$186,$B473))))</f>
        <v>0</v>
      </c>
      <c r="G473" s="0" t="n">
        <f aca="false">IF(AND(IF($B473="Trash",INDEX('Materials Master'!$F$2:$F$27,MATCH($C473,'Materials Master'!$A$2:$A$27,0)),IF($B473="GMPC Recycling",INDEX('Materials Master'!$G$2:$G$27,MATCH($C473,'Materials Master'!$A$2:$A$27,0)),IF($B473="Organics Recycling",INDEX('Materials Master'!$H$2:$H$27,MATCH($C473,'Materials Master'!$A$2:$A$27,0)),IF($B473="Cardboard Recycling",INDEX('Materials Master'!$I$2:$I$27,MATCH($C473,'Materials Master'!$A$2:$A$27,0)),IF($B473="Paper Recycling",INDEX('Materials Master'!$J$2:$J$27,MATCH($C473,'Materials Master'!$A$2:$A$27,0)),IF($B473="Terracycle",INDEX('Materials Master'!$K$2:$K$27,MATCH($C473,'Materials Master'!$A$2:$A$27,0)),"No"))))))="Yes",INDEX('Materials Master'!$E$2:$E$27,MATCH($C473,'Materials Master'!$A$2:$A$27,0))="Yes",$B473&lt;&gt;"Trash"),1,0)</f>
        <v>0</v>
      </c>
      <c r="H473" s="0" t="str">
        <f aca="false">INDEX('Materials Master'!$E$2:$E$27,MATCH($C473,'Materials Master'!$A$2:$A$27,0))</f>
        <v>Yes</v>
      </c>
      <c r="I473" s="0" t="str">
        <f aca="false">IFERROR(INDEX(Areas!$C$2:$C$6,MATCH($A473,Areas!$B$2:$B$6,0)),"")</f>
        <v>Rest of Building</v>
      </c>
      <c r="J473" s="0" t="n">
        <f aca="false">IF(IF($B473="Trash",INDEX('Materials Master'!$F$2:$F$27,MATCH($C473,'Materials Master'!$A$2:$A$27,0)),IF($B473="GMPC Recycling",INDEX('Materials Master'!$G$2:$G$27,MATCH($C473,'Materials Master'!$A$2:$A$27,0)),IF($B473="Organics Recycling",INDEX('Materials Master'!$H$2:$H$27,MATCH($C473,'Materials Master'!$A$2:$A$27,0)),IF($B473="Cardboard Recycling",INDEX('Materials Master'!$I$2:$I$27,MATCH($C473,'Materials Master'!$A$2:$A$27,0)),IF($B473="Paper Recycling",INDEX('Materials Master'!$J$2:$J$27,MATCH($C473,'Materials Master'!$A$2:$A$27,0)),IF($B473="Terracycle",INDEX('Materials Master'!$K$2:$K$27,MATCH($C473,'Materials Master'!$A$2:$A$27,0)),"No"))))))="Yes",1,0)</f>
        <v>0</v>
      </c>
    </row>
    <row r="474" customFormat="false" ht="15" hidden="false" customHeight="false" outlineLevel="0" collapsed="false">
      <c r="A474" s="0" t="s">
        <v>100</v>
      </c>
      <c r="B474" s="0" t="s">
        <v>103</v>
      </c>
      <c r="C474" s="0" t="s">
        <v>39</v>
      </c>
      <c r="D474" s="0" t="str">
        <f aca="false">IFERROR(INDEX('Materials Master'!$B$2:$B$27,MATCH($C474,'Materials Master'!$A$2:$A$27,0)),"")</f>
        <v>Soiled Paper</v>
      </c>
      <c r="E474" s="0" t="str">
        <f aca="false">IFERROR(INDEX('Materials Master'!$C$2:$C$27,MATCH($C474,'Materials Master'!$A$2:$A$27,0)),"")</f>
        <v>Fibers</v>
      </c>
      <c r="F474" s="0" t="n">
        <f aca="false">IF(SUMIFS(Fact_SortedWeights!$E$2:$E$89,Fact_SortedWeights!$C$2:$C$89,$A474,Fact_SortedWeights!$B$2:$B$89,$B474)=0,0,SUMIFS(Fact_SortedWeights!$E$2:$E$89,Fact_SortedWeights!$C$2:$C$89,$A474,Fact_SortedWeights!$B$2:$B$89,$B474,Fact_SortedWeights!$D$2:$D$89,$C474)/SUMIFS(Fact_SortedWeights!$E$2:$E$89,Fact_SortedWeights!$C$2:$C$89,$A474,Fact_SortedWeights!$B$2:$B$89,$B474)*(IF($B474="Cardboard Recycling",SUMIFS(Fact_SortedWeights!$E$2:$E$89,Fact_SortedWeights!$C$2:$C$89,$A474,Fact_SortedWeights!$B$2:$B$89,$B474),SUMIFS(Fact_PreSortWeights!$E$2:$E$186,Fact_PreSortWeights!$C$2:$C$186,$A474,Fact_PreSortWeights!$B$2:$B$186,$B474))))</f>
        <v>0</v>
      </c>
      <c r="G474" s="0" t="n">
        <f aca="false">IF(AND(IF($B474="Trash",INDEX('Materials Master'!$F$2:$F$27,MATCH($C474,'Materials Master'!$A$2:$A$27,0)),IF($B474="GMPC Recycling",INDEX('Materials Master'!$G$2:$G$27,MATCH($C474,'Materials Master'!$A$2:$A$27,0)),IF($B474="Organics Recycling",INDEX('Materials Master'!$H$2:$H$27,MATCH($C474,'Materials Master'!$A$2:$A$27,0)),IF($B474="Cardboard Recycling",INDEX('Materials Master'!$I$2:$I$27,MATCH($C474,'Materials Master'!$A$2:$A$27,0)),IF($B474="Paper Recycling",INDEX('Materials Master'!$J$2:$J$27,MATCH($C474,'Materials Master'!$A$2:$A$27,0)),IF($B474="Terracycle",INDEX('Materials Master'!$K$2:$K$27,MATCH($C474,'Materials Master'!$A$2:$A$27,0)),"No"))))))="Yes",INDEX('Materials Master'!$E$2:$E$27,MATCH($C474,'Materials Master'!$A$2:$A$27,0))="Yes",$B474&lt;&gt;"Trash"),1,0)</f>
        <v>0</v>
      </c>
      <c r="H474" s="0" t="str">
        <f aca="false">INDEX('Materials Master'!$E$2:$E$27,MATCH($C474,'Materials Master'!$A$2:$A$27,0))</f>
        <v>No</v>
      </c>
      <c r="I474" s="0" t="str">
        <f aca="false">IFERROR(INDEX(Areas!$C$2:$C$6,MATCH($A474,Areas!$B$2:$B$6,0)),"")</f>
        <v>Rest of Building</v>
      </c>
      <c r="J474" s="0" t="n">
        <f aca="false">IF(IF($B474="Trash",INDEX('Materials Master'!$F$2:$F$27,MATCH($C474,'Materials Master'!$A$2:$A$27,0)),IF($B474="GMPC Recycling",INDEX('Materials Master'!$G$2:$G$27,MATCH($C474,'Materials Master'!$A$2:$A$27,0)),IF($B474="Organics Recycling",INDEX('Materials Master'!$H$2:$H$27,MATCH($C474,'Materials Master'!$A$2:$A$27,0)),IF($B474="Cardboard Recycling",INDEX('Materials Master'!$I$2:$I$27,MATCH($C474,'Materials Master'!$A$2:$A$27,0)),IF($B474="Paper Recycling",INDEX('Materials Master'!$J$2:$J$27,MATCH($C474,'Materials Master'!$A$2:$A$27,0)),IF($B474="Terracycle",INDEX('Materials Master'!$K$2:$K$27,MATCH($C474,'Materials Master'!$A$2:$A$27,0)),"No"))))))="Yes",1,0)</f>
        <v>1</v>
      </c>
    </row>
    <row r="475" customFormat="false" ht="15" hidden="false" customHeight="false" outlineLevel="0" collapsed="false">
      <c r="A475" s="0" t="s">
        <v>100</v>
      </c>
      <c r="B475" s="0" t="s">
        <v>103</v>
      </c>
      <c r="C475" s="0" t="s">
        <v>41</v>
      </c>
      <c r="D475" s="0" t="str">
        <f aca="false">IFERROR(INDEX('Materials Master'!$B$2:$B$27,MATCH($C475,'Materials Master'!$A$2:$A$27,0)),"")</f>
        <v>Beverage Cartons</v>
      </c>
      <c r="E475" s="0" t="str">
        <f aca="false">IFERROR(INDEX('Materials Master'!$C$2:$C$27,MATCH($C475,'Materials Master'!$A$2:$A$27,0)),"")</f>
        <v>Fibers</v>
      </c>
      <c r="F475" s="0" t="n">
        <f aca="false">IF(SUMIFS(Fact_SortedWeights!$E$2:$E$89,Fact_SortedWeights!$C$2:$C$89,$A475,Fact_SortedWeights!$B$2:$B$89,$B475)=0,0,SUMIFS(Fact_SortedWeights!$E$2:$E$89,Fact_SortedWeights!$C$2:$C$89,$A475,Fact_SortedWeights!$B$2:$B$89,$B475,Fact_SortedWeights!$D$2:$D$89,$C475)/SUMIFS(Fact_SortedWeights!$E$2:$E$89,Fact_SortedWeights!$C$2:$C$89,$A475,Fact_SortedWeights!$B$2:$B$89,$B475)*(IF($B475="Cardboard Recycling",SUMIFS(Fact_SortedWeights!$E$2:$E$89,Fact_SortedWeights!$C$2:$C$89,$A475,Fact_SortedWeights!$B$2:$B$89,$B475),SUMIFS(Fact_PreSortWeights!$E$2:$E$186,Fact_PreSortWeights!$C$2:$C$186,$A475,Fact_PreSortWeights!$B$2:$B$186,$B475))))</f>
        <v>0</v>
      </c>
      <c r="G475" s="0" t="n">
        <f aca="false">IF(AND(IF($B475="Trash",INDEX('Materials Master'!$F$2:$F$27,MATCH($C475,'Materials Master'!$A$2:$A$27,0)),IF($B475="GMPC Recycling",INDEX('Materials Master'!$G$2:$G$27,MATCH($C475,'Materials Master'!$A$2:$A$27,0)),IF($B475="Organics Recycling",INDEX('Materials Master'!$H$2:$H$27,MATCH($C475,'Materials Master'!$A$2:$A$27,0)),IF($B475="Cardboard Recycling",INDEX('Materials Master'!$I$2:$I$27,MATCH($C475,'Materials Master'!$A$2:$A$27,0)),IF($B475="Paper Recycling",INDEX('Materials Master'!$J$2:$J$27,MATCH($C475,'Materials Master'!$A$2:$A$27,0)),IF($B475="Terracycle",INDEX('Materials Master'!$K$2:$K$27,MATCH($C475,'Materials Master'!$A$2:$A$27,0)),"No"))))))="Yes",INDEX('Materials Master'!$E$2:$E$27,MATCH($C475,'Materials Master'!$A$2:$A$27,0))="Yes",$B475&lt;&gt;"Trash"),1,0)</f>
        <v>0</v>
      </c>
      <c r="H475" s="0" t="str">
        <f aca="false">INDEX('Materials Master'!$E$2:$E$27,MATCH($C475,'Materials Master'!$A$2:$A$27,0))</f>
        <v>Yes</v>
      </c>
      <c r="I475" s="0" t="str">
        <f aca="false">IFERROR(INDEX(Areas!$C$2:$C$6,MATCH($A475,Areas!$B$2:$B$6,0)),"")</f>
        <v>Rest of Building</v>
      </c>
      <c r="J475" s="0" t="n">
        <f aca="false">IF(IF($B475="Trash",INDEX('Materials Master'!$F$2:$F$27,MATCH($C475,'Materials Master'!$A$2:$A$27,0)),IF($B475="GMPC Recycling",INDEX('Materials Master'!$G$2:$G$27,MATCH($C475,'Materials Master'!$A$2:$A$27,0)),IF($B475="Organics Recycling",INDEX('Materials Master'!$H$2:$H$27,MATCH($C475,'Materials Master'!$A$2:$A$27,0)),IF($B475="Cardboard Recycling",INDEX('Materials Master'!$I$2:$I$27,MATCH($C475,'Materials Master'!$A$2:$A$27,0)),IF($B475="Paper Recycling",INDEX('Materials Master'!$J$2:$J$27,MATCH($C475,'Materials Master'!$A$2:$A$27,0)),IF($B475="Terracycle",INDEX('Materials Master'!$K$2:$K$27,MATCH($C475,'Materials Master'!$A$2:$A$27,0)),"No"))))))="Yes",1,0)</f>
        <v>0</v>
      </c>
    </row>
    <row r="476" customFormat="false" ht="15" hidden="false" customHeight="false" outlineLevel="0" collapsed="false">
      <c r="A476" s="0" t="s">
        <v>100</v>
      </c>
      <c r="B476" s="0" t="s">
        <v>103</v>
      </c>
      <c r="C476" s="0" t="s">
        <v>43</v>
      </c>
      <c r="D476" s="0" t="str">
        <f aca="false">IFERROR(INDEX('Materials Master'!$B$2:$B$27,MATCH($C476,'Materials Master'!$A$2:$A$27,0)),"")</f>
        <v>Soiled Beverage Cartons</v>
      </c>
      <c r="E476" s="0" t="str">
        <f aca="false">IFERROR(INDEX('Materials Master'!$C$2:$C$27,MATCH($C476,'Materials Master'!$A$2:$A$27,0)),"")</f>
        <v>Fibers</v>
      </c>
      <c r="F476" s="0" t="n">
        <f aca="false">IF(SUMIFS(Fact_SortedWeights!$E$2:$E$89,Fact_SortedWeights!$C$2:$C$89,$A476,Fact_SortedWeights!$B$2:$B$89,$B476)=0,0,SUMIFS(Fact_SortedWeights!$E$2:$E$89,Fact_SortedWeights!$C$2:$C$89,$A476,Fact_SortedWeights!$B$2:$B$89,$B476,Fact_SortedWeights!$D$2:$D$89,$C476)/SUMIFS(Fact_SortedWeights!$E$2:$E$89,Fact_SortedWeights!$C$2:$C$89,$A476,Fact_SortedWeights!$B$2:$B$89,$B476)*(IF($B476="Cardboard Recycling",SUMIFS(Fact_SortedWeights!$E$2:$E$89,Fact_SortedWeights!$C$2:$C$89,$A476,Fact_SortedWeights!$B$2:$B$89,$B476),SUMIFS(Fact_PreSortWeights!$E$2:$E$186,Fact_PreSortWeights!$C$2:$C$186,$A476,Fact_PreSortWeights!$B$2:$B$186,$B476))))</f>
        <v>0</v>
      </c>
      <c r="G476" s="0" t="n">
        <f aca="false">IF(AND(IF($B476="Trash",INDEX('Materials Master'!$F$2:$F$27,MATCH($C476,'Materials Master'!$A$2:$A$27,0)),IF($B476="GMPC Recycling",INDEX('Materials Master'!$G$2:$G$27,MATCH($C476,'Materials Master'!$A$2:$A$27,0)),IF($B476="Organics Recycling",INDEX('Materials Master'!$H$2:$H$27,MATCH($C476,'Materials Master'!$A$2:$A$27,0)),IF($B476="Cardboard Recycling",INDEX('Materials Master'!$I$2:$I$27,MATCH($C476,'Materials Master'!$A$2:$A$27,0)),IF($B476="Paper Recycling",INDEX('Materials Master'!$J$2:$J$27,MATCH($C476,'Materials Master'!$A$2:$A$27,0)),IF($B476="Terracycle",INDEX('Materials Master'!$K$2:$K$27,MATCH($C476,'Materials Master'!$A$2:$A$27,0)),"No"))))))="Yes",INDEX('Materials Master'!$E$2:$E$27,MATCH($C476,'Materials Master'!$A$2:$A$27,0))="Yes",$B476&lt;&gt;"Trash"),1,0)</f>
        <v>0</v>
      </c>
      <c r="H476" s="0" t="str">
        <f aca="false">INDEX('Materials Master'!$E$2:$E$27,MATCH($C476,'Materials Master'!$A$2:$A$27,0))</f>
        <v>No</v>
      </c>
      <c r="I476" s="0" t="str">
        <f aca="false">IFERROR(INDEX(Areas!$C$2:$C$6,MATCH($A476,Areas!$B$2:$B$6,0)),"")</f>
        <v>Rest of Building</v>
      </c>
      <c r="J476" s="0" t="n">
        <f aca="false">IF(IF($B476="Trash",INDEX('Materials Master'!$F$2:$F$27,MATCH($C476,'Materials Master'!$A$2:$A$27,0)),IF($B476="GMPC Recycling",INDEX('Materials Master'!$G$2:$G$27,MATCH($C476,'Materials Master'!$A$2:$A$27,0)),IF($B476="Organics Recycling",INDEX('Materials Master'!$H$2:$H$27,MATCH($C476,'Materials Master'!$A$2:$A$27,0)),IF($B476="Cardboard Recycling",INDEX('Materials Master'!$I$2:$I$27,MATCH($C476,'Materials Master'!$A$2:$A$27,0)),IF($B476="Paper Recycling",INDEX('Materials Master'!$J$2:$J$27,MATCH($C476,'Materials Master'!$A$2:$A$27,0)),IF($B476="Terracycle",INDEX('Materials Master'!$K$2:$K$27,MATCH($C476,'Materials Master'!$A$2:$A$27,0)),"No"))))))="Yes",1,0)</f>
        <v>1</v>
      </c>
    </row>
    <row r="477" customFormat="false" ht="15" hidden="false" customHeight="false" outlineLevel="0" collapsed="false">
      <c r="A477" s="0" t="s">
        <v>100</v>
      </c>
      <c r="B477" s="0" t="s">
        <v>103</v>
      </c>
      <c r="C477" s="0" t="s">
        <v>45</v>
      </c>
      <c r="D477" s="0" t="str">
        <f aca="false">IFERROR(INDEX('Materials Master'!$B$2:$B$27,MATCH($C477,'Materials Master'!$A$2:$A$27,0)),"")</f>
        <v>Paper Cups / Other Coated Paper Containers</v>
      </c>
      <c r="E477" s="0" t="str">
        <f aca="false">IFERROR(INDEX('Materials Master'!$C$2:$C$27,MATCH($C477,'Materials Master'!$A$2:$A$27,0)),"")</f>
        <v>Fibers</v>
      </c>
      <c r="F477" s="0" t="n">
        <f aca="false">IF(SUMIFS(Fact_SortedWeights!$E$2:$E$89,Fact_SortedWeights!$C$2:$C$89,$A477,Fact_SortedWeights!$B$2:$B$89,$B477)=0,0,SUMIFS(Fact_SortedWeights!$E$2:$E$89,Fact_SortedWeights!$C$2:$C$89,$A477,Fact_SortedWeights!$B$2:$B$89,$B477,Fact_SortedWeights!$D$2:$D$89,$C477)/SUMIFS(Fact_SortedWeights!$E$2:$E$89,Fact_SortedWeights!$C$2:$C$89,$A477,Fact_SortedWeights!$B$2:$B$89,$B477)*(IF($B477="Cardboard Recycling",SUMIFS(Fact_SortedWeights!$E$2:$E$89,Fact_SortedWeights!$C$2:$C$89,$A477,Fact_SortedWeights!$B$2:$B$89,$B477),SUMIFS(Fact_PreSortWeights!$E$2:$E$186,Fact_PreSortWeights!$C$2:$C$186,$A477,Fact_PreSortWeights!$B$2:$B$186,$B477))))</f>
        <v>0</v>
      </c>
      <c r="G477" s="0" t="n">
        <f aca="false">IF(AND(IF($B477="Trash",INDEX('Materials Master'!$F$2:$F$27,MATCH($C477,'Materials Master'!$A$2:$A$27,0)),IF($B477="GMPC Recycling",INDEX('Materials Master'!$G$2:$G$27,MATCH($C477,'Materials Master'!$A$2:$A$27,0)),IF($B477="Organics Recycling",INDEX('Materials Master'!$H$2:$H$27,MATCH($C477,'Materials Master'!$A$2:$A$27,0)),IF($B477="Cardboard Recycling",INDEX('Materials Master'!$I$2:$I$27,MATCH($C477,'Materials Master'!$A$2:$A$27,0)),IF($B477="Paper Recycling",INDEX('Materials Master'!$J$2:$J$27,MATCH($C477,'Materials Master'!$A$2:$A$27,0)),IF($B477="Terracycle",INDEX('Materials Master'!$K$2:$K$27,MATCH($C477,'Materials Master'!$A$2:$A$27,0)),"No"))))))="Yes",INDEX('Materials Master'!$E$2:$E$27,MATCH($C477,'Materials Master'!$A$2:$A$27,0))="Yes",$B477&lt;&gt;"Trash"),1,0)</f>
        <v>0</v>
      </c>
      <c r="H477" s="0" t="str">
        <f aca="false">INDEX('Materials Master'!$E$2:$E$27,MATCH($C477,'Materials Master'!$A$2:$A$27,0))</f>
        <v>No</v>
      </c>
      <c r="I477" s="0" t="str">
        <f aca="false">IFERROR(INDEX(Areas!$C$2:$C$6,MATCH($A477,Areas!$B$2:$B$6,0)),"")</f>
        <v>Rest of Building</v>
      </c>
      <c r="J477" s="0" t="n">
        <f aca="false">IF(IF($B477="Trash",INDEX('Materials Master'!$F$2:$F$27,MATCH($C477,'Materials Master'!$A$2:$A$27,0)),IF($B477="GMPC Recycling",INDEX('Materials Master'!$G$2:$G$27,MATCH($C477,'Materials Master'!$A$2:$A$27,0)),IF($B477="Organics Recycling",INDEX('Materials Master'!$H$2:$H$27,MATCH($C477,'Materials Master'!$A$2:$A$27,0)),IF($B477="Cardboard Recycling",INDEX('Materials Master'!$I$2:$I$27,MATCH($C477,'Materials Master'!$A$2:$A$27,0)),IF($B477="Paper Recycling",INDEX('Materials Master'!$J$2:$J$27,MATCH($C477,'Materials Master'!$A$2:$A$27,0)),IF($B477="Terracycle",INDEX('Materials Master'!$K$2:$K$27,MATCH($C477,'Materials Master'!$A$2:$A$27,0)),"No"))))))="Yes",1,0)</f>
        <v>1</v>
      </c>
    </row>
    <row r="478" customFormat="false" ht="15" hidden="false" customHeight="false" outlineLevel="0" collapsed="false">
      <c r="A478" s="0" t="s">
        <v>100</v>
      </c>
      <c r="B478" s="0" t="s">
        <v>103</v>
      </c>
      <c r="C478" s="0" t="s">
        <v>47</v>
      </c>
      <c r="D478" s="0" t="str">
        <f aca="false">IFERROR(INDEX('Materials Master'!$B$2:$B$27,MATCH($C478,'Materials Master'!$A$2:$A$27,0)),"")</f>
        <v>Glass Bottles &amp; Jars</v>
      </c>
      <c r="E478" s="0" t="str">
        <f aca="false">IFERROR(INDEX('Materials Master'!$C$2:$C$27,MATCH($C478,'Materials Master'!$A$2:$A$27,0)),"")</f>
        <v>Glass</v>
      </c>
      <c r="F478" s="0" t="n">
        <f aca="false">IF(SUMIFS(Fact_SortedWeights!$E$2:$E$89,Fact_SortedWeights!$C$2:$C$89,$A478,Fact_SortedWeights!$B$2:$B$89,$B478)=0,0,SUMIFS(Fact_SortedWeights!$E$2:$E$89,Fact_SortedWeights!$C$2:$C$89,$A478,Fact_SortedWeights!$B$2:$B$89,$B478,Fact_SortedWeights!$D$2:$D$89,$C478)/SUMIFS(Fact_SortedWeights!$E$2:$E$89,Fact_SortedWeights!$C$2:$C$89,$A478,Fact_SortedWeights!$B$2:$B$89,$B478)*(IF($B478="Cardboard Recycling",SUMIFS(Fact_SortedWeights!$E$2:$E$89,Fact_SortedWeights!$C$2:$C$89,$A478,Fact_SortedWeights!$B$2:$B$89,$B478),SUMIFS(Fact_PreSortWeights!$E$2:$E$186,Fact_PreSortWeights!$C$2:$C$186,$A478,Fact_PreSortWeights!$B$2:$B$186,$B478))))</f>
        <v>0</v>
      </c>
      <c r="G478" s="0" t="n">
        <f aca="false">IF(AND(IF($B478="Trash",INDEX('Materials Master'!$F$2:$F$27,MATCH($C478,'Materials Master'!$A$2:$A$27,0)),IF($B478="GMPC Recycling",INDEX('Materials Master'!$G$2:$G$27,MATCH($C478,'Materials Master'!$A$2:$A$27,0)),IF($B478="Organics Recycling",INDEX('Materials Master'!$H$2:$H$27,MATCH($C478,'Materials Master'!$A$2:$A$27,0)),IF($B478="Cardboard Recycling",INDEX('Materials Master'!$I$2:$I$27,MATCH($C478,'Materials Master'!$A$2:$A$27,0)),IF($B478="Paper Recycling",INDEX('Materials Master'!$J$2:$J$27,MATCH($C478,'Materials Master'!$A$2:$A$27,0)),IF($B478="Terracycle",INDEX('Materials Master'!$K$2:$K$27,MATCH($C478,'Materials Master'!$A$2:$A$27,0)),"No"))))))="Yes",INDEX('Materials Master'!$E$2:$E$27,MATCH($C478,'Materials Master'!$A$2:$A$27,0))="Yes",$B478&lt;&gt;"Trash"),1,0)</f>
        <v>0</v>
      </c>
      <c r="H478" s="0" t="str">
        <f aca="false">INDEX('Materials Master'!$E$2:$E$27,MATCH($C478,'Materials Master'!$A$2:$A$27,0))</f>
        <v>Yes</v>
      </c>
      <c r="I478" s="0" t="str">
        <f aca="false">IFERROR(INDEX(Areas!$C$2:$C$6,MATCH($A478,Areas!$B$2:$B$6,0)),"")</f>
        <v>Rest of Building</v>
      </c>
      <c r="J478" s="0" t="n">
        <f aca="false">IF(IF($B478="Trash",INDEX('Materials Master'!$F$2:$F$27,MATCH($C478,'Materials Master'!$A$2:$A$27,0)),IF($B478="GMPC Recycling",INDEX('Materials Master'!$G$2:$G$27,MATCH($C478,'Materials Master'!$A$2:$A$27,0)),IF($B478="Organics Recycling",INDEX('Materials Master'!$H$2:$H$27,MATCH($C478,'Materials Master'!$A$2:$A$27,0)),IF($B478="Cardboard Recycling",INDEX('Materials Master'!$I$2:$I$27,MATCH($C478,'Materials Master'!$A$2:$A$27,0)),IF($B478="Paper Recycling",INDEX('Materials Master'!$J$2:$J$27,MATCH($C478,'Materials Master'!$A$2:$A$27,0)),IF($B478="Terracycle",INDEX('Materials Master'!$K$2:$K$27,MATCH($C478,'Materials Master'!$A$2:$A$27,0)),"No"))))))="Yes",1,0)</f>
        <v>0</v>
      </c>
    </row>
    <row r="479" customFormat="false" ht="15" hidden="false" customHeight="false" outlineLevel="0" collapsed="false">
      <c r="A479" s="0" t="s">
        <v>100</v>
      </c>
      <c r="B479" s="0" t="s">
        <v>103</v>
      </c>
      <c r="C479" s="0" t="s">
        <v>50</v>
      </c>
      <c r="D479" s="0" t="str">
        <f aca="false">IFERROR(INDEX('Materials Master'!$B$2:$B$27,MATCH($C479,'Materials Master'!$A$2:$A$27,0)),"")</f>
        <v>Soiled Glass</v>
      </c>
      <c r="E479" s="0" t="str">
        <f aca="false">IFERROR(INDEX('Materials Master'!$C$2:$C$27,MATCH($C479,'Materials Master'!$A$2:$A$27,0)),"")</f>
        <v>Glass</v>
      </c>
      <c r="F479" s="0" t="n">
        <f aca="false">IF(SUMIFS(Fact_SortedWeights!$E$2:$E$89,Fact_SortedWeights!$C$2:$C$89,$A479,Fact_SortedWeights!$B$2:$B$89,$B479)=0,0,SUMIFS(Fact_SortedWeights!$E$2:$E$89,Fact_SortedWeights!$C$2:$C$89,$A479,Fact_SortedWeights!$B$2:$B$89,$B479,Fact_SortedWeights!$D$2:$D$89,$C479)/SUMIFS(Fact_SortedWeights!$E$2:$E$89,Fact_SortedWeights!$C$2:$C$89,$A479,Fact_SortedWeights!$B$2:$B$89,$B479)*(IF($B479="Cardboard Recycling",SUMIFS(Fact_SortedWeights!$E$2:$E$89,Fact_SortedWeights!$C$2:$C$89,$A479,Fact_SortedWeights!$B$2:$B$89,$B479),SUMIFS(Fact_PreSortWeights!$E$2:$E$186,Fact_PreSortWeights!$C$2:$C$186,$A479,Fact_PreSortWeights!$B$2:$B$186,$B479))))</f>
        <v>0</v>
      </c>
      <c r="G479" s="0" t="n">
        <f aca="false">IF(AND(IF($B479="Trash",INDEX('Materials Master'!$F$2:$F$27,MATCH($C479,'Materials Master'!$A$2:$A$27,0)),IF($B479="GMPC Recycling",INDEX('Materials Master'!$G$2:$G$27,MATCH($C479,'Materials Master'!$A$2:$A$27,0)),IF($B479="Organics Recycling",INDEX('Materials Master'!$H$2:$H$27,MATCH($C479,'Materials Master'!$A$2:$A$27,0)),IF($B479="Cardboard Recycling",INDEX('Materials Master'!$I$2:$I$27,MATCH($C479,'Materials Master'!$A$2:$A$27,0)),IF($B479="Paper Recycling",INDEX('Materials Master'!$J$2:$J$27,MATCH($C479,'Materials Master'!$A$2:$A$27,0)),IF($B479="Terracycle",INDEX('Materials Master'!$K$2:$K$27,MATCH($C479,'Materials Master'!$A$2:$A$27,0)),"No"))))))="Yes",INDEX('Materials Master'!$E$2:$E$27,MATCH($C479,'Materials Master'!$A$2:$A$27,0))="Yes",$B479&lt;&gt;"Trash"),1,0)</f>
        <v>0</v>
      </c>
      <c r="H479" s="0" t="str">
        <f aca="false">INDEX('Materials Master'!$E$2:$E$27,MATCH($C479,'Materials Master'!$A$2:$A$27,0))</f>
        <v>No</v>
      </c>
      <c r="I479" s="0" t="str">
        <f aca="false">IFERROR(INDEX(Areas!$C$2:$C$6,MATCH($A479,Areas!$B$2:$B$6,0)),"")</f>
        <v>Rest of Building</v>
      </c>
      <c r="J479" s="0" t="n">
        <f aca="false">IF(IF($B479="Trash",INDEX('Materials Master'!$F$2:$F$27,MATCH($C479,'Materials Master'!$A$2:$A$27,0)),IF($B479="GMPC Recycling",INDEX('Materials Master'!$G$2:$G$27,MATCH($C479,'Materials Master'!$A$2:$A$27,0)),IF($B479="Organics Recycling",INDEX('Materials Master'!$H$2:$H$27,MATCH($C479,'Materials Master'!$A$2:$A$27,0)),IF($B479="Cardboard Recycling",INDEX('Materials Master'!$I$2:$I$27,MATCH($C479,'Materials Master'!$A$2:$A$27,0)),IF($B479="Paper Recycling",INDEX('Materials Master'!$J$2:$J$27,MATCH($C479,'Materials Master'!$A$2:$A$27,0)),IF($B479="Terracycle",INDEX('Materials Master'!$K$2:$K$27,MATCH($C479,'Materials Master'!$A$2:$A$27,0)),"No"))))))="Yes",1,0)</f>
        <v>1</v>
      </c>
    </row>
    <row r="480" customFormat="false" ht="15" hidden="false" customHeight="false" outlineLevel="0" collapsed="false">
      <c r="A480" s="0" t="s">
        <v>100</v>
      </c>
      <c r="B480" s="0" t="s">
        <v>103</v>
      </c>
      <c r="C480" s="0" t="s">
        <v>52</v>
      </c>
      <c r="D480" s="0" t="str">
        <f aca="false">IFERROR(INDEX('Materials Master'!$B$2:$B$27,MATCH($C480,'Materials Master'!$A$2:$A$27,0)),"")</f>
        <v>Aluminum &amp; Bi-Metal Containers</v>
      </c>
      <c r="E480" s="0" t="str">
        <f aca="false">IFERROR(INDEX('Materials Master'!$C$2:$C$27,MATCH($C480,'Materials Master'!$A$2:$A$27,0)),"")</f>
        <v>Metals</v>
      </c>
      <c r="F480" s="0" t="n">
        <f aca="false">IF(SUMIFS(Fact_SortedWeights!$E$2:$E$89,Fact_SortedWeights!$C$2:$C$89,$A480,Fact_SortedWeights!$B$2:$B$89,$B480)=0,0,SUMIFS(Fact_SortedWeights!$E$2:$E$89,Fact_SortedWeights!$C$2:$C$89,$A480,Fact_SortedWeights!$B$2:$B$89,$B480,Fact_SortedWeights!$D$2:$D$89,$C480)/SUMIFS(Fact_SortedWeights!$E$2:$E$89,Fact_SortedWeights!$C$2:$C$89,$A480,Fact_SortedWeights!$B$2:$B$89,$B480)*(IF($B480="Cardboard Recycling",SUMIFS(Fact_SortedWeights!$E$2:$E$89,Fact_SortedWeights!$C$2:$C$89,$A480,Fact_SortedWeights!$B$2:$B$89,$B480),SUMIFS(Fact_PreSortWeights!$E$2:$E$186,Fact_PreSortWeights!$C$2:$C$186,$A480,Fact_PreSortWeights!$B$2:$B$186,$B480))))</f>
        <v>0</v>
      </c>
      <c r="G480" s="0" t="n">
        <f aca="false">IF(AND(IF($B480="Trash",INDEX('Materials Master'!$F$2:$F$27,MATCH($C480,'Materials Master'!$A$2:$A$27,0)),IF($B480="GMPC Recycling",INDEX('Materials Master'!$G$2:$G$27,MATCH($C480,'Materials Master'!$A$2:$A$27,0)),IF($B480="Organics Recycling",INDEX('Materials Master'!$H$2:$H$27,MATCH($C480,'Materials Master'!$A$2:$A$27,0)),IF($B480="Cardboard Recycling",INDEX('Materials Master'!$I$2:$I$27,MATCH($C480,'Materials Master'!$A$2:$A$27,0)),IF($B480="Paper Recycling",INDEX('Materials Master'!$J$2:$J$27,MATCH($C480,'Materials Master'!$A$2:$A$27,0)),IF($B480="Terracycle",INDEX('Materials Master'!$K$2:$K$27,MATCH($C480,'Materials Master'!$A$2:$A$27,0)),"No"))))))="Yes",INDEX('Materials Master'!$E$2:$E$27,MATCH($C480,'Materials Master'!$A$2:$A$27,0))="Yes",$B480&lt;&gt;"Trash"),1,0)</f>
        <v>0</v>
      </c>
      <c r="H480" s="0" t="str">
        <f aca="false">INDEX('Materials Master'!$E$2:$E$27,MATCH($C480,'Materials Master'!$A$2:$A$27,0))</f>
        <v>Yes</v>
      </c>
      <c r="I480" s="0" t="str">
        <f aca="false">IFERROR(INDEX(Areas!$C$2:$C$6,MATCH($A480,Areas!$B$2:$B$6,0)),"")</f>
        <v>Rest of Building</v>
      </c>
      <c r="J480" s="0" t="n">
        <f aca="false">IF(IF($B480="Trash",INDEX('Materials Master'!$F$2:$F$27,MATCH($C480,'Materials Master'!$A$2:$A$27,0)),IF($B480="GMPC Recycling",INDEX('Materials Master'!$G$2:$G$27,MATCH($C480,'Materials Master'!$A$2:$A$27,0)),IF($B480="Organics Recycling",INDEX('Materials Master'!$H$2:$H$27,MATCH($C480,'Materials Master'!$A$2:$A$27,0)),IF($B480="Cardboard Recycling",INDEX('Materials Master'!$I$2:$I$27,MATCH($C480,'Materials Master'!$A$2:$A$27,0)),IF($B480="Paper Recycling",INDEX('Materials Master'!$J$2:$J$27,MATCH($C480,'Materials Master'!$A$2:$A$27,0)),IF($B480="Terracycle",INDEX('Materials Master'!$K$2:$K$27,MATCH($C480,'Materials Master'!$A$2:$A$27,0)),"No"))))))="Yes",1,0)</f>
        <v>0</v>
      </c>
    </row>
    <row r="481" customFormat="false" ht="15" hidden="false" customHeight="false" outlineLevel="0" collapsed="false">
      <c r="A481" s="0" t="s">
        <v>100</v>
      </c>
      <c r="B481" s="0" t="s">
        <v>103</v>
      </c>
      <c r="C481" s="0" t="s">
        <v>55</v>
      </c>
      <c r="D481" s="0" t="str">
        <f aca="false">IFERROR(INDEX('Materials Master'!$B$2:$B$27,MATCH($C481,'Materials Master'!$A$2:$A$27,0)),"")</f>
        <v>Soiled Metals</v>
      </c>
      <c r="E481" s="0" t="str">
        <f aca="false">IFERROR(INDEX('Materials Master'!$C$2:$C$27,MATCH($C481,'Materials Master'!$A$2:$A$27,0)),"")</f>
        <v>Metals</v>
      </c>
      <c r="F481" s="0" t="n">
        <f aca="false">IF(SUMIFS(Fact_SortedWeights!$E$2:$E$89,Fact_SortedWeights!$C$2:$C$89,$A481,Fact_SortedWeights!$B$2:$B$89,$B481)=0,0,SUMIFS(Fact_SortedWeights!$E$2:$E$89,Fact_SortedWeights!$C$2:$C$89,$A481,Fact_SortedWeights!$B$2:$B$89,$B481,Fact_SortedWeights!$D$2:$D$89,$C481)/SUMIFS(Fact_SortedWeights!$E$2:$E$89,Fact_SortedWeights!$C$2:$C$89,$A481,Fact_SortedWeights!$B$2:$B$89,$B481)*(IF($B481="Cardboard Recycling",SUMIFS(Fact_SortedWeights!$E$2:$E$89,Fact_SortedWeights!$C$2:$C$89,$A481,Fact_SortedWeights!$B$2:$B$89,$B481),SUMIFS(Fact_PreSortWeights!$E$2:$E$186,Fact_PreSortWeights!$C$2:$C$186,$A481,Fact_PreSortWeights!$B$2:$B$186,$B481))))</f>
        <v>0</v>
      </c>
      <c r="G481" s="0" t="n">
        <f aca="false">IF(AND(IF($B481="Trash",INDEX('Materials Master'!$F$2:$F$27,MATCH($C481,'Materials Master'!$A$2:$A$27,0)),IF($B481="GMPC Recycling",INDEX('Materials Master'!$G$2:$G$27,MATCH($C481,'Materials Master'!$A$2:$A$27,0)),IF($B481="Organics Recycling",INDEX('Materials Master'!$H$2:$H$27,MATCH($C481,'Materials Master'!$A$2:$A$27,0)),IF($B481="Cardboard Recycling",INDEX('Materials Master'!$I$2:$I$27,MATCH($C481,'Materials Master'!$A$2:$A$27,0)),IF($B481="Paper Recycling",INDEX('Materials Master'!$J$2:$J$27,MATCH($C481,'Materials Master'!$A$2:$A$27,0)),IF($B481="Terracycle",INDEX('Materials Master'!$K$2:$K$27,MATCH($C481,'Materials Master'!$A$2:$A$27,0)),"No"))))))="Yes",INDEX('Materials Master'!$E$2:$E$27,MATCH($C481,'Materials Master'!$A$2:$A$27,0))="Yes",$B481&lt;&gt;"Trash"),1,0)</f>
        <v>0</v>
      </c>
      <c r="H481" s="0" t="str">
        <f aca="false">INDEX('Materials Master'!$E$2:$E$27,MATCH($C481,'Materials Master'!$A$2:$A$27,0))</f>
        <v>No</v>
      </c>
      <c r="I481" s="0" t="str">
        <f aca="false">IFERROR(INDEX(Areas!$C$2:$C$6,MATCH($A481,Areas!$B$2:$B$6,0)),"")</f>
        <v>Rest of Building</v>
      </c>
      <c r="J481" s="0" t="n">
        <f aca="false">IF(IF($B481="Trash",INDEX('Materials Master'!$F$2:$F$27,MATCH($C481,'Materials Master'!$A$2:$A$27,0)),IF($B481="GMPC Recycling",INDEX('Materials Master'!$G$2:$G$27,MATCH($C481,'Materials Master'!$A$2:$A$27,0)),IF($B481="Organics Recycling",INDEX('Materials Master'!$H$2:$H$27,MATCH($C481,'Materials Master'!$A$2:$A$27,0)),IF($B481="Cardboard Recycling",INDEX('Materials Master'!$I$2:$I$27,MATCH($C481,'Materials Master'!$A$2:$A$27,0)),IF($B481="Paper Recycling",INDEX('Materials Master'!$J$2:$J$27,MATCH($C481,'Materials Master'!$A$2:$A$27,0)),IF($B481="Terracycle",INDEX('Materials Master'!$K$2:$K$27,MATCH($C481,'Materials Master'!$A$2:$A$27,0)),"No"))))))="Yes",1,0)</f>
        <v>1</v>
      </c>
    </row>
    <row r="482" customFormat="false" ht="15" hidden="false" customHeight="false" outlineLevel="0" collapsed="false">
      <c r="A482" s="0" t="s">
        <v>100</v>
      </c>
      <c r="B482" s="0" t="s">
        <v>103</v>
      </c>
      <c r="C482" s="0" t="s">
        <v>57</v>
      </c>
      <c r="D482" s="0" t="str">
        <f aca="false">IFERROR(INDEX('Materials Master'!$B$2:$B$27,MATCH($C482,'Materials Master'!$A$2:$A$27,0)),"")</f>
        <v>Rigid Plastics (1-6)</v>
      </c>
      <c r="E482" s="0" t="str">
        <f aca="false">IFERROR(INDEX('Materials Master'!$C$2:$C$27,MATCH($C482,'Materials Master'!$A$2:$A$27,0)),"")</f>
        <v>Plastics</v>
      </c>
      <c r="F482" s="0" t="n">
        <f aca="false">IF(SUMIFS(Fact_SortedWeights!$E$2:$E$89,Fact_SortedWeights!$C$2:$C$89,$A482,Fact_SortedWeights!$B$2:$B$89,$B482)=0,0,SUMIFS(Fact_SortedWeights!$E$2:$E$89,Fact_SortedWeights!$C$2:$C$89,$A482,Fact_SortedWeights!$B$2:$B$89,$B482,Fact_SortedWeights!$D$2:$D$89,$C482)/SUMIFS(Fact_SortedWeights!$E$2:$E$89,Fact_SortedWeights!$C$2:$C$89,$A482,Fact_SortedWeights!$B$2:$B$89,$B482)*(IF($B482="Cardboard Recycling",SUMIFS(Fact_SortedWeights!$E$2:$E$89,Fact_SortedWeights!$C$2:$C$89,$A482,Fact_SortedWeights!$B$2:$B$89,$B482),SUMIFS(Fact_PreSortWeights!$E$2:$E$186,Fact_PreSortWeights!$C$2:$C$186,$A482,Fact_PreSortWeights!$B$2:$B$186,$B482))))</f>
        <v>0</v>
      </c>
      <c r="G482" s="0" t="n">
        <f aca="false">IF(AND(IF($B482="Trash",INDEX('Materials Master'!$F$2:$F$27,MATCH($C482,'Materials Master'!$A$2:$A$27,0)),IF($B482="GMPC Recycling",INDEX('Materials Master'!$G$2:$G$27,MATCH($C482,'Materials Master'!$A$2:$A$27,0)),IF($B482="Organics Recycling",INDEX('Materials Master'!$H$2:$H$27,MATCH($C482,'Materials Master'!$A$2:$A$27,0)),IF($B482="Cardboard Recycling",INDEX('Materials Master'!$I$2:$I$27,MATCH($C482,'Materials Master'!$A$2:$A$27,0)),IF($B482="Paper Recycling",INDEX('Materials Master'!$J$2:$J$27,MATCH($C482,'Materials Master'!$A$2:$A$27,0)),IF($B482="Terracycle",INDEX('Materials Master'!$K$2:$K$27,MATCH($C482,'Materials Master'!$A$2:$A$27,0)),"No"))))))="Yes",INDEX('Materials Master'!$E$2:$E$27,MATCH($C482,'Materials Master'!$A$2:$A$27,0))="Yes",$B482&lt;&gt;"Trash"),1,0)</f>
        <v>0</v>
      </c>
      <c r="H482" s="0" t="str">
        <f aca="false">INDEX('Materials Master'!$E$2:$E$27,MATCH($C482,'Materials Master'!$A$2:$A$27,0))</f>
        <v>Yes</v>
      </c>
      <c r="I482" s="0" t="str">
        <f aca="false">IFERROR(INDEX(Areas!$C$2:$C$6,MATCH($A482,Areas!$B$2:$B$6,0)),"")</f>
        <v>Rest of Building</v>
      </c>
      <c r="J482" s="0" t="n">
        <f aca="false">IF(IF($B482="Trash",INDEX('Materials Master'!$F$2:$F$27,MATCH($C482,'Materials Master'!$A$2:$A$27,0)),IF($B482="GMPC Recycling",INDEX('Materials Master'!$G$2:$G$27,MATCH($C482,'Materials Master'!$A$2:$A$27,0)),IF($B482="Organics Recycling",INDEX('Materials Master'!$H$2:$H$27,MATCH($C482,'Materials Master'!$A$2:$A$27,0)),IF($B482="Cardboard Recycling",INDEX('Materials Master'!$I$2:$I$27,MATCH($C482,'Materials Master'!$A$2:$A$27,0)),IF($B482="Paper Recycling",INDEX('Materials Master'!$J$2:$J$27,MATCH($C482,'Materials Master'!$A$2:$A$27,0)),IF($B482="Terracycle",INDEX('Materials Master'!$K$2:$K$27,MATCH($C482,'Materials Master'!$A$2:$A$27,0)),"No"))))))="Yes",1,0)</f>
        <v>0</v>
      </c>
    </row>
    <row r="483" customFormat="false" ht="15" hidden="false" customHeight="false" outlineLevel="0" collapsed="false">
      <c r="A483" s="0" t="s">
        <v>100</v>
      </c>
      <c r="B483" s="0" t="s">
        <v>103</v>
      </c>
      <c r="C483" s="0" t="s">
        <v>60</v>
      </c>
      <c r="D483" s="0" t="str">
        <f aca="false">IFERROR(INDEX('Materials Master'!$B$2:$B$27,MATCH($C483,'Materials Master'!$A$2:$A$27,0)),"")</f>
        <v>Soiled Rigid Plastics</v>
      </c>
      <c r="E483" s="0" t="str">
        <f aca="false">IFERROR(INDEX('Materials Master'!$C$2:$C$27,MATCH($C483,'Materials Master'!$A$2:$A$27,0)),"")</f>
        <v>Plastics</v>
      </c>
      <c r="F483" s="0" t="n">
        <f aca="false">IF(SUMIFS(Fact_SortedWeights!$E$2:$E$89,Fact_SortedWeights!$C$2:$C$89,$A483,Fact_SortedWeights!$B$2:$B$89,$B483)=0,0,SUMIFS(Fact_SortedWeights!$E$2:$E$89,Fact_SortedWeights!$C$2:$C$89,$A483,Fact_SortedWeights!$B$2:$B$89,$B483,Fact_SortedWeights!$D$2:$D$89,$C483)/SUMIFS(Fact_SortedWeights!$E$2:$E$89,Fact_SortedWeights!$C$2:$C$89,$A483,Fact_SortedWeights!$B$2:$B$89,$B483)*(IF($B483="Cardboard Recycling",SUMIFS(Fact_SortedWeights!$E$2:$E$89,Fact_SortedWeights!$C$2:$C$89,$A483,Fact_SortedWeights!$B$2:$B$89,$B483),SUMIFS(Fact_PreSortWeights!$E$2:$E$186,Fact_PreSortWeights!$C$2:$C$186,$A483,Fact_PreSortWeights!$B$2:$B$186,$B483))))</f>
        <v>0</v>
      </c>
      <c r="G483" s="0" t="n">
        <f aca="false">IF(AND(IF($B483="Trash",INDEX('Materials Master'!$F$2:$F$27,MATCH($C483,'Materials Master'!$A$2:$A$27,0)),IF($B483="GMPC Recycling",INDEX('Materials Master'!$G$2:$G$27,MATCH($C483,'Materials Master'!$A$2:$A$27,0)),IF($B483="Organics Recycling",INDEX('Materials Master'!$H$2:$H$27,MATCH($C483,'Materials Master'!$A$2:$A$27,0)),IF($B483="Cardboard Recycling",INDEX('Materials Master'!$I$2:$I$27,MATCH($C483,'Materials Master'!$A$2:$A$27,0)),IF($B483="Paper Recycling",INDEX('Materials Master'!$J$2:$J$27,MATCH($C483,'Materials Master'!$A$2:$A$27,0)),IF($B483="Terracycle",INDEX('Materials Master'!$K$2:$K$27,MATCH($C483,'Materials Master'!$A$2:$A$27,0)),"No"))))))="Yes",INDEX('Materials Master'!$E$2:$E$27,MATCH($C483,'Materials Master'!$A$2:$A$27,0))="Yes",$B483&lt;&gt;"Trash"),1,0)</f>
        <v>0</v>
      </c>
      <c r="H483" s="0" t="str">
        <f aca="false">INDEX('Materials Master'!$E$2:$E$27,MATCH($C483,'Materials Master'!$A$2:$A$27,0))</f>
        <v>No</v>
      </c>
      <c r="I483" s="0" t="str">
        <f aca="false">IFERROR(INDEX(Areas!$C$2:$C$6,MATCH($A483,Areas!$B$2:$B$6,0)),"")</f>
        <v>Rest of Building</v>
      </c>
      <c r="J483" s="0" t="n">
        <f aca="false">IF(IF($B483="Trash",INDEX('Materials Master'!$F$2:$F$27,MATCH($C483,'Materials Master'!$A$2:$A$27,0)),IF($B483="GMPC Recycling",INDEX('Materials Master'!$G$2:$G$27,MATCH($C483,'Materials Master'!$A$2:$A$27,0)),IF($B483="Organics Recycling",INDEX('Materials Master'!$H$2:$H$27,MATCH($C483,'Materials Master'!$A$2:$A$27,0)),IF($B483="Cardboard Recycling",INDEX('Materials Master'!$I$2:$I$27,MATCH($C483,'Materials Master'!$A$2:$A$27,0)),IF($B483="Paper Recycling",INDEX('Materials Master'!$J$2:$J$27,MATCH($C483,'Materials Master'!$A$2:$A$27,0)),IF($B483="Terracycle",INDEX('Materials Master'!$K$2:$K$27,MATCH($C483,'Materials Master'!$A$2:$A$27,0)),"No"))))))="Yes",1,0)</f>
        <v>1</v>
      </c>
    </row>
    <row r="484" customFormat="false" ht="15" hidden="false" customHeight="false" outlineLevel="0" collapsed="false">
      <c r="A484" s="0" t="s">
        <v>100</v>
      </c>
      <c r="B484" s="0" t="s">
        <v>103</v>
      </c>
      <c r="C484" s="0" t="s">
        <v>62</v>
      </c>
      <c r="D484" s="0" t="str">
        <f aca="false">IFERROR(INDEX('Materials Master'!$B$2:$B$27,MATCH($C484,'Materials Master'!$A$2:$A$27,0)),"")</f>
        <v>Film Plastics</v>
      </c>
      <c r="E484" s="0" t="str">
        <f aca="false">IFERROR(INDEX('Materials Master'!$C$2:$C$27,MATCH($C484,'Materials Master'!$A$2:$A$27,0)),"")</f>
        <v>Plastics</v>
      </c>
      <c r="F484" s="0" t="n">
        <f aca="false">IF(SUMIFS(Fact_SortedWeights!$E$2:$E$89,Fact_SortedWeights!$C$2:$C$89,$A484,Fact_SortedWeights!$B$2:$B$89,$B484)=0,0,SUMIFS(Fact_SortedWeights!$E$2:$E$89,Fact_SortedWeights!$C$2:$C$89,$A484,Fact_SortedWeights!$B$2:$B$89,$B484,Fact_SortedWeights!$D$2:$D$89,$C484)/SUMIFS(Fact_SortedWeights!$E$2:$E$89,Fact_SortedWeights!$C$2:$C$89,$A484,Fact_SortedWeights!$B$2:$B$89,$B484)*(IF($B484="Cardboard Recycling",SUMIFS(Fact_SortedWeights!$E$2:$E$89,Fact_SortedWeights!$C$2:$C$89,$A484,Fact_SortedWeights!$B$2:$B$89,$B484),SUMIFS(Fact_PreSortWeights!$E$2:$E$186,Fact_PreSortWeights!$C$2:$C$186,$A484,Fact_PreSortWeights!$B$2:$B$186,$B484))))</f>
        <v>0</v>
      </c>
      <c r="G484" s="0" t="n">
        <f aca="false">IF(AND(IF($B484="Trash",INDEX('Materials Master'!$F$2:$F$27,MATCH($C484,'Materials Master'!$A$2:$A$27,0)),IF($B484="GMPC Recycling",INDEX('Materials Master'!$G$2:$G$27,MATCH($C484,'Materials Master'!$A$2:$A$27,0)),IF($B484="Organics Recycling",INDEX('Materials Master'!$H$2:$H$27,MATCH($C484,'Materials Master'!$A$2:$A$27,0)),IF($B484="Cardboard Recycling",INDEX('Materials Master'!$I$2:$I$27,MATCH($C484,'Materials Master'!$A$2:$A$27,0)),IF($B484="Paper Recycling",INDEX('Materials Master'!$J$2:$J$27,MATCH($C484,'Materials Master'!$A$2:$A$27,0)),IF($B484="Terracycle",INDEX('Materials Master'!$K$2:$K$27,MATCH($C484,'Materials Master'!$A$2:$A$27,0)),"No"))))))="Yes",INDEX('Materials Master'!$E$2:$E$27,MATCH($C484,'Materials Master'!$A$2:$A$27,0))="Yes",$B484&lt;&gt;"Trash"),1,0)</f>
        <v>0</v>
      </c>
      <c r="H484" s="0" t="str">
        <f aca="false">INDEX('Materials Master'!$E$2:$E$27,MATCH($C484,'Materials Master'!$A$2:$A$27,0))</f>
        <v>No</v>
      </c>
      <c r="I484" s="0" t="str">
        <f aca="false">IFERROR(INDEX(Areas!$C$2:$C$6,MATCH($A484,Areas!$B$2:$B$6,0)),"")</f>
        <v>Rest of Building</v>
      </c>
      <c r="J484" s="0" t="n">
        <f aca="false">IF(IF($B484="Trash",INDEX('Materials Master'!$F$2:$F$27,MATCH($C484,'Materials Master'!$A$2:$A$27,0)),IF($B484="GMPC Recycling",INDEX('Materials Master'!$G$2:$G$27,MATCH($C484,'Materials Master'!$A$2:$A$27,0)),IF($B484="Organics Recycling",INDEX('Materials Master'!$H$2:$H$27,MATCH($C484,'Materials Master'!$A$2:$A$27,0)),IF($B484="Cardboard Recycling",INDEX('Materials Master'!$I$2:$I$27,MATCH($C484,'Materials Master'!$A$2:$A$27,0)),IF($B484="Paper Recycling",INDEX('Materials Master'!$J$2:$J$27,MATCH($C484,'Materials Master'!$A$2:$A$27,0)),IF($B484="Terracycle",INDEX('Materials Master'!$K$2:$K$27,MATCH($C484,'Materials Master'!$A$2:$A$27,0)),"No"))))))="Yes",1,0)</f>
        <v>1</v>
      </c>
    </row>
    <row r="485" customFormat="false" ht="15" hidden="false" customHeight="false" outlineLevel="0" collapsed="false">
      <c r="A485" s="0" t="s">
        <v>100</v>
      </c>
      <c r="B485" s="0" t="s">
        <v>103</v>
      </c>
      <c r="C485" s="0" t="s">
        <v>64</v>
      </c>
      <c r="D485" s="0" t="str">
        <f aca="false">IFERROR(INDEX('Materials Master'!$B$2:$B$27,MATCH($C485,'Materials Master'!$A$2:$A$27,0)),"")</f>
        <v>Foams</v>
      </c>
      <c r="E485" s="0" t="str">
        <f aca="false">IFERROR(INDEX('Materials Master'!$C$2:$C$27,MATCH($C485,'Materials Master'!$A$2:$A$27,0)),"")</f>
        <v>Plastics</v>
      </c>
      <c r="F485" s="0" t="n">
        <f aca="false">IF(SUMIFS(Fact_SortedWeights!$E$2:$E$89,Fact_SortedWeights!$C$2:$C$89,$A485,Fact_SortedWeights!$B$2:$B$89,$B485)=0,0,SUMIFS(Fact_SortedWeights!$E$2:$E$89,Fact_SortedWeights!$C$2:$C$89,$A485,Fact_SortedWeights!$B$2:$B$89,$B485,Fact_SortedWeights!$D$2:$D$89,$C485)/SUMIFS(Fact_SortedWeights!$E$2:$E$89,Fact_SortedWeights!$C$2:$C$89,$A485,Fact_SortedWeights!$B$2:$B$89,$B485)*(IF($B485="Cardboard Recycling",SUMIFS(Fact_SortedWeights!$E$2:$E$89,Fact_SortedWeights!$C$2:$C$89,$A485,Fact_SortedWeights!$B$2:$B$89,$B485),SUMIFS(Fact_PreSortWeights!$E$2:$E$186,Fact_PreSortWeights!$C$2:$C$186,$A485,Fact_PreSortWeights!$B$2:$B$186,$B485))))</f>
        <v>0</v>
      </c>
      <c r="G485" s="0" t="n">
        <f aca="false">IF(AND(IF($B485="Trash",INDEX('Materials Master'!$F$2:$F$27,MATCH($C485,'Materials Master'!$A$2:$A$27,0)),IF($B485="GMPC Recycling",INDEX('Materials Master'!$G$2:$G$27,MATCH($C485,'Materials Master'!$A$2:$A$27,0)),IF($B485="Organics Recycling",INDEX('Materials Master'!$H$2:$H$27,MATCH($C485,'Materials Master'!$A$2:$A$27,0)),IF($B485="Cardboard Recycling",INDEX('Materials Master'!$I$2:$I$27,MATCH($C485,'Materials Master'!$A$2:$A$27,0)),IF($B485="Paper Recycling",INDEX('Materials Master'!$J$2:$J$27,MATCH($C485,'Materials Master'!$A$2:$A$27,0)),IF($B485="Terracycle",INDEX('Materials Master'!$K$2:$K$27,MATCH($C485,'Materials Master'!$A$2:$A$27,0)),"No"))))))="Yes",INDEX('Materials Master'!$E$2:$E$27,MATCH($C485,'Materials Master'!$A$2:$A$27,0))="Yes",$B485&lt;&gt;"Trash"),1,0)</f>
        <v>0</v>
      </c>
      <c r="H485" s="0" t="str">
        <f aca="false">INDEX('Materials Master'!$E$2:$E$27,MATCH($C485,'Materials Master'!$A$2:$A$27,0))</f>
        <v>No</v>
      </c>
      <c r="I485" s="0" t="str">
        <f aca="false">IFERROR(INDEX(Areas!$C$2:$C$6,MATCH($A485,Areas!$B$2:$B$6,0)),"")</f>
        <v>Rest of Building</v>
      </c>
      <c r="J485" s="0" t="n">
        <f aca="false">IF(IF($B485="Trash",INDEX('Materials Master'!$F$2:$F$27,MATCH($C485,'Materials Master'!$A$2:$A$27,0)),IF($B485="GMPC Recycling",INDEX('Materials Master'!$G$2:$G$27,MATCH($C485,'Materials Master'!$A$2:$A$27,0)),IF($B485="Organics Recycling",INDEX('Materials Master'!$H$2:$H$27,MATCH($C485,'Materials Master'!$A$2:$A$27,0)),IF($B485="Cardboard Recycling",INDEX('Materials Master'!$I$2:$I$27,MATCH($C485,'Materials Master'!$A$2:$A$27,0)),IF($B485="Paper Recycling",INDEX('Materials Master'!$J$2:$J$27,MATCH($C485,'Materials Master'!$A$2:$A$27,0)),IF($B485="Terracycle",INDEX('Materials Master'!$K$2:$K$27,MATCH($C485,'Materials Master'!$A$2:$A$27,0)),"No"))))))="Yes",1,0)</f>
        <v>1</v>
      </c>
    </row>
    <row r="486" customFormat="false" ht="15" hidden="false" customHeight="false" outlineLevel="0" collapsed="false">
      <c r="A486" s="0" t="s">
        <v>100</v>
      </c>
      <c r="B486" s="0" t="s">
        <v>103</v>
      </c>
      <c r="C486" s="0" t="s">
        <v>66</v>
      </c>
      <c r="D486" s="0" t="str">
        <f aca="false">IFERROR(INDEX('Materials Master'!$B$2:$B$27,MATCH($C486,'Materials Master'!$A$2:$A$27,0)),"")</f>
        <v>Food Waste</v>
      </c>
      <c r="E486" s="0" t="str">
        <f aca="false">IFERROR(INDEX('Materials Master'!$C$2:$C$27,MATCH($C486,'Materials Master'!$A$2:$A$27,0)),"")</f>
        <v>Organics</v>
      </c>
      <c r="F486" s="0" t="n">
        <f aca="false">IF(SUMIFS(Fact_SortedWeights!$E$2:$E$89,Fact_SortedWeights!$C$2:$C$89,$A486,Fact_SortedWeights!$B$2:$B$89,$B486)=0,0,SUMIFS(Fact_SortedWeights!$E$2:$E$89,Fact_SortedWeights!$C$2:$C$89,$A486,Fact_SortedWeights!$B$2:$B$89,$B486,Fact_SortedWeights!$D$2:$D$89,$C486)/SUMIFS(Fact_SortedWeights!$E$2:$E$89,Fact_SortedWeights!$C$2:$C$89,$A486,Fact_SortedWeights!$B$2:$B$89,$B486)*(IF($B486="Cardboard Recycling",SUMIFS(Fact_SortedWeights!$E$2:$E$89,Fact_SortedWeights!$C$2:$C$89,$A486,Fact_SortedWeights!$B$2:$B$89,$B486),SUMIFS(Fact_PreSortWeights!$E$2:$E$186,Fact_PreSortWeights!$C$2:$C$186,$A486,Fact_PreSortWeights!$B$2:$B$186,$B486))))</f>
        <v>0</v>
      </c>
      <c r="G486" s="0" t="n">
        <f aca="false">IF(AND(IF($B486="Trash",INDEX('Materials Master'!$F$2:$F$27,MATCH($C486,'Materials Master'!$A$2:$A$27,0)),IF($B486="GMPC Recycling",INDEX('Materials Master'!$G$2:$G$27,MATCH($C486,'Materials Master'!$A$2:$A$27,0)),IF($B486="Organics Recycling",INDEX('Materials Master'!$H$2:$H$27,MATCH($C486,'Materials Master'!$A$2:$A$27,0)),IF($B486="Cardboard Recycling",INDEX('Materials Master'!$I$2:$I$27,MATCH($C486,'Materials Master'!$A$2:$A$27,0)),IF($B486="Paper Recycling",INDEX('Materials Master'!$J$2:$J$27,MATCH($C486,'Materials Master'!$A$2:$A$27,0)),IF($B486="Terracycle",INDEX('Materials Master'!$K$2:$K$27,MATCH($C486,'Materials Master'!$A$2:$A$27,0)),"No"))))))="Yes",INDEX('Materials Master'!$E$2:$E$27,MATCH($C486,'Materials Master'!$A$2:$A$27,0))="Yes",$B486&lt;&gt;"Trash"),1,0)</f>
        <v>0</v>
      </c>
      <c r="H486" s="0" t="str">
        <f aca="false">INDEX('Materials Master'!$E$2:$E$27,MATCH($C486,'Materials Master'!$A$2:$A$27,0))</f>
        <v>Yes</v>
      </c>
      <c r="I486" s="0" t="str">
        <f aca="false">IFERROR(INDEX(Areas!$C$2:$C$6,MATCH($A486,Areas!$B$2:$B$6,0)),"")</f>
        <v>Rest of Building</v>
      </c>
      <c r="J486" s="0" t="n">
        <f aca="false">IF(IF($B486="Trash",INDEX('Materials Master'!$F$2:$F$27,MATCH($C486,'Materials Master'!$A$2:$A$27,0)),IF($B486="GMPC Recycling",INDEX('Materials Master'!$G$2:$G$27,MATCH($C486,'Materials Master'!$A$2:$A$27,0)),IF($B486="Organics Recycling",INDEX('Materials Master'!$H$2:$H$27,MATCH($C486,'Materials Master'!$A$2:$A$27,0)),IF($B486="Cardboard Recycling",INDEX('Materials Master'!$I$2:$I$27,MATCH($C486,'Materials Master'!$A$2:$A$27,0)),IF($B486="Paper Recycling",INDEX('Materials Master'!$J$2:$J$27,MATCH($C486,'Materials Master'!$A$2:$A$27,0)),IF($B486="Terracycle",INDEX('Materials Master'!$K$2:$K$27,MATCH($C486,'Materials Master'!$A$2:$A$27,0)),"No"))))))="Yes",1,0)</f>
        <v>0</v>
      </c>
    </row>
    <row r="487" customFormat="false" ht="15" hidden="false" customHeight="false" outlineLevel="0" collapsed="false">
      <c r="A487" s="0" t="s">
        <v>100</v>
      </c>
      <c r="B487" s="0" t="s">
        <v>103</v>
      </c>
      <c r="C487" s="0" t="s">
        <v>69</v>
      </c>
      <c r="D487" s="0" t="str">
        <f aca="false">IFERROR(INDEX('Materials Master'!$B$2:$B$27,MATCH($C487,'Materials Master'!$A$2:$A$27,0)),"")</f>
        <v>Paper Fibers and Food-Soiled Paper (FSP)</v>
      </c>
      <c r="E487" s="0" t="str">
        <f aca="false">IFERROR(INDEX('Materials Master'!$C$2:$C$27,MATCH($C487,'Materials Master'!$A$2:$A$27,0)),"")</f>
        <v>Organics</v>
      </c>
      <c r="F487" s="0" t="n">
        <f aca="false">IF(SUMIFS(Fact_SortedWeights!$E$2:$E$89,Fact_SortedWeights!$C$2:$C$89,$A487,Fact_SortedWeights!$B$2:$B$89,$B487)=0,0,SUMIFS(Fact_SortedWeights!$E$2:$E$89,Fact_SortedWeights!$C$2:$C$89,$A487,Fact_SortedWeights!$B$2:$B$89,$B487,Fact_SortedWeights!$D$2:$D$89,$C487)/SUMIFS(Fact_SortedWeights!$E$2:$E$89,Fact_SortedWeights!$C$2:$C$89,$A487,Fact_SortedWeights!$B$2:$B$89,$B487)*(IF($B487="Cardboard Recycling",SUMIFS(Fact_SortedWeights!$E$2:$E$89,Fact_SortedWeights!$C$2:$C$89,$A487,Fact_SortedWeights!$B$2:$B$89,$B487),SUMIFS(Fact_PreSortWeights!$E$2:$E$186,Fact_PreSortWeights!$C$2:$C$186,$A487,Fact_PreSortWeights!$B$2:$B$186,$B487))))</f>
        <v>0</v>
      </c>
      <c r="G487" s="0" t="n">
        <f aca="false">IF(AND(IF($B487="Trash",INDEX('Materials Master'!$F$2:$F$27,MATCH($C487,'Materials Master'!$A$2:$A$27,0)),IF($B487="GMPC Recycling",INDEX('Materials Master'!$G$2:$G$27,MATCH($C487,'Materials Master'!$A$2:$A$27,0)),IF($B487="Organics Recycling",INDEX('Materials Master'!$H$2:$H$27,MATCH($C487,'Materials Master'!$A$2:$A$27,0)),IF($B487="Cardboard Recycling",INDEX('Materials Master'!$I$2:$I$27,MATCH($C487,'Materials Master'!$A$2:$A$27,0)),IF($B487="Paper Recycling",INDEX('Materials Master'!$J$2:$J$27,MATCH($C487,'Materials Master'!$A$2:$A$27,0)),IF($B487="Terracycle",INDEX('Materials Master'!$K$2:$K$27,MATCH($C487,'Materials Master'!$A$2:$A$27,0)),"No"))))))="Yes",INDEX('Materials Master'!$E$2:$E$27,MATCH($C487,'Materials Master'!$A$2:$A$27,0))="Yes",$B487&lt;&gt;"Trash"),1,0)</f>
        <v>0</v>
      </c>
      <c r="H487" s="0" t="str">
        <f aca="false">INDEX('Materials Master'!$E$2:$E$27,MATCH($C487,'Materials Master'!$A$2:$A$27,0))</f>
        <v>No</v>
      </c>
      <c r="I487" s="0" t="str">
        <f aca="false">IFERROR(INDEX(Areas!$C$2:$C$6,MATCH($A487,Areas!$B$2:$B$6,0)),"")</f>
        <v>Rest of Building</v>
      </c>
      <c r="J487" s="0" t="n">
        <f aca="false">IF(IF($B487="Trash",INDEX('Materials Master'!$F$2:$F$27,MATCH($C487,'Materials Master'!$A$2:$A$27,0)),IF($B487="GMPC Recycling",INDEX('Materials Master'!$G$2:$G$27,MATCH($C487,'Materials Master'!$A$2:$A$27,0)),IF($B487="Organics Recycling",INDEX('Materials Master'!$H$2:$H$27,MATCH($C487,'Materials Master'!$A$2:$A$27,0)),IF($B487="Cardboard Recycling",INDEX('Materials Master'!$I$2:$I$27,MATCH($C487,'Materials Master'!$A$2:$A$27,0)),IF($B487="Paper Recycling",INDEX('Materials Master'!$J$2:$J$27,MATCH($C487,'Materials Master'!$A$2:$A$27,0)),IF($B487="Terracycle",INDEX('Materials Master'!$K$2:$K$27,MATCH($C487,'Materials Master'!$A$2:$A$27,0)),"No"))))))="Yes",1,0)</f>
        <v>1</v>
      </c>
    </row>
    <row r="488" customFormat="false" ht="15" hidden="false" customHeight="false" outlineLevel="0" collapsed="false">
      <c r="A488" s="0" t="s">
        <v>100</v>
      </c>
      <c r="B488" s="0" t="s">
        <v>103</v>
      </c>
      <c r="C488" s="0" t="s">
        <v>71</v>
      </c>
      <c r="D488" s="0" t="str">
        <f aca="false">IFERROR(INDEX('Materials Master'!$B$2:$B$27,MATCH($C488,'Materials Master'!$A$2:$A$27,0)),"")</f>
        <v>Fiber-based Compostable Serviceware</v>
      </c>
      <c r="E488" s="0" t="str">
        <f aca="false">IFERROR(INDEX('Materials Master'!$C$2:$C$27,MATCH($C488,'Materials Master'!$A$2:$A$27,0)),"")</f>
        <v>Organics</v>
      </c>
      <c r="F488" s="0" t="n">
        <f aca="false">IF(SUMIFS(Fact_SortedWeights!$E$2:$E$89,Fact_SortedWeights!$C$2:$C$89,$A488,Fact_SortedWeights!$B$2:$B$89,$B488)=0,0,SUMIFS(Fact_SortedWeights!$E$2:$E$89,Fact_SortedWeights!$C$2:$C$89,$A488,Fact_SortedWeights!$B$2:$B$89,$B488,Fact_SortedWeights!$D$2:$D$89,$C488)/SUMIFS(Fact_SortedWeights!$E$2:$E$89,Fact_SortedWeights!$C$2:$C$89,$A488,Fact_SortedWeights!$B$2:$B$89,$B488)*(IF($B488="Cardboard Recycling",SUMIFS(Fact_SortedWeights!$E$2:$E$89,Fact_SortedWeights!$C$2:$C$89,$A488,Fact_SortedWeights!$B$2:$B$89,$B488),SUMIFS(Fact_PreSortWeights!$E$2:$E$186,Fact_PreSortWeights!$C$2:$C$186,$A488,Fact_PreSortWeights!$B$2:$B$186,$B488))))</f>
        <v>0</v>
      </c>
      <c r="G488" s="0" t="n">
        <f aca="false">IF(AND(IF($B488="Trash",INDEX('Materials Master'!$F$2:$F$27,MATCH($C488,'Materials Master'!$A$2:$A$27,0)),IF($B488="GMPC Recycling",INDEX('Materials Master'!$G$2:$G$27,MATCH($C488,'Materials Master'!$A$2:$A$27,0)),IF($B488="Organics Recycling",INDEX('Materials Master'!$H$2:$H$27,MATCH($C488,'Materials Master'!$A$2:$A$27,0)),IF($B488="Cardboard Recycling",INDEX('Materials Master'!$I$2:$I$27,MATCH($C488,'Materials Master'!$A$2:$A$27,0)),IF($B488="Paper Recycling",INDEX('Materials Master'!$J$2:$J$27,MATCH($C488,'Materials Master'!$A$2:$A$27,0)),IF($B488="Terracycle",INDEX('Materials Master'!$K$2:$K$27,MATCH($C488,'Materials Master'!$A$2:$A$27,0)),"No"))))))="Yes",INDEX('Materials Master'!$E$2:$E$27,MATCH($C488,'Materials Master'!$A$2:$A$27,0))="Yes",$B488&lt;&gt;"Trash"),1,0)</f>
        <v>0</v>
      </c>
      <c r="H488" s="0" t="str">
        <f aca="false">INDEX('Materials Master'!$E$2:$E$27,MATCH($C488,'Materials Master'!$A$2:$A$27,0))</f>
        <v>No</v>
      </c>
      <c r="I488" s="0" t="str">
        <f aca="false">IFERROR(INDEX(Areas!$C$2:$C$6,MATCH($A488,Areas!$B$2:$B$6,0)),"")</f>
        <v>Rest of Building</v>
      </c>
      <c r="J488" s="0" t="n">
        <f aca="false">IF(IF($B488="Trash",INDEX('Materials Master'!$F$2:$F$27,MATCH($C488,'Materials Master'!$A$2:$A$27,0)),IF($B488="GMPC Recycling",INDEX('Materials Master'!$G$2:$G$27,MATCH($C488,'Materials Master'!$A$2:$A$27,0)),IF($B488="Organics Recycling",INDEX('Materials Master'!$H$2:$H$27,MATCH($C488,'Materials Master'!$A$2:$A$27,0)),IF($B488="Cardboard Recycling",INDEX('Materials Master'!$I$2:$I$27,MATCH($C488,'Materials Master'!$A$2:$A$27,0)),IF($B488="Paper Recycling",INDEX('Materials Master'!$J$2:$J$27,MATCH($C488,'Materials Master'!$A$2:$A$27,0)),IF($B488="Terracycle",INDEX('Materials Master'!$K$2:$K$27,MATCH($C488,'Materials Master'!$A$2:$A$27,0)),"No"))))))="Yes",1,0)</f>
        <v>1</v>
      </c>
    </row>
    <row r="489" customFormat="false" ht="15" hidden="false" customHeight="false" outlineLevel="0" collapsed="false">
      <c r="A489" s="0" t="s">
        <v>100</v>
      </c>
      <c r="B489" s="0" t="s">
        <v>103</v>
      </c>
      <c r="C489" s="0" t="s">
        <v>73</v>
      </c>
      <c r="D489" s="0" t="str">
        <f aca="false">IFERROR(INDEX('Materials Master'!$B$2:$B$27,MATCH($C489,'Materials Master'!$A$2:$A$27,0)),"")</f>
        <v>PLA Compostable Serviceware</v>
      </c>
      <c r="E489" s="0" t="str">
        <f aca="false">IFERROR(INDEX('Materials Master'!$C$2:$C$27,MATCH($C489,'Materials Master'!$A$2:$A$27,0)),"")</f>
        <v>Organics</v>
      </c>
      <c r="F489" s="0" t="n">
        <f aca="false">IF(SUMIFS(Fact_SortedWeights!$E$2:$E$89,Fact_SortedWeights!$C$2:$C$89,$A489,Fact_SortedWeights!$B$2:$B$89,$B489)=0,0,SUMIFS(Fact_SortedWeights!$E$2:$E$89,Fact_SortedWeights!$C$2:$C$89,$A489,Fact_SortedWeights!$B$2:$B$89,$B489,Fact_SortedWeights!$D$2:$D$89,$C489)/SUMIFS(Fact_SortedWeights!$E$2:$E$89,Fact_SortedWeights!$C$2:$C$89,$A489,Fact_SortedWeights!$B$2:$B$89,$B489)*(IF($B489="Cardboard Recycling",SUMIFS(Fact_SortedWeights!$E$2:$E$89,Fact_SortedWeights!$C$2:$C$89,$A489,Fact_SortedWeights!$B$2:$B$89,$B489),SUMIFS(Fact_PreSortWeights!$E$2:$E$186,Fact_PreSortWeights!$C$2:$C$186,$A489,Fact_PreSortWeights!$B$2:$B$186,$B489))))</f>
        <v>0</v>
      </c>
      <c r="G489" s="0" t="n">
        <f aca="false">IF(AND(IF($B489="Trash",INDEX('Materials Master'!$F$2:$F$27,MATCH($C489,'Materials Master'!$A$2:$A$27,0)),IF($B489="GMPC Recycling",INDEX('Materials Master'!$G$2:$G$27,MATCH($C489,'Materials Master'!$A$2:$A$27,0)),IF($B489="Organics Recycling",INDEX('Materials Master'!$H$2:$H$27,MATCH($C489,'Materials Master'!$A$2:$A$27,0)),IF($B489="Cardboard Recycling",INDEX('Materials Master'!$I$2:$I$27,MATCH($C489,'Materials Master'!$A$2:$A$27,0)),IF($B489="Paper Recycling",INDEX('Materials Master'!$J$2:$J$27,MATCH($C489,'Materials Master'!$A$2:$A$27,0)),IF($B489="Terracycle",INDEX('Materials Master'!$K$2:$K$27,MATCH($C489,'Materials Master'!$A$2:$A$27,0)),"No"))))))="Yes",INDEX('Materials Master'!$E$2:$E$27,MATCH($C489,'Materials Master'!$A$2:$A$27,0))="Yes",$B489&lt;&gt;"Trash"),1,0)</f>
        <v>0</v>
      </c>
      <c r="H489" s="0" t="str">
        <f aca="false">INDEX('Materials Master'!$E$2:$E$27,MATCH($C489,'Materials Master'!$A$2:$A$27,0))</f>
        <v>No</v>
      </c>
      <c r="I489" s="0" t="str">
        <f aca="false">IFERROR(INDEX(Areas!$C$2:$C$6,MATCH($A489,Areas!$B$2:$B$6,0)),"")</f>
        <v>Rest of Building</v>
      </c>
      <c r="J489" s="0" t="n">
        <f aca="false">IF(IF($B489="Trash",INDEX('Materials Master'!$F$2:$F$27,MATCH($C489,'Materials Master'!$A$2:$A$27,0)),IF($B489="GMPC Recycling",INDEX('Materials Master'!$G$2:$G$27,MATCH($C489,'Materials Master'!$A$2:$A$27,0)),IF($B489="Organics Recycling",INDEX('Materials Master'!$H$2:$H$27,MATCH($C489,'Materials Master'!$A$2:$A$27,0)),IF($B489="Cardboard Recycling",INDEX('Materials Master'!$I$2:$I$27,MATCH($C489,'Materials Master'!$A$2:$A$27,0)),IF($B489="Paper Recycling",INDEX('Materials Master'!$J$2:$J$27,MATCH($C489,'Materials Master'!$A$2:$A$27,0)),IF($B489="Terracycle",INDEX('Materials Master'!$K$2:$K$27,MATCH($C489,'Materials Master'!$A$2:$A$27,0)),"No"))))))="Yes",1,0)</f>
        <v>1</v>
      </c>
    </row>
    <row r="490" customFormat="false" ht="15" hidden="false" customHeight="false" outlineLevel="0" collapsed="false">
      <c r="A490" s="0" t="s">
        <v>100</v>
      </c>
      <c r="B490" s="0" t="s">
        <v>103</v>
      </c>
      <c r="C490" s="0" t="s">
        <v>75</v>
      </c>
      <c r="D490" s="0" t="str">
        <f aca="false">IFERROR(INDEX('Materials Master'!$B$2:$B$27,MATCH($C490,'Materials Master'!$A$2:$A$27,0)),"")</f>
        <v>E/U Waste</v>
      </c>
      <c r="E490" s="0" t="str">
        <f aca="false">IFERROR(INDEX('Materials Master'!$C$2:$C$27,MATCH($C490,'Materials Master'!$A$2:$A$27,0)),"")</f>
        <v>Unacceptable</v>
      </c>
      <c r="F490" s="0" t="n">
        <f aca="false">IF(SUMIFS(Fact_SortedWeights!$E$2:$E$89,Fact_SortedWeights!$C$2:$C$89,$A490,Fact_SortedWeights!$B$2:$B$89,$B490)=0,0,SUMIFS(Fact_SortedWeights!$E$2:$E$89,Fact_SortedWeights!$C$2:$C$89,$A490,Fact_SortedWeights!$B$2:$B$89,$B490,Fact_SortedWeights!$D$2:$D$89,$C490)/SUMIFS(Fact_SortedWeights!$E$2:$E$89,Fact_SortedWeights!$C$2:$C$89,$A490,Fact_SortedWeights!$B$2:$B$89,$B490)*(IF($B490="Cardboard Recycling",SUMIFS(Fact_SortedWeights!$E$2:$E$89,Fact_SortedWeights!$C$2:$C$89,$A490,Fact_SortedWeights!$B$2:$B$89,$B490),SUMIFS(Fact_PreSortWeights!$E$2:$E$186,Fact_PreSortWeights!$C$2:$C$186,$A490,Fact_PreSortWeights!$B$2:$B$186,$B490))))</f>
        <v>0</v>
      </c>
      <c r="G490" s="0" t="n">
        <f aca="false">IF(AND(IF($B490="Trash",INDEX('Materials Master'!$F$2:$F$27,MATCH($C490,'Materials Master'!$A$2:$A$27,0)),IF($B490="GMPC Recycling",INDEX('Materials Master'!$G$2:$G$27,MATCH($C490,'Materials Master'!$A$2:$A$27,0)),IF($B490="Organics Recycling",INDEX('Materials Master'!$H$2:$H$27,MATCH($C490,'Materials Master'!$A$2:$A$27,0)),IF($B490="Cardboard Recycling",INDEX('Materials Master'!$I$2:$I$27,MATCH($C490,'Materials Master'!$A$2:$A$27,0)),IF($B490="Paper Recycling",INDEX('Materials Master'!$J$2:$J$27,MATCH($C490,'Materials Master'!$A$2:$A$27,0)),IF($B490="Terracycle",INDEX('Materials Master'!$K$2:$K$27,MATCH($C490,'Materials Master'!$A$2:$A$27,0)),"No"))))))="Yes",INDEX('Materials Master'!$E$2:$E$27,MATCH($C490,'Materials Master'!$A$2:$A$27,0))="Yes",$B490&lt;&gt;"Trash"),1,0)</f>
        <v>0</v>
      </c>
      <c r="H490" s="0" t="str">
        <f aca="false">INDEX('Materials Master'!$E$2:$E$27,MATCH($C490,'Materials Master'!$A$2:$A$27,0))</f>
        <v>No</v>
      </c>
      <c r="I490" s="0" t="str">
        <f aca="false">IFERROR(INDEX(Areas!$C$2:$C$6,MATCH($A490,Areas!$B$2:$B$6,0)),"")</f>
        <v>Rest of Building</v>
      </c>
      <c r="J490" s="0" t="n">
        <f aca="false">IF(IF($B490="Trash",INDEX('Materials Master'!$F$2:$F$27,MATCH($C490,'Materials Master'!$A$2:$A$27,0)),IF($B490="GMPC Recycling",INDEX('Materials Master'!$G$2:$G$27,MATCH($C490,'Materials Master'!$A$2:$A$27,0)),IF($B490="Organics Recycling",INDEX('Materials Master'!$H$2:$H$27,MATCH($C490,'Materials Master'!$A$2:$A$27,0)),IF($B490="Cardboard Recycling",INDEX('Materials Master'!$I$2:$I$27,MATCH($C490,'Materials Master'!$A$2:$A$27,0)),IF($B490="Paper Recycling",INDEX('Materials Master'!$J$2:$J$27,MATCH($C490,'Materials Master'!$A$2:$A$27,0)),IF($B490="Terracycle",INDEX('Materials Master'!$K$2:$K$27,MATCH($C490,'Materials Master'!$A$2:$A$27,0)),"No"))))))="Yes",1,0)</f>
        <v>1</v>
      </c>
    </row>
    <row r="491" customFormat="false" ht="15" hidden="false" customHeight="false" outlineLevel="0" collapsed="false">
      <c r="A491" s="0" t="s">
        <v>100</v>
      </c>
      <c r="B491" s="0" t="s">
        <v>103</v>
      </c>
      <c r="C491" s="0" t="s">
        <v>78</v>
      </c>
      <c r="D491" s="0" t="str">
        <f aca="false">IFERROR(INDEX('Materials Master'!$B$2:$B$27,MATCH($C491,'Materials Master'!$A$2:$A$27,0)),"")</f>
        <v>Textiles</v>
      </c>
      <c r="E491" s="0" t="str">
        <f aca="false">IFERROR(INDEX('Materials Master'!$C$2:$C$27,MATCH($C491,'Materials Master'!$A$2:$A$27,0)),"")</f>
        <v>Unacceptable</v>
      </c>
      <c r="F491" s="0" t="n">
        <f aca="false">IF(SUMIFS(Fact_SortedWeights!$E$2:$E$89,Fact_SortedWeights!$C$2:$C$89,$A491,Fact_SortedWeights!$B$2:$B$89,$B491)=0,0,SUMIFS(Fact_SortedWeights!$E$2:$E$89,Fact_SortedWeights!$C$2:$C$89,$A491,Fact_SortedWeights!$B$2:$B$89,$B491,Fact_SortedWeights!$D$2:$D$89,$C491)/SUMIFS(Fact_SortedWeights!$E$2:$E$89,Fact_SortedWeights!$C$2:$C$89,$A491,Fact_SortedWeights!$B$2:$B$89,$B491)*(IF($B491="Cardboard Recycling",SUMIFS(Fact_SortedWeights!$E$2:$E$89,Fact_SortedWeights!$C$2:$C$89,$A491,Fact_SortedWeights!$B$2:$B$89,$B491),SUMIFS(Fact_PreSortWeights!$E$2:$E$186,Fact_PreSortWeights!$C$2:$C$186,$A491,Fact_PreSortWeights!$B$2:$B$186,$B491))))</f>
        <v>0</v>
      </c>
      <c r="G491" s="0" t="n">
        <f aca="false">IF(AND(IF($B491="Trash",INDEX('Materials Master'!$F$2:$F$27,MATCH($C491,'Materials Master'!$A$2:$A$27,0)),IF($B491="GMPC Recycling",INDEX('Materials Master'!$G$2:$G$27,MATCH($C491,'Materials Master'!$A$2:$A$27,0)),IF($B491="Organics Recycling",INDEX('Materials Master'!$H$2:$H$27,MATCH($C491,'Materials Master'!$A$2:$A$27,0)),IF($B491="Cardboard Recycling",INDEX('Materials Master'!$I$2:$I$27,MATCH($C491,'Materials Master'!$A$2:$A$27,0)),IF($B491="Paper Recycling",INDEX('Materials Master'!$J$2:$J$27,MATCH($C491,'Materials Master'!$A$2:$A$27,0)),IF($B491="Terracycle",INDEX('Materials Master'!$K$2:$K$27,MATCH($C491,'Materials Master'!$A$2:$A$27,0)),"No"))))))="Yes",INDEX('Materials Master'!$E$2:$E$27,MATCH($C491,'Materials Master'!$A$2:$A$27,0))="Yes",$B491&lt;&gt;"Trash"),1,0)</f>
        <v>0</v>
      </c>
      <c r="H491" s="0" t="str">
        <f aca="false">INDEX('Materials Master'!$E$2:$E$27,MATCH($C491,'Materials Master'!$A$2:$A$27,0))</f>
        <v>No</v>
      </c>
      <c r="I491" s="0" t="str">
        <f aca="false">IFERROR(INDEX(Areas!$C$2:$C$6,MATCH($A491,Areas!$B$2:$B$6,0)),"")</f>
        <v>Rest of Building</v>
      </c>
      <c r="J491" s="0" t="n">
        <f aca="false">IF(IF($B491="Trash",INDEX('Materials Master'!$F$2:$F$27,MATCH($C491,'Materials Master'!$A$2:$A$27,0)),IF($B491="GMPC Recycling",INDEX('Materials Master'!$G$2:$G$27,MATCH($C491,'Materials Master'!$A$2:$A$27,0)),IF($B491="Organics Recycling",INDEX('Materials Master'!$H$2:$H$27,MATCH($C491,'Materials Master'!$A$2:$A$27,0)),IF($B491="Cardboard Recycling",INDEX('Materials Master'!$I$2:$I$27,MATCH($C491,'Materials Master'!$A$2:$A$27,0)),IF($B491="Paper Recycling",INDEX('Materials Master'!$J$2:$J$27,MATCH($C491,'Materials Master'!$A$2:$A$27,0)),IF($B491="Terracycle",INDEX('Materials Master'!$K$2:$K$27,MATCH($C491,'Materials Master'!$A$2:$A$27,0)),"No"))))))="Yes",1,0)</f>
        <v>1</v>
      </c>
    </row>
    <row r="492" customFormat="false" ht="15" hidden="false" customHeight="false" outlineLevel="0" collapsed="false">
      <c r="A492" s="0" t="s">
        <v>100</v>
      </c>
      <c r="B492" s="0" t="s">
        <v>103</v>
      </c>
      <c r="C492" s="0" t="s">
        <v>80</v>
      </c>
      <c r="D492" s="0" t="str">
        <f aca="false">IFERROR(INDEX('Materials Master'!$B$2:$B$27,MATCH($C492,'Materials Master'!$A$2:$A$27,0)),"")</f>
        <v>Other Unacceptable (specify)</v>
      </c>
      <c r="E492" s="0" t="str">
        <f aca="false">IFERROR(INDEX('Materials Master'!$C$2:$C$27,MATCH($C492,'Materials Master'!$A$2:$A$27,0)),"")</f>
        <v>Unacceptable</v>
      </c>
      <c r="F492" s="0" t="n">
        <f aca="false">IF(SUMIFS(Fact_SortedWeights!$E$2:$E$89,Fact_SortedWeights!$C$2:$C$89,$A492,Fact_SortedWeights!$B$2:$B$89,$B492)=0,0,SUMIFS(Fact_SortedWeights!$E$2:$E$89,Fact_SortedWeights!$C$2:$C$89,$A492,Fact_SortedWeights!$B$2:$B$89,$B492,Fact_SortedWeights!$D$2:$D$89,$C492)/SUMIFS(Fact_SortedWeights!$E$2:$E$89,Fact_SortedWeights!$C$2:$C$89,$A492,Fact_SortedWeights!$B$2:$B$89,$B492)*(IF($B492="Cardboard Recycling",SUMIFS(Fact_SortedWeights!$E$2:$E$89,Fact_SortedWeights!$C$2:$C$89,$A492,Fact_SortedWeights!$B$2:$B$89,$B492),SUMIFS(Fact_PreSortWeights!$E$2:$E$186,Fact_PreSortWeights!$C$2:$C$186,$A492,Fact_PreSortWeights!$B$2:$B$186,$B492))))</f>
        <v>0</v>
      </c>
      <c r="G492" s="0" t="n">
        <f aca="false">IF(AND(IF($B492="Trash",INDEX('Materials Master'!$F$2:$F$27,MATCH($C492,'Materials Master'!$A$2:$A$27,0)),IF($B492="GMPC Recycling",INDEX('Materials Master'!$G$2:$G$27,MATCH($C492,'Materials Master'!$A$2:$A$27,0)),IF($B492="Organics Recycling",INDEX('Materials Master'!$H$2:$H$27,MATCH($C492,'Materials Master'!$A$2:$A$27,0)),IF($B492="Cardboard Recycling",INDEX('Materials Master'!$I$2:$I$27,MATCH($C492,'Materials Master'!$A$2:$A$27,0)),IF($B492="Paper Recycling",INDEX('Materials Master'!$J$2:$J$27,MATCH($C492,'Materials Master'!$A$2:$A$27,0)),IF($B492="Terracycle",INDEX('Materials Master'!$K$2:$K$27,MATCH($C492,'Materials Master'!$A$2:$A$27,0)),"No"))))))="Yes",INDEX('Materials Master'!$E$2:$E$27,MATCH($C492,'Materials Master'!$A$2:$A$27,0))="Yes",$B492&lt;&gt;"Trash"),1,0)</f>
        <v>0</v>
      </c>
      <c r="H492" s="0" t="str">
        <f aca="false">INDEX('Materials Master'!$E$2:$E$27,MATCH($C492,'Materials Master'!$A$2:$A$27,0))</f>
        <v>No</v>
      </c>
      <c r="I492" s="0" t="str">
        <f aca="false">IFERROR(INDEX(Areas!$C$2:$C$6,MATCH($A492,Areas!$B$2:$B$6,0)),"")</f>
        <v>Rest of Building</v>
      </c>
      <c r="J492" s="0" t="n">
        <f aca="false">IF(IF($B492="Trash",INDEX('Materials Master'!$F$2:$F$27,MATCH($C492,'Materials Master'!$A$2:$A$27,0)),IF($B492="GMPC Recycling",INDEX('Materials Master'!$G$2:$G$27,MATCH($C492,'Materials Master'!$A$2:$A$27,0)),IF($B492="Organics Recycling",INDEX('Materials Master'!$H$2:$H$27,MATCH($C492,'Materials Master'!$A$2:$A$27,0)),IF($B492="Cardboard Recycling",INDEX('Materials Master'!$I$2:$I$27,MATCH($C492,'Materials Master'!$A$2:$A$27,0)),IF($B492="Paper Recycling",INDEX('Materials Master'!$J$2:$J$27,MATCH($C492,'Materials Master'!$A$2:$A$27,0)),IF($B492="Terracycle",INDEX('Materials Master'!$K$2:$K$27,MATCH($C492,'Materials Master'!$A$2:$A$27,0)),"No"))))))="Yes",1,0)</f>
        <v>1</v>
      </c>
    </row>
    <row r="493" customFormat="false" ht="15" hidden="false" customHeight="false" outlineLevel="0" collapsed="false">
      <c r="A493" s="0" t="s">
        <v>100</v>
      </c>
      <c r="B493" s="0" t="s">
        <v>103</v>
      </c>
      <c r="C493" s="0" t="s">
        <v>82</v>
      </c>
      <c r="D493" s="0" t="str">
        <f aca="false">IFERROR(INDEX('Materials Master'!$B$2:$B$27,MATCH($C493,'Materials Master'!$A$2:$A$27,0)),"")</f>
        <v>Liquids</v>
      </c>
      <c r="E493" s="0" t="str">
        <f aca="false">IFERROR(INDEX('Materials Master'!$C$2:$C$27,MATCH($C493,'Materials Master'!$A$2:$A$27,0)),"")</f>
        <v>Unacceptable</v>
      </c>
      <c r="F493" s="0" t="n">
        <f aca="false">IF(SUMIFS(Fact_SortedWeights!$E$2:$E$89,Fact_SortedWeights!$C$2:$C$89,$A493,Fact_SortedWeights!$B$2:$B$89,$B493)=0,0,SUMIFS(Fact_SortedWeights!$E$2:$E$89,Fact_SortedWeights!$C$2:$C$89,$A493,Fact_SortedWeights!$B$2:$B$89,$B493,Fact_SortedWeights!$D$2:$D$89,$C493)/SUMIFS(Fact_SortedWeights!$E$2:$E$89,Fact_SortedWeights!$C$2:$C$89,$A493,Fact_SortedWeights!$B$2:$B$89,$B493)*(IF($B493="Cardboard Recycling",SUMIFS(Fact_SortedWeights!$E$2:$E$89,Fact_SortedWeights!$C$2:$C$89,$A493,Fact_SortedWeights!$B$2:$B$89,$B493),SUMIFS(Fact_PreSortWeights!$E$2:$E$186,Fact_PreSortWeights!$C$2:$C$186,$A493,Fact_PreSortWeights!$B$2:$B$186,$B493))))</f>
        <v>0</v>
      </c>
      <c r="G493" s="0" t="n">
        <f aca="false">IF(AND(IF($B493="Trash",INDEX('Materials Master'!$F$2:$F$27,MATCH($C493,'Materials Master'!$A$2:$A$27,0)),IF($B493="GMPC Recycling",INDEX('Materials Master'!$G$2:$G$27,MATCH($C493,'Materials Master'!$A$2:$A$27,0)),IF($B493="Organics Recycling",INDEX('Materials Master'!$H$2:$H$27,MATCH($C493,'Materials Master'!$A$2:$A$27,0)),IF($B493="Cardboard Recycling",INDEX('Materials Master'!$I$2:$I$27,MATCH($C493,'Materials Master'!$A$2:$A$27,0)),IF($B493="Paper Recycling",INDEX('Materials Master'!$J$2:$J$27,MATCH($C493,'Materials Master'!$A$2:$A$27,0)),IF($B493="Terracycle",INDEX('Materials Master'!$K$2:$K$27,MATCH($C493,'Materials Master'!$A$2:$A$27,0)),"No"))))))="Yes",INDEX('Materials Master'!$E$2:$E$27,MATCH($C493,'Materials Master'!$A$2:$A$27,0))="Yes",$B493&lt;&gt;"Trash"),1,0)</f>
        <v>0</v>
      </c>
      <c r="H493" s="0" t="str">
        <f aca="false">INDEX('Materials Master'!$E$2:$E$27,MATCH($C493,'Materials Master'!$A$2:$A$27,0))</f>
        <v>No</v>
      </c>
      <c r="I493" s="0" t="str">
        <f aca="false">IFERROR(INDEX(Areas!$C$2:$C$6,MATCH($A493,Areas!$B$2:$B$6,0)),"")</f>
        <v>Rest of Building</v>
      </c>
      <c r="J493" s="0" t="n">
        <f aca="false">IF(IF($B493="Trash",INDEX('Materials Master'!$F$2:$F$27,MATCH($C493,'Materials Master'!$A$2:$A$27,0)),IF($B493="GMPC Recycling",INDEX('Materials Master'!$G$2:$G$27,MATCH($C493,'Materials Master'!$A$2:$A$27,0)),IF($B493="Organics Recycling",INDEX('Materials Master'!$H$2:$H$27,MATCH($C493,'Materials Master'!$A$2:$A$27,0)),IF($B493="Cardboard Recycling",INDEX('Materials Master'!$I$2:$I$27,MATCH($C493,'Materials Master'!$A$2:$A$27,0)),IF($B493="Paper Recycling",INDEX('Materials Master'!$J$2:$J$27,MATCH($C493,'Materials Master'!$A$2:$A$27,0)),IF($B493="Terracycle",INDEX('Materials Master'!$K$2:$K$27,MATCH($C493,'Materials Master'!$A$2:$A$27,0)),"No"))))))="Yes",1,0)</f>
        <v>1</v>
      </c>
    </row>
    <row r="494" customFormat="false" ht="15" hidden="false" customHeight="false" outlineLevel="0" collapsed="false">
      <c r="A494" s="0" t="s">
        <v>100</v>
      </c>
      <c r="B494" s="0" t="s">
        <v>103</v>
      </c>
      <c r="C494" s="0" t="s">
        <v>84</v>
      </c>
      <c r="D494" s="0" t="str">
        <f aca="false">IFERROR(INDEX('Materials Master'!$B$2:$B$27,MATCH($C494,'Materials Master'!$A$2:$A$27,0)),"")</f>
        <v>Snack Wrappers (Composites)</v>
      </c>
      <c r="E494" s="0" t="str">
        <f aca="false">IFERROR(INDEX('Materials Master'!$C$2:$C$27,MATCH($C494,'Materials Master'!$A$2:$A$27,0)),"")</f>
        <v>Other</v>
      </c>
      <c r="F494" s="0" t="n">
        <f aca="false">IF(SUMIFS(Fact_SortedWeights!$E$2:$E$89,Fact_SortedWeights!$C$2:$C$89,$A494,Fact_SortedWeights!$B$2:$B$89,$B494)=0,0,SUMIFS(Fact_SortedWeights!$E$2:$E$89,Fact_SortedWeights!$C$2:$C$89,$A494,Fact_SortedWeights!$B$2:$B$89,$B494,Fact_SortedWeights!$D$2:$D$89,$C494)/SUMIFS(Fact_SortedWeights!$E$2:$E$89,Fact_SortedWeights!$C$2:$C$89,$A494,Fact_SortedWeights!$B$2:$B$89,$B494)*(IF($B494="Cardboard Recycling",SUMIFS(Fact_SortedWeights!$E$2:$E$89,Fact_SortedWeights!$C$2:$C$89,$A494,Fact_SortedWeights!$B$2:$B$89,$B494),SUMIFS(Fact_PreSortWeights!$E$2:$E$186,Fact_PreSortWeights!$C$2:$C$186,$A494,Fact_PreSortWeights!$B$2:$B$186,$B494))))</f>
        <v>0</v>
      </c>
      <c r="G494" s="0" t="n">
        <f aca="false">IF(AND(IF($B494="Trash",INDEX('Materials Master'!$F$2:$F$27,MATCH($C494,'Materials Master'!$A$2:$A$27,0)),IF($B494="GMPC Recycling",INDEX('Materials Master'!$G$2:$G$27,MATCH($C494,'Materials Master'!$A$2:$A$27,0)),IF($B494="Organics Recycling",INDEX('Materials Master'!$H$2:$H$27,MATCH($C494,'Materials Master'!$A$2:$A$27,0)),IF($B494="Cardboard Recycling",INDEX('Materials Master'!$I$2:$I$27,MATCH($C494,'Materials Master'!$A$2:$A$27,0)),IF($B494="Paper Recycling",INDEX('Materials Master'!$J$2:$J$27,MATCH($C494,'Materials Master'!$A$2:$A$27,0)),IF($B494="Terracycle",INDEX('Materials Master'!$K$2:$K$27,MATCH($C494,'Materials Master'!$A$2:$A$27,0)),"No"))))))="Yes",INDEX('Materials Master'!$E$2:$E$27,MATCH($C494,'Materials Master'!$A$2:$A$27,0))="Yes",$B494&lt;&gt;"Trash"),1,0)</f>
        <v>0</v>
      </c>
      <c r="H494" s="0" t="str">
        <f aca="false">INDEX('Materials Master'!$E$2:$E$27,MATCH($C494,'Materials Master'!$A$2:$A$27,0))</f>
        <v>Yes</v>
      </c>
      <c r="I494" s="0" t="str">
        <f aca="false">IFERROR(INDEX(Areas!$C$2:$C$6,MATCH($A494,Areas!$B$2:$B$6,0)),"")</f>
        <v>Rest of Building</v>
      </c>
      <c r="J494" s="0" t="n">
        <f aca="false">IF(IF($B494="Trash",INDEX('Materials Master'!$F$2:$F$27,MATCH($C494,'Materials Master'!$A$2:$A$27,0)),IF($B494="GMPC Recycling",INDEX('Materials Master'!$G$2:$G$27,MATCH($C494,'Materials Master'!$A$2:$A$27,0)),IF($B494="Organics Recycling",INDEX('Materials Master'!$H$2:$H$27,MATCH($C494,'Materials Master'!$A$2:$A$27,0)),IF($B494="Cardboard Recycling",INDEX('Materials Master'!$I$2:$I$27,MATCH($C494,'Materials Master'!$A$2:$A$27,0)),IF($B494="Paper Recycling",INDEX('Materials Master'!$J$2:$J$27,MATCH($C494,'Materials Master'!$A$2:$A$27,0)),IF($B494="Terracycle",INDEX('Materials Master'!$K$2:$K$27,MATCH($C494,'Materials Master'!$A$2:$A$27,0)),"No"))))))="Yes",1,0)</f>
        <v>0</v>
      </c>
    </row>
    <row r="495" customFormat="false" ht="15" hidden="false" customHeight="false" outlineLevel="0" collapsed="false">
      <c r="A495" s="0" t="s">
        <v>100</v>
      </c>
      <c r="B495" s="0" t="s">
        <v>103</v>
      </c>
      <c r="C495" s="0" t="s">
        <v>87</v>
      </c>
      <c r="D495" s="0" t="str">
        <f aca="false">IFERROR(INDEX('Materials Master'!$B$2:$B$27,MATCH($C495,'Materials Master'!$A$2:$A$27,0)),"")</f>
        <v>Other/Residual Materials</v>
      </c>
      <c r="E495" s="0" t="str">
        <f aca="false">IFERROR(INDEX('Materials Master'!$C$2:$C$27,MATCH($C495,'Materials Master'!$A$2:$A$27,0)),"")</f>
        <v>Other</v>
      </c>
      <c r="F495" s="0" t="n">
        <f aca="false">IF(SUMIFS(Fact_SortedWeights!$E$2:$E$89,Fact_SortedWeights!$C$2:$C$89,$A495,Fact_SortedWeights!$B$2:$B$89,$B495)=0,0,SUMIFS(Fact_SortedWeights!$E$2:$E$89,Fact_SortedWeights!$C$2:$C$89,$A495,Fact_SortedWeights!$B$2:$B$89,$B495,Fact_SortedWeights!$D$2:$D$89,$C495)/SUMIFS(Fact_SortedWeights!$E$2:$E$89,Fact_SortedWeights!$C$2:$C$89,$A495,Fact_SortedWeights!$B$2:$B$89,$B495)*(IF($B495="Cardboard Recycling",SUMIFS(Fact_SortedWeights!$E$2:$E$89,Fact_SortedWeights!$C$2:$C$89,$A495,Fact_SortedWeights!$B$2:$B$89,$B495),SUMIFS(Fact_PreSortWeights!$E$2:$E$186,Fact_PreSortWeights!$C$2:$C$186,$A495,Fact_PreSortWeights!$B$2:$B$186,$B495))))</f>
        <v>0</v>
      </c>
      <c r="G495" s="0" t="n">
        <f aca="false">IF(AND(IF($B495="Trash",INDEX('Materials Master'!$F$2:$F$27,MATCH($C495,'Materials Master'!$A$2:$A$27,0)),IF($B495="GMPC Recycling",INDEX('Materials Master'!$G$2:$G$27,MATCH($C495,'Materials Master'!$A$2:$A$27,0)),IF($B495="Organics Recycling",INDEX('Materials Master'!$H$2:$H$27,MATCH($C495,'Materials Master'!$A$2:$A$27,0)),IF($B495="Cardboard Recycling",INDEX('Materials Master'!$I$2:$I$27,MATCH($C495,'Materials Master'!$A$2:$A$27,0)),IF($B495="Paper Recycling",INDEX('Materials Master'!$J$2:$J$27,MATCH($C495,'Materials Master'!$A$2:$A$27,0)),IF($B495="Terracycle",INDEX('Materials Master'!$K$2:$K$27,MATCH($C495,'Materials Master'!$A$2:$A$27,0)),"No"))))))="Yes",INDEX('Materials Master'!$E$2:$E$27,MATCH($C495,'Materials Master'!$A$2:$A$27,0))="Yes",$B495&lt;&gt;"Trash"),1,0)</f>
        <v>0</v>
      </c>
      <c r="H495" s="0" t="str">
        <f aca="false">INDEX('Materials Master'!$E$2:$E$27,MATCH($C495,'Materials Master'!$A$2:$A$27,0))</f>
        <v>No</v>
      </c>
      <c r="I495" s="0" t="str">
        <f aca="false">IFERROR(INDEX(Areas!$C$2:$C$6,MATCH($A495,Areas!$B$2:$B$6,0)),"")</f>
        <v>Rest of Building</v>
      </c>
      <c r="J495" s="0" t="n">
        <f aca="false">IF(IF($B495="Trash",INDEX('Materials Master'!$F$2:$F$27,MATCH($C495,'Materials Master'!$A$2:$A$27,0)),IF($B495="GMPC Recycling",INDEX('Materials Master'!$G$2:$G$27,MATCH($C495,'Materials Master'!$A$2:$A$27,0)),IF($B495="Organics Recycling",INDEX('Materials Master'!$H$2:$H$27,MATCH($C495,'Materials Master'!$A$2:$A$27,0)),IF($B495="Cardboard Recycling",INDEX('Materials Master'!$I$2:$I$27,MATCH($C495,'Materials Master'!$A$2:$A$27,0)),IF($B495="Paper Recycling",INDEX('Materials Master'!$J$2:$J$27,MATCH($C495,'Materials Master'!$A$2:$A$27,0)),IF($B495="Terracycle",INDEX('Materials Master'!$K$2:$K$27,MATCH($C495,'Materials Master'!$A$2:$A$27,0)),"No"))))))="Yes",1,0)</f>
        <v>1</v>
      </c>
    </row>
    <row r="496" customFormat="false" ht="15" hidden="false" customHeight="false" outlineLevel="0" collapsed="false">
      <c r="A496" s="0" t="s">
        <v>100</v>
      </c>
      <c r="B496" s="0" t="s">
        <v>104</v>
      </c>
      <c r="C496" s="0" t="s">
        <v>28</v>
      </c>
      <c r="D496" s="0" t="str">
        <f aca="false">IFERROR(INDEX('Materials Master'!$B$2:$B$27,MATCH($C496,'Materials Master'!$A$2:$A$27,0)),"")</f>
        <v>Corrugated Cardboard</v>
      </c>
      <c r="E496" s="0" t="str">
        <f aca="false">IFERROR(INDEX('Materials Master'!$C$2:$C$27,MATCH($C496,'Materials Master'!$A$2:$A$27,0)),"")</f>
        <v>Fibers</v>
      </c>
      <c r="F496" s="0" t="n">
        <f aca="false">IF(SUMIFS(Fact_SortedWeights!$E$2:$E$89,Fact_SortedWeights!$C$2:$C$89,$A496,Fact_SortedWeights!$B$2:$B$89,$B496)=0,0,SUMIFS(Fact_SortedWeights!$E$2:$E$89,Fact_SortedWeights!$C$2:$C$89,$A496,Fact_SortedWeights!$B$2:$B$89,$B496,Fact_SortedWeights!$D$2:$D$89,$C496)/SUMIFS(Fact_SortedWeights!$E$2:$E$89,Fact_SortedWeights!$C$2:$C$89,$A496,Fact_SortedWeights!$B$2:$B$89,$B496)*(IF($B496="Cardboard Recycling",SUMIFS(Fact_SortedWeights!$E$2:$E$89,Fact_SortedWeights!$C$2:$C$89,$A496,Fact_SortedWeights!$B$2:$B$89,$B496),SUMIFS(Fact_PreSortWeights!$E$2:$E$186,Fact_PreSortWeights!$C$2:$C$186,$A496,Fact_PreSortWeights!$B$2:$B$186,$B496))))</f>
        <v>0</v>
      </c>
      <c r="G496" s="0" t="n">
        <f aca="false">IF(AND(IF($B496="Trash",INDEX('Materials Master'!$F$2:$F$27,MATCH($C496,'Materials Master'!$A$2:$A$27,0)),IF($B496="GMPC Recycling",INDEX('Materials Master'!$G$2:$G$27,MATCH($C496,'Materials Master'!$A$2:$A$27,0)),IF($B496="Organics Recycling",INDEX('Materials Master'!$H$2:$H$27,MATCH($C496,'Materials Master'!$A$2:$A$27,0)),IF($B496="Cardboard Recycling",INDEX('Materials Master'!$I$2:$I$27,MATCH($C496,'Materials Master'!$A$2:$A$27,0)),IF($B496="Paper Recycling",INDEX('Materials Master'!$J$2:$J$27,MATCH($C496,'Materials Master'!$A$2:$A$27,0)),IF($B496="Terracycle",INDEX('Materials Master'!$K$2:$K$27,MATCH($C496,'Materials Master'!$A$2:$A$27,0)),"No"))))))="Yes",INDEX('Materials Master'!$E$2:$E$27,MATCH($C496,'Materials Master'!$A$2:$A$27,0))="Yes",$B496&lt;&gt;"Trash"),1,0)</f>
        <v>1</v>
      </c>
      <c r="H496" s="0" t="str">
        <f aca="false">INDEX('Materials Master'!$E$2:$E$27,MATCH($C496,'Materials Master'!$A$2:$A$27,0))</f>
        <v>Yes</v>
      </c>
      <c r="I496" s="0" t="str">
        <f aca="false">IFERROR(INDEX(Areas!$C$2:$C$6,MATCH($A496,Areas!$B$2:$B$6,0)),"")</f>
        <v>Rest of Building</v>
      </c>
      <c r="J496" s="0" t="n">
        <f aca="false">IF(IF($B496="Trash",INDEX('Materials Master'!$F$2:$F$27,MATCH($C496,'Materials Master'!$A$2:$A$27,0)),IF($B496="GMPC Recycling",INDEX('Materials Master'!$G$2:$G$27,MATCH($C496,'Materials Master'!$A$2:$A$27,0)),IF($B496="Organics Recycling",INDEX('Materials Master'!$H$2:$H$27,MATCH($C496,'Materials Master'!$A$2:$A$27,0)),IF($B496="Cardboard Recycling",INDEX('Materials Master'!$I$2:$I$27,MATCH($C496,'Materials Master'!$A$2:$A$27,0)),IF($B496="Paper Recycling",INDEX('Materials Master'!$J$2:$J$27,MATCH($C496,'Materials Master'!$A$2:$A$27,0)),IF($B496="Terracycle",INDEX('Materials Master'!$K$2:$K$27,MATCH($C496,'Materials Master'!$A$2:$A$27,0)),"No"))))))="Yes",1,0)</f>
        <v>1</v>
      </c>
    </row>
    <row r="497" customFormat="false" ht="15" hidden="false" customHeight="false" outlineLevel="0" collapsed="false">
      <c r="A497" s="0" t="s">
        <v>100</v>
      </c>
      <c r="B497" s="0" t="s">
        <v>104</v>
      </c>
      <c r="C497" s="0" t="s">
        <v>33</v>
      </c>
      <c r="D497" s="0" t="str">
        <f aca="false">IFERROR(INDEX('Materials Master'!$B$2:$B$27,MATCH($C497,'Materials Master'!$A$2:$A$27,0)),"")</f>
        <v>Soiled Cardboard</v>
      </c>
      <c r="E497" s="0" t="str">
        <f aca="false">IFERROR(INDEX('Materials Master'!$C$2:$C$27,MATCH($C497,'Materials Master'!$A$2:$A$27,0)),"")</f>
        <v>Fibers</v>
      </c>
      <c r="F497" s="0" t="n">
        <f aca="false">IF(SUMIFS(Fact_SortedWeights!$E$2:$E$89,Fact_SortedWeights!$C$2:$C$89,$A497,Fact_SortedWeights!$B$2:$B$89,$B497)=0,0,SUMIFS(Fact_SortedWeights!$E$2:$E$89,Fact_SortedWeights!$C$2:$C$89,$A497,Fact_SortedWeights!$B$2:$B$89,$B497,Fact_SortedWeights!$D$2:$D$89,$C497)/SUMIFS(Fact_SortedWeights!$E$2:$E$89,Fact_SortedWeights!$C$2:$C$89,$A497,Fact_SortedWeights!$B$2:$B$89,$B497)*(IF($B497="Cardboard Recycling",SUMIFS(Fact_SortedWeights!$E$2:$E$89,Fact_SortedWeights!$C$2:$C$89,$A497,Fact_SortedWeights!$B$2:$B$89,$B497),SUMIFS(Fact_PreSortWeights!$E$2:$E$186,Fact_PreSortWeights!$C$2:$C$186,$A497,Fact_PreSortWeights!$B$2:$B$186,$B497))))</f>
        <v>0</v>
      </c>
      <c r="G497" s="0" t="n">
        <f aca="false">IF(AND(IF($B497="Trash",INDEX('Materials Master'!$F$2:$F$27,MATCH($C497,'Materials Master'!$A$2:$A$27,0)),IF($B497="GMPC Recycling",INDEX('Materials Master'!$G$2:$G$27,MATCH($C497,'Materials Master'!$A$2:$A$27,0)),IF($B497="Organics Recycling",INDEX('Materials Master'!$H$2:$H$27,MATCH($C497,'Materials Master'!$A$2:$A$27,0)),IF($B497="Cardboard Recycling",INDEX('Materials Master'!$I$2:$I$27,MATCH($C497,'Materials Master'!$A$2:$A$27,0)),IF($B497="Paper Recycling",INDEX('Materials Master'!$J$2:$J$27,MATCH($C497,'Materials Master'!$A$2:$A$27,0)),IF($B497="Terracycle",INDEX('Materials Master'!$K$2:$K$27,MATCH($C497,'Materials Master'!$A$2:$A$27,0)),"No"))))))="Yes",INDEX('Materials Master'!$E$2:$E$27,MATCH($C497,'Materials Master'!$A$2:$A$27,0))="Yes",$B497&lt;&gt;"Trash"),1,0)</f>
        <v>0</v>
      </c>
      <c r="H497" s="0" t="str">
        <f aca="false">INDEX('Materials Master'!$E$2:$E$27,MATCH($C497,'Materials Master'!$A$2:$A$27,0))</f>
        <v>No</v>
      </c>
      <c r="I497" s="0" t="str">
        <f aca="false">IFERROR(INDEX(Areas!$C$2:$C$6,MATCH($A497,Areas!$B$2:$B$6,0)),"")</f>
        <v>Rest of Building</v>
      </c>
      <c r="J497" s="0" t="n">
        <f aca="false">IF(IF($B497="Trash",INDEX('Materials Master'!$F$2:$F$27,MATCH($C497,'Materials Master'!$A$2:$A$27,0)),IF($B497="GMPC Recycling",INDEX('Materials Master'!$G$2:$G$27,MATCH($C497,'Materials Master'!$A$2:$A$27,0)),IF($B497="Organics Recycling",INDEX('Materials Master'!$H$2:$H$27,MATCH($C497,'Materials Master'!$A$2:$A$27,0)),IF($B497="Cardboard Recycling",INDEX('Materials Master'!$I$2:$I$27,MATCH($C497,'Materials Master'!$A$2:$A$27,0)),IF($B497="Paper Recycling",INDEX('Materials Master'!$J$2:$J$27,MATCH($C497,'Materials Master'!$A$2:$A$27,0)),IF($B497="Terracycle",INDEX('Materials Master'!$K$2:$K$27,MATCH($C497,'Materials Master'!$A$2:$A$27,0)),"No"))))))="Yes",1,0)</f>
        <v>0</v>
      </c>
    </row>
    <row r="498" customFormat="false" ht="15" hidden="false" customHeight="false" outlineLevel="0" collapsed="false">
      <c r="A498" s="0" t="s">
        <v>100</v>
      </c>
      <c r="B498" s="0" t="s">
        <v>104</v>
      </c>
      <c r="C498" s="0" t="s">
        <v>35</v>
      </c>
      <c r="D498" s="0" t="str">
        <f aca="false">IFERROR(INDEX('Materials Master'!$B$2:$B$27,MATCH($C498,'Materials Master'!$A$2:$A$27,0)),"")</f>
        <v>Waxed Cardboard</v>
      </c>
      <c r="E498" s="0" t="str">
        <f aca="false">IFERROR(INDEX('Materials Master'!$C$2:$C$27,MATCH($C498,'Materials Master'!$A$2:$A$27,0)),"")</f>
        <v>Fibers</v>
      </c>
      <c r="F498" s="0" t="n">
        <f aca="false">IF(SUMIFS(Fact_SortedWeights!$E$2:$E$89,Fact_SortedWeights!$C$2:$C$89,$A498,Fact_SortedWeights!$B$2:$B$89,$B498)=0,0,SUMIFS(Fact_SortedWeights!$E$2:$E$89,Fact_SortedWeights!$C$2:$C$89,$A498,Fact_SortedWeights!$B$2:$B$89,$B498,Fact_SortedWeights!$D$2:$D$89,$C498)/SUMIFS(Fact_SortedWeights!$E$2:$E$89,Fact_SortedWeights!$C$2:$C$89,$A498,Fact_SortedWeights!$B$2:$B$89,$B498)*(IF($B498="Cardboard Recycling",SUMIFS(Fact_SortedWeights!$E$2:$E$89,Fact_SortedWeights!$C$2:$C$89,$A498,Fact_SortedWeights!$B$2:$B$89,$B498),SUMIFS(Fact_PreSortWeights!$E$2:$E$186,Fact_PreSortWeights!$C$2:$C$186,$A498,Fact_PreSortWeights!$B$2:$B$186,$B498))))</f>
        <v>0</v>
      </c>
      <c r="G498" s="0" t="n">
        <f aca="false">IF(AND(IF($B498="Trash",INDEX('Materials Master'!$F$2:$F$27,MATCH($C498,'Materials Master'!$A$2:$A$27,0)),IF($B498="GMPC Recycling",INDEX('Materials Master'!$G$2:$G$27,MATCH($C498,'Materials Master'!$A$2:$A$27,0)),IF($B498="Organics Recycling",INDEX('Materials Master'!$H$2:$H$27,MATCH($C498,'Materials Master'!$A$2:$A$27,0)),IF($B498="Cardboard Recycling",INDEX('Materials Master'!$I$2:$I$27,MATCH($C498,'Materials Master'!$A$2:$A$27,0)),IF($B498="Paper Recycling",INDEX('Materials Master'!$J$2:$J$27,MATCH($C498,'Materials Master'!$A$2:$A$27,0)),IF($B498="Terracycle",INDEX('Materials Master'!$K$2:$K$27,MATCH($C498,'Materials Master'!$A$2:$A$27,0)),"No"))))))="Yes",INDEX('Materials Master'!$E$2:$E$27,MATCH($C498,'Materials Master'!$A$2:$A$27,0))="Yes",$B498&lt;&gt;"Trash"),1,0)</f>
        <v>0</v>
      </c>
      <c r="H498" s="0" t="str">
        <f aca="false">INDEX('Materials Master'!$E$2:$E$27,MATCH($C498,'Materials Master'!$A$2:$A$27,0))</f>
        <v>No</v>
      </c>
      <c r="I498" s="0" t="str">
        <f aca="false">IFERROR(INDEX(Areas!$C$2:$C$6,MATCH($A498,Areas!$B$2:$B$6,0)),"")</f>
        <v>Rest of Building</v>
      </c>
      <c r="J498" s="0" t="n">
        <f aca="false">IF(IF($B498="Trash",INDEX('Materials Master'!$F$2:$F$27,MATCH($C498,'Materials Master'!$A$2:$A$27,0)),IF($B498="GMPC Recycling",INDEX('Materials Master'!$G$2:$G$27,MATCH($C498,'Materials Master'!$A$2:$A$27,0)),IF($B498="Organics Recycling",INDEX('Materials Master'!$H$2:$H$27,MATCH($C498,'Materials Master'!$A$2:$A$27,0)),IF($B498="Cardboard Recycling",INDEX('Materials Master'!$I$2:$I$27,MATCH($C498,'Materials Master'!$A$2:$A$27,0)),IF($B498="Paper Recycling",INDEX('Materials Master'!$J$2:$J$27,MATCH($C498,'Materials Master'!$A$2:$A$27,0)),IF($B498="Terracycle",INDEX('Materials Master'!$K$2:$K$27,MATCH($C498,'Materials Master'!$A$2:$A$27,0)),"No"))))))="Yes",1,0)</f>
        <v>0</v>
      </c>
    </row>
    <row r="499" customFormat="false" ht="15" hidden="false" customHeight="false" outlineLevel="0" collapsed="false">
      <c r="A499" s="0" t="s">
        <v>100</v>
      </c>
      <c r="B499" s="0" t="s">
        <v>104</v>
      </c>
      <c r="C499" s="0" t="s">
        <v>37</v>
      </c>
      <c r="D499" s="0" t="str">
        <f aca="false">IFERROR(INDEX('Materials Master'!$B$2:$B$27,MATCH($C499,'Materials Master'!$A$2:$A$27,0)),"")</f>
        <v>Mixed Paper</v>
      </c>
      <c r="E499" s="0" t="str">
        <f aca="false">IFERROR(INDEX('Materials Master'!$C$2:$C$27,MATCH($C499,'Materials Master'!$A$2:$A$27,0)),"")</f>
        <v>Fibers</v>
      </c>
      <c r="F499" s="0" t="n">
        <f aca="false">IF(SUMIFS(Fact_SortedWeights!$E$2:$E$89,Fact_SortedWeights!$C$2:$C$89,$A499,Fact_SortedWeights!$B$2:$B$89,$B499)=0,0,SUMIFS(Fact_SortedWeights!$E$2:$E$89,Fact_SortedWeights!$C$2:$C$89,$A499,Fact_SortedWeights!$B$2:$B$89,$B499,Fact_SortedWeights!$D$2:$D$89,$C499)/SUMIFS(Fact_SortedWeights!$E$2:$E$89,Fact_SortedWeights!$C$2:$C$89,$A499,Fact_SortedWeights!$B$2:$B$89,$B499)*(IF($B499="Cardboard Recycling",SUMIFS(Fact_SortedWeights!$E$2:$E$89,Fact_SortedWeights!$C$2:$C$89,$A499,Fact_SortedWeights!$B$2:$B$89,$B499),SUMIFS(Fact_PreSortWeights!$E$2:$E$186,Fact_PreSortWeights!$C$2:$C$186,$A499,Fact_PreSortWeights!$B$2:$B$186,$B499))))</f>
        <v>0</v>
      </c>
      <c r="G499" s="0" t="n">
        <f aca="false">IF(AND(IF($B499="Trash",INDEX('Materials Master'!$F$2:$F$27,MATCH($C499,'Materials Master'!$A$2:$A$27,0)),IF($B499="GMPC Recycling",INDEX('Materials Master'!$G$2:$G$27,MATCH($C499,'Materials Master'!$A$2:$A$27,0)),IF($B499="Organics Recycling",INDEX('Materials Master'!$H$2:$H$27,MATCH($C499,'Materials Master'!$A$2:$A$27,0)),IF($B499="Cardboard Recycling",INDEX('Materials Master'!$I$2:$I$27,MATCH($C499,'Materials Master'!$A$2:$A$27,0)),IF($B499="Paper Recycling",INDEX('Materials Master'!$J$2:$J$27,MATCH($C499,'Materials Master'!$A$2:$A$27,0)),IF($B499="Terracycle",INDEX('Materials Master'!$K$2:$K$27,MATCH($C499,'Materials Master'!$A$2:$A$27,0)),"No"))))))="Yes",INDEX('Materials Master'!$E$2:$E$27,MATCH($C499,'Materials Master'!$A$2:$A$27,0))="Yes",$B499&lt;&gt;"Trash"),1,0)</f>
        <v>1</v>
      </c>
      <c r="H499" s="0" t="str">
        <f aca="false">INDEX('Materials Master'!$E$2:$E$27,MATCH($C499,'Materials Master'!$A$2:$A$27,0))</f>
        <v>Yes</v>
      </c>
      <c r="I499" s="0" t="str">
        <f aca="false">IFERROR(INDEX(Areas!$C$2:$C$6,MATCH($A499,Areas!$B$2:$B$6,0)),"")</f>
        <v>Rest of Building</v>
      </c>
      <c r="J499" s="0" t="n">
        <f aca="false">IF(IF($B499="Trash",INDEX('Materials Master'!$F$2:$F$27,MATCH($C499,'Materials Master'!$A$2:$A$27,0)),IF($B499="GMPC Recycling",INDEX('Materials Master'!$G$2:$G$27,MATCH($C499,'Materials Master'!$A$2:$A$27,0)),IF($B499="Organics Recycling",INDEX('Materials Master'!$H$2:$H$27,MATCH($C499,'Materials Master'!$A$2:$A$27,0)),IF($B499="Cardboard Recycling",INDEX('Materials Master'!$I$2:$I$27,MATCH($C499,'Materials Master'!$A$2:$A$27,0)),IF($B499="Paper Recycling",INDEX('Materials Master'!$J$2:$J$27,MATCH($C499,'Materials Master'!$A$2:$A$27,0)),IF($B499="Terracycle",INDEX('Materials Master'!$K$2:$K$27,MATCH($C499,'Materials Master'!$A$2:$A$27,0)),"No"))))))="Yes",1,0)</f>
        <v>1</v>
      </c>
    </row>
    <row r="500" customFormat="false" ht="15" hidden="false" customHeight="false" outlineLevel="0" collapsed="false">
      <c r="A500" s="0" t="s">
        <v>100</v>
      </c>
      <c r="B500" s="0" t="s">
        <v>104</v>
      </c>
      <c r="C500" s="0" t="s">
        <v>39</v>
      </c>
      <c r="D500" s="0" t="str">
        <f aca="false">IFERROR(INDEX('Materials Master'!$B$2:$B$27,MATCH($C500,'Materials Master'!$A$2:$A$27,0)),"")</f>
        <v>Soiled Paper</v>
      </c>
      <c r="E500" s="0" t="str">
        <f aca="false">IFERROR(INDEX('Materials Master'!$C$2:$C$27,MATCH($C500,'Materials Master'!$A$2:$A$27,0)),"")</f>
        <v>Fibers</v>
      </c>
      <c r="F500" s="0" t="n">
        <f aca="false">IF(SUMIFS(Fact_SortedWeights!$E$2:$E$89,Fact_SortedWeights!$C$2:$C$89,$A500,Fact_SortedWeights!$B$2:$B$89,$B500)=0,0,SUMIFS(Fact_SortedWeights!$E$2:$E$89,Fact_SortedWeights!$C$2:$C$89,$A500,Fact_SortedWeights!$B$2:$B$89,$B500,Fact_SortedWeights!$D$2:$D$89,$C500)/SUMIFS(Fact_SortedWeights!$E$2:$E$89,Fact_SortedWeights!$C$2:$C$89,$A500,Fact_SortedWeights!$B$2:$B$89,$B500)*(IF($B500="Cardboard Recycling",SUMIFS(Fact_SortedWeights!$E$2:$E$89,Fact_SortedWeights!$C$2:$C$89,$A500,Fact_SortedWeights!$B$2:$B$89,$B500),SUMIFS(Fact_PreSortWeights!$E$2:$E$186,Fact_PreSortWeights!$C$2:$C$186,$A500,Fact_PreSortWeights!$B$2:$B$186,$B500))))</f>
        <v>0</v>
      </c>
      <c r="G500" s="0" t="n">
        <f aca="false">IF(AND(IF($B500="Trash",INDEX('Materials Master'!$F$2:$F$27,MATCH($C500,'Materials Master'!$A$2:$A$27,0)),IF($B500="GMPC Recycling",INDEX('Materials Master'!$G$2:$G$27,MATCH($C500,'Materials Master'!$A$2:$A$27,0)),IF($B500="Organics Recycling",INDEX('Materials Master'!$H$2:$H$27,MATCH($C500,'Materials Master'!$A$2:$A$27,0)),IF($B500="Cardboard Recycling",INDEX('Materials Master'!$I$2:$I$27,MATCH($C500,'Materials Master'!$A$2:$A$27,0)),IF($B500="Paper Recycling",INDEX('Materials Master'!$J$2:$J$27,MATCH($C500,'Materials Master'!$A$2:$A$27,0)),IF($B500="Terracycle",INDEX('Materials Master'!$K$2:$K$27,MATCH($C500,'Materials Master'!$A$2:$A$27,0)),"No"))))))="Yes",INDEX('Materials Master'!$E$2:$E$27,MATCH($C500,'Materials Master'!$A$2:$A$27,0))="Yes",$B500&lt;&gt;"Trash"),1,0)</f>
        <v>0</v>
      </c>
      <c r="H500" s="0" t="str">
        <f aca="false">INDEX('Materials Master'!$E$2:$E$27,MATCH($C500,'Materials Master'!$A$2:$A$27,0))</f>
        <v>No</v>
      </c>
      <c r="I500" s="0" t="str">
        <f aca="false">IFERROR(INDEX(Areas!$C$2:$C$6,MATCH($A500,Areas!$B$2:$B$6,0)),"")</f>
        <v>Rest of Building</v>
      </c>
      <c r="J500" s="0" t="n">
        <f aca="false">IF(IF($B500="Trash",INDEX('Materials Master'!$F$2:$F$27,MATCH($C500,'Materials Master'!$A$2:$A$27,0)),IF($B500="GMPC Recycling",INDEX('Materials Master'!$G$2:$G$27,MATCH($C500,'Materials Master'!$A$2:$A$27,0)),IF($B500="Organics Recycling",INDEX('Materials Master'!$H$2:$H$27,MATCH($C500,'Materials Master'!$A$2:$A$27,0)),IF($B500="Cardboard Recycling",INDEX('Materials Master'!$I$2:$I$27,MATCH($C500,'Materials Master'!$A$2:$A$27,0)),IF($B500="Paper Recycling",INDEX('Materials Master'!$J$2:$J$27,MATCH($C500,'Materials Master'!$A$2:$A$27,0)),IF($B500="Terracycle",INDEX('Materials Master'!$K$2:$K$27,MATCH($C500,'Materials Master'!$A$2:$A$27,0)),"No"))))))="Yes",1,0)</f>
        <v>0</v>
      </c>
    </row>
    <row r="501" customFormat="false" ht="15" hidden="false" customHeight="false" outlineLevel="0" collapsed="false">
      <c r="A501" s="0" t="s">
        <v>100</v>
      </c>
      <c r="B501" s="0" t="s">
        <v>104</v>
      </c>
      <c r="C501" s="0" t="s">
        <v>41</v>
      </c>
      <c r="D501" s="0" t="str">
        <f aca="false">IFERROR(INDEX('Materials Master'!$B$2:$B$27,MATCH($C501,'Materials Master'!$A$2:$A$27,0)),"")</f>
        <v>Beverage Cartons</v>
      </c>
      <c r="E501" s="0" t="str">
        <f aca="false">IFERROR(INDEX('Materials Master'!$C$2:$C$27,MATCH($C501,'Materials Master'!$A$2:$A$27,0)),"")</f>
        <v>Fibers</v>
      </c>
      <c r="F501" s="0" t="n">
        <f aca="false">IF(SUMIFS(Fact_SortedWeights!$E$2:$E$89,Fact_SortedWeights!$C$2:$C$89,$A501,Fact_SortedWeights!$B$2:$B$89,$B501)=0,0,SUMIFS(Fact_SortedWeights!$E$2:$E$89,Fact_SortedWeights!$C$2:$C$89,$A501,Fact_SortedWeights!$B$2:$B$89,$B501,Fact_SortedWeights!$D$2:$D$89,$C501)/SUMIFS(Fact_SortedWeights!$E$2:$E$89,Fact_SortedWeights!$C$2:$C$89,$A501,Fact_SortedWeights!$B$2:$B$89,$B501)*(IF($B501="Cardboard Recycling",SUMIFS(Fact_SortedWeights!$E$2:$E$89,Fact_SortedWeights!$C$2:$C$89,$A501,Fact_SortedWeights!$B$2:$B$89,$B501),SUMIFS(Fact_PreSortWeights!$E$2:$E$186,Fact_PreSortWeights!$C$2:$C$186,$A501,Fact_PreSortWeights!$B$2:$B$186,$B501))))</f>
        <v>0</v>
      </c>
      <c r="G501" s="0" t="n">
        <f aca="false">IF(AND(IF($B501="Trash",INDEX('Materials Master'!$F$2:$F$27,MATCH($C501,'Materials Master'!$A$2:$A$27,0)),IF($B501="GMPC Recycling",INDEX('Materials Master'!$G$2:$G$27,MATCH($C501,'Materials Master'!$A$2:$A$27,0)),IF($B501="Organics Recycling",INDEX('Materials Master'!$H$2:$H$27,MATCH($C501,'Materials Master'!$A$2:$A$27,0)),IF($B501="Cardboard Recycling",INDEX('Materials Master'!$I$2:$I$27,MATCH($C501,'Materials Master'!$A$2:$A$27,0)),IF($B501="Paper Recycling",INDEX('Materials Master'!$J$2:$J$27,MATCH($C501,'Materials Master'!$A$2:$A$27,0)),IF($B501="Terracycle",INDEX('Materials Master'!$K$2:$K$27,MATCH($C501,'Materials Master'!$A$2:$A$27,0)),"No"))))))="Yes",INDEX('Materials Master'!$E$2:$E$27,MATCH($C501,'Materials Master'!$A$2:$A$27,0))="Yes",$B501&lt;&gt;"Trash"),1,0)</f>
        <v>1</v>
      </c>
      <c r="H501" s="0" t="str">
        <f aca="false">INDEX('Materials Master'!$E$2:$E$27,MATCH($C501,'Materials Master'!$A$2:$A$27,0))</f>
        <v>Yes</v>
      </c>
      <c r="I501" s="0" t="str">
        <f aca="false">IFERROR(INDEX(Areas!$C$2:$C$6,MATCH($A501,Areas!$B$2:$B$6,0)),"")</f>
        <v>Rest of Building</v>
      </c>
      <c r="J501" s="0" t="n">
        <f aca="false">IF(IF($B501="Trash",INDEX('Materials Master'!$F$2:$F$27,MATCH($C501,'Materials Master'!$A$2:$A$27,0)),IF($B501="GMPC Recycling",INDEX('Materials Master'!$G$2:$G$27,MATCH($C501,'Materials Master'!$A$2:$A$27,0)),IF($B501="Organics Recycling",INDEX('Materials Master'!$H$2:$H$27,MATCH($C501,'Materials Master'!$A$2:$A$27,0)),IF($B501="Cardboard Recycling",INDEX('Materials Master'!$I$2:$I$27,MATCH($C501,'Materials Master'!$A$2:$A$27,0)),IF($B501="Paper Recycling",INDEX('Materials Master'!$J$2:$J$27,MATCH($C501,'Materials Master'!$A$2:$A$27,0)),IF($B501="Terracycle",INDEX('Materials Master'!$K$2:$K$27,MATCH($C501,'Materials Master'!$A$2:$A$27,0)),"No"))))))="Yes",1,0)</f>
        <v>1</v>
      </c>
    </row>
    <row r="502" customFormat="false" ht="15" hidden="false" customHeight="false" outlineLevel="0" collapsed="false">
      <c r="A502" s="0" t="s">
        <v>100</v>
      </c>
      <c r="B502" s="0" t="s">
        <v>104</v>
      </c>
      <c r="C502" s="0" t="s">
        <v>43</v>
      </c>
      <c r="D502" s="0" t="str">
        <f aca="false">IFERROR(INDEX('Materials Master'!$B$2:$B$27,MATCH($C502,'Materials Master'!$A$2:$A$27,0)),"")</f>
        <v>Soiled Beverage Cartons</v>
      </c>
      <c r="E502" s="0" t="str">
        <f aca="false">IFERROR(INDEX('Materials Master'!$C$2:$C$27,MATCH($C502,'Materials Master'!$A$2:$A$27,0)),"")</f>
        <v>Fibers</v>
      </c>
      <c r="F502" s="0" t="n">
        <f aca="false">IF(SUMIFS(Fact_SortedWeights!$E$2:$E$89,Fact_SortedWeights!$C$2:$C$89,$A502,Fact_SortedWeights!$B$2:$B$89,$B502)=0,0,SUMIFS(Fact_SortedWeights!$E$2:$E$89,Fact_SortedWeights!$C$2:$C$89,$A502,Fact_SortedWeights!$B$2:$B$89,$B502,Fact_SortedWeights!$D$2:$D$89,$C502)/SUMIFS(Fact_SortedWeights!$E$2:$E$89,Fact_SortedWeights!$C$2:$C$89,$A502,Fact_SortedWeights!$B$2:$B$89,$B502)*(IF($B502="Cardboard Recycling",SUMIFS(Fact_SortedWeights!$E$2:$E$89,Fact_SortedWeights!$C$2:$C$89,$A502,Fact_SortedWeights!$B$2:$B$89,$B502),SUMIFS(Fact_PreSortWeights!$E$2:$E$186,Fact_PreSortWeights!$C$2:$C$186,$A502,Fact_PreSortWeights!$B$2:$B$186,$B502))))</f>
        <v>0</v>
      </c>
      <c r="G502" s="0" t="n">
        <f aca="false">IF(AND(IF($B502="Trash",INDEX('Materials Master'!$F$2:$F$27,MATCH($C502,'Materials Master'!$A$2:$A$27,0)),IF($B502="GMPC Recycling",INDEX('Materials Master'!$G$2:$G$27,MATCH($C502,'Materials Master'!$A$2:$A$27,0)),IF($B502="Organics Recycling",INDEX('Materials Master'!$H$2:$H$27,MATCH($C502,'Materials Master'!$A$2:$A$27,0)),IF($B502="Cardboard Recycling",INDEX('Materials Master'!$I$2:$I$27,MATCH($C502,'Materials Master'!$A$2:$A$27,0)),IF($B502="Paper Recycling",INDEX('Materials Master'!$J$2:$J$27,MATCH($C502,'Materials Master'!$A$2:$A$27,0)),IF($B502="Terracycle",INDEX('Materials Master'!$K$2:$K$27,MATCH($C502,'Materials Master'!$A$2:$A$27,0)),"No"))))))="Yes",INDEX('Materials Master'!$E$2:$E$27,MATCH($C502,'Materials Master'!$A$2:$A$27,0))="Yes",$B502&lt;&gt;"Trash"),1,0)</f>
        <v>0</v>
      </c>
      <c r="H502" s="0" t="str">
        <f aca="false">INDEX('Materials Master'!$E$2:$E$27,MATCH($C502,'Materials Master'!$A$2:$A$27,0))</f>
        <v>No</v>
      </c>
      <c r="I502" s="0" t="str">
        <f aca="false">IFERROR(INDEX(Areas!$C$2:$C$6,MATCH($A502,Areas!$B$2:$B$6,0)),"")</f>
        <v>Rest of Building</v>
      </c>
      <c r="J502" s="0" t="n">
        <f aca="false">IF(IF($B502="Trash",INDEX('Materials Master'!$F$2:$F$27,MATCH($C502,'Materials Master'!$A$2:$A$27,0)),IF($B502="GMPC Recycling",INDEX('Materials Master'!$G$2:$G$27,MATCH($C502,'Materials Master'!$A$2:$A$27,0)),IF($B502="Organics Recycling",INDEX('Materials Master'!$H$2:$H$27,MATCH($C502,'Materials Master'!$A$2:$A$27,0)),IF($B502="Cardboard Recycling",INDEX('Materials Master'!$I$2:$I$27,MATCH($C502,'Materials Master'!$A$2:$A$27,0)),IF($B502="Paper Recycling",INDEX('Materials Master'!$J$2:$J$27,MATCH($C502,'Materials Master'!$A$2:$A$27,0)),IF($B502="Terracycle",INDEX('Materials Master'!$K$2:$K$27,MATCH($C502,'Materials Master'!$A$2:$A$27,0)),"No"))))))="Yes",1,0)</f>
        <v>0</v>
      </c>
    </row>
    <row r="503" customFormat="false" ht="15" hidden="false" customHeight="false" outlineLevel="0" collapsed="false">
      <c r="A503" s="0" t="s">
        <v>100</v>
      </c>
      <c r="B503" s="0" t="s">
        <v>104</v>
      </c>
      <c r="C503" s="0" t="s">
        <v>45</v>
      </c>
      <c r="D503" s="0" t="str">
        <f aca="false">IFERROR(INDEX('Materials Master'!$B$2:$B$27,MATCH($C503,'Materials Master'!$A$2:$A$27,0)),"")</f>
        <v>Paper Cups / Other Coated Paper Containers</v>
      </c>
      <c r="E503" s="0" t="str">
        <f aca="false">IFERROR(INDEX('Materials Master'!$C$2:$C$27,MATCH($C503,'Materials Master'!$A$2:$A$27,0)),"")</f>
        <v>Fibers</v>
      </c>
      <c r="F503" s="0" t="n">
        <f aca="false">IF(SUMIFS(Fact_SortedWeights!$E$2:$E$89,Fact_SortedWeights!$C$2:$C$89,$A503,Fact_SortedWeights!$B$2:$B$89,$B503)=0,0,SUMIFS(Fact_SortedWeights!$E$2:$E$89,Fact_SortedWeights!$C$2:$C$89,$A503,Fact_SortedWeights!$B$2:$B$89,$B503,Fact_SortedWeights!$D$2:$D$89,$C503)/SUMIFS(Fact_SortedWeights!$E$2:$E$89,Fact_SortedWeights!$C$2:$C$89,$A503,Fact_SortedWeights!$B$2:$B$89,$B503)*(IF($B503="Cardboard Recycling",SUMIFS(Fact_SortedWeights!$E$2:$E$89,Fact_SortedWeights!$C$2:$C$89,$A503,Fact_SortedWeights!$B$2:$B$89,$B503),SUMIFS(Fact_PreSortWeights!$E$2:$E$186,Fact_PreSortWeights!$C$2:$C$186,$A503,Fact_PreSortWeights!$B$2:$B$186,$B503))))</f>
        <v>0</v>
      </c>
      <c r="G503" s="0" t="n">
        <f aca="false">IF(AND(IF($B503="Trash",INDEX('Materials Master'!$F$2:$F$27,MATCH($C503,'Materials Master'!$A$2:$A$27,0)),IF($B503="GMPC Recycling",INDEX('Materials Master'!$G$2:$G$27,MATCH($C503,'Materials Master'!$A$2:$A$27,0)),IF($B503="Organics Recycling",INDEX('Materials Master'!$H$2:$H$27,MATCH($C503,'Materials Master'!$A$2:$A$27,0)),IF($B503="Cardboard Recycling",INDEX('Materials Master'!$I$2:$I$27,MATCH($C503,'Materials Master'!$A$2:$A$27,0)),IF($B503="Paper Recycling",INDEX('Materials Master'!$J$2:$J$27,MATCH($C503,'Materials Master'!$A$2:$A$27,0)),IF($B503="Terracycle",INDEX('Materials Master'!$K$2:$K$27,MATCH($C503,'Materials Master'!$A$2:$A$27,0)),"No"))))))="Yes",INDEX('Materials Master'!$E$2:$E$27,MATCH($C503,'Materials Master'!$A$2:$A$27,0))="Yes",$B503&lt;&gt;"Trash"),1,0)</f>
        <v>0</v>
      </c>
      <c r="H503" s="0" t="str">
        <f aca="false">INDEX('Materials Master'!$E$2:$E$27,MATCH($C503,'Materials Master'!$A$2:$A$27,0))</f>
        <v>No</v>
      </c>
      <c r="I503" s="0" t="str">
        <f aca="false">IFERROR(INDEX(Areas!$C$2:$C$6,MATCH($A503,Areas!$B$2:$B$6,0)),"")</f>
        <v>Rest of Building</v>
      </c>
      <c r="J503" s="0" t="n">
        <f aca="false">IF(IF($B503="Trash",INDEX('Materials Master'!$F$2:$F$27,MATCH($C503,'Materials Master'!$A$2:$A$27,0)),IF($B503="GMPC Recycling",INDEX('Materials Master'!$G$2:$G$27,MATCH($C503,'Materials Master'!$A$2:$A$27,0)),IF($B503="Organics Recycling",INDEX('Materials Master'!$H$2:$H$27,MATCH($C503,'Materials Master'!$A$2:$A$27,0)),IF($B503="Cardboard Recycling",INDEX('Materials Master'!$I$2:$I$27,MATCH($C503,'Materials Master'!$A$2:$A$27,0)),IF($B503="Paper Recycling",INDEX('Materials Master'!$J$2:$J$27,MATCH($C503,'Materials Master'!$A$2:$A$27,0)),IF($B503="Terracycle",INDEX('Materials Master'!$K$2:$K$27,MATCH($C503,'Materials Master'!$A$2:$A$27,0)),"No"))))))="Yes",1,0)</f>
        <v>0</v>
      </c>
    </row>
    <row r="504" customFormat="false" ht="15" hidden="false" customHeight="false" outlineLevel="0" collapsed="false">
      <c r="A504" s="0" t="s">
        <v>100</v>
      </c>
      <c r="B504" s="0" t="s">
        <v>104</v>
      </c>
      <c r="C504" s="0" t="s">
        <v>47</v>
      </c>
      <c r="D504" s="0" t="str">
        <f aca="false">IFERROR(INDEX('Materials Master'!$B$2:$B$27,MATCH($C504,'Materials Master'!$A$2:$A$27,0)),"")</f>
        <v>Glass Bottles &amp; Jars</v>
      </c>
      <c r="E504" s="0" t="str">
        <f aca="false">IFERROR(INDEX('Materials Master'!$C$2:$C$27,MATCH($C504,'Materials Master'!$A$2:$A$27,0)),"")</f>
        <v>Glass</v>
      </c>
      <c r="F504" s="0" t="n">
        <f aca="false">IF(SUMIFS(Fact_SortedWeights!$E$2:$E$89,Fact_SortedWeights!$C$2:$C$89,$A504,Fact_SortedWeights!$B$2:$B$89,$B504)=0,0,SUMIFS(Fact_SortedWeights!$E$2:$E$89,Fact_SortedWeights!$C$2:$C$89,$A504,Fact_SortedWeights!$B$2:$B$89,$B504,Fact_SortedWeights!$D$2:$D$89,$C504)/SUMIFS(Fact_SortedWeights!$E$2:$E$89,Fact_SortedWeights!$C$2:$C$89,$A504,Fact_SortedWeights!$B$2:$B$89,$B504)*(IF($B504="Cardboard Recycling",SUMIFS(Fact_SortedWeights!$E$2:$E$89,Fact_SortedWeights!$C$2:$C$89,$A504,Fact_SortedWeights!$B$2:$B$89,$B504),SUMIFS(Fact_PreSortWeights!$E$2:$E$186,Fact_PreSortWeights!$C$2:$C$186,$A504,Fact_PreSortWeights!$B$2:$B$186,$B504))))</f>
        <v>0</v>
      </c>
      <c r="G504" s="0" t="n">
        <f aca="false">IF(AND(IF($B504="Trash",INDEX('Materials Master'!$F$2:$F$27,MATCH($C504,'Materials Master'!$A$2:$A$27,0)),IF($B504="GMPC Recycling",INDEX('Materials Master'!$G$2:$G$27,MATCH($C504,'Materials Master'!$A$2:$A$27,0)),IF($B504="Organics Recycling",INDEX('Materials Master'!$H$2:$H$27,MATCH($C504,'Materials Master'!$A$2:$A$27,0)),IF($B504="Cardboard Recycling",INDEX('Materials Master'!$I$2:$I$27,MATCH($C504,'Materials Master'!$A$2:$A$27,0)),IF($B504="Paper Recycling",INDEX('Materials Master'!$J$2:$J$27,MATCH($C504,'Materials Master'!$A$2:$A$27,0)),IF($B504="Terracycle",INDEX('Materials Master'!$K$2:$K$27,MATCH($C504,'Materials Master'!$A$2:$A$27,0)),"No"))))))="Yes",INDEX('Materials Master'!$E$2:$E$27,MATCH($C504,'Materials Master'!$A$2:$A$27,0))="Yes",$B504&lt;&gt;"Trash"),1,0)</f>
        <v>1</v>
      </c>
      <c r="H504" s="0" t="str">
        <f aca="false">INDEX('Materials Master'!$E$2:$E$27,MATCH($C504,'Materials Master'!$A$2:$A$27,0))</f>
        <v>Yes</v>
      </c>
      <c r="I504" s="0" t="str">
        <f aca="false">IFERROR(INDEX(Areas!$C$2:$C$6,MATCH($A504,Areas!$B$2:$B$6,0)),"")</f>
        <v>Rest of Building</v>
      </c>
      <c r="J504" s="0" t="n">
        <f aca="false">IF(IF($B504="Trash",INDEX('Materials Master'!$F$2:$F$27,MATCH($C504,'Materials Master'!$A$2:$A$27,0)),IF($B504="GMPC Recycling",INDEX('Materials Master'!$G$2:$G$27,MATCH($C504,'Materials Master'!$A$2:$A$27,0)),IF($B504="Organics Recycling",INDEX('Materials Master'!$H$2:$H$27,MATCH($C504,'Materials Master'!$A$2:$A$27,0)),IF($B504="Cardboard Recycling",INDEX('Materials Master'!$I$2:$I$27,MATCH($C504,'Materials Master'!$A$2:$A$27,0)),IF($B504="Paper Recycling",INDEX('Materials Master'!$J$2:$J$27,MATCH($C504,'Materials Master'!$A$2:$A$27,0)),IF($B504="Terracycle",INDEX('Materials Master'!$K$2:$K$27,MATCH($C504,'Materials Master'!$A$2:$A$27,0)),"No"))))))="Yes",1,0)</f>
        <v>1</v>
      </c>
    </row>
    <row r="505" customFormat="false" ht="15" hidden="false" customHeight="false" outlineLevel="0" collapsed="false">
      <c r="A505" s="0" t="s">
        <v>100</v>
      </c>
      <c r="B505" s="0" t="s">
        <v>104</v>
      </c>
      <c r="C505" s="0" t="s">
        <v>50</v>
      </c>
      <c r="D505" s="0" t="str">
        <f aca="false">IFERROR(INDEX('Materials Master'!$B$2:$B$27,MATCH($C505,'Materials Master'!$A$2:$A$27,0)),"")</f>
        <v>Soiled Glass</v>
      </c>
      <c r="E505" s="0" t="str">
        <f aca="false">IFERROR(INDEX('Materials Master'!$C$2:$C$27,MATCH($C505,'Materials Master'!$A$2:$A$27,0)),"")</f>
        <v>Glass</v>
      </c>
      <c r="F505" s="0" t="n">
        <f aca="false">IF(SUMIFS(Fact_SortedWeights!$E$2:$E$89,Fact_SortedWeights!$C$2:$C$89,$A505,Fact_SortedWeights!$B$2:$B$89,$B505)=0,0,SUMIFS(Fact_SortedWeights!$E$2:$E$89,Fact_SortedWeights!$C$2:$C$89,$A505,Fact_SortedWeights!$B$2:$B$89,$B505,Fact_SortedWeights!$D$2:$D$89,$C505)/SUMIFS(Fact_SortedWeights!$E$2:$E$89,Fact_SortedWeights!$C$2:$C$89,$A505,Fact_SortedWeights!$B$2:$B$89,$B505)*(IF($B505="Cardboard Recycling",SUMIFS(Fact_SortedWeights!$E$2:$E$89,Fact_SortedWeights!$C$2:$C$89,$A505,Fact_SortedWeights!$B$2:$B$89,$B505),SUMIFS(Fact_PreSortWeights!$E$2:$E$186,Fact_PreSortWeights!$C$2:$C$186,$A505,Fact_PreSortWeights!$B$2:$B$186,$B505))))</f>
        <v>0</v>
      </c>
      <c r="G505" s="0" t="n">
        <f aca="false">IF(AND(IF($B505="Trash",INDEX('Materials Master'!$F$2:$F$27,MATCH($C505,'Materials Master'!$A$2:$A$27,0)),IF($B505="GMPC Recycling",INDEX('Materials Master'!$G$2:$G$27,MATCH($C505,'Materials Master'!$A$2:$A$27,0)),IF($B505="Organics Recycling",INDEX('Materials Master'!$H$2:$H$27,MATCH($C505,'Materials Master'!$A$2:$A$27,0)),IF($B505="Cardboard Recycling",INDEX('Materials Master'!$I$2:$I$27,MATCH($C505,'Materials Master'!$A$2:$A$27,0)),IF($B505="Paper Recycling",INDEX('Materials Master'!$J$2:$J$27,MATCH($C505,'Materials Master'!$A$2:$A$27,0)),IF($B505="Terracycle",INDEX('Materials Master'!$K$2:$K$27,MATCH($C505,'Materials Master'!$A$2:$A$27,0)),"No"))))))="Yes",INDEX('Materials Master'!$E$2:$E$27,MATCH($C505,'Materials Master'!$A$2:$A$27,0))="Yes",$B505&lt;&gt;"Trash"),1,0)</f>
        <v>0</v>
      </c>
      <c r="H505" s="0" t="str">
        <f aca="false">INDEX('Materials Master'!$E$2:$E$27,MATCH($C505,'Materials Master'!$A$2:$A$27,0))</f>
        <v>No</v>
      </c>
      <c r="I505" s="0" t="str">
        <f aca="false">IFERROR(INDEX(Areas!$C$2:$C$6,MATCH($A505,Areas!$B$2:$B$6,0)),"")</f>
        <v>Rest of Building</v>
      </c>
      <c r="J505" s="0" t="n">
        <f aca="false">IF(IF($B505="Trash",INDEX('Materials Master'!$F$2:$F$27,MATCH($C505,'Materials Master'!$A$2:$A$27,0)),IF($B505="GMPC Recycling",INDEX('Materials Master'!$G$2:$G$27,MATCH($C505,'Materials Master'!$A$2:$A$27,0)),IF($B505="Organics Recycling",INDEX('Materials Master'!$H$2:$H$27,MATCH($C505,'Materials Master'!$A$2:$A$27,0)),IF($B505="Cardboard Recycling",INDEX('Materials Master'!$I$2:$I$27,MATCH($C505,'Materials Master'!$A$2:$A$27,0)),IF($B505="Paper Recycling",INDEX('Materials Master'!$J$2:$J$27,MATCH($C505,'Materials Master'!$A$2:$A$27,0)),IF($B505="Terracycle",INDEX('Materials Master'!$K$2:$K$27,MATCH($C505,'Materials Master'!$A$2:$A$27,0)),"No"))))))="Yes",1,0)</f>
        <v>0</v>
      </c>
    </row>
    <row r="506" customFormat="false" ht="15" hidden="false" customHeight="false" outlineLevel="0" collapsed="false">
      <c r="A506" s="0" t="s">
        <v>100</v>
      </c>
      <c r="B506" s="0" t="s">
        <v>104</v>
      </c>
      <c r="C506" s="0" t="s">
        <v>52</v>
      </c>
      <c r="D506" s="0" t="str">
        <f aca="false">IFERROR(INDEX('Materials Master'!$B$2:$B$27,MATCH($C506,'Materials Master'!$A$2:$A$27,0)),"")</f>
        <v>Aluminum &amp; Bi-Metal Containers</v>
      </c>
      <c r="E506" s="0" t="str">
        <f aca="false">IFERROR(INDEX('Materials Master'!$C$2:$C$27,MATCH($C506,'Materials Master'!$A$2:$A$27,0)),"")</f>
        <v>Metals</v>
      </c>
      <c r="F506" s="0" t="n">
        <f aca="false">IF(SUMIFS(Fact_SortedWeights!$E$2:$E$89,Fact_SortedWeights!$C$2:$C$89,$A506,Fact_SortedWeights!$B$2:$B$89,$B506)=0,0,SUMIFS(Fact_SortedWeights!$E$2:$E$89,Fact_SortedWeights!$C$2:$C$89,$A506,Fact_SortedWeights!$B$2:$B$89,$B506,Fact_SortedWeights!$D$2:$D$89,$C506)/SUMIFS(Fact_SortedWeights!$E$2:$E$89,Fact_SortedWeights!$C$2:$C$89,$A506,Fact_SortedWeights!$B$2:$B$89,$B506)*(IF($B506="Cardboard Recycling",SUMIFS(Fact_SortedWeights!$E$2:$E$89,Fact_SortedWeights!$C$2:$C$89,$A506,Fact_SortedWeights!$B$2:$B$89,$B506),SUMIFS(Fact_PreSortWeights!$E$2:$E$186,Fact_PreSortWeights!$C$2:$C$186,$A506,Fact_PreSortWeights!$B$2:$B$186,$B506))))</f>
        <v>0</v>
      </c>
      <c r="G506" s="0" t="n">
        <f aca="false">IF(AND(IF($B506="Trash",INDEX('Materials Master'!$F$2:$F$27,MATCH($C506,'Materials Master'!$A$2:$A$27,0)),IF($B506="GMPC Recycling",INDEX('Materials Master'!$G$2:$G$27,MATCH($C506,'Materials Master'!$A$2:$A$27,0)),IF($B506="Organics Recycling",INDEX('Materials Master'!$H$2:$H$27,MATCH($C506,'Materials Master'!$A$2:$A$27,0)),IF($B506="Cardboard Recycling",INDEX('Materials Master'!$I$2:$I$27,MATCH($C506,'Materials Master'!$A$2:$A$27,0)),IF($B506="Paper Recycling",INDEX('Materials Master'!$J$2:$J$27,MATCH($C506,'Materials Master'!$A$2:$A$27,0)),IF($B506="Terracycle",INDEX('Materials Master'!$K$2:$K$27,MATCH($C506,'Materials Master'!$A$2:$A$27,0)),"No"))))))="Yes",INDEX('Materials Master'!$E$2:$E$27,MATCH($C506,'Materials Master'!$A$2:$A$27,0))="Yes",$B506&lt;&gt;"Trash"),1,0)</f>
        <v>1</v>
      </c>
      <c r="H506" s="0" t="str">
        <f aca="false">INDEX('Materials Master'!$E$2:$E$27,MATCH($C506,'Materials Master'!$A$2:$A$27,0))</f>
        <v>Yes</v>
      </c>
      <c r="I506" s="0" t="str">
        <f aca="false">IFERROR(INDEX(Areas!$C$2:$C$6,MATCH($A506,Areas!$B$2:$B$6,0)),"")</f>
        <v>Rest of Building</v>
      </c>
      <c r="J506" s="0" t="n">
        <f aca="false">IF(IF($B506="Trash",INDEX('Materials Master'!$F$2:$F$27,MATCH($C506,'Materials Master'!$A$2:$A$27,0)),IF($B506="GMPC Recycling",INDEX('Materials Master'!$G$2:$G$27,MATCH($C506,'Materials Master'!$A$2:$A$27,0)),IF($B506="Organics Recycling",INDEX('Materials Master'!$H$2:$H$27,MATCH($C506,'Materials Master'!$A$2:$A$27,0)),IF($B506="Cardboard Recycling",INDEX('Materials Master'!$I$2:$I$27,MATCH($C506,'Materials Master'!$A$2:$A$27,0)),IF($B506="Paper Recycling",INDEX('Materials Master'!$J$2:$J$27,MATCH($C506,'Materials Master'!$A$2:$A$27,0)),IF($B506="Terracycle",INDEX('Materials Master'!$K$2:$K$27,MATCH($C506,'Materials Master'!$A$2:$A$27,0)),"No"))))))="Yes",1,0)</f>
        <v>1</v>
      </c>
    </row>
    <row r="507" customFormat="false" ht="15" hidden="false" customHeight="false" outlineLevel="0" collapsed="false">
      <c r="A507" s="0" t="s">
        <v>100</v>
      </c>
      <c r="B507" s="0" t="s">
        <v>104</v>
      </c>
      <c r="C507" s="0" t="s">
        <v>55</v>
      </c>
      <c r="D507" s="0" t="str">
        <f aca="false">IFERROR(INDEX('Materials Master'!$B$2:$B$27,MATCH($C507,'Materials Master'!$A$2:$A$27,0)),"")</f>
        <v>Soiled Metals</v>
      </c>
      <c r="E507" s="0" t="str">
        <f aca="false">IFERROR(INDEX('Materials Master'!$C$2:$C$27,MATCH($C507,'Materials Master'!$A$2:$A$27,0)),"")</f>
        <v>Metals</v>
      </c>
      <c r="F507" s="0" t="n">
        <f aca="false">IF(SUMIFS(Fact_SortedWeights!$E$2:$E$89,Fact_SortedWeights!$C$2:$C$89,$A507,Fact_SortedWeights!$B$2:$B$89,$B507)=0,0,SUMIFS(Fact_SortedWeights!$E$2:$E$89,Fact_SortedWeights!$C$2:$C$89,$A507,Fact_SortedWeights!$B$2:$B$89,$B507,Fact_SortedWeights!$D$2:$D$89,$C507)/SUMIFS(Fact_SortedWeights!$E$2:$E$89,Fact_SortedWeights!$C$2:$C$89,$A507,Fact_SortedWeights!$B$2:$B$89,$B507)*(IF($B507="Cardboard Recycling",SUMIFS(Fact_SortedWeights!$E$2:$E$89,Fact_SortedWeights!$C$2:$C$89,$A507,Fact_SortedWeights!$B$2:$B$89,$B507),SUMIFS(Fact_PreSortWeights!$E$2:$E$186,Fact_PreSortWeights!$C$2:$C$186,$A507,Fact_PreSortWeights!$B$2:$B$186,$B507))))</f>
        <v>0</v>
      </c>
      <c r="G507" s="0" t="n">
        <f aca="false">IF(AND(IF($B507="Trash",INDEX('Materials Master'!$F$2:$F$27,MATCH($C507,'Materials Master'!$A$2:$A$27,0)),IF($B507="GMPC Recycling",INDEX('Materials Master'!$G$2:$G$27,MATCH($C507,'Materials Master'!$A$2:$A$27,0)),IF($B507="Organics Recycling",INDEX('Materials Master'!$H$2:$H$27,MATCH($C507,'Materials Master'!$A$2:$A$27,0)),IF($B507="Cardboard Recycling",INDEX('Materials Master'!$I$2:$I$27,MATCH($C507,'Materials Master'!$A$2:$A$27,0)),IF($B507="Paper Recycling",INDEX('Materials Master'!$J$2:$J$27,MATCH($C507,'Materials Master'!$A$2:$A$27,0)),IF($B507="Terracycle",INDEX('Materials Master'!$K$2:$K$27,MATCH($C507,'Materials Master'!$A$2:$A$27,0)),"No"))))))="Yes",INDEX('Materials Master'!$E$2:$E$27,MATCH($C507,'Materials Master'!$A$2:$A$27,0))="Yes",$B507&lt;&gt;"Trash"),1,0)</f>
        <v>0</v>
      </c>
      <c r="H507" s="0" t="str">
        <f aca="false">INDEX('Materials Master'!$E$2:$E$27,MATCH($C507,'Materials Master'!$A$2:$A$27,0))</f>
        <v>No</v>
      </c>
      <c r="I507" s="0" t="str">
        <f aca="false">IFERROR(INDEX(Areas!$C$2:$C$6,MATCH($A507,Areas!$B$2:$B$6,0)),"")</f>
        <v>Rest of Building</v>
      </c>
      <c r="J507" s="0" t="n">
        <f aca="false">IF(IF($B507="Trash",INDEX('Materials Master'!$F$2:$F$27,MATCH($C507,'Materials Master'!$A$2:$A$27,0)),IF($B507="GMPC Recycling",INDEX('Materials Master'!$G$2:$G$27,MATCH($C507,'Materials Master'!$A$2:$A$27,0)),IF($B507="Organics Recycling",INDEX('Materials Master'!$H$2:$H$27,MATCH($C507,'Materials Master'!$A$2:$A$27,0)),IF($B507="Cardboard Recycling",INDEX('Materials Master'!$I$2:$I$27,MATCH($C507,'Materials Master'!$A$2:$A$27,0)),IF($B507="Paper Recycling",INDEX('Materials Master'!$J$2:$J$27,MATCH($C507,'Materials Master'!$A$2:$A$27,0)),IF($B507="Terracycle",INDEX('Materials Master'!$K$2:$K$27,MATCH($C507,'Materials Master'!$A$2:$A$27,0)),"No"))))))="Yes",1,0)</f>
        <v>0</v>
      </c>
    </row>
    <row r="508" customFormat="false" ht="15" hidden="false" customHeight="false" outlineLevel="0" collapsed="false">
      <c r="A508" s="0" t="s">
        <v>100</v>
      </c>
      <c r="B508" s="0" t="s">
        <v>104</v>
      </c>
      <c r="C508" s="0" t="s">
        <v>57</v>
      </c>
      <c r="D508" s="0" t="str">
        <f aca="false">IFERROR(INDEX('Materials Master'!$B$2:$B$27,MATCH($C508,'Materials Master'!$A$2:$A$27,0)),"")</f>
        <v>Rigid Plastics (1-6)</v>
      </c>
      <c r="E508" s="0" t="str">
        <f aca="false">IFERROR(INDEX('Materials Master'!$C$2:$C$27,MATCH($C508,'Materials Master'!$A$2:$A$27,0)),"")</f>
        <v>Plastics</v>
      </c>
      <c r="F508" s="0" t="n">
        <f aca="false">IF(SUMIFS(Fact_SortedWeights!$E$2:$E$89,Fact_SortedWeights!$C$2:$C$89,$A508,Fact_SortedWeights!$B$2:$B$89,$B508)=0,0,SUMIFS(Fact_SortedWeights!$E$2:$E$89,Fact_SortedWeights!$C$2:$C$89,$A508,Fact_SortedWeights!$B$2:$B$89,$B508,Fact_SortedWeights!$D$2:$D$89,$C508)/SUMIFS(Fact_SortedWeights!$E$2:$E$89,Fact_SortedWeights!$C$2:$C$89,$A508,Fact_SortedWeights!$B$2:$B$89,$B508)*(IF($B508="Cardboard Recycling",SUMIFS(Fact_SortedWeights!$E$2:$E$89,Fact_SortedWeights!$C$2:$C$89,$A508,Fact_SortedWeights!$B$2:$B$89,$B508),SUMIFS(Fact_PreSortWeights!$E$2:$E$186,Fact_PreSortWeights!$C$2:$C$186,$A508,Fact_PreSortWeights!$B$2:$B$186,$B508))))</f>
        <v>0</v>
      </c>
      <c r="G508" s="0" t="n">
        <f aca="false">IF(AND(IF($B508="Trash",INDEX('Materials Master'!$F$2:$F$27,MATCH($C508,'Materials Master'!$A$2:$A$27,0)),IF($B508="GMPC Recycling",INDEX('Materials Master'!$G$2:$G$27,MATCH($C508,'Materials Master'!$A$2:$A$27,0)),IF($B508="Organics Recycling",INDEX('Materials Master'!$H$2:$H$27,MATCH($C508,'Materials Master'!$A$2:$A$27,0)),IF($B508="Cardboard Recycling",INDEX('Materials Master'!$I$2:$I$27,MATCH($C508,'Materials Master'!$A$2:$A$27,0)),IF($B508="Paper Recycling",INDEX('Materials Master'!$J$2:$J$27,MATCH($C508,'Materials Master'!$A$2:$A$27,0)),IF($B508="Terracycle",INDEX('Materials Master'!$K$2:$K$27,MATCH($C508,'Materials Master'!$A$2:$A$27,0)),"No"))))))="Yes",INDEX('Materials Master'!$E$2:$E$27,MATCH($C508,'Materials Master'!$A$2:$A$27,0))="Yes",$B508&lt;&gt;"Trash"),1,0)</f>
        <v>1</v>
      </c>
      <c r="H508" s="0" t="str">
        <f aca="false">INDEX('Materials Master'!$E$2:$E$27,MATCH($C508,'Materials Master'!$A$2:$A$27,0))</f>
        <v>Yes</v>
      </c>
      <c r="I508" s="0" t="str">
        <f aca="false">IFERROR(INDEX(Areas!$C$2:$C$6,MATCH($A508,Areas!$B$2:$B$6,0)),"")</f>
        <v>Rest of Building</v>
      </c>
      <c r="J508" s="0" t="n">
        <f aca="false">IF(IF($B508="Trash",INDEX('Materials Master'!$F$2:$F$27,MATCH($C508,'Materials Master'!$A$2:$A$27,0)),IF($B508="GMPC Recycling",INDEX('Materials Master'!$G$2:$G$27,MATCH($C508,'Materials Master'!$A$2:$A$27,0)),IF($B508="Organics Recycling",INDEX('Materials Master'!$H$2:$H$27,MATCH($C508,'Materials Master'!$A$2:$A$27,0)),IF($B508="Cardboard Recycling",INDEX('Materials Master'!$I$2:$I$27,MATCH($C508,'Materials Master'!$A$2:$A$27,0)),IF($B508="Paper Recycling",INDEX('Materials Master'!$J$2:$J$27,MATCH($C508,'Materials Master'!$A$2:$A$27,0)),IF($B508="Terracycle",INDEX('Materials Master'!$K$2:$K$27,MATCH($C508,'Materials Master'!$A$2:$A$27,0)),"No"))))))="Yes",1,0)</f>
        <v>1</v>
      </c>
    </row>
    <row r="509" customFormat="false" ht="15" hidden="false" customHeight="false" outlineLevel="0" collapsed="false">
      <c r="A509" s="0" t="s">
        <v>100</v>
      </c>
      <c r="B509" s="0" t="s">
        <v>104</v>
      </c>
      <c r="C509" s="0" t="s">
        <v>60</v>
      </c>
      <c r="D509" s="0" t="str">
        <f aca="false">IFERROR(INDEX('Materials Master'!$B$2:$B$27,MATCH($C509,'Materials Master'!$A$2:$A$27,0)),"")</f>
        <v>Soiled Rigid Plastics</v>
      </c>
      <c r="E509" s="0" t="str">
        <f aca="false">IFERROR(INDEX('Materials Master'!$C$2:$C$27,MATCH($C509,'Materials Master'!$A$2:$A$27,0)),"")</f>
        <v>Plastics</v>
      </c>
      <c r="F509" s="0" t="n">
        <f aca="false">IF(SUMIFS(Fact_SortedWeights!$E$2:$E$89,Fact_SortedWeights!$C$2:$C$89,$A509,Fact_SortedWeights!$B$2:$B$89,$B509)=0,0,SUMIFS(Fact_SortedWeights!$E$2:$E$89,Fact_SortedWeights!$C$2:$C$89,$A509,Fact_SortedWeights!$B$2:$B$89,$B509,Fact_SortedWeights!$D$2:$D$89,$C509)/SUMIFS(Fact_SortedWeights!$E$2:$E$89,Fact_SortedWeights!$C$2:$C$89,$A509,Fact_SortedWeights!$B$2:$B$89,$B509)*(IF($B509="Cardboard Recycling",SUMIFS(Fact_SortedWeights!$E$2:$E$89,Fact_SortedWeights!$C$2:$C$89,$A509,Fact_SortedWeights!$B$2:$B$89,$B509),SUMIFS(Fact_PreSortWeights!$E$2:$E$186,Fact_PreSortWeights!$C$2:$C$186,$A509,Fact_PreSortWeights!$B$2:$B$186,$B509))))</f>
        <v>0</v>
      </c>
      <c r="G509" s="0" t="n">
        <f aca="false">IF(AND(IF($B509="Trash",INDEX('Materials Master'!$F$2:$F$27,MATCH($C509,'Materials Master'!$A$2:$A$27,0)),IF($B509="GMPC Recycling",INDEX('Materials Master'!$G$2:$G$27,MATCH($C509,'Materials Master'!$A$2:$A$27,0)),IF($B509="Organics Recycling",INDEX('Materials Master'!$H$2:$H$27,MATCH($C509,'Materials Master'!$A$2:$A$27,0)),IF($B509="Cardboard Recycling",INDEX('Materials Master'!$I$2:$I$27,MATCH($C509,'Materials Master'!$A$2:$A$27,0)),IF($B509="Paper Recycling",INDEX('Materials Master'!$J$2:$J$27,MATCH($C509,'Materials Master'!$A$2:$A$27,0)),IF($B509="Terracycle",INDEX('Materials Master'!$K$2:$K$27,MATCH($C509,'Materials Master'!$A$2:$A$27,0)),"No"))))))="Yes",INDEX('Materials Master'!$E$2:$E$27,MATCH($C509,'Materials Master'!$A$2:$A$27,0))="Yes",$B509&lt;&gt;"Trash"),1,0)</f>
        <v>0</v>
      </c>
      <c r="H509" s="0" t="str">
        <f aca="false">INDEX('Materials Master'!$E$2:$E$27,MATCH($C509,'Materials Master'!$A$2:$A$27,0))</f>
        <v>No</v>
      </c>
      <c r="I509" s="0" t="str">
        <f aca="false">IFERROR(INDEX(Areas!$C$2:$C$6,MATCH($A509,Areas!$B$2:$B$6,0)),"")</f>
        <v>Rest of Building</v>
      </c>
      <c r="J509" s="0" t="n">
        <f aca="false">IF(IF($B509="Trash",INDEX('Materials Master'!$F$2:$F$27,MATCH($C509,'Materials Master'!$A$2:$A$27,0)),IF($B509="GMPC Recycling",INDEX('Materials Master'!$G$2:$G$27,MATCH($C509,'Materials Master'!$A$2:$A$27,0)),IF($B509="Organics Recycling",INDEX('Materials Master'!$H$2:$H$27,MATCH($C509,'Materials Master'!$A$2:$A$27,0)),IF($B509="Cardboard Recycling",INDEX('Materials Master'!$I$2:$I$27,MATCH($C509,'Materials Master'!$A$2:$A$27,0)),IF($B509="Paper Recycling",INDEX('Materials Master'!$J$2:$J$27,MATCH($C509,'Materials Master'!$A$2:$A$27,0)),IF($B509="Terracycle",INDEX('Materials Master'!$K$2:$K$27,MATCH($C509,'Materials Master'!$A$2:$A$27,0)),"No"))))))="Yes",1,0)</f>
        <v>0</v>
      </c>
    </row>
    <row r="510" customFormat="false" ht="15" hidden="false" customHeight="false" outlineLevel="0" collapsed="false">
      <c r="A510" s="0" t="s">
        <v>100</v>
      </c>
      <c r="B510" s="0" t="s">
        <v>104</v>
      </c>
      <c r="C510" s="0" t="s">
        <v>62</v>
      </c>
      <c r="D510" s="0" t="str">
        <f aca="false">IFERROR(INDEX('Materials Master'!$B$2:$B$27,MATCH($C510,'Materials Master'!$A$2:$A$27,0)),"")</f>
        <v>Film Plastics</v>
      </c>
      <c r="E510" s="0" t="str">
        <f aca="false">IFERROR(INDEX('Materials Master'!$C$2:$C$27,MATCH($C510,'Materials Master'!$A$2:$A$27,0)),"")</f>
        <v>Plastics</v>
      </c>
      <c r="F510" s="0" t="n">
        <f aca="false">IF(SUMIFS(Fact_SortedWeights!$E$2:$E$89,Fact_SortedWeights!$C$2:$C$89,$A510,Fact_SortedWeights!$B$2:$B$89,$B510)=0,0,SUMIFS(Fact_SortedWeights!$E$2:$E$89,Fact_SortedWeights!$C$2:$C$89,$A510,Fact_SortedWeights!$B$2:$B$89,$B510,Fact_SortedWeights!$D$2:$D$89,$C510)/SUMIFS(Fact_SortedWeights!$E$2:$E$89,Fact_SortedWeights!$C$2:$C$89,$A510,Fact_SortedWeights!$B$2:$B$89,$B510)*(IF($B510="Cardboard Recycling",SUMIFS(Fact_SortedWeights!$E$2:$E$89,Fact_SortedWeights!$C$2:$C$89,$A510,Fact_SortedWeights!$B$2:$B$89,$B510),SUMIFS(Fact_PreSortWeights!$E$2:$E$186,Fact_PreSortWeights!$C$2:$C$186,$A510,Fact_PreSortWeights!$B$2:$B$186,$B510))))</f>
        <v>0</v>
      </c>
      <c r="G510" s="0" t="n">
        <f aca="false">IF(AND(IF($B510="Trash",INDEX('Materials Master'!$F$2:$F$27,MATCH($C510,'Materials Master'!$A$2:$A$27,0)),IF($B510="GMPC Recycling",INDEX('Materials Master'!$G$2:$G$27,MATCH($C510,'Materials Master'!$A$2:$A$27,0)),IF($B510="Organics Recycling",INDEX('Materials Master'!$H$2:$H$27,MATCH($C510,'Materials Master'!$A$2:$A$27,0)),IF($B510="Cardboard Recycling",INDEX('Materials Master'!$I$2:$I$27,MATCH($C510,'Materials Master'!$A$2:$A$27,0)),IF($B510="Paper Recycling",INDEX('Materials Master'!$J$2:$J$27,MATCH($C510,'Materials Master'!$A$2:$A$27,0)),IF($B510="Terracycle",INDEX('Materials Master'!$K$2:$K$27,MATCH($C510,'Materials Master'!$A$2:$A$27,0)),"No"))))))="Yes",INDEX('Materials Master'!$E$2:$E$27,MATCH($C510,'Materials Master'!$A$2:$A$27,0))="Yes",$B510&lt;&gt;"Trash"),1,0)</f>
        <v>0</v>
      </c>
      <c r="H510" s="0" t="str">
        <f aca="false">INDEX('Materials Master'!$E$2:$E$27,MATCH($C510,'Materials Master'!$A$2:$A$27,0))</f>
        <v>No</v>
      </c>
      <c r="I510" s="0" t="str">
        <f aca="false">IFERROR(INDEX(Areas!$C$2:$C$6,MATCH($A510,Areas!$B$2:$B$6,0)),"")</f>
        <v>Rest of Building</v>
      </c>
      <c r="J510" s="0" t="n">
        <f aca="false">IF(IF($B510="Trash",INDEX('Materials Master'!$F$2:$F$27,MATCH($C510,'Materials Master'!$A$2:$A$27,0)),IF($B510="GMPC Recycling",INDEX('Materials Master'!$G$2:$G$27,MATCH($C510,'Materials Master'!$A$2:$A$27,0)),IF($B510="Organics Recycling",INDEX('Materials Master'!$H$2:$H$27,MATCH($C510,'Materials Master'!$A$2:$A$27,0)),IF($B510="Cardboard Recycling",INDEX('Materials Master'!$I$2:$I$27,MATCH($C510,'Materials Master'!$A$2:$A$27,0)),IF($B510="Paper Recycling",INDEX('Materials Master'!$J$2:$J$27,MATCH($C510,'Materials Master'!$A$2:$A$27,0)),IF($B510="Terracycle",INDEX('Materials Master'!$K$2:$K$27,MATCH($C510,'Materials Master'!$A$2:$A$27,0)),"No"))))))="Yes",1,0)</f>
        <v>0</v>
      </c>
    </row>
    <row r="511" customFormat="false" ht="15" hidden="false" customHeight="false" outlineLevel="0" collapsed="false">
      <c r="A511" s="0" t="s">
        <v>100</v>
      </c>
      <c r="B511" s="0" t="s">
        <v>104</v>
      </c>
      <c r="C511" s="0" t="s">
        <v>64</v>
      </c>
      <c r="D511" s="0" t="str">
        <f aca="false">IFERROR(INDEX('Materials Master'!$B$2:$B$27,MATCH($C511,'Materials Master'!$A$2:$A$27,0)),"")</f>
        <v>Foams</v>
      </c>
      <c r="E511" s="0" t="str">
        <f aca="false">IFERROR(INDEX('Materials Master'!$C$2:$C$27,MATCH($C511,'Materials Master'!$A$2:$A$27,0)),"")</f>
        <v>Plastics</v>
      </c>
      <c r="F511" s="0" t="n">
        <f aca="false">IF(SUMIFS(Fact_SortedWeights!$E$2:$E$89,Fact_SortedWeights!$C$2:$C$89,$A511,Fact_SortedWeights!$B$2:$B$89,$B511)=0,0,SUMIFS(Fact_SortedWeights!$E$2:$E$89,Fact_SortedWeights!$C$2:$C$89,$A511,Fact_SortedWeights!$B$2:$B$89,$B511,Fact_SortedWeights!$D$2:$D$89,$C511)/SUMIFS(Fact_SortedWeights!$E$2:$E$89,Fact_SortedWeights!$C$2:$C$89,$A511,Fact_SortedWeights!$B$2:$B$89,$B511)*(IF($B511="Cardboard Recycling",SUMIFS(Fact_SortedWeights!$E$2:$E$89,Fact_SortedWeights!$C$2:$C$89,$A511,Fact_SortedWeights!$B$2:$B$89,$B511),SUMIFS(Fact_PreSortWeights!$E$2:$E$186,Fact_PreSortWeights!$C$2:$C$186,$A511,Fact_PreSortWeights!$B$2:$B$186,$B511))))</f>
        <v>0</v>
      </c>
      <c r="G511" s="0" t="n">
        <f aca="false">IF(AND(IF($B511="Trash",INDEX('Materials Master'!$F$2:$F$27,MATCH($C511,'Materials Master'!$A$2:$A$27,0)),IF($B511="GMPC Recycling",INDEX('Materials Master'!$G$2:$G$27,MATCH($C511,'Materials Master'!$A$2:$A$27,0)),IF($B511="Organics Recycling",INDEX('Materials Master'!$H$2:$H$27,MATCH($C511,'Materials Master'!$A$2:$A$27,0)),IF($B511="Cardboard Recycling",INDEX('Materials Master'!$I$2:$I$27,MATCH($C511,'Materials Master'!$A$2:$A$27,0)),IF($B511="Paper Recycling",INDEX('Materials Master'!$J$2:$J$27,MATCH($C511,'Materials Master'!$A$2:$A$27,0)),IF($B511="Terracycle",INDEX('Materials Master'!$K$2:$K$27,MATCH($C511,'Materials Master'!$A$2:$A$27,0)),"No"))))))="Yes",INDEX('Materials Master'!$E$2:$E$27,MATCH($C511,'Materials Master'!$A$2:$A$27,0))="Yes",$B511&lt;&gt;"Trash"),1,0)</f>
        <v>0</v>
      </c>
      <c r="H511" s="0" t="str">
        <f aca="false">INDEX('Materials Master'!$E$2:$E$27,MATCH($C511,'Materials Master'!$A$2:$A$27,0))</f>
        <v>No</v>
      </c>
      <c r="I511" s="0" t="str">
        <f aca="false">IFERROR(INDEX(Areas!$C$2:$C$6,MATCH($A511,Areas!$B$2:$B$6,0)),"")</f>
        <v>Rest of Building</v>
      </c>
      <c r="J511" s="0" t="n">
        <f aca="false">IF(IF($B511="Trash",INDEX('Materials Master'!$F$2:$F$27,MATCH($C511,'Materials Master'!$A$2:$A$27,0)),IF($B511="GMPC Recycling",INDEX('Materials Master'!$G$2:$G$27,MATCH($C511,'Materials Master'!$A$2:$A$27,0)),IF($B511="Organics Recycling",INDEX('Materials Master'!$H$2:$H$27,MATCH($C511,'Materials Master'!$A$2:$A$27,0)),IF($B511="Cardboard Recycling",INDEX('Materials Master'!$I$2:$I$27,MATCH($C511,'Materials Master'!$A$2:$A$27,0)),IF($B511="Paper Recycling",INDEX('Materials Master'!$J$2:$J$27,MATCH($C511,'Materials Master'!$A$2:$A$27,0)),IF($B511="Terracycle",INDEX('Materials Master'!$K$2:$K$27,MATCH($C511,'Materials Master'!$A$2:$A$27,0)),"No"))))))="Yes",1,0)</f>
        <v>0</v>
      </c>
    </row>
    <row r="512" customFormat="false" ht="15" hidden="false" customHeight="false" outlineLevel="0" collapsed="false">
      <c r="A512" s="0" t="s">
        <v>100</v>
      </c>
      <c r="B512" s="0" t="s">
        <v>104</v>
      </c>
      <c r="C512" s="0" t="s">
        <v>66</v>
      </c>
      <c r="D512" s="0" t="str">
        <f aca="false">IFERROR(INDEX('Materials Master'!$B$2:$B$27,MATCH($C512,'Materials Master'!$A$2:$A$27,0)),"")</f>
        <v>Food Waste</v>
      </c>
      <c r="E512" s="0" t="str">
        <f aca="false">IFERROR(INDEX('Materials Master'!$C$2:$C$27,MATCH($C512,'Materials Master'!$A$2:$A$27,0)),"")</f>
        <v>Organics</v>
      </c>
      <c r="F512" s="0" t="n">
        <f aca="false">IF(SUMIFS(Fact_SortedWeights!$E$2:$E$89,Fact_SortedWeights!$C$2:$C$89,$A512,Fact_SortedWeights!$B$2:$B$89,$B512)=0,0,SUMIFS(Fact_SortedWeights!$E$2:$E$89,Fact_SortedWeights!$C$2:$C$89,$A512,Fact_SortedWeights!$B$2:$B$89,$B512,Fact_SortedWeights!$D$2:$D$89,$C512)/SUMIFS(Fact_SortedWeights!$E$2:$E$89,Fact_SortedWeights!$C$2:$C$89,$A512,Fact_SortedWeights!$B$2:$B$89,$B512)*(IF($B512="Cardboard Recycling",SUMIFS(Fact_SortedWeights!$E$2:$E$89,Fact_SortedWeights!$C$2:$C$89,$A512,Fact_SortedWeights!$B$2:$B$89,$B512),SUMIFS(Fact_PreSortWeights!$E$2:$E$186,Fact_PreSortWeights!$C$2:$C$186,$A512,Fact_PreSortWeights!$B$2:$B$186,$B512))))</f>
        <v>0</v>
      </c>
      <c r="G512" s="0" t="n">
        <f aca="false">IF(AND(IF($B512="Trash",INDEX('Materials Master'!$F$2:$F$27,MATCH($C512,'Materials Master'!$A$2:$A$27,0)),IF($B512="GMPC Recycling",INDEX('Materials Master'!$G$2:$G$27,MATCH($C512,'Materials Master'!$A$2:$A$27,0)),IF($B512="Organics Recycling",INDEX('Materials Master'!$H$2:$H$27,MATCH($C512,'Materials Master'!$A$2:$A$27,0)),IF($B512="Cardboard Recycling",INDEX('Materials Master'!$I$2:$I$27,MATCH($C512,'Materials Master'!$A$2:$A$27,0)),IF($B512="Paper Recycling",INDEX('Materials Master'!$J$2:$J$27,MATCH($C512,'Materials Master'!$A$2:$A$27,0)),IF($B512="Terracycle",INDEX('Materials Master'!$K$2:$K$27,MATCH($C512,'Materials Master'!$A$2:$A$27,0)),"No"))))))="Yes",INDEX('Materials Master'!$E$2:$E$27,MATCH($C512,'Materials Master'!$A$2:$A$27,0))="Yes",$B512&lt;&gt;"Trash"),1,0)</f>
        <v>0</v>
      </c>
      <c r="H512" s="0" t="str">
        <f aca="false">INDEX('Materials Master'!$E$2:$E$27,MATCH($C512,'Materials Master'!$A$2:$A$27,0))</f>
        <v>Yes</v>
      </c>
      <c r="I512" s="0" t="str">
        <f aca="false">IFERROR(INDEX(Areas!$C$2:$C$6,MATCH($A512,Areas!$B$2:$B$6,0)),"")</f>
        <v>Rest of Building</v>
      </c>
      <c r="J512" s="0" t="n">
        <f aca="false">IF(IF($B512="Trash",INDEX('Materials Master'!$F$2:$F$27,MATCH($C512,'Materials Master'!$A$2:$A$27,0)),IF($B512="GMPC Recycling",INDEX('Materials Master'!$G$2:$G$27,MATCH($C512,'Materials Master'!$A$2:$A$27,0)),IF($B512="Organics Recycling",INDEX('Materials Master'!$H$2:$H$27,MATCH($C512,'Materials Master'!$A$2:$A$27,0)),IF($B512="Cardboard Recycling",INDEX('Materials Master'!$I$2:$I$27,MATCH($C512,'Materials Master'!$A$2:$A$27,0)),IF($B512="Paper Recycling",INDEX('Materials Master'!$J$2:$J$27,MATCH($C512,'Materials Master'!$A$2:$A$27,0)),IF($B512="Terracycle",INDEX('Materials Master'!$K$2:$K$27,MATCH($C512,'Materials Master'!$A$2:$A$27,0)),"No"))))))="Yes",1,0)</f>
        <v>0</v>
      </c>
    </row>
    <row r="513" customFormat="false" ht="15" hidden="false" customHeight="false" outlineLevel="0" collapsed="false">
      <c r="A513" s="0" t="s">
        <v>100</v>
      </c>
      <c r="B513" s="0" t="s">
        <v>104</v>
      </c>
      <c r="C513" s="0" t="s">
        <v>69</v>
      </c>
      <c r="D513" s="0" t="str">
        <f aca="false">IFERROR(INDEX('Materials Master'!$B$2:$B$27,MATCH($C513,'Materials Master'!$A$2:$A$27,0)),"")</f>
        <v>Paper Fibers and Food-Soiled Paper (FSP)</v>
      </c>
      <c r="E513" s="0" t="str">
        <f aca="false">IFERROR(INDEX('Materials Master'!$C$2:$C$27,MATCH($C513,'Materials Master'!$A$2:$A$27,0)),"")</f>
        <v>Organics</v>
      </c>
      <c r="F513" s="0" t="n">
        <f aca="false">IF(SUMIFS(Fact_SortedWeights!$E$2:$E$89,Fact_SortedWeights!$C$2:$C$89,$A513,Fact_SortedWeights!$B$2:$B$89,$B513)=0,0,SUMIFS(Fact_SortedWeights!$E$2:$E$89,Fact_SortedWeights!$C$2:$C$89,$A513,Fact_SortedWeights!$B$2:$B$89,$B513,Fact_SortedWeights!$D$2:$D$89,$C513)/SUMIFS(Fact_SortedWeights!$E$2:$E$89,Fact_SortedWeights!$C$2:$C$89,$A513,Fact_SortedWeights!$B$2:$B$89,$B513)*(IF($B513="Cardboard Recycling",SUMIFS(Fact_SortedWeights!$E$2:$E$89,Fact_SortedWeights!$C$2:$C$89,$A513,Fact_SortedWeights!$B$2:$B$89,$B513),SUMIFS(Fact_PreSortWeights!$E$2:$E$186,Fact_PreSortWeights!$C$2:$C$186,$A513,Fact_PreSortWeights!$B$2:$B$186,$B513))))</f>
        <v>0</v>
      </c>
      <c r="G513" s="0" t="n">
        <f aca="false">IF(AND(IF($B513="Trash",INDEX('Materials Master'!$F$2:$F$27,MATCH($C513,'Materials Master'!$A$2:$A$27,0)),IF($B513="GMPC Recycling",INDEX('Materials Master'!$G$2:$G$27,MATCH($C513,'Materials Master'!$A$2:$A$27,0)),IF($B513="Organics Recycling",INDEX('Materials Master'!$H$2:$H$27,MATCH($C513,'Materials Master'!$A$2:$A$27,0)),IF($B513="Cardboard Recycling",INDEX('Materials Master'!$I$2:$I$27,MATCH($C513,'Materials Master'!$A$2:$A$27,0)),IF($B513="Paper Recycling",INDEX('Materials Master'!$J$2:$J$27,MATCH($C513,'Materials Master'!$A$2:$A$27,0)),IF($B513="Terracycle",INDEX('Materials Master'!$K$2:$K$27,MATCH($C513,'Materials Master'!$A$2:$A$27,0)),"No"))))))="Yes",INDEX('Materials Master'!$E$2:$E$27,MATCH($C513,'Materials Master'!$A$2:$A$27,0))="Yes",$B513&lt;&gt;"Trash"),1,0)</f>
        <v>0</v>
      </c>
      <c r="H513" s="0" t="str">
        <f aca="false">INDEX('Materials Master'!$E$2:$E$27,MATCH($C513,'Materials Master'!$A$2:$A$27,0))</f>
        <v>No</v>
      </c>
      <c r="I513" s="0" t="str">
        <f aca="false">IFERROR(INDEX(Areas!$C$2:$C$6,MATCH($A513,Areas!$B$2:$B$6,0)),"")</f>
        <v>Rest of Building</v>
      </c>
      <c r="J513" s="0" t="n">
        <f aca="false">IF(IF($B513="Trash",INDEX('Materials Master'!$F$2:$F$27,MATCH($C513,'Materials Master'!$A$2:$A$27,0)),IF($B513="GMPC Recycling",INDEX('Materials Master'!$G$2:$G$27,MATCH($C513,'Materials Master'!$A$2:$A$27,0)),IF($B513="Organics Recycling",INDEX('Materials Master'!$H$2:$H$27,MATCH($C513,'Materials Master'!$A$2:$A$27,0)),IF($B513="Cardboard Recycling",INDEX('Materials Master'!$I$2:$I$27,MATCH($C513,'Materials Master'!$A$2:$A$27,0)),IF($B513="Paper Recycling",INDEX('Materials Master'!$J$2:$J$27,MATCH($C513,'Materials Master'!$A$2:$A$27,0)),IF($B513="Terracycle",INDEX('Materials Master'!$K$2:$K$27,MATCH($C513,'Materials Master'!$A$2:$A$27,0)),"No"))))))="Yes",1,0)</f>
        <v>0</v>
      </c>
    </row>
    <row r="514" customFormat="false" ht="15" hidden="false" customHeight="false" outlineLevel="0" collapsed="false">
      <c r="A514" s="0" t="s">
        <v>100</v>
      </c>
      <c r="B514" s="0" t="s">
        <v>104</v>
      </c>
      <c r="C514" s="0" t="s">
        <v>71</v>
      </c>
      <c r="D514" s="0" t="str">
        <f aca="false">IFERROR(INDEX('Materials Master'!$B$2:$B$27,MATCH($C514,'Materials Master'!$A$2:$A$27,0)),"")</f>
        <v>Fiber-based Compostable Serviceware</v>
      </c>
      <c r="E514" s="0" t="str">
        <f aca="false">IFERROR(INDEX('Materials Master'!$C$2:$C$27,MATCH($C514,'Materials Master'!$A$2:$A$27,0)),"")</f>
        <v>Organics</v>
      </c>
      <c r="F514" s="0" t="n">
        <f aca="false">IF(SUMIFS(Fact_SortedWeights!$E$2:$E$89,Fact_SortedWeights!$C$2:$C$89,$A514,Fact_SortedWeights!$B$2:$B$89,$B514)=0,0,SUMIFS(Fact_SortedWeights!$E$2:$E$89,Fact_SortedWeights!$C$2:$C$89,$A514,Fact_SortedWeights!$B$2:$B$89,$B514,Fact_SortedWeights!$D$2:$D$89,$C514)/SUMIFS(Fact_SortedWeights!$E$2:$E$89,Fact_SortedWeights!$C$2:$C$89,$A514,Fact_SortedWeights!$B$2:$B$89,$B514)*(IF($B514="Cardboard Recycling",SUMIFS(Fact_SortedWeights!$E$2:$E$89,Fact_SortedWeights!$C$2:$C$89,$A514,Fact_SortedWeights!$B$2:$B$89,$B514),SUMIFS(Fact_PreSortWeights!$E$2:$E$186,Fact_PreSortWeights!$C$2:$C$186,$A514,Fact_PreSortWeights!$B$2:$B$186,$B514))))</f>
        <v>0</v>
      </c>
      <c r="G514" s="0" t="n">
        <f aca="false">IF(AND(IF($B514="Trash",INDEX('Materials Master'!$F$2:$F$27,MATCH($C514,'Materials Master'!$A$2:$A$27,0)),IF($B514="GMPC Recycling",INDEX('Materials Master'!$G$2:$G$27,MATCH($C514,'Materials Master'!$A$2:$A$27,0)),IF($B514="Organics Recycling",INDEX('Materials Master'!$H$2:$H$27,MATCH($C514,'Materials Master'!$A$2:$A$27,0)),IF($B514="Cardboard Recycling",INDEX('Materials Master'!$I$2:$I$27,MATCH($C514,'Materials Master'!$A$2:$A$27,0)),IF($B514="Paper Recycling",INDEX('Materials Master'!$J$2:$J$27,MATCH($C514,'Materials Master'!$A$2:$A$27,0)),IF($B514="Terracycle",INDEX('Materials Master'!$K$2:$K$27,MATCH($C514,'Materials Master'!$A$2:$A$27,0)),"No"))))))="Yes",INDEX('Materials Master'!$E$2:$E$27,MATCH($C514,'Materials Master'!$A$2:$A$27,0))="Yes",$B514&lt;&gt;"Trash"),1,0)</f>
        <v>0</v>
      </c>
      <c r="H514" s="0" t="str">
        <f aca="false">INDEX('Materials Master'!$E$2:$E$27,MATCH($C514,'Materials Master'!$A$2:$A$27,0))</f>
        <v>No</v>
      </c>
      <c r="I514" s="0" t="str">
        <f aca="false">IFERROR(INDEX(Areas!$C$2:$C$6,MATCH($A514,Areas!$B$2:$B$6,0)),"")</f>
        <v>Rest of Building</v>
      </c>
      <c r="J514" s="0" t="n">
        <f aca="false">IF(IF($B514="Trash",INDEX('Materials Master'!$F$2:$F$27,MATCH($C514,'Materials Master'!$A$2:$A$27,0)),IF($B514="GMPC Recycling",INDEX('Materials Master'!$G$2:$G$27,MATCH($C514,'Materials Master'!$A$2:$A$27,0)),IF($B514="Organics Recycling",INDEX('Materials Master'!$H$2:$H$27,MATCH($C514,'Materials Master'!$A$2:$A$27,0)),IF($B514="Cardboard Recycling",INDEX('Materials Master'!$I$2:$I$27,MATCH($C514,'Materials Master'!$A$2:$A$27,0)),IF($B514="Paper Recycling",INDEX('Materials Master'!$J$2:$J$27,MATCH($C514,'Materials Master'!$A$2:$A$27,0)),IF($B514="Terracycle",INDEX('Materials Master'!$K$2:$K$27,MATCH($C514,'Materials Master'!$A$2:$A$27,0)),"No"))))))="Yes",1,0)</f>
        <v>0</v>
      </c>
    </row>
    <row r="515" customFormat="false" ht="15" hidden="false" customHeight="false" outlineLevel="0" collapsed="false">
      <c r="A515" s="0" t="s">
        <v>100</v>
      </c>
      <c r="B515" s="0" t="s">
        <v>104</v>
      </c>
      <c r="C515" s="0" t="s">
        <v>73</v>
      </c>
      <c r="D515" s="0" t="str">
        <f aca="false">IFERROR(INDEX('Materials Master'!$B$2:$B$27,MATCH($C515,'Materials Master'!$A$2:$A$27,0)),"")</f>
        <v>PLA Compostable Serviceware</v>
      </c>
      <c r="E515" s="0" t="str">
        <f aca="false">IFERROR(INDEX('Materials Master'!$C$2:$C$27,MATCH($C515,'Materials Master'!$A$2:$A$27,0)),"")</f>
        <v>Organics</v>
      </c>
      <c r="F515" s="0" t="n">
        <f aca="false">IF(SUMIFS(Fact_SortedWeights!$E$2:$E$89,Fact_SortedWeights!$C$2:$C$89,$A515,Fact_SortedWeights!$B$2:$B$89,$B515)=0,0,SUMIFS(Fact_SortedWeights!$E$2:$E$89,Fact_SortedWeights!$C$2:$C$89,$A515,Fact_SortedWeights!$B$2:$B$89,$B515,Fact_SortedWeights!$D$2:$D$89,$C515)/SUMIFS(Fact_SortedWeights!$E$2:$E$89,Fact_SortedWeights!$C$2:$C$89,$A515,Fact_SortedWeights!$B$2:$B$89,$B515)*(IF($B515="Cardboard Recycling",SUMIFS(Fact_SortedWeights!$E$2:$E$89,Fact_SortedWeights!$C$2:$C$89,$A515,Fact_SortedWeights!$B$2:$B$89,$B515),SUMIFS(Fact_PreSortWeights!$E$2:$E$186,Fact_PreSortWeights!$C$2:$C$186,$A515,Fact_PreSortWeights!$B$2:$B$186,$B515))))</f>
        <v>0</v>
      </c>
      <c r="G515" s="0" t="n">
        <f aca="false">IF(AND(IF($B515="Trash",INDEX('Materials Master'!$F$2:$F$27,MATCH($C515,'Materials Master'!$A$2:$A$27,0)),IF($B515="GMPC Recycling",INDEX('Materials Master'!$G$2:$G$27,MATCH($C515,'Materials Master'!$A$2:$A$27,0)),IF($B515="Organics Recycling",INDEX('Materials Master'!$H$2:$H$27,MATCH($C515,'Materials Master'!$A$2:$A$27,0)),IF($B515="Cardboard Recycling",INDEX('Materials Master'!$I$2:$I$27,MATCH($C515,'Materials Master'!$A$2:$A$27,0)),IF($B515="Paper Recycling",INDEX('Materials Master'!$J$2:$J$27,MATCH($C515,'Materials Master'!$A$2:$A$27,0)),IF($B515="Terracycle",INDEX('Materials Master'!$K$2:$K$27,MATCH($C515,'Materials Master'!$A$2:$A$27,0)),"No"))))))="Yes",INDEX('Materials Master'!$E$2:$E$27,MATCH($C515,'Materials Master'!$A$2:$A$27,0))="Yes",$B515&lt;&gt;"Trash"),1,0)</f>
        <v>0</v>
      </c>
      <c r="H515" s="0" t="str">
        <f aca="false">INDEX('Materials Master'!$E$2:$E$27,MATCH($C515,'Materials Master'!$A$2:$A$27,0))</f>
        <v>No</v>
      </c>
      <c r="I515" s="0" t="str">
        <f aca="false">IFERROR(INDEX(Areas!$C$2:$C$6,MATCH($A515,Areas!$B$2:$B$6,0)),"")</f>
        <v>Rest of Building</v>
      </c>
      <c r="J515" s="0" t="n">
        <f aca="false">IF(IF($B515="Trash",INDEX('Materials Master'!$F$2:$F$27,MATCH($C515,'Materials Master'!$A$2:$A$27,0)),IF($B515="GMPC Recycling",INDEX('Materials Master'!$G$2:$G$27,MATCH($C515,'Materials Master'!$A$2:$A$27,0)),IF($B515="Organics Recycling",INDEX('Materials Master'!$H$2:$H$27,MATCH($C515,'Materials Master'!$A$2:$A$27,0)),IF($B515="Cardboard Recycling",INDEX('Materials Master'!$I$2:$I$27,MATCH($C515,'Materials Master'!$A$2:$A$27,0)),IF($B515="Paper Recycling",INDEX('Materials Master'!$J$2:$J$27,MATCH($C515,'Materials Master'!$A$2:$A$27,0)),IF($B515="Terracycle",INDEX('Materials Master'!$K$2:$K$27,MATCH($C515,'Materials Master'!$A$2:$A$27,0)),"No"))))))="Yes",1,0)</f>
        <v>0</v>
      </c>
    </row>
    <row r="516" customFormat="false" ht="15" hidden="false" customHeight="false" outlineLevel="0" collapsed="false">
      <c r="A516" s="0" t="s">
        <v>100</v>
      </c>
      <c r="B516" s="0" t="s">
        <v>104</v>
      </c>
      <c r="C516" s="0" t="s">
        <v>75</v>
      </c>
      <c r="D516" s="0" t="str">
        <f aca="false">IFERROR(INDEX('Materials Master'!$B$2:$B$27,MATCH($C516,'Materials Master'!$A$2:$A$27,0)),"")</f>
        <v>E/U Waste</v>
      </c>
      <c r="E516" s="0" t="str">
        <f aca="false">IFERROR(INDEX('Materials Master'!$C$2:$C$27,MATCH($C516,'Materials Master'!$A$2:$A$27,0)),"")</f>
        <v>Unacceptable</v>
      </c>
      <c r="F516" s="0" t="n">
        <f aca="false">IF(SUMIFS(Fact_SortedWeights!$E$2:$E$89,Fact_SortedWeights!$C$2:$C$89,$A516,Fact_SortedWeights!$B$2:$B$89,$B516)=0,0,SUMIFS(Fact_SortedWeights!$E$2:$E$89,Fact_SortedWeights!$C$2:$C$89,$A516,Fact_SortedWeights!$B$2:$B$89,$B516,Fact_SortedWeights!$D$2:$D$89,$C516)/SUMIFS(Fact_SortedWeights!$E$2:$E$89,Fact_SortedWeights!$C$2:$C$89,$A516,Fact_SortedWeights!$B$2:$B$89,$B516)*(IF($B516="Cardboard Recycling",SUMIFS(Fact_SortedWeights!$E$2:$E$89,Fact_SortedWeights!$C$2:$C$89,$A516,Fact_SortedWeights!$B$2:$B$89,$B516),SUMIFS(Fact_PreSortWeights!$E$2:$E$186,Fact_PreSortWeights!$C$2:$C$186,$A516,Fact_PreSortWeights!$B$2:$B$186,$B516))))</f>
        <v>0</v>
      </c>
      <c r="G516" s="0" t="n">
        <f aca="false">IF(AND(IF($B516="Trash",INDEX('Materials Master'!$F$2:$F$27,MATCH($C516,'Materials Master'!$A$2:$A$27,0)),IF($B516="GMPC Recycling",INDEX('Materials Master'!$G$2:$G$27,MATCH($C516,'Materials Master'!$A$2:$A$27,0)),IF($B516="Organics Recycling",INDEX('Materials Master'!$H$2:$H$27,MATCH($C516,'Materials Master'!$A$2:$A$27,0)),IF($B516="Cardboard Recycling",INDEX('Materials Master'!$I$2:$I$27,MATCH($C516,'Materials Master'!$A$2:$A$27,0)),IF($B516="Paper Recycling",INDEX('Materials Master'!$J$2:$J$27,MATCH($C516,'Materials Master'!$A$2:$A$27,0)),IF($B516="Terracycle",INDEX('Materials Master'!$K$2:$K$27,MATCH($C516,'Materials Master'!$A$2:$A$27,0)),"No"))))))="Yes",INDEX('Materials Master'!$E$2:$E$27,MATCH($C516,'Materials Master'!$A$2:$A$27,0))="Yes",$B516&lt;&gt;"Trash"),1,0)</f>
        <v>0</v>
      </c>
      <c r="H516" s="0" t="str">
        <f aca="false">INDEX('Materials Master'!$E$2:$E$27,MATCH($C516,'Materials Master'!$A$2:$A$27,0))</f>
        <v>No</v>
      </c>
      <c r="I516" s="0" t="str">
        <f aca="false">IFERROR(INDEX(Areas!$C$2:$C$6,MATCH($A516,Areas!$B$2:$B$6,0)),"")</f>
        <v>Rest of Building</v>
      </c>
      <c r="J516" s="0" t="n">
        <f aca="false">IF(IF($B516="Trash",INDEX('Materials Master'!$F$2:$F$27,MATCH($C516,'Materials Master'!$A$2:$A$27,0)),IF($B516="GMPC Recycling",INDEX('Materials Master'!$G$2:$G$27,MATCH($C516,'Materials Master'!$A$2:$A$27,0)),IF($B516="Organics Recycling",INDEX('Materials Master'!$H$2:$H$27,MATCH($C516,'Materials Master'!$A$2:$A$27,0)),IF($B516="Cardboard Recycling",INDEX('Materials Master'!$I$2:$I$27,MATCH($C516,'Materials Master'!$A$2:$A$27,0)),IF($B516="Paper Recycling",INDEX('Materials Master'!$J$2:$J$27,MATCH($C516,'Materials Master'!$A$2:$A$27,0)),IF($B516="Terracycle",INDEX('Materials Master'!$K$2:$K$27,MATCH($C516,'Materials Master'!$A$2:$A$27,0)),"No"))))))="Yes",1,0)</f>
        <v>0</v>
      </c>
    </row>
    <row r="517" customFormat="false" ht="15" hidden="false" customHeight="false" outlineLevel="0" collapsed="false">
      <c r="A517" s="0" t="s">
        <v>100</v>
      </c>
      <c r="B517" s="0" t="s">
        <v>104</v>
      </c>
      <c r="C517" s="0" t="s">
        <v>78</v>
      </c>
      <c r="D517" s="0" t="str">
        <f aca="false">IFERROR(INDEX('Materials Master'!$B$2:$B$27,MATCH($C517,'Materials Master'!$A$2:$A$27,0)),"")</f>
        <v>Textiles</v>
      </c>
      <c r="E517" s="0" t="str">
        <f aca="false">IFERROR(INDEX('Materials Master'!$C$2:$C$27,MATCH($C517,'Materials Master'!$A$2:$A$27,0)),"")</f>
        <v>Unacceptable</v>
      </c>
      <c r="F517" s="0" t="n">
        <f aca="false">IF(SUMIFS(Fact_SortedWeights!$E$2:$E$89,Fact_SortedWeights!$C$2:$C$89,$A517,Fact_SortedWeights!$B$2:$B$89,$B517)=0,0,SUMIFS(Fact_SortedWeights!$E$2:$E$89,Fact_SortedWeights!$C$2:$C$89,$A517,Fact_SortedWeights!$B$2:$B$89,$B517,Fact_SortedWeights!$D$2:$D$89,$C517)/SUMIFS(Fact_SortedWeights!$E$2:$E$89,Fact_SortedWeights!$C$2:$C$89,$A517,Fact_SortedWeights!$B$2:$B$89,$B517)*(IF($B517="Cardboard Recycling",SUMIFS(Fact_SortedWeights!$E$2:$E$89,Fact_SortedWeights!$C$2:$C$89,$A517,Fact_SortedWeights!$B$2:$B$89,$B517),SUMIFS(Fact_PreSortWeights!$E$2:$E$186,Fact_PreSortWeights!$C$2:$C$186,$A517,Fact_PreSortWeights!$B$2:$B$186,$B517))))</f>
        <v>0</v>
      </c>
      <c r="G517" s="0" t="n">
        <f aca="false">IF(AND(IF($B517="Trash",INDEX('Materials Master'!$F$2:$F$27,MATCH($C517,'Materials Master'!$A$2:$A$27,0)),IF($B517="GMPC Recycling",INDEX('Materials Master'!$G$2:$G$27,MATCH($C517,'Materials Master'!$A$2:$A$27,0)),IF($B517="Organics Recycling",INDEX('Materials Master'!$H$2:$H$27,MATCH($C517,'Materials Master'!$A$2:$A$27,0)),IF($B517="Cardboard Recycling",INDEX('Materials Master'!$I$2:$I$27,MATCH($C517,'Materials Master'!$A$2:$A$27,0)),IF($B517="Paper Recycling",INDEX('Materials Master'!$J$2:$J$27,MATCH($C517,'Materials Master'!$A$2:$A$27,0)),IF($B517="Terracycle",INDEX('Materials Master'!$K$2:$K$27,MATCH($C517,'Materials Master'!$A$2:$A$27,0)),"No"))))))="Yes",INDEX('Materials Master'!$E$2:$E$27,MATCH($C517,'Materials Master'!$A$2:$A$27,0))="Yes",$B517&lt;&gt;"Trash"),1,0)</f>
        <v>0</v>
      </c>
      <c r="H517" s="0" t="str">
        <f aca="false">INDEX('Materials Master'!$E$2:$E$27,MATCH($C517,'Materials Master'!$A$2:$A$27,0))</f>
        <v>No</v>
      </c>
      <c r="I517" s="0" t="str">
        <f aca="false">IFERROR(INDEX(Areas!$C$2:$C$6,MATCH($A517,Areas!$B$2:$B$6,0)),"")</f>
        <v>Rest of Building</v>
      </c>
      <c r="J517" s="0" t="n">
        <f aca="false">IF(IF($B517="Trash",INDEX('Materials Master'!$F$2:$F$27,MATCH($C517,'Materials Master'!$A$2:$A$27,0)),IF($B517="GMPC Recycling",INDEX('Materials Master'!$G$2:$G$27,MATCH($C517,'Materials Master'!$A$2:$A$27,0)),IF($B517="Organics Recycling",INDEX('Materials Master'!$H$2:$H$27,MATCH($C517,'Materials Master'!$A$2:$A$27,0)),IF($B517="Cardboard Recycling",INDEX('Materials Master'!$I$2:$I$27,MATCH($C517,'Materials Master'!$A$2:$A$27,0)),IF($B517="Paper Recycling",INDEX('Materials Master'!$J$2:$J$27,MATCH($C517,'Materials Master'!$A$2:$A$27,0)),IF($B517="Terracycle",INDEX('Materials Master'!$K$2:$K$27,MATCH($C517,'Materials Master'!$A$2:$A$27,0)),"No"))))))="Yes",1,0)</f>
        <v>0</v>
      </c>
    </row>
    <row r="518" customFormat="false" ht="15" hidden="false" customHeight="false" outlineLevel="0" collapsed="false">
      <c r="A518" s="0" t="s">
        <v>100</v>
      </c>
      <c r="B518" s="0" t="s">
        <v>104</v>
      </c>
      <c r="C518" s="0" t="s">
        <v>80</v>
      </c>
      <c r="D518" s="0" t="str">
        <f aca="false">IFERROR(INDEX('Materials Master'!$B$2:$B$27,MATCH($C518,'Materials Master'!$A$2:$A$27,0)),"")</f>
        <v>Other Unacceptable (specify)</v>
      </c>
      <c r="E518" s="0" t="str">
        <f aca="false">IFERROR(INDEX('Materials Master'!$C$2:$C$27,MATCH($C518,'Materials Master'!$A$2:$A$27,0)),"")</f>
        <v>Unacceptable</v>
      </c>
      <c r="F518" s="0" t="n">
        <f aca="false">IF(SUMIFS(Fact_SortedWeights!$E$2:$E$89,Fact_SortedWeights!$C$2:$C$89,$A518,Fact_SortedWeights!$B$2:$B$89,$B518)=0,0,SUMIFS(Fact_SortedWeights!$E$2:$E$89,Fact_SortedWeights!$C$2:$C$89,$A518,Fact_SortedWeights!$B$2:$B$89,$B518,Fact_SortedWeights!$D$2:$D$89,$C518)/SUMIFS(Fact_SortedWeights!$E$2:$E$89,Fact_SortedWeights!$C$2:$C$89,$A518,Fact_SortedWeights!$B$2:$B$89,$B518)*(IF($B518="Cardboard Recycling",SUMIFS(Fact_SortedWeights!$E$2:$E$89,Fact_SortedWeights!$C$2:$C$89,$A518,Fact_SortedWeights!$B$2:$B$89,$B518),SUMIFS(Fact_PreSortWeights!$E$2:$E$186,Fact_PreSortWeights!$C$2:$C$186,$A518,Fact_PreSortWeights!$B$2:$B$186,$B518))))</f>
        <v>0</v>
      </c>
      <c r="G518" s="0" t="n">
        <f aca="false">IF(AND(IF($B518="Trash",INDEX('Materials Master'!$F$2:$F$27,MATCH($C518,'Materials Master'!$A$2:$A$27,0)),IF($B518="GMPC Recycling",INDEX('Materials Master'!$G$2:$G$27,MATCH($C518,'Materials Master'!$A$2:$A$27,0)),IF($B518="Organics Recycling",INDEX('Materials Master'!$H$2:$H$27,MATCH($C518,'Materials Master'!$A$2:$A$27,0)),IF($B518="Cardboard Recycling",INDEX('Materials Master'!$I$2:$I$27,MATCH($C518,'Materials Master'!$A$2:$A$27,0)),IF($B518="Paper Recycling",INDEX('Materials Master'!$J$2:$J$27,MATCH($C518,'Materials Master'!$A$2:$A$27,0)),IF($B518="Terracycle",INDEX('Materials Master'!$K$2:$K$27,MATCH($C518,'Materials Master'!$A$2:$A$27,0)),"No"))))))="Yes",INDEX('Materials Master'!$E$2:$E$27,MATCH($C518,'Materials Master'!$A$2:$A$27,0))="Yes",$B518&lt;&gt;"Trash"),1,0)</f>
        <v>0</v>
      </c>
      <c r="H518" s="0" t="str">
        <f aca="false">INDEX('Materials Master'!$E$2:$E$27,MATCH($C518,'Materials Master'!$A$2:$A$27,0))</f>
        <v>No</v>
      </c>
      <c r="I518" s="0" t="str">
        <f aca="false">IFERROR(INDEX(Areas!$C$2:$C$6,MATCH($A518,Areas!$B$2:$B$6,0)),"")</f>
        <v>Rest of Building</v>
      </c>
      <c r="J518" s="0" t="n">
        <f aca="false">IF(IF($B518="Trash",INDEX('Materials Master'!$F$2:$F$27,MATCH($C518,'Materials Master'!$A$2:$A$27,0)),IF($B518="GMPC Recycling",INDEX('Materials Master'!$G$2:$G$27,MATCH($C518,'Materials Master'!$A$2:$A$27,0)),IF($B518="Organics Recycling",INDEX('Materials Master'!$H$2:$H$27,MATCH($C518,'Materials Master'!$A$2:$A$27,0)),IF($B518="Cardboard Recycling",INDEX('Materials Master'!$I$2:$I$27,MATCH($C518,'Materials Master'!$A$2:$A$27,0)),IF($B518="Paper Recycling",INDEX('Materials Master'!$J$2:$J$27,MATCH($C518,'Materials Master'!$A$2:$A$27,0)),IF($B518="Terracycle",INDEX('Materials Master'!$K$2:$K$27,MATCH($C518,'Materials Master'!$A$2:$A$27,0)),"No"))))))="Yes",1,0)</f>
        <v>0</v>
      </c>
    </row>
    <row r="519" customFormat="false" ht="15" hidden="false" customHeight="false" outlineLevel="0" collapsed="false">
      <c r="A519" s="0" t="s">
        <v>100</v>
      </c>
      <c r="B519" s="0" t="s">
        <v>104</v>
      </c>
      <c r="C519" s="0" t="s">
        <v>82</v>
      </c>
      <c r="D519" s="0" t="str">
        <f aca="false">IFERROR(INDEX('Materials Master'!$B$2:$B$27,MATCH($C519,'Materials Master'!$A$2:$A$27,0)),"")</f>
        <v>Liquids</v>
      </c>
      <c r="E519" s="0" t="str">
        <f aca="false">IFERROR(INDEX('Materials Master'!$C$2:$C$27,MATCH($C519,'Materials Master'!$A$2:$A$27,0)),"")</f>
        <v>Unacceptable</v>
      </c>
      <c r="F519" s="0" t="n">
        <f aca="false">IF(SUMIFS(Fact_SortedWeights!$E$2:$E$89,Fact_SortedWeights!$C$2:$C$89,$A519,Fact_SortedWeights!$B$2:$B$89,$B519)=0,0,SUMIFS(Fact_SortedWeights!$E$2:$E$89,Fact_SortedWeights!$C$2:$C$89,$A519,Fact_SortedWeights!$B$2:$B$89,$B519,Fact_SortedWeights!$D$2:$D$89,$C519)/SUMIFS(Fact_SortedWeights!$E$2:$E$89,Fact_SortedWeights!$C$2:$C$89,$A519,Fact_SortedWeights!$B$2:$B$89,$B519)*(IF($B519="Cardboard Recycling",SUMIFS(Fact_SortedWeights!$E$2:$E$89,Fact_SortedWeights!$C$2:$C$89,$A519,Fact_SortedWeights!$B$2:$B$89,$B519),SUMIFS(Fact_PreSortWeights!$E$2:$E$186,Fact_PreSortWeights!$C$2:$C$186,$A519,Fact_PreSortWeights!$B$2:$B$186,$B519))))</f>
        <v>0</v>
      </c>
      <c r="G519" s="0" t="n">
        <f aca="false">IF(AND(IF($B519="Trash",INDEX('Materials Master'!$F$2:$F$27,MATCH($C519,'Materials Master'!$A$2:$A$27,0)),IF($B519="GMPC Recycling",INDEX('Materials Master'!$G$2:$G$27,MATCH($C519,'Materials Master'!$A$2:$A$27,0)),IF($B519="Organics Recycling",INDEX('Materials Master'!$H$2:$H$27,MATCH($C519,'Materials Master'!$A$2:$A$27,0)),IF($B519="Cardboard Recycling",INDEX('Materials Master'!$I$2:$I$27,MATCH($C519,'Materials Master'!$A$2:$A$27,0)),IF($B519="Paper Recycling",INDEX('Materials Master'!$J$2:$J$27,MATCH($C519,'Materials Master'!$A$2:$A$27,0)),IF($B519="Terracycle",INDEX('Materials Master'!$K$2:$K$27,MATCH($C519,'Materials Master'!$A$2:$A$27,0)),"No"))))))="Yes",INDEX('Materials Master'!$E$2:$E$27,MATCH($C519,'Materials Master'!$A$2:$A$27,0))="Yes",$B519&lt;&gt;"Trash"),1,0)</f>
        <v>0</v>
      </c>
      <c r="H519" s="0" t="str">
        <f aca="false">INDEX('Materials Master'!$E$2:$E$27,MATCH($C519,'Materials Master'!$A$2:$A$27,0))</f>
        <v>No</v>
      </c>
      <c r="I519" s="0" t="str">
        <f aca="false">IFERROR(INDEX(Areas!$C$2:$C$6,MATCH($A519,Areas!$B$2:$B$6,0)),"")</f>
        <v>Rest of Building</v>
      </c>
      <c r="J519" s="0" t="n">
        <f aca="false">IF(IF($B519="Trash",INDEX('Materials Master'!$F$2:$F$27,MATCH($C519,'Materials Master'!$A$2:$A$27,0)),IF($B519="GMPC Recycling",INDEX('Materials Master'!$G$2:$G$27,MATCH($C519,'Materials Master'!$A$2:$A$27,0)),IF($B519="Organics Recycling",INDEX('Materials Master'!$H$2:$H$27,MATCH($C519,'Materials Master'!$A$2:$A$27,0)),IF($B519="Cardboard Recycling",INDEX('Materials Master'!$I$2:$I$27,MATCH($C519,'Materials Master'!$A$2:$A$27,0)),IF($B519="Paper Recycling",INDEX('Materials Master'!$J$2:$J$27,MATCH($C519,'Materials Master'!$A$2:$A$27,0)),IF($B519="Terracycle",INDEX('Materials Master'!$K$2:$K$27,MATCH($C519,'Materials Master'!$A$2:$A$27,0)),"No"))))))="Yes",1,0)</f>
        <v>0</v>
      </c>
    </row>
    <row r="520" customFormat="false" ht="15" hidden="false" customHeight="false" outlineLevel="0" collapsed="false">
      <c r="A520" s="0" t="s">
        <v>100</v>
      </c>
      <c r="B520" s="0" t="s">
        <v>104</v>
      </c>
      <c r="C520" s="0" t="s">
        <v>84</v>
      </c>
      <c r="D520" s="0" t="str">
        <f aca="false">IFERROR(INDEX('Materials Master'!$B$2:$B$27,MATCH($C520,'Materials Master'!$A$2:$A$27,0)),"")</f>
        <v>Snack Wrappers (Composites)</v>
      </c>
      <c r="E520" s="0" t="str">
        <f aca="false">IFERROR(INDEX('Materials Master'!$C$2:$C$27,MATCH($C520,'Materials Master'!$A$2:$A$27,0)),"")</f>
        <v>Other</v>
      </c>
      <c r="F520" s="0" t="n">
        <f aca="false">IF(SUMIFS(Fact_SortedWeights!$E$2:$E$89,Fact_SortedWeights!$C$2:$C$89,$A520,Fact_SortedWeights!$B$2:$B$89,$B520)=0,0,SUMIFS(Fact_SortedWeights!$E$2:$E$89,Fact_SortedWeights!$C$2:$C$89,$A520,Fact_SortedWeights!$B$2:$B$89,$B520,Fact_SortedWeights!$D$2:$D$89,$C520)/SUMIFS(Fact_SortedWeights!$E$2:$E$89,Fact_SortedWeights!$C$2:$C$89,$A520,Fact_SortedWeights!$B$2:$B$89,$B520)*(IF($B520="Cardboard Recycling",SUMIFS(Fact_SortedWeights!$E$2:$E$89,Fact_SortedWeights!$C$2:$C$89,$A520,Fact_SortedWeights!$B$2:$B$89,$B520),SUMIFS(Fact_PreSortWeights!$E$2:$E$186,Fact_PreSortWeights!$C$2:$C$186,$A520,Fact_PreSortWeights!$B$2:$B$186,$B520))))</f>
        <v>0</v>
      </c>
      <c r="G520" s="0" t="n">
        <f aca="false">IF(AND(IF($B520="Trash",INDEX('Materials Master'!$F$2:$F$27,MATCH($C520,'Materials Master'!$A$2:$A$27,0)),IF($B520="GMPC Recycling",INDEX('Materials Master'!$G$2:$G$27,MATCH($C520,'Materials Master'!$A$2:$A$27,0)),IF($B520="Organics Recycling",INDEX('Materials Master'!$H$2:$H$27,MATCH($C520,'Materials Master'!$A$2:$A$27,0)),IF($B520="Cardboard Recycling",INDEX('Materials Master'!$I$2:$I$27,MATCH($C520,'Materials Master'!$A$2:$A$27,0)),IF($B520="Paper Recycling",INDEX('Materials Master'!$J$2:$J$27,MATCH($C520,'Materials Master'!$A$2:$A$27,0)),IF($B520="Terracycle",INDEX('Materials Master'!$K$2:$K$27,MATCH($C520,'Materials Master'!$A$2:$A$27,0)),"No"))))))="Yes",INDEX('Materials Master'!$E$2:$E$27,MATCH($C520,'Materials Master'!$A$2:$A$27,0))="Yes",$B520&lt;&gt;"Trash"),1,0)</f>
        <v>0</v>
      </c>
      <c r="H520" s="0" t="str">
        <f aca="false">INDEX('Materials Master'!$E$2:$E$27,MATCH($C520,'Materials Master'!$A$2:$A$27,0))</f>
        <v>Yes</v>
      </c>
      <c r="I520" s="0" t="str">
        <f aca="false">IFERROR(INDEX(Areas!$C$2:$C$6,MATCH($A520,Areas!$B$2:$B$6,0)),"")</f>
        <v>Rest of Building</v>
      </c>
      <c r="J520" s="0" t="n">
        <f aca="false">IF(IF($B520="Trash",INDEX('Materials Master'!$F$2:$F$27,MATCH($C520,'Materials Master'!$A$2:$A$27,0)),IF($B520="GMPC Recycling",INDEX('Materials Master'!$G$2:$G$27,MATCH($C520,'Materials Master'!$A$2:$A$27,0)),IF($B520="Organics Recycling",INDEX('Materials Master'!$H$2:$H$27,MATCH($C520,'Materials Master'!$A$2:$A$27,0)),IF($B520="Cardboard Recycling",INDEX('Materials Master'!$I$2:$I$27,MATCH($C520,'Materials Master'!$A$2:$A$27,0)),IF($B520="Paper Recycling",INDEX('Materials Master'!$J$2:$J$27,MATCH($C520,'Materials Master'!$A$2:$A$27,0)),IF($B520="Terracycle",INDEX('Materials Master'!$K$2:$K$27,MATCH($C520,'Materials Master'!$A$2:$A$27,0)),"No"))))))="Yes",1,0)</f>
        <v>0</v>
      </c>
    </row>
    <row r="521" customFormat="false" ht="15" hidden="false" customHeight="false" outlineLevel="0" collapsed="false">
      <c r="A521" s="0" t="s">
        <v>100</v>
      </c>
      <c r="B521" s="0" t="s">
        <v>104</v>
      </c>
      <c r="C521" s="0" t="s">
        <v>87</v>
      </c>
      <c r="D521" s="0" t="str">
        <f aca="false">IFERROR(INDEX('Materials Master'!$B$2:$B$27,MATCH($C521,'Materials Master'!$A$2:$A$27,0)),"")</f>
        <v>Other/Residual Materials</v>
      </c>
      <c r="E521" s="0" t="str">
        <f aca="false">IFERROR(INDEX('Materials Master'!$C$2:$C$27,MATCH($C521,'Materials Master'!$A$2:$A$27,0)),"")</f>
        <v>Other</v>
      </c>
      <c r="F521" s="0" t="n">
        <f aca="false">IF(SUMIFS(Fact_SortedWeights!$E$2:$E$89,Fact_SortedWeights!$C$2:$C$89,$A521,Fact_SortedWeights!$B$2:$B$89,$B521)=0,0,SUMIFS(Fact_SortedWeights!$E$2:$E$89,Fact_SortedWeights!$C$2:$C$89,$A521,Fact_SortedWeights!$B$2:$B$89,$B521,Fact_SortedWeights!$D$2:$D$89,$C521)/SUMIFS(Fact_SortedWeights!$E$2:$E$89,Fact_SortedWeights!$C$2:$C$89,$A521,Fact_SortedWeights!$B$2:$B$89,$B521)*(IF($B521="Cardboard Recycling",SUMIFS(Fact_SortedWeights!$E$2:$E$89,Fact_SortedWeights!$C$2:$C$89,$A521,Fact_SortedWeights!$B$2:$B$89,$B521),SUMIFS(Fact_PreSortWeights!$E$2:$E$186,Fact_PreSortWeights!$C$2:$C$186,$A521,Fact_PreSortWeights!$B$2:$B$186,$B521))))</f>
        <v>0</v>
      </c>
      <c r="G521" s="0" t="n">
        <f aca="false">IF(AND(IF($B521="Trash",INDEX('Materials Master'!$F$2:$F$27,MATCH($C521,'Materials Master'!$A$2:$A$27,0)),IF($B521="GMPC Recycling",INDEX('Materials Master'!$G$2:$G$27,MATCH($C521,'Materials Master'!$A$2:$A$27,0)),IF($B521="Organics Recycling",INDEX('Materials Master'!$H$2:$H$27,MATCH($C521,'Materials Master'!$A$2:$A$27,0)),IF($B521="Cardboard Recycling",INDEX('Materials Master'!$I$2:$I$27,MATCH($C521,'Materials Master'!$A$2:$A$27,0)),IF($B521="Paper Recycling",INDEX('Materials Master'!$J$2:$J$27,MATCH($C521,'Materials Master'!$A$2:$A$27,0)),IF($B521="Terracycle",INDEX('Materials Master'!$K$2:$K$27,MATCH($C521,'Materials Master'!$A$2:$A$27,0)),"No"))))))="Yes",INDEX('Materials Master'!$E$2:$E$27,MATCH($C521,'Materials Master'!$A$2:$A$27,0))="Yes",$B521&lt;&gt;"Trash"),1,0)</f>
        <v>0</v>
      </c>
      <c r="H521" s="0" t="str">
        <f aca="false">INDEX('Materials Master'!$E$2:$E$27,MATCH($C521,'Materials Master'!$A$2:$A$27,0))</f>
        <v>No</v>
      </c>
      <c r="I521" s="0" t="str">
        <f aca="false">IFERROR(INDEX(Areas!$C$2:$C$6,MATCH($A521,Areas!$B$2:$B$6,0)),"")</f>
        <v>Rest of Building</v>
      </c>
      <c r="J521" s="0" t="n">
        <f aca="false">IF(IF($B521="Trash",INDEX('Materials Master'!$F$2:$F$27,MATCH($C521,'Materials Master'!$A$2:$A$27,0)),IF($B521="GMPC Recycling",INDEX('Materials Master'!$G$2:$G$27,MATCH($C521,'Materials Master'!$A$2:$A$27,0)),IF($B521="Organics Recycling",INDEX('Materials Master'!$H$2:$H$27,MATCH($C521,'Materials Master'!$A$2:$A$27,0)),IF($B521="Cardboard Recycling",INDEX('Materials Master'!$I$2:$I$27,MATCH($C521,'Materials Master'!$A$2:$A$27,0)),IF($B521="Paper Recycling",INDEX('Materials Master'!$J$2:$J$27,MATCH($C521,'Materials Master'!$A$2:$A$27,0)),IF($B521="Terracycle",INDEX('Materials Master'!$K$2:$K$27,MATCH($C521,'Materials Master'!$A$2:$A$27,0)),"No"))))))="Yes",1,0)</f>
        <v>0</v>
      </c>
    </row>
    <row r="522" customFormat="false" ht="15" hidden="false" customHeight="false" outlineLevel="0" collapsed="false">
      <c r="A522" s="0" t="s">
        <v>100</v>
      </c>
      <c r="B522" s="0" t="s">
        <v>105</v>
      </c>
      <c r="C522" s="0" t="s">
        <v>28</v>
      </c>
      <c r="D522" s="0" t="str">
        <f aca="false">IFERROR(INDEX('Materials Master'!$B$2:$B$27,MATCH($C522,'Materials Master'!$A$2:$A$27,0)),"")</f>
        <v>Corrugated Cardboard</v>
      </c>
      <c r="E522" s="0" t="str">
        <f aca="false">IFERROR(INDEX('Materials Master'!$C$2:$C$27,MATCH($C522,'Materials Master'!$A$2:$A$27,0)),"")</f>
        <v>Fibers</v>
      </c>
      <c r="F522" s="0" t="n">
        <f aca="false">IF(SUMIFS(Fact_SortedWeights!$E$2:$E$89,Fact_SortedWeights!$C$2:$C$89,$A522,Fact_SortedWeights!$B$2:$B$89,$B522)=0,0,SUMIFS(Fact_SortedWeights!$E$2:$E$89,Fact_SortedWeights!$C$2:$C$89,$A522,Fact_SortedWeights!$B$2:$B$89,$B522,Fact_SortedWeights!$D$2:$D$89,$C522)/SUMIFS(Fact_SortedWeights!$E$2:$E$89,Fact_SortedWeights!$C$2:$C$89,$A522,Fact_SortedWeights!$B$2:$B$89,$B522)*(IF($B522="Cardboard Recycling",SUMIFS(Fact_SortedWeights!$E$2:$E$89,Fact_SortedWeights!$C$2:$C$89,$A522,Fact_SortedWeights!$B$2:$B$89,$B522),SUMIFS(Fact_PreSortWeights!$E$2:$E$186,Fact_PreSortWeights!$C$2:$C$186,$A522,Fact_PreSortWeights!$B$2:$B$186,$B522))))</f>
        <v>0</v>
      </c>
      <c r="G522" s="0" t="n">
        <f aca="false">IF(AND(IF($B522="Trash",INDEX('Materials Master'!$F$2:$F$27,MATCH($C522,'Materials Master'!$A$2:$A$27,0)),IF($B522="GMPC Recycling",INDEX('Materials Master'!$G$2:$G$27,MATCH($C522,'Materials Master'!$A$2:$A$27,0)),IF($B522="Organics Recycling",INDEX('Materials Master'!$H$2:$H$27,MATCH($C522,'Materials Master'!$A$2:$A$27,0)),IF($B522="Cardboard Recycling",INDEX('Materials Master'!$I$2:$I$27,MATCH($C522,'Materials Master'!$A$2:$A$27,0)),IF($B522="Paper Recycling",INDEX('Materials Master'!$J$2:$J$27,MATCH($C522,'Materials Master'!$A$2:$A$27,0)),IF($B522="Terracycle",INDEX('Materials Master'!$K$2:$K$27,MATCH($C522,'Materials Master'!$A$2:$A$27,0)),"No"))))))="Yes",INDEX('Materials Master'!$E$2:$E$27,MATCH($C522,'Materials Master'!$A$2:$A$27,0))="Yes",$B522&lt;&gt;"Trash"),1,0)</f>
        <v>0</v>
      </c>
      <c r="H522" s="0" t="str">
        <f aca="false">INDEX('Materials Master'!$E$2:$E$27,MATCH($C522,'Materials Master'!$A$2:$A$27,0))</f>
        <v>Yes</v>
      </c>
      <c r="I522" s="0" t="str">
        <f aca="false">IFERROR(INDEX(Areas!$C$2:$C$6,MATCH($A522,Areas!$B$2:$B$6,0)),"")</f>
        <v>Rest of Building</v>
      </c>
      <c r="J522" s="0" t="n">
        <f aca="false">IF(IF($B522="Trash",INDEX('Materials Master'!$F$2:$F$27,MATCH($C522,'Materials Master'!$A$2:$A$27,0)),IF($B522="GMPC Recycling",INDEX('Materials Master'!$G$2:$G$27,MATCH($C522,'Materials Master'!$A$2:$A$27,0)),IF($B522="Organics Recycling",INDEX('Materials Master'!$H$2:$H$27,MATCH($C522,'Materials Master'!$A$2:$A$27,0)),IF($B522="Cardboard Recycling",INDEX('Materials Master'!$I$2:$I$27,MATCH($C522,'Materials Master'!$A$2:$A$27,0)),IF($B522="Paper Recycling",INDEX('Materials Master'!$J$2:$J$27,MATCH($C522,'Materials Master'!$A$2:$A$27,0)),IF($B522="Terracycle",INDEX('Materials Master'!$K$2:$K$27,MATCH($C522,'Materials Master'!$A$2:$A$27,0)),"No"))))))="Yes",1,0)</f>
        <v>0</v>
      </c>
    </row>
    <row r="523" customFormat="false" ht="15" hidden="false" customHeight="false" outlineLevel="0" collapsed="false">
      <c r="A523" s="0" t="s">
        <v>100</v>
      </c>
      <c r="B523" s="0" t="s">
        <v>105</v>
      </c>
      <c r="C523" s="0" t="s">
        <v>33</v>
      </c>
      <c r="D523" s="0" t="str">
        <f aca="false">IFERROR(INDEX('Materials Master'!$B$2:$B$27,MATCH($C523,'Materials Master'!$A$2:$A$27,0)),"")</f>
        <v>Soiled Cardboard</v>
      </c>
      <c r="E523" s="0" t="str">
        <f aca="false">IFERROR(INDEX('Materials Master'!$C$2:$C$27,MATCH($C523,'Materials Master'!$A$2:$A$27,0)),"")</f>
        <v>Fibers</v>
      </c>
      <c r="F523" s="0" t="n">
        <f aca="false">IF(SUMIFS(Fact_SortedWeights!$E$2:$E$89,Fact_SortedWeights!$C$2:$C$89,$A523,Fact_SortedWeights!$B$2:$B$89,$B523)=0,0,SUMIFS(Fact_SortedWeights!$E$2:$E$89,Fact_SortedWeights!$C$2:$C$89,$A523,Fact_SortedWeights!$B$2:$B$89,$B523,Fact_SortedWeights!$D$2:$D$89,$C523)/SUMIFS(Fact_SortedWeights!$E$2:$E$89,Fact_SortedWeights!$C$2:$C$89,$A523,Fact_SortedWeights!$B$2:$B$89,$B523)*(IF($B523="Cardboard Recycling",SUMIFS(Fact_SortedWeights!$E$2:$E$89,Fact_SortedWeights!$C$2:$C$89,$A523,Fact_SortedWeights!$B$2:$B$89,$B523),SUMIFS(Fact_PreSortWeights!$E$2:$E$186,Fact_PreSortWeights!$C$2:$C$186,$A523,Fact_PreSortWeights!$B$2:$B$186,$B523))))</f>
        <v>0</v>
      </c>
      <c r="G523" s="0" t="n">
        <f aca="false">IF(AND(IF($B523="Trash",INDEX('Materials Master'!$F$2:$F$27,MATCH($C523,'Materials Master'!$A$2:$A$27,0)),IF($B523="GMPC Recycling",INDEX('Materials Master'!$G$2:$G$27,MATCH($C523,'Materials Master'!$A$2:$A$27,0)),IF($B523="Organics Recycling",INDEX('Materials Master'!$H$2:$H$27,MATCH($C523,'Materials Master'!$A$2:$A$27,0)),IF($B523="Cardboard Recycling",INDEX('Materials Master'!$I$2:$I$27,MATCH($C523,'Materials Master'!$A$2:$A$27,0)),IF($B523="Paper Recycling",INDEX('Materials Master'!$J$2:$J$27,MATCH($C523,'Materials Master'!$A$2:$A$27,0)),IF($B523="Terracycle",INDEX('Materials Master'!$K$2:$K$27,MATCH($C523,'Materials Master'!$A$2:$A$27,0)),"No"))))))="Yes",INDEX('Materials Master'!$E$2:$E$27,MATCH($C523,'Materials Master'!$A$2:$A$27,0))="Yes",$B523&lt;&gt;"Trash"),1,0)</f>
        <v>0</v>
      </c>
      <c r="H523" s="0" t="str">
        <f aca="false">INDEX('Materials Master'!$E$2:$E$27,MATCH($C523,'Materials Master'!$A$2:$A$27,0))</f>
        <v>No</v>
      </c>
      <c r="I523" s="0" t="str">
        <f aca="false">IFERROR(INDEX(Areas!$C$2:$C$6,MATCH($A523,Areas!$B$2:$B$6,0)),"")</f>
        <v>Rest of Building</v>
      </c>
      <c r="J523" s="0" t="n">
        <f aca="false">IF(IF($B523="Trash",INDEX('Materials Master'!$F$2:$F$27,MATCH($C523,'Materials Master'!$A$2:$A$27,0)),IF($B523="GMPC Recycling",INDEX('Materials Master'!$G$2:$G$27,MATCH($C523,'Materials Master'!$A$2:$A$27,0)),IF($B523="Organics Recycling",INDEX('Materials Master'!$H$2:$H$27,MATCH($C523,'Materials Master'!$A$2:$A$27,0)),IF($B523="Cardboard Recycling",INDEX('Materials Master'!$I$2:$I$27,MATCH($C523,'Materials Master'!$A$2:$A$27,0)),IF($B523="Paper Recycling",INDEX('Materials Master'!$J$2:$J$27,MATCH($C523,'Materials Master'!$A$2:$A$27,0)),IF($B523="Terracycle",INDEX('Materials Master'!$K$2:$K$27,MATCH($C523,'Materials Master'!$A$2:$A$27,0)),"No"))))))="Yes",1,0)</f>
        <v>0</v>
      </c>
    </row>
    <row r="524" customFormat="false" ht="15" hidden="false" customHeight="false" outlineLevel="0" collapsed="false">
      <c r="A524" s="0" t="s">
        <v>100</v>
      </c>
      <c r="B524" s="0" t="s">
        <v>105</v>
      </c>
      <c r="C524" s="0" t="s">
        <v>35</v>
      </c>
      <c r="D524" s="0" t="str">
        <f aca="false">IFERROR(INDEX('Materials Master'!$B$2:$B$27,MATCH($C524,'Materials Master'!$A$2:$A$27,0)),"")</f>
        <v>Waxed Cardboard</v>
      </c>
      <c r="E524" s="0" t="str">
        <f aca="false">IFERROR(INDEX('Materials Master'!$C$2:$C$27,MATCH($C524,'Materials Master'!$A$2:$A$27,0)),"")</f>
        <v>Fibers</v>
      </c>
      <c r="F524" s="0" t="n">
        <f aca="false">IF(SUMIFS(Fact_SortedWeights!$E$2:$E$89,Fact_SortedWeights!$C$2:$C$89,$A524,Fact_SortedWeights!$B$2:$B$89,$B524)=0,0,SUMIFS(Fact_SortedWeights!$E$2:$E$89,Fact_SortedWeights!$C$2:$C$89,$A524,Fact_SortedWeights!$B$2:$B$89,$B524,Fact_SortedWeights!$D$2:$D$89,$C524)/SUMIFS(Fact_SortedWeights!$E$2:$E$89,Fact_SortedWeights!$C$2:$C$89,$A524,Fact_SortedWeights!$B$2:$B$89,$B524)*(IF($B524="Cardboard Recycling",SUMIFS(Fact_SortedWeights!$E$2:$E$89,Fact_SortedWeights!$C$2:$C$89,$A524,Fact_SortedWeights!$B$2:$B$89,$B524),SUMIFS(Fact_PreSortWeights!$E$2:$E$186,Fact_PreSortWeights!$C$2:$C$186,$A524,Fact_PreSortWeights!$B$2:$B$186,$B524))))</f>
        <v>0</v>
      </c>
      <c r="G524" s="0" t="n">
        <f aca="false">IF(AND(IF($B524="Trash",INDEX('Materials Master'!$F$2:$F$27,MATCH($C524,'Materials Master'!$A$2:$A$27,0)),IF($B524="GMPC Recycling",INDEX('Materials Master'!$G$2:$G$27,MATCH($C524,'Materials Master'!$A$2:$A$27,0)),IF($B524="Organics Recycling",INDEX('Materials Master'!$H$2:$H$27,MATCH($C524,'Materials Master'!$A$2:$A$27,0)),IF($B524="Cardboard Recycling",INDEX('Materials Master'!$I$2:$I$27,MATCH($C524,'Materials Master'!$A$2:$A$27,0)),IF($B524="Paper Recycling",INDEX('Materials Master'!$J$2:$J$27,MATCH($C524,'Materials Master'!$A$2:$A$27,0)),IF($B524="Terracycle",INDEX('Materials Master'!$K$2:$K$27,MATCH($C524,'Materials Master'!$A$2:$A$27,0)),"No"))))))="Yes",INDEX('Materials Master'!$E$2:$E$27,MATCH($C524,'Materials Master'!$A$2:$A$27,0))="Yes",$B524&lt;&gt;"Trash"),1,0)</f>
        <v>0</v>
      </c>
      <c r="H524" s="0" t="str">
        <f aca="false">INDEX('Materials Master'!$E$2:$E$27,MATCH($C524,'Materials Master'!$A$2:$A$27,0))</f>
        <v>No</v>
      </c>
      <c r="I524" s="0" t="str">
        <f aca="false">IFERROR(INDEX(Areas!$C$2:$C$6,MATCH($A524,Areas!$B$2:$B$6,0)),"")</f>
        <v>Rest of Building</v>
      </c>
      <c r="J524" s="0" t="n">
        <f aca="false">IF(IF($B524="Trash",INDEX('Materials Master'!$F$2:$F$27,MATCH($C524,'Materials Master'!$A$2:$A$27,0)),IF($B524="GMPC Recycling",INDEX('Materials Master'!$G$2:$G$27,MATCH($C524,'Materials Master'!$A$2:$A$27,0)),IF($B524="Organics Recycling",INDEX('Materials Master'!$H$2:$H$27,MATCH($C524,'Materials Master'!$A$2:$A$27,0)),IF($B524="Cardboard Recycling",INDEX('Materials Master'!$I$2:$I$27,MATCH($C524,'Materials Master'!$A$2:$A$27,0)),IF($B524="Paper Recycling",INDEX('Materials Master'!$J$2:$J$27,MATCH($C524,'Materials Master'!$A$2:$A$27,0)),IF($B524="Terracycle",INDEX('Materials Master'!$K$2:$K$27,MATCH($C524,'Materials Master'!$A$2:$A$27,0)),"No"))))))="Yes",1,0)</f>
        <v>0</v>
      </c>
    </row>
    <row r="525" customFormat="false" ht="15" hidden="false" customHeight="false" outlineLevel="0" collapsed="false">
      <c r="A525" s="0" t="s">
        <v>100</v>
      </c>
      <c r="B525" s="0" t="s">
        <v>105</v>
      </c>
      <c r="C525" s="0" t="s">
        <v>37</v>
      </c>
      <c r="D525" s="0" t="str">
        <f aca="false">IFERROR(INDEX('Materials Master'!$B$2:$B$27,MATCH($C525,'Materials Master'!$A$2:$A$27,0)),"")</f>
        <v>Mixed Paper</v>
      </c>
      <c r="E525" s="0" t="str">
        <f aca="false">IFERROR(INDEX('Materials Master'!$C$2:$C$27,MATCH($C525,'Materials Master'!$A$2:$A$27,0)),"")</f>
        <v>Fibers</v>
      </c>
      <c r="F525" s="0" t="n">
        <f aca="false">IF(SUMIFS(Fact_SortedWeights!$E$2:$E$89,Fact_SortedWeights!$C$2:$C$89,$A525,Fact_SortedWeights!$B$2:$B$89,$B525)=0,0,SUMIFS(Fact_SortedWeights!$E$2:$E$89,Fact_SortedWeights!$C$2:$C$89,$A525,Fact_SortedWeights!$B$2:$B$89,$B525,Fact_SortedWeights!$D$2:$D$89,$C525)/SUMIFS(Fact_SortedWeights!$E$2:$E$89,Fact_SortedWeights!$C$2:$C$89,$A525,Fact_SortedWeights!$B$2:$B$89,$B525)*(IF($B525="Cardboard Recycling",SUMIFS(Fact_SortedWeights!$E$2:$E$89,Fact_SortedWeights!$C$2:$C$89,$A525,Fact_SortedWeights!$B$2:$B$89,$B525),SUMIFS(Fact_PreSortWeights!$E$2:$E$186,Fact_PreSortWeights!$C$2:$C$186,$A525,Fact_PreSortWeights!$B$2:$B$186,$B525))))</f>
        <v>0</v>
      </c>
      <c r="G525" s="0" t="n">
        <f aca="false">IF(AND(IF($B525="Trash",INDEX('Materials Master'!$F$2:$F$27,MATCH($C525,'Materials Master'!$A$2:$A$27,0)),IF($B525="GMPC Recycling",INDEX('Materials Master'!$G$2:$G$27,MATCH($C525,'Materials Master'!$A$2:$A$27,0)),IF($B525="Organics Recycling",INDEX('Materials Master'!$H$2:$H$27,MATCH($C525,'Materials Master'!$A$2:$A$27,0)),IF($B525="Cardboard Recycling",INDEX('Materials Master'!$I$2:$I$27,MATCH($C525,'Materials Master'!$A$2:$A$27,0)),IF($B525="Paper Recycling",INDEX('Materials Master'!$J$2:$J$27,MATCH($C525,'Materials Master'!$A$2:$A$27,0)),IF($B525="Terracycle",INDEX('Materials Master'!$K$2:$K$27,MATCH($C525,'Materials Master'!$A$2:$A$27,0)),"No"))))))="Yes",INDEX('Materials Master'!$E$2:$E$27,MATCH($C525,'Materials Master'!$A$2:$A$27,0))="Yes",$B525&lt;&gt;"Trash"),1,0)</f>
        <v>0</v>
      </c>
      <c r="H525" s="0" t="str">
        <f aca="false">INDEX('Materials Master'!$E$2:$E$27,MATCH($C525,'Materials Master'!$A$2:$A$27,0))</f>
        <v>Yes</v>
      </c>
      <c r="I525" s="0" t="str">
        <f aca="false">IFERROR(INDEX(Areas!$C$2:$C$6,MATCH($A525,Areas!$B$2:$B$6,0)),"")</f>
        <v>Rest of Building</v>
      </c>
      <c r="J525" s="0" t="n">
        <f aca="false">IF(IF($B525="Trash",INDEX('Materials Master'!$F$2:$F$27,MATCH($C525,'Materials Master'!$A$2:$A$27,0)),IF($B525="GMPC Recycling",INDEX('Materials Master'!$G$2:$G$27,MATCH($C525,'Materials Master'!$A$2:$A$27,0)),IF($B525="Organics Recycling",INDEX('Materials Master'!$H$2:$H$27,MATCH($C525,'Materials Master'!$A$2:$A$27,0)),IF($B525="Cardboard Recycling",INDEX('Materials Master'!$I$2:$I$27,MATCH($C525,'Materials Master'!$A$2:$A$27,0)),IF($B525="Paper Recycling",INDEX('Materials Master'!$J$2:$J$27,MATCH($C525,'Materials Master'!$A$2:$A$27,0)),IF($B525="Terracycle",INDEX('Materials Master'!$K$2:$K$27,MATCH($C525,'Materials Master'!$A$2:$A$27,0)),"No"))))))="Yes",1,0)</f>
        <v>0</v>
      </c>
    </row>
    <row r="526" customFormat="false" ht="15" hidden="false" customHeight="false" outlineLevel="0" collapsed="false">
      <c r="A526" s="0" t="s">
        <v>100</v>
      </c>
      <c r="B526" s="0" t="s">
        <v>105</v>
      </c>
      <c r="C526" s="0" t="s">
        <v>39</v>
      </c>
      <c r="D526" s="0" t="str">
        <f aca="false">IFERROR(INDEX('Materials Master'!$B$2:$B$27,MATCH($C526,'Materials Master'!$A$2:$A$27,0)),"")</f>
        <v>Soiled Paper</v>
      </c>
      <c r="E526" s="0" t="str">
        <f aca="false">IFERROR(INDEX('Materials Master'!$C$2:$C$27,MATCH($C526,'Materials Master'!$A$2:$A$27,0)),"")</f>
        <v>Fibers</v>
      </c>
      <c r="F526" s="0" t="n">
        <f aca="false">IF(SUMIFS(Fact_SortedWeights!$E$2:$E$89,Fact_SortedWeights!$C$2:$C$89,$A526,Fact_SortedWeights!$B$2:$B$89,$B526)=0,0,SUMIFS(Fact_SortedWeights!$E$2:$E$89,Fact_SortedWeights!$C$2:$C$89,$A526,Fact_SortedWeights!$B$2:$B$89,$B526,Fact_SortedWeights!$D$2:$D$89,$C526)/SUMIFS(Fact_SortedWeights!$E$2:$E$89,Fact_SortedWeights!$C$2:$C$89,$A526,Fact_SortedWeights!$B$2:$B$89,$B526)*(IF($B526="Cardboard Recycling",SUMIFS(Fact_SortedWeights!$E$2:$E$89,Fact_SortedWeights!$C$2:$C$89,$A526,Fact_SortedWeights!$B$2:$B$89,$B526),SUMIFS(Fact_PreSortWeights!$E$2:$E$186,Fact_PreSortWeights!$C$2:$C$186,$A526,Fact_PreSortWeights!$B$2:$B$186,$B526))))</f>
        <v>0</v>
      </c>
      <c r="G526" s="0" t="n">
        <f aca="false">IF(AND(IF($B526="Trash",INDEX('Materials Master'!$F$2:$F$27,MATCH($C526,'Materials Master'!$A$2:$A$27,0)),IF($B526="GMPC Recycling",INDEX('Materials Master'!$G$2:$G$27,MATCH($C526,'Materials Master'!$A$2:$A$27,0)),IF($B526="Organics Recycling",INDEX('Materials Master'!$H$2:$H$27,MATCH($C526,'Materials Master'!$A$2:$A$27,0)),IF($B526="Cardboard Recycling",INDEX('Materials Master'!$I$2:$I$27,MATCH($C526,'Materials Master'!$A$2:$A$27,0)),IF($B526="Paper Recycling",INDEX('Materials Master'!$J$2:$J$27,MATCH($C526,'Materials Master'!$A$2:$A$27,0)),IF($B526="Terracycle",INDEX('Materials Master'!$K$2:$K$27,MATCH($C526,'Materials Master'!$A$2:$A$27,0)),"No"))))))="Yes",INDEX('Materials Master'!$E$2:$E$27,MATCH($C526,'Materials Master'!$A$2:$A$27,0))="Yes",$B526&lt;&gt;"Trash"),1,0)</f>
        <v>0</v>
      </c>
      <c r="H526" s="0" t="str">
        <f aca="false">INDEX('Materials Master'!$E$2:$E$27,MATCH($C526,'Materials Master'!$A$2:$A$27,0))</f>
        <v>No</v>
      </c>
      <c r="I526" s="0" t="str">
        <f aca="false">IFERROR(INDEX(Areas!$C$2:$C$6,MATCH($A526,Areas!$B$2:$B$6,0)),"")</f>
        <v>Rest of Building</v>
      </c>
      <c r="J526" s="0" t="n">
        <f aca="false">IF(IF($B526="Trash",INDEX('Materials Master'!$F$2:$F$27,MATCH($C526,'Materials Master'!$A$2:$A$27,0)),IF($B526="GMPC Recycling",INDEX('Materials Master'!$G$2:$G$27,MATCH($C526,'Materials Master'!$A$2:$A$27,0)),IF($B526="Organics Recycling",INDEX('Materials Master'!$H$2:$H$27,MATCH($C526,'Materials Master'!$A$2:$A$27,0)),IF($B526="Cardboard Recycling",INDEX('Materials Master'!$I$2:$I$27,MATCH($C526,'Materials Master'!$A$2:$A$27,0)),IF($B526="Paper Recycling",INDEX('Materials Master'!$J$2:$J$27,MATCH($C526,'Materials Master'!$A$2:$A$27,0)),IF($B526="Terracycle",INDEX('Materials Master'!$K$2:$K$27,MATCH($C526,'Materials Master'!$A$2:$A$27,0)),"No"))))))="Yes",1,0)</f>
        <v>0</v>
      </c>
    </row>
    <row r="527" customFormat="false" ht="15" hidden="false" customHeight="false" outlineLevel="0" collapsed="false">
      <c r="A527" s="0" t="s">
        <v>100</v>
      </c>
      <c r="B527" s="0" t="s">
        <v>105</v>
      </c>
      <c r="C527" s="0" t="s">
        <v>41</v>
      </c>
      <c r="D527" s="0" t="str">
        <f aca="false">IFERROR(INDEX('Materials Master'!$B$2:$B$27,MATCH($C527,'Materials Master'!$A$2:$A$27,0)),"")</f>
        <v>Beverage Cartons</v>
      </c>
      <c r="E527" s="0" t="str">
        <f aca="false">IFERROR(INDEX('Materials Master'!$C$2:$C$27,MATCH($C527,'Materials Master'!$A$2:$A$27,0)),"")</f>
        <v>Fibers</v>
      </c>
      <c r="F527" s="0" t="n">
        <f aca="false">IF(SUMIFS(Fact_SortedWeights!$E$2:$E$89,Fact_SortedWeights!$C$2:$C$89,$A527,Fact_SortedWeights!$B$2:$B$89,$B527)=0,0,SUMIFS(Fact_SortedWeights!$E$2:$E$89,Fact_SortedWeights!$C$2:$C$89,$A527,Fact_SortedWeights!$B$2:$B$89,$B527,Fact_SortedWeights!$D$2:$D$89,$C527)/SUMIFS(Fact_SortedWeights!$E$2:$E$89,Fact_SortedWeights!$C$2:$C$89,$A527,Fact_SortedWeights!$B$2:$B$89,$B527)*(IF($B527="Cardboard Recycling",SUMIFS(Fact_SortedWeights!$E$2:$E$89,Fact_SortedWeights!$C$2:$C$89,$A527,Fact_SortedWeights!$B$2:$B$89,$B527),SUMIFS(Fact_PreSortWeights!$E$2:$E$186,Fact_PreSortWeights!$C$2:$C$186,$A527,Fact_PreSortWeights!$B$2:$B$186,$B527))))</f>
        <v>0</v>
      </c>
      <c r="G527" s="0" t="n">
        <f aca="false">IF(AND(IF($B527="Trash",INDEX('Materials Master'!$F$2:$F$27,MATCH($C527,'Materials Master'!$A$2:$A$27,0)),IF($B527="GMPC Recycling",INDEX('Materials Master'!$G$2:$G$27,MATCH($C527,'Materials Master'!$A$2:$A$27,0)),IF($B527="Organics Recycling",INDEX('Materials Master'!$H$2:$H$27,MATCH($C527,'Materials Master'!$A$2:$A$27,0)),IF($B527="Cardboard Recycling",INDEX('Materials Master'!$I$2:$I$27,MATCH($C527,'Materials Master'!$A$2:$A$27,0)),IF($B527="Paper Recycling",INDEX('Materials Master'!$J$2:$J$27,MATCH($C527,'Materials Master'!$A$2:$A$27,0)),IF($B527="Terracycle",INDEX('Materials Master'!$K$2:$K$27,MATCH($C527,'Materials Master'!$A$2:$A$27,0)),"No"))))))="Yes",INDEX('Materials Master'!$E$2:$E$27,MATCH($C527,'Materials Master'!$A$2:$A$27,0))="Yes",$B527&lt;&gt;"Trash"),1,0)</f>
        <v>0</v>
      </c>
      <c r="H527" s="0" t="str">
        <f aca="false">INDEX('Materials Master'!$E$2:$E$27,MATCH($C527,'Materials Master'!$A$2:$A$27,0))</f>
        <v>Yes</v>
      </c>
      <c r="I527" s="0" t="str">
        <f aca="false">IFERROR(INDEX(Areas!$C$2:$C$6,MATCH($A527,Areas!$B$2:$B$6,0)),"")</f>
        <v>Rest of Building</v>
      </c>
      <c r="J527" s="0" t="n">
        <f aca="false">IF(IF($B527="Trash",INDEX('Materials Master'!$F$2:$F$27,MATCH($C527,'Materials Master'!$A$2:$A$27,0)),IF($B527="GMPC Recycling",INDEX('Materials Master'!$G$2:$G$27,MATCH($C527,'Materials Master'!$A$2:$A$27,0)),IF($B527="Organics Recycling",INDEX('Materials Master'!$H$2:$H$27,MATCH($C527,'Materials Master'!$A$2:$A$27,0)),IF($B527="Cardboard Recycling",INDEX('Materials Master'!$I$2:$I$27,MATCH($C527,'Materials Master'!$A$2:$A$27,0)),IF($B527="Paper Recycling",INDEX('Materials Master'!$J$2:$J$27,MATCH($C527,'Materials Master'!$A$2:$A$27,0)),IF($B527="Terracycle",INDEX('Materials Master'!$K$2:$K$27,MATCH($C527,'Materials Master'!$A$2:$A$27,0)),"No"))))))="Yes",1,0)</f>
        <v>0</v>
      </c>
    </row>
    <row r="528" customFormat="false" ht="15" hidden="false" customHeight="false" outlineLevel="0" collapsed="false">
      <c r="A528" s="0" t="s">
        <v>100</v>
      </c>
      <c r="B528" s="0" t="s">
        <v>105</v>
      </c>
      <c r="C528" s="0" t="s">
        <v>43</v>
      </c>
      <c r="D528" s="0" t="str">
        <f aca="false">IFERROR(INDEX('Materials Master'!$B$2:$B$27,MATCH($C528,'Materials Master'!$A$2:$A$27,0)),"")</f>
        <v>Soiled Beverage Cartons</v>
      </c>
      <c r="E528" s="0" t="str">
        <f aca="false">IFERROR(INDEX('Materials Master'!$C$2:$C$27,MATCH($C528,'Materials Master'!$A$2:$A$27,0)),"")</f>
        <v>Fibers</v>
      </c>
      <c r="F528" s="0" t="n">
        <f aca="false">IF(SUMIFS(Fact_SortedWeights!$E$2:$E$89,Fact_SortedWeights!$C$2:$C$89,$A528,Fact_SortedWeights!$B$2:$B$89,$B528)=0,0,SUMIFS(Fact_SortedWeights!$E$2:$E$89,Fact_SortedWeights!$C$2:$C$89,$A528,Fact_SortedWeights!$B$2:$B$89,$B528,Fact_SortedWeights!$D$2:$D$89,$C528)/SUMIFS(Fact_SortedWeights!$E$2:$E$89,Fact_SortedWeights!$C$2:$C$89,$A528,Fact_SortedWeights!$B$2:$B$89,$B528)*(IF($B528="Cardboard Recycling",SUMIFS(Fact_SortedWeights!$E$2:$E$89,Fact_SortedWeights!$C$2:$C$89,$A528,Fact_SortedWeights!$B$2:$B$89,$B528),SUMIFS(Fact_PreSortWeights!$E$2:$E$186,Fact_PreSortWeights!$C$2:$C$186,$A528,Fact_PreSortWeights!$B$2:$B$186,$B528))))</f>
        <v>0</v>
      </c>
      <c r="G528" s="0" t="n">
        <f aca="false">IF(AND(IF($B528="Trash",INDEX('Materials Master'!$F$2:$F$27,MATCH($C528,'Materials Master'!$A$2:$A$27,0)),IF($B528="GMPC Recycling",INDEX('Materials Master'!$G$2:$G$27,MATCH($C528,'Materials Master'!$A$2:$A$27,0)),IF($B528="Organics Recycling",INDEX('Materials Master'!$H$2:$H$27,MATCH($C528,'Materials Master'!$A$2:$A$27,0)),IF($B528="Cardboard Recycling",INDEX('Materials Master'!$I$2:$I$27,MATCH($C528,'Materials Master'!$A$2:$A$27,0)),IF($B528="Paper Recycling",INDEX('Materials Master'!$J$2:$J$27,MATCH($C528,'Materials Master'!$A$2:$A$27,0)),IF($B528="Terracycle",INDEX('Materials Master'!$K$2:$K$27,MATCH($C528,'Materials Master'!$A$2:$A$27,0)),"No"))))))="Yes",INDEX('Materials Master'!$E$2:$E$27,MATCH($C528,'Materials Master'!$A$2:$A$27,0))="Yes",$B528&lt;&gt;"Trash"),1,0)</f>
        <v>0</v>
      </c>
      <c r="H528" s="0" t="str">
        <f aca="false">INDEX('Materials Master'!$E$2:$E$27,MATCH($C528,'Materials Master'!$A$2:$A$27,0))</f>
        <v>No</v>
      </c>
      <c r="I528" s="0" t="str">
        <f aca="false">IFERROR(INDEX(Areas!$C$2:$C$6,MATCH($A528,Areas!$B$2:$B$6,0)),"")</f>
        <v>Rest of Building</v>
      </c>
      <c r="J528" s="0" t="n">
        <f aca="false">IF(IF($B528="Trash",INDEX('Materials Master'!$F$2:$F$27,MATCH($C528,'Materials Master'!$A$2:$A$27,0)),IF($B528="GMPC Recycling",INDEX('Materials Master'!$G$2:$G$27,MATCH($C528,'Materials Master'!$A$2:$A$27,0)),IF($B528="Organics Recycling",INDEX('Materials Master'!$H$2:$H$27,MATCH($C528,'Materials Master'!$A$2:$A$27,0)),IF($B528="Cardboard Recycling",INDEX('Materials Master'!$I$2:$I$27,MATCH($C528,'Materials Master'!$A$2:$A$27,0)),IF($B528="Paper Recycling",INDEX('Materials Master'!$J$2:$J$27,MATCH($C528,'Materials Master'!$A$2:$A$27,0)),IF($B528="Terracycle",INDEX('Materials Master'!$K$2:$K$27,MATCH($C528,'Materials Master'!$A$2:$A$27,0)),"No"))))))="Yes",1,0)</f>
        <v>0</v>
      </c>
    </row>
    <row r="529" customFormat="false" ht="15" hidden="false" customHeight="false" outlineLevel="0" collapsed="false">
      <c r="A529" s="0" t="s">
        <v>100</v>
      </c>
      <c r="B529" s="0" t="s">
        <v>105</v>
      </c>
      <c r="C529" s="0" t="s">
        <v>45</v>
      </c>
      <c r="D529" s="0" t="str">
        <f aca="false">IFERROR(INDEX('Materials Master'!$B$2:$B$27,MATCH($C529,'Materials Master'!$A$2:$A$27,0)),"")</f>
        <v>Paper Cups / Other Coated Paper Containers</v>
      </c>
      <c r="E529" s="0" t="str">
        <f aca="false">IFERROR(INDEX('Materials Master'!$C$2:$C$27,MATCH($C529,'Materials Master'!$A$2:$A$27,0)),"")</f>
        <v>Fibers</v>
      </c>
      <c r="F529" s="0" t="n">
        <f aca="false">IF(SUMIFS(Fact_SortedWeights!$E$2:$E$89,Fact_SortedWeights!$C$2:$C$89,$A529,Fact_SortedWeights!$B$2:$B$89,$B529)=0,0,SUMIFS(Fact_SortedWeights!$E$2:$E$89,Fact_SortedWeights!$C$2:$C$89,$A529,Fact_SortedWeights!$B$2:$B$89,$B529,Fact_SortedWeights!$D$2:$D$89,$C529)/SUMIFS(Fact_SortedWeights!$E$2:$E$89,Fact_SortedWeights!$C$2:$C$89,$A529,Fact_SortedWeights!$B$2:$B$89,$B529)*(IF($B529="Cardboard Recycling",SUMIFS(Fact_SortedWeights!$E$2:$E$89,Fact_SortedWeights!$C$2:$C$89,$A529,Fact_SortedWeights!$B$2:$B$89,$B529),SUMIFS(Fact_PreSortWeights!$E$2:$E$186,Fact_PreSortWeights!$C$2:$C$186,$A529,Fact_PreSortWeights!$B$2:$B$186,$B529))))</f>
        <v>0</v>
      </c>
      <c r="G529" s="0" t="n">
        <f aca="false">IF(AND(IF($B529="Trash",INDEX('Materials Master'!$F$2:$F$27,MATCH($C529,'Materials Master'!$A$2:$A$27,0)),IF($B529="GMPC Recycling",INDEX('Materials Master'!$G$2:$G$27,MATCH($C529,'Materials Master'!$A$2:$A$27,0)),IF($B529="Organics Recycling",INDEX('Materials Master'!$H$2:$H$27,MATCH($C529,'Materials Master'!$A$2:$A$27,0)),IF($B529="Cardboard Recycling",INDEX('Materials Master'!$I$2:$I$27,MATCH($C529,'Materials Master'!$A$2:$A$27,0)),IF($B529="Paper Recycling",INDEX('Materials Master'!$J$2:$J$27,MATCH($C529,'Materials Master'!$A$2:$A$27,0)),IF($B529="Terracycle",INDEX('Materials Master'!$K$2:$K$27,MATCH($C529,'Materials Master'!$A$2:$A$27,0)),"No"))))))="Yes",INDEX('Materials Master'!$E$2:$E$27,MATCH($C529,'Materials Master'!$A$2:$A$27,0))="Yes",$B529&lt;&gt;"Trash"),1,0)</f>
        <v>0</v>
      </c>
      <c r="H529" s="0" t="str">
        <f aca="false">INDEX('Materials Master'!$E$2:$E$27,MATCH($C529,'Materials Master'!$A$2:$A$27,0))</f>
        <v>No</v>
      </c>
      <c r="I529" s="0" t="str">
        <f aca="false">IFERROR(INDEX(Areas!$C$2:$C$6,MATCH($A529,Areas!$B$2:$B$6,0)),"")</f>
        <v>Rest of Building</v>
      </c>
      <c r="J529" s="0" t="n">
        <f aca="false">IF(IF($B529="Trash",INDEX('Materials Master'!$F$2:$F$27,MATCH($C529,'Materials Master'!$A$2:$A$27,0)),IF($B529="GMPC Recycling",INDEX('Materials Master'!$G$2:$G$27,MATCH($C529,'Materials Master'!$A$2:$A$27,0)),IF($B529="Organics Recycling",INDEX('Materials Master'!$H$2:$H$27,MATCH($C529,'Materials Master'!$A$2:$A$27,0)),IF($B529="Cardboard Recycling",INDEX('Materials Master'!$I$2:$I$27,MATCH($C529,'Materials Master'!$A$2:$A$27,0)),IF($B529="Paper Recycling",INDEX('Materials Master'!$J$2:$J$27,MATCH($C529,'Materials Master'!$A$2:$A$27,0)),IF($B529="Terracycle",INDEX('Materials Master'!$K$2:$K$27,MATCH($C529,'Materials Master'!$A$2:$A$27,0)),"No"))))))="Yes",1,0)</f>
        <v>0</v>
      </c>
    </row>
    <row r="530" customFormat="false" ht="15" hidden="false" customHeight="false" outlineLevel="0" collapsed="false">
      <c r="A530" s="0" t="s">
        <v>100</v>
      </c>
      <c r="B530" s="0" t="s">
        <v>105</v>
      </c>
      <c r="C530" s="0" t="s">
        <v>47</v>
      </c>
      <c r="D530" s="0" t="str">
        <f aca="false">IFERROR(INDEX('Materials Master'!$B$2:$B$27,MATCH($C530,'Materials Master'!$A$2:$A$27,0)),"")</f>
        <v>Glass Bottles &amp; Jars</v>
      </c>
      <c r="E530" s="0" t="str">
        <f aca="false">IFERROR(INDEX('Materials Master'!$C$2:$C$27,MATCH($C530,'Materials Master'!$A$2:$A$27,0)),"")</f>
        <v>Glass</v>
      </c>
      <c r="F530" s="0" t="n">
        <f aca="false">IF(SUMIFS(Fact_SortedWeights!$E$2:$E$89,Fact_SortedWeights!$C$2:$C$89,$A530,Fact_SortedWeights!$B$2:$B$89,$B530)=0,0,SUMIFS(Fact_SortedWeights!$E$2:$E$89,Fact_SortedWeights!$C$2:$C$89,$A530,Fact_SortedWeights!$B$2:$B$89,$B530,Fact_SortedWeights!$D$2:$D$89,$C530)/SUMIFS(Fact_SortedWeights!$E$2:$E$89,Fact_SortedWeights!$C$2:$C$89,$A530,Fact_SortedWeights!$B$2:$B$89,$B530)*(IF($B530="Cardboard Recycling",SUMIFS(Fact_SortedWeights!$E$2:$E$89,Fact_SortedWeights!$C$2:$C$89,$A530,Fact_SortedWeights!$B$2:$B$89,$B530),SUMIFS(Fact_PreSortWeights!$E$2:$E$186,Fact_PreSortWeights!$C$2:$C$186,$A530,Fact_PreSortWeights!$B$2:$B$186,$B530))))</f>
        <v>0</v>
      </c>
      <c r="G530" s="0" t="n">
        <f aca="false">IF(AND(IF($B530="Trash",INDEX('Materials Master'!$F$2:$F$27,MATCH($C530,'Materials Master'!$A$2:$A$27,0)),IF($B530="GMPC Recycling",INDEX('Materials Master'!$G$2:$G$27,MATCH($C530,'Materials Master'!$A$2:$A$27,0)),IF($B530="Organics Recycling",INDEX('Materials Master'!$H$2:$H$27,MATCH($C530,'Materials Master'!$A$2:$A$27,0)),IF($B530="Cardboard Recycling",INDEX('Materials Master'!$I$2:$I$27,MATCH($C530,'Materials Master'!$A$2:$A$27,0)),IF($B530="Paper Recycling",INDEX('Materials Master'!$J$2:$J$27,MATCH($C530,'Materials Master'!$A$2:$A$27,0)),IF($B530="Terracycle",INDEX('Materials Master'!$K$2:$K$27,MATCH($C530,'Materials Master'!$A$2:$A$27,0)),"No"))))))="Yes",INDEX('Materials Master'!$E$2:$E$27,MATCH($C530,'Materials Master'!$A$2:$A$27,0))="Yes",$B530&lt;&gt;"Trash"),1,0)</f>
        <v>0</v>
      </c>
      <c r="H530" s="0" t="str">
        <f aca="false">INDEX('Materials Master'!$E$2:$E$27,MATCH($C530,'Materials Master'!$A$2:$A$27,0))</f>
        <v>Yes</v>
      </c>
      <c r="I530" s="0" t="str">
        <f aca="false">IFERROR(INDEX(Areas!$C$2:$C$6,MATCH($A530,Areas!$B$2:$B$6,0)),"")</f>
        <v>Rest of Building</v>
      </c>
      <c r="J530" s="0" t="n">
        <f aca="false">IF(IF($B530="Trash",INDEX('Materials Master'!$F$2:$F$27,MATCH($C530,'Materials Master'!$A$2:$A$27,0)),IF($B530="GMPC Recycling",INDEX('Materials Master'!$G$2:$G$27,MATCH($C530,'Materials Master'!$A$2:$A$27,0)),IF($B530="Organics Recycling",INDEX('Materials Master'!$H$2:$H$27,MATCH($C530,'Materials Master'!$A$2:$A$27,0)),IF($B530="Cardboard Recycling",INDEX('Materials Master'!$I$2:$I$27,MATCH($C530,'Materials Master'!$A$2:$A$27,0)),IF($B530="Paper Recycling",INDEX('Materials Master'!$J$2:$J$27,MATCH($C530,'Materials Master'!$A$2:$A$27,0)),IF($B530="Terracycle",INDEX('Materials Master'!$K$2:$K$27,MATCH($C530,'Materials Master'!$A$2:$A$27,0)),"No"))))))="Yes",1,0)</f>
        <v>0</v>
      </c>
    </row>
    <row r="531" customFormat="false" ht="15" hidden="false" customHeight="false" outlineLevel="0" collapsed="false">
      <c r="A531" s="0" t="s">
        <v>100</v>
      </c>
      <c r="B531" s="0" t="s">
        <v>105</v>
      </c>
      <c r="C531" s="0" t="s">
        <v>50</v>
      </c>
      <c r="D531" s="0" t="str">
        <f aca="false">IFERROR(INDEX('Materials Master'!$B$2:$B$27,MATCH($C531,'Materials Master'!$A$2:$A$27,0)),"")</f>
        <v>Soiled Glass</v>
      </c>
      <c r="E531" s="0" t="str">
        <f aca="false">IFERROR(INDEX('Materials Master'!$C$2:$C$27,MATCH($C531,'Materials Master'!$A$2:$A$27,0)),"")</f>
        <v>Glass</v>
      </c>
      <c r="F531" s="0" t="n">
        <f aca="false">IF(SUMIFS(Fact_SortedWeights!$E$2:$E$89,Fact_SortedWeights!$C$2:$C$89,$A531,Fact_SortedWeights!$B$2:$B$89,$B531)=0,0,SUMIFS(Fact_SortedWeights!$E$2:$E$89,Fact_SortedWeights!$C$2:$C$89,$A531,Fact_SortedWeights!$B$2:$B$89,$B531,Fact_SortedWeights!$D$2:$D$89,$C531)/SUMIFS(Fact_SortedWeights!$E$2:$E$89,Fact_SortedWeights!$C$2:$C$89,$A531,Fact_SortedWeights!$B$2:$B$89,$B531)*(IF($B531="Cardboard Recycling",SUMIFS(Fact_SortedWeights!$E$2:$E$89,Fact_SortedWeights!$C$2:$C$89,$A531,Fact_SortedWeights!$B$2:$B$89,$B531),SUMIFS(Fact_PreSortWeights!$E$2:$E$186,Fact_PreSortWeights!$C$2:$C$186,$A531,Fact_PreSortWeights!$B$2:$B$186,$B531))))</f>
        <v>0</v>
      </c>
      <c r="G531" s="0" t="n">
        <f aca="false">IF(AND(IF($B531="Trash",INDEX('Materials Master'!$F$2:$F$27,MATCH($C531,'Materials Master'!$A$2:$A$27,0)),IF($B531="GMPC Recycling",INDEX('Materials Master'!$G$2:$G$27,MATCH($C531,'Materials Master'!$A$2:$A$27,0)),IF($B531="Organics Recycling",INDEX('Materials Master'!$H$2:$H$27,MATCH($C531,'Materials Master'!$A$2:$A$27,0)),IF($B531="Cardboard Recycling",INDEX('Materials Master'!$I$2:$I$27,MATCH($C531,'Materials Master'!$A$2:$A$27,0)),IF($B531="Paper Recycling",INDEX('Materials Master'!$J$2:$J$27,MATCH($C531,'Materials Master'!$A$2:$A$27,0)),IF($B531="Terracycle",INDEX('Materials Master'!$K$2:$K$27,MATCH($C531,'Materials Master'!$A$2:$A$27,0)),"No"))))))="Yes",INDEX('Materials Master'!$E$2:$E$27,MATCH($C531,'Materials Master'!$A$2:$A$27,0))="Yes",$B531&lt;&gt;"Trash"),1,0)</f>
        <v>0</v>
      </c>
      <c r="H531" s="0" t="str">
        <f aca="false">INDEX('Materials Master'!$E$2:$E$27,MATCH($C531,'Materials Master'!$A$2:$A$27,0))</f>
        <v>No</v>
      </c>
      <c r="I531" s="0" t="str">
        <f aca="false">IFERROR(INDEX(Areas!$C$2:$C$6,MATCH($A531,Areas!$B$2:$B$6,0)),"")</f>
        <v>Rest of Building</v>
      </c>
      <c r="J531" s="0" t="n">
        <f aca="false">IF(IF($B531="Trash",INDEX('Materials Master'!$F$2:$F$27,MATCH($C531,'Materials Master'!$A$2:$A$27,0)),IF($B531="GMPC Recycling",INDEX('Materials Master'!$G$2:$G$27,MATCH($C531,'Materials Master'!$A$2:$A$27,0)),IF($B531="Organics Recycling",INDEX('Materials Master'!$H$2:$H$27,MATCH($C531,'Materials Master'!$A$2:$A$27,0)),IF($B531="Cardboard Recycling",INDEX('Materials Master'!$I$2:$I$27,MATCH($C531,'Materials Master'!$A$2:$A$27,0)),IF($B531="Paper Recycling",INDEX('Materials Master'!$J$2:$J$27,MATCH($C531,'Materials Master'!$A$2:$A$27,0)),IF($B531="Terracycle",INDEX('Materials Master'!$K$2:$K$27,MATCH($C531,'Materials Master'!$A$2:$A$27,0)),"No"))))))="Yes",1,0)</f>
        <v>0</v>
      </c>
    </row>
    <row r="532" customFormat="false" ht="15" hidden="false" customHeight="false" outlineLevel="0" collapsed="false">
      <c r="A532" s="0" t="s">
        <v>100</v>
      </c>
      <c r="B532" s="0" t="s">
        <v>105</v>
      </c>
      <c r="C532" s="0" t="s">
        <v>52</v>
      </c>
      <c r="D532" s="0" t="str">
        <f aca="false">IFERROR(INDEX('Materials Master'!$B$2:$B$27,MATCH($C532,'Materials Master'!$A$2:$A$27,0)),"")</f>
        <v>Aluminum &amp; Bi-Metal Containers</v>
      </c>
      <c r="E532" s="0" t="str">
        <f aca="false">IFERROR(INDEX('Materials Master'!$C$2:$C$27,MATCH($C532,'Materials Master'!$A$2:$A$27,0)),"")</f>
        <v>Metals</v>
      </c>
      <c r="F532" s="0" t="n">
        <f aca="false">IF(SUMIFS(Fact_SortedWeights!$E$2:$E$89,Fact_SortedWeights!$C$2:$C$89,$A532,Fact_SortedWeights!$B$2:$B$89,$B532)=0,0,SUMIFS(Fact_SortedWeights!$E$2:$E$89,Fact_SortedWeights!$C$2:$C$89,$A532,Fact_SortedWeights!$B$2:$B$89,$B532,Fact_SortedWeights!$D$2:$D$89,$C532)/SUMIFS(Fact_SortedWeights!$E$2:$E$89,Fact_SortedWeights!$C$2:$C$89,$A532,Fact_SortedWeights!$B$2:$B$89,$B532)*(IF($B532="Cardboard Recycling",SUMIFS(Fact_SortedWeights!$E$2:$E$89,Fact_SortedWeights!$C$2:$C$89,$A532,Fact_SortedWeights!$B$2:$B$89,$B532),SUMIFS(Fact_PreSortWeights!$E$2:$E$186,Fact_PreSortWeights!$C$2:$C$186,$A532,Fact_PreSortWeights!$B$2:$B$186,$B532))))</f>
        <v>0</v>
      </c>
      <c r="G532" s="0" t="n">
        <f aca="false">IF(AND(IF($B532="Trash",INDEX('Materials Master'!$F$2:$F$27,MATCH($C532,'Materials Master'!$A$2:$A$27,0)),IF($B532="GMPC Recycling",INDEX('Materials Master'!$G$2:$G$27,MATCH($C532,'Materials Master'!$A$2:$A$27,0)),IF($B532="Organics Recycling",INDEX('Materials Master'!$H$2:$H$27,MATCH($C532,'Materials Master'!$A$2:$A$27,0)),IF($B532="Cardboard Recycling",INDEX('Materials Master'!$I$2:$I$27,MATCH($C532,'Materials Master'!$A$2:$A$27,0)),IF($B532="Paper Recycling",INDEX('Materials Master'!$J$2:$J$27,MATCH($C532,'Materials Master'!$A$2:$A$27,0)),IF($B532="Terracycle",INDEX('Materials Master'!$K$2:$K$27,MATCH($C532,'Materials Master'!$A$2:$A$27,0)),"No"))))))="Yes",INDEX('Materials Master'!$E$2:$E$27,MATCH($C532,'Materials Master'!$A$2:$A$27,0))="Yes",$B532&lt;&gt;"Trash"),1,0)</f>
        <v>0</v>
      </c>
      <c r="H532" s="0" t="str">
        <f aca="false">INDEX('Materials Master'!$E$2:$E$27,MATCH($C532,'Materials Master'!$A$2:$A$27,0))</f>
        <v>Yes</v>
      </c>
      <c r="I532" s="0" t="str">
        <f aca="false">IFERROR(INDEX(Areas!$C$2:$C$6,MATCH($A532,Areas!$B$2:$B$6,0)),"")</f>
        <v>Rest of Building</v>
      </c>
      <c r="J532" s="0" t="n">
        <f aca="false">IF(IF($B532="Trash",INDEX('Materials Master'!$F$2:$F$27,MATCH($C532,'Materials Master'!$A$2:$A$27,0)),IF($B532="GMPC Recycling",INDEX('Materials Master'!$G$2:$G$27,MATCH($C532,'Materials Master'!$A$2:$A$27,0)),IF($B532="Organics Recycling",INDEX('Materials Master'!$H$2:$H$27,MATCH($C532,'Materials Master'!$A$2:$A$27,0)),IF($B532="Cardboard Recycling",INDEX('Materials Master'!$I$2:$I$27,MATCH($C532,'Materials Master'!$A$2:$A$27,0)),IF($B532="Paper Recycling",INDEX('Materials Master'!$J$2:$J$27,MATCH($C532,'Materials Master'!$A$2:$A$27,0)),IF($B532="Terracycle",INDEX('Materials Master'!$K$2:$K$27,MATCH($C532,'Materials Master'!$A$2:$A$27,0)),"No"))))))="Yes",1,0)</f>
        <v>0</v>
      </c>
    </row>
    <row r="533" customFormat="false" ht="15" hidden="false" customHeight="false" outlineLevel="0" collapsed="false">
      <c r="A533" s="0" t="s">
        <v>100</v>
      </c>
      <c r="B533" s="0" t="s">
        <v>105</v>
      </c>
      <c r="C533" s="0" t="s">
        <v>55</v>
      </c>
      <c r="D533" s="0" t="str">
        <f aca="false">IFERROR(INDEX('Materials Master'!$B$2:$B$27,MATCH($C533,'Materials Master'!$A$2:$A$27,0)),"")</f>
        <v>Soiled Metals</v>
      </c>
      <c r="E533" s="0" t="str">
        <f aca="false">IFERROR(INDEX('Materials Master'!$C$2:$C$27,MATCH($C533,'Materials Master'!$A$2:$A$27,0)),"")</f>
        <v>Metals</v>
      </c>
      <c r="F533" s="0" t="n">
        <f aca="false">IF(SUMIFS(Fact_SortedWeights!$E$2:$E$89,Fact_SortedWeights!$C$2:$C$89,$A533,Fact_SortedWeights!$B$2:$B$89,$B533)=0,0,SUMIFS(Fact_SortedWeights!$E$2:$E$89,Fact_SortedWeights!$C$2:$C$89,$A533,Fact_SortedWeights!$B$2:$B$89,$B533,Fact_SortedWeights!$D$2:$D$89,$C533)/SUMIFS(Fact_SortedWeights!$E$2:$E$89,Fact_SortedWeights!$C$2:$C$89,$A533,Fact_SortedWeights!$B$2:$B$89,$B533)*(IF($B533="Cardboard Recycling",SUMIFS(Fact_SortedWeights!$E$2:$E$89,Fact_SortedWeights!$C$2:$C$89,$A533,Fact_SortedWeights!$B$2:$B$89,$B533),SUMIFS(Fact_PreSortWeights!$E$2:$E$186,Fact_PreSortWeights!$C$2:$C$186,$A533,Fact_PreSortWeights!$B$2:$B$186,$B533))))</f>
        <v>0</v>
      </c>
      <c r="G533" s="0" t="n">
        <f aca="false">IF(AND(IF($B533="Trash",INDEX('Materials Master'!$F$2:$F$27,MATCH($C533,'Materials Master'!$A$2:$A$27,0)),IF($B533="GMPC Recycling",INDEX('Materials Master'!$G$2:$G$27,MATCH($C533,'Materials Master'!$A$2:$A$27,0)),IF($B533="Organics Recycling",INDEX('Materials Master'!$H$2:$H$27,MATCH($C533,'Materials Master'!$A$2:$A$27,0)),IF($B533="Cardboard Recycling",INDEX('Materials Master'!$I$2:$I$27,MATCH($C533,'Materials Master'!$A$2:$A$27,0)),IF($B533="Paper Recycling",INDEX('Materials Master'!$J$2:$J$27,MATCH($C533,'Materials Master'!$A$2:$A$27,0)),IF($B533="Terracycle",INDEX('Materials Master'!$K$2:$K$27,MATCH($C533,'Materials Master'!$A$2:$A$27,0)),"No"))))))="Yes",INDEX('Materials Master'!$E$2:$E$27,MATCH($C533,'Materials Master'!$A$2:$A$27,0))="Yes",$B533&lt;&gt;"Trash"),1,0)</f>
        <v>0</v>
      </c>
      <c r="H533" s="0" t="str">
        <f aca="false">INDEX('Materials Master'!$E$2:$E$27,MATCH($C533,'Materials Master'!$A$2:$A$27,0))</f>
        <v>No</v>
      </c>
      <c r="I533" s="0" t="str">
        <f aca="false">IFERROR(INDEX(Areas!$C$2:$C$6,MATCH($A533,Areas!$B$2:$B$6,0)),"")</f>
        <v>Rest of Building</v>
      </c>
      <c r="J533" s="0" t="n">
        <f aca="false">IF(IF($B533="Trash",INDEX('Materials Master'!$F$2:$F$27,MATCH($C533,'Materials Master'!$A$2:$A$27,0)),IF($B533="GMPC Recycling",INDEX('Materials Master'!$G$2:$G$27,MATCH($C533,'Materials Master'!$A$2:$A$27,0)),IF($B533="Organics Recycling",INDEX('Materials Master'!$H$2:$H$27,MATCH($C533,'Materials Master'!$A$2:$A$27,0)),IF($B533="Cardboard Recycling",INDEX('Materials Master'!$I$2:$I$27,MATCH($C533,'Materials Master'!$A$2:$A$27,0)),IF($B533="Paper Recycling",INDEX('Materials Master'!$J$2:$J$27,MATCH($C533,'Materials Master'!$A$2:$A$27,0)),IF($B533="Terracycle",INDEX('Materials Master'!$K$2:$K$27,MATCH($C533,'Materials Master'!$A$2:$A$27,0)),"No"))))))="Yes",1,0)</f>
        <v>0</v>
      </c>
    </row>
    <row r="534" customFormat="false" ht="15" hidden="false" customHeight="false" outlineLevel="0" collapsed="false">
      <c r="A534" s="0" t="s">
        <v>100</v>
      </c>
      <c r="B534" s="0" t="s">
        <v>105</v>
      </c>
      <c r="C534" s="0" t="s">
        <v>57</v>
      </c>
      <c r="D534" s="0" t="str">
        <f aca="false">IFERROR(INDEX('Materials Master'!$B$2:$B$27,MATCH($C534,'Materials Master'!$A$2:$A$27,0)),"")</f>
        <v>Rigid Plastics (1-6)</v>
      </c>
      <c r="E534" s="0" t="str">
        <f aca="false">IFERROR(INDEX('Materials Master'!$C$2:$C$27,MATCH($C534,'Materials Master'!$A$2:$A$27,0)),"")</f>
        <v>Plastics</v>
      </c>
      <c r="F534" s="0" t="n">
        <f aca="false">IF(SUMIFS(Fact_SortedWeights!$E$2:$E$89,Fact_SortedWeights!$C$2:$C$89,$A534,Fact_SortedWeights!$B$2:$B$89,$B534)=0,0,SUMIFS(Fact_SortedWeights!$E$2:$E$89,Fact_SortedWeights!$C$2:$C$89,$A534,Fact_SortedWeights!$B$2:$B$89,$B534,Fact_SortedWeights!$D$2:$D$89,$C534)/SUMIFS(Fact_SortedWeights!$E$2:$E$89,Fact_SortedWeights!$C$2:$C$89,$A534,Fact_SortedWeights!$B$2:$B$89,$B534)*(IF($B534="Cardboard Recycling",SUMIFS(Fact_SortedWeights!$E$2:$E$89,Fact_SortedWeights!$C$2:$C$89,$A534,Fact_SortedWeights!$B$2:$B$89,$B534),SUMIFS(Fact_PreSortWeights!$E$2:$E$186,Fact_PreSortWeights!$C$2:$C$186,$A534,Fact_PreSortWeights!$B$2:$B$186,$B534))))</f>
        <v>0</v>
      </c>
      <c r="G534" s="0" t="n">
        <f aca="false">IF(AND(IF($B534="Trash",INDEX('Materials Master'!$F$2:$F$27,MATCH($C534,'Materials Master'!$A$2:$A$27,0)),IF($B534="GMPC Recycling",INDEX('Materials Master'!$G$2:$G$27,MATCH($C534,'Materials Master'!$A$2:$A$27,0)),IF($B534="Organics Recycling",INDEX('Materials Master'!$H$2:$H$27,MATCH($C534,'Materials Master'!$A$2:$A$27,0)),IF($B534="Cardboard Recycling",INDEX('Materials Master'!$I$2:$I$27,MATCH($C534,'Materials Master'!$A$2:$A$27,0)),IF($B534="Paper Recycling",INDEX('Materials Master'!$J$2:$J$27,MATCH($C534,'Materials Master'!$A$2:$A$27,0)),IF($B534="Terracycle",INDEX('Materials Master'!$K$2:$K$27,MATCH($C534,'Materials Master'!$A$2:$A$27,0)),"No"))))))="Yes",INDEX('Materials Master'!$E$2:$E$27,MATCH($C534,'Materials Master'!$A$2:$A$27,0))="Yes",$B534&lt;&gt;"Trash"),1,0)</f>
        <v>0</v>
      </c>
      <c r="H534" s="0" t="str">
        <f aca="false">INDEX('Materials Master'!$E$2:$E$27,MATCH($C534,'Materials Master'!$A$2:$A$27,0))</f>
        <v>Yes</v>
      </c>
      <c r="I534" s="0" t="str">
        <f aca="false">IFERROR(INDEX(Areas!$C$2:$C$6,MATCH($A534,Areas!$B$2:$B$6,0)),"")</f>
        <v>Rest of Building</v>
      </c>
      <c r="J534" s="0" t="n">
        <f aca="false">IF(IF($B534="Trash",INDEX('Materials Master'!$F$2:$F$27,MATCH($C534,'Materials Master'!$A$2:$A$27,0)),IF($B534="GMPC Recycling",INDEX('Materials Master'!$G$2:$G$27,MATCH($C534,'Materials Master'!$A$2:$A$27,0)),IF($B534="Organics Recycling",INDEX('Materials Master'!$H$2:$H$27,MATCH($C534,'Materials Master'!$A$2:$A$27,0)),IF($B534="Cardboard Recycling",INDEX('Materials Master'!$I$2:$I$27,MATCH($C534,'Materials Master'!$A$2:$A$27,0)),IF($B534="Paper Recycling",INDEX('Materials Master'!$J$2:$J$27,MATCH($C534,'Materials Master'!$A$2:$A$27,0)),IF($B534="Terracycle",INDEX('Materials Master'!$K$2:$K$27,MATCH($C534,'Materials Master'!$A$2:$A$27,0)),"No"))))))="Yes",1,0)</f>
        <v>0</v>
      </c>
    </row>
    <row r="535" customFormat="false" ht="15" hidden="false" customHeight="false" outlineLevel="0" collapsed="false">
      <c r="A535" s="0" t="s">
        <v>100</v>
      </c>
      <c r="B535" s="0" t="s">
        <v>105</v>
      </c>
      <c r="C535" s="0" t="s">
        <v>60</v>
      </c>
      <c r="D535" s="0" t="str">
        <f aca="false">IFERROR(INDEX('Materials Master'!$B$2:$B$27,MATCH($C535,'Materials Master'!$A$2:$A$27,0)),"")</f>
        <v>Soiled Rigid Plastics</v>
      </c>
      <c r="E535" s="0" t="str">
        <f aca="false">IFERROR(INDEX('Materials Master'!$C$2:$C$27,MATCH($C535,'Materials Master'!$A$2:$A$27,0)),"")</f>
        <v>Plastics</v>
      </c>
      <c r="F535" s="0" t="n">
        <f aca="false">IF(SUMIFS(Fact_SortedWeights!$E$2:$E$89,Fact_SortedWeights!$C$2:$C$89,$A535,Fact_SortedWeights!$B$2:$B$89,$B535)=0,0,SUMIFS(Fact_SortedWeights!$E$2:$E$89,Fact_SortedWeights!$C$2:$C$89,$A535,Fact_SortedWeights!$B$2:$B$89,$B535,Fact_SortedWeights!$D$2:$D$89,$C535)/SUMIFS(Fact_SortedWeights!$E$2:$E$89,Fact_SortedWeights!$C$2:$C$89,$A535,Fact_SortedWeights!$B$2:$B$89,$B535)*(IF($B535="Cardboard Recycling",SUMIFS(Fact_SortedWeights!$E$2:$E$89,Fact_SortedWeights!$C$2:$C$89,$A535,Fact_SortedWeights!$B$2:$B$89,$B535),SUMIFS(Fact_PreSortWeights!$E$2:$E$186,Fact_PreSortWeights!$C$2:$C$186,$A535,Fact_PreSortWeights!$B$2:$B$186,$B535))))</f>
        <v>0</v>
      </c>
      <c r="G535" s="0" t="n">
        <f aca="false">IF(AND(IF($B535="Trash",INDEX('Materials Master'!$F$2:$F$27,MATCH($C535,'Materials Master'!$A$2:$A$27,0)),IF($B535="GMPC Recycling",INDEX('Materials Master'!$G$2:$G$27,MATCH($C535,'Materials Master'!$A$2:$A$27,0)),IF($B535="Organics Recycling",INDEX('Materials Master'!$H$2:$H$27,MATCH($C535,'Materials Master'!$A$2:$A$27,0)),IF($B535="Cardboard Recycling",INDEX('Materials Master'!$I$2:$I$27,MATCH($C535,'Materials Master'!$A$2:$A$27,0)),IF($B535="Paper Recycling",INDEX('Materials Master'!$J$2:$J$27,MATCH($C535,'Materials Master'!$A$2:$A$27,0)),IF($B535="Terracycle",INDEX('Materials Master'!$K$2:$K$27,MATCH($C535,'Materials Master'!$A$2:$A$27,0)),"No"))))))="Yes",INDEX('Materials Master'!$E$2:$E$27,MATCH($C535,'Materials Master'!$A$2:$A$27,0))="Yes",$B535&lt;&gt;"Trash"),1,0)</f>
        <v>0</v>
      </c>
      <c r="H535" s="0" t="str">
        <f aca="false">INDEX('Materials Master'!$E$2:$E$27,MATCH($C535,'Materials Master'!$A$2:$A$27,0))</f>
        <v>No</v>
      </c>
      <c r="I535" s="0" t="str">
        <f aca="false">IFERROR(INDEX(Areas!$C$2:$C$6,MATCH($A535,Areas!$B$2:$B$6,0)),"")</f>
        <v>Rest of Building</v>
      </c>
      <c r="J535" s="0" t="n">
        <f aca="false">IF(IF($B535="Trash",INDEX('Materials Master'!$F$2:$F$27,MATCH($C535,'Materials Master'!$A$2:$A$27,0)),IF($B535="GMPC Recycling",INDEX('Materials Master'!$G$2:$G$27,MATCH($C535,'Materials Master'!$A$2:$A$27,0)),IF($B535="Organics Recycling",INDEX('Materials Master'!$H$2:$H$27,MATCH($C535,'Materials Master'!$A$2:$A$27,0)),IF($B535="Cardboard Recycling",INDEX('Materials Master'!$I$2:$I$27,MATCH($C535,'Materials Master'!$A$2:$A$27,0)),IF($B535="Paper Recycling",INDEX('Materials Master'!$J$2:$J$27,MATCH($C535,'Materials Master'!$A$2:$A$27,0)),IF($B535="Terracycle",INDEX('Materials Master'!$K$2:$K$27,MATCH($C535,'Materials Master'!$A$2:$A$27,0)),"No"))))))="Yes",1,0)</f>
        <v>0</v>
      </c>
    </row>
    <row r="536" customFormat="false" ht="15" hidden="false" customHeight="false" outlineLevel="0" collapsed="false">
      <c r="A536" s="0" t="s">
        <v>100</v>
      </c>
      <c r="B536" s="0" t="s">
        <v>105</v>
      </c>
      <c r="C536" s="0" t="s">
        <v>62</v>
      </c>
      <c r="D536" s="0" t="str">
        <f aca="false">IFERROR(INDEX('Materials Master'!$B$2:$B$27,MATCH($C536,'Materials Master'!$A$2:$A$27,0)),"")</f>
        <v>Film Plastics</v>
      </c>
      <c r="E536" s="0" t="str">
        <f aca="false">IFERROR(INDEX('Materials Master'!$C$2:$C$27,MATCH($C536,'Materials Master'!$A$2:$A$27,0)),"")</f>
        <v>Plastics</v>
      </c>
      <c r="F536" s="0" t="n">
        <f aca="false">IF(SUMIFS(Fact_SortedWeights!$E$2:$E$89,Fact_SortedWeights!$C$2:$C$89,$A536,Fact_SortedWeights!$B$2:$B$89,$B536)=0,0,SUMIFS(Fact_SortedWeights!$E$2:$E$89,Fact_SortedWeights!$C$2:$C$89,$A536,Fact_SortedWeights!$B$2:$B$89,$B536,Fact_SortedWeights!$D$2:$D$89,$C536)/SUMIFS(Fact_SortedWeights!$E$2:$E$89,Fact_SortedWeights!$C$2:$C$89,$A536,Fact_SortedWeights!$B$2:$B$89,$B536)*(IF($B536="Cardboard Recycling",SUMIFS(Fact_SortedWeights!$E$2:$E$89,Fact_SortedWeights!$C$2:$C$89,$A536,Fact_SortedWeights!$B$2:$B$89,$B536),SUMIFS(Fact_PreSortWeights!$E$2:$E$186,Fact_PreSortWeights!$C$2:$C$186,$A536,Fact_PreSortWeights!$B$2:$B$186,$B536))))</f>
        <v>0</v>
      </c>
      <c r="G536" s="0" t="n">
        <f aca="false">IF(AND(IF($B536="Trash",INDEX('Materials Master'!$F$2:$F$27,MATCH($C536,'Materials Master'!$A$2:$A$27,0)),IF($B536="GMPC Recycling",INDEX('Materials Master'!$G$2:$G$27,MATCH($C536,'Materials Master'!$A$2:$A$27,0)),IF($B536="Organics Recycling",INDEX('Materials Master'!$H$2:$H$27,MATCH($C536,'Materials Master'!$A$2:$A$27,0)),IF($B536="Cardboard Recycling",INDEX('Materials Master'!$I$2:$I$27,MATCH($C536,'Materials Master'!$A$2:$A$27,0)),IF($B536="Paper Recycling",INDEX('Materials Master'!$J$2:$J$27,MATCH($C536,'Materials Master'!$A$2:$A$27,0)),IF($B536="Terracycle",INDEX('Materials Master'!$K$2:$K$27,MATCH($C536,'Materials Master'!$A$2:$A$27,0)),"No"))))))="Yes",INDEX('Materials Master'!$E$2:$E$27,MATCH($C536,'Materials Master'!$A$2:$A$27,0))="Yes",$B536&lt;&gt;"Trash"),1,0)</f>
        <v>0</v>
      </c>
      <c r="H536" s="0" t="str">
        <f aca="false">INDEX('Materials Master'!$E$2:$E$27,MATCH($C536,'Materials Master'!$A$2:$A$27,0))</f>
        <v>No</v>
      </c>
      <c r="I536" s="0" t="str">
        <f aca="false">IFERROR(INDEX(Areas!$C$2:$C$6,MATCH($A536,Areas!$B$2:$B$6,0)),"")</f>
        <v>Rest of Building</v>
      </c>
      <c r="J536" s="0" t="n">
        <f aca="false">IF(IF($B536="Trash",INDEX('Materials Master'!$F$2:$F$27,MATCH($C536,'Materials Master'!$A$2:$A$27,0)),IF($B536="GMPC Recycling",INDEX('Materials Master'!$G$2:$G$27,MATCH($C536,'Materials Master'!$A$2:$A$27,0)),IF($B536="Organics Recycling",INDEX('Materials Master'!$H$2:$H$27,MATCH($C536,'Materials Master'!$A$2:$A$27,0)),IF($B536="Cardboard Recycling",INDEX('Materials Master'!$I$2:$I$27,MATCH($C536,'Materials Master'!$A$2:$A$27,0)),IF($B536="Paper Recycling",INDEX('Materials Master'!$J$2:$J$27,MATCH($C536,'Materials Master'!$A$2:$A$27,0)),IF($B536="Terracycle",INDEX('Materials Master'!$K$2:$K$27,MATCH($C536,'Materials Master'!$A$2:$A$27,0)),"No"))))))="Yes",1,0)</f>
        <v>0</v>
      </c>
    </row>
    <row r="537" customFormat="false" ht="15" hidden="false" customHeight="false" outlineLevel="0" collapsed="false">
      <c r="A537" s="0" t="s">
        <v>100</v>
      </c>
      <c r="B537" s="0" t="s">
        <v>105</v>
      </c>
      <c r="C537" s="0" t="s">
        <v>64</v>
      </c>
      <c r="D537" s="0" t="str">
        <f aca="false">IFERROR(INDEX('Materials Master'!$B$2:$B$27,MATCH($C537,'Materials Master'!$A$2:$A$27,0)),"")</f>
        <v>Foams</v>
      </c>
      <c r="E537" s="0" t="str">
        <f aca="false">IFERROR(INDEX('Materials Master'!$C$2:$C$27,MATCH($C537,'Materials Master'!$A$2:$A$27,0)),"")</f>
        <v>Plastics</v>
      </c>
      <c r="F537" s="0" t="n">
        <f aca="false">IF(SUMIFS(Fact_SortedWeights!$E$2:$E$89,Fact_SortedWeights!$C$2:$C$89,$A537,Fact_SortedWeights!$B$2:$B$89,$B537)=0,0,SUMIFS(Fact_SortedWeights!$E$2:$E$89,Fact_SortedWeights!$C$2:$C$89,$A537,Fact_SortedWeights!$B$2:$B$89,$B537,Fact_SortedWeights!$D$2:$D$89,$C537)/SUMIFS(Fact_SortedWeights!$E$2:$E$89,Fact_SortedWeights!$C$2:$C$89,$A537,Fact_SortedWeights!$B$2:$B$89,$B537)*(IF($B537="Cardboard Recycling",SUMIFS(Fact_SortedWeights!$E$2:$E$89,Fact_SortedWeights!$C$2:$C$89,$A537,Fact_SortedWeights!$B$2:$B$89,$B537),SUMIFS(Fact_PreSortWeights!$E$2:$E$186,Fact_PreSortWeights!$C$2:$C$186,$A537,Fact_PreSortWeights!$B$2:$B$186,$B537))))</f>
        <v>0</v>
      </c>
      <c r="G537" s="0" t="n">
        <f aca="false">IF(AND(IF($B537="Trash",INDEX('Materials Master'!$F$2:$F$27,MATCH($C537,'Materials Master'!$A$2:$A$27,0)),IF($B537="GMPC Recycling",INDEX('Materials Master'!$G$2:$G$27,MATCH($C537,'Materials Master'!$A$2:$A$27,0)),IF($B537="Organics Recycling",INDEX('Materials Master'!$H$2:$H$27,MATCH($C537,'Materials Master'!$A$2:$A$27,0)),IF($B537="Cardboard Recycling",INDEX('Materials Master'!$I$2:$I$27,MATCH($C537,'Materials Master'!$A$2:$A$27,0)),IF($B537="Paper Recycling",INDEX('Materials Master'!$J$2:$J$27,MATCH($C537,'Materials Master'!$A$2:$A$27,0)),IF($B537="Terracycle",INDEX('Materials Master'!$K$2:$K$27,MATCH($C537,'Materials Master'!$A$2:$A$27,0)),"No"))))))="Yes",INDEX('Materials Master'!$E$2:$E$27,MATCH($C537,'Materials Master'!$A$2:$A$27,0))="Yes",$B537&lt;&gt;"Trash"),1,0)</f>
        <v>0</v>
      </c>
      <c r="H537" s="0" t="str">
        <f aca="false">INDEX('Materials Master'!$E$2:$E$27,MATCH($C537,'Materials Master'!$A$2:$A$27,0))</f>
        <v>No</v>
      </c>
      <c r="I537" s="0" t="str">
        <f aca="false">IFERROR(INDEX(Areas!$C$2:$C$6,MATCH($A537,Areas!$B$2:$B$6,0)),"")</f>
        <v>Rest of Building</v>
      </c>
      <c r="J537" s="0" t="n">
        <f aca="false">IF(IF($B537="Trash",INDEX('Materials Master'!$F$2:$F$27,MATCH($C537,'Materials Master'!$A$2:$A$27,0)),IF($B537="GMPC Recycling",INDEX('Materials Master'!$G$2:$G$27,MATCH($C537,'Materials Master'!$A$2:$A$27,0)),IF($B537="Organics Recycling",INDEX('Materials Master'!$H$2:$H$27,MATCH($C537,'Materials Master'!$A$2:$A$27,0)),IF($B537="Cardboard Recycling",INDEX('Materials Master'!$I$2:$I$27,MATCH($C537,'Materials Master'!$A$2:$A$27,0)),IF($B537="Paper Recycling",INDEX('Materials Master'!$J$2:$J$27,MATCH($C537,'Materials Master'!$A$2:$A$27,0)),IF($B537="Terracycle",INDEX('Materials Master'!$K$2:$K$27,MATCH($C537,'Materials Master'!$A$2:$A$27,0)),"No"))))))="Yes",1,0)</f>
        <v>0</v>
      </c>
    </row>
    <row r="538" customFormat="false" ht="15" hidden="false" customHeight="false" outlineLevel="0" collapsed="false">
      <c r="A538" s="0" t="s">
        <v>100</v>
      </c>
      <c r="B538" s="0" t="s">
        <v>105</v>
      </c>
      <c r="C538" s="0" t="s">
        <v>66</v>
      </c>
      <c r="D538" s="0" t="str">
        <f aca="false">IFERROR(INDEX('Materials Master'!$B$2:$B$27,MATCH($C538,'Materials Master'!$A$2:$A$27,0)),"")</f>
        <v>Food Waste</v>
      </c>
      <c r="E538" s="0" t="str">
        <f aca="false">IFERROR(INDEX('Materials Master'!$C$2:$C$27,MATCH($C538,'Materials Master'!$A$2:$A$27,0)),"")</f>
        <v>Organics</v>
      </c>
      <c r="F538" s="0" t="n">
        <f aca="false">IF(SUMIFS(Fact_SortedWeights!$E$2:$E$89,Fact_SortedWeights!$C$2:$C$89,$A538,Fact_SortedWeights!$B$2:$B$89,$B538)=0,0,SUMIFS(Fact_SortedWeights!$E$2:$E$89,Fact_SortedWeights!$C$2:$C$89,$A538,Fact_SortedWeights!$B$2:$B$89,$B538,Fact_SortedWeights!$D$2:$D$89,$C538)/SUMIFS(Fact_SortedWeights!$E$2:$E$89,Fact_SortedWeights!$C$2:$C$89,$A538,Fact_SortedWeights!$B$2:$B$89,$B538)*(IF($B538="Cardboard Recycling",SUMIFS(Fact_SortedWeights!$E$2:$E$89,Fact_SortedWeights!$C$2:$C$89,$A538,Fact_SortedWeights!$B$2:$B$89,$B538),SUMIFS(Fact_PreSortWeights!$E$2:$E$186,Fact_PreSortWeights!$C$2:$C$186,$A538,Fact_PreSortWeights!$B$2:$B$186,$B538))))</f>
        <v>0</v>
      </c>
      <c r="G538" s="0" t="n">
        <f aca="false">IF(AND(IF($B538="Trash",INDEX('Materials Master'!$F$2:$F$27,MATCH($C538,'Materials Master'!$A$2:$A$27,0)),IF($B538="GMPC Recycling",INDEX('Materials Master'!$G$2:$G$27,MATCH($C538,'Materials Master'!$A$2:$A$27,0)),IF($B538="Organics Recycling",INDEX('Materials Master'!$H$2:$H$27,MATCH($C538,'Materials Master'!$A$2:$A$27,0)),IF($B538="Cardboard Recycling",INDEX('Materials Master'!$I$2:$I$27,MATCH($C538,'Materials Master'!$A$2:$A$27,0)),IF($B538="Paper Recycling",INDEX('Materials Master'!$J$2:$J$27,MATCH($C538,'Materials Master'!$A$2:$A$27,0)),IF($B538="Terracycle",INDEX('Materials Master'!$K$2:$K$27,MATCH($C538,'Materials Master'!$A$2:$A$27,0)),"No"))))))="Yes",INDEX('Materials Master'!$E$2:$E$27,MATCH($C538,'Materials Master'!$A$2:$A$27,0))="Yes",$B538&lt;&gt;"Trash"),1,0)</f>
        <v>1</v>
      </c>
      <c r="H538" s="0" t="str">
        <f aca="false">INDEX('Materials Master'!$E$2:$E$27,MATCH($C538,'Materials Master'!$A$2:$A$27,0))</f>
        <v>Yes</v>
      </c>
      <c r="I538" s="0" t="str">
        <f aca="false">IFERROR(INDEX(Areas!$C$2:$C$6,MATCH($A538,Areas!$B$2:$B$6,0)),"")</f>
        <v>Rest of Building</v>
      </c>
      <c r="J538" s="0" t="n">
        <f aca="false">IF(IF($B538="Trash",INDEX('Materials Master'!$F$2:$F$27,MATCH($C538,'Materials Master'!$A$2:$A$27,0)),IF($B538="GMPC Recycling",INDEX('Materials Master'!$G$2:$G$27,MATCH($C538,'Materials Master'!$A$2:$A$27,0)),IF($B538="Organics Recycling",INDEX('Materials Master'!$H$2:$H$27,MATCH($C538,'Materials Master'!$A$2:$A$27,0)),IF($B538="Cardboard Recycling",INDEX('Materials Master'!$I$2:$I$27,MATCH($C538,'Materials Master'!$A$2:$A$27,0)),IF($B538="Paper Recycling",INDEX('Materials Master'!$J$2:$J$27,MATCH($C538,'Materials Master'!$A$2:$A$27,0)),IF($B538="Terracycle",INDEX('Materials Master'!$K$2:$K$27,MATCH($C538,'Materials Master'!$A$2:$A$27,0)),"No"))))))="Yes",1,0)</f>
        <v>1</v>
      </c>
    </row>
    <row r="539" customFormat="false" ht="15" hidden="false" customHeight="false" outlineLevel="0" collapsed="false">
      <c r="A539" s="0" t="s">
        <v>100</v>
      </c>
      <c r="B539" s="0" t="s">
        <v>105</v>
      </c>
      <c r="C539" s="0" t="s">
        <v>69</v>
      </c>
      <c r="D539" s="0" t="str">
        <f aca="false">IFERROR(INDEX('Materials Master'!$B$2:$B$27,MATCH($C539,'Materials Master'!$A$2:$A$27,0)),"")</f>
        <v>Paper Fibers and Food-Soiled Paper (FSP)</v>
      </c>
      <c r="E539" s="0" t="str">
        <f aca="false">IFERROR(INDEX('Materials Master'!$C$2:$C$27,MATCH($C539,'Materials Master'!$A$2:$A$27,0)),"")</f>
        <v>Organics</v>
      </c>
      <c r="F539" s="0" t="n">
        <f aca="false">IF(SUMIFS(Fact_SortedWeights!$E$2:$E$89,Fact_SortedWeights!$C$2:$C$89,$A539,Fact_SortedWeights!$B$2:$B$89,$B539)=0,0,SUMIFS(Fact_SortedWeights!$E$2:$E$89,Fact_SortedWeights!$C$2:$C$89,$A539,Fact_SortedWeights!$B$2:$B$89,$B539,Fact_SortedWeights!$D$2:$D$89,$C539)/SUMIFS(Fact_SortedWeights!$E$2:$E$89,Fact_SortedWeights!$C$2:$C$89,$A539,Fact_SortedWeights!$B$2:$B$89,$B539)*(IF($B539="Cardboard Recycling",SUMIFS(Fact_SortedWeights!$E$2:$E$89,Fact_SortedWeights!$C$2:$C$89,$A539,Fact_SortedWeights!$B$2:$B$89,$B539),SUMIFS(Fact_PreSortWeights!$E$2:$E$186,Fact_PreSortWeights!$C$2:$C$186,$A539,Fact_PreSortWeights!$B$2:$B$186,$B539))))</f>
        <v>0</v>
      </c>
      <c r="G539" s="0" t="n">
        <f aca="false">IF(AND(IF($B539="Trash",INDEX('Materials Master'!$F$2:$F$27,MATCH($C539,'Materials Master'!$A$2:$A$27,0)),IF($B539="GMPC Recycling",INDEX('Materials Master'!$G$2:$G$27,MATCH($C539,'Materials Master'!$A$2:$A$27,0)),IF($B539="Organics Recycling",INDEX('Materials Master'!$H$2:$H$27,MATCH($C539,'Materials Master'!$A$2:$A$27,0)),IF($B539="Cardboard Recycling",INDEX('Materials Master'!$I$2:$I$27,MATCH($C539,'Materials Master'!$A$2:$A$27,0)),IF($B539="Paper Recycling",INDEX('Materials Master'!$J$2:$J$27,MATCH($C539,'Materials Master'!$A$2:$A$27,0)),IF($B539="Terracycle",INDEX('Materials Master'!$K$2:$K$27,MATCH($C539,'Materials Master'!$A$2:$A$27,0)),"No"))))))="Yes",INDEX('Materials Master'!$E$2:$E$27,MATCH($C539,'Materials Master'!$A$2:$A$27,0))="Yes",$B539&lt;&gt;"Trash"),1,0)</f>
        <v>0</v>
      </c>
      <c r="H539" s="0" t="str">
        <f aca="false">INDEX('Materials Master'!$E$2:$E$27,MATCH($C539,'Materials Master'!$A$2:$A$27,0))</f>
        <v>No</v>
      </c>
      <c r="I539" s="0" t="str">
        <f aca="false">IFERROR(INDEX(Areas!$C$2:$C$6,MATCH($A539,Areas!$B$2:$B$6,0)),"")</f>
        <v>Rest of Building</v>
      </c>
      <c r="J539" s="0" t="n">
        <f aca="false">IF(IF($B539="Trash",INDEX('Materials Master'!$F$2:$F$27,MATCH($C539,'Materials Master'!$A$2:$A$27,0)),IF($B539="GMPC Recycling",INDEX('Materials Master'!$G$2:$G$27,MATCH($C539,'Materials Master'!$A$2:$A$27,0)),IF($B539="Organics Recycling",INDEX('Materials Master'!$H$2:$H$27,MATCH($C539,'Materials Master'!$A$2:$A$27,0)),IF($B539="Cardboard Recycling",INDEX('Materials Master'!$I$2:$I$27,MATCH($C539,'Materials Master'!$A$2:$A$27,0)),IF($B539="Paper Recycling",INDEX('Materials Master'!$J$2:$J$27,MATCH($C539,'Materials Master'!$A$2:$A$27,0)),IF($B539="Terracycle",INDEX('Materials Master'!$K$2:$K$27,MATCH($C539,'Materials Master'!$A$2:$A$27,0)),"No"))))))="Yes",1,0)</f>
        <v>0</v>
      </c>
    </row>
    <row r="540" customFormat="false" ht="15" hidden="false" customHeight="false" outlineLevel="0" collapsed="false">
      <c r="A540" s="0" t="s">
        <v>100</v>
      </c>
      <c r="B540" s="0" t="s">
        <v>105</v>
      </c>
      <c r="C540" s="0" t="s">
        <v>71</v>
      </c>
      <c r="D540" s="0" t="str">
        <f aca="false">IFERROR(INDEX('Materials Master'!$B$2:$B$27,MATCH($C540,'Materials Master'!$A$2:$A$27,0)),"")</f>
        <v>Fiber-based Compostable Serviceware</v>
      </c>
      <c r="E540" s="0" t="str">
        <f aca="false">IFERROR(INDEX('Materials Master'!$C$2:$C$27,MATCH($C540,'Materials Master'!$A$2:$A$27,0)),"")</f>
        <v>Organics</v>
      </c>
      <c r="F540" s="0" t="n">
        <f aca="false">IF(SUMIFS(Fact_SortedWeights!$E$2:$E$89,Fact_SortedWeights!$C$2:$C$89,$A540,Fact_SortedWeights!$B$2:$B$89,$B540)=0,0,SUMIFS(Fact_SortedWeights!$E$2:$E$89,Fact_SortedWeights!$C$2:$C$89,$A540,Fact_SortedWeights!$B$2:$B$89,$B540,Fact_SortedWeights!$D$2:$D$89,$C540)/SUMIFS(Fact_SortedWeights!$E$2:$E$89,Fact_SortedWeights!$C$2:$C$89,$A540,Fact_SortedWeights!$B$2:$B$89,$B540)*(IF($B540="Cardboard Recycling",SUMIFS(Fact_SortedWeights!$E$2:$E$89,Fact_SortedWeights!$C$2:$C$89,$A540,Fact_SortedWeights!$B$2:$B$89,$B540),SUMIFS(Fact_PreSortWeights!$E$2:$E$186,Fact_PreSortWeights!$C$2:$C$186,$A540,Fact_PreSortWeights!$B$2:$B$186,$B540))))</f>
        <v>0</v>
      </c>
      <c r="G540" s="0" t="n">
        <f aca="false">IF(AND(IF($B540="Trash",INDEX('Materials Master'!$F$2:$F$27,MATCH($C540,'Materials Master'!$A$2:$A$27,0)),IF($B540="GMPC Recycling",INDEX('Materials Master'!$G$2:$G$27,MATCH($C540,'Materials Master'!$A$2:$A$27,0)),IF($B540="Organics Recycling",INDEX('Materials Master'!$H$2:$H$27,MATCH($C540,'Materials Master'!$A$2:$A$27,0)),IF($B540="Cardboard Recycling",INDEX('Materials Master'!$I$2:$I$27,MATCH($C540,'Materials Master'!$A$2:$A$27,0)),IF($B540="Paper Recycling",INDEX('Materials Master'!$J$2:$J$27,MATCH($C540,'Materials Master'!$A$2:$A$27,0)),IF($B540="Terracycle",INDEX('Materials Master'!$K$2:$K$27,MATCH($C540,'Materials Master'!$A$2:$A$27,0)),"No"))))))="Yes",INDEX('Materials Master'!$E$2:$E$27,MATCH($C540,'Materials Master'!$A$2:$A$27,0))="Yes",$B540&lt;&gt;"Trash"),1,0)</f>
        <v>0</v>
      </c>
      <c r="H540" s="0" t="str">
        <f aca="false">INDEX('Materials Master'!$E$2:$E$27,MATCH($C540,'Materials Master'!$A$2:$A$27,0))</f>
        <v>No</v>
      </c>
      <c r="I540" s="0" t="str">
        <f aca="false">IFERROR(INDEX(Areas!$C$2:$C$6,MATCH($A540,Areas!$B$2:$B$6,0)),"")</f>
        <v>Rest of Building</v>
      </c>
      <c r="J540" s="0" t="n">
        <f aca="false">IF(IF($B540="Trash",INDEX('Materials Master'!$F$2:$F$27,MATCH($C540,'Materials Master'!$A$2:$A$27,0)),IF($B540="GMPC Recycling",INDEX('Materials Master'!$G$2:$G$27,MATCH($C540,'Materials Master'!$A$2:$A$27,0)),IF($B540="Organics Recycling",INDEX('Materials Master'!$H$2:$H$27,MATCH($C540,'Materials Master'!$A$2:$A$27,0)),IF($B540="Cardboard Recycling",INDEX('Materials Master'!$I$2:$I$27,MATCH($C540,'Materials Master'!$A$2:$A$27,0)),IF($B540="Paper Recycling",INDEX('Materials Master'!$J$2:$J$27,MATCH($C540,'Materials Master'!$A$2:$A$27,0)),IF($B540="Terracycle",INDEX('Materials Master'!$K$2:$K$27,MATCH($C540,'Materials Master'!$A$2:$A$27,0)),"No"))))))="Yes",1,0)</f>
        <v>0</v>
      </c>
    </row>
    <row r="541" customFormat="false" ht="15" hidden="false" customHeight="false" outlineLevel="0" collapsed="false">
      <c r="A541" s="0" t="s">
        <v>100</v>
      </c>
      <c r="B541" s="0" t="s">
        <v>105</v>
      </c>
      <c r="C541" s="0" t="s">
        <v>73</v>
      </c>
      <c r="D541" s="0" t="str">
        <f aca="false">IFERROR(INDEX('Materials Master'!$B$2:$B$27,MATCH($C541,'Materials Master'!$A$2:$A$27,0)),"")</f>
        <v>PLA Compostable Serviceware</v>
      </c>
      <c r="E541" s="0" t="str">
        <f aca="false">IFERROR(INDEX('Materials Master'!$C$2:$C$27,MATCH($C541,'Materials Master'!$A$2:$A$27,0)),"")</f>
        <v>Organics</v>
      </c>
      <c r="F541" s="0" t="n">
        <f aca="false">IF(SUMIFS(Fact_SortedWeights!$E$2:$E$89,Fact_SortedWeights!$C$2:$C$89,$A541,Fact_SortedWeights!$B$2:$B$89,$B541)=0,0,SUMIFS(Fact_SortedWeights!$E$2:$E$89,Fact_SortedWeights!$C$2:$C$89,$A541,Fact_SortedWeights!$B$2:$B$89,$B541,Fact_SortedWeights!$D$2:$D$89,$C541)/SUMIFS(Fact_SortedWeights!$E$2:$E$89,Fact_SortedWeights!$C$2:$C$89,$A541,Fact_SortedWeights!$B$2:$B$89,$B541)*(IF($B541="Cardboard Recycling",SUMIFS(Fact_SortedWeights!$E$2:$E$89,Fact_SortedWeights!$C$2:$C$89,$A541,Fact_SortedWeights!$B$2:$B$89,$B541),SUMIFS(Fact_PreSortWeights!$E$2:$E$186,Fact_PreSortWeights!$C$2:$C$186,$A541,Fact_PreSortWeights!$B$2:$B$186,$B541))))</f>
        <v>0</v>
      </c>
      <c r="G541" s="0" t="n">
        <f aca="false">IF(AND(IF($B541="Trash",INDEX('Materials Master'!$F$2:$F$27,MATCH($C541,'Materials Master'!$A$2:$A$27,0)),IF($B541="GMPC Recycling",INDEX('Materials Master'!$G$2:$G$27,MATCH($C541,'Materials Master'!$A$2:$A$27,0)),IF($B541="Organics Recycling",INDEX('Materials Master'!$H$2:$H$27,MATCH($C541,'Materials Master'!$A$2:$A$27,0)),IF($B541="Cardboard Recycling",INDEX('Materials Master'!$I$2:$I$27,MATCH($C541,'Materials Master'!$A$2:$A$27,0)),IF($B541="Paper Recycling",INDEX('Materials Master'!$J$2:$J$27,MATCH($C541,'Materials Master'!$A$2:$A$27,0)),IF($B541="Terracycle",INDEX('Materials Master'!$K$2:$K$27,MATCH($C541,'Materials Master'!$A$2:$A$27,0)),"No"))))))="Yes",INDEX('Materials Master'!$E$2:$E$27,MATCH($C541,'Materials Master'!$A$2:$A$27,0))="Yes",$B541&lt;&gt;"Trash"),1,0)</f>
        <v>0</v>
      </c>
      <c r="H541" s="0" t="str">
        <f aca="false">INDEX('Materials Master'!$E$2:$E$27,MATCH($C541,'Materials Master'!$A$2:$A$27,0))</f>
        <v>No</v>
      </c>
      <c r="I541" s="0" t="str">
        <f aca="false">IFERROR(INDEX(Areas!$C$2:$C$6,MATCH($A541,Areas!$B$2:$B$6,0)),"")</f>
        <v>Rest of Building</v>
      </c>
      <c r="J541" s="0" t="n">
        <f aca="false">IF(IF($B541="Trash",INDEX('Materials Master'!$F$2:$F$27,MATCH($C541,'Materials Master'!$A$2:$A$27,0)),IF($B541="GMPC Recycling",INDEX('Materials Master'!$G$2:$G$27,MATCH($C541,'Materials Master'!$A$2:$A$27,0)),IF($B541="Organics Recycling",INDEX('Materials Master'!$H$2:$H$27,MATCH($C541,'Materials Master'!$A$2:$A$27,0)),IF($B541="Cardboard Recycling",INDEX('Materials Master'!$I$2:$I$27,MATCH($C541,'Materials Master'!$A$2:$A$27,0)),IF($B541="Paper Recycling",INDEX('Materials Master'!$J$2:$J$27,MATCH($C541,'Materials Master'!$A$2:$A$27,0)),IF($B541="Terracycle",INDEX('Materials Master'!$K$2:$K$27,MATCH($C541,'Materials Master'!$A$2:$A$27,0)),"No"))))))="Yes",1,0)</f>
        <v>0</v>
      </c>
    </row>
    <row r="542" customFormat="false" ht="15" hidden="false" customHeight="false" outlineLevel="0" collapsed="false">
      <c r="A542" s="0" t="s">
        <v>100</v>
      </c>
      <c r="B542" s="0" t="s">
        <v>105</v>
      </c>
      <c r="C542" s="0" t="s">
        <v>75</v>
      </c>
      <c r="D542" s="0" t="str">
        <f aca="false">IFERROR(INDEX('Materials Master'!$B$2:$B$27,MATCH($C542,'Materials Master'!$A$2:$A$27,0)),"")</f>
        <v>E/U Waste</v>
      </c>
      <c r="E542" s="0" t="str">
        <f aca="false">IFERROR(INDEX('Materials Master'!$C$2:$C$27,MATCH($C542,'Materials Master'!$A$2:$A$27,0)),"")</f>
        <v>Unacceptable</v>
      </c>
      <c r="F542" s="0" t="n">
        <f aca="false">IF(SUMIFS(Fact_SortedWeights!$E$2:$E$89,Fact_SortedWeights!$C$2:$C$89,$A542,Fact_SortedWeights!$B$2:$B$89,$B542)=0,0,SUMIFS(Fact_SortedWeights!$E$2:$E$89,Fact_SortedWeights!$C$2:$C$89,$A542,Fact_SortedWeights!$B$2:$B$89,$B542,Fact_SortedWeights!$D$2:$D$89,$C542)/SUMIFS(Fact_SortedWeights!$E$2:$E$89,Fact_SortedWeights!$C$2:$C$89,$A542,Fact_SortedWeights!$B$2:$B$89,$B542)*(IF($B542="Cardboard Recycling",SUMIFS(Fact_SortedWeights!$E$2:$E$89,Fact_SortedWeights!$C$2:$C$89,$A542,Fact_SortedWeights!$B$2:$B$89,$B542),SUMIFS(Fact_PreSortWeights!$E$2:$E$186,Fact_PreSortWeights!$C$2:$C$186,$A542,Fact_PreSortWeights!$B$2:$B$186,$B542))))</f>
        <v>0</v>
      </c>
      <c r="G542" s="0" t="n">
        <f aca="false">IF(AND(IF($B542="Trash",INDEX('Materials Master'!$F$2:$F$27,MATCH($C542,'Materials Master'!$A$2:$A$27,0)),IF($B542="GMPC Recycling",INDEX('Materials Master'!$G$2:$G$27,MATCH($C542,'Materials Master'!$A$2:$A$27,0)),IF($B542="Organics Recycling",INDEX('Materials Master'!$H$2:$H$27,MATCH($C542,'Materials Master'!$A$2:$A$27,0)),IF($B542="Cardboard Recycling",INDEX('Materials Master'!$I$2:$I$27,MATCH($C542,'Materials Master'!$A$2:$A$27,0)),IF($B542="Paper Recycling",INDEX('Materials Master'!$J$2:$J$27,MATCH($C542,'Materials Master'!$A$2:$A$27,0)),IF($B542="Terracycle",INDEX('Materials Master'!$K$2:$K$27,MATCH($C542,'Materials Master'!$A$2:$A$27,0)),"No"))))))="Yes",INDEX('Materials Master'!$E$2:$E$27,MATCH($C542,'Materials Master'!$A$2:$A$27,0))="Yes",$B542&lt;&gt;"Trash"),1,0)</f>
        <v>0</v>
      </c>
      <c r="H542" s="0" t="str">
        <f aca="false">INDEX('Materials Master'!$E$2:$E$27,MATCH($C542,'Materials Master'!$A$2:$A$27,0))</f>
        <v>No</v>
      </c>
      <c r="I542" s="0" t="str">
        <f aca="false">IFERROR(INDEX(Areas!$C$2:$C$6,MATCH($A542,Areas!$B$2:$B$6,0)),"")</f>
        <v>Rest of Building</v>
      </c>
      <c r="J542" s="0" t="n">
        <f aca="false">IF(IF($B542="Trash",INDEX('Materials Master'!$F$2:$F$27,MATCH($C542,'Materials Master'!$A$2:$A$27,0)),IF($B542="GMPC Recycling",INDEX('Materials Master'!$G$2:$G$27,MATCH($C542,'Materials Master'!$A$2:$A$27,0)),IF($B542="Organics Recycling",INDEX('Materials Master'!$H$2:$H$27,MATCH($C542,'Materials Master'!$A$2:$A$27,0)),IF($B542="Cardboard Recycling",INDEX('Materials Master'!$I$2:$I$27,MATCH($C542,'Materials Master'!$A$2:$A$27,0)),IF($B542="Paper Recycling",INDEX('Materials Master'!$J$2:$J$27,MATCH($C542,'Materials Master'!$A$2:$A$27,0)),IF($B542="Terracycle",INDEX('Materials Master'!$K$2:$K$27,MATCH($C542,'Materials Master'!$A$2:$A$27,0)),"No"))))))="Yes",1,0)</f>
        <v>0</v>
      </c>
    </row>
    <row r="543" customFormat="false" ht="15" hidden="false" customHeight="false" outlineLevel="0" collapsed="false">
      <c r="A543" s="0" t="s">
        <v>100</v>
      </c>
      <c r="B543" s="0" t="s">
        <v>105</v>
      </c>
      <c r="C543" s="0" t="s">
        <v>78</v>
      </c>
      <c r="D543" s="0" t="str">
        <f aca="false">IFERROR(INDEX('Materials Master'!$B$2:$B$27,MATCH($C543,'Materials Master'!$A$2:$A$27,0)),"")</f>
        <v>Textiles</v>
      </c>
      <c r="E543" s="0" t="str">
        <f aca="false">IFERROR(INDEX('Materials Master'!$C$2:$C$27,MATCH($C543,'Materials Master'!$A$2:$A$27,0)),"")</f>
        <v>Unacceptable</v>
      </c>
      <c r="F543" s="0" t="n">
        <f aca="false">IF(SUMIFS(Fact_SortedWeights!$E$2:$E$89,Fact_SortedWeights!$C$2:$C$89,$A543,Fact_SortedWeights!$B$2:$B$89,$B543)=0,0,SUMIFS(Fact_SortedWeights!$E$2:$E$89,Fact_SortedWeights!$C$2:$C$89,$A543,Fact_SortedWeights!$B$2:$B$89,$B543,Fact_SortedWeights!$D$2:$D$89,$C543)/SUMIFS(Fact_SortedWeights!$E$2:$E$89,Fact_SortedWeights!$C$2:$C$89,$A543,Fact_SortedWeights!$B$2:$B$89,$B543)*(IF($B543="Cardboard Recycling",SUMIFS(Fact_SortedWeights!$E$2:$E$89,Fact_SortedWeights!$C$2:$C$89,$A543,Fact_SortedWeights!$B$2:$B$89,$B543),SUMIFS(Fact_PreSortWeights!$E$2:$E$186,Fact_PreSortWeights!$C$2:$C$186,$A543,Fact_PreSortWeights!$B$2:$B$186,$B543))))</f>
        <v>0</v>
      </c>
      <c r="G543" s="0" t="n">
        <f aca="false">IF(AND(IF($B543="Trash",INDEX('Materials Master'!$F$2:$F$27,MATCH($C543,'Materials Master'!$A$2:$A$27,0)),IF($B543="GMPC Recycling",INDEX('Materials Master'!$G$2:$G$27,MATCH($C543,'Materials Master'!$A$2:$A$27,0)),IF($B543="Organics Recycling",INDEX('Materials Master'!$H$2:$H$27,MATCH($C543,'Materials Master'!$A$2:$A$27,0)),IF($B543="Cardboard Recycling",INDEX('Materials Master'!$I$2:$I$27,MATCH($C543,'Materials Master'!$A$2:$A$27,0)),IF($B543="Paper Recycling",INDEX('Materials Master'!$J$2:$J$27,MATCH($C543,'Materials Master'!$A$2:$A$27,0)),IF($B543="Terracycle",INDEX('Materials Master'!$K$2:$K$27,MATCH($C543,'Materials Master'!$A$2:$A$27,0)),"No"))))))="Yes",INDEX('Materials Master'!$E$2:$E$27,MATCH($C543,'Materials Master'!$A$2:$A$27,0))="Yes",$B543&lt;&gt;"Trash"),1,0)</f>
        <v>0</v>
      </c>
      <c r="H543" s="0" t="str">
        <f aca="false">INDEX('Materials Master'!$E$2:$E$27,MATCH($C543,'Materials Master'!$A$2:$A$27,0))</f>
        <v>No</v>
      </c>
      <c r="I543" s="0" t="str">
        <f aca="false">IFERROR(INDEX(Areas!$C$2:$C$6,MATCH($A543,Areas!$B$2:$B$6,0)),"")</f>
        <v>Rest of Building</v>
      </c>
      <c r="J543" s="0" t="n">
        <f aca="false">IF(IF($B543="Trash",INDEX('Materials Master'!$F$2:$F$27,MATCH($C543,'Materials Master'!$A$2:$A$27,0)),IF($B543="GMPC Recycling",INDEX('Materials Master'!$G$2:$G$27,MATCH($C543,'Materials Master'!$A$2:$A$27,0)),IF($B543="Organics Recycling",INDEX('Materials Master'!$H$2:$H$27,MATCH($C543,'Materials Master'!$A$2:$A$27,0)),IF($B543="Cardboard Recycling",INDEX('Materials Master'!$I$2:$I$27,MATCH($C543,'Materials Master'!$A$2:$A$27,0)),IF($B543="Paper Recycling",INDEX('Materials Master'!$J$2:$J$27,MATCH($C543,'Materials Master'!$A$2:$A$27,0)),IF($B543="Terracycle",INDEX('Materials Master'!$K$2:$K$27,MATCH($C543,'Materials Master'!$A$2:$A$27,0)),"No"))))))="Yes",1,0)</f>
        <v>0</v>
      </c>
    </row>
    <row r="544" customFormat="false" ht="15" hidden="false" customHeight="false" outlineLevel="0" collapsed="false">
      <c r="A544" s="0" t="s">
        <v>100</v>
      </c>
      <c r="B544" s="0" t="s">
        <v>105</v>
      </c>
      <c r="C544" s="0" t="s">
        <v>80</v>
      </c>
      <c r="D544" s="0" t="str">
        <f aca="false">IFERROR(INDEX('Materials Master'!$B$2:$B$27,MATCH($C544,'Materials Master'!$A$2:$A$27,0)),"")</f>
        <v>Other Unacceptable (specify)</v>
      </c>
      <c r="E544" s="0" t="str">
        <f aca="false">IFERROR(INDEX('Materials Master'!$C$2:$C$27,MATCH($C544,'Materials Master'!$A$2:$A$27,0)),"")</f>
        <v>Unacceptable</v>
      </c>
      <c r="F544" s="0" t="n">
        <f aca="false">IF(SUMIFS(Fact_SortedWeights!$E$2:$E$89,Fact_SortedWeights!$C$2:$C$89,$A544,Fact_SortedWeights!$B$2:$B$89,$B544)=0,0,SUMIFS(Fact_SortedWeights!$E$2:$E$89,Fact_SortedWeights!$C$2:$C$89,$A544,Fact_SortedWeights!$B$2:$B$89,$B544,Fact_SortedWeights!$D$2:$D$89,$C544)/SUMIFS(Fact_SortedWeights!$E$2:$E$89,Fact_SortedWeights!$C$2:$C$89,$A544,Fact_SortedWeights!$B$2:$B$89,$B544)*(IF($B544="Cardboard Recycling",SUMIFS(Fact_SortedWeights!$E$2:$E$89,Fact_SortedWeights!$C$2:$C$89,$A544,Fact_SortedWeights!$B$2:$B$89,$B544),SUMIFS(Fact_PreSortWeights!$E$2:$E$186,Fact_PreSortWeights!$C$2:$C$186,$A544,Fact_PreSortWeights!$B$2:$B$186,$B544))))</f>
        <v>0</v>
      </c>
      <c r="G544" s="0" t="n">
        <f aca="false">IF(AND(IF($B544="Trash",INDEX('Materials Master'!$F$2:$F$27,MATCH($C544,'Materials Master'!$A$2:$A$27,0)),IF($B544="GMPC Recycling",INDEX('Materials Master'!$G$2:$G$27,MATCH($C544,'Materials Master'!$A$2:$A$27,0)),IF($B544="Organics Recycling",INDEX('Materials Master'!$H$2:$H$27,MATCH($C544,'Materials Master'!$A$2:$A$27,0)),IF($B544="Cardboard Recycling",INDEX('Materials Master'!$I$2:$I$27,MATCH($C544,'Materials Master'!$A$2:$A$27,0)),IF($B544="Paper Recycling",INDEX('Materials Master'!$J$2:$J$27,MATCH($C544,'Materials Master'!$A$2:$A$27,0)),IF($B544="Terracycle",INDEX('Materials Master'!$K$2:$K$27,MATCH($C544,'Materials Master'!$A$2:$A$27,0)),"No"))))))="Yes",INDEX('Materials Master'!$E$2:$E$27,MATCH($C544,'Materials Master'!$A$2:$A$27,0))="Yes",$B544&lt;&gt;"Trash"),1,0)</f>
        <v>0</v>
      </c>
      <c r="H544" s="0" t="str">
        <f aca="false">INDEX('Materials Master'!$E$2:$E$27,MATCH($C544,'Materials Master'!$A$2:$A$27,0))</f>
        <v>No</v>
      </c>
      <c r="I544" s="0" t="str">
        <f aca="false">IFERROR(INDEX(Areas!$C$2:$C$6,MATCH($A544,Areas!$B$2:$B$6,0)),"")</f>
        <v>Rest of Building</v>
      </c>
      <c r="J544" s="0" t="n">
        <f aca="false">IF(IF($B544="Trash",INDEX('Materials Master'!$F$2:$F$27,MATCH($C544,'Materials Master'!$A$2:$A$27,0)),IF($B544="GMPC Recycling",INDEX('Materials Master'!$G$2:$G$27,MATCH($C544,'Materials Master'!$A$2:$A$27,0)),IF($B544="Organics Recycling",INDEX('Materials Master'!$H$2:$H$27,MATCH($C544,'Materials Master'!$A$2:$A$27,0)),IF($B544="Cardboard Recycling",INDEX('Materials Master'!$I$2:$I$27,MATCH($C544,'Materials Master'!$A$2:$A$27,0)),IF($B544="Paper Recycling",INDEX('Materials Master'!$J$2:$J$27,MATCH($C544,'Materials Master'!$A$2:$A$27,0)),IF($B544="Terracycle",INDEX('Materials Master'!$K$2:$K$27,MATCH($C544,'Materials Master'!$A$2:$A$27,0)),"No"))))))="Yes",1,0)</f>
        <v>0</v>
      </c>
    </row>
    <row r="545" customFormat="false" ht="15" hidden="false" customHeight="false" outlineLevel="0" collapsed="false">
      <c r="A545" s="0" t="s">
        <v>100</v>
      </c>
      <c r="B545" s="0" t="s">
        <v>105</v>
      </c>
      <c r="C545" s="0" t="s">
        <v>82</v>
      </c>
      <c r="D545" s="0" t="str">
        <f aca="false">IFERROR(INDEX('Materials Master'!$B$2:$B$27,MATCH($C545,'Materials Master'!$A$2:$A$27,0)),"")</f>
        <v>Liquids</v>
      </c>
      <c r="E545" s="0" t="str">
        <f aca="false">IFERROR(INDEX('Materials Master'!$C$2:$C$27,MATCH($C545,'Materials Master'!$A$2:$A$27,0)),"")</f>
        <v>Unacceptable</v>
      </c>
      <c r="F545" s="0" t="n">
        <f aca="false">IF(SUMIFS(Fact_SortedWeights!$E$2:$E$89,Fact_SortedWeights!$C$2:$C$89,$A545,Fact_SortedWeights!$B$2:$B$89,$B545)=0,0,SUMIFS(Fact_SortedWeights!$E$2:$E$89,Fact_SortedWeights!$C$2:$C$89,$A545,Fact_SortedWeights!$B$2:$B$89,$B545,Fact_SortedWeights!$D$2:$D$89,$C545)/SUMIFS(Fact_SortedWeights!$E$2:$E$89,Fact_SortedWeights!$C$2:$C$89,$A545,Fact_SortedWeights!$B$2:$B$89,$B545)*(IF($B545="Cardboard Recycling",SUMIFS(Fact_SortedWeights!$E$2:$E$89,Fact_SortedWeights!$C$2:$C$89,$A545,Fact_SortedWeights!$B$2:$B$89,$B545),SUMIFS(Fact_PreSortWeights!$E$2:$E$186,Fact_PreSortWeights!$C$2:$C$186,$A545,Fact_PreSortWeights!$B$2:$B$186,$B545))))</f>
        <v>0</v>
      </c>
      <c r="G545" s="0" t="n">
        <f aca="false">IF(AND(IF($B545="Trash",INDEX('Materials Master'!$F$2:$F$27,MATCH($C545,'Materials Master'!$A$2:$A$27,0)),IF($B545="GMPC Recycling",INDEX('Materials Master'!$G$2:$G$27,MATCH($C545,'Materials Master'!$A$2:$A$27,0)),IF($B545="Organics Recycling",INDEX('Materials Master'!$H$2:$H$27,MATCH($C545,'Materials Master'!$A$2:$A$27,0)),IF($B545="Cardboard Recycling",INDEX('Materials Master'!$I$2:$I$27,MATCH($C545,'Materials Master'!$A$2:$A$27,0)),IF($B545="Paper Recycling",INDEX('Materials Master'!$J$2:$J$27,MATCH($C545,'Materials Master'!$A$2:$A$27,0)),IF($B545="Terracycle",INDEX('Materials Master'!$K$2:$K$27,MATCH($C545,'Materials Master'!$A$2:$A$27,0)),"No"))))))="Yes",INDEX('Materials Master'!$E$2:$E$27,MATCH($C545,'Materials Master'!$A$2:$A$27,0))="Yes",$B545&lt;&gt;"Trash"),1,0)</f>
        <v>0</v>
      </c>
      <c r="H545" s="0" t="str">
        <f aca="false">INDEX('Materials Master'!$E$2:$E$27,MATCH($C545,'Materials Master'!$A$2:$A$27,0))</f>
        <v>No</v>
      </c>
      <c r="I545" s="0" t="str">
        <f aca="false">IFERROR(INDEX(Areas!$C$2:$C$6,MATCH($A545,Areas!$B$2:$B$6,0)),"")</f>
        <v>Rest of Building</v>
      </c>
      <c r="J545" s="0" t="n">
        <f aca="false">IF(IF($B545="Trash",INDEX('Materials Master'!$F$2:$F$27,MATCH($C545,'Materials Master'!$A$2:$A$27,0)),IF($B545="GMPC Recycling",INDEX('Materials Master'!$G$2:$G$27,MATCH($C545,'Materials Master'!$A$2:$A$27,0)),IF($B545="Organics Recycling",INDEX('Materials Master'!$H$2:$H$27,MATCH($C545,'Materials Master'!$A$2:$A$27,0)),IF($B545="Cardboard Recycling",INDEX('Materials Master'!$I$2:$I$27,MATCH($C545,'Materials Master'!$A$2:$A$27,0)),IF($B545="Paper Recycling",INDEX('Materials Master'!$J$2:$J$27,MATCH($C545,'Materials Master'!$A$2:$A$27,0)),IF($B545="Terracycle",INDEX('Materials Master'!$K$2:$K$27,MATCH($C545,'Materials Master'!$A$2:$A$27,0)),"No"))))))="Yes",1,0)</f>
        <v>0</v>
      </c>
    </row>
    <row r="546" customFormat="false" ht="15" hidden="false" customHeight="false" outlineLevel="0" collapsed="false">
      <c r="A546" s="0" t="s">
        <v>100</v>
      </c>
      <c r="B546" s="0" t="s">
        <v>105</v>
      </c>
      <c r="C546" s="0" t="s">
        <v>84</v>
      </c>
      <c r="D546" s="0" t="str">
        <f aca="false">IFERROR(INDEX('Materials Master'!$B$2:$B$27,MATCH($C546,'Materials Master'!$A$2:$A$27,0)),"")</f>
        <v>Snack Wrappers (Composites)</v>
      </c>
      <c r="E546" s="0" t="str">
        <f aca="false">IFERROR(INDEX('Materials Master'!$C$2:$C$27,MATCH($C546,'Materials Master'!$A$2:$A$27,0)),"")</f>
        <v>Other</v>
      </c>
      <c r="F546" s="0" t="n">
        <f aca="false">IF(SUMIFS(Fact_SortedWeights!$E$2:$E$89,Fact_SortedWeights!$C$2:$C$89,$A546,Fact_SortedWeights!$B$2:$B$89,$B546)=0,0,SUMIFS(Fact_SortedWeights!$E$2:$E$89,Fact_SortedWeights!$C$2:$C$89,$A546,Fact_SortedWeights!$B$2:$B$89,$B546,Fact_SortedWeights!$D$2:$D$89,$C546)/SUMIFS(Fact_SortedWeights!$E$2:$E$89,Fact_SortedWeights!$C$2:$C$89,$A546,Fact_SortedWeights!$B$2:$B$89,$B546)*(IF($B546="Cardboard Recycling",SUMIFS(Fact_SortedWeights!$E$2:$E$89,Fact_SortedWeights!$C$2:$C$89,$A546,Fact_SortedWeights!$B$2:$B$89,$B546),SUMIFS(Fact_PreSortWeights!$E$2:$E$186,Fact_PreSortWeights!$C$2:$C$186,$A546,Fact_PreSortWeights!$B$2:$B$186,$B546))))</f>
        <v>0</v>
      </c>
      <c r="G546" s="0" t="n">
        <f aca="false">IF(AND(IF($B546="Trash",INDEX('Materials Master'!$F$2:$F$27,MATCH($C546,'Materials Master'!$A$2:$A$27,0)),IF($B546="GMPC Recycling",INDEX('Materials Master'!$G$2:$G$27,MATCH($C546,'Materials Master'!$A$2:$A$27,0)),IF($B546="Organics Recycling",INDEX('Materials Master'!$H$2:$H$27,MATCH($C546,'Materials Master'!$A$2:$A$27,0)),IF($B546="Cardboard Recycling",INDEX('Materials Master'!$I$2:$I$27,MATCH($C546,'Materials Master'!$A$2:$A$27,0)),IF($B546="Paper Recycling",INDEX('Materials Master'!$J$2:$J$27,MATCH($C546,'Materials Master'!$A$2:$A$27,0)),IF($B546="Terracycle",INDEX('Materials Master'!$K$2:$K$27,MATCH($C546,'Materials Master'!$A$2:$A$27,0)),"No"))))))="Yes",INDEX('Materials Master'!$E$2:$E$27,MATCH($C546,'Materials Master'!$A$2:$A$27,0))="Yes",$B546&lt;&gt;"Trash"),1,0)</f>
        <v>0</v>
      </c>
      <c r="H546" s="0" t="str">
        <f aca="false">INDEX('Materials Master'!$E$2:$E$27,MATCH($C546,'Materials Master'!$A$2:$A$27,0))</f>
        <v>Yes</v>
      </c>
      <c r="I546" s="0" t="str">
        <f aca="false">IFERROR(INDEX(Areas!$C$2:$C$6,MATCH($A546,Areas!$B$2:$B$6,0)),"")</f>
        <v>Rest of Building</v>
      </c>
      <c r="J546" s="0" t="n">
        <f aca="false">IF(IF($B546="Trash",INDEX('Materials Master'!$F$2:$F$27,MATCH($C546,'Materials Master'!$A$2:$A$27,0)),IF($B546="GMPC Recycling",INDEX('Materials Master'!$G$2:$G$27,MATCH($C546,'Materials Master'!$A$2:$A$27,0)),IF($B546="Organics Recycling",INDEX('Materials Master'!$H$2:$H$27,MATCH($C546,'Materials Master'!$A$2:$A$27,0)),IF($B546="Cardboard Recycling",INDEX('Materials Master'!$I$2:$I$27,MATCH($C546,'Materials Master'!$A$2:$A$27,0)),IF($B546="Paper Recycling",INDEX('Materials Master'!$J$2:$J$27,MATCH($C546,'Materials Master'!$A$2:$A$27,0)),IF($B546="Terracycle",INDEX('Materials Master'!$K$2:$K$27,MATCH($C546,'Materials Master'!$A$2:$A$27,0)),"No"))))))="Yes",1,0)</f>
        <v>0</v>
      </c>
    </row>
    <row r="547" customFormat="false" ht="15" hidden="false" customHeight="false" outlineLevel="0" collapsed="false">
      <c r="A547" s="0" t="s">
        <v>100</v>
      </c>
      <c r="B547" s="0" t="s">
        <v>105</v>
      </c>
      <c r="C547" s="0" t="s">
        <v>87</v>
      </c>
      <c r="D547" s="0" t="str">
        <f aca="false">IFERROR(INDEX('Materials Master'!$B$2:$B$27,MATCH($C547,'Materials Master'!$A$2:$A$27,0)),"")</f>
        <v>Other/Residual Materials</v>
      </c>
      <c r="E547" s="0" t="str">
        <f aca="false">IFERROR(INDEX('Materials Master'!$C$2:$C$27,MATCH($C547,'Materials Master'!$A$2:$A$27,0)),"")</f>
        <v>Other</v>
      </c>
      <c r="F547" s="0" t="n">
        <f aca="false">IF(SUMIFS(Fact_SortedWeights!$E$2:$E$89,Fact_SortedWeights!$C$2:$C$89,$A547,Fact_SortedWeights!$B$2:$B$89,$B547)=0,0,SUMIFS(Fact_SortedWeights!$E$2:$E$89,Fact_SortedWeights!$C$2:$C$89,$A547,Fact_SortedWeights!$B$2:$B$89,$B547,Fact_SortedWeights!$D$2:$D$89,$C547)/SUMIFS(Fact_SortedWeights!$E$2:$E$89,Fact_SortedWeights!$C$2:$C$89,$A547,Fact_SortedWeights!$B$2:$B$89,$B547)*(IF($B547="Cardboard Recycling",SUMIFS(Fact_SortedWeights!$E$2:$E$89,Fact_SortedWeights!$C$2:$C$89,$A547,Fact_SortedWeights!$B$2:$B$89,$B547),SUMIFS(Fact_PreSortWeights!$E$2:$E$186,Fact_PreSortWeights!$C$2:$C$186,$A547,Fact_PreSortWeights!$B$2:$B$186,$B547))))</f>
        <v>0</v>
      </c>
      <c r="G547" s="0" t="n">
        <f aca="false">IF(AND(IF($B547="Trash",INDEX('Materials Master'!$F$2:$F$27,MATCH($C547,'Materials Master'!$A$2:$A$27,0)),IF($B547="GMPC Recycling",INDEX('Materials Master'!$G$2:$G$27,MATCH($C547,'Materials Master'!$A$2:$A$27,0)),IF($B547="Organics Recycling",INDEX('Materials Master'!$H$2:$H$27,MATCH($C547,'Materials Master'!$A$2:$A$27,0)),IF($B547="Cardboard Recycling",INDEX('Materials Master'!$I$2:$I$27,MATCH($C547,'Materials Master'!$A$2:$A$27,0)),IF($B547="Paper Recycling",INDEX('Materials Master'!$J$2:$J$27,MATCH($C547,'Materials Master'!$A$2:$A$27,0)),IF($B547="Terracycle",INDEX('Materials Master'!$K$2:$K$27,MATCH($C547,'Materials Master'!$A$2:$A$27,0)),"No"))))))="Yes",INDEX('Materials Master'!$E$2:$E$27,MATCH($C547,'Materials Master'!$A$2:$A$27,0))="Yes",$B547&lt;&gt;"Trash"),1,0)</f>
        <v>0</v>
      </c>
      <c r="H547" s="0" t="str">
        <f aca="false">INDEX('Materials Master'!$E$2:$E$27,MATCH($C547,'Materials Master'!$A$2:$A$27,0))</f>
        <v>No</v>
      </c>
      <c r="I547" s="0" t="str">
        <f aca="false">IFERROR(INDEX(Areas!$C$2:$C$6,MATCH($A547,Areas!$B$2:$B$6,0)),"")</f>
        <v>Rest of Building</v>
      </c>
      <c r="J547" s="0" t="n">
        <f aca="false">IF(IF($B547="Trash",INDEX('Materials Master'!$F$2:$F$27,MATCH($C547,'Materials Master'!$A$2:$A$27,0)),IF($B547="GMPC Recycling",INDEX('Materials Master'!$G$2:$G$27,MATCH($C547,'Materials Master'!$A$2:$A$27,0)),IF($B547="Organics Recycling",INDEX('Materials Master'!$H$2:$H$27,MATCH($C547,'Materials Master'!$A$2:$A$27,0)),IF($B547="Cardboard Recycling",INDEX('Materials Master'!$I$2:$I$27,MATCH($C547,'Materials Master'!$A$2:$A$27,0)),IF($B547="Paper Recycling",INDEX('Materials Master'!$J$2:$J$27,MATCH($C547,'Materials Master'!$A$2:$A$27,0)),IF($B547="Terracycle",INDEX('Materials Master'!$K$2:$K$27,MATCH($C547,'Materials Master'!$A$2:$A$27,0)),"No"))))))="Yes",1,0)</f>
        <v>0</v>
      </c>
    </row>
    <row r="548" customFormat="false" ht="15" hidden="false" customHeight="false" outlineLevel="0" collapsed="false">
      <c r="A548" s="0" t="s">
        <v>100</v>
      </c>
      <c r="B548" s="0" t="s">
        <v>106</v>
      </c>
      <c r="C548" s="0" t="s">
        <v>28</v>
      </c>
      <c r="D548" s="0" t="str">
        <f aca="false">IFERROR(INDEX('Materials Master'!$B$2:$B$27,MATCH($C548,'Materials Master'!$A$2:$A$27,0)),"")</f>
        <v>Corrugated Cardboard</v>
      </c>
      <c r="E548" s="0" t="str">
        <f aca="false">IFERROR(INDEX('Materials Master'!$C$2:$C$27,MATCH($C548,'Materials Master'!$A$2:$A$27,0)),"")</f>
        <v>Fibers</v>
      </c>
      <c r="F548" s="0" t="n">
        <f aca="false">IF(SUMIFS(Fact_SortedWeights!$E$2:$E$89,Fact_SortedWeights!$C$2:$C$89,$A548,Fact_SortedWeights!$B$2:$B$89,$B548)=0,0,SUMIFS(Fact_SortedWeights!$E$2:$E$89,Fact_SortedWeights!$C$2:$C$89,$A548,Fact_SortedWeights!$B$2:$B$89,$B548,Fact_SortedWeights!$D$2:$D$89,$C548)/SUMIFS(Fact_SortedWeights!$E$2:$E$89,Fact_SortedWeights!$C$2:$C$89,$A548,Fact_SortedWeights!$B$2:$B$89,$B548)*(IF($B548="Cardboard Recycling",SUMIFS(Fact_SortedWeights!$E$2:$E$89,Fact_SortedWeights!$C$2:$C$89,$A548,Fact_SortedWeights!$B$2:$B$89,$B548),SUMIFS(Fact_PreSortWeights!$E$2:$E$186,Fact_PreSortWeights!$C$2:$C$186,$A548,Fact_PreSortWeights!$B$2:$B$186,$B548))))</f>
        <v>0</v>
      </c>
      <c r="G548" s="0" t="n">
        <f aca="false">IF(AND(IF($B548="Trash",INDEX('Materials Master'!$F$2:$F$27,MATCH($C548,'Materials Master'!$A$2:$A$27,0)),IF($B548="GMPC Recycling",INDEX('Materials Master'!$G$2:$G$27,MATCH($C548,'Materials Master'!$A$2:$A$27,0)),IF($B548="Organics Recycling",INDEX('Materials Master'!$H$2:$H$27,MATCH($C548,'Materials Master'!$A$2:$A$27,0)),IF($B548="Cardboard Recycling",INDEX('Materials Master'!$I$2:$I$27,MATCH($C548,'Materials Master'!$A$2:$A$27,0)),IF($B548="Paper Recycling",INDEX('Materials Master'!$J$2:$J$27,MATCH($C548,'Materials Master'!$A$2:$A$27,0)),IF($B548="Terracycle",INDEX('Materials Master'!$K$2:$K$27,MATCH($C548,'Materials Master'!$A$2:$A$27,0)),"No"))))))="Yes",INDEX('Materials Master'!$E$2:$E$27,MATCH($C548,'Materials Master'!$A$2:$A$27,0))="Yes",$B548&lt;&gt;"Trash"),1,0)</f>
        <v>1</v>
      </c>
      <c r="H548" s="0" t="str">
        <f aca="false">INDEX('Materials Master'!$E$2:$E$27,MATCH($C548,'Materials Master'!$A$2:$A$27,0))</f>
        <v>Yes</v>
      </c>
      <c r="I548" s="0" t="str">
        <f aca="false">IFERROR(INDEX(Areas!$C$2:$C$6,MATCH($A548,Areas!$B$2:$B$6,0)),"")</f>
        <v>Rest of Building</v>
      </c>
      <c r="J548" s="0" t="n">
        <f aca="false">IF(IF($B548="Trash",INDEX('Materials Master'!$F$2:$F$27,MATCH($C548,'Materials Master'!$A$2:$A$27,0)),IF($B548="GMPC Recycling",INDEX('Materials Master'!$G$2:$G$27,MATCH($C548,'Materials Master'!$A$2:$A$27,0)),IF($B548="Organics Recycling",INDEX('Materials Master'!$H$2:$H$27,MATCH($C548,'Materials Master'!$A$2:$A$27,0)),IF($B548="Cardboard Recycling",INDEX('Materials Master'!$I$2:$I$27,MATCH($C548,'Materials Master'!$A$2:$A$27,0)),IF($B548="Paper Recycling",INDEX('Materials Master'!$J$2:$J$27,MATCH($C548,'Materials Master'!$A$2:$A$27,0)),IF($B548="Terracycle",INDEX('Materials Master'!$K$2:$K$27,MATCH($C548,'Materials Master'!$A$2:$A$27,0)),"No"))))))="Yes",1,0)</f>
        <v>1</v>
      </c>
    </row>
    <row r="549" customFormat="false" ht="15" hidden="false" customHeight="false" outlineLevel="0" collapsed="false">
      <c r="A549" s="0" t="s">
        <v>100</v>
      </c>
      <c r="B549" s="0" t="s">
        <v>106</v>
      </c>
      <c r="C549" s="0" t="s">
        <v>33</v>
      </c>
      <c r="D549" s="0" t="str">
        <f aca="false">IFERROR(INDEX('Materials Master'!$B$2:$B$27,MATCH($C549,'Materials Master'!$A$2:$A$27,0)),"")</f>
        <v>Soiled Cardboard</v>
      </c>
      <c r="E549" s="0" t="str">
        <f aca="false">IFERROR(INDEX('Materials Master'!$C$2:$C$27,MATCH($C549,'Materials Master'!$A$2:$A$27,0)),"")</f>
        <v>Fibers</v>
      </c>
      <c r="F549" s="0" t="n">
        <f aca="false">IF(SUMIFS(Fact_SortedWeights!$E$2:$E$89,Fact_SortedWeights!$C$2:$C$89,$A549,Fact_SortedWeights!$B$2:$B$89,$B549)=0,0,SUMIFS(Fact_SortedWeights!$E$2:$E$89,Fact_SortedWeights!$C$2:$C$89,$A549,Fact_SortedWeights!$B$2:$B$89,$B549,Fact_SortedWeights!$D$2:$D$89,$C549)/SUMIFS(Fact_SortedWeights!$E$2:$E$89,Fact_SortedWeights!$C$2:$C$89,$A549,Fact_SortedWeights!$B$2:$B$89,$B549)*(IF($B549="Cardboard Recycling",SUMIFS(Fact_SortedWeights!$E$2:$E$89,Fact_SortedWeights!$C$2:$C$89,$A549,Fact_SortedWeights!$B$2:$B$89,$B549),SUMIFS(Fact_PreSortWeights!$E$2:$E$186,Fact_PreSortWeights!$C$2:$C$186,$A549,Fact_PreSortWeights!$B$2:$B$186,$B549))))</f>
        <v>0</v>
      </c>
      <c r="G549" s="0" t="n">
        <f aca="false">IF(AND(IF($B549="Trash",INDEX('Materials Master'!$F$2:$F$27,MATCH($C549,'Materials Master'!$A$2:$A$27,0)),IF($B549="GMPC Recycling",INDEX('Materials Master'!$G$2:$G$27,MATCH($C549,'Materials Master'!$A$2:$A$27,0)),IF($B549="Organics Recycling",INDEX('Materials Master'!$H$2:$H$27,MATCH($C549,'Materials Master'!$A$2:$A$27,0)),IF($B549="Cardboard Recycling",INDEX('Materials Master'!$I$2:$I$27,MATCH($C549,'Materials Master'!$A$2:$A$27,0)),IF($B549="Paper Recycling",INDEX('Materials Master'!$J$2:$J$27,MATCH($C549,'Materials Master'!$A$2:$A$27,0)),IF($B549="Terracycle",INDEX('Materials Master'!$K$2:$K$27,MATCH($C549,'Materials Master'!$A$2:$A$27,0)),"No"))))))="Yes",INDEX('Materials Master'!$E$2:$E$27,MATCH($C549,'Materials Master'!$A$2:$A$27,0))="Yes",$B549&lt;&gt;"Trash"),1,0)</f>
        <v>0</v>
      </c>
      <c r="H549" s="0" t="str">
        <f aca="false">INDEX('Materials Master'!$E$2:$E$27,MATCH($C549,'Materials Master'!$A$2:$A$27,0))</f>
        <v>No</v>
      </c>
      <c r="I549" s="0" t="str">
        <f aca="false">IFERROR(INDEX(Areas!$C$2:$C$6,MATCH($A549,Areas!$B$2:$B$6,0)),"")</f>
        <v>Rest of Building</v>
      </c>
      <c r="J549" s="0" t="n">
        <f aca="false">IF(IF($B549="Trash",INDEX('Materials Master'!$F$2:$F$27,MATCH($C549,'Materials Master'!$A$2:$A$27,0)),IF($B549="GMPC Recycling",INDEX('Materials Master'!$G$2:$G$27,MATCH($C549,'Materials Master'!$A$2:$A$27,0)),IF($B549="Organics Recycling",INDEX('Materials Master'!$H$2:$H$27,MATCH($C549,'Materials Master'!$A$2:$A$27,0)),IF($B549="Cardboard Recycling",INDEX('Materials Master'!$I$2:$I$27,MATCH($C549,'Materials Master'!$A$2:$A$27,0)),IF($B549="Paper Recycling",INDEX('Materials Master'!$J$2:$J$27,MATCH($C549,'Materials Master'!$A$2:$A$27,0)),IF($B549="Terracycle",INDEX('Materials Master'!$K$2:$K$27,MATCH($C549,'Materials Master'!$A$2:$A$27,0)),"No"))))))="Yes",1,0)</f>
        <v>0</v>
      </c>
    </row>
    <row r="550" customFormat="false" ht="15" hidden="false" customHeight="false" outlineLevel="0" collapsed="false">
      <c r="A550" s="0" t="s">
        <v>100</v>
      </c>
      <c r="B550" s="0" t="s">
        <v>106</v>
      </c>
      <c r="C550" s="0" t="s">
        <v>35</v>
      </c>
      <c r="D550" s="0" t="str">
        <f aca="false">IFERROR(INDEX('Materials Master'!$B$2:$B$27,MATCH($C550,'Materials Master'!$A$2:$A$27,0)),"")</f>
        <v>Waxed Cardboard</v>
      </c>
      <c r="E550" s="0" t="str">
        <f aca="false">IFERROR(INDEX('Materials Master'!$C$2:$C$27,MATCH($C550,'Materials Master'!$A$2:$A$27,0)),"")</f>
        <v>Fibers</v>
      </c>
      <c r="F550" s="0" t="n">
        <f aca="false">IF(SUMIFS(Fact_SortedWeights!$E$2:$E$89,Fact_SortedWeights!$C$2:$C$89,$A550,Fact_SortedWeights!$B$2:$B$89,$B550)=0,0,SUMIFS(Fact_SortedWeights!$E$2:$E$89,Fact_SortedWeights!$C$2:$C$89,$A550,Fact_SortedWeights!$B$2:$B$89,$B550,Fact_SortedWeights!$D$2:$D$89,$C550)/SUMIFS(Fact_SortedWeights!$E$2:$E$89,Fact_SortedWeights!$C$2:$C$89,$A550,Fact_SortedWeights!$B$2:$B$89,$B550)*(IF($B550="Cardboard Recycling",SUMIFS(Fact_SortedWeights!$E$2:$E$89,Fact_SortedWeights!$C$2:$C$89,$A550,Fact_SortedWeights!$B$2:$B$89,$B550),SUMIFS(Fact_PreSortWeights!$E$2:$E$186,Fact_PreSortWeights!$C$2:$C$186,$A550,Fact_PreSortWeights!$B$2:$B$186,$B550))))</f>
        <v>0</v>
      </c>
      <c r="G550" s="0" t="n">
        <f aca="false">IF(AND(IF($B550="Trash",INDEX('Materials Master'!$F$2:$F$27,MATCH($C550,'Materials Master'!$A$2:$A$27,0)),IF($B550="GMPC Recycling",INDEX('Materials Master'!$G$2:$G$27,MATCH($C550,'Materials Master'!$A$2:$A$27,0)),IF($B550="Organics Recycling",INDEX('Materials Master'!$H$2:$H$27,MATCH($C550,'Materials Master'!$A$2:$A$27,0)),IF($B550="Cardboard Recycling",INDEX('Materials Master'!$I$2:$I$27,MATCH($C550,'Materials Master'!$A$2:$A$27,0)),IF($B550="Paper Recycling",INDEX('Materials Master'!$J$2:$J$27,MATCH($C550,'Materials Master'!$A$2:$A$27,0)),IF($B550="Terracycle",INDEX('Materials Master'!$K$2:$K$27,MATCH($C550,'Materials Master'!$A$2:$A$27,0)),"No"))))))="Yes",INDEX('Materials Master'!$E$2:$E$27,MATCH($C550,'Materials Master'!$A$2:$A$27,0))="Yes",$B550&lt;&gt;"Trash"),1,0)</f>
        <v>0</v>
      </c>
      <c r="H550" s="0" t="str">
        <f aca="false">INDEX('Materials Master'!$E$2:$E$27,MATCH($C550,'Materials Master'!$A$2:$A$27,0))</f>
        <v>No</v>
      </c>
      <c r="I550" s="0" t="str">
        <f aca="false">IFERROR(INDEX(Areas!$C$2:$C$6,MATCH($A550,Areas!$B$2:$B$6,0)),"")</f>
        <v>Rest of Building</v>
      </c>
      <c r="J550" s="0" t="n">
        <f aca="false">IF(IF($B550="Trash",INDEX('Materials Master'!$F$2:$F$27,MATCH($C550,'Materials Master'!$A$2:$A$27,0)),IF($B550="GMPC Recycling",INDEX('Materials Master'!$G$2:$G$27,MATCH($C550,'Materials Master'!$A$2:$A$27,0)),IF($B550="Organics Recycling",INDEX('Materials Master'!$H$2:$H$27,MATCH($C550,'Materials Master'!$A$2:$A$27,0)),IF($B550="Cardboard Recycling",INDEX('Materials Master'!$I$2:$I$27,MATCH($C550,'Materials Master'!$A$2:$A$27,0)),IF($B550="Paper Recycling",INDEX('Materials Master'!$J$2:$J$27,MATCH($C550,'Materials Master'!$A$2:$A$27,0)),IF($B550="Terracycle",INDEX('Materials Master'!$K$2:$K$27,MATCH($C550,'Materials Master'!$A$2:$A$27,0)),"No"))))))="Yes",1,0)</f>
        <v>0</v>
      </c>
    </row>
    <row r="551" customFormat="false" ht="15" hidden="false" customHeight="false" outlineLevel="0" collapsed="false">
      <c r="A551" s="0" t="s">
        <v>100</v>
      </c>
      <c r="B551" s="0" t="s">
        <v>106</v>
      </c>
      <c r="C551" s="0" t="s">
        <v>37</v>
      </c>
      <c r="D551" s="0" t="str">
        <f aca="false">IFERROR(INDEX('Materials Master'!$B$2:$B$27,MATCH($C551,'Materials Master'!$A$2:$A$27,0)),"")</f>
        <v>Mixed Paper</v>
      </c>
      <c r="E551" s="0" t="str">
        <f aca="false">IFERROR(INDEX('Materials Master'!$C$2:$C$27,MATCH($C551,'Materials Master'!$A$2:$A$27,0)),"")</f>
        <v>Fibers</v>
      </c>
      <c r="F551" s="0" t="n">
        <f aca="false">IF(SUMIFS(Fact_SortedWeights!$E$2:$E$89,Fact_SortedWeights!$C$2:$C$89,$A551,Fact_SortedWeights!$B$2:$B$89,$B551)=0,0,SUMIFS(Fact_SortedWeights!$E$2:$E$89,Fact_SortedWeights!$C$2:$C$89,$A551,Fact_SortedWeights!$B$2:$B$89,$B551,Fact_SortedWeights!$D$2:$D$89,$C551)/SUMIFS(Fact_SortedWeights!$E$2:$E$89,Fact_SortedWeights!$C$2:$C$89,$A551,Fact_SortedWeights!$B$2:$B$89,$B551)*(IF($B551="Cardboard Recycling",SUMIFS(Fact_SortedWeights!$E$2:$E$89,Fact_SortedWeights!$C$2:$C$89,$A551,Fact_SortedWeights!$B$2:$B$89,$B551),SUMIFS(Fact_PreSortWeights!$E$2:$E$186,Fact_PreSortWeights!$C$2:$C$186,$A551,Fact_PreSortWeights!$B$2:$B$186,$B551))))</f>
        <v>0</v>
      </c>
      <c r="G551" s="0" t="n">
        <f aca="false">IF(AND(IF($B551="Trash",INDEX('Materials Master'!$F$2:$F$27,MATCH($C551,'Materials Master'!$A$2:$A$27,0)),IF($B551="GMPC Recycling",INDEX('Materials Master'!$G$2:$G$27,MATCH($C551,'Materials Master'!$A$2:$A$27,0)),IF($B551="Organics Recycling",INDEX('Materials Master'!$H$2:$H$27,MATCH($C551,'Materials Master'!$A$2:$A$27,0)),IF($B551="Cardboard Recycling",INDEX('Materials Master'!$I$2:$I$27,MATCH($C551,'Materials Master'!$A$2:$A$27,0)),IF($B551="Paper Recycling",INDEX('Materials Master'!$J$2:$J$27,MATCH($C551,'Materials Master'!$A$2:$A$27,0)),IF($B551="Terracycle",INDEX('Materials Master'!$K$2:$K$27,MATCH($C551,'Materials Master'!$A$2:$A$27,0)),"No"))))))="Yes",INDEX('Materials Master'!$E$2:$E$27,MATCH($C551,'Materials Master'!$A$2:$A$27,0))="Yes",$B551&lt;&gt;"Trash"),1,0)</f>
        <v>1</v>
      </c>
      <c r="H551" s="0" t="str">
        <f aca="false">INDEX('Materials Master'!$E$2:$E$27,MATCH($C551,'Materials Master'!$A$2:$A$27,0))</f>
        <v>Yes</v>
      </c>
      <c r="I551" s="0" t="str">
        <f aca="false">IFERROR(INDEX(Areas!$C$2:$C$6,MATCH($A551,Areas!$B$2:$B$6,0)),"")</f>
        <v>Rest of Building</v>
      </c>
      <c r="J551" s="0" t="n">
        <f aca="false">IF(IF($B551="Trash",INDEX('Materials Master'!$F$2:$F$27,MATCH($C551,'Materials Master'!$A$2:$A$27,0)),IF($B551="GMPC Recycling",INDEX('Materials Master'!$G$2:$G$27,MATCH($C551,'Materials Master'!$A$2:$A$27,0)),IF($B551="Organics Recycling",INDEX('Materials Master'!$H$2:$H$27,MATCH($C551,'Materials Master'!$A$2:$A$27,0)),IF($B551="Cardboard Recycling",INDEX('Materials Master'!$I$2:$I$27,MATCH($C551,'Materials Master'!$A$2:$A$27,0)),IF($B551="Paper Recycling",INDEX('Materials Master'!$J$2:$J$27,MATCH($C551,'Materials Master'!$A$2:$A$27,0)),IF($B551="Terracycle",INDEX('Materials Master'!$K$2:$K$27,MATCH($C551,'Materials Master'!$A$2:$A$27,0)),"No"))))))="Yes",1,0)</f>
        <v>1</v>
      </c>
    </row>
    <row r="552" customFormat="false" ht="15" hidden="false" customHeight="false" outlineLevel="0" collapsed="false">
      <c r="A552" s="0" t="s">
        <v>100</v>
      </c>
      <c r="B552" s="0" t="s">
        <v>106</v>
      </c>
      <c r="C552" s="0" t="s">
        <v>39</v>
      </c>
      <c r="D552" s="0" t="str">
        <f aca="false">IFERROR(INDEX('Materials Master'!$B$2:$B$27,MATCH($C552,'Materials Master'!$A$2:$A$27,0)),"")</f>
        <v>Soiled Paper</v>
      </c>
      <c r="E552" s="0" t="str">
        <f aca="false">IFERROR(INDEX('Materials Master'!$C$2:$C$27,MATCH($C552,'Materials Master'!$A$2:$A$27,0)),"")</f>
        <v>Fibers</v>
      </c>
      <c r="F552" s="0" t="n">
        <f aca="false">IF(SUMIFS(Fact_SortedWeights!$E$2:$E$89,Fact_SortedWeights!$C$2:$C$89,$A552,Fact_SortedWeights!$B$2:$B$89,$B552)=0,0,SUMIFS(Fact_SortedWeights!$E$2:$E$89,Fact_SortedWeights!$C$2:$C$89,$A552,Fact_SortedWeights!$B$2:$B$89,$B552,Fact_SortedWeights!$D$2:$D$89,$C552)/SUMIFS(Fact_SortedWeights!$E$2:$E$89,Fact_SortedWeights!$C$2:$C$89,$A552,Fact_SortedWeights!$B$2:$B$89,$B552)*(IF($B552="Cardboard Recycling",SUMIFS(Fact_SortedWeights!$E$2:$E$89,Fact_SortedWeights!$C$2:$C$89,$A552,Fact_SortedWeights!$B$2:$B$89,$B552),SUMIFS(Fact_PreSortWeights!$E$2:$E$186,Fact_PreSortWeights!$C$2:$C$186,$A552,Fact_PreSortWeights!$B$2:$B$186,$B552))))</f>
        <v>0</v>
      </c>
      <c r="G552" s="0" t="n">
        <f aca="false">IF(AND(IF($B552="Trash",INDEX('Materials Master'!$F$2:$F$27,MATCH($C552,'Materials Master'!$A$2:$A$27,0)),IF($B552="GMPC Recycling",INDEX('Materials Master'!$G$2:$G$27,MATCH($C552,'Materials Master'!$A$2:$A$27,0)),IF($B552="Organics Recycling",INDEX('Materials Master'!$H$2:$H$27,MATCH($C552,'Materials Master'!$A$2:$A$27,0)),IF($B552="Cardboard Recycling",INDEX('Materials Master'!$I$2:$I$27,MATCH($C552,'Materials Master'!$A$2:$A$27,0)),IF($B552="Paper Recycling",INDEX('Materials Master'!$J$2:$J$27,MATCH($C552,'Materials Master'!$A$2:$A$27,0)),IF($B552="Terracycle",INDEX('Materials Master'!$K$2:$K$27,MATCH($C552,'Materials Master'!$A$2:$A$27,0)),"No"))))))="Yes",INDEX('Materials Master'!$E$2:$E$27,MATCH($C552,'Materials Master'!$A$2:$A$27,0))="Yes",$B552&lt;&gt;"Trash"),1,0)</f>
        <v>0</v>
      </c>
      <c r="H552" s="0" t="str">
        <f aca="false">INDEX('Materials Master'!$E$2:$E$27,MATCH($C552,'Materials Master'!$A$2:$A$27,0))</f>
        <v>No</v>
      </c>
      <c r="I552" s="0" t="str">
        <f aca="false">IFERROR(INDEX(Areas!$C$2:$C$6,MATCH($A552,Areas!$B$2:$B$6,0)),"")</f>
        <v>Rest of Building</v>
      </c>
      <c r="J552" s="0" t="n">
        <f aca="false">IF(IF($B552="Trash",INDEX('Materials Master'!$F$2:$F$27,MATCH($C552,'Materials Master'!$A$2:$A$27,0)),IF($B552="GMPC Recycling",INDEX('Materials Master'!$G$2:$G$27,MATCH($C552,'Materials Master'!$A$2:$A$27,0)),IF($B552="Organics Recycling",INDEX('Materials Master'!$H$2:$H$27,MATCH($C552,'Materials Master'!$A$2:$A$27,0)),IF($B552="Cardboard Recycling",INDEX('Materials Master'!$I$2:$I$27,MATCH($C552,'Materials Master'!$A$2:$A$27,0)),IF($B552="Paper Recycling",INDEX('Materials Master'!$J$2:$J$27,MATCH($C552,'Materials Master'!$A$2:$A$27,0)),IF($B552="Terracycle",INDEX('Materials Master'!$K$2:$K$27,MATCH($C552,'Materials Master'!$A$2:$A$27,0)),"No"))))))="Yes",1,0)</f>
        <v>0</v>
      </c>
    </row>
    <row r="553" customFormat="false" ht="15" hidden="false" customHeight="false" outlineLevel="0" collapsed="false">
      <c r="A553" s="0" t="s">
        <v>100</v>
      </c>
      <c r="B553" s="0" t="s">
        <v>106</v>
      </c>
      <c r="C553" s="0" t="s">
        <v>41</v>
      </c>
      <c r="D553" s="0" t="str">
        <f aca="false">IFERROR(INDEX('Materials Master'!$B$2:$B$27,MATCH($C553,'Materials Master'!$A$2:$A$27,0)),"")</f>
        <v>Beverage Cartons</v>
      </c>
      <c r="E553" s="0" t="str">
        <f aca="false">IFERROR(INDEX('Materials Master'!$C$2:$C$27,MATCH($C553,'Materials Master'!$A$2:$A$27,0)),"")</f>
        <v>Fibers</v>
      </c>
      <c r="F553" s="0" t="n">
        <f aca="false">IF(SUMIFS(Fact_SortedWeights!$E$2:$E$89,Fact_SortedWeights!$C$2:$C$89,$A553,Fact_SortedWeights!$B$2:$B$89,$B553)=0,0,SUMIFS(Fact_SortedWeights!$E$2:$E$89,Fact_SortedWeights!$C$2:$C$89,$A553,Fact_SortedWeights!$B$2:$B$89,$B553,Fact_SortedWeights!$D$2:$D$89,$C553)/SUMIFS(Fact_SortedWeights!$E$2:$E$89,Fact_SortedWeights!$C$2:$C$89,$A553,Fact_SortedWeights!$B$2:$B$89,$B553)*(IF($B553="Cardboard Recycling",SUMIFS(Fact_SortedWeights!$E$2:$E$89,Fact_SortedWeights!$C$2:$C$89,$A553,Fact_SortedWeights!$B$2:$B$89,$B553),SUMIFS(Fact_PreSortWeights!$E$2:$E$186,Fact_PreSortWeights!$C$2:$C$186,$A553,Fact_PreSortWeights!$B$2:$B$186,$B553))))</f>
        <v>0</v>
      </c>
      <c r="G553" s="0" t="n">
        <f aca="false">IF(AND(IF($B553="Trash",INDEX('Materials Master'!$F$2:$F$27,MATCH($C553,'Materials Master'!$A$2:$A$27,0)),IF($B553="GMPC Recycling",INDEX('Materials Master'!$G$2:$G$27,MATCH($C553,'Materials Master'!$A$2:$A$27,0)),IF($B553="Organics Recycling",INDEX('Materials Master'!$H$2:$H$27,MATCH($C553,'Materials Master'!$A$2:$A$27,0)),IF($B553="Cardboard Recycling",INDEX('Materials Master'!$I$2:$I$27,MATCH($C553,'Materials Master'!$A$2:$A$27,0)),IF($B553="Paper Recycling",INDEX('Materials Master'!$J$2:$J$27,MATCH($C553,'Materials Master'!$A$2:$A$27,0)),IF($B553="Terracycle",INDEX('Materials Master'!$K$2:$K$27,MATCH($C553,'Materials Master'!$A$2:$A$27,0)),"No"))))))="Yes",INDEX('Materials Master'!$E$2:$E$27,MATCH($C553,'Materials Master'!$A$2:$A$27,0))="Yes",$B553&lt;&gt;"Trash"),1,0)</f>
        <v>1</v>
      </c>
      <c r="H553" s="0" t="str">
        <f aca="false">INDEX('Materials Master'!$E$2:$E$27,MATCH($C553,'Materials Master'!$A$2:$A$27,0))</f>
        <v>Yes</v>
      </c>
      <c r="I553" s="0" t="str">
        <f aca="false">IFERROR(INDEX(Areas!$C$2:$C$6,MATCH($A553,Areas!$B$2:$B$6,0)),"")</f>
        <v>Rest of Building</v>
      </c>
      <c r="J553" s="0" t="n">
        <f aca="false">IF(IF($B553="Trash",INDEX('Materials Master'!$F$2:$F$27,MATCH($C553,'Materials Master'!$A$2:$A$27,0)),IF($B553="GMPC Recycling",INDEX('Materials Master'!$G$2:$G$27,MATCH($C553,'Materials Master'!$A$2:$A$27,0)),IF($B553="Organics Recycling",INDEX('Materials Master'!$H$2:$H$27,MATCH($C553,'Materials Master'!$A$2:$A$27,0)),IF($B553="Cardboard Recycling",INDEX('Materials Master'!$I$2:$I$27,MATCH($C553,'Materials Master'!$A$2:$A$27,0)),IF($B553="Paper Recycling",INDEX('Materials Master'!$J$2:$J$27,MATCH($C553,'Materials Master'!$A$2:$A$27,0)),IF($B553="Terracycle",INDEX('Materials Master'!$K$2:$K$27,MATCH($C553,'Materials Master'!$A$2:$A$27,0)),"No"))))))="Yes",1,0)</f>
        <v>1</v>
      </c>
    </row>
    <row r="554" customFormat="false" ht="15" hidden="false" customHeight="false" outlineLevel="0" collapsed="false">
      <c r="A554" s="0" t="s">
        <v>100</v>
      </c>
      <c r="B554" s="0" t="s">
        <v>106</v>
      </c>
      <c r="C554" s="0" t="s">
        <v>43</v>
      </c>
      <c r="D554" s="0" t="str">
        <f aca="false">IFERROR(INDEX('Materials Master'!$B$2:$B$27,MATCH($C554,'Materials Master'!$A$2:$A$27,0)),"")</f>
        <v>Soiled Beverage Cartons</v>
      </c>
      <c r="E554" s="0" t="str">
        <f aca="false">IFERROR(INDEX('Materials Master'!$C$2:$C$27,MATCH($C554,'Materials Master'!$A$2:$A$27,0)),"")</f>
        <v>Fibers</v>
      </c>
      <c r="F554" s="0" t="n">
        <f aca="false">IF(SUMIFS(Fact_SortedWeights!$E$2:$E$89,Fact_SortedWeights!$C$2:$C$89,$A554,Fact_SortedWeights!$B$2:$B$89,$B554)=0,0,SUMIFS(Fact_SortedWeights!$E$2:$E$89,Fact_SortedWeights!$C$2:$C$89,$A554,Fact_SortedWeights!$B$2:$B$89,$B554,Fact_SortedWeights!$D$2:$D$89,$C554)/SUMIFS(Fact_SortedWeights!$E$2:$E$89,Fact_SortedWeights!$C$2:$C$89,$A554,Fact_SortedWeights!$B$2:$B$89,$B554)*(IF($B554="Cardboard Recycling",SUMIFS(Fact_SortedWeights!$E$2:$E$89,Fact_SortedWeights!$C$2:$C$89,$A554,Fact_SortedWeights!$B$2:$B$89,$B554),SUMIFS(Fact_PreSortWeights!$E$2:$E$186,Fact_PreSortWeights!$C$2:$C$186,$A554,Fact_PreSortWeights!$B$2:$B$186,$B554))))</f>
        <v>0</v>
      </c>
      <c r="G554" s="0" t="n">
        <f aca="false">IF(AND(IF($B554="Trash",INDEX('Materials Master'!$F$2:$F$27,MATCH($C554,'Materials Master'!$A$2:$A$27,0)),IF($B554="GMPC Recycling",INDEX('Materials Master'!$G$2:$G$27,MATCH($C554,'Materials Master'!$A$2:$A$27,0)),IF($B554="Organics Recycling",INDEX('Materials Master'!$H$2:$H$27,MATCH($C554,'Materials Master'!$A$2:$A$27,0)),IF($B554="Cardboard Recycling",INDEX('Materials Master'!$I$2:$I$27,MATCH($C554,'Materials Master'!$A$2:$A$27,0)),IF($B554="Paper Recycling",INDEX('Materials Master'!$J$2:$J$27,MATCH($C554,'Materials Master'!$A$2:$A$27,0)),IF($B554="Terracycle",INDEX('Materials Master'!$K$2:$K$27,MATCH($C554,'Materials Master'!$A$2:$A$27,0)),"No"))))))="Yes",INDEX('Materials Master'!$E$2:$E$27,MATCH($C554,'Materials Master'!$A$2:$A$27,0))="Yes",$B554&lt;&gt;"Trash"),1,0)</f>
        <v>0</v>
      </c>
      <c r="H554" s="0" t="str">
        <f aca="false">INDEX('Materials Master'!$E$2:$E$27,MATCH($C554,'Materials Master'!$A$2:$A$27,0))</f>
        <v>No</v>
      </c>
      <c r="I554" s="0" t="str">
        <f aca="false">IFERROR(INDEX(Areas!$C$2:$C$6,MATCH($A554,Areas!$B$2:$B$6,0)),"")</f>
        <v>Rest of Building</v>
      </c>
      <c r="J554" s="0" t="n">
        <f aca="false">IF(IF($B554="Trash",INDEX('Materials Master'!$F$2:$F$27,MATCH($C554,'Materials Master'!$A$2:$A$27,0)),IF($B554="GMPC Recycling",INDEX('Materials Master'!$G$2:$G$27,MATCH($C554,'Materials Master'!$A$2:$A$27,0)),IF($B554="Organics Recycling",INDEX('Materials Master'!$H$2:$H$27,MATCH($C554,'Materials Master'!$A$2:$A$27,0)),IF($B554="Cardboard Recycling",INDEX('Materials Master'!$I$2:$I$27,MATCH($C554,'Materials Master'!$A$2:$A$27,0)),IF($B554="Paper Recycling",INDEX('Materials Master'!$J$2:$J$27,MATCH($C554,'Materials Master'!$A$2:$A$27,0)),IF($B554="Terracycle",INDEX('Materials Master'!$K$2:$K$27,MATCH($C554,'Materials Master'!$A$2:$A$27,0)),"No"))))))="Yes",1,0)</f>
        <v>0</v>
      </c>
    </row>
    <row r="555" customFormat="false" ht="15" hidden="false" customHeight="false" outlineLevel="0" collapsed="false">
      <c r="A555" s="0" t="s">
        <v>100</v>
      </c>
      <c r="B555" s="0" t="s">
        <v>106</v>
      </c>
      <c r="C555" s="0" t="s">
        <v>45</v>
      </c>
      <c r="D555" s="0" t="str">
        <f aca="false">IFERROR(INDEX('Materials Master'!$B$2:$B$27,MATCH($C555,'Materials Master'!$A$2:$A$27,0)),"")</f>
        <v>Paper Cups / Other Coated Paper Containers</v>
      </c>
      <c r="E555" s="0" t="str">
        <f aca="false">IFERROR(INDEX('Materials Master'!$C$2:$C$27,MATCH($C555,'Materials Master'!$A$2:$A$27,0)),"")</f>
        <v>Fibers</v>
      </c>
      <c r="F555" s="0" t="n">
        <f aca="false">IF(SUMIFS(Fact_SortedWeights!$E$2:$E$89,Fact_SortedWeights!$C$2:$C$89,$A555,Fact_SortedWeights!$B$2:$B$89,$B555)=0,0,SUMIFS(Fact_SortedWeights!$E$2:$E$89,Fact_SortedWeights!$C$2:$C$89,$A555,Fact_SortedWeights!$B$2:$B$89,$B555,Fact_SortedWeights!$D$2:$D$89,$C555)/SUMIFS(Fact_SortedWeights!$E$2:$E$89,Fact_SortedWeights!$C$2:$C$89,$A555,Fact_SortedWeights!$B$2:$B$89,$B555)*(IF($B555="Cardboard Recycling",SUMIFS(Fact_SortedWeights!$E$2:$E$89,Fact_SortedWeights!$C$2:$C$89,$A555,Fact_SortedWeights!$B$2:$B$89,$B555),SUMIFS(Fact_PreSortWeights!$E$2:$E$186,Fact_PreSortWeights!$C$2:$C$186,$A555,Fact_PreSortWeights!$B$2:$B$186,$B555))))</f>
        <v>0</v>
      </c>
      <c r="G555" s="0" t="n">
        <f aca="false">IF(AND(IF($B555="Trash",INDEX('Materials Master'!$F$2:$F$27,MATCH($C555,'Materials Master'!$A$2:$A$27,0)),IF($B555="GMPC Recycling",INDEX('Materials Master'!$G$2:$G$27,MATCH($C555,'Materials Master'!$A$2:$A$27,0)),IF($B555="Organics Recycling",INDEX('Materials Master'!$H$2:$H$27,MATCH($C555,'Materials Master'!$A$2:$A$27,0)),IF($B555="Cardboard Recycling",INDEX('Materials Master'!$I$2:$I$27,MATCH($C555,'Materials Master'!$A$2:$A$27,0)),IF($B555="Paper Recycling",INDEX('Materials Master'!$J$2:$J$27,MATCH($C555,'Materials Master'!$A$2:$A$27,0)),IF($B555="Terracycle",INDEX('Materials Master'!$K$2:$K$27,MATCH($C555,'Materials Master'!$A$2:$A$27,0)),"No"))))))="Yes",INDEX('Materials Master'!$E$2:$E$27,MATCH($C555,'Materials Master'!$A$2:$A$27,0))="Yes",$B555&lt;&gt;"Trash"),1,0)</f>
        <v>0</v>
      </c>
      <c r="H555" s="0" t="str">
        <f aca="false">INDEX('Materials Master'!$E$2:$E$27,MATCH($C555,'Materials Master'!$A$2:$A$27,0))</f>
        <v>No</v>
      </c>
      <c r="I555" s="0" t="str">
        <f aca="false">IFERROR(INDEX(Areas!$C$2:$C$6,MATCH($A555,Areas!$B$2:$B$6,0)),"")</f>
        <v>Rest of Building</v>
      </c>
      <c r="J555" s="0" t="n">
        <f aca="false">IF(IF($B555="Trash",INDEX('Materials Master'!$F$2:$F$27,MATCH($C555,'Materials Master'!$A$2:$A$27,0)),IF($B555="GMPC Recycling",INDEX('Materials Master'!$G$2:$G$27,MATCH($C555,'Materials Master'!$A$2:$A$27,0)),IF($B555="Organics Recycling",INDEX('Materials Master'!$H$2:$H$27,MATCH($C555,'Materials Master'!$A$2:$A$27,0)),IF($B555="Cardboard Recycling",INDEX('Materials Master'!$I$2:$I$27,MATCH($C555,'Materials Master'!$A$2:$A$27,0)),IF($B555="Paper Recycling",INDEX('Materials Master'!$J$2:$J$27,MATCH($C555,'Materials Master'!$A$2:$A$27,0)),IF($B555="Terracycle",INDEX('Materials Master'!$K$2:$K$27,MATCH($C555,'Materials Master'!$A$2:$A$27,0)),"No"))))))="Yes",1,0)</f>
        <v>0</v>
      </c>
    </row>
    <row r="556" customFormat="false" ht="15" hidden="false" customHeight="false" outlineLevel="0" collapsed="false">
      <c r="A556" s="0" t="s">
        <v>100</v>
      </c>
      <c r="B556" s="0" t="s">
        <v>106</v>
      </c>
      <c r="C556" s="0" t="s">
        <v>47</v>
      </c>
      <c r="D556" s="0" t="str">
        <f aca="false">IFERROR(INDEX('Materials Master'!$B$2:$B$27,MATCH($C556,'Materials Master'!$A$2:$A$27,0)),"")</f>
        <v>Glass Bottles &amp; Jars</v>
      </c>
      <c r="E556" s="0" t="str">
        <f aca="false">IFERROR(INDEX('Materials Master'!$C$2:$C$27,MATCH($C556,'Materials Master'!$A$2:$A$27,0)),"")</f>
        <v>Glass</v>
      </c>
      <c r="F556" s="0" t="n">
        <f aca="false">IF(SUMIFS(Fact_SortedWeights!$E$2:$E$89,Fact_SortedWeights!$C$2:$C$89,$A556,Fact_SortedWeights!$B$2:$B$89,$B556)=0,0,SUMIFS(Fact_SortedWeights!$E$2:$E$89,Fact_SortedWeights!$C$2:$C$89,$A556,Fact_SortedWeights!$B$2:$B$89,$B556,Fact_SortedWeights!$D$2:$D$89,$C556)/SUMIFS(Fact_SortedWeights!$E$2:$E$89,Fact_SortedWeights!$C$2:$C$89,$A556,Fact_SortedWeights!$B$2:$B$89,$B556)*(IF($B556="Cardboard Recycling",SUMIFS(Fact_SortedWeights!$E$2:$E$89,Fact_SortedWeights!$C$2:$C$89,$A556,Fact_SortedWeights!$B$2:$B$89,$B556),SUMIFS(Fact_PreSortWeights!$E$2:$E$186,Fact_PreSortWeights!$C$2:$C$186,$A556,Fact_PreSortWeights!$B$2:$B$186,$B556))))</f>
        <v>0</v>
      </c>
      <c r="G556" s="0" t="n">
        <f aca="false">IF(AND(IF($B556="Trash",INDEX('Materials Master'!$F$2:$F$27,MATCH($C556,'Materials Master'!$A$2:$A$27,0)),IF($B556="GMPC Recycling",INDEX('Materials Master'!$G$2:$G$27,MATCH($C556,'Materials Master'!$A$2:$A$27,0)),IF($B556="Organics Recycling",INDEX('Materials Master'!$H$2:$H$27,MATCH($C556,'Materials Master'!$A$2:$A$27,0)),IF($B556="Cardboard Recycling",INDEX('Materials Master'!$I$2:$I$27,MATCH($C556,'Materials Master'!$A$2:$A$27,0)),IF($B556="Paper Recycling",INDEX('Materials Master'!$J$2:$J$27,MATCH($C556,'Materials Master'!$A$2:$A$27,0)),IF($B556="Terracycle",INDEX('Materials Master'!$K$2:$K$27,MATCH($C556,'Materials Master'!$A$2:$A$27,0)),"No"))))))="Yes",INDEX('Materials Master'!$E$2:$E$27,MATCH($C556,'Materials Master'!$A$2:$A$27,0))="Yes",$B556&lt;&gt;"Trash"),1,0)</f>
        <v>1</v>
      </c>
      <c r="H556" s="0" t="str">
        <f aca="false">INDEX('Materials Master'!$E$2:$E$27,MATCH($C556,'Materials Master'!$A$2:$A$27,0))</f>
        <v>Yes</v>
      </c>
      <c r="I556" s="0" t="str">
        <f aca="false">IFERROR(INDEX(Areas!$C$2:$C$6,MATCH($A556,Areas!$B$2:$B$6,0)),"")</f>
        <v>Rest of Building</v>
      </c>
      <c r="J556" s="0" t="n">
        <f aca="false">IF(IF($B556="Trash",INDEX('Materials Master'!$F$2:$F$27,MATCH($C556,'Materials Master'!$A$2:$A$27,0)),IF($B556="GMPC Recycling",INDEX('Materials Master'!$G$2:$G$27,MATCH($C556,'Materials Master'!$A$2:$A$27,0)),IF($B556="Organics Recycling",INDEX('Materials Master'!$H$2:$H$27,MATCH($C556,'Materials Master'!$A$2:$A$27,0)),IF($B556="Cardboard Recycling",INDEX('Materials Master'!$I$2:$I$27,MATCH($C556,'Materials Master'!$A$2:$A$27,0)),IF($B556="Paper Recycling",INDEX('Materials Master'!$J$2:$J$27,MATCH($C556,'Materials Master'!$A$2:$A$27,0)),IF($B556="Terracycle",INDEX('Materials Master'!$K$2:$K$27,MATCH($C556,'Materials Master'!$A$2:$A$27,0)),"No"))))))="Yes",1,0)</f>
        <v>1</v>
      </c>
    </row>
    <row r="557" customFormat="false" ht="15" hidden="false" customHeight="false" outlineLevel="0" collapsed="false">
      <c r="A557" s="0" t="s">
        <v>100</v>
      </c>
      <c r="B557" s="0" t="s">
        <v>106</v>
      </c>
      <c r="C557" s="0" t="s">
        <v>50</v>
      </c>
      <c r="D557" s="0" t="str">
        <f aca="false">IFERROR(INDEX('Materials Master'!$B$2:$B$27,MATCH($C557,'Materials Master'!$A$2:$A$27,0)),"")</f>
        <v>Soiled Glass</v>
      </c>
      <c r="E557" s="0" t="str">
        <f aca="false">IFERROR(INDEX('Materials Master'!$C$2:$C$27,MATCH($C557,'Materials Master'!$A$2:$A$27,0)),"")</f>
        <v>Glass</v>
      </c>
      <c r="F557" s="0" t="n">
        <f aca="false">IF(SUMIFS(Fact_SortedWeights!$E$2:$E$89,Fact_SortedWeights!$C$2:$C$89,$A557,Fact_SortedWeights!$B$2:$B$89,$B557)=0,0,SUMIFS(Fact_SortedWeights!$E$2:$E$89,Fact_SortedWeights!$C$2:$C$89,$A557,Fact_SortedWeights!$B$2:$B$89,$B557,Fact_SortedWeights!$D$2:$D$89,$C557)/SUMIFS(Fact_SortedWeights!$E$2:$E$89,Fact_SortedWeights!$C$2:$C$89,$A557,Fact_SortedWeights!$B$2:$B$89,$B557)*(IF($B557="Cardboard Recycling",SUMIFS(Fact_SortedWeights!$E$2:$E$89,Fact_SortedWeights!$C$2:$C$89,$A557,Fact_SortedWeights!$B$2:$B$89,$B557),SUMIFS(Fact_PreSortWeights!$E$2:$E$186,Fact_PreSortWeights!$C$2:$C$186,$A557,Fact_PreSortWeights!$B$2:$B$186,$B557))))</f>
        <v>0</v>
      </c>
      <c r="G557" s="0" t="n">
        <f aca="false">IF(AND(IF($B557="Trash",INDEX('Materials Master'!$F$2:$F$27,MATCH($C557,'Materials Master'!$A$2:$A$27,0)),IF($B557="GMPC Recycling",INDEX('Materials Master'!$G$2:$G$27,MATCH($C557,'Materials Master'!$A$2:$A$27,0)),IF($B557="Organics Recycling",INDEX('Materials Master'!$H$2:$H$27,MATCH($C557,'Materials Master'!$A$2:$A$27,0)),IF($B557="Cardboard Recycling",INDEX('Materials Master'!$I$2:$I$27,MATCH($C557,'Materials Master'!$A$2:$A$27,0)),IF($B557="Paper Recycling",INDEX('Materials Master'!$J$2:$J$27,MATCH($C557,'Materials Master'!$A$2:$A$27,0)),IF($B557="Terracycle",INDEX('Materials Master'!$K$2:$K$27,MATCH($C557,'Materials Master'!$A$2:$A$27,0)),"No"))))))="Yes",INDEX('Materials Master'!$E$2:$E$27,MATCH($C557,'Materials Master'!$A$2:$A$27,0))="Yes",$B557&lt;&gt;"Trash"),1,0)</f>
        <v>0</v>
      </c>
      <c r="H557" s="0" t="str">
        <f aca="false">INDEX('Materials Master'!$E$2:$E$27,MATCH($C557,'Materials Master'!$A$2:$A$27,0))</f>
        <v>No</v>
      </c>
      <c r="I557" s="0" t="str">
        <f aca="false">IFERROR(INDEX(Areas!$C$2:$C$6,MATCH($A557,Areas!$B$2:$B$6,0)),"")</f>
        <v>Rest of Building</v>
      </c>
      <c r="J557" s="0" t="n">
        <f aca="false">IF(IF($B557="Trash",INDEX('Materials Master'!$F$2:$F$27,MATCH($C557,'Materials Master'!$A$2:$A$27,0)),IF($B557="GMPC Recycling",INDEX('Materials Master'!$G$2:$G$27,MATCH($C557,'Materials Master'!$A$2:$A$27,0)),IF($B557="Organics Recycling",INDEX('Materials Master'!$H$2:$H$27,MATCH($C557,'Materials Master'!$A$2:$A$27,0)),IF($B557="Cardboard Recycling",INDEX('Materials Master'!$I$2:$I$27,MATCH($C557,'Materials Master'!$A$2:$A$27,0)),IF($B557="Paper Recycling",INDEX('Materials Master'!$J$2:$J$27,MATCH($C557,'Materials Master'!$A$2:$A$27,0)),IF($B557="Terracycle",INDEX('Materials Master'!$K$2:$K$27,MATCH($C557,'Materials Master'!$A$2:$A$27,0)),"No"))))))="Yes",1,0)</f>
        <v>0</v>
      </c>
    </row>
    <row r="558" customFormat="false" ht="15" hidden="false" customHeight="false" outlineLevel="0" collapsed="false">
      <c r="A558" s="0" t="s">
        <v>100</v>
      </c>
      <c r="B558" s="0" t="s">
        <v>106</v>
      </c>
      <c r="C558" s="0" t="s">
        <v>52</v>
      </c>
      <c r="D558" s="0" t="str">
        <f aca="false">IFERROR(INDEX('Materials Master'!$B$2:$B$27,MATCH($C558,'Materials Master'!$A$2:$A$27,0)),"")</f>
        <v>Aluminum &amp; Bi-Metal Containers</v>
      </c>
      <c r="E558" s="0" t="str">
        <f aca="false">IFERROR(INDEX('Materials Master'!$C$2:$C$27,MATCH($C558,'Materials Master'!$A$2:$A$27,0)),"")</f>
        <v>Metals</v>
      </c>
      <c r="F558" s="0" t="n">
        <f aca="false">IF(SUMIFS(Fact_SortedWeights!$E$2:$E$89,Fact_SortedWeights!$C$2:$C$89,$A558,Fact_SortedWeights!$B$2:$B$89,$B558)=0,0,SUMIFS(Fact_SortedWeights!$E$2:$E$89,Fact_SortedWeights!$C$2:$C$89,$A558,Fact_SortedWeights!$B$2:$B$89,$B558,Fact_SortedWeights!$D$2:$D$89,$C558)/SUMIFS(Fact_SortedWeights!$E$2:$E$89,Fact_SortedWeights!$C$2:$C$89,$A558,Fact_SortedWeights!$B$2:$B$89,$B558)*(IF($B558="Cardboard Recycling",SUMIFS(Fact_SortedWeights!$E$2:$E$89,Fact_SortedWeights!$C$2:$C$89,$A558,Fact_SortedWeights!$B$2:$B$89,$B558),SUMIFS(Fact_PreSortWeights!$E$2:$E$186,Fact_PreSortWeights!$C$2:$C$186,$A558,Fact_PreSortWeights!$B$2:$B$186,$B558))))</f>
        <v>0</v>
      </c>
      <c r="G558" s="0" t="n">
        <f aca="false">IF(AND(IF($B558="Trash",INDEX('Materials Master'!$F$2:$F$27,MATCH($C558,'Materials Master'!$A$2:$A$27,0)),IF($B558="GMPC Recycling",INDEX('Materials Master'!$G$2:$G$27,MATCH($C558,'Materials Master'!$A$2:$A$27,0)),IF($B558="Organics Recycling",INDEX('Materials Master'!$H$2:$H$27,MATCH($C558,'Materials Master'!$A$2:$A$27,0)),IF($B558="Cardboard Recycling",INDEX('Materials Master'!$I$2:$I$27,MATCH($C558,'Materials Master'!$A$2:$A$27,0)),IF($B558="Paper Recycling",INDEX('Materials Master'!$J$2:$J$27,MATCH($C558,'Materials Master'!$A$2:$A$27,0)),IF($B558="Terracycle",INDEX('Materials Master'!$K$2:$K$27,MATCH($C558,'Materials Master'!$A$2:$A$27,0)),"No"))))))="Yes",INDEX('Materials Master'!$E$2:$E$27,MATCH($C558,'Materials Master'!$A$2:$A$27,0))="Yes",$B558&lt;&gt;"Trash"),1,0)</f>
        <v>1</v>
      </c>
      <c r="H558" s="0" t="str">
        <f aca="false">INDEX('Materials Master'!$E$2:$E$27,MATCH($C558,'Materials Master'!$A$2:$A$27,0))</f>
        <v>Yes</v>
      </c>
      <c r="I558" s="0" t="str">
        <f aca="false">IFERROR(INDEX(Areas!$C$2:$C$6,MATCH($A558,Areas!$B$2:$B$6,0)),"")</f>
        <v>Rest of Building</v>
      </c>
      <c r="J558" s="0" t="n">
        <f aca="false">IF(IF($B558="Trash",INDEX('Materials Master'!$F$2:$F$27,MATCH($C558,'Materials Master'!$A$2:$A$27,0)),IF($B558="GMPC Recycling",INDEX('Materials Master'!$G$2:$G$27,MATCH($C558,'Materials Master'!$A$2:$A$27,0)),IF($B558="Organics Recycling",INDEX('Materials Master'!$H$2:$H$27,MATCH($C558,'Materials Master'!$A$2:$A$27,0)),IF($B558="Cardboard Recycling",INDEX('Materials Master'!$I$2:$I$27,MATCH($C558,'Materials Master'!$A$2:$A$27,0)),IF($B558="Paper Recycling",INDEX('Materials Master'!$J$2:$J$27,MATCH($C558,'Materials Master'!$A$2:$A$27,0)),IF($B558="Terracycle",INDEX('Materials Master'!$K$2:$K$27,MATCH($C558,'Materials Master'!$A$2:$A$27,0)),"No"))))))="Yes",1,0)</f>
        <v>1</v>
      </c>
    </row>
    <row r="559" customFormat="false" ht="15" hidden="false" customHeight="false" outlineLevel="0" collapsed="false">
      <c r="A559" s="0" t="s">
        <v>100</v>
      </c>
      <c r="B559" s="0" t="s">
        <v>106</v>
      </c>
      <c r="C559" s="0" t="s">
        <v>55</v>
      </c>
      <c r="D559" s="0" t="str">
        <f aca="false">IFERROR(INDEX('Materials Master'!$B$2:$B$27,MATCH($C559,'Materials Master'!$A$2:$A$27,0)),"")</f>
        <v>Soiled Metals</v>
      </c>
      <c r="E559" s="0" t="str">
        <f aca="false">IFERROR(INDEX('Materials Master'!$C$2:$C$27,MATCH($C559,'Materials Master'!$A$2:$A$27,0)),"")</f>
        <v>Metals</v>
      </c>
      <c r="F559" s="0" t="n">
        <f aca="false">IF(SUMIFS(Fact_SortedWeights!$E$2:$E$89,Fact_SortedWeights!$C$2:$C$89,$A559,Fact_SortedWeights!$B$2:$B$89,$B559)=0,0,SUMIFS(Fact_SortedWeights!$E$2:$E$89,Fact_SortedWeights!$C$2:$C$89,$A559,Fact_SortedWeights!$B$2:$B$89,$B559,Fact_SortedWeights!$D$2:$D$89,$C559)/SUMIFS(Fact_SortedWeights!$E$2:$E$89,Fact_SortedWeights!$C$2:$C$89,$A559,Fact_SortedWeights!$B$2:$B$89,$B559)*(IF($B559="Cardboard Recycling",SUMIFS(Fact_SortedWeights!$E$2:$E$89,Fact_SortedWeights!$C$2:$C$89,$A559,Fact_SortedWeights!$B$2:$B$89,$B559),SUMIFS(Fact_PreSortWeights!$E$2:$E$186,Fact_PreSortWeights!$C$2:$C$186,$A559,Fact_PreSortWeights!$B$2:$B$186,$B559))))</f>
        <v>0</v>
      </c>
      <c r="G559" s="0" t="n">
        <f aca="false">IF(AND(IF($B559="Trash",INDEX('Materials Master'!$F$2:$F$27,MATCH($C559,'Materials Master'!$A$2:$A$27,0)),IF($B559="GMPC Recycling",INDEX('Materials Master'!$G$2:$G$27,MATCH($C559,'Materials Master'!$A$2:$A$27,0)),IF($B559="Organics Recycling",INDEX('Materials Master'!$H$2:$H$27,MATCH($C559,'Materials Master'!$A$2:$A$27,0)),IF($B559="Cardboard Recycling",INDEX('Materials Master'!$I$2:$I$27,MATCH($C559,'Materials Master'!$A$2:$A$27,0)),IF($B559="Paper Recycling",INDEX('Materials Master'!$J$2:$J$27,MATCH($C559,'Materials Master'!$A$2:$A$27,0)),IF($B559="Terracycle",INDEX('Materials Master'!$K$2:$K$27,MATCH($C559,'Materials Master'!$A$2:$A$27,0)),"No"))))))="Yes",INDEX('Materials Master'!$E$2:$E$27,MATCH($C559,'Materials Master'!$A$2:$A$27,0))="Yes",$B559&lt;&gt;"Trash"),1,0)</f>
        <v>0</v>
      </c>
      <c r="H559" s="0" t="str">
        <f aca="false">INDEX('Materials Master'!$E$2:$E$27,MATCH($C559,'Materials Master'!$A$2:$A$27,0))</f>
        <v>No</v>
      </c>
      <c r="I559" s="0" t="str">
        <f aca="false">IFERROR(INDEX(Areas!$C$2:$C$6,MATCH($A559,Areas!$B$2:$B$6,0)),"")</f>
        <v>Rest of Building</v>
      </c>
      <c r="J559" s="0" t="n">
        <f aca="false">IF(IF($B559="Trash",INDEX('Materials Master'!$F$2:$F$27,MATCH($C559,'Materials Master'!$A$2:$A$27,0)),IF($B559="GMPC Recycling",INDEX('Materials Master'!$G$2:$G$27,MATCH($C559,'Materials Master'!$A$2:$A$27,0)),IF($B559="Organics Recycling",INDEX('Materials Master'!$H$2:$H$27,MATCH($C559,'Materials Master'!$A$2:$A$27,0)),IF($B559="Cardboard Recycling",INDEX('Materials Master'!$I$2:$I$27,MATCH($C559,'Materials Master'!$A$2:$A$27,0)),IF($B559="Paper Recycling",INDEX('Materials Master'!$J$2:$J$27,MATCH($C559,'Materials Master'!$A$2:$A$27,0)),IF($B559="Terracycle",INDEX('Materials Master'!$K$2:$K$27,MATCH($C559,'Materials Master'!$A$2:$A$27,0)),"No"))))))="Yes",1,0)</f>
        <v>0</v>
      </c>
    </row>
    <row r="560" customFormat="false" ht="15" hidden="false" customHeight="false" outlineLevel="0" collapsed="false">
      <c r="A560" s="0" t="s">
        <v>100</v>
      </c>
      <c r="B560" s="0" t="s">
        <v>106</v>
      </c>
      <c r="C560" s="0" t="s">
        <v>57</v>
      </c>
      <c r="D560" s="0" t="str">
        <f aca="false">IFERROR(INDEX('Materials Master'!$B$2:$B$27,MATCH($C560,'Materials Master'!$A$2:$A$27,0)),"")</f>
        <v>Rigid Plastics (1-6)</v>
      </c>
      <c r="E560" s="0" t="str">
        <f aca="false">IFERROR(INDEX('Materials Master'!$C$2:$C$27,MATCH($C560,'Materials Master'!$A$2:$A$27,0)),"")</f>
        <v>Plastics</v>
      </c>
      <c r="F560" s="0" t="n">
        <f aca="false">IF(SUMIFS(Fact_SortedWeights!$E$2:$E$89,Fact_SortedWeights!$C$2:$C$89,$A560,Fact_SortedWeights!$B$2:$B$89,$B560)=0,0,SUMIFS(Fact_SortedWeights!$E$2:$E$89,Fact_SortedWeights!$C$2:$C$89,$A560,Fact_SortedWeights!$B$2:$B$89,$B560,Fact_SortedWeights!$D$2:$D$89,$C560)/SUMIFS(Fact_SortedWeights!$E$2:$E$89,Fact_SortedWeights!$C$2:$C$89,$A560,Fact_SortedWeights!$B$2:$B$89,$B560)*(IF($B560="Cardboard Recycling",SUMIFS(Fact_SortedWeights!$E$2:$E$89,Fact_SortedWeights!$C$2:$C$89,$A560,Fact_SortedWeights!$B$2:$B$89,$B560),SUMIFS(Fact_PreSortWeights!$E$2:$E$186,Fact_PreSortWeights!$C$2:$C$186,$A560,Fact_PreSortWeights!$B$2:$B$186,$B560))))</f>
        <v>0</v>
      </c>
      <c r="G560" s="0" t="n">
        <f aca="false">IF(AND(IF($B560="Trash",INDEX('Materials Master'!$F$2:$F$27,MATCH($C560,'Materials Master'!$A$2:$A$27,0)),IF($B560="GMPC Recycling",INDEX('Materials Master'!$G$2:$G$27,MATCH($C560,'Materials Master'!$A$2:$A$27,0)),IF($B560="Organics Recycling",INDEX('Materials Master'!$H$2:$H$27,MATCH($C560,'Materials Master'!$A$2:$A$27,0)),IF($B560="Cardboard Recycling",INDEX('Materials Master'!$I$2:$I$27,MATCH($C560,'Materials Master'!$A$2:$A$27,0)),IF($B560="Paper Recycling",INDEX('Materials Master'!$J$2:$J$27,MATCH($C560,'Materials Master'!$A$2:$A$27,0)),IF($B560="Terracycle",INDEX('Materials Master'!$K$2:$K$27,MATCH($C560,'Materials Master'!$A$2:$A$27,0)),"No"))))))="Yes",INDEX('Materials Master'!$E$2:$E$27,MATCH($C560,'Materials Master'!$A$2:$A$27,0))="Yes",$B560&lt;&gt;"Trash"),1,0)</f>
        <v>1</v>
      </c>
      <c r="H560" s="0" t="str">
        <f aca="false">INDEX('Materials Master'!$E$2:$E$27,MATCH($C560,'Materials Master'!$A$2:$A$27,0))</f>
        <v>Yes</v>
      </c>
      <c r="I560" s="0" t="str">
        <f aca="false">IFERROR(INDEX(Areas!$C$2:$C$6,MATCH($A560,Areas!$B$2:$B$6,0)),"")</f>
        <v>Rest of Building</v>
      </c>
      <c r="J560" s="0" t="n">
        <f aca="false">IF(IF($B560="Trash",INDEX('Materials Master'!$F$2:$F$27,MATCH($C560,'Materials Master'!$A$2:$A$27,0)),IF($B560="GMPC Recycling",INDEX('Materials Master'!$G$2:$G$27,MATCH($C560,'Materials Master'!$A$2:$A$27,0)),IF($B560="Organics Recycling",INDEX('Materials Master'!$H$2:$H$27,MATCH($C560,'Materials Master'!$A$2:$A$27,0)),IF($B560="Cardboard Recycling",INDEX('Materials Master'!$I$2:$I$27,MATCH($C560,'Materials Master'!$A$2:$A$27,0)),IF($B560="Paper Recycling",INDEX('Materials Master'!$J$2:$J$27,MATCH($C560,'Materials Master'!$A$2:$A$27,0)),IF($B560="Terracycle",INDEX('Materials Master'!$K$2:$K$27,MATCH($C560,'Materials Master'!$A$2:$A$27,0)),"No"))))))="Yes",1,0)</f>
        <v>1</v>
      </c>
    </row>
    <row r="561" customFormat="false" ht="15" hidden="false" customHeight="false" outlineLevel="0" collapsed="false">
      <c r="A561" s="0" t="s">
        <v>100</v>
      </c>
      <c r="B561" s="0" t="s">
        <v>106</v>
      </c>
      <c r="C561" s="0" t="s">
        <v>60</v>
      </c>
      <c r="D561" s="0" t="str">
        <f aca="false">IFERROR(INDEX('Materials Master'!$B$2:$B$27,MATCH($C561,'Materials Master'!$A$2:$A$27,0)),"")</f>
        <v>Soiled Rigid Plastics</v>
      </c>
      <c r="E561" s="0" t="str">
        <f aca="false">IFERROR(INDEX('Materials Master'!$C$2:$C$27,MATCH($C561,'Materials Master'!$A$2:$A$27,0)),"")</f>
        <v>Plastics</v>
      </c>
      <c r="F561" s="0" t="n">
        <f aca="false">IF(SUMIFS(Fact_SortedWeights!$E$2:$E$89,Fact_SortedWeights!$C$2:$C$89,$A561,Fact_SortedWeights!$B$2:$B$89,$B561)=0,0,SUMIFS(Fact_SortedWeights!$E$2:$E$89,Fact_SortedWeights!$C$2:$C$89,$A561,Fact_SortedWeights!$B$2:$B$89,$B561,Fact_SortedWeights!$D$2:$D$89,$C561)/SUMIFS(Fact_SortedWeights!$E$2:$E$89,Fact_SortedWeights!$C$2:$C$89,$A561,Fact_SortedWeights!$B$2:$B$89,$B561)*(IF($B561="Cardboard Recycling",SUMIFS(Fact_SortedWeights!$E$2:$E$89,Fact_SortedWeights!$C$2:$C$89,$A561,Fact_SortedWeights!$B$2:$B$89,$B561),SUMIFS(Fact_PreSortWeights!$E$2:$E$186,Fact_PreSortWeights!$C$2:$C$186,$A561,Fact_PreSortWeights!$B$2:$B$186,$B561))))</f>
        <v>0</v>
      </c>
      <c r="G561" s="0" t="n">
        <f aca="false">IF(AND(IF($B561="Trash",INDEX('Materials Master'!$F$2:$F$27,MATCH($C561,'Materials Master'!$A$2:$A$27,0)),IF($B561="GMPC Recycling",INDEX('Materials Master'!$G$2:$G$27,MATCH($C561,'Materials Master'!$A$2:$A$27,0)),IF($B561="Organics Recycling",INDEX('Materials Master'!$H$2:$H$27,MATCH($C561,'Materials Master'!$A$2:$A$27,0)),IF($B561="Cardboard Recycling",INDEX('Materials Master'!$I$2:$I$27,MATCH($C561,'Materials Master'!$A$2:$A$27,0)),IF($B561="Paper Recycling",INDEX('Materials Master'!$J$2:$J$27,MATCH($C561,'Materials Master'!$A$2:$A$27,0)),IF($B561="Terracycle",INDEX('Materials Master'!$K$2:$K$27,MATCH($C561,'Materials Master'!$A$2:$A$27,0)),"No"))))))="Yes",INDEX('Materials Master'!$E$2:$E$27,MATCH($C561,'Materials Master'!$A$2:$A$27,0))="Yes",$B561&lt;&gt;"Trash"),1,0)</f>
        <v>0</v>
      </c>
      <c r="H561" s="0" t="str">
        <f aca="false">INDEX('Materials Master'!$E$2:$E$27,MATCH($C561,'Materials Master'!$A$2:$A$27,0))</f>
        <v>No</v>
      </c>
      <c r="I561" s="0" t="str">
        <f aca="false">IFERROR(INDEX(Areas!$C$2:$C$6,MATCH($A561,Areas!$B$2:$B$6,0)),"")</f>
        <v>Rest of Building</v>
      </c>
      <c r="J561" s="0" t="n">
        <f aca="false">IF(IF($B561="Trash",INDEX('Materials Master'!$F$2:$F$27,MATCH($C561,'Materials Master'!$A$2:$A$27,0)),IF($B561="GMPC Recycling",INDEX('Materials Master'!$G$2:$G$27,MATCH($C561,'Materials Master'!$A$2:$A$27,0)),IF($B561="Organics Recycling",INDEX('Materials Master'!$H$2:$H$27,MATCH($C561,'Materials Master'!$A$2:$A$27,0)),IF($B561="Cardboard Recycling",INDEX('Materials Master'!$I$2:$I$27,MATCH($C561,'Materials Master'!$A$2:$A$27,0)),IF($B561="Paper Recycling",INDEX('Materials Master'!$J$2:$J$27,MATCH($C561,'Materials Master'!$A$2:$A$27,0)),IF($B561="Terracycle",INDEX('Materials Master'!$K$2:$K$27,MATCH($C561,'Materials Master'!$A$2:$A$27,0)),"No"))))))="Yes",1,0)</f>
        <v>0</v>
      </c>
    </row>
    <row r="562" customFormat="false" ht="15" hidden="false" customHeight="false" outlineLevel="0" collapsed="false">
      <c r="A562" s="0" t="s">
        <v>100</v>
      </c>
      <c r="B562" s="0" t="s">
        <v>106</v>
      </c>
      <c r="C562" s="0" t="s">
        <v>62</v>
      </c>
      <c r="D562" s="0" t="str">
        <f aca="false">IFERROR(INDEX('Materials Master'!$B$2:$B$27,MATCH($C562,'Materials Master'!$A$2:$A$27,0)),"")</f>
        <v>Film Plastics</v>
      </c>
      <c r="E562" s="0" t="str">
        <f aca="false">IFERROR(INDEX('Materials Master'!$C$2:$C$27,MATCH($C562,'Materials Master'!$A$2:$A$27,0)),"")</f>
        <v>Plastics</v>
      </c>
      <c r="F562" s="0" t="n">
        <f aca="false">IF(SUMIFS(Fact_SortedWeights!$E$2:$E$89,Fact_SortedWeights!$C$2:$C$89,$A562,Fact_SortedWeights!$B$2:$B$89,$B562)=0,0,SUMIFS(Fact_SortedWeights!$E$2:$E$89,Fact_SortedWeights!$C$2:$C$89,$A562,Fact_SortedWeights!$B$2:$B$89,$B562,Fact_SortedWeights!$D$2:$D$89,$C562)/SUMIFS(Fact_SortedWeights!$E$2:$E$89,Fact_SortedWeights!$C$2:$C$89,$A562,Fact_SortedWeights!$B$2:$B$89,$B562)*(IF($B562="Cardboard Recycling",SUMIFS(Fact_SortedWeights!$E$2:$E$89,Fact_SortedWeights!$C$2:$C$89,$A562,Fact_SortedWeights!$B$2:$B$89,$B562),SUMIFS(Fact_PreSortWeights!$E$2:$E$186,Fact_PreSortWeights!$C$2:$C$186,$A562,Fact_PreSortWeights!$B$2:$B$186,$B562))))</f>
        <v>0</v>
      </c>
      <c r="G562" s="0" t="n">
        <f aca="false">IF(AND(IF($B562="Trash",INDEX('Materials Master'!$F$2:$F$27,MATCH($C562,'Materials Master'!$A$2:$A$27,0)),IF($B562="GMPC Recycling",INDEX('Materials Master'!$G$2:$G$27,MATCH($C562,'Materials Master'!$A$2:$A$27,0)),IF($B562="Organics Recycling",INDEX('Materials Master'!$H$2:$H$27,MATCH($C562,'Materials Master'!$A$2:$A$27,0)),IF($B562="Cardboard Recycling",INDEX('Materials Master'!$I$2:$I$27,MATCH($C562,'Materials Master'!$A$2:$A$27,0)),IF($B562="Paper Recycling",INDEX('Materials Master'!$J$2:$J$27,MATCH($C562,'Materials Master'!$A$2:$A$27,0)),IF($B562="Terracycle",INDEX('Materials Master'!$K$2:$K$27,MATCH($C562,'Materials Master'!$A$2:$A$27,0)),"No"))))))="Yes",INDEX('Materials Master'!$E$2:$E$27,MATCH($C562,'Materials Master'!$A$2:$A$27,0))="Yes",$B562&lt;&gt;"Trash"),1,0)</f>
        <v>0</v>
      </c>
      <c r="H562" s="0" t="str">
        <f aca="false">INDEX('Materials Master'!$E$2:$E$27,MATCH($C562,'Materials Master'!$A$2:$A$27,0))</f>
        <v>No</v>
      </c>
      <c r="I562" s="0" t="str">
        <f aca="false">IFERROR(INDEX(Areas!$C$2:$C$6,MATCH($A562,Areas!$B$2:$B$6,0)),"")</f>
        <v>Rest of Building</v>
      </c>
      <c r="J562" s="0" t="n">
        <f aca="false">IF(IF($B562="Trash",INDEX('Materials Master'!$F$2:$F$27,MATCH($C562,'Materials Master'!$A$2:$A$27,0)),IF($B562="GMPC Recycling",INDEX('Materials Master'!$G$2:$G$27,MATCH($C562,'Materials Master'!$A$2:$A$27,0)),IF($B562="Organics Recycling",INDEX('Materials Master'!$H$2:$H$27,MATCH($C562,'Materials Master'!$A$2:$A$27,0)),IF($B562="Cardboard Recycling",INDEX('Materials Master'!$I$2:$I$27,MATCH($C562,'Materials Master'!$A$2:$A$27,0)),IF($B562="Paper Recycling",INDEX('Materials Master'!$J$2:$J$27,MATCH($C562,'Materials Master'!$A$2:$A$27,0)),IF($B562="Terracycle",INDEX('Materials Master'!$K$2:$K$27,MATCH($C562,'Materials Master'!$A$2:$A$27,0)),"No"))))))="Yes",1,0)</f>
        <v>0</v>
      </c>
    </row>
    <row r="563" customFormat="false" ht="15" hidden="false" customHeight="false" outlineLevel="0" collapsed="false">
      <c r="A563" s="0" t="s">
        <v>100</v>
      </c>
      <c r="B563" s="0" t="s">
        <v>106</v>
      </c>
      <c r="C563" s="0" t="s">
        <v>64</v>
      </c>
      <c r="D563" s="0" t="str">
        <f aca="false">IFERROR(INDEX('Materials Master'!$B$2:$B$27,MATCH($C563,'Materials Master'!$A$2:$A$27,0)),"")</f>
        <v>Foams</v>
      </c>
      <c r="E563" s="0" t="str">
        <f aca="false">IFERROR(INDEX('Materials Master'!$C$2:$C$27,MATCH($C563,'Materials Master'!$A$2:$A$27,0)),"")</f>
        <v>Plastics</v>
      </c>
      <c r="F563" s="0" t="n">
        <f aca="false">IF(SUMIFS(Fact_SortedWeights!$E$2:$E$89,Fact_SortedWeights!$C$2:$C$89,$A563,Fact_SortedWeights!$B$2:$B$89,$B563)=0,0,SUMIFS(Fact_SortedWeights!$E$2:$E$89,Fact_SortedWeights!$C$2:$C$89,$A563,Fact_SortedWeights!$B$2:$B$89,$B563,Fact_SortedWeights!$D$2:$D$89,$C563)/SUMIFS(Fact_SortedWeights!$E$2:$E$89,Fact_SortedWeights!$C$2:$C$89,$A563,Fact_SortedWeights!$B$2:$B$89,$B563)*(IF($B563="Cardboard Recycling",SUMIFS(Fact_SortedWeights!$E$2:$E$89,Fact_SortedWeights!$C$2:$C$89,$A563,Fact_SortedWeights!$B$2:$B$89,$B563),SUMIFS(Fact_PreSortWeights!$E$2:$E$186,Fact_PreSortWeights!$C$2:$C$186,$A563,Fact_PreSortWeights!$B$2:$B$186,$B563))))</f>
        <v>0</v>
      </c>
      <c r="G563" s="0" t="n">
        <f aca="false">IF(AND(IF($B563="Trash",INDEX('Materials Master'!$F$2:$F$27,MATCH($C563,'Materials Master'!$A$2:$A$27,0)),IF($B563="GMPC Recycling",INDEX('Materials Master'!$G$2:$G$27,MATCH($C563,'Materials Master'!$A$2:$A$27,0)),IF($B563="Organics Recycling",INDEX('Materials Master'!$H$2:$H$27,MATCH($C563,'Materials Master'!$A$2:$A$27,0)),IF($B563="Cardboard Recycling",INDEX('Materials Master'!$I$2:$I$27,MATCH($C563,'Materials Master'!$A$2:$A$27,0)),IF($B563="Paper Recycling",INDEX('Materials Master'!$J$2:$J$27,MATCH($C563,'Materials Master'!$A$2:$A$27,0)),IF($B563="Terracycle",INDEX('Materials Master'!$K$2:$K$27,MATCH($C563,'Materials Master'!$A$2:$A$27,0)),"No"))))))="Yes",INDEX('Materials Master'!$E$2:$E$27,MATCH($C563,'Materials Master'!$A$2:$A$27,0))="Yes",$B563&lt;&gt;"Trash"),1,0)</f>
        <v>0</v>
      </c>
      <c r="H563" s="0" t="str">
        <f aca="false">INDEX('Materials Master'!$E$2:$E$27,MATCH($C563,'Materials Master'!$A$2:$A$27,0))</f>
        <v>No</v>
      </c>
      <c r="I563" s="0" t="str">
        <f aca="false">IFERROR(INDEX(Areas!$C$2:$C$6,MATCH($A563,Areas!$B$2:$B$6,0)),"")</f>
        <v>Rest of Building</v>
      </c>
      <c r="J563" s="0" t="n">
        <f aca="false">IF(IF($B563="Trash",INDEX('Materials Master'!$F$2:$F$27,MATCH($C563,'Materials Master'!$A$2:$A$27,0)),IF($B563="GMPC Recycling",INDEX('Materials Master'!$G$2:$G$27,MATCH($C563,'Materials Master'!$A$2:$A$27,0)),IF($B563="Organics Recycling",INDEX('Materials Master'!$H$2:$H$27,MATCH($C563,'Materials Master'!$A$2:$A$27,0)),IF($B563="Cardboard Recycling",INDEX('Materials Master'!$I$2:$I$27,MATCH($C563,'Materials Master'!$A$2:$A$27,0)),IF($B563="Paper Recycling",INDEX('Materials Master'!$J$2:$J$27,MATCH($C563,'Materials Master'!$A$2:$A$27,0)),IF($B563="Terracycle",INDEX('Materials Master'!$K$2:$K$27,MATCH($C563,'Materials Master'!$A$2:$A$27,0)),"No"))))))="Yes",1,0)</f>
        <v>0</v>
      </c>
    </row>
    <row r="564" customFormat="false" ht="15" hidden="false" customHeight="false" outlineLevel="0" collapsed="false">
      <c r="A564" s="0" t="s">
        <v>100</v>
      </c>
      <c r="B564" s="0" t="s">
        <v>106</v>
      </c>
      <c r="C564" s="0" t="s">
        <v>66</v>
      </c>
      <c r="D564" s="0" t="str">
        <f aca="false">IFERROR(INDEX('Materials Master'!$B$2:$B$27,MATCH($C564,'Materials Master'!$A$2:$A$27,0)),"")</f>
        <v>Food Waste</v>
      </c>
      <c r="E564" s="0" t="str">
        <f aca="false">IFERROR(INDEX('Materials Master'!$C$2:$C$27,MATCH($C564,'Materials Master'!$A$2:$A$27,0)),"")</f>
        <v>Organics</v>
      </c>
      <c r="F564" s="0" t="n">
        <f aca="false">IF(SUMIFS(Fact_SortedWeights!$E$2:$E$89,Fact_SortedWeights!$C$2:$C$89,$A564,Fact_SortedWeights!$B$2:$B$89,$B564)=0,0,SUMIFS(Fact_SortedWeights!$E$2:$E$89,Fact_SortedWeights!$C$2:$C$89,$A564,Fact_SortedWeights!$B$2:$B$89,$B564,Fact_SortedWeights!$D$2:$D$89,$C564)/SUMIFS(Fact_SortedWeights!$E$2:$E$89,Fact_SortedWeights!$C$2:$C$89,$A564,Fact_SortedWeights!$B$2:$B$89,$B564)*(IF($B564="Cardboard Recycling",SUMIFS(Fact_SortedWeights!$E$2:$E$89,Fact_SortedWeights!$C$2:$C$89,$A564,Fact_SortedWeights!$B$2:$B$89,$B564),SUMIFS(Fact_PreSortWeights!$E$2:$E$186,Fact_PreSortWeights!$C$2:$C$186,$A564,Fact_PreSortWeights!$B$2:$B$186,$B564))))</f>
        <v>0</v>
      </c>
      <c r="G564" s="0" t="n">
        <f aca="false">IF(AND(IF($B564="Trash",INDEX('Materials Master'!$F$2:$F$27,MATCH($C564,'Materials Master'!$A$2:$A$27,0)),IF($B564="GMPC Recycling",INDEX('Materials Master'!$G$2:$G$27,MATCH($C564,'Materials Master'!$A$2:$A$27,0)),IF($B564="Organics Recycling",INDEX('Materials Master'!$H$2:$H$27,MATCH($C564,'Materials Master'!$A$2:$A$27,0)),IF($B564="Cardboard Recycling",INDEX('Materials Master'!$I$2:$I$27,MATCH($C564,'Materials Master'!$A$2:$A$27,0)),IF($B564="Paper Recycling",INDEX('Materials Master'!$J$2:$J$27,MATCH($C564,'Materials Master'!$A$2:$A$27,0)),IF($B564="Terracycle",INDEX('Materials Master'!$K$2:$K$27,MATCH($C564,'Materials Master'!$A$2:$A$27,0)),"No"))))))="Yes",INDEX('Materials Master'!$E$2:$E$27,MATCH($C564,'Materials Master'!$A$2:$A$27,0))="Yes",$B564&lt;&gt;"Trash"),1,0)</f>
        <v>0</v>
      </c>
      <c r="H564" s="0" t="str">
        <f aca="false">INDEX('Materials Master'!$E$2:$E$27,MATCH($C564,'Materials Master'!$A$2:$A$27,0))</f>
        <v>Yes</v>
      </c>
      <c r="I564" s="0" t="str">
        <f aca="false">IFERROR(INDEX(Areas!$C$2:$C$6,MATCH($A564,Areas!$B$2:$B$6,0)),"")</f>
        <v>Rest of Building</v>
      </c>
      <c r="J564" s="0" t="n">
        <f aca="false">IF(IF($B564="Trash",INDEX('Materials Master'!$F$2:$F$27,MATCH($C564,'Materials Master'!$A$2:$A$27,0)),IF($B564="GMPC Recycling",INDEX('Materials Master'!$G$2:$G$27,MATCH($C564,'Materials Master'!$A$2:$A$27,0)),IF($B564="Organics Recycling",INDEX('Materials Master'!$H$2:$H$27,MATCH($C564,'Materials Master'!$A$2:$A$27,0)),IF($B564="Cardboard Recycling",INDEX('Materials Master'!$I$2:$I$27,MATCH($C564,'Materials Master'!$A$2:$A$27,0)),IF($B564="Paper Recycling",INDEX('Materials Master'!$J$2:$J$27,MATCH($C564,'Materials Master'!$A$2:$A$27,0)),IF($B564="Terracycle",INDEX('Materials Master'!$K$2:$K$27,MATCH($C564,'Materials Master'!$A$2:$A$27,0)),"No"))))))="Yes",1,0)</f>
        <v>0</v>
      </c>
    </row>
    <row r="565" customFormat="false" ht="15" hidden="false" customHeight="false" outlineLevel="0" collapsed="false">
      <c r="A565" s="0" t="s">
        <v>100</v>
      </c>
      <c r="B565" s="0" t="s">
        <v>106</v>
      </c>
      <c r="C565" s="0" t="s">
        <v>69</v>
      </c>
      <c r="D565" s="0" t="str">
        <f aca="false">IFERROR(INDEX('Materials Master'!$B$2:$B$27,MATCH($C565,'Materials Master'!$A$2:$A$27,0)),"")</f>
        <v>Paper Fibers and Food-Soiled Paper (FSP)</v>
      </c>
      <c r="E565" s="0" t="str">
        <f aca="false">IFERROR(INDEX('Materials Master'!$C$2:$C$27,MATCH($C565,'Materials Master'!$A$2:$A$27,0)),"")</f>
        <v>Organics</v>
      </c>
      <c r="F565" s="0" t="n">
        <f aca="false">IF(SUMIFS(Fact_SortedWeights!$E$2:$E$89,Fact_SortedWeights!$C$2:$C$89,$A565,Fact_SortedWeights!$B$2:$B$89,$B565)=0,0,SUMIFS(Fact_SortedWeights!$E$2:$E$89,Fact_SortedWeights!$C$2:$C$89,$A565,Fact_SortedWeights!$B$2:$B$89,$B565,Fact_SortedWeights!$D$2:$D$89,$C565)/SUMIFS(Fact_SortedWeights!$E$2:$E$89,Fact_SortedWeights!$C$2:$C$89,$A565,Fact_SortedWeights!$B$2:$B$89,$B565)*(IF($B565="Cardboard Recycling",SUMIFS(Fact_SortedWeights!$E$2:$E$89,Fact_SortedWeights!$C$2:$C$89,$A565,Fact_SortedWeights!$B$2:$B$89,$B565),SUMIFS(Fact_PreSortWeights!$E$2:$E$186,Fact_PreSortWeights!$C$2:$C$186,$A565,Fact_PreSortWeights!$B$2:$B$186,$B565))))</f>
        <v>0</v>
      </c>
      <c r="G565" s="0" t="n">
        <f aca="false">IF(AND(IF($B565="Trash",INDEX('Materials Master'!$F$2:$F$27,MATCH($C565,'Materials Master'!$A$2:$A$27,0)),IF($B565="GMPC Recycling",INDEX('Materials Master'!$G$2:$G$27,MATCH($C565,'Materials Master'!$A$2:$A$27,0)),IF($B565="Organics Recycling",INDEX('Materials Master'!$H$2:$H$27,MATCH($C565,'Materials Master'!$A$2:$A$27,0)),IF($B565="Cardboard Recycling",INDEX('Materials Master'!$I$2:$I$27,MATCH($C565,'Materials Master'!$A$2:$A$27,0)),IF($B565="Paper Recycling",INDEX('Materials Master'!$J$2:$J$27,MATCH($C565,'Materials Master'!$A$2:$A$27,0)),IF($B565="Terracycle",INDEX('Materials Master'!$K$2:$K$27,MATCH($C565,'Materials Master'!$A$2:$A$27,0)),"No"))))))="Yes",INDEX('Materials Master'!$E$2:$E$27,MATCH($C565,'Materials Master'!$A$2:$A$27,0))="Yes",$B565&lt;&gt;"Trash"),1,0)</f>
        <v>0</v>
      </c>
      <c r="H565" s="0" t="str">
        <f aca="false">INDEX('Materials Master'!$E$2:$E$27,MATCH($C565,'Materials Master'!$A$2:$A$27,0))</f>
        <v>No</v>
      </c>
      <c r="I565" s="0" t="str">
        <f aca="false">IFERROR(INDEX(Areas!$C$2:$C$6,MATCH($A565,Areas!$B$2:$B$6,0)),"")</f>
        <v>Rest of Building</v>
      </c>
      <c r="J565" s="0" t="n">
        <f aca="false">IF(IF($B565="Trash",INDEX('Materials Master'!$F$2:$F$27,MATCH($C565,'Materials Master'!$A$2:$A$27,0)),IF($B565="GMPC Recycling",INDEX('Materials Master'!$G$2:$G$27,MATCH($C565,'Materials Master'!$A$2:$A$27,0)),IF($B565="Organics Recycling",INDEX('Materials Master'!$H$2:$H$27,MATCH($C565,'Materials Master'!$A$2:$A$27,0)),IF($B565="Cardboard Recycling",INDEX('Materials Master'!$I$2:$I$27,MATCH($C565,'Materials Master'!$A$2:$A$27,0)),IF($B565="Paper Recycling",INDEX('Materials Master'!$J$2:$J$27,MATCH($C565,'Materials Master'!$A$2:$A$27,0)),IF($B565="Terracycle",INDEX('Materials Master'!$K$2:$K$27,MATCH($C565,'Materials Master'!$A$2:$A$27,0)),"No"))))))="Yes",1,0)</f>
        <v>0</v>
      </c>
    </row>
    <row r="566" customFormat="false" ht="15" hidden="false" customHeight="false" outlineLevel="0" collapsed="false">
      <c r="A566" s="0" t="s">
        <v>100</v>
      </c>
      <c r="B566" s="0" t="s">
        <v>106</v>
      </c>
      <c r="C566" s="0" t="s">
        <v>71</v>
      </c>
      <c r="D566" s="0" t="str">
        <f aca="false">IFERROR(INDEX('Materials Master'!$B$2:$B$27,MATCH($C566,'Materials Master'!$A$2:$A$27,0)),"")</f>
        <v>Fiber-based Compostable Serviceware</v>
      </c>
      <c r="E566" s="0" t="str">
        <f aca="false">IFERROR(INDEX('Materials Master'!$C$2:$C$27,MATCH($C566,'Materials Master'!$A$2:$A$27,0)),"")</f>
        <v>Organics</v>
      </c>
      <c r="F566" s="0" t="n">
        <f aca="false">IF(SUMIFS(Fact_SortedWeights!$E$2:$E$89,Fact_SortedWeights!$C$2:$C$89,$A566,Fact_SortedWeights!$B$2:$B$89,$B566)=0,0,SUMIFS(Fact_SortedWeights!$E$2:$E$89,Fact_SortedWeights!$C$2:$C$89,$A566,Fact_SortedWeights!$B$2:$B$89,$B566,Fact_SortedWeights!$D$2:$D$89,$C566)/SUMIFS(Fact_SortedWeights!$E$2:$E$89,Fact_SortedWeights!$C$2:$C$89,$A566,Fact_SortedWeights!$B$2:$B$89,$B566)*(IF($B566="Cardboard Recycling",SUMIFS(Fact_SortedWeights!$E$2:$E$89,Fact_SortedWeights!$C$2:$C$89,$A566,Fact_SortedWeights!$B$2:$B$89,$B566),SUMIFS(Fact_PreSortWeights!$E$2:$E$186,Fact_PreSortWeights!$C$2:$C$186,$A566,Fact_PreSortWeights!$B$2:$B$186,$B566))))</f>
        <v>0</v>
      </c>
      <c r="G566" s="0" t="n">
        <f aca="false">IF(AND(IF($B566="Trash",INDEX('Materials Master'!$F$2:$F$27,MATCH($C566,'Materials Master'!$A$2:$A$27,0)),IF($B566="GMPC Recycling",INDEX('Materials Master'!$G$2:$G$27,MATCH($C566,'Materials Master'!$A$2:$A$27,0)),IF($B566="Organics Recycling",INDEX('Materials Master'!$H$2:$H$27,MATCH($C566,'Materials Master'!$A$2:$A$27,0)),IF($B566="Cardboard Recycling",INDEX('Materials Master'!$I$2:$I$27,MATCH($C566,'Materials Master'!$A$2:$A$27,0)),IF($B566="Paper Recycling",INDEX('Materials Master'!$J$2:$J$27,MATCH($C566,'Materials Master'!$A$2:$A$27,0)),IF($B566="Terracycle",INDEX('Materials Master'!$K$2:$K$27,MATCH($C566,'Materials Master'!$A$2:$A$27,0)),"No"))))))="Yes",INDEX('Materials Master'!$E$2:$E$27,MATCH($C566,'Materials Master'!$A$2:$A$27,0))="Yes",$B566&lt;&gt;"Trash"),1,0)</f>
        <v>0</v>
      </c>
      <c r="H566" s="0" t="str">
        <f aca="false">INDEX('Materials Master'!$E$2:$E$27,MATCH($C566,'Materials Master'!$A$2:$A$27,0))</f>
        <v>No</v>
      </c>
      <c r="I566" s="0" t="str">
        <f aca="false">IFERROR(INDEX(Areas!$C$2:$C$6,MATCH($A566,Areas!$B$2:$B$6,0)),"")</f>
        <v>Rest of Building</v>
      </c>
      <c r="J566" s="0" t="n">
        <f aca="false">IF(IF($B566="Trash",INDEX('Materials Master'!$F$2:$F$27,MATCH($C566,'Materials Master'!$A$2:$A$27,0)),IF($B566="GMPC Recycling",INDEX('Materials Master'!$G$2:$G$27,MATCH($C566,'Materials Master'!$A$2:$A$27,0)),IF($B566="Organics Recycling",INDEX('Materials Master'!$H$2:$H$27,MATCH($C566,'Materials Master'!$A$2:$A$27,0)),IF($B566="Cardboard Recycling",INDEX('Materials Master'!$I$2:$I$27,MATCH($C566,'Materials Master'!$A$2:$A$27,0)),IF($B566="Paper Recycling",INDEX('Materials Master'!$J$2:$J$27,MATCH($C566,'Materials Master'!$A$2:$A$27,0)),IF($B566="Terracycle",INDEX('Materials Master'!$K$2:$K$27,MATCH($C566,'Materials Master'!$A$2:$A$27,0)),"No"))))))="Yes",1,0)</f>
        <v>0</v>
      </c>
    </row>
    <row r="567" customFormat="false" ht="15" hidden="false" customHeight="false" outlineLevel="0" collapsed="false">
      <c r="A567" s="0" t="s">
        <v>100</v>
      </c>
      <c r="B567" s="0" t="s">
        <v>106</v>
      </c>
      <c r="C567" s="0" t="s">
        <v>73</v>
      </c>
      <c r="D567" s="0" t="str">
        <f aca="false">IFERROR(INDEX('Materials Master'!$B$2:$B$27,MATCH($C567,'Materials Master'!$A$2:$A$27,0)),"")</f>
        <v>PLA Compostable Serviceware</v>
      </c>
      <c r="E567" s="0" t="str">
        <f aca="false">IFERROR(INDEX('Materials Master'!$C$2:$C$27,MATCH($C567,'Materials Master'!$A$2:$A$27,0)),"")</f>
        <v>Organics</v>
      </c>
      <c r="F567" s="0" t="n">
        <f aca="false">IF(SUMIFS(Fact_SortedWeights!$E$2:$E$89,Fact_SortedWeights!$C$2:$C$89,$A567,Fact_SortedWeights!$B$2:$B$89,$B567)=0,0,SUMIFS(Fact_SortedWeights!$E$2:$E$89,Fact_SortedWeights!$C$2:$C$89,$A567,Fact_SortedWeights!$B$2:$B$89,$B567,Fact_SortedWeights!$D$2:$D$89,$C567)/SUMIFS(Fact_SortedWeights!$E$2:$E$89,Fact_SortedWeights!$C$2:$C$89,$A567,Fact_SortedWeights!$B$2:$B$89,$B567)*(IF($B567="Cardboard Recycling",SUMIFS(Fact_SortedWeights!$E$2:$E$89,Fact_SortedWeights!$C$2:$C$89,$A567,Fact_SortedWeights!$B$2:$B$89,$B567),SUMIFS(Fact_PreSortWeights!$E$2:$E$186,Fact_PreSortWeights!$C$2:$C$186,$A567,Fact_PreSortWeights!$B$2:$B$186,$B567))))</f>
        <v>0</v>
      </c>
      <c r="G567" s="0" t="n">
        <f aca="false">IF(AND(IF($B567="Trash",INDEX('Materials Master'!$F$2:$F$27,MATCH($C567,'Materials Master'!$A$2:$A$27,0)),IF($B567="GMPC Recycling",INDEX('Materials Master'!$G$2:$G$27,MATCH($C567,'Materials Master'!$A$2:$A$27,0)),IF($B567="Organics Recycling",INDEX('Materials Master'!$H$2:$H$27,MATCH($C567,'Materials Master'!$A$2:$A$27,0)),IF($B567="Cardboard Recycling",INDEX('Materials Master'!$I$2:$I$27,MATCH($C567,'Materials Master'!$A$2:$A$27,0)),IF($B567="Paper Recycling",INDEX('Materials Master'!$J$2:$J$27,MATCH($C567,'Materials Master'!$A$2:$A$27,0)),IF($B567="Terracycle",INDEX('Materials Master'!$K$2:$K$27,MATCH($C567,'Materials Master'!$A$2:$A$27,0)),"No"))))))="Yes",INDEX('Materials Master'!$E$2:$E$27,MATCH($C567,'Materials Master'!$A$2:$A$27,0))="Yes",$B567&lt;&gt;"Trash"),1,0)</f>
        <v>0</v>
      </c>
      <c r="H567" s="0" t="str">
        <f aca="false">INDEX('Materials Master'!$E$2:$E$27,MATCH($C567,'Materials Master'!$A$2:$A$27,0))</f>
        <v>No</v>
      </c>
      <c r="I567" s="0" t="str">
        <f aca="false">IFERROR(INDEX(Areas!$C$2:$C$6,MATCH($A567,Areas!$B$2:$B$6,0)),"")</f>
        <v>Rest of Building</v>
      </c>
      <c r="J567" s="0" t="n">
        <f aca="false">IF(IF($B567="Trash",INDEX('Materials Master'!$F$2:$F$27,MATCH($C567,'Materials Master'!$A$2:$A$27,0)),IF($B567="GMPC Recycling",INDEX('Materials Master'!$G$2:$G$27,MATCH($C567,'Materials Master'!$A$2:$A$27,0)),IF($B567="Organics Recycling",INDEX('Materials Master'!$H$2:$H$27,MATCH($C567,'Materials Master'!$A$2:$A$27,0)),IF($B567="Cardboard Recycling",INDEX('Materials Master'!$I$2:$I$27,MATCH($C567,'Materials Master'!$A$2:$A$27,0)),IF($B567="Paper Recycling",INDEX('Materials Master'!$J$2:$J$27,MATCH($C567,'Materials Master'!$A$2:$A$27,0)),IF($B567="Terracycle",INDEX('Materials Master'!$K$2:$K$27,MATCH($C567,'Materials Master'!$A$2:$A$27,0)),"No"))))))="Yes",1,0)</f>
        <v>0</v>
      </c>
    </row>
    <row r="568" customFormat="false" ht="15" hidden="false" customHeight="false" outlineLevel="0" collapsed="false">
      <c r="A568" s="0" t="s">
        <v>100</v>
      </c>
      <c r="B568" s="0" t="s">
        <v>106</v>
      </c>
      <c r="C568" s="0" t="s">
        <v>75</v>
      </c>
      <c r="D568" s="0" t="str">
        <f aca="false">IFERROR(INDEX('Materials Master'!$B$2:$B$27,MATCH($C568,'Materials Master'!$A$2:$A$27,0)),"")</f>
        <v>E/U Waste</v>
      </c>
      <c r="E568" s="0" t="str">
        <f aca="false">IFERROR(INDEX('Materials Master'!$C$2:$C$27,MATCH($C568,'Materials Master'!$A$2:$A$27,0)),"")</f>
        <v>Unacceptable</v>
      </c>
      <c r="F568" s="0" t="n">
        <f aca="false">IF(SUMIFS(Fact_SortedWeights!$E$2:$E$89,Fact_SortedWeights!$C$2:$C$89,$A568,Fact_SortedWeights!$B$2:$B$89,$B568)=0,0,SUMIFS(Fact_SortedWeights!$E$2:$E$89,Fact_SortedWeights!$C$2:$C$89,$A568,Fact_SortedWeights!$B$2:$B$89,$B568,Fact_SortedWeights!$D$2:$D$89,$C568)/SUMIFS(Fact_SortedWeights!$E$2:$E$89,Fact_SortedWeights!$C$2:$C$89,$A568,Fact_SortedWeights!$B$2:$B$89,$B568)*(IF($B568="Cardboard Recycling",SUMIFS(Fact_SortedWeights!$E$2:$E$89,Fact_SortedWeights!$C$2:$C$89,$A568,Fact_SortedWeights!$B$2:$B$89,$B568),SUMIFS(Fact_PreSortWeights!$E$2:$E$186,Fact_PreSortWeights!$C$2:$C$186,$A568,Fact_PreSortWeights!$B$2:$B$186,$B568))))</f>
        <v>0</v>
      </c>
      <c r="G568" s="0" t="n">
        <f aca="false">IF(AND(IF($B568="Trash",INDEX('Materials Master'!$F$2:$F$27,MATCH($C568,'Materials Master'!$A$2:$A$27,0)),IF($B568="GMPC Recycling",INDEX('Materials Master'!$G$2:$G$27,MATCH($C568,'Materials Master'!$A$2:$A$27,0)),IF($B568="Organics Recycling",INDEX('Materials Master'!$H$2:$H$27,MATCH($C568,'Materials Master'!$A$2:$A$27,0)),IF($B568="Cardboard Recycling",INDEX('Materials Master'!$I$2:$I$27,MATCH($C568,'Materials Master'!$A$2:$A$27,0)),IF($B568="Paper Recycling",INDEX('Materials Master'!$J$2:$J$27,MATCH($C568,'Materials Master'!$A$2:$A$27,0)),IF($B568="Terracycle",INDEX('Materials Master'!$K$2:$K$27,MATCH($C568,'Materials Master'!$A$2:$A$27,0)),"No"))))))="Yes",INDEX('Materials Master'!$E$2:$E$27,MATCH($C568,'Materials Master'!$A$2:$A$27,0))="Yes",$B568&lt;&gt;"Trash"),1,0)</f>
        <v>0</v>
      </c>
      <c r="H568" s="0" t="str">
        <f aca="false">INDEX('Materials Master'!$E$2:$E$27,MATCH($C568,'Materials Master'!$A$2:$A$27,0))</f>
        <v>No</v>
      </c>
      <c r="I568" s="0" t="str">
        <f aca="false">IFERROR(INDEX(Areas!$C$2:$C$6,MATCH($A568,Areas!$B$2:$B$6,0)),"")</f>
        <v>Rest of Building</v>
      </c>
      <c r="J568" s="0" t="n">
        <f aca="false">IF(IF($B568="Trash",INDEX('Materials Master'!$F$2:$F$27,MATCH($C568,'Materials Master'!$A$2:$A$27,0)),IF($B568="GMPC Recycling",INDEX('Materials Master'!$G$2:$G$27,MATCH($C568,'Materials Master'!$A$2:$A$27,0)),IF($B568="Organics Recycling",INDEX('Materials Master'!$H$2:$H$27,MATCH($C568,'Materials Master'!$A$2:$A$27,0)),IF($B568="Cardboard Recycling",INDEX('Materials Master'!$I$2:$I$27,MATCH($C568,'Materials Master'!$A$2:$A$27,0)),IF($B568="Paper Recycling",INDEX('Materials Master'!$J$2:$J$27,MATCH($C568,'Materials Master'!$A$2:$A$27,0)),IF($B568="Terracycle",INDEX('Materials Master'!$K$2:$K$27,MATCH($C568,'Materials Master'!$A$2:$A$27,0)),"No"))))))="Yes",1,0)</f>
        <v>0</v>
      </c>
    </row>
    <row r="569" customFormat="false" ht="15" hidden="false" customHeight="false" outlineLevel="0" collapsed="false">
      <c r="A569" s="0" t="s">
        <v>100</v>
      </c>
      <c r="B569" s="0" t="s">
        <v>106</v>
      </c>
      <c r="C569" s="0" t="s">
        <v>78</v>
      </c>
      <c r="D569" s="0" t="str">
        <f aca="false">IFERROR(INDEX('Materials Master'!$B$2:$B$27,MATCH($C569,'Materials Master'!$A$2:$A$27,0)),"")</f>
        <v>Textiles</v>
      </c>
      <c r="E569" s="0" t="str">
        <f aca="false">IFERROR(INDEX('Materials Master'!$C$2:$C$27,MATCH($C569,'Materials Master'!$A$2:$A$27,0)),"")</f>
        <v>Unacceptable</v>
      </c>
      <c r="F569" s="0" t="n">
        <f aca="false">IF(SUMIFS(Fact_SortedWeights!$E$2:$E$89,Fact_SortedWeights!$C$2:$C$89,$A569,Fact_SortedWeights!$B$2:$B$89,$B569)=0,0,SUMIFS(Fact_SortedWeights!$E$2:$E$89,Fact_SortedWeights!$C$2:$C$89,$A569,Fact_SortedWeights!$B$2:$B$89,$B569,Fact_SortedWeights!$D$2:$D$89,$C569)/SUMIFS(Fact_SortedWeights!$E$2:$E$89,Fact_SortedWeights!$C$2:$C$89,$A569,Fact_SortedWeights!$B$2:$B$89,$B569)*(IF($B569="Cardboard Recycling",SUMIFS(Fact_SortedWeights!$E$2:$E$89,Fact_SortedWeights!$C$2:$C$89,$A569,Fact_SortedWeights!$B$2:$B$89,$B569),SUMIFS(Fact_PreSortWeights!$E$2:$E$186,Fact_PreSortWeights!$C$2:$C$186,$A569,Fact_PreSortWeights!$B$2:$B$186,$B569))))</f>
        <v>0</v>
      </c>
      <c r="G569" s="0" t="n">
        <f aca="false">IF(AND(IF($B569="Trash",INDEX('Materials Master'!$F$2:$F$27,MATCH($C569,'Materials Master'!$A$2:$A$27,0)),IF($B569="GMPC Recycling",INDEX('Materials Master'!$G$2:$G$27,MATCH($C569,'Materials Master'!$A$2:$A$27,0)),IF($B569="Organics Recycling",INDEX('Materials Master'!$H$2:$H$27,MATCH($C569,'Materials Master'!$A$2:$A$27,0)),IF($B569="Cardboard Recycling",INDEX('Materials Master'!$I$2:$I$27,MATCH($C569,'Materials Master'!$A$2:$A$27,0)),IF($B569="Paper Recycling",INDEX('Materials Master'!$J$2:$J$27,MATCH($C569,'Materials Master'!$A$2:$A$27,0)),IF($B569="Terracycle",INDEX('Materials Master'!$K$2:$K$27,MATCH($C569,'Materials Master'!$A$2:$A$27,0)),"No"))))))="Yes",INDEX('Materials Master'!$E$2:$E$27,MATCH($C569,'Materials Master'!$A$2:$A$27,0))="Yes",$B569&lt;&gt;"Trash"),1,0)</f>
        <v>0</v>
      </c>
      <c r="H569" s="0" t="str">
        <f aca="false">INDEX('Materials Master'!$E$2:$E$27,MATCH($C569,'Materials Master'!$A$2:$A$27,0))</f>
        <v>No</v>
      </c>
      <c r="I569" s="0" t="str">
        <f aca="false">IFERROR(INDEX(Areas!$C$2:$C$6,MATCH($A569,Areas!$B$2:$B$6,0)),"")</f>
        <v>Rest of Building</v>
      </c>
      <c r="J569" s="0" t="n">
        <f aca="false">IF(IF($B569="Trash",INDEX('Materials Master'!$F$2:$F$27,MATCH($C569,'Materials Master'!$A$2:$A$27,0)),IF($B569="GMPC Recycling",INDEX('Materials Master'!$G$2:$G$27,MATCH($C569,'Materials Master'!$A$2:$A$27,0)),IF($B569="Organics Recycling",INDEX('Materials Master'!$H$2:$H$27,MATCH($C569,'Materials Master'!$A$2:$A$27,0)),IF($B569="Cardboard Recycling",INDEX('Materials Master'!$I$2:$I$27,MATCH($C569,'Materials Master'!$A$2:$A$27,0)),IF($B569="Paper Recycling",INDEX('Materials Master'!$J$2:$J$27,MATCH($C569,'Materials Master'!$A$2:$A$27,0)),IF($B569="Terracycle",INDEX('Materials Master'!$K$2:$K$27,MATCH($C569,'Materials Master'!$A$2:$A$27,0)),"No"))))))="Yes",1,0)</f>
        <v>0</v>
      </c>
    </row>
    <row r="570" customFormat="false" ht="15" hidden="false" customHeight="false" outlineLevel="0" collapsed="false">
      <c r="A570" s="0" t="s">
        <v>100</v>
      </c>
      <c r="B570" s="0" t="s">
        <v>106</v>
      </c>
      <c r="C570" s="0" t="s">
        <v>80</v>
      </c>
      <c r="D570" s="0" t="str">
        <f aca="false">IFERROR(INDEX('Materials Master'!$B$2:$B$27,MATCH($C570,'Materials Master'!$A$2:$A$27,0)),"")</f>
        <v>Other Unacceptable (specify)</v>
      </c>
      <c r="E570" s="0" t="str">
        <f aca="false">IFERROR(INDEX('Materials Master'!$C$2:$C$27,MATCH($C570,'Materials Master'!$A$2:$A$27,0)),"")</f>
        <v>Unacceptable</v>
      </c>
      <c r="F570" s="0" t="n">
        <f aca="false">IF(SUMIFS(Fact_SortedWeights!$E$2:$E$89,Fact_SortedWeights!$C$2:$C$89,$A570,Fact_SortedWeights!$B$2:$B$89,$B570)=0,0,SUMIFS(Fact_SortedWeights!$E$2:$E$89,Fact_SortedWeights!$C$2:$C$89,$A570,Fact_SortedWeights!$B$2:$B$89,$B570,Fact_SortedWeights!$D$2:$D$89,$C570)/SUMIFS(Fact_SortedWeights!$E$2:$E$89,Fact_SortedWeights!$C$2:$C$89,$A570,Fact_SortedWeights!$B$2:$B$89,$B570)*(IF($B570="Cardboard Recycling",SUMIFS(Fact_SortedWeights!$E$2:$E$89,Fact_SortedWeights!$C$2:$C$89,$A570,Fact_SortedWeights!$B$2:$B$89,$B570),SUMIFS(Fact_PreSortWeights!$E$2:$E$186,Fact_PreSortWeights!$C$2:$C$186,$A570,Fact_PreSortWeights!$B$2:$B$186,$B570))))</f>
        <v>0</v>
      </c>
      <c r="G570" s="0" t="n">
        <f aca="false">IF(AND(IF($B570="Trash",INDEX('Materials Master'!$F$2:$F$27,MATCH($C570,'Materials Master'!$A$2:$A$27,0)),IF($B570="GMPC Recycling",INDEX('Materials Master'!$G$2:$G$27,MATCH($C570,'Materials Master'!$A$2:$A$27,0)),IF($B570="Organics Recycling",INDEX('Materials Master'!$H$2:$H$27,MATCH($C570,'Materials Master'!$A$2:$A$27,0)),IF($B570="Cardboard Recycling",INDEX('Materials Master'!$I$2:$I$27,MATCH($C570,'Materials Master'!$A$2:$A$27,0)),IF($B570="Paper Recycling",INDEX('Materials Master'!$J$2:$J$27,MATCH($C570,'Materials Master'!$A$2:$A$27,0)),IF($B570="Terracycle",INDEX('Materials Master'!$K$2:$K$27,MATCH($C570,'Materials Master'!$A$2:$A$27,0)),"No"))))))="Yes",INDEX('Materials Master'!$E$2:$E$27,MATCH($C570,'Materials Master'!$A$2:$A$27,0))="Yes",$B570&lt;&gt;"Trash"),1,0)</f>
        <v>0</v>
      </c>
      <c r="H570" s="0" t="str">
        <f aca="false">INDEX('Materials Master'!$E$2:$E$27,MATCH($C570,'Materials Master'!$A$2:$A$27,0))</f>
        <v>No</v>
      </c>
      <c r="I570" s="0" t="str">
        <f aca="false">IFERROR(INDEX(Areas!$C$2:$C$6,MATCH($A570,Areas!$B$2:$B$6,0)),"")</f>
        <v>Rest of Building</v>
      </c>
      <c r="J570" s="0" t="n">
        <f aca="false">IF(IF($B570="Trash",INDEX('Materials Master'!$F$2:$F$27,MATCH($C570,'Materials Master'!$A$2:$A$27,0)),IF($B570="GMPC Recycling",INDEX('Materials Master'!$G$2:$G$27,MATCH($C570,'Materials Master'!$A$2:$A$27,0)),IF($B570="Organics Recycling",INDEX('Materials Master'!$H$2:$H$27,MATCH($C570,'Materials Master'!$A$2:$A$27,0)),IF($B570="Cardboard Recycling",INDEX('Materials Master'!$I$2:$I$27,MATCH($C570,'Materials Master'!$A$2:$A$27,0)),IF($B570="Paper Recycling",INDEX('Materials Master'!$J$2:$J$27,MATCH($C570,'Materials Master'!$A$2:$A$27,0)),IF($B570="Terracycle",INDEX('Materials Master'!$K$2:$K$27,MATCH($C570,'Materials Master'!$A$2:$A$27,0)),"No"))))))="Yes",1,0)</f>
        <v>0</v>
      </c>
    </row>
    <row r="571" customFormat="false" ht="15" hidden="false" customHeight="false" outlineLevel="0" collapsed="false">
      <c r="A571" s="0" t="s">
        <v>100</v>
      </c>
      <c r="B571" s="0" t="s">
        <v>106</v>
      </c>
      <c r="C571" s="0" t="s">
        <v>82</v>
      </c>
      <c r="D571" s="0" t="str">
        <f aca="false">IFERROR(INDEX('Materials Master'!$B$2:$B$27,MATCH($C571,'Materials Master'!$A$2:$A$27,0)),"")</f>
        <v>Liquids</v>
      </c>
      <c r="E571" s="0" t="str">
        <f aca="false">IFERROR(INDEX('Materials Master'!$C$2:$C$27,MATCH($C571,'Materials Master'!$A$2:$A$27,0)),"")</f>
        <v>Unacceptable</v>
      </c>
      <c r="F571" s="0" t="n">
        <f aca="false">IF(SUMIFS(Fact_SortedWeights!$E$2:$E$89,Fact_SortedWeights!$C$2:$C$89,$A571,Fact_SortedWeights!$B$2:$B$89,$B571)=0,0,SUMIFS(Fact_SortedWeights!$E$2:$E$89,Fact_SortedWeights!$C$2:$C$89,$A571,Fact_SortedWeights!$B$2:$B$89,$B571,Fact_SortedWeights!$D$2:$D$89,$C571)/SUMIFS(Fact_SortedWeights!$E$2:$E$89,Fact_SortedWeights!$C$2:$C$89,$A571,Fact_SortedWeights!$B$2:$B$89,$B571)*(IF($B571="Cardboard Recycling",SUMIFS(Fact_SortedWeights!$E$2:$E$89,Fact_SortedWeights!$C$2:$C$89,$A571,Fact_SortedWeights!$B$2:$B$89,$B571),SUMIFS(Fact_PreSortWeights!$E$2:$E$186,Fact_PreSortWeights!$C$2:$C$186,$A571,Fact_PreSortWeights!$B$2:$B$186,$B571))))</f>
        <v>0</v>
      </c>
      <c r="G571" s="0" t="n">
        <f aca="false">IF(AND(IF($B571="Trash",INDEX('Materials Master'!$F$2:$F$27,MATCH($C571,'Materials Master'!$A$2:$A$27,0)),IF($B571="GMPC Recycling",INDEX('Materials Master'!$G$2:$G$27,MATCH($C571,'Materials Master'!$A$2:$A$27,0)),IF($B571="Organics Recycling",INDEX('Materials Master'!$H$2:$H$27,MATCH($C571,'Materials Master'!$A$2:$A$27,0)),IF($B571="Cardboard Recycling",INDEX('Materials Master'!$I$2:$I$27,MATCH($C571,'Materials Master'!$A$2:$A$27,0)),IF($B571="Paper Recycling",INDEX('Materials Master'!$J$2:$J$27,MATCH($C571,'Materials Master'!$A$2:$A$27,0)),IF($B571="Terracycle",INDEX('Materials Master'!$K$2:$K$27,MATCH($C571,'Materials Master'!$A$2:$A$27,0)),"No"))))))="Yes",INDEX('Materials Master'!$E$2:$E$27,MATCH($C571,'Materials Master'!$A$2:$A$27,0))="Yes",$B571&lt;&gt;"Trash"),1,0)</f>
        <v>0</v>
      </c>
      <c r="H571" s="0" t="str">
        <f aca="false">INDEX('Materials Master'!$E$2:$E$27,MATCH($C571,'Materials Master'!$A$2:$A$27,0))</f>
        <v>No</v>
      </c>
      <c r="I571" s="0" t="str">
        <f aca="false">IFERROR(INDEX(Areas!$C$2:$C$6,MATCH($A571,Areas!$B$2:$B$6,0)),"")</f>
        <v>Rest of Building</v>
      </c>
      <c r="J571" s="0" t="n">
        <f aca="false">IF(IF($B571="Trash",INDEX('Materials Master'!$F$2:$F$27,MATCH($C571,'Materials Master'!$A$2:$A$27,0)),IF($B571="GMPC Recycling",INDEX('Materials Master'!$G$2:$G$27,MATCH($C571,'Materials Master'!$A$2:$A$27,0)),IF($B571="Organics Recycling",INDEX('Materials Master'!$H$2:$H$27,MATCH($C571,'Materials Master'!$A$2:$A$27,0)),IF($B571="Cardboard Recycling",INDEX('Materials Master'!$I$2:$I$27,MATCH($C571,'Materials Master'!$A$2:$A$27,0)),IF($B571="Paper Recycling",INDEX('Materials Master'!$J$2:$J$27,MATCH($C571,'Materials Master'!$A$2:$A$27,0)),IF($B571="Terracycle",INDEX('Materials Master'!$K$2:$K$27,MATCH($C571,'Materials Master'!$A$2:$A$27,0)),"No"))))))="Yes",1,0)</f>
        <v>0</v>
      </c>
    </row>
    <row r="572" customFormat="false" ht="15" hidden="false" customHeight="false" outlineLevel="0" collapsed="false">
      <c r="A572" s="0" t="s">
        <v>100</v>
      </c>
      <c r="B572" s="0" t="s">
        <v>106</v>
      </c>
      <c r="C572" s="0" t="s">
        <v>84</v>
      </c>
      <c r="D572" s="0" t="str">
        <f aca="false">IFERROR(INDEX('Materials Master'!$B$2:$B$27,MATCH($C572,'Materials Master'!$A$2:$A$27,0)),"")</f>
        <v>Snack Wrappers (Composites)</v>
      </c>
      <c r="E572" s="0" t="str">
        <f aca="false">IFERROR(INDEX('Materials Master'!$C$2:$C$27,MATCH($C572,'Materials Master'!$A$2:$A$27,0)),"")</f>
        <v>Other</v>
      </c>
      <c r="F572" s="0" t="n">
        <f aca="false">IF(SUMIFS(Fact_SortedWeights!$E$2:$E$89,Fact_SortedWeights!$C$2:$C$89,$A572,Fact_SortedWeights!$B$2:$B$89,$B572)=0,0,SUMIFS(Fact_SortedWeights!$E$2:$E$89,Fact_SortedWeights!$C$2:$C$89,$A572,Fact_SortedWeights!$B$2:$B$89,$B572,Fact_SortedWeights!$D$2:$D$89,$C572)/SUMIFS(Fact_SortedWeights!$E$2:$E$89,Fact_SortedWeights!$C$2:$C$89,$A572,Fact_SortedWeights!$B$2:$B$89,$B572)*(IF($B572="Cardboard Recycling",SUMIFS(Fact_SortedWeights!$E$2:$E$89,Fact_SortedWeights!$C$2:$C$89,$A572,Fact_SortedWeights!$B$2:$B$89,$B572),SUMIFS(Fact_PreSortWeights!$E$2:$E$186,Fact_PreSortWeights!$C$2:$C$186,$A572,Fact_PreSortWeights!$B$2:$B$186,$B572))))</f>
        <v>0</v>
      </c>
      <c r="G572" s="0" t="n">
        <f aca="false">IF(AND(IF($B572="Trash",INDEX('Materials Master'!$F$2:$F$27,MATCH($C572,'Materials Master'!$A$2:$A$27,0)),IF($B572="GMPC Recycling",INDEX('Materials Master'!$G$2:$G$27,MATCH($C572,'Materials Master'!$A$2:$A$27,0)),IF($B572="Organics Recycling",INDEX('Materials Master'!$H$2:$H$27,MATCH($C572,'Materials Master'!$A$2:$A$27,0)),IF($B572="Cardboard Recycling",INDEX('Materials Master'!$I$2:$I$27,MATCH($C572,'Materials Master'!$A$2:$A$27,0)),IF($B572="Paper Recycling",INDEX('Materials Master'!$J$2:$J$27,MATCH($C572,'Materials Master'!$A$2:$A$27,0)),IF($B572="Terracycle",INDEX('Materials Master'!$K$2:$K$27,MATCH($C572,'Materials Master'!$A$2:$A$27,0)),"No"))))))="Yes",INDEX('Materials Master'!$E$2:$E$27,MATCH($C572,'Materials Master'!$A$2:$A$27,0))="Yes",$B572&lt;&gt;"Trash"),1,0)</f>
        <v>0</v>
      </c>
      <c r="H572" s="0" t="str">
        <f aca="false">INDEX('Materials Master'!$E$2:$E$27,MATCH($C572,'Materials Master'!$A$2:$A$27,0))</f>
        <v>Yes</v>
      </c>
      <c r="I572" s="0" t="str">
        <f aca="false">IFERROR(INDEX(Areas!$C$2:$C$6,MATCH($A572,Areas!$B$2:$B$6,0)),"")</f>
        <v>Rest of Building</v>
      </c>
      <c r="J572" s="0" t="n">
        <f aca="false">IF(IF($B572="Trash",INDEX('Materials Master'!$F$2:$F$27,MATCH($C572,'Materials Master'!$A$2:$A$27,0)),IF($B572="GMPC Recycling",INDEX('Materials Master'!$G$2:$G$27,MATCH($C572,'Materials Master'!$A$2:$A$27,0)),IF($B572="Organics Recycling",INDEX('Materials Master'!$H$2:$H$27,MATCH($C572,'Materials Master'!$A$2:$A$27,0)),IF($B572="Cardboard Recycling",INDEX('Materials Master'!$I$2:$I$27,MATCH($C572,'Materials Master'!$A$2:$A$27,0)),IF($B572="Paper Recycling",INDEX('Materials Master'!$J$2:$J$27,MATCH($C572,'Materials Master'!$A$2:$A$27,0)),IF($B572="Terracycle",INDEX('Materials Master'!$K$2:$K$27,MATCH($C572,'Materials Master'!$A$2:$A$27,0)),"No"))))))="Yes",1,0)</f>
        <v>0</v>
      </c>
    </row>
    <row r="573" customFormat="false" ht="15" hidden="false" customHeight="false" outlineLevel="0" collapsed="false">
      <c r="A573" s="0" t="s">
        <v>100</v>
      </c>
      <c r="B573" s="0" t="s">
        <v>106</v>
      </c>
      <c r="C573" s="0" t="s">
        <v>87</v>
      </c>
      <c r="D573" s="0" t="str">
        <f aca="false">IFERROR(INDEX('Materials Master'!$B$2:$B$27,MATCH($C573,'Materials Master'!$A$2:$A$27,0)),"")</f>
        <v>Other/Residual Materials</v>
      </c>
      <c r="E573" s="0" t="str">
        <f aca="false">IFERROR(INDEX('Materials Master'!$C$2:$C$27,MATCH($C573,'Materials Master'!$A$2:$A$27,0)),"")</f>
        <v>Other</v>
      </c>
      <c r="F573" s="0" t="n">
        <f aca="false">IF(SUMIFS(Fact_SortedWeights!$E$2:$E$89,Fact_SortedWeights!$C$2:$C$89,$A573,Fact_SortedWeights!$B$2:$B$89,$B573)=0,0,SUMIFS(Fact_SortedWeights!$E$2:$E$89,Fact_SortedWeights!$C$2:$C$89,$A573,Fact_SortedWeights!$B$2:$B$89,$B573,Fact_SortedWeights!$D$2:$D$89,$C573)/SUMIFS(Fact_SortedWeights!$E$2:$E$89,Fact_SortedWeights!$C$2:$C$89,$A573,Fact_SortedWeights!$B$2:$B$89,$B573)*(IF($B573="Cardboard Recycling",SUMIFS(Fact_SortedWeights!$E$2:$E$89,Fact_SortedWeights!$C$2:$C$89,$A573,Fact_SortedWeights!$B$2:$B$89,$B573),SUMIFS(Fact_PreSortWeights!$E$2:$E$186,Fact_PreSortWeights!$C$2:$C$186,$A573,Fact_PreSortWeights!$B$2:$B$186,$B573))))</f>
        <v>0</v>
      </c>
      <c r="G573" s="0" t="n">
        <f aca="false">IF(AND(IF($B573="Trash",INDEX('Materials Master'!$F$2:$F$27,MATCH($C573,'Materials Master'!$A$2:$A$27,0)),IF($B573="GMPC Recycling",INDEX('Materials Master'!$G$2:$G$27,MATCH($C573,'Materials Master'!$A$2:$A$27,0)),IF($B573="Organics Recycling",INDEX('Materials Master'!$H$2:$H$27,MATCH($C573,'Materials Master'!$A$2:$A$27,0)),IF($B573="Cardboard Recycling",INDEX('Materials Master'!$I$2:$I$27,MATCH($C573,'Materials Master'!$A$2:$A$27,0)),IF($B573="Paper Recycling",INDEX('Materials Master'!$J$2:$J$27,MATCH($C573,'Materials Master'!$A$2:$A$27,0)),IF($B573="Terracycle",INDEX('Materials Master'!$K$2:$K$27,MATCH($C573,'Materials Master'!$A$2:$A$27,0)),"No"))))))="Yes",INDEX('Materials Master'!$E$2:$E$27,MATCH($C573,'Materials Master'!$A$2:$A$27,0))="Yes",$B573&lt;&gt;"Trash"),1,0)</f>
        <v>0</v>
      </c>
      <c r="H573" s="0" t="str">
        <f aca="false">INDEX('Materials Master'!$E$2:$E$27,MATCH($C573,'Materials Master'!$A$2:$A$27,0))</f>
        <v>No</v>
      </c>
      <c r="I573" s="0" t="str">
        <f aca="false">IFERROR(INDEX(Areas!$C$2:$C$6,MATCH($A573,Areas!$B$2:$B$6,0)),"")</f>
        <v>Rest of Building</v>
      </c>
      <c r="J573" s="0" t="n">
        <f aca="false">IF(IF($B573="Trash",INDEX('Materials Master'!$F$2:$F$27,MATCH($C573,'Materials Master'!$A$2:$A$27,0)),IF($B573="GMPC Recycling",INDEX('Materials Master'!$G$2:$G$27,MATCH($C573,'Materials Master'!$A$2:$A$27,0)),IF($B573="Organics Recycling",INDEX('Materials Master'!$H$2:$H$27,MATCH($C573,'Materials Master'!$A$2:$A$27,0)),IF($B573="Cardboard Recycling",INDEX('Materials Master'!$I$2:$I$27,MATCH($C573,'Materials Master'!$A$2:$A$27,0)),IF($B573="Paper Recycling",INDEX('Materials Master'!$J$2:$J$27,MATCH($C573,'Materials Master'!$A$2:$A$27,0)),IF($B573="Terracycle",INDEX('Materials Master'!$K$2:$K$27,MATCH($C573,'Materials Master'!$A$2:$A$27,0)),"No"))))))="Yes",1,0)</f>
        <v>0</v>
      </c>
    </row>
    <row r="574" customFormat="false" ht="15" hidden="false" customHeight="false" outlineLevel="0" collapsed="false">
      <c r="A574" s="0" t="s">
        <v>100</v>
      </c>
      <c r="B574" s="0" t="s">
        <v>107</v>
      </c>
      <c r="C574" s="0" t="s">
        <v>28</v>
      </c>
      <c r="D574" s="0" t="str">
        <f aca="false">IFERROR(INDEX('Materials Master'!$B$2:$B$27,MATCH($C574,'Materials Master'!$A$2:$A$27,0)),"")</f>
        <v>Corrugated Cardboard</v>
      </c>
      <c r="E574" s="0" t="str">
        <f aca="false">IFERROR(INDEX('Materials Master'!$C$2:$C$27,MATCH($C574,'Materials Master'!$A$2:$A$27,0)),"")</f>
        <v>Fibers</v>
      </c>
      <c r="F574" s="0" t="n">
        <f aca="false">IF(SUMIFS(Fact_SortedWeights!$E$2:$E$89,Fact_SortedWeights!$C$2:$C$89,$A574,Fact_SortedWeights!$B$2:$B$89,$B574)=0,0,SUMIFS(Fact_SortedWeights!$E$2:$E$89,Fact_SortedWeights!$C$2:$C$89,$A574,Fact_SortedWeights!$B$2:$B$89,$B574,Fact_SortedWeights!$D$2:$D$89,$C574)/SUMIFS(Fact_SortedWeights!$E$2:$E$89,Fact_SortedWeights!$C$2:$C$89,$A574,Fact_SortedWeights!$B$2:$B$89,$B574)*(IF($B574="Cardboard Recycling",SUMIFS(Fact_SortedWeights!$E$2:$E$89,Fact_SortedWeights!$C$2:$C$89,$A574,Fact_SortedWeights!$B$2:$B$89,$B574),SUMIFS(Fact_PreSortWeights!$E$2:$E$186,Fact_PreSortWeights!$C$2:$C$186,$A574,Fact_PreSortWeights!$B$2:$B$186,$B574))))</f>
        <v>0</v>
      </c>
      <c r="G574" s="0" t="n">
        <f aca="false">IF(AND(IF($B574="Trash",INDEX('Materials Master'!$F$2:$F$27,MATCH($C574,'Materials Master'!$A$2:$A$27,0)),IF($B574="GMPC Recycling",INDEX('Materials Master'!$G$2:$G$27,MATCH($C574,'Materials Master'!$A$2:$A$27,0)),IF($B574="Organics Recycling",INDEX('Materials Master'!$H$2:$H$27,MATCH($C574,'Materials Master'!$A$2:$A$27,0)),IF($B574="Cardboard Recycling",INDEX('Materials Master'!$I$2:$I$27,MATCH($C574,'Materials Master'!$A$2:$A$27,0)),IF($B574="Paper Recycling",INDEX('Materials Master'!$J$2:$J$27,MATCH($C574,'Materials Master'!$A$2:$A$27,0)),IF($B574="Terracycle",INDEX('Materials Master'!$K$2:$K$27,MATCH($C574,'Materials Master'!$A$2:$A$27,0)),"No"))))))="Yes",INDEX('Materials Master'!$E$2:$E$27,MATCH($C574,'Materials Master'!$A$2:$A$27,0))="Yes",$B574&lt;&gt;"Trash"),1,0)</f>
        <v>1</v>
      </c>
      <c r="H574" s="0" t="str">
        <f aca="false">INDEX('Materials Master'!$E$2:$E$27,MATCH($C574,'Materials Master'!$A$2:$A$27,0))</f>
        <v>Yes</v>
      </c>
      <c r="I574" s="0" t="str">
        <f aca="false">IFERROR(INDEX(Areas!$C$2:$C$6,MATCH($A574,Areas!$B$2:$B$6,0)),"")</f>
        <v>Rest of Building</v>
      </c>
      <c r="J574" s="0" t="n">
        <f aca="false">IF(IF($B574="Trash",INDEX('Materials Master'!$F$2:$F$27,MATCH($C574,'Materials Master'!$A$2:$A$27,0)),IF($B574="GMPC Recycling",INDEX('Materials Master'!$G$2:$G$27,MATCH($C574,'Materials Master'!$A$2:$A$27,0)),IF($B574="Organics Recycling",INDEX('Materials Master'!$H$2:$H$27,MATCH($C574,'Materials Master'!$A$2:$A$27,0)),IF($B574="Cardboard Recycling",INDEX('Materials Master'!$I$2:$I$27,MATCH($C574,'Materials Master'!$A$2:$A$27,0)),IF($B574="Paper Recycling",INDEX('Materials Master'!$J$2:$J$27,MATCH($C574,'Materials Master'!$A$2:$A$27,0)),IF($B574="Terracycle",INDEX('Materials Master'!$K$2:$K$27,MATCH($C574,'Materials Master'!$A$2:$A$27,0)),"No"))))))="Yes",1,0)</f>
        <v>1</v>
      </c>
    </row>
    <row r="575" customFormat="false" ht="15" hidden="false" customHeight="false" outlineLevel="0" collapsed="false">
      <c r="A575" s="0" t="s">
        <v>100</v>
      </c>
      <c r="B575" s="0" t="s">
        <v>107</v>
      </c>
      <c r="C575" s="0" t="s">
        <v>33</v>
      </c>
      <c r="D575" s="0" t="str">
        <f aca="false">IFERROR(INDEX('Materials Master'!$B$2:$B$27,MATCH($C575,'Materials Master'!$A$2:$A$27,0)),"")</f>
        <v>Soiled Cardboard</v>
      </c>
      <c r="E575" s="0" t="str">
        <f aca="false">IFERROR(INDEX('Materials Master'!$C$2:$C$27,MATCH($C575,'Materials Master'!$A$2:$A$27,0)),"")</f>
        <v>Fibers</v>
      </c>
      <c r="F575" s="0" t="n">
        <f aca="false">IF(SUMIFS(Fact_SortedWeights!$E$2:$E$89,Fact_SortedWeights!$C$2:$C$89,$A575,Fact_SortedWeights!$B$2:$B$89,$B575)=0,0,SUMIFS(Fact_SortedWeights!$E$2:$E$89,Fact_SortedWeights!$C$2:$C$89,$A575,Fact_SortedWeights!$B$2:$B$89,$B575,Fact_SortedWeights!$D$2:$D$89,$C575)/SUMIFS(Fact_SortedWeights!$E$2:$E$89,Fact_SortedWeights!$C$2:$C$89,$A575,Fact_SortedWeights!$B$2:$B$89,$B575)*(IF($B575="Cardboard Recycling",SUMIFS(Fact_SortedWeights!$E$2:$E$89,Fact_SortedWeights!$C$2:$C$89,$A575,Fact_SortedWeights!$B$2:$B$89,$B575),SUMIFS(Fact_PreSortWeights!$E$2:$E$186,Fact_PreSortWeights!$C$2:$C$186,$A575,Fact_PreSortWeights!$B$2:$B$186,$B575))))</f>
        <v>0</v>
      </c>
      <c r="G575" s="0" t="n">
        <f aca="false">IF(AND(IF($B575="Trash",INDEX('Materials Master'!$F$2:$F$27,MATCH($C575,'Materials Master'!$A$2:$A$27,0)),IF($B575="GMPC Recycling",INDEX('Materials Master'!$G$2:$G$27,MATCH($C575,'Materials Master'!$A$2:$A$27,0)),IF($B575="Organics Recycling",INDEX('Materials Master'!$H$2:$H$27,MATCH($C575,'Materials Master'!$A$2:$A$27,0)),IF($B575="Cardboard Recycling",INDEX('Materials Master'!$I$2:$I$27,MATCH($C575,'Materials Master'!$A$2:$A$27,0)),IF($B575="Paper Recycling",INDEX('Materials Master'!$J$2:$J$27,MATCH($C575,'Materials Master'!$A$2:$A$27,0)),IF($B575="Terracycle",INDEX('Materials Master'!$K$2:$K$27,MATCH($C575,'Materials Master'!$A$2:$A$27,0)),"No"))))))="Yes",INDEX('Materials Master'!$E$2:$E$27,MATCH($C575,'Materials Master'!$A$2:$A$27,0))="Yes",$B575&lt;&gt;"Trash"),1,0)</f>
        <v>0</v>
      </c>
      <c r="H575" s="0" t="str">
        <f aca="false">INDEX('Materials Master'!$E$2:$E$27,MATCH($C575,'Materials Master'!$A$2:$A$27,0))</f>
        <v>No</v>
      </c>
      <c r="I575" s="0" t="str">
        <f aca="false">IFERROR(INDEX(Areas!$C$2:$C$6,MATCH($A575,Areas!$B$2:$B$6,0)),"")</f>
        <v>Rest of Building</v>
      </c>
      <c r="J575" s="0" t="n">
        <f aca="false">IF(IF($B575="Trash",INDEX('Materials Master'!$F$2:$F$27,MATCH($C575,'Materials Master'!$A$2:$A$27,0)),IF($B575="GMPC Recycling",INDEX('Materials Master'!$G$2:$G$27,MATCH($C575,'Materials Master'!$A$2:$A$27,0)),IF($B575="Organics Recycling",INDEX('Materials Master'!$H$2:$H$27,MATCH($C575,'Materials Master'!$A$2:$A$27,0)),IF($B575="Cardboard Recycling",INDEX('Materials Master'!$I$2:$I$27,MATCH($C575,'Materials Master'!$A$2:$A$27,0)),IF($B575="Paper Recycling",INDEX('Materials Master'!$J$2:$J$27,MATCH($C575,'Materials Master'!$A$2:$A$27,0)),IF($B575="Terracycle",INDEX('Materials Master'!$K$2:$K$27,MATCH($C575,'Materials Master'!$A$2:$A$27,0)),"No"))))))="Yes",1,0)</f>
        <v>0</v>
      </c>
    </row>
    <row r="576" customFormat="false" ht="15" hidden="false" customHeight="false" outlineLevel="0" collapsed="false">
      <c r="A576" s="0" t="s">
        <v>100</v>
      </c>
      <c r="B576" s="0" t="s">
        <v>107</v>
      </c>
      <c r="C576" s="0" t="s">
        <v>35</v>
      </c>
      <c r="D576" s="0" t="str">
        <f aca="false">IFERROR(INDEX('Materials Master'!$B$2:$B$27,MATCH($C576,'Materials Master'!$A$2:$A$27,0)),"")</f>
        <v>Waxed Cardboard</v>
      </c>
      <c r="E576" s="0" t="str">
        <f aca="false">IFERROR(INDEX('Materials Master'!$C$2:$C$27,MATCH($C576,'Materials Master'!$A$2:$A$27,0)),"")</f>
        <v>Fibers</v>
      </c>
      <c r="F576" s="0" t="n">
        <f aca="false">IF(SUMIFS(Fact_SortedWeights!$E$2:$E$89,Fact_SortedWeights!$C$2:$C$89,$A576,Fact_SortedWeights!$B$2:$B$89,$B576)=0,0,SUMIFS(Fact_SortedWeights!$E$2:$E$89,Fact_SortedWeights!$C$2:$C$89,$A576,Fact_SortedWeights!$B$2:$B$89,$B576,Fact_SortedWeights!$D$2:$D$89,$C576)/SUMIFS(Fact_SortedWeights!$E$2:$E$89,Fact_SortedWeights!$C$2:$C$89,$A576,Fact_SortedWeights!$B$2:$B$89,$B576)*(IF($B576="Cardboard Recycling",SUMIFS(Fact_SortedWeights!$E$2:$E$89,Fact_SortedWeights!$C$2:$C$89,$A576,Fact_SortedWeights!$B$2:$B$89,$B576),SUMIFS(Fact_PreSortWeights!$E$2:$E$186,Fact_PreSortWeights!$C$2:$C$186,$A576,Fact_PreSortWeights!$B$2:$B$186,$B576))))</f>
        <v>0</v>
      </c>
      <c r="G576" s="0" t="n">
        <f aca="false">IF(AND(IF($B576="Trash",INDEX('Materials Master'!$F$2:$F$27,MATCH($C576,'Materials Master'!$A$2:$A$27,0)),IF($B576="GMPC Recycling",INDEX('Materials Master'!$G$2:$G$27,MATCH($C576,'Materials Master'!$A$2:$A$27,0)),IF($B576="Organics Recycling",INDEX('Materials Master'!$H$2:$H$27,MATCH($C576,'Materials Master'!$A$2:$A$27,0)),IF($B576="Cardboard Recycling",INDEX('Materials Master'!$I$2:$I$27,MATCH($C576,'Materials Master'!$A$2:$A$27,0)),IF($B576="Paper Recycling",INDEX('Materials Master'!$J$2:$J$27,MATCH($C576,'Materials Master'!$A$2:$A$27,0)),IF($B576="Terracycle",INDEX('Materials Master'!$K$2:$K$27,MATCH($C576,'Materials Master'!$A$2:$A$27,0)),"No"))))))="Yes",INDEX('Materials Master'!$E$2:$E$27,MATCH($C576,'Materials Master'!$A$2:$A$27,0))="Yes",$B576&lt;&gt;"Trash"),1,0)</f>
        <v>0</v>
      </c>
      <c r="H576" s="0" t="str">
        <f aca="false">INDEX('Materials Master'!$E$2:$E$27,MATCH($C576,'Materials Master'!$A$2:$A$27,0))</f>
        <v>No</v>
      </c>
      <c r="I576" s="0" t="str">
        <f aca="false">IFERROR(INDEX(Areas!$C$2:$C$6,MATCH($A576,Areas!$B$2:$B$6,0)),"")</f>
        <v>Rest of Building</v>
      </c>
      <c r="J576" s="0" t="n">
        <f aca="false">IF(IF($B576="Trash",INDEX('Materials Master'!$F$2:$F$27,MATCH($C576,'Materials Master'!$A$2:$A$27,0)),IF($B576="GMPC Recycling",INDEX('Materials Master'!$G$2:$G$27,MATCH($C576,'Materials Master'!$A$2:$A$27,0)),IF($B576="Organics Recycling",INDEX('Materials Master'!$H$2:$H$27,MATCH($C576,'Materials Master'!$A$2:$A$27,0)),IF($B576="Cardboard Recycling",INDEX('Materials Master'!$I$2:$I$27,MATCH($C576,'Materials Master'!$A$2:$A$27,0)),IF($B576="Paper Recycling",INDEX('Materials Master'!$J$2:$J$27,MATCH($C576,'Materials Master'!$A$2:$A$27,0)),IF($B576="Terracycle",INDEX('Materials Master'!$K$2:$K$27,MATCH($C576,'Materials Master'!$A$2:$A$27,0)),"No"))))))="Yes",1,0)</f>
        <v>0</v>
      </c>
    </row>
    <row r="577" customFormat="false" ht="15" hidden="false" customHeight="false" outlineLevel="0" collapsed="false">
      <c r="A577" s="0" t="s">
        <v>100</v>
      </c>
      <c r="B577" s="0" t="s">
        <v>107</v>
      </c>
      <c r="C577" s="0" t="s">
        <v>37</v>
      </c>
      <c r="D577" s="0" t="str">
        <f aca="false">IFERROR(INDEX('Materials Master'!$B$2:$B$27,MATCH($C577,'Materials Master'!$A$2:$A$27,0)),"")</f>
        <v>Mixed Paper</v>
      </c>
      <c r="E577" s="0" t="str">
        <f aca="false">IFERROR(INDEX('Materials Master'!$C$2:$C$27,MATCH($C577,'Materials Master'!$A$2:$A$27,0)),"")</f>
        <v>Fibers</v>
      </c>
      <c r="F577" s="0" t="n">
        <f aca="false">IF(SUMIFS(Fact_SortedWeights!$E$2:$E$89,Fact_SortedWeights!$C$2:$C$89,$A577,Fact_SortedWeights!$B$2:$B$89,$B577)=0,0,SUMIFS(Fact_SortedWeights!$E$2:$E$89,Fact_SortedWeights!$C$2:$C$89,$A577,Fact_SortedWeights!$B$2:$B$89,$B577,Fact_SortedWeights!$D$2:$D$89,$C577)/SUMIFS(Fact_SortedWeights!$E$2:$E$89,Fact_SortedWeights!$C$2:$C$89,$A577,Fact_SortedWeights!$B$2:$B$89,$B577)*(IF($B577="Cardboard Recycling",SUMIFS(Fact_SortedWeights!$E$2:$E$89,Fact_SortedWeights!$C$2:$C$89,$A577,Fact_SortedWeights!$B$2:$B$89,$B577),SUMIFS(Fact_PreSortWeights!$E$2:$E$186,Fact_PreSortWeights!$C$2:$C$186,$A577,Fact_PreSortWeights!$B$2:$B$186,$B577))))</f>
        <v>0</v>
      </c>
      <c r="G577" s="0" t="n">
        <f aca="false">IF(AND(IF($B577="Trash",INDEX('Materials Master'!$F$2:$F$27,MATCH($C577,'Materials Master'!$A$2:$A$27,0)),IF($B577="GMPC Recycling",INDEX('Materials Master'!$G$2:$G$27,MATCH($C577,'Materials Master'!$A$2:$A$27,0)),IF($B577="Organics Recycling",INDEX('Materials Master'!$H$2:$H$27,MATCH($C577,'Materials Master'!$A$2:$A$27,0)),IF($B577="Cardboard Recycling",INDEX('Materials Master'!$I$2:$I$27,MATCH($C577,'Materials Master'!$A$2:$A$27,0)),IF($B577="Paper Recycling",INDEX('Materials Master'!$J$2:$J$27,MATCH($C577,'Materials Master'!$A$2:$A$27,0)),IF($B577="Terracycle",INDEX('Materials Master'!$K$2:$K$27,MATCH($C577,'Materials Master'!$A$2:$A$27,0)),"No"))))))="Yes",INDEX('Materials Master'!$E$2:$E$27,MATCH($C577,'Materials Master'!$A$2:$A$27,0))="Yes",$B577&lt;&gt;"Trash"),1,0)</f>
        <v>1</v>
      </c>
      <c r="H577" s="0" t="str">
        <f aca="false">INDEX('Materials Master'!$E$2:$E$27,MATCH($C577,'Materials Master'!$A$2:$A$27,0))</f>
        <v>Yes</v>
      </c>
      <c r="I577" s="0" t="str">
        <f aca="false">IFERROR(INDEX(Areas!$C$2:$C$6,MATCH($A577,Areas!$B$2:$B$6,0)),"")</f>
        <v>Rest of Building</v>
      </c>
      <c r="J577" s="0" t="n">
        <f aca="false">IF(IF($B577="Trash",INDEX('Materials Master'!$F$2:$F$27,MATCH($C577,'Materials Master'!$A$2:$A$27,0)),IF($B577="GMPC Recycling",INDEX('Materials Master'!$G$2:$G$27,MATCH($C577,'Materials Master'!$A$2:$A$27,0)),IF($B577="Organics Recycling",INDEX('Materials Master'!$H$2:$H$27,MATCH($C577,'Materials Master'!$A$2:$A$27,0)),IF($B577="Cardboard Recycling",INDEX('Materials Master'!$I$2:$I$27,MATCH($C577,'Materials Master'!$A$2:$A$27,0)),IF($B577="Paper Recycling",INDEX('Materials Master'!$J$2:$J$27,MATCH($C577,'Materials Master'!$A$2:$A$27,0)),IF($B577="Terracycle",INDEX('Materials Master'!$K$2:$K$27,MATCH($C577,'Materials Master'!$A$2:$A$27,0)),"No"))))))="Yes",1,0)</f>
        <v>1</v>
      </c>
    </row>
    <row r="578" customFormat="false" ht="15" hidden="false" customHeight="false" outlineLevel="0" collapsed="false">
      <c r="A578" s="0" t="s">
        <v>100</v>
      </c>
      <c r="B578" s="0" t="s">
        <v>107</v>
      </c>
      <c r="C578" s="0" t="s">
        <v>39</v>
      </c>
      <c r="D578" s="0" t="str">
        <f aca="false">IFERROR(INDEX('Materials Master'!$B$2:$B$27,MATCH($C578,'Materials Master'!$A$2:$A$27,0)),"")</f>
        <v>Soiled Paper</v>
      </c>
      <c r="E578" s="0" t="str">
        <f aca="false">IFERROR(INDEX('Materials Master'!$C$2:$C$27,MATCH($C578,'Materials Master'!$A$2:$A$27,0)),"")</f>
        <v>Fibers</v>
      </c>
      <c r="F578" s="0" t="n">
        <f aca="false">IF(SUMIFS(Fact_SortedWeights!$E$2:$E$89,Fact_SortedWeights!$C$2:$C$89,$A578,Fact_SortedWeights!$B$2:$B$89,$B578)=0,0,SUMIFS(Fact_SortedWeights!$E$2:$E$89,Fact_SortedWeights!$C$2:$C$89,$A578,Fact_SortedWeights!$B$2:$B$89,$B578,Fact_SortedWeights!$D$2:$D$89,$C578)/SUMIFS(Fact_SortedWeights!$E$2:$E$89,Fact_SortedWeights!$C$2:$C$89,$A578,Fact_SortedWeights!$B$2:$B$89,$B578)*(IF($B578="Cardboard Recycling",SUMIFS(Fact_SortedWeights!$E$2:$E$89,Fact_SortedWeights!$C$2:$C$89,$A578,Fact_SortedWeights!$B$2:$B$89,$B578),SUMIFS(Fact_PreSortWeights!$E$2:$E$186,Fact_PreSortWeights!$C$2:$C$186,$A578,Fact_PreSortWeights!$B$2:$B$186,$B578))))</f>
        <v>0</v>
      </c>
      <c r="G578" s="0" t="n">
        <f aca="false">IF(AND(IF($B578="Trash",INDEX('Materials Master'!$F$2:$F$27,MATCH($C578,'Materials Master'!$A$2:$A$27,0)),IF($B578="GMPC Recycling",INDEX('Materials Master'!$G$2:$G$27,MATCH($C578,'Materials Master'!$A$2:$A$27,0)),IF($B578="Organics Recycling",INDEX('Materials Master'!$H$2:$H$27,MATCH($C578,'Materials Master'!$A$2:$A$27,0)),IF($B578="Cardboard Recycling",INDEX('Materials Master'!$I$2:$I$27,MATCH($C578,'Materials Master'!$A$2:$A$27,0)),IF($B578="Paper Recycling",INDEX('Materials Master'!$J$2:$J$27,MATCH($C578,'Materials Master'!$A$2:$A$27,0)),IF($B578="Terracycle",INDEX('Materials Master'!$K$2:$K$27,MATCH($C578,'Materials Master'!$A$2:$A$27,0)),"No"))))))="Yes",INDEX('Materials Master'!$E$2:$E$27,MATCH($C578,'Materials Master'!$A$2:$A$27,0))="Yes",$B578&lt;&gt;"Trash"),1,0)</f>
        <v>0</v>
      </c>
      <c r="H578" s="0" t="str">
        <f aca="false">INDEX('Materials Master'!$E$2:$E$27,MATCH($C578,'Materials Master'!$A$2:$A$27,0))</f>
        <v>No</v>
      </c>
      <c r="I578" s="0" t="str">
        <f aca="false">IFERROR(INDEX(Areas!$C$2:$C$6,MATCH($A578,Areas!$B$2:$B$6,0)),"")</f>
        <v>Rest of Building</v>
      </c>
      <c r="J578" s="0" t="n">
        <f aca="false">IF(IF($B578="Trash",INDEX('Materials Master'!$F$2:$F$27,MATCH($C578,'Materials Master'!$A$2:$A$27,0)),IF($B578="GMPC Recycling",INDEX('Materials Master'!$G$2:$G$27,MATCH($C578,'Materials Master'!$A$2:$A$27,0)),IF($B578="Organics Recycling",INDEX('Materials Master'!$H$2:$H$27,MATCH($C578,'Materials Master'!$A$2:$A$27,0)),IF($B578="Cardboard Recycling",INDEX('Materials Master'!$I$2:$I$27,MATCH($C578,'Materials Master'!$A$2:$A$27,0)),IF($B578="Paper Recycling",INDEX('Materials Master'!$J$2:$J$27,MATCH($C578,'Materials Master'!$A$2:$A$27,0)),IF($B578="Terracycle",INDEX('Materials Master'!$K$2:$K$27,MATCH($C578,'Materials Master'!$A$2:$A$27,0)),"No"))))))="Yes",1,0)</f>
        <v>0</v>
      </c>
    </row>
    <row r="579" customFormat="false" ht="15" hidden="false" customHeight="false" outlineLevel="0" collapsed="false">
      <c r="A579" s="0" t="s">
        <v>100</v>
      </c>
      <c r="B579" s="0" t="s">
        <v>107</v>
      </c>
      <c r="C579" s="0" t="s">
        <v>41</v>
      </c>
      <c r="D579" s="0" t="str">
        <f aca="false">IFERROR(INDEX('Materials Master'!$B$2:$B$27,MATCH($C579,'Materials Master'!$A$2:$A$27,0)),"")</f>
        <v>Beverage Cartons</v>
      </c>
      <c r="E579" s="0" t="str">
        <f aca="false">IFERROR(INDEX('Materials Master'!$C$2:$C$27,MATCH($C579,'Materials Master'!$A$2:$A$27,0)),"")</f>
        <v>Fibers</v>
      </c>
      <c r="F579" s="0" t="n">
        <f aca="false">IF(SUMIFS(Fact_SortedWeights!$E$2:$E$89,Fact_SortedWeights!$C$2:$C$89,$A579,Fact_SortedWeights!$B$2:$B$89,$B579)=0,0,SUMIFS(Fact_SortedWeights!$E$2:$E$89,Fact_SortedWeights!$C$2:$C$89,$A579,Fact_SortedWeights!$B$2:$B$89,$B579,Fact_SortedWeights!$D$2:$D$89,$C579)/SUMIFS(Fact_SortedWeights!$E$2:$E$89,Fact_SortedWeights!$C$2:$C$89,$A579,Fact_SortedWeights!$B$2:$B$89,$B579)*(IF($B579="Cardboard Recycling",SUMIFS(Fact_SortedWeights!$E$2:$E$89,Fact_SortedWeights!$C$2:$C$89,$A579,Fact_SortedWeights!$B$2:$B$89,$B579),SUMIFS(Fact_PreSortWeights!$E$2:$E$186,Fact_PreSortWeights!$C$2:$C$186,$A579,Fact_PreSortWeights!$B$2:$B$186,$B579))))</f>
        <v>0</v>
      </c>
      <c r="G579" s="0" t="n">
        <f aca="false">IF(AND(IF($B579="Trash",INDEX('Materials Master'!$F$2:$F$27,MATCH($C579,'Materials Master'!$A$2:$A$27,0)),IF($B579="GMPC Recycling",INDEX('Materials Master'!$G$2:$G$27,MATCH($C579,'Materials Master'!$A$2:$A$27,0)),IF($B579="Organics Recycling",INDEX('Materials Master'!$H$2:$H$27,MATCH($C579,'Materials Master'!$A$2:$A$27,0)),IF($B579="Cardboard Recycling",INDEX('Materials Master'!$I$2:$I$27,MATCH($C579,'Materials Master'!$A$2:$A$27,0)),IF($B579="Paper Recycling",INDEX('Materials Master'!$J$2:$J$27,MATCH($C579,'Materials Master'!$A$2:$A$27,0)),IF($B579="Terracycle",INDEX('Materials Master'!$K$2:$K$27,MATCH($C579,'Materials Master'!$A$2:$A$27,0)),"No"))))))="Yes",INDEX('Materials Master'!$E$2:$E$27,MATCH($C579,'Materials Master'!$A$2:$A$27,0))="Yes",$B579&lt;&gt;"Trash"),1,0)</f>
        <v>1</v>
      </c>
      <c r="H579" s="0" t="str">
        <f aca="false">INDEX('Materials Master'!$E$2:$E$27,MATCH($C579,'Materials Master'!$A$2:$A$27,0))</f>
        <v>Yes</v>
      </c>
      <c r="I579" s="0" t="str">
        <f aca="false">IFERROR(INDEX(Areas!$C$2:$C$6,MATCH($A579,Areas!$B$2:$B$6,0)),"")</f>
        <v>Rest of Building</v>
      </c>
      <c r="J579" s="0" t="n">
        <f aca="false">IF(IF($B579="Trash",INDEX('Materials Master'!$F$2:$F$27,MATCH($C579,'Materials Master'!$A$2:$A$27,0)),IF($B579="GMPC Recycling",INDEX('Materials Master'!$G$2:$G$27,MATCH($C579,'Materials Master'!$A$2:$A$27,0)),IF($B579="Organics Recycling",INDEX('Materials Master'!$H$2:$H$27,MATCH($C579,'Materials Master'!$A$2:$A$27,0)),IF($B579="Cardboard Recycling",INDEX('Materials Master'!$I$2:$I$27,MATCH($C579,'Materials Master'!$A$2:$A$27,0)),IF($B579="Paper Recycling",INDEX('Materials Master'!$J$2:$J$27,MATCH($C579,'Materials Master'!$A$2:$A$27,0)),IF($B579="Terracycle",INDEX('Materials Master'!$K$2:$K$27,MATCH($C579,'Materials Master'!$A$2:$A$27,0)),"No"))))))="Yes",1,0)</f>
        <v>1</v>
      </c>
    </row>
    <row r="580" customFormat="false" ht="15" hidden="false" customHeight="false" outlineLevel="0" collapsed="false">
      <c r="A580" s="0" t="s">
        <v>100</v>
      </c>
      <c r="B580" s="0" t="s">
        <v>107</v>
      </c>
      <c r="C580" s="0" t="s">
        <v>43</v>
      </c>
      <c r="D580" s="0" t="str">
        <f aca="false">IFERROR(INDEX('Materials Master'!$B$2:$B$27,MATCH($C580,'Materials Master'!$A$2:$A$27,0)),"")</f>
        <v>Soiled Beverage Cartons</v>
      </c>
      <c r="E580" s="0" t="str">
        <f aca="false">IFERROR(INDEX('Materials Master'!$C$2:$C$27,MATCH($C580,'Materials Master'!$A$2:$A$27,0)),"")</f>
        <v>Fibers</v>
      </c>
      <c r="F580" s="0" t="n">
        <f aca="false">IF(SUMIFS(Fact_SortedWeights!$E$2:$E$89,Fact_SortedWeights!$C$2:$C$89,$A580,Fact_SortedWeights!$B$2:$B$89,$B580)=0,0,SUMIFS(Fact_SortedWeights!$E$2:$E$89,Fact_SortedWeights!$C$2:$C$89,$A580,Fact_SortedWeights!$B$2:$B$89,$B580,Fact_SortedWeights!$D$2:$D$89,$C580)/SUMIFS(Fact_SortedWeights!$E$2:$E$89,Fact_SortedWeights!$C$2:$C$89,$A580,Fact_SortedWeights!$B$2:$B$89,$B580)*(IF($B580="Cardboard Recycling",SUMIFS(Fact_SortedWeights!$E$2:$E$89,Fact_SortedWeights!$C$2:$C$89,$A580,Fact_SortedWeights!$B$2:$B$89,$B580),SUMIFS(Fact_PreSortWeights!$E$2:$E$186,Fact_PreSortWeights!$C$2:$C$186,$A580,Fact_PreSortWeights!$B$2:$B$186,$B580))))</f>
        <v>0</v>
      </c>
      <c r="G580" s="0" t="n">
        <f aca="false">IF(AND(IF($B580="Trash",INDEX('Materials Master'!$F$2:$F$27,MATCH($C580,'Materials Master'!$A$2:$A$27,0)),IF($B580="GMPC Recycling",INDEX('Materials Master'!$G$2:$G$27,MATCH($C580,'Materials Master'!$A$2:$A$27,0)),IF($B580="Organics Recycling",INDEX('Materials Master'!$H$2:$H$27,MATCH($C580,'Materials Master'!$A$2:$A$27,0)),IF($B580="Cardboard Recycling",INDEX('Materials Master'!$I$2:$I$27,MATCH($C580,'Materials Master'!$A$2:$A$27,0)),IF($B580="Paper Recycling",INDEX('Materials Master'!$J$2:$J$27,MATCH($C580,'Materials Master'!$A$2:$A$27,0)),IF($B580="Terracycle",INDEX('Materials Master'!$K$2:$K$27,MATCH($C580,'Materials Master'!$A$2:$A$27,0)),"No"))))))="Yes",INDEX('Materials Master'!$E$2:$E$27,MATCH($C580,'Materials Master'!$A$2:$A$27,0))="Yes",$B580&lt;&gt;"Trash"),1,0)</f>
        <v>0</v>
      </c>
      <c r="H580" s="0" t="str">
        <f aca="false">INDEX('Materials Master'!$E$2:$E$27,MATCH($C580,'Materials Master'!$A$2:$A$27,0))</f>
        <v>No</v>
      </c>
      <c r="I580" s="0" t="str">
        <f aca="false">IFERROR(INDEX(Areas!$C$2:$C$6,MATCH($A580,Areas!$B$2:$B$6,0)),"")</f>
        <v>Rest of Building</v>
      </c>
      <c r="J580" s="0" t="n">
        <f aca="false">IF(IF($B580="Trash",INDEX('Materials Master'!$F$2:$F$27,MATCH($C580,'Materials Master'!$A$2:$A$27,0)),IF($B580="GMPC Recycling",INDEX('Materials Master'!$G$2:$G$27,MATCH($C580,'Materials Master'!$A$2:$A$27,0)),IF($B580="Organics Recycling",INDEX('Materials Master'!$H$2:$H$27,MATCH($C580,'Materials Master'!$A$2:$A$27,0)),IF($B580="Cardboard Recycling",INDEX('Materials Master'!$I$2:$I$27,MATCH($C580,'Materials Master'!$A$2:$A$27,0)),IF($B580="Paper Recycling",INDEX('Materials Master'!$J$2:$J$27,MATCH($C580,'Materials Master'!$A$2:$A$27,0)),IF($B580="Terracycle",INDEX('Materials Master'!$K$2:$K$27,MATCH($C580,'Materials Master'!$A$2:$A$27,0)),"No"))))))="Yes",1,0)</f>
        <v>0</v>
      </c>
    </row>
    <row r="581" customFormat="false" ht="15" hidden="false" customHeight="false" outlineLevel="0" collapsed="false">
      <c r="A581" s="0" t="s">
        <v>100</v>
      </c>
      <c r="B581" s="0" t="s">
        <v>107</v>
      </c>
      <c r="C581" s="0" t="s">
        <v>45</v>
      </c>
      <c r="D581" s="0" t="str">
        <f aca="false">IFERROR(INDEX('Materials Master'!$B$2:$B$27,MATCH($C581,'Materials Master'!$A$2:$A$27,0)),"")</f>
        <v>Paper Cups / Other Coated Paper Containers</v>
      </c>
      <c r="E581" s="0" t="str">
        <f aca="false">IFERROR(INDEX('Materials Master'!$C$2:$C$27,MATCH($C581,'Materials Master'!$A$2:$A$27,0)),"")</f>
        <v>Fibers</v>
      </c>
      <c r="F581" s="0" t="n">
        <f aca="false">IF(SUMIFS(Fact_SortedWeights!$E$2:$E$89,Fact_SortedWeights!$C$2:$C$89,$A581,Fact_SortedWeights!$B$2:$B$89,$B581)=0,0,SUMIFS(Fact_SortedWeights!$E$2:$E$89,Fact_SortedWeights!$C$2:$C$89,$A581,Fact_SortedWeights!$B$2:$B$89,$B581,Fact_SortedWeights!$D$2:$D$89,$C581)/SUMIFS(Fact_SortedWeights!$E$2:$E$89,Fact_SortedWeights!$C$2:$C$89,$A581,Fact_SortedWeights!$B$2:$B$89,$B581)*(IF($B581="Cardboard Recycling",SUMIFS(Fact_SortedWeights!$E$2:$E$89,Fact_SortedWeights!$C$2:$C$89,$A581,Fact_SortedWeights!$B$2:$B$89,$B581),SUMIFS(Fact_PreSortWeights!$E$2:$E$186,Fact_PreSortWeights!$C$2:$C$186,$A581,Fact_PreSortWeights!$B$2:$B$186,$B581))))</f>
        <v>0</v>
      </c>
      <c r="G581" s="0" t="n">
        <f aca="false">IF(AND(IF($B581="Trash",INDEX('Materials Master'!$F$2:$F$27,MATCH($C581,'Materials Master'!$A$2:$A$27,0)),IF($B581="GMPC Recycling",INDEX('Materials Master'!$G$2:$G$27,MATCH($C581,'Materials Master'!$A$2:$A$27,0)),IF($B581="Organics Recycling",INDEX('Materials Master'!$H$2:$H$27,MATCH($C581,'Materials Master'!$A$2:$A$27,0)),IF($B581="Cardboard Recycling",INDEX('Materials Master'!$I$2:$I$27,MATCH($C581,'Materials Master'!$A$2:$A$27,0)),IF($B581="Paper Recycling",INDEX('Materials Master'!$J$2:$J$27,MATCH($C581,'Materials Master'!$A$2:$A$27,0)),IF($B581="Terracycle",INDEX('Materials Master'!$K$2:$K$27,MATCH($C581,'Materials Master'!$A$2:$A$27,0)),"No"))))))="Yes",INDEX('Materials Master'!$E$2:$E$27,MATCH($C581,'Materials Master'!$A$2:$A$27,0))="Yes",$B581&lt;&gt;"Trash"),1,0)</f>
        <v>0</v>
      </c>
      <c r="H581" s="0" t="str">
        <f aca="false">INDEX('Materials Master'!$E$2:$E$27,MATCH($C581,'Materials Master'!$A$2:$A$27,0))</f>
        <v>No</v>
      </c>
      <c r="I581" s="0" t="str">
        <f aca="false">IFERROR(INDEX(Areas!$C$2:$C$6,MATCH($A581,Areas!$B$2:$B$6,0)),"")</f>
        <v>Rest of Building</v>
      </c>
      <c r="J581" s="0" t="n">
        <f aca="false">IF(IF($B581="Trash",INDEX('Materials Master'!$F$2:$F$27,MATCH($C581,'Materials Master'!$A$2:$A$27,0)),IF($B581="GMPC Recycling",INDEX('Materials Master'!$G$2:$G$27,MATCH($C581,'Materials Master'!$A$2:$A$27,0)),IF($B581="Organics Recycling",INDEX('Materials Master'!$H$2:$H$27,MATCH($C581,'Materials Master'!$A$2:$A$27,0)),IF($B581="Cardboard Recycling",INDEX('Materials Master'!$I$2:$I$27,MATCH($C581,'Materials Master'!$A$2:$A$27,0)),IF($B581="Paper Recycling",INDEX('Materials Master'!$J$2:$J$27,MATCH($C581,'Materials Master'!$A$2:$A$27,0)),IF($B581="Terracycle",INDEX('Materials Master'!$K$2:$K$27,MATCH($C581,'Materials Master'!$A$2:$A$27,0)),"No"))))))="Yes",1,0)</f>
        <v>0</v>
      </c>
    </row>
    <row r="582" customFormat="false" ht="15" hidden="false" customHeight="false" outlineLevel="0" collapsed="false">
      <c r="A582" s="0" t="s">
        <v>100</v>
      </c>
      <c r="B582" s="0" t="s">
        <v>107</v>
      </c>
      <c r="C582" s="0" t="s">
        <v>47</v>
      </c>
      <c r="D582" s="0" t="str">
        <f aca="false">IFERROR(INDEX('Materials Master'!$B$2:$B$27,MATCH($C582,'Materials Master'!$A$2:$A$27,0)),"")</f>
        <v>Glass Bottles &amp; Jars</v>
      </c>
      <c r="E582" s="0" t="str">
        <f aca="false">IFERROR(INDEX('Materials Master'!$C$2:$C$27,MATCH($C582,'Materials Master'!$A$2:$A$27,0)),"")</f>
        <v>Glass</v>
      </c>
      <c r="F582" s="0" t="n">
        <f aca="false">IF(SUMIFS(Fact_SortedWeights!$E$2:$E$89,Fact_SortedWeights!$C$2:$C$89,$A582,Fact_SortedWeights!$B$2:$B$89,$B582)=0,0,SUMIFS(Fact_SortedWeights!$E$2:$E$89,Fact_SortedWeights!$C$2:$C$89,$A582,Fact_SortedWeights!$B$2:$B$89,$B582,Fact_SortedWeights!$D$2:$D$89,$C582)/SUMIFS(Fact_SortedWeights!$E$2:$E$89,Fact_SortedWeights!$C$2:$C$89,$A582,Fact_SortedWeights!$B$2:$B$89,$B582)*(IF($B582="Cardboard Recycling",SUMIFS(Fact_SortedWeights!$E$2:$E$89,Fact_SortedWeights!$C$2:$C$89,$A582,Fact_SortedWeights!$B$2:$B$89,$B582),SUMIFS(Fact_PreSortWeights!$E$2:$E$186,Fact_PreSortWeights!$C$2:$C$186,$A582,Fact_PreSortWeights!$B$2:$B$186,$B582))))</f>
        <v>0</v>
      </c>
      <c r="G582" s="0" t="n">
        <f aca="false">IF(AND(IF($B582="Trash",INDEX('Materials Master'!$F$2:$F$27,MATCH($C582,'Materials Master'!$A$2:$A$27,0)),IF($B582="GMPC Recycling",INDEX('Materials Master'!$G$2:$G$27,MATCH($C582,'Materials Master'!$A$2:$A$27,0)),IF($B582="Organics Recycling",INDEX('Materials Master'!$H$2:$H$27,MATCH($C582,'Materials Master'!$A$2:$A$27,0)),IF($B582="Cardboard Recycling",INDEX('Materials Master'!$I$2:$I$27,MATCH($C582,'Materials Master'!$A$2:$A$27,0)),IF($B582="Paper Recycling",INDEX('Materials Master'!$J$2:$J$27,MATCH($C582,'Materials Master'!$A$2:$A$27,0)),IF($B582="Terracycle",INDEX('Materials Master'!$K$2:$K$27,MATCH($C582,'Materials Master'!$A$2:$A$27,0)),"No"))))))="Yes",INDEX('Materials Master'!$E$2:$E$27,MATCH($C582,'Materials Master'!$A$2:$A$27,0))="Yes",$B582&lt;&gt;"Trash"),1,0)</f>
        <v>1</v>
      </c>
      <c r="H582" s="0" t="str">
        <f aca="false">INDEX('Materials Master'!$E$2:$E$27,MATCH($C582,'Materials Master'!$A$2:$A$27,0))</f>
        <v>Yes</v>
      </c>
      <c r="I582" s="0" t="str">
        <f aca="false">IFERROR(INDEX(Areas!$C$2:$C$6,MATCH($A582,Areas!$B$2:$B$6,0)),"")</f>
        <v>Rest of Building</v>
      </c>
      <c r="J582" s="0" t="n">
        <f aca="false">IF(IF($B582="Trash",INDEX('Materials Master'!$F$2:$F$27,MATCH($C582,'Materials Master'!$A$2:$A$27,0)),IF($B582="GMPC Recycling",INDEX('Materials Master'!$G$2:$G$27,MATCH($C582,'Materials Master'!$A$2:$A$27,0)),IF($B582="Organics Recycling",INDEX('Materials Master'!$H$2:$H$27,MATCH($C582,'Materials Master'!$A$2:$A$27,0)),IF($B582="Cardboard Recycling",INDEX('Materials Master'!$I$2:$I$27,MATCH($C582,'Materials Master'!$A$2:$A$27,0)),IF($B582="Paper Recycling",INDEX('Materials Master'!$J$2:$J$27,MATCH($C582,'Materials Master'!$A$2:$A$27,0)),IF($B582="Terracycle",INDEX('Materials Master'!$K$2:$K$27,MATCH($C582,'Materials Master'!$A$2:$A$27,0)),"No"))))))="Yes",1,0)</f>
        <v>1</v>
      </c>
    </row>
    <row r="583" customFormat="false" ht="15" hidden="false" customHeight="false" outlineLevel="0" collapsed="false">
      <c r="A583" s="0" t="s">
        <v>100</v>
      </c>
      <c r="B583" s="0" t="s">
        <v>107</v>
      </c>
      <c r="C583" s="0" t="s">
        <v>50</v>
      </c>
      <c r="D583" s="0" t="str">
        <f aca="false">IFERROR(INDEX('Materials Master'!$B$2:$B$27,MATCH($C583,'Materials Master'!$A$2:$A$27,0)),"")</f>
        <v>Soiled Glass</v>
      </c>
      <c r="E583" s="0" t="str">
        <f aca="false">IFERROR(INDEX('Materials Master'!$C$2:$C$27,MATCH($C583,'Materials Master'!$A$2:$A$27,0)),"")</f>
        <v>Glass</v>
      </c>
      <c r="F583" s="0" t="n">
        <f aca="false">IF(SUMIFS(Fact_SortedWeights!$E$2:$E$89,Fact_SortedWeights!$C$2:$C$89,$A583,Fact_SortedWeights!$B$2:$B$89,$B583)=0,0,SUMIFS(Fact_SortedWeights!$E$2:$E$89,Fact_SortedWeights!$C$2:$C$89,$A583,Fact_SortedWeights!$B$2:$B$89,$B583,Fact_SortedWeights!$D$2:$D$89,$C583)/SUMIFS(Fact_SortedWeights!$E$2:$E$89,Fact_SortedWeights!$C$2:$C$89,$A583,Fact_SortedWeights!$B$2:$B$89,$B583)*(IF($B583="Cardboard Recycling",SUMIFS(Fact_SortedWeights!$E$2:$E$89,Fact_SortedWeights!$C$2:$C$89,$A583,Fact_SortedWeights!$B$2:$B$89,$B583),SUMIFS(Fact_PreSortWeights!$E$2:$E$186,Fact_PreSortWeights!$C$2:$C$186,$A583,Fact_PreSortWeights!$B$2:$B$186,$B583))))</f>
        <v>0</v>
      </c>
      <c r="G583" s="0" t="n">
        <f aca="false">IF(AND(IF($B583="Trash",INDEX('Materials Master'!$F$2:$F$27,MATCH($C583,'Materials Master'!$A$2:$A$27,0)),IF($B583="GMPC Recycling",INDEX('Materials Master'!$G$2:$G$27,MATCH($C583,'Materials Master'!$A$2:$A$27,0)),IF($B583="Organics Recycling",INDEX('Materials Master'!$H$2:$H$27,MATCH($C583,'Materials Master'!$A$2:$A$27,0)),IF($B583="Cardboard Recycling",INDEX('Materials Master'!$I$2:$I$27,MATCH($C583,'Materials Master'!$A$2:$A$27,0)),IF($B583="Paper Recycling",INDEX('Materials Master'!$J$2:$J$27,MATCH($C583,'Materials Master'!$A$2:$A$27,0)),IF($B583="Terracycle",INDEX('Materials Master'!$K$2:$K$27,MATCH($C583,'Materials Master'!$A$2:$A$27,0)),"No"))))))="Yes",INDEX('Materials Master'!$E$2:$E$27,MATCH($C583,'Materials Master'!$A$2:$A$27,0))="Yes",$B583&lt;&gt;"Trash"),1,0)</f>
        <v>0</v>
      </c>
      <c r="H583" s="0" t="str">
        <f aca="false">INDEX('Materials Master'!$E$2:$E$27,MATCH($C583,'Materials Master'!$A$2:$A$27,0))</f>
        <v>No</v>
      </c>
      <c r="I583" s="0" t="str">
        <f aca="false">IFERROR(INDEX(Areas!$C$2:$C$6,MATCH($A583,Areas!$B$2:$B$6,0)),"")</f>
        <v>Rest of Building</v>
      </c>
      <c r="J583" s="0" t="n">
        <f aca="false">IF(IF($B583="Trash",INDEX('Materials Master'!$F$2:$F$27,MATCH($C583,'Materials Master'!$A$2:$A$27,0)),IF($B583="GMPC Recycling",INDEX('Materials Master'!$G$2:$G$27,MATCH($C583,'Materials Master'!$A$2:$A$27,0)),IF($B583="Organics Recycling",INDEX('Materials Master'!$H$2:$H$27,MATCH($C583,'Materials Master'!$A$2:$A$27,0)),IF($B583="Cardboard Recycling",INDEX('Materials Master'!$I$2:$I$27,MATCH($C583,'Materials Master'!$A$2:$A$27,0)),IF($B583="Paper Recycling",INDEX('Materials Master'!$J$2:$J$27,MATCH($C583,'Materials Master'!$A$2:$A$27,0)),IF($B583="Terracycle",INDEX('Materials Master'!$K$2:$K$27,MATCH($C583,'Materials Master'!$A$2:$A$27,0)),"No"))))))="Yes",1,0)</f>
        <v>0</v>
      </c>
    </row>
    <row r="584" customFormat="false" ht="15" hidden="false" customHeight="false" outlineLevel="0" collapsed="false">
      <c r="A584" s="0" t="s">
        <v>100</v>
      </c>
      <c r="B584" s="0" t="s">
        <v>107</v>
      </c>
      <c r="C584" s="0" t="s">
        <v>52</v>
      </c>
      <c r="D584" s="0" t="str">
        <f aca="false">IFERROR(INDEX('Materials Master'!$B$2:$B$27,MATCH($C584,'Materials Master'!$A$2:$A$27,0)),"")</f>
        <v>Aluminum &amp; Bi-Metal Containers</v>
      </c>
      <c r="E584" s="0" t="str">
        <f aca="false">IFERROR(INDEX('Materials Master'!$C$2:$C$27,MATCH($C584,'Materials Master'!$A$2:$A$27,0)),"")</f>
        <v>Metals</v>
      </c>
      <c r="F584" s="0" t="n">
        <f aca="false">IF(SUMIFS(Fact_SortedWeights!$E$2:$E$89,Fact_SortedWeights!$C$2:$C$89,$A584,Fact_SortedWeights!$B$2:$B$89,$B584)=0,0,SUMIFS(Fact_SortedWeights!$E$2:$E$89,Fact_SortedWeights!$C$2:$C$89,$A584,Fact_SortedWeights!$B$2:$B$89,$B584,Fact_SortedWeights!$D$2:$D$89,$C584)/SUMIFS(Fact_SortedWeights!$E$2:$E$89,Fact_SortedWeights!$C$2:$C$89,$A584,Fact_SortedWeights!$B$2:$B$89,$B584)*(IF($B584="Cardboard Recycling",SUMIFS(Fact_SortedWeights!$E$2:$E$89,Fact_SortedWeights!$C$2:$C$89,$A584,Fact_SortedWeights!$B$2:$B$89,$B584),SUMIFS(Fact_PreSortWeights!$E$2:$E$186,Fact_PreSortWeights!$C$2:$C$186,$A584,Fact_PreSortWeights!$B$2:$B$186,$B584))))</f>
        <v>0</v>
      </c>
      <c r="G584" s="0" t="n">
        <f aca="false">IF(AND(IF($B584="Trash",INDEX('Materials Master'!$F$2:$F$27,MATCH($C584,'Materials Master'!$A$2:$A$27,0)),IF($B584="GMPC Recycling",INDEX('Materials Master'!$G$2:$G$27,MATCH($C584,'Materials Master'!$A$2:$A$27,0)),IF($B584="Organics Recycling",INDEX('Materials Master'!$H$2:$H$27,MATCH($C584,'Materials Master'!$A$2:$A$27,0)),IF($B584="Cardboard Recycling",INDEX('Materials Master'!$I$2:$I$27,MATCH($C584,'Materials Master'!$A$2:$A$27,0)),IF($B584="Paper Recycling",INDEX('Materials Master'!$J$2:$J$27,MATCH($C584,'Materials Master'!$A$2:$A$27,0)),IF($B584="Terracycle",INDEX('Materials Master'!$K$2:$K$27,MATCH($C584,'Materials Master'!$A$2:$A$27,0)),"No"))))))="Yes",INDEX('Materials Master'!$E$2:$E$27,MATCH($C584,'Materials Master'!$A$2:$A$27,0))="Yes",$B584&lt;&gt;"Trash"),1,0)</f>
        <v>1</v>
      </c>
      <c r="H584" s="0" t="str">
        <f aca="false">INDEX('Materials Master'!$E$2:$E$27,MATCH($C584,'Materials Master'!$A$2:$A$27,0))</f>
        <v>Yes</v>
      </c>
      <c r="I584" s="0" t="str">
        <f aca="false">IFERROR(INDEX(Areas!$C$2:$C$6,MATCH($A584,Areas!$B$2:$B$6,0)),"")</f>
        <v>Rest of Building</v>
      </c>
      <c r="J584" s="0" t="n">
        <f aca="false">IF(IF($B584="Trash",INDEX('Materials Master'!$F$2:$F$27,MATCH($C584,'Materials Master'!$A$2:$A$27,0)),IF($B584="GMPC Recycling",INDEX('Materials Master'!$G$2:$G$27,MATCH($C584,'Materials Master'!$A$2:$A$27,0)),IF($B584="Organics Recycling",INDEX('Materials Master'!$H$2:$H$27,MATCH($C584,'Materials Master'!$A$2:$A$27,0)),IF($B584="Cardboard Recycling",INDEX('Materials Master'!$I$2:$I$27,MATCH($C584,'Materials Master'!$A$2:$A$27,0)),IF($B584="Paper Recycling",INDEX('Materials Master'!$J$2:$J$27,MATCH($C584,'Materials Master'!$A$2:$A$27,0)),IF($B584="Terracycle",INDEX('Materials Master'!$K$2:$K$27,MATCH($C584,'Materials Master'!$A$2:$A$27,0)),"No"))))))="Yes",1,0)</f>
        <v>1</v>
      </c>
    </row>
    <row r="585" customFormat="false" ht="15" hidden="false" customHeight="false" outlineLevel="0" collapsed="false">
      <c r="A585" s="0" t="s">
        <v>100</v>
      </c>
      <c r="B585" s="0" t="s">
        <v>107</v>
      </c>
      <c r="C585" s="0" t="s">
        <v>55</v>
      </c>
      <c r="D585" s="0" t="str">
        <f aca="false">IFERROR(INDEX('Materials Master'!$B$2:$B$27,MATCH($C585,'Materials Master'!$A$2:$A$27,0)),"")</f>
        <v>Soiled Metals</v>
      </c>
      <c r="E585" s="0" t="str">
        <f aca="false">IFERROR(INDEX('Materials Master'!$C$2:$C$27,MATCH($C585,'Materials Master'!$A$2:$A$27,0)),"")</f>
        <v>Metals</v>
      </c>
      <c r="F585" s="0" t="n">
        <f aca="false">IF(SUMIFS(Fact_SortedWeights!$E$2:$E$89,Fact_SortedWeights!$C$2:$C$89,$A585,Fact_SortedWeights!$B$2:$B$89,$B585)=0,0,SUMIFS(Fact_SortedWeights!$E$2:$E$89,Fact_SortedWeights!$C$2:$C$89,$A585,Fact_SortedWeights!$B$2:$B$89,$B585,Fact_SortedWeights!$D$2:$D$89,$C585)/SUMIFS(Fact_SortedWeights!$E$2:$E$89,Fact_SortedWeights!$C$2:$C$89,$A585,Fact_SortedWeights!$B$2:$B$89,$B585)*(IF($B585="Cardboard Recycling",SUMIFS(Fact_SortedWeights!$E$2:$E$89,Fact_SortedWeights!$C$2:$C$89,$A585,Fact_SortedWeights!$B$2:$B$89,$B585),SUMIFS(Fact_PreSortWeights!$E$2:$E$186,Fact_PreSortWeights!$C$2:$C$186,$A585,Fact_PreSortWeights!$B$2:$B$186,$B585))))</f>
        <v>0</v>
      </c>
      <c r="G585" s="0" t="n">
        <f aca="false">IF(AND(IF($B585="Trash",INDEX('Materials Master'!$F$2:$F$27,MATCH($C585,'Materials Master'!$A$2:$A$27,0)),IF($B585="GMPC Recycling",INDEX('Materials Master'!$G$2:$G$27,MATCH($C585,'Materials Master'!$A$2:$A$27,0)),IF($B585="Organics Recycling",INDEX('Materials Master'!$H$2:$H$27,MATCH($C585,'Materials Master'!$A$2:$A$27,0)),IF($B585="Cardboard Recycling",INDEX('Materials Master'!$I$2:$I$27,MATCH($C585,'Materials Master'!$A$2:$A$27,0)),IF($B585="Paper Recycling",INDEX('Materials Master'!$J$2:$J$27,MATCH($C585,'Materials Master'!$A$2:$A$27,0)),IF($B585="Terracycle",INDEX('Materials Master'!$K$2:$K$27,MATCH($C585,'Materials Master'!$A$2:$A$27,0)),"No"))))))="Yes",INDEX('Materials Master'!$E$2:$E$27,MATCH($C585,'Materials Master'!$A$2:$A$27,0))="Yes",$B585&lt;&gt;"Trash"),1,0)</f>
        <v>0</v>
      </c>
      <c r="H585" s="0" t="str">
        <f aca="false">INDEX('Materials Master'!$E$2:$E$27,MATCH($C585,'Materials Master'!$A$2:$A$27,0))</f>
        <v>No</v>
      </c>
      <c r="I585" s="0" t="str">
        <f aca="false">IFERROR(INDEX(Areas!$C$2:$C$6,MATCH($A585,Areas!$B$2:$B$6,0)),"")</f>
        <v>Rest of Building</v>
      </c>
      <c r="J585" s="0" t="n">
        <f aca="false">IF(IF($B585="Trash",INDEX('Materials Master'!$F$2:$F$27,MATCH($C585,'Materials Master'!$A$2:$A$27,0)),IF($B585="GMPC Recycling",INDEX('Materials Master'!$G$2:$G$27,MATCH($C585,'Materials Master'!$A$2:$A$27,0)),IF($B585="Organics Recycling",INDEX('Materials Master'!$H$2:$H$27,MATCH($C585,'Materials Master'!$A$2:$A$27,0)),IF($B585="Cardboard Recycling",INDEX('Materials Master'!$I$2:$I$27,MATCH($C585,'Materials Master'!$A$2:$A$27,0)),IF($B585="Paper Recycling",INDEX('Materials Master'!$J$2:$J$27,MATCH($C585,'Materials Master'!$A$2:$A$27,0)),IF($B585="Terracycle",INDEX('Materials Master'!$K$2:$K$27,MATCH($C585,'Materials Master'!$A$2:$A$27,0)),"No"))))))="Yes",1,0)</f>
        <v>0</v>
      </c>
    </row>
    <row r="586" customFormat="false" ht="15" hidden="false" customHeight="false" outlineLevel="0" collapsed="false">
      <c r="A586" s="0" t="s">
        <v>100</v>
      </c>
      <c r="B586" s="0" t="s">
        <v>107</v>
      </c>
      <c r="C586" s="0" t="s">
        <v>57</v>
      </c>
      <c r="D586" s="0" t="str">
        <f aca="false">IFERROR(INDEX('Materials Master'!$B$2:$B$27,MATCH($C586,'Materials Master'!$A$2:$A$27,0)),"")</f>
        <v>Rigid Plastics (1-6)</v>
      </c>
      <c r="E586" s="0" t="str">
        <f aca="false">IFERROR(INDEX('Materials Master'!$C$2:$C$27,MATCH($C586,'Materials Master'!$A$2:$A$27,0)),"")</f>
        <v>Plastics</v>
      </c>
      <c r="F586" s="0" t="n">
        <f aca="false">IF(SUMIFS(Fact_SortedWeights!$E$2:$E$89,Fact_SortedWeights!$C$2:$C$89,$A586,Fact_SortedWeights!$B$2:$B$89,$B586)=0,0,SUMIFS(Fact_SortedWeights!$E$2:$E$89,Fact_SortedWeights!$C$2:$C$89,$A586,Fact_SortedWeights!$B$2:$B$89,$B586,Fact_SortedWeights!$D$2:$D$89,$C586)/SUMIFS(Fact_SortedWeights!$E$2:$E$89,Fact_SortedWeights!$C$2:$C$89,$A586,Fact_SortedWeights!$B$2:$B$89,$B586)*(IF($B586="Cardboard Recycling",SUMIFS(Fact_SortedWeights!$E$2:$E$89,Fact_SortedWeights!$C$2:$C$89,$A586,Fact_SortedWeights!$B$2:$B$89,$B586),SUMIFS(Fact_PreSortWeights!$E$2:$E$186,Fact_PreSortWeights!$C$2:$C$186,$A586,Fact_PreSortWeights!$B$2:$B$186,$B586))))</f>
        <v>0</v>
      </c>
      <c r="G586" s="0" t="n">
        <f aca="false">IF(AND(IF($B586="Trash",INDEX('Materials Master'!$F$2:$F$27,MATCH($C586,'Materials Master'!$A$2:$A$27,0)),IF($B586="GMPC Recycling",INDEX('Materials Master'!$G$2:$G$27,MATCH($C586,'Materials Master'!$A$2:$A$27,0)),IF($B586="Organics Recycling",INDEX('Materials Master'!$H$2:$H$27,MATCH($C586,'Materials Master'!$A$2:$A$27,0)),IF($B586="Cardboard Recycling",INDEX('Materials Master'!$I$2:$I$27,MATCH($C586,'Materials Master'!$A$2:$A$27,0)),IF($B586="Paper Recycling",INDEX('Materials Master'!$J$2:$J$27,MATCH($C586,'Materials Master'!$A$2:$A$27,0)),IF($B586="Terracycle",INDEX('Materials Master'!$K$2:$K$27,MATCH($C586,'Materials Master'!$A$2:$A$27,0)),"No"))))))="Yes",INDEX('Materials Master'!$E$2:$E$27,MATCH($C586,'Materials Master'!$A$2:$A$27,0))="Yes",$B586&lt;&gt;"Trash"),1,0)</f>
        <v>1</v>
      </c>
      <c r="H586" s="0" t="str">
        <f aca="false">INDEX('Materials Master'!$E$2:$E$27,MATCH($C586,'Materials Master'!$A$2:$A$27,0))</f>
        <v>Yes</v>
      </c>
      <c r="I586" s="0" t="str">
        <f aca="false">IFERROR(INDEX(Areas!$C$2:$C$6,MATCH($A586,Areas!$B$2:$B$6,0)),"")</f>
        <v>Rest of Building</v>
      </c>
      <c r="J586" s="0" t="n">
        <f aca="false">IF(IF($B586="Trash",INDEX('Materials Master'!$F$2:$F$27,MATCH($C586,'Materials Master'!$A$2:$A$27,0)),IF($B586="GMPC Recycling",INDEX('Materials Master'!$G$2:$G$27,MATCH($C586,'Materials Master'!$A$2:$A$27,0)),IF($B586="Organics Recycling",INDEX('Materials Master'!$H$2:$H$27,MATCH($C586,'Materials Master'!$A$2:$A$27,0)),IF($B586="Cardboard Recycling",INDEX('Materials Master'!$I$2:$I$27,MATCH($C586,'Materials Master'!$A$2:$A$27,0)),IF($B586="Paper Recycling",INDEX('Materials Master'!$J$2:$J$27,MATCH($C586,'Materials Master'!$A$2:$A$27,0)),IF($B586="Terracycle",INDEX('Materials Master'!$K$2:$K$27,MATCH($C586,'Materials Master'!$A$2:$A$27,0)),"No"))))))="Yes",1,0)</f>
        <v>1</v>
      </c>
    </row>
    <row r="587" customFormat="false" ht="15" hidden="false" customHeight="false" outlineLevel="0" collapsed="false">
      <c r="A587" s="0" t="s">
        <v>100</v>
      </c>
      <c r="B587" s="0" t="s">
        <v>107</v>
      </c>
      <c r="C587" s="0" t="s">
        <v>60</v>
      </c>
      <c r="D587" s="0" t="str">
        <f aca="false">IFERROR(INDEX('Materials Master'!$B$2:$B$27,MATCH($C587,'Materials Master'!$A$2:$A$27,0)),"")</f>
        <v>Soiled Rigid Plastics</v>
      </c>
      <c r="E587" s="0" t="str">
        <f aca="false">IFERROR(INDEX('Materials Master'!$C$2:$C$27,MATCH($C587,'Materials Master'!$A$2:$A$27,0)),"")</f>
        <v>Plastics</v>
      </c>
      <c r="F587" s="0" t="n">
        <f aca="false">IF(SUMIFS(Fact_SortedWeights!$E$2:$E$89,Fact_SortedWeights!$C$2:$C$89,$A587,Fact_SortedWeights!$B$2:$B$89,$B587)=0,0,SUMIFS(Fact_SortedWeights!$E$2:$E$89,Fact_SortedWeights!$C$2:$C$89,$A587,Fact_SortedWeights!$B$2:$B$89,$B587,Fact_SortedWeights!$D$2:$D$89,$C587)/SUMIFS(Fact_SortedWeights!$E$2:$E$89,Fact_SortedWeights!$C$2:$C$89,$A587,Fact_SortedWeights!$B$2:$B$89,$B587)*(IF($B587="Cardboard Recycling",SUMIFS(Fact_SortedWeights!$E$2:$E$89,Fact_SortedWeights!$C$2:$C$89,$A587,Fact_SortedWeights!$B$2:$B$89,$B587),SUMIFS(Fact_PreSortWeights!$E$2:$E$186,Fact_PreSortWeights!$C$2:$C$186,$A587,Fact_PreSortWeights!$B$2:$B$186,$B587))))</f>
        <v>0</v>
      </c>
      <c r="G587" s="0" t="n">
        <f aca="false">IF(AND(IF($B587="Trash",INDEX('Materials Master'!$F$2:$F$27,MATCH($C587,'Materials Master'!$A$2:$A$27,0)),IF($B587="GMPC Recycling",INDEX('Materials Master'!$G$2:$G$27,MATCH($C587,'Materials Master'!$A$2:$A$27,0)),IF($B587="Organics Recycling",INDEX('Materials Master'!$H$2:$H$27,MATCH($C587,'Materials Master'!$A$2:$A$27,0)),IF($B587="Cardboard Recycling",INDEX('Materials Master'!$I$2:$I$27,MATCH($C587,'Materials Master'!$A$2:$A$27,0)),IF($B587="Paper Recycling",INDEX('Materials Master'!$J$2:$J$27,MATCH($C587,'Materials Master'!$A$2:$A$27,0)),IF($B587="Terracycle",INDEX('Materials Master'!$K$2:$K$27,MATCH($C587,'Materials Master'!$A$2:$A$27,0)),"No"))))))="Yes",INDEX('Materials Master'!$E$2:$E$27,MATCH($C587,'Materials Master'!$A$2:$A$27,0))="Yes",$B587&lt;&gt;"Trash"),1,0)</f>
        <v>0</v>
      </c>
      <c r="H587" s="0" t="str">
        <f aca="false">INDEX('Materials Master'!$E$2:$E$27,MATCH($C587,'Materials Master'!$A$2:$A$27,0))</f>
        <v>No</v>
      </c>
      <c r="I587" s="0" t="str">
        <f aca="false">IFERROR(INDEX(Areas!$C$2:$C$6,MATCH($A587,Areas!$B$2:$B$6,0)),"")</f>
        <v>Rest of Building</v>
      </c>
      <c r="J587" s="0" t="n">
        <f aca="false">IF(IF($B587="Trash",INDEX('Materials Master'!$F$2:$F$27,MATCH($C587,'Materials Master'!$A$2:$A$27,0)),IF($B587="GMPC Recycling",INDEX('Materials Master'!$G$2:$G$27,MATCH($C587,'Materials Master'!$A$2:$A$27,0)),IF($B587="Organics Recycling",INDEX('Materials Master'!$H$2:$H$27,MATCH($C587,'Materials Master'!$A$2:$A$27,0)),IF($B587="Cardboard Recycling",INDEX('Materials Master'!$I$2:$I$27,MATCH($C587,'Materials Master'!$A$2:$A$27,0)),IF($B587="Paper Recycling",INDEX('Materials Master'!$J$2:$J$27,MATCH($C587,'Materials Master'!$A$2:$A$27,0)),IF($B587="Terracycle",INDEX('Materials Master'!$K$2:$K$27,MATCH($C587,'Materials Master'!$A$2:$A$27,0)),"No"))))))="Yes",1,0)</f>
        <v>0</v>
      </c>
    </row>
    <row r="588" customFormat="false" ht="15" hidden="false" customHeight="false" outlineLevel="0" collapsed="false">
      <c r="A588" s="0" t="s">
        <v>100</v>
      </c>
      <c r="B588" s="0" t="s">
        <v>107</v>
      </c>
      <c r="C588" s="0" t="s">
        <v>62</v>
      </c>
      <c r="D588" s="0" t="str">
        <f aca="false">IFERROR(INDEX('Materials Master'!$B$2:$B$27,MATCH($C588,'Materials Master'!$A$2:$A$27,0)),"")</f>
        <v>Film Plastics</v>
      </c>
      <c r="E588" s="0" t="str">
        <f aca="false">IFERROR(INDEX('Materials Master'!$C$2:$C$27,MATCH($C588,'Materials Master'!$A$2:$A$27,0)),"")</f>
        <v>Plastics</v>
      </c>
      <c r="F588" s="0" t="n">
        <f aca="false">IF(SUMIFS(Fact_SortedWeights!$E$2:$E$89,Fact_SortedWeights!$C$2:$C$89,$A588,Fact_SortedWeights!$B$2:$B$89,$B588)=0,0,SUMIFS(Fact_SortedWeights!$E$2:$E$89,Fact_SortedWeights!$C$2:$C$89,$A588,Fact_SortedWeights!$B$2:$B$89,$B588,Fact_SortedWeights!$D$2:$D$89,$C588)/SUMIFS(Fact_SortedWeights!$E$2:$E$89,Fact_SortedWeights!$C$2:$C$89,$A588,Fact_SortedWeights!$B$2:$B$89,$B588)*(IF($B588="Cardboard Recycling",SUMIFS(Fact_SortedWeights!$E$2:$E$89,Fact_SortedWeights!$C$2:$C$89,$A588,Fact_SortedWeights!$B$2:$B$89,$B588),SUMIFS(Fact_PreSortWeights!$E$2:$E$186,Fact_PreSortWeights!$C$2:$C$186,$A588,Fact_PreSortWeights!$B$2:$B$186,$B588))))</f>
        <v>0</v>
      </c>
      <c r="G588" s="0" t="n">
        <f aca="false">IF(AND(IF($B588="Trash",INDEX('Materials Master'!$F$2:$F$27,MATCH($C588,'Materials Master'!$A$2:$A$27,0)),IF($B588="GMPC Recycling",INDEX('Materials Master'!$G$2:$G$27,MATCH($C588,'Materials Master'!$A$2:$A$27,0)),IF($B588="Organics Recycling",INDEX('Materials Master'!$H$2:$H$27,MATCH($C588,'Materials Master'!$A$2:$A$27,0)),IF($B588="Cardboard Recycling",INDEX('Materials Master'!$I$2:$I$27,MATCH($C588,'Materials Master'!$A$2:$A$27,0)),IF($B588="Paper Recycling",INDEX('Materials Master'!$J$2:$J$27,MATCH($C588,'Materials Master'!$A$2:$A$27,0)),IF($B588="Terracycle",INDEX('Materials Master'!$K$2:$K$27,MATCH($C588,'Materials Master'!$A$2:$A$27,0)),"No"))))))="Yes",INDEX('Materials Master'!$E$2:$E$27,MATCH($C588,'Materials Master'!$A$2:$A$27,0))="Yes",$B588&lt;&gt;"Trash"),1,0)</f>
        <v>0</v>
      </c>
      <c r="H588" s="0" t="str">
        <f aca="false">INDEX('Materials Master'!$E$2:$E$27,MATCH($C588,'Materials Master'!$A$2:$A$27,0))</f>
        <v>No</v>
      </c>
      <c r="I588" s="0" t="str">
        <f aca="false">IFERROR(INDEX(Areas!$C$2:$C$6,MATCH($A588,Areas!$B$2:$B$6,0)),"")</f>
        <v>Rest of Building</v>
      </c>
      <c r="J588" s="0" t="n">
        <f aca="false">IF(IF($B588="Trash",INDEX('Materials Master'!$F$2:$F$27,MATCH($C588,'Materials Master'!$A$2:$A$27,0)),IF($B588="GMPC Recycling",INDEX('Materials Master'!$G$2:$G$27,MATCH($C588,'Materials Master'!$A$2:$A$27,0)),IF($B588="Organics Recycling",INDEX('Materials Master'!$H$2:$H$27,MATCH($C588,'Materials Master'!$A$2:$A$27,0)),IF($B588="Cardboard Recycling",INDEX('Materials Master'!$I$2:$I$27,MATCH($C588,'Materials Master'!$A$2:$A$27,0)),IF($B588="Paper Recycling",INDEX('Materials Master'!$J$2:$J$27,MATCH($C588,'Materials Master'!$A$2:$A$27,0)),IF($B588="Terracycle",INDEX('Materials Master'!$K$2:$K$27,MATCH($C588,'Materials Master'!$A$2:$A$27,0)),"No"))))))="Yes",1,0)</f>
        <v>0</v>
      </c>
    </row>
    <row r="589" customFormat="false" ht="15" hidden="false" customHeight="false" outlineLevel="0" collapsed="false">
      <c r="A589" s="0" t="s">
        <v>100</v>
      </c>
      <c r="B589" s="0" t="s">
        <v>107</v>
      </c>
      <c r="C589" s="0" t="s">
        <v>64</v>
      </c>
      <c r="D589" s="0" t="str">
        <f aca="false">IFERROR(INDEX('Materials Master'!$B$2:$B$27,MATCH($C589,'Materials Master'!$A$2:$A$27,0)),"")</f>
        <v>Foams</v>
      </c>
      <c r="E589" s="0" t="str">
        <f aca="false">IFERROR(INDEX('Materials Master'!$C$2:$C$27,MATCH($C589,'Materials Master'!$A$2:$A$27,0)),"")</f>
        <v>Plastics</v>
      </c>
      <c r="F589" s="0" t="n">
        <f aca="false">IF(SUMIFS(Fact_SortedWeights!$E$2:$E$89,Fact_SortedWeights!$C$2:$C$89,$A589,Fact_SortedWeights!$B$2:$B$89,$B589)=0,0,SUMIFS(Fact_SortedWeights!$E$2:$E$89,Fact_SortedWeights!$C$2:$C$89,$A589,Fact_SortedWeights!$B$2:$B$89,$B589,Fact_SortedWeights!$D$2:$D$89,$C589)/SUMIFS(Fact_SortedWeights!$E$2:$E$89,Fact_SortedWeights!$C$2:$C$89,$A589,Fact_SortedWeights!$B$2:$B$89,$B589)*(IF($B589="Cardboard Recycling",SUMIFS(Fact_SortedWeights!$E$2:$E$89,Fact_SortedWeights!$C$2:$C$89,$A589,Fact_SortedWeights!$B$2:$B$89,$B589),SUMIFS(Fact_PreSortWeights!$E$2:$E$186,Fact_PreSortWeights!$C$2:$C$186,$A589,Fact_PreSortWeights!$B$2:$B$186,$B589))))</f>
        <v>0</v>
      </c>
      <c r="G589" s="0" t="n">
        <f aca="false">IF(AND(IF($B589="Trash",INDEX('Materials Master'!$F$2:$F$27,MATCH($C589,'Materials Master'!$A$2:$A$27,0)),IF($B589="GMPC Recycling",INDEX('Materials Master'!$G$2:$G$27,MATCH($C589,'Materials Master'!$A$2:$A$27,0)),IF($B589="Organics Recycling",INDEX('Materials Master'!$H$2:$H$27,MATCH($C589,'Materials Master'!$A$2:$A$27,0)),IF($B589="Cardboard Recycling",INDEX('Materials Master'!$I$2:$I$27,MATCH($C589,'Materials Master'!$A$2:$A$27,0)),IF($B589="Paper Recycling",INDEX('Materials Master'!$J$2:$J$27,MATCH($C589,'Materials Master'!$A$2:$A$27,0)),IF($B589="Terracycle",INDEX('Materials Master'!$K$2:$K$27,MATCH($C589,'Materials Master'!$A$2:$A$27,0)),"No"))))))="Yes",INDEX('Materials Master'!$E$2:$E$27,MATCH($C589,'Materials Master'!$A$2:$A$27,0))="Yes",$B589&lt;&gt;"Trash"),1,0)</f>
        <v>0</v>
      </c>
      <c r="H589" s="0" t="str">
        <f aca="false">INDEX('Materials Master'!$E$2:$E$27,MATCH($C589,'Materials Master'!$A$2:$A$27,0))</f>
        <v>No</v>
      </c>
      <c r="I589" s="0" t="str">
        <f aca="false">IFERROR(INDEX(Areas!$C$2:$C$6,MATCH($A589,Areas!$B$2:$B$6,0)),"")</f>
        <v>Rest of Building</v>
      </c>
      <c r="J589" s="0" t="n">
        <f aca="false">IF(IF($B589="Trash",INDEX('Materials Master'!$F$2:$F$27,MATCH($C589,'Materials Master'!$A$2:$A$27,0)),IF($B589="GMPC Recycling",INDEX('Materials Master'!$G$2:$G$27,MATCH($C589,'Materials Master'!$A$2:$A$27,0)),IF($B589="Organics Recycling",INDEX('Materials Master'!$H$2:$H$27,MATCH($C589,'Materials Master'!$A$2:$A$27,0)),IF($B589="Cardboard Recycling",INDEX('Materials Master'!$I$2:$I$27,MATCH($C589,'Materials Master'!$A$2:$A$27,0)),IF($B589="Paper Recycling",INDEX('Materials Master'!$J$2:$J$27,MATCH($C589,'Materials Master'!$A$2:$A$27,0)),IF($B589="Terracycle",INDEX('Materials Master'!$K$2:$K$27,MATCH($C589,'Materials Master'!$A$2:$A$27,0)),"No"))))))="Yes",1,0)</f>
        <v>0</v>
      </c>
    </row>
    <row r="590" customFormat="false" ht="15" hidden="false" customHeight="false" outlineLevel="0" collapsed="false">
      <c r="A590" s="0" t="s">
        <v>100</v>
      </c>
      <c r="B590" s="0" t="s">
        <v>107</v>
      </c>
      <c r="C590" s="0" t="s">
        <v>66</v>
      </c>
      <c r="D590" s="0" t="str">
        <f aca="false">IFERROR(INDEX('Materials Master'!$B$2:$B$27,MATCH($C590,'Materials Master'!$A$2:$A$27,0)),"")</f>
        <v>Food Waste</v>
      </c>
      <c r="E590" s="0" t="str">
        <f aca="false">IFERROR(INDEX('Materials Master'!$C$2:$C$27,MATCH($C590,'Materials Master'!$A$2:$A$27,0)),"")</f>
        <v>Organics</v>
      </c>
      <c r="F590" s="0" t="n">
        <f aca="false">IF(SUMIFS(Fact_SortedWeights!$E$2:$E$89,Fact_SortedWeights!$C$2:$C$89,$A590,Fact_SortedWeights!$B$2:$B$89,$B590)=0,0,SUMIFS(Fact_SortedWeights!$E$2:$E$89,Fact_SortedWeights!$C$2:$C$89,$A590,Fact_SortedWeights!$B$2:$B$89,$B590,Fact_SortedWeights!$D$2:$D$89,$C590)/SUMIFS(Fact_SortedWeights!$E$2:$E$89,Fact_SortedWeights!$C$2:$C$89,$A590,Fact_SortedWeights!$B$2:$B$89,$B590)*(IF($B590="Cardboard Recycling",SUMIFS(Fact_SortedWeights!$E$2:$E$89,Fact_SortedWeights!$C$2:$C$89,$A590,Fact_SortedWeights!$B$2:$B$89,$B590),SUMIFS(Fact_PreSortWeights!$E$2:$E$186,Fact_PreSortWeights!$C$2:$C$186,$A590,Fact_PreSortWeights!$B$2:$B$186,$B590))))</f>
        <v>0</v>
      </c>
      <c r="G590" s="0" t="n">
        <f aca="false">IF(AND(IF($B590="Trash",INDEX('Materials Master'!$F$2:$F$27,MATCH($C590,'Materials Master'!$A$2:$A$27,0)),IF($B590="GMPC Recycling",INDEX('Materials Master'!$G$2:$G$27,MATCH($C590,'Materials Master'!$A$2:$A$27,0)),IF($B590="Organics Recycling",INDEX('Materials Master'!$H$2:$H$27,MATCH($C590,'Materials Master'!$A$2:$A$27,0)),IF($B590="Cardboard Recycling",INDEX('Materials Master'!$I$2:$I$27,MATCH($C590,'Materials Master'!$A$2:$A$27,0)),IF($B590="Paper Recycling",INDEX('Materials Master'!$J$2:$J$27,MATCH($C590,'Materials Master'!$A$2:$A$27,0)),IF($B590="Terracycle",INDEX('Materials Master'!$K$2:$K$27,MATCH($C590,'Materials Master'!$A$2:$A$27,0)),"No"))))))="Yes",INDEX('Materials Master'!$E$2:$E$27,MATCH($C590,'Materials Master'!$A$2:$A$27,0))="Yes",$B590&lt;&gt;"Trash"),1,0)</f>
        <v>0</v>
      </c>
      <c r="H590" s="0" t="str">
        <f aca="false">INDEX('Materials Master'!$E$2:$E$27,MATCH($C590,'Materials Master'!$A$2:$A$27,0))</f>
        <v>Yes</v>
      </c>
      <c r="I590" s="0" t="str">
        <f aca="false">IFERROR(INDEX(Areas!$C$2:$C$6,MATCH($A590,Areas!$B$2:$B$6,0)),"")</f>
        <v>Rest of Building</v>
      </c>
      <c r="J590" s="0" t="n">
        <f aca="false">IF(IF($B590="Trash",INDEX('Materials Master'!$F$2:$F$27,MATCH($C590,'Materials Master'!$A$2:$A$27,0)),IF($B590="GMPC Recycling",INDEX('Materials Master'!$G$2:$G$27,MATCH($C590,'Materials Master'!$A$2:$A$27,0)),IF($B590="Organics Recycling",INDEX('Materials Master'!$H$2:$H$27,MATCH($C590,'Materials Master'!$A$2:$A$27,0)),IF($B590="Cardboard Recycling",INDEX('Materials Master'!$I$2:$I$27,MATCH($C590,'Materials Master'!$A$2:$A$27,0)),IF($B590="Paper Recycling",INDEX('Materials Master'!$J$2:$J$27,MATCH($C590,'Materials Master'!$A$2:$A$27,0)),IF($B590="Terracycle",INDEX('Materials Master'!$K$2:$K$27,MATCH($C590,'Materials Master'!$A$2:$A$27,0)),"No"))))))="Yes",1,0)</f>
        <v>0</v>
      </c>
    </row>
    <row r="591" customFormat="false" ht="15" hidden="false" customHeight="false" outlineLevel="0" collapsed="false">
      <c r="A591" s="0" t="s">
        <v>100</v>
      </c>
      <c r="B591" s="0" t="s">
        <v>107</v>
      </c>
      <c r="C591" s="0" t="s">
        <v>69</v>
      </c>
      <c r="D591" s="0" t="str">
        <f aca="false">IFERROR(INDEX('Materials Master'!$B$2:$B$27,MATCH($C591,'Materials Master'!$A$2:$A$27,0)),"")</f>
        <v>Paper Fibers and Food-Soiled Paper (FSP)</v>
      </c>
      <c r="E591" s="0" t="str">
        <f aca="false">IFERROR(INDEX('Materials Master'!$C$2:$C$27,MATCH($C591,'Materials Master'!$A$2:$A$27,0)),"")</f>
        <v>Organics</v>
      </c>
      <c r="F591" s="0" t="n">
        <f aca="false">IF(SUMIFS(Fact_SortedWeights!$E$2:$E$89,Fact_SortedWeights!$C$2:$C$89,$A591,Fact_SortedWeights!$B$2:$B$89,$B591)=0,0,SUMIFS(Fact_SortedWeights!$E$2:$E$89,Fact_SortedWeights!$C$2:$C$89,$A591,Fact_SortedWeights!$B$2:$B$89,$B591,Fact_SortedWeights!$D$2:$D$89,$C591)/SUMIFS(Fact_SortedWeights!$E$2:$E$89,Fact_SortedWeights!$C$2:$C$89,$A591,Fact_SortedWeights!$B$2:$B$89,$B591)*(IF($B591="Cardboard Recycling",SUMIFS(Fact_SortedWeights!$E$2:$E$89,Fact_SortedWeights!$C$2:$C$89,$A591,Fact_SortedWeights!$B$2:$B$89,$B591),SUMIFS(Fact_PreSortWeights!$E$2:$E$186,Fact_PreSortWeights!$C$2:$C$186,$A591,Fact_PreSortWeights!$B$2:$B$186,$B591))))</f>
        <v>0</v>
      </c>
      <c r="G591" s="0" t="n">
        <f aca="false">IF(AND(IF($B591="Trash",INDEX('Materials Master'!$F$2:$F$27,MATCH($C591,'Materials Master'!$A$2:$A$27,0)),IF($B591="GMPC Recycling",INDEX('Materials Master'!$G$2:$G$27,MATCH($C591,'Materials Master'!$A$2:$A$27,0)),IF($B591="Organics Recycling",INDEX('Materials Master'!$H$2:$H$27,MATCH($C591,'Materials Master'!$A$2:$A$27,0)),IF($B591="Cardboard Recycling",INDEX('Materials Master'!$I$2:$I$27,MATCH($C591,'Materials Master'!$A$2:$A$27,0)),IF($B591="Paper Recycling",INDEX('Materials Master'!$J$2:$J$27,MATCH($C591,'Materials Master'!$A$2:$A$27,0)),IF($B591="Terracycle",INDEX('Materials Master'!$K$2:$K$27,MATCH($C591,'Materials Master'!$A$2:$A$27,0)),"No"))))))="Yes",INDEX('Materials Master'!$E$2:$E$27,MATCH($C591,'Materials Master'!$A$2:$A$27,0))="Yes",$B591&lt;&gt;"Trash"),1,0)</f>
        <v>0</v>
      </c>
      <c r="H591" s="0" t="str">
        <f aca="false">INDEX('Materials Master'!$E$2:$E$27,MATCH($C591,'Materials Master'!$A$2:$A$27,0))</f>
        <v>No</v>
      </c>
      <c r="I591" s="0" t="str">
        <f aca="false">IFERROR(INDEX(Areas!$C$2:$C$6,MATCH($A591,Areas!$B$2:$B$6,0)),"")</f>
        <v>Rest of Building</v>
      </c>
      <c r="J591" s="0" t="n">
        <f aca="false">IF(IF($B591="Trash",INDEX('Materials Master'!$F$2:$F$27,MATCH($C591,'Materials Master'!$A$2:$A$27,0)),IF($B591="GMPC Recycling",INDEX('Materials Master'!$G$2:$G$27,MATCH($C591,'Materials Master'!$A$2:$A$27,0)),IF($B591="Organics Recycling",INDEX('Materials Master'!$H$2:$H$27,MATCH($C591,'Materials Master'!$A$2:$A$27,0)),IF($B591="Cardboard Recycling",INDEX('Materials Master'!$I$2:$I$27,MATCH($C591,'Materials Master'!$A$2:$A$27,0)),IF($B591="Paper Recycling",INDEX('Materials Master'!$J$2:$J$27,MATCH($C591,'Materials Master'!$A$2:$A$27,0)),IF($B591="Terracycle",INDEX('Materials Master'!$K$2:$K$27,MATCH($C591,'Materials Master'!$A$2:$A$27,0)),"No"))))))="Yes",1,0)</f>
        <v>0</v>
      </c>
    </row>
    <row r="592" customFormat="false" ht="15" hidden="false" customHeight="false" outlineLevel="0" collapsed="false">
      <c r="A592" s="0" t="s">
        <v>100</v>
      </c>
      <c r="B592" s="0" t="s">
        <v>107</v>
      </c>
      <c r="C592" s="0" t="s">
        <v>71</v>
      </c>
      <c r="D592" s="0" t="str">
        <f aca="false">IFERROR(INDEX('Materials Master'!$B$2:$B$27,MATCH($C592,'Materials Master'!$A$2:$A$27,0)),"")</f>
        <v>Fiber-based Compostable Serviceware</v>
      </c>
      <c r="E592" s="0" t="str">
        <f aca="false">IFERROR(INDEX('Materials Master'!$C$2:$C$27,MATCH($C592,'Materials Master'!$A$2:$A$27,0)),"")</f>
        <v>Organics</v>
      </c>
      <c r="F592" s="0" t="n">
        <f aca="false">IF(SUMIFS(Fact_SortedWeights!$E$2:$E$89,Fact_SortedWeights!$C$2:$C$89,$A592,Fact_SortedWeights!$B$2:$B$89,$B592)=0,0,SUMIFS(Fact_SortedWeights!$E$2:$E$89,Fact_SortedWeights!$C$2:$C$89,$A592,Fact_SortedWeights!$B$2:$B$89,$B592,Fact_SortedWeights!$D$2:$D$89,$C592)/SUMIFS(Fact_SortedWeights!$E$2:$E$89,Fact_SortedWeights!$C$2:$C$89,$A592,Fact_SortedWeights!$B$2:$B$89,$B592)*(IF($B592="Cardboard Recycling",SUMIFS(Fact_SortedWeights!$E$2:$E$89,Fact_SortedWeights!$C$2:$C$89,$A592,Fact_SortedWeights!$B$2:$B$89,$B592),SUMIFS(Fact_PreSortWeights!$E$2:$E$186,Fact_PreSortWeights!$C$2:$C$186,$A592,Fact_PreSortWeights!$B$2:$B$186,$B592))))</f>
        <v>0</v>
      </c>
      <c r="G592" s="0" t="n">
        <f aca="false">IF(AND(IF($B592="Trash",INDEX('Materials Master'!$F$2:$F$27,MATCH($C592,'Materials Master'!$A$2:$A$27,0)),IF($B592="GMPC Recycling",INDEX('Materials Master'!$G$2:$G$27,MATCH($C592,'Materials Master'!$A$2:$A$27,0)),IF($B592="Organics Recycling",INDEX('Materials Master'!$H$2:$H$27,MATCH($C592,'Materials Master'!$A$2:$A$27,0)),IF($B592="Cardboard Recycling",INDEX('Materials Master'!$I$2:$I$27,MATCH($C592,'Materials Master'!$A$2:$A$27,0)),IF($B592="Paper Recycling",INDEX('Materials Master'!$J$2:$J$27,MATCH($C592,'Materials Master'!$A$2:$A$27,0)),IF($B592="Terracycle",INDEX('Materials Master'!$K$2:$K$27,MATCH($C592,'Materials Master'!$A$2:$A$27,0)),"No"))))))="Yes",INDEX('Materials Master'!$E$2:$E$27,MATCH($C592,'Materials Master'!$A$2:$A$27,0))="Yes",$B592&lt;&gt;"Trash"),1,0)</f>
        <v>0</v>
      </c>
      <c r="H592" s="0" t="str">
        <f aca="false">INDEX('Materials Master'!$E$2:$E$27,MATCH($C592,'Materials Master'!$A$2:$A$27,0))</f>
        <v>No</v>
      </c>
      <c r="I592" s="0" t="str">
        <f aca="false">IFERROR(INDEX(Areas!$C$2:$C$6,MATCH($A592,Areas!$B$2:$B$6,0)),"")</f>
        <v>Rest of Building</v>
      </c>
      <c r="J592" s="0" t="n">
        <f aca="false">IF(IF($B592="Trash",INDEX('Materials Master'!$F$2:$F$27,MATCH($C592,'Materials Master'!$A$2:$A$27,0)),IF($B592="GMPC Recycling",INDEX('Materials Master'!$G$2:$G$27,MATCH($C592,'Materials Master'!$A$2:$A$27,0)),IF($B592="Organics Recycling",INDEX('Materials Master'!$H$2:$H$27,MATCH($C592,'Materials Master'!$A$2:$A$27,0)),IF($B592="Cardboard Recycling",INDEX('Materials Master'!$I$2:$I$27,MATCH($C592,'Materials Master'!$A$2:$A$27,0)),IF($B592="Paper Recycling",INDEX('Materials Master'!$J$2:$J$27,MATCH($C592,'Materials Master'!$A$2:$A$27,0)),IF($B592="Terracycle",INDEX('Materials Master'!$K$2:$K$27,MATCH($C592,'Materials Master'!$A$2:$A$27,0)),"No"))))))="Yes",1,0)</f>
        <v>0</v>
      </c>
    </row>
    <row r="593" customFormat="false" ht="15" hidden="false" customHeight="false" outlineLevel="0" collapsed="false">
      <c r="A593" s="0" t="s">
        <v>100</v>
      </c>
      <c r="B593" s="0" t="s">
        <v>107</v>
      </c>
      <c r="C593" s="0" t="s">
        <v>73</v>
      </c>
      <c r="D593" s="0" t="str">
        <f aca="false">IFERROR(INDEX('Materials Master'!$B$2:$B$27,MATCH($C593,'Materials Master'!$A$2:$A$27,0)),"")</f>
        <v>PLA Compostable Serviceware</v>
      </c>
      <c r="E593" s="0" t="str">
        <f aca="false">IFERROR(INDEX('Materials Master'!$C$2:$C$27,MATCH($C593,'Materials Master'!$A$2:$A$27,0)),"")</f>
        <v>Organics</v>
      </c>
      <c r="F593" s="0" t="n">
        <f aca="false">IF(SUMIFS(Fact_SortedWeights!$E$2:$E$89,Fact_SortedWeights!$C$2:$C$89,$A593,Fact_SortedWeights!$B$2:$B$89,$B593)=0,0,SUMIFS(Fact_SortedWeights!$E$2:$E$89,Fact_SortedWeights!$C$2:$C$89,$A593,Fact_SortedWeights!$B$2:$B$89,$B593,Fact_SortedWeights!$D$2:$D$89,$C593)/SUMIFS(Fact_SortedWeights!$E$2:$E$89,Fact_SortedWeights!$C$2:$C$89,$A593,Fact_SortedWeights!$B$2:$B$89,$B593)*(IF($B593="Cardboard Recycling",SUMIFS(Fact_SortedWeights!$E$2:$E$89,Fact_SortedWeights!$C$2:$C$89,$A593,Fact_SortedWeights!$B$2:$B$89,$B593),SUMIFS(Fact_PreSortWeights!$E$2:$E$186,Fact_PreSortWeights!$C$2:$C$186,$A593,Fact_PreSortWeights!$B$2:$B$186,$B593))))</f>
        <v>0</v>
      </c>
      <c r="G593" s="0" t="n">
        <f aca="false">IF(AND(IF($B593="Trash",INDEX('Materials Master'!$F$2:$F$27,MATCH($C593,'Materials Master'!$A$2:$A$27,0)),IF($B593="GMPC Recycling",INDEX('Materials Master'!$G$2:$G$27,MATCH($C593,'Materials Master'!$A$2:$A$27,0)),IF($B593="Organics Recycling",INDEX('Materials Master'!$H$2:$H$27,MATCH($C593,'Materials Master'!$A$2:$A$27,0)),IF($B593="Cardboard Recycling",INDEX('Materials Master'!$I$2:$I$27,MATCH($C593,'Materials Master'!$A$2:$A$27,0)),IF($B593="Paper Recycling",INDEX('Materials Master'!$J$2:$J$27,MATCH($C593,'Materials Master'!$A$2:$A$27,0)),IF($B593="Terracycle",INDEX('Materials Master'!$K$2:$K$27,MATCH($C593,'Materials Master'!$A$2:$A$27,0)),"No"))))))="Yes",INDEX('Materials Master'!$E$2:$E$27,MATCH($C593,'Materials Master'!$A$2:$A$27,0))="Yes",$B593&lt;&gt;"Trash"),1,0)</f>
        <v>0</v>
      </c>
      <c r="H593" s="0" t="str">
        <f aca="false">INDEX('Materials Master'!$E$2:$E$27,MATCH($C593,'Materials Master'!$A$2:$A$27,0))</f>
        <v>No</v>
      </c>
      <c r="I593" s="0" t="str">
        <f aca="false">IFERROR(INDEX(Areas!$C$2:$C$6,MATCH($A593,Areas!$B$2:$B$6,0)),"")</f>
        <v>Rest of Building</v>
      </c>
      <c r="J593" s="0" t="n">
        <f aca="false">IF(IF($B593="Trash",INDEX('Materials Master'!$F$2:$F$27,MATCH($C593,'Materials Master'!$A$2:$A$27,0)),IF($B593="GMPC Recycling",INDEX('Materials Master'!$G$2:$G$27,MATCH($C593,'Materials Master'!$A$2:$A$27,0)),IF($B593="Organics Recycling",INDEX('Materials Master'!$H$2:$H$27,MATCH($C593,'Materials Master'!$A$2:$A$27,0)),IF($B593="Cardboard Recycling",INDEX('Materials Master'!$I$2:$I$27,MATCH($C593,'Materials Master'!$A$2:$A$27,0)),IF($B593="Paper Recycling",INDEX('Materials Master'!$J$2:$J$27,MATCH($C593,'Materials Master'!$A$2:$A$27,0)),IF($B593="Terracycle",INDEX('Materials Master'!$K$2:$K$27,MATCH($C593,'Materials Master'!$A$2:$A$27,0)),"No"))))))="Yes",1,0)</f>
        <v>0</v>
      </c>
    </row>
    <row r="594" customFormat="false" ht="15" hidden="false" customHeight="false" outlineLevel="0" collapsed="false">
      <c r="A594" s="0" t="s">
        <v>100</v>
      </c>
      <c r="B594" s="0" t="s">
        <v>107</v>
      </c>
      <c r="C594" s="0" t="s">
        <v>75</v>
      </c>
      <c r="D594" s="0" t="str">
        <f aca="false">IFERROR(INDEX('Materials Master'!$B$2:$B$27,MATCH($C594,'Materials Master'!$A$2:$A$27,0)),"")</f>
        <v>E/U Waste</v>
      </c>
      <c r="E594" s="0" t="str">
        <f aca="false">IFERROR(INDEX('Materials Master'!$C$2:$C$27,MATCH($C594,'Materials Master'!$A$2:$A$27,0)),"")</f>
        <v>Unacceptable</v>
      </c>
      <c r="F594" s="0" t="n">
        <f aca="false">IF(SUMIFS(Fact_SortedWeights!$E$2:$E$89,Fact_SortedWeights!$C$2:$C$89,$A594,Fact_SortedWeights!$B$2:$B$89,$B594)=0,0,SUMIFS(Fact_SortedWeights!$E$2:$E$89,Fact_SortedWeights!$C$2:$C$89,$A594,Fact_SortedWeights!$B$2:$B$89,$B594,Fact_SortedWeights!$D$2:$D$89,$C594)/SUMIFS(Fact_SortedWeights!$E$2:$E$89,Fact_SortedWeights!$C$2:$C$89,$A594,Fact_SortedWeights!$B$2:$B$89,$B594)*(IF($B594="Cardboard Recycling",SUMIFS(Fact_SortedWeights!$E$2:$E$89,Fact_SortedWeights!$C$2:$C$89,$A594,Fact_SortedWeights!$B$2:$B$89,$B594),SUMIFS(Fact_PreSortWeights!$E$2:$E$186,Fact_PreSortWeights!$C$2:$C$186,$A594,Fact_PreSortWeights!$B$2:$B$186,$B594))))</f>
        <v>0</v>
      </c>
      <c r="G594" s="0" t="n">
        <f aca="false">IF(AND(IF($B594="Trash",INDEX('Materials Master'!$F$2:$F$27,MATCH($C594,'Materials Master'!$A$2:$A$27,0)),IF($B594="GMPC Recycling",INDEX('Materials Master'!$G$2:$G$27,MATCH($C594,'Materials Master'!$A$2:$A$27,0)),IF($B594="Organics Recycling",INDEX('Materials Master'!$H$2:$H$27,MATCH($C594,'Materials Master'!$A$2:$A$27,0)),IF($B594="Cardboard Recycling",INDEX('Materials Master'!$I$2:$I$27,MATCH($C594,'Materials Master'!$A$2:$A$27,0)),IF($B594="Paper Recycling",INDEX('Materials Master'!$J$2:$J$27,MATCH($C594,'Materials Master'!$A$2:$A$27,0)),IF($B594="Terracycle",INDEX('Materials Master'!$K$2:$K$27,MATCH($C594,'Materials Master'!$A$2:$A$27,0)),"No"))))))="Yes",INDEX('Materials Master'!$E$2:$E$27,MATCH($C594,'Materials Master'!$A$2:$A$27,0))="Yes",$B594&lt;&gt;"Trash"),1,0)</f>
        <v>0</v>
      </c>
      <c r="H594" s="0" t="str">
        <f aca="false">INDEX('Materials Master'!$E$2:$E$27,MATCH($C594,'Materials Master'!$A$2:$A$27,0))</f>
        <v>No</v>
      </c>
      <c r="I594" s="0" t="str">
        <f aca="false">IFERROR(INDEX(Areas!$C$2:$C$6,MATCH($A594,Areas!$B$2:$B$6,0)),"")</f>
        <v>Rest of Building</v>
      </c>
      <c r="J594" s="0" t="n">
        <f aca="false">IF(IF($B594="Trash",INDEX('Materials Master'!$F$2:$F$27,MATCH($C594,'Materials Master'!$A$2:$A$27,0)),IF($B594="GMPC Recycling",INDEX('Materials Master'!$G$2:$G$27,MATCH($C594,'Materials Master'!$A$2:$A$27,0)),IF($B594="Organics Recycling",INDEX('Materials Master'!$H$2:$H$27,MATCH($C594,'Materials Master'!$A$2:$A$27,0)),IF($B594="Cardboard Recycling",INDEX('Materials Master'!$I$2:$I$27,MATCH($C594,'Materials Master'!$A$2:$A$27,0)),IF($B594="Paper Recycling",INDEX('Materials Master'!$J$2:$J$27,MATCH($C594,'Materials Master'!$A$2:$A$27,0)),IF($B594="Terracycle",INDEX('Materials Master'!$K$2:$K$27,MATCH($C594,'Materials Master'!$A$2:$A$27,0)),"No"))))))="Yes",1,0)</f>
        <v>0</v>
      </c>
    </row>
    <row r="595" customFormat="false" ht="15" hidden="false" customHeight="false" outlineLevel="0" collapsed="false">
      <c r="A595" s="0" t="s">
        <v>100</v>
      </c>
      <c r="B595" s="0" t="s">
        <v>107</v>
      </c>
      <c r="C595" s="0" t="s">
        <v>78</v>
      </c>
      <c r="D595" s="0" t="str">
        <f aca="false">IFERROR(INDEX('Materials Master'!$B$2:$B$27,MATCH($C595,'Materials Master'!$A$2:$A$27,0)),"")</f>
        <v>Textiles</v>
      </c>
      <c r="E595" s="0" t="str">
        <f aca="false">IFERROR(INDEX('Materials Master'!$C$2:$C$27,MATCH($C595,'Materials Master'!$A$2:$A$27,0)),"")</f>
        <v>Unacceptable</v>
      </c>
      <c r="F595" s="0" t="n">
        <f aca="false">IF(SUMIFS(Fact_SortedWeights!$E$2:$E$89,Fact_SortedWeights!$C$2:$C$89,$A595,Fact_SortedWeights!$B$2:$B$89,$B595)=0,0,SUMIFS(Fact_SortedWeights!$E$2:$E$89,Fact_SortedWeights!$C$2:$C$89,$A595,Fact_SortedWeights!$B$2:$B$89,$B595,Fact_SortedWeights!$D$2:$D$89,$C595)/SUMIFS(Fact_SortedWeights!$E$2:$E$89,Fact_SortedWeights!$C$2:$C$89,$A595,Fact_SortedWeights!$B$2:$B$89,$B595)*(IF($B595="Cardboard Recycling",SUMIFS(Fact_SortedWeights!$E$2:$E$89,Fact_SortedWeights!$C$2:$C$89,$A595,Fact_SortedWeights!$B$2:$B$89,$B595),SUMIFS(Fact_PreSortWeights!$E$2:$E$186,Fact_PreSortWeights!$C$2:$C$186,$A595,Fact_PreSortWeights!$B$2:$B$186,$B595))))</f>
        <v>0</v>
      </c>
      <c r="G595" s="0" t="n">
        <f aca="false">IF(AND(IF($B595="Trash",INDEX('Materials Master'!$F$2:$F$27,MATCH($C595,'Materials Master'!$A$2:$A$27,0)),IF($B595="GMPC Recycling",INDEX('Materials Master'!$G$2:$G$27,MATCH($C595,'Materials Master'!$A$2:$A$27,0)),IF($B595="Organics Recycling",INDEX('Materials Master'!$H$2:$H$27,MATCH($C595,'Materials Master'!$A$2:$A$27,0)),IF($B595="Cardboard Recycling",INDEX('Materials Master'!$I$2:$I$27,MATCH($C595,'Materials Master'!$A$2:$A$27,0)),IF($B595="Paper Recycling",INDEX('Materials Master'!$J$2:$J$27,MATCH($C595,'Materials Master'!$A$2:$A$27,0)),IF($B595="Terracycle",INDEX('Materials Master'!$K$2:$K$27,MATCH($C595,'Materials Master'!$A$2:$A$27,0)),"No"))))))="Yes",INDEX('Materials Master'!$E$2:$E$27,MATCH($C595,'Materials Master'!$A$2:$A$27,0))="Yes",$B595&lt;&gt;"Trash"),1,0)</f>
        <v>0</v>
      </c>
      <c r="H595" s="0" t="str">
        <f aca="false">INDEX('Materials Master'!$E$2:$E$27,MATCH($C595,'Materials Master'!$A$2:$A$27,0))</f>
        <v>No</v>
      </c>
      <c r="I595" s="0" t="str">
        <f aca="false">IFERROR(INDEX(Areas!$C$2:$C$6,MATCH($A595,Areas!$B$2:$B$6,0)),"")</f>
        <v>Rest of Building</v>
      </c>
      <c r="J595" s="0" t="n">
        <f aca="false">IF(IF($B595="Trash",INDEX('Materials Master'!$F$2:$F$27,MATCH($C595,'Materials Master'!$A$2:$A$27,0)),IF($B595="GMPC Recycling",INDEX('Materials Master'!$G$2:$G$27,MATCH($C595,'Materials Master'!$A$2:$A$27,0)),IF($B595="Organics Recycling",INDEX('Materials Master'!$H$2:$H$27,MATCH($C595,'Materials Master'!$A$2:$A$27,0)),IF($B595="Cardboard Recycling",INDEX('Materials Master'!$I$2:$I$27,MATCH($C595,'Materials Master'!$A$2:$A$27,0)),IF($B595="Paper Recycling",INDEX('Materials Master'!$J$2:$J$27,MATCH($C595,'Materials Master'!$A$2:$A$27,0)),IF($B595="Terracycle",INDEX('Materials Master'!$K$2:$K$27,MATCH($C595,'Materials Master'!$A$2:$A$27,0)),"No"))))))="Yes",1,0)</f>
        <v>0</v>
      </c>
    </row>
    <row r="596" customFormat="false" ht="15" hidden="false" customHeight="false" outlineLevel="0" collapsed="false">
      <c r="A596" s="0" t="s">
        <v>100</v>
      </c>
      <c r="B596" s="0" t="s">
        <v>107</v>
      </c>
      <c r="C596" s="0" t="s">
        <v>80</v>
      </c>
      <c r="D596" s="0" t="str">
        <f aca="false">IFERROR(INDEX('Materials Master'!$B$2:$B$27,MATCH($C596,'Materials Master'!$A$2:$A$27,0)),"")</f>
        <v>Other Unacceptable (specify)</v>
      </c>
      <c r="E596" s="0" t="str">
        <f aca="false">IFERROR(INDEX('Materials Master'!$C$2:$C$27,MATCH($C596,'Materials Master'!$A$2:$A$27,0)),"")</f>
        <v>Unacceptable</v>
      </c>
      <c r="F596" s="0" t="n">
        <f aca="false">IF(SUMIFS(Fact_SortedWeights!$E$2:$E$89,Fact_SortedWeights!$C$2:$C$89,$A596,Fact_SortedWeights!$B$2:$B$89,$B596)=0,0,SUMIFS(Fact_SortedWeights!$E$2:$E$89,Fact_SortedWeights!$C$2:$C$89,$A596,Fact_SortedWeights!$B$2:$B$89,$B596,Fact_SortedWeights!$D$2:$D$89,$C596)/SUMIFS(Fact_SortedWeights!$E$2:$E$89,Fact_SortedWeights!$C$2:$C$89,$A596,Fact_SortedWeights!$B$2:$B$89,$B596)*(IF($B596="Cardboard Recycling",SUMIFS(Fact_SortedWeights!$E$2:$E$89,Fact_SortedWeights!$C$2:$C$89,$A596,Fact_SortedWeights!$B$2:$B$89,$B596),SUMIFS(Fact_PreSortWeights!$E$2:$E$186,Fact_PreSortWeights!$C$2:$C$186,$A596,Fact_PreSortWeights!$B$2:$B$186,$B596))))</f>
        <v>0</v>
      </c>
      <c r="G596" s="0" t="n">
        <f aca="false">IF(AND(IF($B596="Trash",INDEX('Materials Master'!$F$2:$F$27,MATCH($C596,'Materials Master'!$A$2:$A$27,0)),IF($B596="GMPC Recycling",INDEX('Materials Master'!$G$2:$G$27,MATCH($C596,'Materials Master'!$A$2:$A$27,0)),IF($B596="Organics Recycling",INDEX('Materials Master'!$H$2:$H$27,MATCH($C596,'Materials Master'!$A$2:$A$27,0)),IF($B596="Cardboard Recycling",INDEX('Materials Master'!$I$2:$I$27,MATCH($C596,'Materials Master'!$A$2:$A$27,0)),IF($B596="Paper Recycling",INDEX('Materials Master'!$J$2:$J$27,MATCH($C596,'Materials Master'!$A$2:$A$27,0)),IF($B596="Terracycle",INDEX('Materials Master'!$K$2:$K$27,MATCH($C596,'Materials Master'!$A$2:$A$27,0)),"No"))))))="Yes",INDEX('Materials Master'!$E$2:$E$27,MATCH($C596,'Materials Master'!$A$2:$A$27,0))="Yes",$B596&lt;&gt;"Trash"),1,0)</f>
        <v>0</v>
      </c>
      <c r="H596" s="0" t="str">
        <f aca="false">INDEX('Materials Master'!$E$2:$E$27,MATCH($C596,'Materials Master'!$A$2:$A$27,0))</f>
        <v>No</v>
      </c>
      <c r="I596" s="0" t="str">
        <f aca="false">IFERROR(INDEX(Areas!$C$2:$C$6,MATCH($A596,Areas!$B$2:$B$6,0)),"")</f>
        <v>Rest of Building</v>
      </c>
      <c r="J596" s="0" t="n">
        <f aca="false">IF(IF($B596="Trash",INDEX('Materials Master'!$F$2:$F$27,MATCH($C596,'Materials Master'!$A$2:$A$27,0)),IF($B596="GMPC Recycling",INDEX('Materials Master'!$G$2:$G$27,MATCH($C596,'Materials Master'!$A$2:$A$27,0)),IF($B596="Organics Recycling",INDEX('Materials Master'!$H$2:$H$27,MATCH($C596,'Materials Master'!$A$2:$A$27,0)),IF($B596="Cardboard Recycling",INDEX('Materials Master'!$I$2:$I$27,MATCH($C596,'Materials Master'!$A$2:$A$27,0)),IF($B596="Paper Recycling",INDEX('Materials Master'!$J$2:$J$27,MATCH($C596,'Materials Master'!$A$2:$A$27,0)),IF($B596="Terracycle",INDEX('Materials Master'!$K$2:$K$27,MATCH($C596,'Materials Master'!$A$2:$A$27,0)),"No"))))))="Yes",1,0)</f>
        <v>0</v>
      </c>
    </row>
    <row r="597" customFormat="false" ht="15" hidden="false" customHeight="false" outlineLevel="0" collapsed="false">
      <c r="A597" s="0" t="s">
        <v>100</v>
      </c>
      <c r="B597" s="0" t="s">
        <v>107</v>
      </c>
      <c r="C597" s="0" t="s">
        <v>82</v>
      </c>
      <c r="D597" s="0" t="str">
        <f aca="false">IFERROR(INDEX('Materials Master'!$B$2:$B$27,MATCH($C597,'Materials Master'!$A$2:$A$27,0)),"")</f>
        <v>Liquids</v>
      </c>
      <c r="E597" s="0" t="str">
        <f aca="false">IFERROR(INDEX('Materials Master'!$C$2:$C$27,MATCH($C597,'Materials Master'!$A$2:$A$27,0)),"")</f>
        <v>Unacceptable</v>
      </c>
      <c r="F597" s="0" t="n">
        <f aca="false">IF(SUMIFS(Fact_SortedWeights!$E$2:$E$89,Fact_SortedWeights!$C$2:$C$89,$A597,Fact_SortedWeights!$B$2:$B$89,$B597)=0,0,SUMIFS(Fact_SortedWeights!$E$2:$E$89,Fact_SortedWeights!$C$2:$C$89,$A597,Fact_SortedWeights!$B$2:$B$89,$B597,Fact_SortedWeights!$D$2:$D$89,$C597)/SUMIFS(Fact_SortedWeights!$E$2:$E$89,Fact_SortedWeights!$C$2:$C$89,$A597,Fact_SortedWeights!$B$2:$B$89,$B597)*(IF($B597="Cardboard Recycling",SUMIFS(Fact_SortedWeights!$E$2:$E$89,Fact_SortedWeights!$C$2:$C$89,$A597,Fact_SortedWeights!$B$2:$B$89,$B597),SUMIFS(Fact_PreSortWeights!$E$2:$E$186,Fact_PreSortWeights!$C$2:$C$186,$A597,Fact_PreSortWeights!$B$2:$B$186,$B597))))</f>
        <v>0</v>
      </c>
      <c r="G597" s="0" t="n">
        <f aca="false">IF(AND(IF($B597="Trash",INDEX('Materials Master'!$F$2:$F$27,MATCH($C597,'Materials Master'!$A$2:$A$27,0)),IF($B597="GMPC Recycling",INDEX('Materials Master'!$G$2:$G$27,MATCH($C597,'Materials Master'!$A$2:$A$27,0)),IF($B597="Organics Recycling",INDEX('Materials Master'!$H$2:$H$27,MATCH($C597,'Materials Master'!$A$2:$A$27,0)),IF($B597="Cardboard Recycling",INDEX('Materials Master'!$I$2:$I$27,MATCH($C597,'Materials Master'!$A$2:$A$27,0)),IF($B597="Paper Recycling",INDEX('Materials Master'!$J$2:$J$27,MATCH($C597,'Materials Master'!$A$2:$A$27,0)),IF($B597="Terracycle",INDEX('Materials Master'!$K$2:$K$27,MATCH($C597,'Materials Master'!$A$2:$A$27,0)),"No"))))))="Yes",INDEX('Materials Master'!$E$2:$E$27,MATCH($C597,'Materials Master'!$A$2:$A$27,0))="Yes",$B597&lt;&gt;"Trash"),1,0)</f>
        <v>0</v>
      </c>
      <c r="H597" s="0" t="str">
        <f aca="false">INDEX('Materials Master'!$E$2:$E$27,MATCH($C597,'Materials Master'!$A$2:$A$27,0))</f>
        <v>No</v>
      </c>
      <c r="I597" s="0" t="str">
        <f aca="false">IFERROR(INDEX(Areas!$C$2:$C$6,MATCH($A597,Areas!$B$2:$B$6,0)),"")</f>
        <v>Rest of Building</v>
      </c>
      <c r="J597" s="0" t="n">
        <f aca="false">IF(IF($B597="Trash",INDEX('Materials Master'!$F$2:$F$27,MATCH($C597,'Materials Master'!$A$2:$A$27,0)),IF($B597="GMPC Recycling",INDEX('Materials Master'!$G$2:$G$27,MATCH($C597,'Materials Master'!$A$2:$A$27,0)),IF($B597="Organics Recycling",INDEX('Materials Master'!$H$2:$H$27,MATCH($C597,'Materials Master'!$A$2:$A$27,0)),IF($B597="Cardboard Recycling",INDEX('Materials Master'!$I$2:$I$27,MATCH($C597,'Materials Master'!$A$2:$A$27,0)),IF($B597="Paper Recycling",INDEX('Materials Master'!$J$2:$J$27,MATCH($C597,'Materials Master'!$A$2:$A$27,0)),IF($B597="Terracycle",INDEX('Materials Master'!$K$2:$K$27,MATCH($C597,'Materials Master'!$A$2:$A$27,0)),"No"))))))="Yes",1,0)</f>
        <v>0</v>
      </c>
    </row>
    <row r="598" customFormat="false" ht="15" hidden="false" customHeight="false" outlineLevel="0" collapsed="false">
      <c r="A598" s="0" t="s">
        <v>100</v>
      </c>
      <c r="B598" s="0" t="s">
        <v>107</v>
      </c>
      <c r="C598" s="0" t="s">
        <v>84</v>
      </c>
      <c r="D598" s="0" t="str">
        <f aca="false">IFERROR(INDEX('Materials Master'!$B$2:$B$27,MATCH($C598,'Materials Master'!$A$2:$A$27,0)),"")</f>
        <v>Snack Wrappers (Composites)</v>
      </c>
      <c r="E598" s="0" t="str">
        <f aca="false">IFERROR(INDEX('Materials Master'!$C$2:$C$27,MATCH($C598,'Materials Master'!$A$2:$A$27,0)),"")</f>
        <v>Other</v>
      </c>
      <c r="F598" s="0" t="n">
        <f aca="false">IF(SUMIFS(Fact_SortedWeights!$E$2:$E$89,Fact_SortedWeights!$C$2:$C$89,$A598,Fact_SortedWeights!$B$2:$B$89,$B598)=0,0,SUMIFS(Fact_SortedWeights!$E$2:$E$89,Fact_SortedWeights!$C$2:$C$89,$A598,Fact_SortedWeights!$B$2:$B$89,$B598,Fact_SortedWeights!$D$2:$D$89,$C598)/SUMIFS(Fact_SortedWeights!$E$2:$E$89,Fact_SortedWeights!$C$2:$C$89,$A598,Fact_SortedWeights!$B$2:$B$89,$B598)*(IF($B598="Cardboard Recycling",SUMIFS(Fact_SortedWeights!$E$2:$E$89,Fact_SortedWeights!$C$2:$C$89,$A598,Fact_SortedWeights!$B$2:$B$89,$B598),SUMIFS(Fact_PreSortWeights!$E$2:$E$186,Fact_PreSortWeights!$C$2:$C$186,$A598,Fact_PreSortWeights!$B$2:$B$186,$B598))))</f>
        <v>0</v>
      </c>
      <c r="G598" s="0" t="n">
        <f aca="false">IF(AND(IF($B598="Trash",INDEX('Materials Master'!$F$2:$F$27,MATCH($C598,'Materials Master'!$A$2:$A$27,0)),IF($B598="GMPC Recycling",INDEX('Materials Master'!$G$2:$G$27,MATCH($C598,'Materials Master'!$A$2:$A$27,0)),IF($B598="Organics Recycling",INDEX('Materials Master'!$H$2:$H$27,MATCH($C598,'Materials Master'!$A$2:$A$27,0)),IF($B598="Cardboard Recycling",INDEX('Materials Master'!$I$2:$I$27,MATCH($C598,'Materials Master'!$A$2:$A$27,0)),IF($B598="Paper Recycling",INDEX('Materials Master'!$J$2:$J$27,MATCH($C598,'Materials Master'!$A$2:$A$27,0)),IF($B598="Terracycle",INDEX('Materials Master'!$K$2:$K$27,MATCH($C598,'Materials Master'!$A$2:$A$27,0)),"No"))))))="Yes",INDEX('Materials Master'!$E$2:$E$27,MATCH($C598,'Materials Master'!$A$2:$A$27,0))="Yes",$B598&lt;&gt;"Trash"),1,0)</f>
        <v>0</v>
      </c>
      <c r="H598" s="0" t="str">
        <f aca="false">INDEX('Materials Master'!$E$2:$E$27,MATCH($C598,'Materials Master'!$A$2:$A$27,0))</f>
        <v>Yes</v>
      </c>
      <c r="I598" s="0" t="str">
        <f aca="false">IFERROR(INDEX(Areas!$C$2:$C$6,MATCH($A598,Areas!$B$2:$B$6,0)),"")</f>
        <v>Rest of Building</v>
      </c>
      <c r="J598" s="0" t="n">
        <f aca="false">IF(IF($B598="Trash",INDEX('Materials Master'!$F$2:$F$27,MATCH($C598,'Materials Master'!$A$2:$A$27,0)),IF($B598="GMPC Recycling",INDEX('Materials Master'!$G$2:$G$27,MATCH($C598,'Materials Master'!$A$2:$A$27,0)),IF($B598="Organics Recycling",INDEX('Materials Master'!$H$2:$H$27,MATCH($C598,'Materials Master'!$A$2:$A$27,0)),IF($B598="Cardboard Recycling",INDEX('Materials Master'!$I$2:$I$27,MATCH($C598,'Materials Master'!$A$2:$A$27,0)),IF($B598="Paper Recycling",INDEX('Materials Master'!$J$2:$J$27,MATCH($C598,'Materials Master'!$A$2:$A$27,0)),IF($B598="Terracycle",INDEX('Materials Master'!$K$2:$K$27,MATCH($C598,'Materials Master'!$A$2:$A$27,0)),"No"))))))="Yes",1,0)</f>
        <v>0</v>
      </c>
    </row>
    <row r="599" customFormat="false" ht="15" hidden="false" customHeight="false" outlineLevel="0" collapsed="false">
      <c r="A599" s="0" t="s">
        <v>100</v>
      </c>
      <c r="B599" s="0" t="s">
        <v>107</v>
      </c>
      <c r="C599" s="0" t="s">
        <v>87</v>
      </c>
      <c r="D599" s="0" t="str">
        <f aca="false">IFERROR(INDEX('Materials Master'!$B$2:$B$27,MATCH($C599,'Materials Master'!$A$2:$A$27,0)),"")</f>
        <v>Other/Residual Materials</v>
      </c>
      <c r="E599" s="0" t="str">
        <f aca="false">IFERROR(INDEX('Materials Master'!$C$2:$C$27,MATCH($C599,'Materials Master'!$A$2:$A$27,0)),"")</f>
        <v>Other</v>
      </c>
      <c r="F599" s="0" t="n">
        <f aca="false">IF(SUMIFS(Fact_SortedWeights!$E$2:$E$89,Fact_SortedWeights!$C$2:$C$89,$A599,Fact_SortedWeights!$B$2:$B$89,$B599)=0,0,SUMIFS(Fact_SortedWeights!$E$2:$E$89,Fact_SortedWeights!$C$2:$C$89,$A599,Fact_SortedWeights!$B$2:$B$89,$B599,Fact_SortedWeights!$D$2:$D$89,$C599)/SUMIFS(Fact_SortedWeights!$E$2:$E$89,Fact_SortedWeights!$C$2:$C$89,$A599,Fact_SortedWeights!$B$2:$B$89,$B599)*(IF($B599="Cardboard Recycling",SUMIFS(Fact_SortedWeights!$E$2:$E$89,Fact_SortedWeights!$C$2:$C$89,$A599,Fact_SortedWeights!$B$2:$B$89,$B599),SUMIFS(Fact_PreSortWeights!$E$2:$E$186,Fact_PreSortWeights!$C$2:$C$186,$A599,Fact_PreSortWeights!$B$2:$B$186,$B599))))</f>
        <v>0</v>
      </c>
      <c r="G599" s="0" t="n">
        <f aca="false">IF(AND(IF($B599="Trash",INDEX('Materials Master'!$F$2:$F$27,MATCH($C599,'Materials Master'!$A$2:$A$27,0)),IF($B599="GMPC Recycling",INDEX('Materials Master'!$G$2:$G$27,MATCH($C599,'Materials Master'!$A$2:$A$27,0)),IF($B599="Organics Recycling",INDEX('Materials Master'!$H$2:$H$27,MATCH($C599,'Materials Master'!$A$2:$A$27,0)),IF($B599="Cardboard Recycling",INDEX('Materials Master'!$I$2:$I$27,MATCH($C599,'Materials Master'!$A$2:$A$27,0)),IF($B599="Paper Recycling",INDEX('Materials Master'!$J$2:$J$27,MATCH($C599,'Materials Master'!$A$2:$A$27,0)),IF($B599="Terracycle",INDEX('Materials Master'!$K$2:$K$27,MATCH($C599,'Materials Master'!$A$2:$A$27,0)),"No"))))))="Yes",INDEX('Materials Master'!$E$2:$E$27,MATCH($C599,'Materials Master'!$A$2:$A$27,0))="Yes",$B599&lt;&gt;"Trash"),1,0)</f>
        <v>0</v>
      </c>
      <c r="H599" s="0" t="str">
        <f aca="false">INDEX('Materials Master'!$E$2:$E$27,MATCH($C599,'Materials Master'!$A$2:$A$27,0))</f>
        <v>No</v>
      </c>
      <c r="I599" s="0" t="str">
        <f aca="false">IFERROR(INDEX(Areas!$C$2:$C$6,MATCH($A599,Areas!$B$2:$B$6,0)),"")</f>
        <v>Rest of Building</v>
      </c>
      <c r="J599" s="0" t="n">
        <f aca="false">IF(IF($B599="Trash",INDEX('Materials Master'!$F$2:$F$27,MATCH($C599,'Materials Master'!$A$2:$A$27,0)),IF($B599="GMPC Recycling",INDEX('Materials Master'!$G$2:$G$27,MATCH($C599,'Materials Master'!$A$2:$A$27,0)),IF($B599="Organics Recycling",INDEX('Materials Master'!$H$2:$H$27,MATCH($C599,'Materials Master'!$A$2:$A$27,0)),IF($B599="Cardboard Recycling",INDEX('Materials Master'!$I$2:$I$27,MATCH($C599,'Materials Master'!$A$2:$A$27,0)),IF($B599="Paper Recycling",INDEX('Materials Master'!$J$2:$J$27,MATCH($C599,'Materials Master'!$A$2:$A$27,0)),IF($B599="Terracycle",INDEX('Materials Master'!$K$2:$K$27,MATCH($C599,'Materials Master'!$A$2:$A$27,0)),"No"))))))="Yes",1,0)</f>
        <v>0</v>
      </c>
    </row>
    <row r="600" customFormat="false" ht="15" hidden="false" customHeight="false" outlineLevel="0" collapsed="false">
      <c r="A600" s="0" t="s">
        <v>100</v>
      </c>
      <c r="B600" s="0" t="s">
        <v>108</v>
      </c>
      <c r="C600" s="0" t="s">
        <v>28</v>
      </c>
      <c r="D600" s="0" t="str">
        <f aca="false">IFERROR(INDEX('Materials Master'!$B$2:$B$27,MATCH($C600,'Materials Master'!$A$2:$A$27,0)),"")</f>
        <v>Corrugated Cardboard</v>
      </c>
      <c r="E600" s="0" t="str">
        <f aca="false">IFERROR(INDEX('Materials Master'!$C$2:$C$27,MATCH($C600,'Materials Master'!$A$2:$A$27,0)),"")</f>
        <v>Fibers</v>
      </c>
      <c r="F600" s="0" t="n">
        <f aca="false">IF(SUMIFS(Fact_SortedWeights!$E$2:$E$89,Fact_SortedWeights!$C$2:$C$89,$A600,Fact_SortedWeights!$B$2:$B$89,$B600)=0,0,SUMIFS(Fact_SortedWeights!$E$2:$E$89,Fact_SortedWeights!$C$2:$C$89,$A600,Fact_SortedWeights!$B$2:$B$89,$B600,Fact_SortedWeights!$D$2:$D$89,$C600)/SUMIFS(Fact_SortedWeights!$E$2:$E$89,Fact_SortedWeights!$C$2:$C$89,$A600,Fact_SortedWeights!$B$2:$B$89,$B600)*(IF($B600="Cardboard Recycling",SUMIFS(Fact_SortedWeights!$E$2:$E$89,Fact_SortedWeights!$C$2:$C$89,$A600,Fact_SortedWeights!$B$2:$B$89,$B600),SUMIFS(Fact_PreSortWeights!$E$2:$E$186,Fact_PreSortWeights!$C$2:$C$186,$A600,Fact_PreSortWeights!$B$2:$B$186,$B600))))</f>
        <v>0</v>
      </c>
      <c r="G600" s="0" t="n">
        <f aca="false">IF(AND(IF($B600="Trash",INDEX('Materials Master'!$F$2:$F$27,MATCH($C600,'Materials Master'!$A$2:$A$27,0)),IF($B600="GMPC Recycling",INDEX('Materials Master'!$G$2:$G$27,MATCH($C600,'Materials Master'!$A$2:$A$27,0)),IF($B600="Organics Recycling",INDEX('Materials Master'!$H$2:$H$27,MATCH($C600,'Materials Master'!$A$2:$A$27,0)),IF($B600="Cardboard Recycling",INDEX('Materials Master'!$I$2:$I$27,MATCH($C600,'Materials Master'!$A$2:$A$27,0)),IF($B600="Paper Recycling",INDEX('Materials Master'!$J$2:$J$27,MATCH($C600,'Materials Master'!$A$2:$A$27,0)),IF($B600="Terracycle",INDEX('Materials Master'!$K$2:$K$27,MATCH($C600,'Materials Master'!$A$2:$A$27,0)),"No"))))))="Yes",INDEX('Materials Master'!$E$2:$E$27,MATCH($C600,'Materials Master'!$A$2:$A$27,0))="Yes",$B600&lt;&gt;"Trash"),1,0)</f>
        <v>0</v>
      </c>
      <c r="H600" s="0" t="str">
        <f aca="false">INDEX('Materials Master'!$E$2:$E$27,MATCH($C600,'Materials Master'!$A$2:$A$27,0))</f>
        <v>Yes</v>
      </c>
      <c r="I600" s="0" t="str">
        <f aca="false">IFERROR(INDEX(Areas!$C$2:$C$6,MATCH($A600,Areas!$B$2:$B$6,0)),"")</f>
        <v>Rest of Building</v>
      </c>
      <c r="J600" s="0" t="n">
        <f aca="false">IF(IF($B600="Trash",INDEX('Materials Master'!$F$2:$F$27,MATCH($C600,'Materials Master'!$A$2:$A$27,0)),IF($B600="GMPC Recycling",INDEX('Materials Master'!$G$2:$G$27,MATCH($C600,'Materials Master'!$A$2:$A$27,0)),IF($B600="Organics Recycling",INDEX('Materials Master'!$H$2:$H$27,MATCH($C600,'Materials Master'!$A$2:$A$27,0)),IF($B600="Cardboard Recycling",INDEX('Materials Master'!$I$2:$I$27,MATCH($C600,'Materials Master'!$A$2:$A$27,0)),IF($B600="Paper Recycling",INDEX('Materials Master'!$J$2:$J$27,MATCH($C600,'Materials Master'!$A$2:$A$27,0)),IF($B600="Terracycle",INDEX('Materials Master'!$K$2:$K$27,MATCH($C600,'Materials Master'!$A$2:$A$27,0)),"No"))))))="Yes",1,0)</f>
        <v>0</v>
      </c>
    </row>
    <row r="601" customFormat="false" ht="15" hidden="false" customHeight="false" outlineLevel="0" collapsed="false">
      <c r="A601" s="0" t="s">
        <v>100</v>
      </c>
      <c r="B601" s="0" t="s">
        <v>108</v>
      </c>
      <c r="C601" s="0" t="s">
        <v>33</v>
      </c>
      <c r="D601" s="0" t="str">
        <f aca="false">IFERROR(INDEX('Materials Master'!$B$2:$B$27,MATCH($C601,'Materials Master'!$A$2:$A$27,0)),"")</f>
        <v>Soiled Cardboard</v>
      </c>
      <c r="E601" s="0" t="str">
        <f aca="false">IFERROR(INDEX('Materials Master'!$C$2:$C$27,MATCH($C601,'Materials Master'!$A$2:$A$27,0)),"")</f>
        <v>Fibers</v>
      </c>
      <c r="F601" s="0" t="n">
        <f aca="false">IF(SUMIFS(Fact_SortedWeights!$E$2:$E$89,Fact_SortedWeights!$C$2:$C$89,$A601,Fact_SortedWeights!$B$2:$B$89,$B601)=0,0,SUMIFS(Fact_SortedWeights!$E$2:$E$89,Fact_SortedWeights!$C$2:$C$89,$A601,Fact_SortedWeights!$B$2:$B$89,$B601,Fact_SortedWeights!$D$2:$D$89,$C601)/SUMIFS(Fact_SortedWeights!$E$2:$E$89,Fact_SortedWeights!$C$2:$C$89,$A601,Fact_SortedWeights!$B$2:$B$89,$B601)*(IF($B601="Cardboard Recycling",SUMIFS(Fact_SortedWeights!$E$2:$E$89,Fact_SortedWeights!$C$2:$C$89,$A601,Fact_SortedWeights!$B$2:$B$89,$B601),SUMIFS(Fact_PreSortWeights!$E$2:$E$186,Fact_PreSortWeights!$C$2:$C$186,$A601,Fact_PreSortWeights!$B$2:$B$186,$B601))))</f>
        <v>0</v>
      </c>
      <c r="G601" s="0" t="n">
        <f aca="false">IF(AND(IF($B601="Trash",INDEX('Materials Master'!$F$2:$F$27,MATCH($C601,'Materials Master'!$A$2:$A$27,0)),IF($B601="GMPC Recycling",INDEX('Materials Master'!$G$2:$G$27,MATCH($C601,'Materials Master'!$A$2:$A$27,0)),IF($B601="Organics Recycling",INDEX('Materials Master'!$H$2:$H$27,MATCH($C601,'Materials Master'!$A$2:$A$27,0)),IF($B601="Cardboard Recycling",INDEX('Materials Master'!$I$2:$I$27,MATCH($C601,'Materials Master'!$A$2:$A$27,0)),IF($B601="Paper Recycling",INDEX('Materials Master'!$J$2:$J$27,MATCH($C601,'Materials Master'!$A$2:$A$27,0)),IF($B601="Terracycle",INDEX('Materials Master'!$K$2:$K$27,MATCH($C601,'Materials Master'!$A$2:$A$27,0)),"No"))))))="Yes",INDEX('Materials Master'!$E$2:$E$27,MATCH($C601,'Materials Master'!$A$2:$A$27,0))="Yes",$B601&lt;&gt;"Trash"),1,0)</f>
        <v>0</v>
      </c>
      <c r="H601" s="0" t="str">
        <f aca="false">INDEX('Materials Master'!$E$2:$E$27,MATCH($C601,'Materials Master'!$A$2:$A$27,0))</f>
        <v>No</v>
      </c>
      <c r="I601" s="0" t="str">
        <f aca="false">IFERROR(INDEX(Areas!$C$2:$C$6,MATCH($A601,Areas!$B$2:$B$6,0)),"")</f>
        <v>Rest of Building</v>
      </c>
      <c r="J601" s="0" t="n">
        <f aca="false">IF(IF($B601="Trash",INDEX('Materials Master'!$F$2:$F$27,MATCH($C601,'Materials Master'!$A$2:$A$27,0)),IF($B601="GMPC Recycling",INDEX('Materials Master'!$G$2:$G$27,MATCH($C601,'Materials Master'!$A$2:$A$27,0)),IF($B601="Organics Recycling",INDEX('Materials Master'!$H$2:$H$27,MATCH($C601,'Materials Master'!$A$2:$A$27,0)),IF($B601="Cardboard Recycling",INDEX('Materials Master'!$I$2:$I$27,MATCH($C601,'Materials Master'!$A$2:$A$27,0)),IF($B601="Paper Recycling",INDEX('Materials Master'!$J$2:$J$27,MATCH($C601,'Materials Master'!$A$2:$A$27,0)),IF($B601="Terracycle",INDEX('Materials Master'!$K$2:$K$27,MATCH($C601,'Materials Master'!$A$2:$A$27,0)),"No"))))))="Yes",1,0)</f>
        <v>0</v>
      </c>
    </row>
    <row r="602" customFormat="false" ht="15" hidden="false" customHeight="false" outlineLevel="0" collapsed="false">
      <c r="A602" s="0" t="s">
        <v>100</v>
      </c>
      <c r="B602" s="0" t="s">
        <v>108</v>
      </c>
      <c r="C602" s="0" t="s">
        <v>35</v>
      </c>
      <c r="D602" s="0" t="str">
        <f aca="false">IFERROR(INDEX('Materials Master'!$B$2:$B$27,MATCH($C602,'Materials Master'!$A$2:$A$27,0)),"")</f>
        <v>Waxed Cardboard</v>
      </c>
      <c r="E602" s="0" t="str">
        <f aca="false">IFERROR(INDEX('Materials Master'!$C$2:$C$27,MATCH($C602,'Materials Master'!$A$2:$A$27,0)),"")</f>
        <v>Fibers</v>
      </c>
      <c r="F602" s="0" t="n">
        <f aca="false">IF(SUMIFS(Fact_SortedWeights!$E$2:$E$89,Fact_SortedWeights!$C$2:$C$89,$A602,Fact_SortedWeights!$B$2:$B$89,$B602)=0,0,SUMIFS(Fact_SortedWeights!$E$2:$E$89,Fact_SortedWeights!$C$2:$C$89,$A602,Fact_SortedWeights!$B$2:$B$89,$B602,Fact_SortedWeights!$D$2:$D$89,$C602)/SUMIFS(Fact_SortedWeights!$E$2:$E$89,Fact_SortedWeights!$C$2:$C$89,$A602,Fact_SortedWeights!$B$2:$B$89,$B602)*(IF($B602="Cardboard Recycling",SUMIFS(Fact_SortedWeights!$E$2:$E$89,Fact_SortedWeights!$C$2:$C$89,$A602,Fact_SortedWeights!$B$2:$B$89,$B602),SUMIFS(Fact_PreSortWeights!$E$2:$E$186,Fact_PreSortWeights!$C$2:$C$186,$A602,Fact_PreSortWeights!$B$2:$B$186,$B602))))</f>
        <v>0</v>
      </c>
      <c r="G602" s="0" t="n">
        <f aca="false">IF(AND(IF($B602="Trash",INDEX('Materials Master'!$F$2:$F$27,MATCH($C602,'Materials Master'!$A$2:$A$27,0)),IF($B602="GMPC Recycling",INDEX('Materials Master'!$G$2:$G$27,MATCH($C602,'Materials Master'!$A$2:$A$27,0)),IF($B602="Organics Recycling",INDEX('Materials Master'!$H$2:$H$27,MATCH($C602,'Materials Master'!$A$2:$A$27,0)),IF($B602="Cardboard Recycling",INDEX('Materials Master'!$I$2:$I$27,MATCH($C602,'Materials Master'!$A$2:$A$27,0)),IF($B602="Paper Recycling",INDEX('Materials Master'!$J$2:$J$27,MATCH($C602,'Materials Master'!$A$2:$A$27,0)),IF($B602="Terracycle",INDEX('Materials Master'!$K$2:$K$27,MATCH($C602,'Materials Master'!$A$2:$A$27,0)),"No"))))))="Yes",INDEX('Materials Master'!$E$2:$E$27,MATCH($C602,'Materials Master'!$A$2:$A$27,0))="Yes",$B602&lt;&gt;"Trash"),1,0)</f>
        <v>0</v>
      </c>
      <c r="H602" s="0" t="str">
        <f aca="false">INDEX('Materials Master'!$E$2:$E$27,MATCH($C602,'Materials Master'!$A$2:$A$27,0))</f>
        <v>No</v>
      </c>
      <c r="I602" s="0" t="str">
        <f aca="false">IFERROR(INDEX(Areas!$C$2:$C$6,MATCH($A602,Areas!$B$2:$B$6,0)),"")</f>
        <v>Rest of Building</v>
      </c>
      <c r="J602" s="0" t="n">
        <f aca="false">IF(IF($B602="Trash",INDEX('Materials Master'!$F$2:$F$27,MATCH($C602,'Materials Master'!$A$2:$A$27,0)),IF($B602="GMPC Recycling",INDEX('Materials Master'!$G$2:$G$27,MATCH($C602,'Materials Master'!$A$2:$A$27,0)),IF($B602="Organics Recycling",INDEX('Materials Master'!$H$2:$H$27,MATCH($C602,'Materials Master'!$A$2:$A$27,0)),IF($B602="Cardboard Recycling",INDEX('Materials Master'!$I$2:$I$27,MATCH($C602,'Materials Master'!$A$2:$A$27,0)),IF($B602="Paper Recycling",INDEX('Materials Master'!$J$2:$J$27,MATCH($C602,'Materials Master'!$A$2:$A$27,0)),IF($B602="Terracycle",INDEX('Materials Master'!$K$2:$K$27,MATCH($C602,'Materials Master'!$A$2:$A$27,0)),"No"))))))="Yes",1,0)</f>
        <v>0</v>
      </c>
    </row>
    <row r="603" customFormat="false" ht="15" hidden="false" customHeight="false" outlineLevel="0" collapsed="false">
      <c r="A603" s="0" t="s">
        <v>100</v>
      </c>
      <c r="B603" s="0" t="s">
        <v>108</v>
      </c>
      <c r="C603" s="0" t="s">
        <v>37</v>
      </c>
      <c r="D603" s="0" t="str">
        <f aca="false">IFERROR(INDEX('Materials Master'!$B$2:$B$27,MATCH($C603,'Materials Master'!$A$2:$A$27,0)),"")</f>
        <v>Mixed Paper</v>
      </c>
      <c r="E603" s="0" t="str">
        <f aca="false">IFERROR(INDEX('Materials Master'!$C$2:$C$27,MATCH($C603,'Materials Master'!$A$2:$A$27,0)),"")</f>
        <v>Fibers</v>
      </c>
      <c r="F603" s="0" t="n">
        <f aca="false">IF(SUMIFS(Fact_SortedWeights!$E$2:$E$89,Fact_SortedWeights!$C$2:$C$89,$A603,Fact_SortedWeights!$B$2:$B$89,$B603)=0,0,SUMIFS(Fact_SortedWeights!$E$2:$E$89,Fact_SortedWeights!$C$2:$C$89,$A603,Fact_SortedWeights!$B$2:$B$89,$B603,Fact_SortedWeights!$D$2:$D$89,$C603)/SUMIFS(Fact_SortedWeights!$E$2:$E$89,Fact_SortedWeights!$C$2:$C$89,$A603,Fact_SortedWeights!$B$2:$B$89,$B603)*(IF($B603="Cardboard Recycling",SUMIFS(Fact_SortedWeights!$E$2:$E$89,Fact_SortedWeights!$C$2:$C$89,$A603,Fact_SortedWeights!$B$2:$B$89,$B603),SUMIFS(Fact_PreSortWeights!$E$2:$E$186,Fact_PreSortWeights!$C$2:$C$186,$A603,Fact_PreSortWeights!$B$2:$B$186,$B603))))</f>
        <v>0</v>
      </c>
      <c r="G603" s="0" t="n">
        <f aca="false">IF(AND(IF($B603="Trash",INDEX('Materials Master'!$F$2:$F$27,MATCH($C603,'Materials Master'!$A$2:$A$27,0)),IF($B603="GMPC Recycling",INDEX('Materials Master'!$G$2:$G$27,MATCH($C603,'Materials Master'!$A$2:$A$27,0)),IF($B603="Organics Recycling",INDEX('Materials Master'!$H$2:$H$27,MATCH($C603,'Materials Master'!$A$2:$A$27,0)),IF($B603="Cardboard Recycling",INDEX('Materials Master'!$I$2:$I$27,MATCH($C603,'Materials Master'!$A$2:$A$27,0)),IF($B603="Paper Recycling",INDEX('Materials Master'!$J$2:$J$27,MATCH($C603,'Materials Master'!$A$2:$A$27,0)),IF($B603="Terracycle",INDEX('Materials Master'!$K$2:$K$27,MATCH($C603,'Materials Master'!$A$2:$A$27,0)),"No"))))))="Yes",INDEX('Materials Master'!$E$2:$E$27,MATCH($C603,'Materials Master'!$A$2:$A$27,0))="Yes",$B603&lt;&gt;"Trash"),1,0)</f>
        <v>0</v>
      </c>
      <c r="H603" s="0" t="str">
        <f aca="false">INDEX('Materials Master'!$E$2:$E$27,MATCH($C603,'Materials Master'!$A$2:$A$27,0))</f>
        <v>Yes</v>
      </c>
      <c r="I603" s="0" t="str">
        <f aca="false">IFERROR(INDEX(Areas!$C$2:$C$6,MATCH($A603,Areas!$B$2:$B$6,0)),"")</f>
        <v>Rest of Building</v>
      </c>
      <c r="J603" s="0" t="n">
        <f aca="false">IF(IF($B603="Trash",INDEX('Materials Master'!$F$2:$F$27,MATCH($C603,'Materials Master'!$A$2:$A$27,0)),IF($B603="GMPC Recycling",INDEX('Materials Master'!$G$2:$G$27,MATCH($C603,'Materials Master'!$A$2:$A$27,0)),IF($B603="Organics Recycling",INDEX('Materials Master'!$H$2:$H$27,MATCH($C603,'Materials Master'!$A$2:$A$27,0)),IF($B603="Cardboard Recycling",INDEX('Materials Master'!$I$2:$I$27,MATCH($C603,'Materials Master'!$A$2:$A$27,0)),IF($B603="Paper Recycling",INDEX('Materials Master'!$J$2:$J$27,MATCH($C603,'Materials Master'!$A$2:$A$27,0)),IF($B603="Terracycle",INDEX('Materials Master'!$K$2:$K$27,MATCH($C603,'Materials Master'!$A$2:$A$27,0)),"No"))))))="Yes",1,0)</f>
        <v>0</v>
      </c>
    </row>
    <row r="604" customFormat="false" ht="15" hidden="false" customHeight="false" outlineLevel="0" collapsed="false">
      <c r="A604" s="0" t="s">
        <v>100</v>
      </c>
      <c r="B604" s="0" t="s">
        <v>108</v>
      </c>
      <c r="C604" s="0" t="s">
        <v>39</v>
      </c>
      <c r="D604" s="0" t="str">
        <f aca="false">IFERROR(INDEX('Materials Master'!$B$2:$B$27,MATCH($C604,'Materials Master'!$A$2:$A$27,0)),"")</f>
        <v>Soiled Paper</v>
      </c>
      <c r="E604" s="0" t="str">
        <f aca="false">IFERROR(INDEX('Materials Master'!$C$2:$C$27,MATCH($C604,'Materials Master'!$A$2:$A$27,0)),"")</f>
        <v>Fibers</v>
      </c>
      <c r="F604" s="0" t="n">
        <f aca="false">IF(SUMIFS(Fact_SortedWeights!$E$2:$E$89,Fact_SortedWeights!$C$2:$C$89,$A604,Fact_SortedWeights!$B$2:$B$89,$B604)=0,0,SUMIFS(Fact_SortedWeights!$E$2:$E$89,Fact_SortedWeights!$C$2:$C$89,$A604,Fact_SortedWeights!$B$2:$B$89,$B604,Fact_SortedWeights!$D$2:$D$89,$C604)/SUMIFS(Fact_SortedWeights!$E$2:$E$89,Fact_SortedWeights!$C$2:$C$89,$A604,Fact_SortedWeights!$B$2:$B$89,$B604)*(IF($B604="Cardboard Recycling",SUMIFS(Fact_SortedWeights!$E$2:$E$89,Fact_SortedWeights!$C$2:$C$89,$A604,Fact_SortedWeights!$B$2:$B$89,$B604),SUMIFS(Fact_PreSortWeights!$E$2:$E$186,Fact_PreSortWeights!$C$2:$C$186,$A604,Fact_PreSortWeights!$B$2:$B$186,$B604))))</f>
        <v>0</v>
      </c>
      <c r="G604" s="0" t="n">
        <f aca="false">IF(AND(IF($B604="Trash",INDEX('Materials Master'!$F$2:$F$27,MATCH($C604,'Materials Master'!$A$2:$A$27,0)),IF($B604="GMPC Recycling",INDEX('Materials Master'!$G$2:$G$27,MATCH($C604,'Materials Master'!$A$2:$A$27,0)),IF($B604="Organics Recycling",INDEX('Materials Master'!$H$2:$H$27,MATCH($C604,'Materials Master'!$A$2:$A$27,0)),IF($B604="Cardboard Recycling",INDEX('Materials Master'!$I$2:$I$27,MATCH($C604,'Materials Master'!$A$2:$A$27,0)),IF($B604="Paper Recycling",INDEX('Materials Master'!$J$2:$J$27,MATCH($C604,'Materials Master'!$A$2:$A$27,0)),IF($B604="Terracycle",INDEX('Materials Master'!$K$2:$K$27,MATCH($C604,'Materials Master'!$A$2:$A$27,0)),"No"))))))="Yes",INDEX('Materials Master'!$E$2:$E$27,MATCH($C604,'Materials Master'!$A$2:$A$27,0))="Yes",$B604&lt;&gt;"Trash"),1,0)</f>
        <v>0</v>
      </c>
      <c r="H604" s="0" t="str">
        <f aca="false">INDEX('Materials Master'!$E$2:$E$27,MATCH($C604,'Materials Master'!$A$2:$A$27,0))</f>
        <v>No</v>
      </c>
      <c r="I604" s="0" t="str">
        <f aca="false">IFERROR(INDEX(Areas!$C$2:$C$6,MATCH($A604,Areas!$B$2:$B$6,0)),"")</f>
        <v>Rest of Building</v>
      </c>
      <c r="J604" s="0" t="n">
        <f aca="false">IF(IF($B604="Trash",INDEX('Materials Master'!$F$2:$F$27,MATCH($C604,'Materials Master'!$A$2:$A$27,0)),IF($B604="GMPC Recycling",INDEX('Materials Master'!$G$2:$G$27,MATCH($C604,'Materials Master'!$A$2:$A$27,0)),IF($B604="Organics Recycling",INDEX('Materials Master'!$H$2:$H$27,MATCH($C604,'Materials Master'!$A$2:$A$27,0)),IF($B604="Cardboard Recycling",INDEX('Materials Master'!$I$2:$I$27,MATCH($C604,'Materials Master'!$A$2:$A$27,0)),IF($B604="Paper Recycling",INDEX('Materials Master'!$J$2:$J$27,MATCH($C604,'Materials Master'!$A$2:$A$27,0)),IF($B604="Terracycle",INDEX('Materials Master'!$K$2:$K$27,MATCH($C604,'Materials Master'!$A$2:$A$27,0)),"No"))))))="Yes",1,0)</f>
        <v>0</v>
      </c>
    </row>
    <row r="605" customFormat="false" ht="15" hidden="false" customHeight="false" outlineLevel="0" collapsed="false">
      <c r="A605" s="0" t="s">
        <v>100</v>
      </c>
      <c r="B605" s="0" t="s">
        <v>108</v>
      </c>
      <c r="C605" s="0" t="s">
        <v>41</v>
      </c>
      <c r="D605" s="0" t="str">
        <f aca="false">IFERROR(INDEX('Materials Master'!$B$2:$B$27,MATCH($C605,'Materials Master'!$A$2:$A$27,0)),"")</f>
        <v>Beverage Cartons</v>
      </c>
      <c r="E605" s="0" t="str">
        <f aca="false">IFERROR(INDEX('Materials Master'!$C$2:$C$27,MATCH($C605,'Materials Master'!$A$2:$A$27,0)),"")</f>
        <v>Fibers</v>
      </c>
      <c r="F605" s="0" t="n">
        <f aca="false">IF(SUMIFS(Fact_SortedWeights!$E$2:$E$89,Fact_SortedWeights!$C$2:$C$89,$A605,Fact_SortedWeights!$B$2:$B$89,$B605)=0,0,SUMIFS(Fact_SortedWeights!$E$2:$E$89,Fact_SortedWeights!$C$2:$C$89,$A605,Fact_SortedWeights!$B$2:$B$89,$B605,Fact_SortedWeights!$D$2:$D$89,$C605)/SUMIFS(Fact_SortedWeights!$E$2:$E$89,Fact_SortedWeights!$C$2:$C$89,$A605,Fact_SortedWeights!$B$2:$B$89,$B605)*(IF($B605="Cardboard Recycling",SUMIFS(Fact_SortedWeights!$E$2:$E$89,Fact_SortedWeights!$C$2:$C$89,$A605,Fact_SortedWeights!$B$2:$B$89,$B605),SUMIFS(Fact_PreSortWeights!$E$2:$E$186,Fact_PreSortWeights!$C$2:$C$186,$A605,Fact_PreSortWeights!$B$2:$B$186,$B605))))</f>
        <v>0</v>
      </c>
      <c r="G605" s="0" t="n">
        <f aca="false">IF(AND(IF($B605="Trash",INDEX('Materials Master'!$F$2:$F$27,MATCH($C605,'Materials Master'!$A$2:$A$27,0)),IF($B605="GMPC Recycling",INDEX('Materials Master'!$G$2:$G$27,MATCH($C605,'Materials Master'!$A$2:$A$27,0)),IF($B605="Organics Recycling",INDEX('Materials Master'!$H$2:$H$27,MATCH($C605,'Materials Master'!$A$2:$A$27,0)),IF($B605="Cardboard Recycling",INDEX('Materials Master'!$I$2:$I$27,MATCH($C605,'Materials Master'!$A$2:$A$27,0)),IF($B605="Paper Recycling",INDEX('Materials Master'!$J$2:$J$27,MATCH($C605,'Materials Master'!$A$2:$A$27,0)),IF($B605="Terracycle",INDEX('Materials Master'!$K$2:$K$27,MATCH($C605,'Materials Master'!$A$2:$A$27,0)),"No"))))))="Yes",INDEX('Materials Master'!$E$2:$E$27,MATCH($C605,'Materials Master'!$A$2:$A$27,0))="Yes",$B605&lt;&gt;"Trash"),1,0)</f>
        <v>0</v>
      </c>
      <c r="H605" s="0" t="str">
        <f aca="false">INDEX('Materials Master'!$E$2:$E$27,MATCH($C605,'Materials Master'!$A$2:$A$27,0))</f>
        <v>Yes</v>
      </c>
      <c r="I605" s="0" t="str">
        <f aca="false">IFERROR(INDEX(Areas!$C$2:$C$6,MATCH($A605,Areas!$B$2:$B$6,0)),"")</f>
        <v>Rest of Building</v>
      </c>
      <c r="J605" s="0" t="n">
        <f aca="false">IF(IF($B605="Trash",INDEX('Materials Master'!$F$2:$F$27,MATCH($C605,'Materials Master'!$A$2:$A$27,0)),IF($B605="GMPC Recycling",INDEX('Materials Master'!$G$2:$G$27,MATCH($C605,'Materials Master'!$A$2:$A$27,0)),IF($B605="Organics Recycling",INDEX('Materials Master'!$H$2:$H$27,MATCH($C605,'Materials Master'!$A$2:$A$27,0)),IF($B605="Cardboard Recycling",INDEX('Materials Master'!$I$2:$I$27,MATCH($C605,'Materials Master'!$A$2:$A$27,0)),IF($B605="Paper Recycling",INDEX('Materials Master'!$J$2:$J$27,MATCH($C605,'Materials Master'!$A$2:$A$27,0)),IF($B605="Terracycle",INDEX('Materials Master'!$K$2:$K$27,MATCH($C605,'Materials Master'!$A$2:$A$27,0)),"No"))))))="Yes",1,0)</f>
        <v>0</v>
      </c>
    </row>
    <row r="606" customFormat="false" ht="15" hidden="false" customHeight="false" outlineLevel="0" collapsed="false">
      <c r="A606" s="0" t="s">
        <v>100</v>
      </c>
      <c r="B606" s="0" t="s">
        <v>108</v>
      </c>
      <c r="C606" s="0" t="s">
        <v>43</v>
      </c>
      <c r="D606" s="0" t="str">
        <f aca="false">IFERROR(INDEX('Materials Master'!$B$2:$B$27,MATCH($C606,'Materials Master'!$A$2:$A$27,0)),"")</f>
        <v>Soiled Beverage Cartons</v>
      </c>
      <c r="E606" s="0" t="str">
        <f aca="false">IFERROR(INDEX('Materials Master'!$C$2:$C$27,MATCH($C606,'Materials Master'!$A$2:$A$27,0)),"")</f>
        <v>Fibers</v>
      </c>
      <c r="F606" s="0" t="n">
        <f aca="false">IF(SUMIFS(Fact_SortedWeights!$E$2:$E$89,Fact_SortedWeights!$C$2:$C$89,$A606,Fact_SortedWeights!$B$2:$B$89,$B606)=0,0,SUMIFS(Fact_SortedWeights!$E$2:$E$89,Fact_SortedWeights!$C$2:$C$89,$A606,Fact_SortedWeights!$B$2:$B$89,$B606,Fact_SortedWeights!$D$2:$D$89,$C606)/SUMIFS(Fact_SortedWeights!$E$2:$E$89,Fact_SortedWeights!$C$2:$C$89,$A606,Fact_SortedWeights!$B$2:$B$89,$B606)*(IF($B606="Cardboard Recycling",SUMIFS(Fact_SortedWeights!$E$2:$E$89,Fact_SortedWeights!$C$2:$C$89,$A606,Fact_SortedWeights!$B$2:$B$89,$B606),SUMIFS(Fact_PreSortWeights!$E$2:$E$186,Fact_PreSortWeights!$C$2:$C$186,$A606,Fact_PreSortWeights!$B$2:$B$186,$B606))))</f>
        <v>0</v>
      </c>
      <c r="G606" s="0" t="n">
        <f aca="false">IF(AND(IF($B606="Trash",INDEX('Materials Master'!$F$2:$F$27,MATCH($C606,'Materials Master'!$A$2:$A$27,0)),IF($B606="GMPC Recycling",INDEX('Materials Master'!$G$2:$G$27,MATCH($C606,'Materials Master'!$A$2:$A$27,0)),IF($B606="Organics Recycling",INDEX('Materials Master'!$H$2:$H$27,MATCH($C606,'Materials Master'!$A$2:$A$27,0)),IF($B606="Cardboard Recycling",INDEX('Materials Master'!$I$2:$I$27,MATCH($C606,'Materials Master'!$A$2:$A$27,0)),IF($B606="Paper Recycling",INDEX('Materials Master'!$J$2:$J$27,MATCH($C606,'Materials Master'!$A$2:$A$27,0)),IF($B606="Terracycle",INDEX('Materials Master'!$K$2:$K$27,MATCH($C606,'Materials Master'!$A$2:$A$27,0)),"No"))))))="Yes",INDEX('Materials Master'!$E$2:$E$27,MATCH($C606,'Materials Master'!$A$2:$A$27,0))="Yes",$B606&lt;&gt;"Trash"),1,0)</f>
        <v>0</v>
      </c>
      <c r="H606" s="0" t="str">
        <f aca="false">INDEX('Materials Master'!$E$2:$E$27,MATCH($C606,'Materials Master'!$A$2:$A$27,0))</f>
        <v>No</v>
      </c>
      <c r="I606" s="0" t="str">
        <f aca="false">IFERROR(INDEX(Areas!$C$2:$C$6,MATCH($A606,Areas!$B$2:$B$6,0)),"")</f>
        <v>Rest of Building</v>
      </c>
      <c r="J606" s="0" t="n">
        <f aca="false">IF(IF($B606="Trash",INDEX('Materials Master'!$F$2:$F$27,MATCH($C606,'Materials Master'!$A$2:$A$27,0)),IF($B606="GMPC Recycling",INDEX('Materials Master'!$G$2:$G$27,MATCH($C606,'Materials Master'!$A$2:$A$27,0)),IF($B606="Organics Recycling",INDEX('Materials Master'!$H$2:$H$27,MATCH($C606,'Materials Master'!$A$2:$A$27,0)),IF($B606="Cardboard Recycling",INDEX('Materials Master'!$I$2:$I$27,MATCH($C606,'Materials Master'!$A$2:$A$27,0)),IF($B606="Paper Recycling",INDEX('Materials Master'!$J$2:$J$27,MATCH($C606,'Materials Master'!$A$2:$A$27,0)),IF($B606="Terracycle",INDEX('Materials Master'!$K$2:$K$27,MATCH($C606,'Materials Master'!$A$2:$A$27,0)),"No"))))))="Yes",1,0)</f>
        <v>0</v>
      </c>
    </row>
    <row r="607" customFormat="false" ht="15" hidden="false" customHeight="false" outlineLevel="0" collapsed="false">
      <c r="A607" s="0" t="s">
        <v>100</v>
      </c>
      <c r="B607" s="0" t="s">
        <v>108</v>
      </c>
      <c r="C607" s="0" t="s">
        <v>45</v>
      </c>
      <c r="D607" s="0" t="str">
        <f aca="false">IFERROR(INDEX('Materials Master'!$B$2:$B$27,MATCH($C607,'Materials Master'!$A$2:$A$27,0)),"")</f>
        <v>Paper Cups / Other Coated Paper Containers</v>
      </c>
      <c r="E607" s="0" t="str">
        <f aca="false">IFERROR(INDEX('Materials Master'!$C$2:$C$27,MATCH($C607,'Materials Master'!$A$2:$A$27,0)),"")</f>
        <v>Fibers</v>
      </c>
      <c r="F607" s="0" t="n">
        <f aca="false">IF(SUMIFS(Fact_SortedWeights!$E$2:$E$89,Fact_SortedWeights!$C$2:$C$89,$A607,Fact_SortedWeights!$B$2:$B$89,$B607)=0,0,SUMIFS(Fact_SortedWeights!$E$2:$E$89,Fact_SortedWeights!$C$2:$C$89,$A607,Fact_SortedWeights!$B$2:$B$89,$B607,Fact_SortedWeights!$D$2:$D$89,$C607)/SUMIFS(Fact_SortedWeights!$E$2:$E$89,Fact_SortedWeights!$C$2:$C$89,$A607,Fact_SortedWeights!$B$2:$B$89,$B607)*(IF($B607="Cardboard Recycling",SUMIFS(Fact_SortedWeights!$E$2:$E$89,Fact_SortedWeights!$C$2:$C$89,$A607,Fact_SortedWeights!$B$2:$B$89,$B607),SUMIFS(Fact_PreSortWeights!$E$2:$E$186,Fact_PreSortWeights!$C$2:$C$186,$A607,Fact_PreSortWeights!$B$2:$B$186,$B607))))</f>
        <v>0</v>
      </c>
      <c r="G607" s="0" t="n">
        <f aca="false">IF(AND(IF($B607="Trash",INDEX('Materials Master'!$F$2:$F$27,MATCH($C607,'Materials Master'!$A$2:$A$27,0)),IF($B607="GMPC Recycling",INDEX('Materials Master'!$G$2:$G$27,MATCH($C607,'Materials Master'!$A$2:$A$27,0)),IF($B607="Organics Recycling",INDEX('Materials Master'!$H$2:$H$27,MATCH($C607,'Materials Master'!$A$2:$A$27,0)),IF($B607="Cardboard Recycling",INDEX('Materials Master'!$I$2:$I$27,MATCH($C607,'Materials Master'!$A$2:$A$27,0)),IF($B607="Paper Recycling",INDEX('Materials Master'!$J$2:$J$27,MATCH($C607,'Materials Master'!$A$2:$A$27,0)),IF($B607="Terracycle",INDEX('Materials Master'!$K$2:$K$27,MATCH($C607,'Materials Master'!$A$2:$A$27,0)),"No"))))))="Yes",INDEX('Materials Master'!$E$2:$E$27,MATCH($C607,'Materials Master'!$A$2:$A$27,0))="Yes",$B607&lt;&gt;"Trash"),1,0)</f>
        <v>0</v>
      </c>
      <c r="H607" s="0" t="str">
        <f aca="false">INDEX('Materials Master'!$E$2:$E$27,MATCH($C607,'Materials Master'!$A$2:$A$27,0))</f>
        <v>No</v>
      </c>
      <c r="I607" s="0" t="str">
        <f aca="false">IFERROR(INDEX(Areas!$C$2:$C$6,MATCH($A607,Areas!$B$2:$B$6,0)),"")</f>
        <v>Rest of Building</v>
      </c>
      <c r="J607" s="0" t="n">
        <f aca="false">IF(IF($B607="Trash",INDEX('Materials Master'!$F$2:$F$27,MATCH($C607,'Materials Master'!$A$2:$A$27,0)),IF($B607="GMPC Recycling",INDEX('Materials Master'!$G$2:$G$27,MATCH($C607,'Materials Master'!$A$2:$A$27,0)),IF($B607="Organics Recycling",INDEX('Materials Master'!$H$2:$H$27,MATCH($C607,'Materials Master'!$A$2:$A$27,0)),IF($B607="Cardboard Recycling",INDEX('Materials Master'!$I$2:$I$27,MATCH($C607,'Materials Master'!$A$2:$A$27,0)),IF($B607="Paper Recycling",INDEX('Materials Master'!$J$2:$J$27,MATCH($C607,'Materials Master'!$A$2:$A$27,0)),IF($B607="Terracycle",INDEX('Materials Master'!$K$2:$K$27,MATCH($C607,'Materials Master'!$A$2:$A$27,0)),"No"))))))="Yes",1,0)</f>
        <v>0</v>
      </c>
    </row>
    <row r="608" customFormat="false" ht="15" hidden="false" customHeight="false" outlineLevel="0" collapsed="false">
      <c r="A608" s="0" t="s">
        <v>100</v>
      </c>
      <c r="B608" s="0" t="s">
        <v>108</v>
      </c>
      <c r="C608" s="0" t="s">
        <v>47</v>
      </c>
      <c r="D608" s="0" t="str">
        <f aca="false">IFERROR(INDEX('Materials Master'!$B$2:$B$27,MATCH($C608,'Materials Master'!$A$2:$A$27,0)),"")</f>
        <v>Glass Bottles &amp; Jars</v>
      </c>
      <c r="E608" s="0" t="str">
        <f aca="false">IFERROR(INDEX('Materials Master'!$C$2:$C$27,MATCH($C608,'Materials Master'!$A$2:$A$27,0)),"")</f>
        <v>Glass</v>
      </c>
      <c r="F608" s="0" t="n">
        <f aca="false">IF(SUMIFS(Fact_SortedWeights!$E$2:$E$89,Fact_SortedWeights!$C$2:$C$89,$A608,Fact_SortedWeights!$B$2:$B$89,$B608)=0,0,SUMIFS(Fact_SortedWeights!$E$2:$E$89,Fact_SortedWeights!$C$2:$C$89,$A608,Fact_SortedWeights!$B$2:$B$89,$B608,Fact_SortedWeights!$D$2:$D$89,$C608)/SUMIFS(Fact_SortedWeights!$E$2:$E$89,Fact_SortedWeights!$C$2:$C$89,$A608,Fact_SortedWeights!$B$2:$B$89,$B608)*(IF($B608="Cardboard Recycling",SUMIFS(Fact_SortedWeights!$E$2:$E$89,Fact_SortedWeights!$C$2:$C$89,$A608,Fact_SortedWeights!$B$2:$B$89,$B608),SUMIFS(Fact_PreSortWeights!$E$2:$E$186,Fact_PreSortWeights!$C$2:$C$186,$A608,Fact_PreSortWeights!$B$2:$B$186,$B608))))</f>
        <v>0</v>
      </c>
      <c r="G608" s="0" t="n">
        <f aca="false">IF(AND(IF($B608="Trash",INDEX('Materials Master'!$F$2:$F$27,MATCH($C608,'Materials Master'!$A$2:$A$27,0)),IF($B608="GMPC Recycling",INDEX('Materials Master'!$G$2:$G$27,MATCH($C608,'Materials Master'!$A$2:$A$27,0)),IF($B608="Organics Recycling",INDEX('Materials Master'!$H$2:$H$27,MATCH($C608,'Materials Master'!$A$2:$A$27,0)),IF($B608="Cardboard Recycling",INDEX('Materials Master'!$I$2:$I$27,MATCH($C608,'Materials Master'!$A$2:$A$27,0)),IF($B608="Paper Recycling",INDEX('Materials Master'!$J$2:$J$27,MATCH($C608,'Materials Master'!$A$2:$A$27,0)),IF($B608="Terracycle",INDEX('Materials Master'!$K$2:$K$27,MATCH($C608,'Materials Master'!$A$2:$A$27,0)),"No"))))))="Yes",INDEX('Materials Master'!$E$2:$E$27,MATCH($C608,'Materials Master'!$A$2:$A$27,0))="Yes",$B608&lt;&gt;"Trash"),1,0)</f>
        <v>0</v>
      </c>
      <c r="H608" s="0" t="str">
        <f aca="false">INDEX('Materials Master'!$E$2:$E$27,MATCH($C608,'Materials Master'!$A$2:$A$27,0))</f>
        <v>Yes</v>
      </c>
      <c r="I608" s="0" t="str">
        <f aca="false">IFERROR(INDEX(Areas!$C$2:$C$6,MATCH($A608,Areas!$B$2:$B$6,0)),"")</f>
        <v>Rest of Building</v>
      </c>
      <c r="J608" s="0" t="n">
        <f aca="false">IF(IF($B608="Trash",INDEX('Materials Master'!$F$2:$F$27,MATCH($C608,'Materials Master'!$A$2:$A$27,0)),IF($B608="GMPC Recycling",INDEX('Materials Master'!$G$2:$G$27,MATCH($C608,'Materials Master'!$A$2:$A$27,0)),IF($B608="Organics Recycling",INDEX('Materials Master'!$H$2:$H$27,MATCH($C608,'Materials Master'!$A$2:$A$27,0)),IF($B608="Cardboard Recycling",INDEX('Materials Master'!$I$2:$I$27,MATCH($C608,'Materials Master'!$A$2:$A$27,0)),IF($B608="Paper Recycling",INDEX('Materials Master'!$J$2:$J$27,MATCH($C608,'Materials Master'!$A$2:$A$27,0)),IF($B608="Terracycle",INDEX('Materials Master'!$K$2:$K$27,MATCH($C608,'Materials Master'!$A$2:$A$27,0)),"No"))))))="Yes",1,0)</f>
        <v>0</v>
      </c>
    </row>
    <row r="609" customFormat="false" ht="15" hidden="false" customHeight="false" outlineLevel="0" collapsed="false">
      <c r="A609" s="0" t="s">
        <v>100</v>
      </c>
      <c r="B609" s="0" t="s">
        <v>108</v>
      </c>
      <c r="C609" s="0" t="s">
        <v>50</v>
      </c>
      <c r="D609" s="0" t="str">
        <f aca="false">IFERROR(INDEX('Materials Master'!$B$2:$B$27,MATCH($C609,'Materials Master'!$A$2:$A$27,0)),"")</f>
        <v>Soiled Glass</v>
      </c>
      <c r="E609" s="0" t="str">
        <f aca="false">IFERROR(INDEX('Materials Master'!$C$2:$C$27,MATCH($C609,'Materials Master'!$A$2:$A$27,0)),"")</f>
        <v>Glass</v>
      </c>
      <c r="F609" s="0" t="n">
        <f aca="false">IF(SUMIFS(Fact_SortedWeights!$E$2:$E$89,Fact_SortedWeights!$C$2:$C$89,$A609,Fact_SortedWeights!$B$2:$B$89,$B609)=0,0,SUMIFS(Fact_SortedWeights!$E$2:$E$89,Fact_SortedWeights!$C$2:$C$89,$A609,Fact_SortedWeights!$B$2:$B$89,$B609,Fact_SortedWeights!$D$2:$D$89,$C609)/SUMIFS(Fact_SortedWeights!$E$2:$E$89,Fact_SortedWeights!$C$2:$C$89,$A609,Fact_SortedWeights!$B$2:$B$89,$B609)*(IF($B609="Cardboard Recycling",SUMIFS(Fact_SortedWeights!$E$2:$E$89,Fact_SortedWeights!$C$2:$C$89,$A609,Fact_SortedWeights!$B$2:$B$89,$B609),SUMIFS(Fact_PreSortWeights!$E$2:$E$186,Fact_PreSortWeights!$C$2:$C$186,$A609,Fact_PreSortWeights!$B$2:$B$186,$B609))))</f>
        <v>0</v>
      </c>
      <c r="G609" s="0" t="n">
        <f aca="false">IF(AND(IF($B609="Trash",INDEX('Materials Master'!$F$2:$F$27,MATCH($C609,'Materials Master'!$A$2:$A$27,0)),IF($B609="GMPC Recycling",INDEX('Materials Master'!$G$2:$G$27,MATCH($C609,'Materials Master'!$A$2:$A$27,0)),IF($B609="Organics Recycling",INDEX('Materials Master'!$H$2:$H$27,MATCH($C609,'Materials Master'!$A$2:$A$27,0)),IF($B609="Cardboard Recycling",INDEX('Materials Master'!$I$2:$I$27,MATCH($C609,'Materials Master'!$A$2:$A$27,0)),IF($B609="Paper Recycling",INDEX('Materials Master'!$J$2:$J$27,MATCH($C609,'Materials Master'!$A$2:$A$27,0)),IF($B609="Terracycle",INDEX('Materials Master'!$K$2:$K$27,MATCH($C609,'Materials Master'!$A$2:$A$27,0)),"No"))))))="Yes",INDEX('Materials Master'!$E$2:$E$27,MATCH($C609,'Materials Master'!$A$2:$A$27,0))="Yes",$B609&lt;&gt;"Trash"),1,0)</f>
        <v>0</v>
      </c>
      <c r="H609" s="0" t="str">
        <f aca="false">INDEX('Materials Master'!$E$2:$E$27,MATCH($C609,'Materials Master'!$A$2:$A$27,0))</f>
        <v>No</v>
      </c>
      <c r="I609" s="0" t="str">
        <f aca="false">IFERROR(INDEX(Areas!$C$2:$C$6,MATCH($A609,Areas!$B$2:$B$6,0)),"")</f>
        <v>Rest of Building</v>
      </c>
      <c r="J609" s="0" t="n">
        <f aca="false">IF(IF($B609="Trash",INDEX('Materials Master'!$F$2:$F$27,MATCH($C609,'Materials Master'!$A$2:$A$27,0)),IF($B609="GMPC Recycling",INDEX('Materials Master'!$G$2:$G$27,MATCH($C609,'Materials Master'!$A$2:$A$27,0)),IF($B609="Organics Recycling",INDEX('Materials Master'!$H$2:$H$27,MATCH($C609,'Materials Master'!$A$2:$A$27,0)),IF($B609="Cardboard Recycling",INDEX('Materials Master'!$I$2:$I$27,MATCH($C609,'Materials Master'!$A$2:$A$27,0)),IF($B609="Paper Recycling",INDEX('Materials Master'!$J$2:$J$27,MATCH($C609,'Materials Master'!$A$2:$A$27,0)),IF($B609="Terracycle",INDEX('Materials Master'!$K$2:$K$27,MATCH($C609,'Materials Master'!$A$2:$A$27,0)),"No"))))))="Yes",1,0)</f>
        <v>0</v>
      </c>
    </row>
    <row r="610" customFormat="false" ht="15" hidden="false" customHeight="false" outlineLevel="0" collapsed="false">
      <c r="A610" s="0" t="s">
        <v>100</v>
      </c>
      <c r="B610" s="0" t="s">
        <v>108</v>
      </c>
      <c r="C610" s="0" t="s">
        <v>52</v>
      </c>
      <c r="D610" s="0" t="str">
        <f aca="false">IFERROR(INDEX('Materials Master'!$B$2:$B$27,MATCH($C610,'Materials Master'!$A$2:$A$27,0)),"")</f>
        <v>Aluminum &amp; Bi-Metal Containers</v>
      </c>
      <c r="E610" s="0" t="str">
        <f aca="false">IFERROR(INDEX('Materials Master'!$C$2:$C$27,MATCH($C610,'Materials Master'!$A$2:$A$27,0)),"")</f>
        <v>Metals</v>
      </c>
      <c r="F610" s="0" t="n">
        <f aca="false">IF(SUMIFS(Fact_SortedWeights!$E$2:$E$89,Fact_SortedWeights!$C$2:$C$89,$A610,Fact_SortedWeights!$B$2:$B$89,$B610)=0,0,SUMIFS(Fact_SortedWeights!$E$2:$E$89,Fact_SortedWeights!$C$2:$C$89,$A610,Fact_SortedWeights!$B$2:$B$89,$B610,Fact_SortedWeights!$D$2:$D$89,$C610)/SUMIFS(Fact_SortedWeights!$E$2:$E$89,Fact_SortedWeights!$C$2:$C$89,$A610,Fact_SortedWeights!$B$2:$B$89,$B610)*(IF($B610="Cardboard Recycling",SUMIFS(Fact_SortedWeights!$E$2:$E$89,Fact_SortedWeights!$C$2:$C$89,$A610,Fact_SortedWeights!$B$2:$B$89,$B610),SUMIFS(Fact_PreSortWeights!$E$2:$E$186,Fact_PreSortWeights!$C$2:$C$186,$A610,Fact_PreSortWeights!$B$2:$B$186,$B610))))</f>
        <v>0</v>
      </c>
      <c r="G610" s="0" t="n">
        <f aca="false">IF(AND(IF($B610="Trash",INDEX('Materials Master'!$F$2:$F$27,MATCH($C610,'Materials Master'!$A$2:$A$27,0)),IF($B610="GMPC Recycling",INDEX('Materials Master'!$G$2:$G$27,MATCH($C610,'Materials Master'!$A$2:$A$27,0)),IF($B610="Organics Recycling",INDEX('Materials Master'!$H$2:$H$27,MATCH($C610,'Materials Master'!$A$2:$A$27,0)),IF($B610="Cardboard Recycling",INDEX('Materials Master'!$I$2:$I$27,MATCH($C610,'Materials Master'!$A$2:$A$27,0)),IF($B610="Paper Recycling",INDEX('Materials Master'!$J$2:$J$27,MATCH($C610,'Materials Master'!$A$2:$A$27,0)),IF($B610="Terracycle",INDEX('Materials Master'!$K$2:$K$27,MATCH($C610,'Materials Master'!$A$2:$A$27,0)),"No"))))))="Yes",INDEX('Materials Master'!$E$2:$E$27,MATCH($C610,'Materials Master'!$A$2:$A$27,0))="Yes",$B610&lt;&gt;"Trash"),1,0)</f>
        <v>0</v>
      </c>
      <c r="H610" s="0" t="str">
        <f aca="false">INDEX('Materials Master'!$E$2:$E$27,MATCH($C610,'Materials Master'!$A$2:$A$27,0))</f>
        <v>Yes</v>
      </c>
      <c r="I610" s="0" t="str">
        <f aca="false">IFERROR(INDEX(Areas!$C$2:$C$6,MATCH($A610,Areas!$B$2:$B$6,0)),"")</f>
        <v>Rest of Building</v>
      </c>
      <c r="J610" s="0" t="n">
        <f aca="false">IF(IF($B610="Trash",INDEX('Materials Master'!$F$2:$F$27,MATCH($C610,'Materials Master'!$A$2:$A$27,0)),IF($B610="GMPC Recycling",INDEX('Materials Master'!$G$2:$G$27,MATCH($C610,'Materials Master'!$A$2:$A$27,0)),IF($B610="Organics Recycling",INDEX('Materials Master'!$H$2:$H$27,MATCH($C610,'Materials Master'!$A$2:$A$27,0)),IF($B610="Cardboard Recycling",INDEX('Materials Master'!$I$2:$I$27,MATCH($C610,'Materials Master'!$A$2:$A$27,0)),IF($B610="Paper Recycling",INDEX('Materials Master'!$J$2:$J$27,MATCH($C610,'Materials Master'!$A$2:$A$27,0)),IF($B610="Terracycle",INDEX('Materials Master'!$K$2:$K$27,MATCH($C610,'Materials Master'!$A$2:$A$27,0)),"No"))))))="Yes",1,0)</f>
        <v>0</v>
      </c>
    </row>
    <row r="611" customFormat="false" ht="15" hidden="false" customHeight="false" outlineLevel="0" collapsed="false">
      <c r="A611" s="0" t="s">
        <v>100</v>
      </c>
      <c r="B611" s="0" t="s">
        <v>108</v>
      </c>
      <c r="C611" s="0" t="s">
        <v>55</v>
      </c>
      <c r="D611" s="0" t="str">
        <f aca="false">IFERROR(INDEX('Materials Master'!$B$2:$B$27,MATCH($C611,'Materials Master'!$A$2:$A$27,0)),"")</f>
        <v>Soiled Metals</v>
      </c>
      <c r="E611" s="0" t="str">
        <f aca="false">IFERROR(INDEX('Materials Master'!$C$2:$C$27,MATCH($C611,'Materials Master'!$A$2:$A$27,0)),"")</f>
        <v>Metals</v>
      </c>
      <c r="F611" s="0" t="n">
        <f aca="false">IF(SUMIFS(Fact_SortedWeights!$E$2:$E$89,Fact_SortedWeights!$C$2:$C$89,$A611,Fact_SortedWeights!$B$2:$B$89,$B611)=0,0,SUMIFS(Fact_SortedWeights!$E$2:$E$89,Fact_SortedWeights!$C$2:$C$89,$A611,Fact_SortedWeights!$B$2:$B$89,$B611,Fact_SortedWeights!$D$2:$D$89,$C611)/SUMIFS(Fact_SortedWeights!$E$2:$E$89,Fact_SortedWeights!$C$2:$C$89,$A611,Fact_SortedWeights!$B$2:$B$89,$B611)*(IF($B611="Cardboard Recycling",SUMIFS(Fact_SortedWeights!$E$2:$E$89,Fact_SortedWeights!$C$2:$C$89,$A611,Fact_SortedWeights!$B$2:$B$89,$B611),SUMIFS(Fact_PreSortWeights!$E$2:$E$186,Fact_PreSortWeights!$C$2:$C$186,$A611,Fact_PreSortWeights!$B$2:$B$186,$B611))))</f>
        <v>0</v>
      </c>
      <c r="G611" s="0" t="n">
        <f aca="false">IF(AND(IF($B611="Trash",INDEX('Materials Master'!$F$2:$F$27,MATCH($C611,'Materials Master'!$A$2:$A$27,0)),IF($B611="GMPC Recycling",INDEX('Materials Master'!$G$2:$G$27,MATCH($C611,'Materials Master'!$A$2:$A$27,0)),IF($B611="Organics Recycling",INDEX('Materials Master'!$H$2:$H$27,MATCH($C611,'Materials Master'!$A$2:$A$27,0)),IF($B611="Cardboard Recycling",INDEX('Materials Master'!$I$2:$I$27,MATCH($C611,'Materials Master'!$A$2:$A$27,0)),IF($B611="Paper Recycling",INDEX('Materials Master'!$J$2:$J$27,MATCH($C611,'Materials Master'!$A$2:$A$27,0)),IF($B611="Terracycle",INDEX('Materials Master'!$K$2:$K$27,MATCH($C611,'Materials Master'!$A$2:$A$27,0)),"No"))))))="Yes",INDEX('Materials Master'!$E$2:$E$27,MATCH($C611,'Materials Master'!$A$2:$A$27,0))="Yes",$B611&lt;&gt;"Trash"),1,0)</f>
        <v>0</v>
      </c>
      <c r="H611" s="0" t="str">
        <f aca="false">INDEX('Materials Master'!$E$2:$E$27,MATCH($C611,'Materials Master'!$A$2:$A$27,0))</f>
        <v>No</v>
      </c>
      <c r="I611" s="0" t="str">
        <f aca="false">IFERROR(INDEX(Areas!$C$2:$C$6,MATCH($A611,Areas!$B$2:$B$6,0)),"")</f>
        <v>Rest of Building</v>
      </c>
      <c r="J611" s="0" t="n">
        <f aca="false">IF(IF($B611="Trash",INDEX('Materials Master'!$F$2:$F$27,MATCH($C611,'Materials Master'!$A$2:$A$27,0)),IF($B611="GMPC Recycling",INDEX('Materials Master'!$G$2:$G$27,MATCH($C611,'Materials Master'!$A$2:$A$27,0)),IF($B611="Organics Recycling",INDEX('Materials Master'!$H$2:$H$27,MATCH($C611,'Materials Master'!$A$2:$A$27,0)),IF($B611="Cardboard Recycling",INDEX('Materials Master'!$I$2:$I$27,MATCH($C611,'Materials Master'!$A$2:$A$27,0)),IF($B611="Paper Recycling",INDEX('Materials Master'!$J$2:$J$27,MATCH($C611,'Materials Master'!$A$2:$A$27,0)),IF($B611="Terracycle",INDEX('Materials Master'!$K$2:$K$27,MATCH($C611,'Materials Master'!$A$2:$A$27,0)),"No"))))))="Yes",1,0)</f>
        <v>0</v>
      </c>
    </row>
    <row r="612" customFormat="false" ht="15" hidden="false" customHeight="false" outlineLevel="0" collapsed="false">
      <c r="A612" s="0" t="s">
        <v>100</v>
      </c>
      <c r="B612" s="0" t="s">
        <v>108</v>
      </c>
      <c r="C612" s="0" t="s">
        <v>57</v>
      </c>
      <c r="D612" s="0" t="str">
        <f aca="false">IFERROR(INDEX('Materials Master'!$B$2:$B$27,MATCH($C612,'Materials Master'!$A$2:$A$27,0)),"")</f>
        <v>Rigid Plastics (1-6)</v>
      </c>
      <c r="E612" s="0" t="str">
        <f aca="false">IFERROR(INDEX('Materials Master'!$C$2:$C$27,MATCH($C612,'Materials Master'!$A$2:$A$27,0)),"")</f>
        <v>Plastics</v>
      </c>
      <c r="F612" s="0" t="n">
        <f aca="false">IF(SUMIFS(Fact_SortedWeights!$E$2:$E$89,Fact_SortedWeights!$C$2:$C$89,$A612,Fact_SortedWeights!$B$2:$B$89,$B612)=0,0,SUMIFS(Fact_SortedWeights!$E$2:$E$89,Fact_SortedWeights!$C$2:$C$89,$A612,Fact_SortedWeights!$B$2:$B$89,$B612,Fact_SortedWeights!$D$2:$D$89,$C612)/SUMIFS(Fact_SortedWeights!$E$2:$E$89,Fact_SortedWeights!$C$2:$C$89,$A612,Fact_SortedWeights!$B$2:$B$89,$B612)*(IF($B612="Cardboard Recycling",SUMIFS(Fact_SortedWeights!$E$2:$E$89,Fact_SortedWeights!$C$2:$C$89,$A612,Fact_SortedWeights!$B$2:$B$89,$B612),SUMIFS(Fact_PreSortWeights!$E$2:$E$186,Fact_PreSortWeights!$C$2:$C$186,$A612,Fact_PreSortWeights!$B$2:$B$186,$B612))))</f>
        <v>0</v>
      </c>
      <c r="G612" s="0" t="n">
        <f aca="false">IF(AND(IF($B612="Trash",INDEX('Materials Master'!$F$2:$F$27,MATCH($C612,'Materials Master'!$A$2:$A$27,0)),IF($B612="GMPC Recycling",INDEX('Materials Master'!$G$2:$G$27,MATCH($C612,'Materials Master'!$A$2:$A$27,0)),IF($B612="Organics Recycling",INDEX('Materials Master'!$H$2:$H$27,MATCH($C612,'Materials Master'!$A$2:$A$27,0)),IF($B612="Cardboard Recycling",INDEX('Materials Master'!$I$2:$I$27,MATCH($C612,'Materials Master'!$A$2:$A$27,0)),IF($B612="Paper Recycling",INDEX('Materials Master'!$J$2:$J$27,MATCH($C612,'Materials Master'!$A$2:$A$27,0)),IF($B612="Terracycle",INDEX('Materials Master'!$K$2:$K$27,MATCH($C612,'Materials Master'!$A$2:$A$27,0)),"No"))))))="Yes",INDEX('Materials Master'!$E$2:$E$27,MATCH($C612,'Materials Master'!$A$2:$A$27,0))="Yes",$B612&lt;&gt;"Trash"),1,0)</f>
        <v>0</v>
      </c>
      <c r="H612" s="0" t="str">
        <f aca="false">INDEX('Materials Master'!$E$2:$E$27,MATCH($C612,'Materials Master'!$A$2:$A$27,0))</f>
        <v>Yes</v>
      </c>
      <c r="I612" s="0" t="str">
        <f aca="false">IFERROR(INDEX(Areas!$C$2:$C$6,MATCH($A612,Areas!$B$2:$B$6,0)),"")</f>
        <v>Rest of Building</v>
      </c>
      <c r="J612" s="0" t="n">
        <f aca="false">IF(IF($B612="Trash",INDEX('Materials Master'!$F$2:$F$27,MATCH($C612,'Materials Master'!$A$2:$A$27,0)),IF($B612="GMPC Recycling",INDEX('Materials Master'!$G$2:$G$27,MATCH($C612,'Materials Master'!$A$2:$A$27,0)),IF($B612="Organics Recycling",INDEX('Materials Master'!$H$2:$H$27,MATCH($C612,'Materials Master'!$A$2:$A$27,0)),IF($B612="Cardboard Recycling",INDEX('Materials Master'!$I$2:$I$27,MATCH($C612,'Materials Master'!$A$2:$A$27,0)),IF($B612="Paper Recycling",INDEX('Materials Master'!$J$2:$J$27,MATCH($C612,'Materials Master'!$A$2:$A$27,0)),IF($B612="Terracycle",INDEX('Materials Master'!$K$2:$K$27,MATCH($C612,'Materials Master'!$A$2:$A$27,0)),"No"))))))="Yes",1,0)</f>
        <v>0</v>
      </c>
    </row>
    <row r="613" customFormat="false" ht="15" hidden="false" customHeight="false" outlineLevel="0" collapsed="false">
      <c r="A613" s="0" t="s">
        <v>100</v>
      </c>
      <c r="B613" s="0" t="s">
        <v>108</v>
      </c>
      <c r="C613" s="0" t="s">
        <v>60</v>
      </c>
      <c r="D613" s="0" t="str">
        <f aca="false">IFERROR(INDEX('Materials Master'!$B$2:$B$27,MATCH($C613,'Materials Master'!$A$2:$A$27,0)),"")</f>
        <v>Soiled Rigid Plastics</v>
      </c>
      <c r="E613" s="0" t="str">
        <f aca="false">IFERROR(INDEX('Materials Master'!$C$2:$C$27,MATCH($C613,'Materials Master'!$A$2:$A$27,0)),"")</f>
        <v>Plastics</v>
      </c>
      <c r="F613" s="0" t="n">
        <f aca="false">IF(SUMIFS(Fact_SortedWeights!$E$2:$E$89,Fact_SortedWeights!$C$2:$C$89,$A613,Fact_SortedWeights!$B$2:$B$89,$B613)=0,0,SUMIFS(Fact_SortedWeights!$E$2:$E$89,Fact_SortedWeights!$C$2:$C$89,$A613,Fact_SortedWeights!$B$2:$B$89,$B613,Fact_SortedWeights!$D$2:$D$89,$C613)/SUMIFS(Fact_SortedWeights!$E$2:$E$89,Fact_SortedWeights!$C$2:$C$89,$A613,Fact_SortedWeights!$B$2:$B$89,$B613)*(IF($B613="Cardboard Recycling",SUMIFS(Fact_SortedWeights!$E$2:$E$89,Fact_SortedWeights!$C$2:$C$89,$A613,Fact_SortedWeights!$B$2:$B$89,$B613),SUMIFS(Fact_PreSortWeights!$E$2:$E$186,Fact_PreSortWeights!$C$2:$C$186,$A613,Fact_PreSortWeights!$B$2:$B$186,$B613))))</f>
        <v>0</v>
      </c>
      <c r="G613" s="0" t="n">
        <f aca="false">IF(AND(IF($B613="Trash",INDEX('Materials Master'!$F$2:$F$27,MATCH($C613,'Materials Master'!$A$2:$A$27,0)),IF($B613="GMPC Recycling",INDEX('Materials Master'!$G$2:$G$27,MATCH($C613,'Materials Master'!$A$2:$A$27,0)),IF($B613="Organics Recycling",INDEX('Materials Master'!$H$2:$H$27,MATCH($C613,'Materials Master'!$A$2:$A$27,0)),IF($B613="Cardboard Recycling",INDEX('Materials Master'!$I$2:$I$27,MATCH($C613,'Materials Master'!$A$2:$A$27,0)),IF($B613="Paper Recycling",INDEX('Materials Master'!$J$2:$J$27,MATCH($C613,'Materials Master'!$A$2:$A$27,0)),IF($B613="Terracycle",INDEX('Materials Master'!$K$2:$K$27,MATCH($C613,'Materials Master'!$A$2:$A$27,0)),"No"))))))="Yes",INDEX('Materials Master'!$E$2:$E$27,MATCH($C613,'Materials Master'!$A$2:$A$27,0))="Yes",$B613&lt;&gt;"Trash"),1,0)</f>
        <v>0</v>
      </c>
      <c r="H613" s="0" t="str">
        <f aca="false">INDEX('Materials Master'!$E$2:$E$27,MATCH($C613,'Materials Master'!$A$2:$A$27,0))</f>
        <v>No</v>
      </c>
      <c r="I613" s="0" t="str">
        <f aca="false">IFERROR(INDEX(Areas!$C$2:$C$6,MATCH($A613,Areas!$B$2:$B$6,0)),"")</f>
        <v>Rest of Building</v>
      </c>
      <c r="J613" s="0" t="n">
        <f aca="false">IF(IF($B613="Trash",INDEX('Materials Master'!$F$2:$F$27,MATCH($C613,'Materials Master'!$A$2:$A$27,0)),IF($B613="GMPC Recycling",INDEX('Materials Master'!$G$2:$G$27,MATCH($C613,'Materials Master'!$A$2:$A$27,0)),IF($B613="Organics Recycling",INDEX('Materials Master'!$H$2:$H$27,MATCH($C613,'Materials Master'!$A$2:$A$27,0)),IF($B613="Cardboard Recycling",INDEX('Materials Master'!$I$2:$I$27,MATCH($C613,'Materials Master'!$A$2:$A$27,0)),IF($B613="Paper Recycling",INDEX('Materials Master'!$J$2:$J$27,MATCH($C613,'Materials Master'!$A$2:$A$27,0)),IF($B613="Terracycle",INDEX('Materials Master'!$K$2:$K$27,MATCH($C613,'Materials Master'!$A$2:$A$27,0)),"No"))))))="Yes",1,0)</f>
        <v>0</v>
      </c>
    </row>
    <row r="614" customFormat="false" ht="15" hidden="false" customHeight="false" outlineLevel="0" collapsed="false">
      <c r="A614" s="0" t="s">
        <v>100</v>
      </c>
      <c r="B614" s="0" t="s">
        <v>108</v>
      </c>
      <c r="C614" s="0" t="s">
        <v>62</v>
      </c>
      <c r="D614" s="0" t="str">
        <f aca="false">IFERROR(INDEX('Materials Master'!$B$2:$B$27,MATCH($C614,'Materials Master'!$A$2:$A$27,0)),"")</f>
        <v>Film Plastics</v>
      </c>
      <c r="E614" s="0" t="str">
        <f aca="false">IFERROR(INDEX('Materials Master'!$C$2:$C$27,MATCH($C614,'Materials Master'!$A$2:$A$27,0)),"")</f>
        <v>Plastics</v>
      </c>
      <c r="F614" s="0" t="n">
        <f aca="false">IF(SUMIFS(Fact_SortedWeights!$E$2:$E$89,Fact_SortedWeights!$C$2:$C$89,$A614,Fact_SortedWeights!$B$2:$B$89,$B614)=0,0,SUMIFS(Fact_SortedWeights!$E$2:$E$89,Fact_SortedWeights!$C$2:$C$89,$A614,Fact_SortedWeights!$B$2:$B$89,$B614,Fact_SortedWeights!$D$2:$D$89,$C614)/SUMIFS(Fact_SortedWeights!$E$2:$E$89,Fact_SortedWeights!$C$2:$C$89,$A614,Fact_SortedWeights!$B$2:$B$89,$B614)*(IF($B614="Cardboard Recycling",SUMIFS(Fact_SortedWeights!$E$2:$E$89,Fact_SortedWeights!$C$2:$C$89,$A614,Fact_SortedWeights!$B$2:$B$89,$B614),SUMIFS(Fact_PreSortWeights!$E$2:$E$186,Fact_PreSortWeights!$C$2:$C$186,$A614,Fact_PreSortWeights!$B$2:$B$186,$B614))))</f>
        <v>0</v>
      </c>
      <c r="G614" s="0" t="n">
        <f aca="false">IF(AND(IF($B614="Trash",INDEX('Materials Master'!$F$2:$F$27,MATCH($C614,'Materials Master'!$A$2:$A$27,0)),IF($B614="GMPC Recycling",INDEX('Materials Master'!$G$2:$G$27,MATCH($C614,'Materials Master'!$A$2:$A$27,0)),IF($B614="Organics Recycling",INDEX('Materials Master'!$H$2:$H$27,MATCH($C614,'Materials Master'!$A$2:$A$27,0)),IF($B614="Cardboard Recycling",INDEX('Materials Master'!$I$2:$I$27,MATCH($C614,'Materials Master'!$A$2:$A$27,0)),IF($B614="Paper Recycling",INDEX('Materials Master'!$J$2:$J$27,MATCH($C614,'Materials Master'!$A$2:$A$27,0)),IF($B614="Terracycle",INDEX('Materials Master'!$K$2:$K$27,MATCH($C614,'Materials Master'!$A$2:$A$27,0)),"No"))))))="Yes",INDEX('Materials Master'!$E$2:$E$27,MATCH($C614,'Materials Master'!$A$2:$A$27,0))="Yes",$B614&lt;&gt;"Trash"),1,0)</f>
        <v>0</v>
      </c>
      <c r="H614" s="0" t="str">
        <f aca="false">INDEX('Materials Master'!$E$2:$E$27,MATCH($C614,'Materials Master'!$A$2:$A$27,0))</f>
        <v>No</v>
      </c>
      <c r="I614" s="0" t="str">
        <f aca="false">IFERROR(INDEX(Areas!$C$2:$C$6,MATCH($A614,Areas!$B$2:$B$6,0)),"")</f>
        <v>Rest of Building</v>
      </c>
      <c r="J614" s="0" t="n">
        <f aca="false">IF(IF($B614="Trash",INDEX('Materials Master'!$F$2:$F$27,MATCH($C614,'Materials Master'!$A$2:$A$27,0)),IF($B614="GMPC Recycling",INDEX('Materials Master'!$G$2:$G$27,MATCH($C614,'Materials Master'!$A$2:$A$27,0)),IF($B614="Organics Recycling",INDEX('Materials Master'!$H$2:$H$27,MATCH($C614,'Materials Master'!$A$2:$A$27,0)),IF($B614="Cardboard Recycling",INDEX('Materials Master'!$I$2:$I$27,MATCH($C614,'Materials Master'!$A$2:$A$27,0)),IF($B614="Paper Recycling",INDEX('Materials Master'!$J$2:$J$27,MATCH($C614,'Materials Master'!$A$2:$A$27,0)),IF($B614="Terracycle",INDEX('Materials Master'!$K$2:$K$27,MATCH($C614,'Materials Master'!$A$2:$A$27,0)),"No"))))))="Yes",1,0)</f>
        <v>0</v>
      </c>
    </row>
    <row r="615" customFormat="false" ht="15" hidden="false" customHeight="false" outlineLevel="0" collapsed="false">
      <c r="A615" s="0" t="s">
        <v>100</v>
      </c>
      <c r="B615" s="0" t="s">
        <v>108</v>
      </c>
      <c r="C615" s="0" t="s">
        <v>64</v>
      </c>
      <c r="D615" s="0" t="str">
        <f aca="false">IFERROR(INDEX('Materials Master'!$B$2:$B$27,MATCH($C615,'Materials Master'!$A$2:$A$27,0)),"")</f>
        <v>Foams</v>
      </c>
      <c r="E615" s="0" t="str">
        <f aca="false">IFERROR(INDEX('Materials Master'!$C$2:$C$27,MATCH($C615,'Materials Master'!$A$2:$A$27,0)),"")</f>
        <v>Plastics</v>
      </c>
      <c r="F615" s="0" t="n">
        <f aca="false">IF(SUMIFS(Fact_SortedWeights!$E$2:$E$89,Fact_SortedWeights!$C$2:$C$89,$A615,Fact_SortedWeights!$B$2:$B$89,$B615)=0,0,SUMIFS(Fact_SortedWeights!$E$2:$E$89,Fact_SortedWeights!$C$2:$C$89,$A615,Fact_SortedWeights!$B$2:$B$89,$B615,Fact_SortedWeights!$D$2:$D$89,$C615)/SUMIFS(Fact_SortedWeights!$E$2:$E$89,Fact_SortedWeights!$C$2:$C$89,$A615,Fact_SortedWeights!$B$2:$B$89,$B615)*(IF($B615="Cardboard Recycling",SUMIFS(Fact_SortedWeights!$E$2:$E$89,Fact_SortedWeights!$C$2:$C$89,$A615,Fact_SortedWeights!$B$2:$B$89,$B615),SUMIFS(Fact_PreSortWeights!$E$2:$E$186,Fact_PreSortWeights!$C$2:$C$186,$A615,Fact_PreSortWeights!$B$2:$B$186,$B615))))</f>
        <v>0</v>
      </c>
      <c r="G615" s="0" t="n">
        <f aca="false">IF(AND(IF($B615="Trash",INDEX('Materials Master'!$F$2:$F$27,MATCH($C615,'Materials Master'!$A$2:$A$27,0)),IF($B615="GMPC Recycling",INDEX('Materials Master'!$G$2:$G$27,MATCH($C615,'Materials Master'!$A$2:$A$27,0)),IF($B615="Organics Recycling",INDEX('Materials Master'!$H$2:$H$27,MATCH($C615,'Materials Master'!$A$2:$A$27,0)),IF($B615="Cardboard Recycling",INDEX('Materials Master'!$I$2:$I$27,MATCH($C615,'Materials Master'!$A$2:$A$27,0)),IF($B615="Paper Recycling",INDEX('Materials Master'!$J$2:$J$27,MATCH($C615,'Materials Master'!$A$2:$A$27,0)),IF($B615="Terracycle",INDEX('Materials Master'!$K$2:$K$27,MATCH($C615,'Materials Master'!$A$2:$A$27,0)),"No"))))))="Yes",INDEX('Materials Master'!$E$2:$E$27,MATCH($C615,'Materials Master'!$A$2:$A$27,0))="Yes",$B615&lt;&gt;"Trash"),1,0)</f>
        <v>0</v>
      </c>
      <c r="H615" s="0" t="str">
        <f aca="false">INDEX('Materials Master'!$E$2:$E$27,MATCH($C615,'Materials Master'!$A$2:$A$27,0))</f>
        <v>No</v>
      </c>
      <c r="I615" s="0" t="str">
        <f aca="false">IFERROR(INDEX(Areas!$C$2:$C$6,MATCH($A615,Areas!$B$2:$B$6,0)),"")</f>
        <v>Rest of Building</v>
      </c>
      <c r="J615" s="0" t="n">
        <f aca="false">IF(IF($B615="Trash",INDEX('Materials Master'!$F$2:$F$27,MATCH($C615,'Materials Master'!$A$2:$A$27,0)),IF($B615="GMPC Recycling",INDEX('Materials Master'!$G$2:$G$27,MATCH($C615,'Materials Master'!$A$2:$A$27,0)),IF($B615="Organics Recycling",INDEX('Materials Master'!$H$2:$H$27,MATCH($C615,'Materials Master'!$A$2:$A$27,0)),IF($B615="Cardboard Recycling",INDEX('Materials Master'!$I$2:$I$27,MATCH($C615,'Materials Master'!$A$2:$A$27,0)),IF($B615="Paper Recycling",INDEX('Materials Master'!$J$2:$J$27,MATCH($C615,'Materials Master'!$A$2:$A$27,0)),IF($B615="Terracycle",INDEX('Materials Master'!$K$2:$K$27,MATCH($C615,'Materials Master'!$A$2:$A$27,0)),"No"))))))="Yes",1,0)</f>
        <v>0</v>
      </c>
    </row>
    <row r="616" customFormat="false" ht="15" hidden="false" customHeight="false" outlineLevel="0" collapsed="false">
      <c r="A616" s="0" t="s">
        <v>100</v>
      </c>
      <c r="B616" s="0" t="s">
        <v>108</v>
      </c>
      <c r="C616" s="0" t="s">
        <v>66</v>
      </c>
      <c r="D616" s="0" t="str">
        <f aca="false">IFERROR(INDEX('Materials Master'!$B$2:$B$27,MATCH($C616,'Materials Master'!$A$2:$A$27,0)),"")</f>
        <v>Food Waste</v>
      </c>
      <c r="E616" s="0" t="str">
        <f aca="false">IFERROR(INDEX('Materials Master'!$C$2:$C$27,MATCH($C616,'Materials Master'!$A$2:$A$27,0)),"")</f>
        <v>Organics</v>
      </c>
      <c r="F616" s="0" t="n">
        <f aca="false">IF(SUMIFS(Fact_SortedWeights!$E$2:$E$89,Fact_SortedWeights!$C$2:$C$89,$A616,Fact_SortedWeights!$B$2:$B$89,$B616)=0,0,SUMIFS(Fact_SortedWeights!$E$2:$E$89,Fact_SortedWeights!$C$2:$C$89,$A616,Fact_SortedWeights!$B$2:$B$89,$B616,Fact_SortedWeights!$D$2:$D$89,$C616)/SUMIFS(Fact_SortedWeights!$E$2:$E$89,Fact_SortedWeights!$C$2:$C$89,$A616,Fact_SortedWeights!$B$2:$B$89,$B616)*(IF($B616="Cardboard Recycling",SUMIFS(Fact_SortedWeights!$E$2:$E$89,Fact_SortedWeights!$C$2:$C$89,$A616,Fact_SortedWeights!$B$2:$B$89,$B616),SUMIFS(Fact_PreSortWeights!$E$2:$E$186,Fact_PreSortWeights!$C$2:$C$186,$A616,Fact_PreSortWeights!$B$2:$B$186,$B616))))</f>
        <v>0</v>
      </c>
      <c r="G616" s="0" t="n">
        <f aca="false">IF(AND(IF($B616="Trash",INDEX('Materials Master'!$F$2:$F$27,MATCH($C616,'Materials Master'!$A$2:$A$27,0)),IF($B616="GMPC Recycling",INDEX('Materials Master'!$G$2:$G$27,MATCH($C616,'Materials Master'!$A$2:$A$27,0)),IF($B616="Organics Recycling",INDEX('Materials Master'!$H$2:$H$27,MATCH($C616,'Materials Master'!$A$2:$A$27,0)),IF($B616="Cardboard Recycling",INDEX('Materials Master'!$I$2:$I$27,MATCH($C616,'Materials Master'!$A$2:$A$27,0)),IF($B616="Paper Recycling",INDEX('Materials Master'!$J$2:$J$27,MATCH($C616,'Materials Master'!$A$2:$A$27,0)),IF($B616="Terracycle",INDEX('Materials Master'!$K$2:$K$27,MATCH($C616,'Materials Master'!$A$2:$A$27,0)),"No"))))))="Yes",INDEX('Materials Master'!$E$2:$E$27,MATCH($C616,'Materials Master'!$A$2:$A$27,0))="Yes",$B616&lt;&gt;"Trash"),1,0)</f>
        <v>0</v>
      </c>
      <c r="H616" s="0" t="str">
        <f aca="false">INDEX('Materials Master'!$E$2:$E$27,MATCH($C616,'Materials Master'!$A$2:$A$27,0))</f>
        <v>Yes</v>
      </c>
      <c r="I616" s="0" t="str">
        <f aca="false">IFERROR(INDEX(Areas!$C$2:$C$6,MATCH($A616,Areas!$B$2:$B$6,0)),"")</f>
        <v>Rest of Building</v>
      </c>
      <c r="J616" s="0" t="n">
        <f aca="false">IF(IF($B616="Trash",INDEX('Materials Master'!$F$2:$F$27,MATCH($C616,'Materials Master'!$A$2:$A$27,0)),IF($B616="GMPC Recycling",INDEX('Materials Master'!$G$2:$G$27,MATCH($C616,'Materials Master'!$A$2:$A$27,0)),IF($B616="Organics Recycling",INDEX('Materials Master'!$H$2:$H$27,MATCH($C616,'Materials Master'!$A$2:$A$27,0)),IF($B616="Cardboard Recycling",INDEX('Materials Master'!$I$2:$I$27,MATCH($C616,'Materials Master'!$A$2:$A$27,0)),IF($B616="Paper Recycling",INDEX('Materials Master'!$J$2:$J$27,MATCH($C616,'Materials Master'!$A$2:$A$27,0)),IF($B616="Terracycle",INDEX('Materials Master'!$K$2:$K$27,MATCH($C616,'Materials Master'!$A$2:$A$27,0)),"No"))))))="Yes",1,0)</f>
        <v>0</v>
      </c>
    </row>
    <row r="617" customFormat="false" ht="15" hidden="false" customHeight="false" outlineLevel="0" collapsed="false">
      <c r="A617" s="0" t="s">
        <v>100</v>
      </c>
      <c r="B617" s="0" t="s">
        <v>108</v>
      </c>
      <c r="C617" s="0" t="s">
        <v>69</v>
      </c>
      <c r="D617" s="0" t="str">
        <f aca="false">IFERROR(INDEX('Materials Master'!$B$2:$B$27,MATCH($C617,'Materials Master'!$A$2:$A$27,0)),"")</f>
        <v>Paper Fibers and Food-Soiled Paper (FSP)</v>
      </c>
      <c r="E617" s="0" t="str">
        <f aca="false">IFERROR(INDEX('Materials Master'!$C$2:$C$27,MATCH($C617,'Materials Master'!$A$2:$A$27,0)),"")</f>
        <v>Organics</v>
      </c>
      <c r="F617" s="0" t="n">
        <f aca="false">IF(SUMIFS(Fact_SortedWeights!$E$2:$E$89,Fact_SortedWeights!$C$2:$C$89,$A617,Fact_SortedWeights!$B$2:$B$89,$B617)=0,0,SUMIFS(Fact_SortedWeights!$E$2:$E$89,Fact_SortedWeights!$C$2:$C$89,$A617,Fact_SortedWeights!$B$2:$B$89,$B617,Fact_SortedWeights!$D$2:$D$89,$C617)/SUMIFS(Fact_SortedWeights!$E$2:$E$89,Fact_SortedWeights!$C$2:$C$89,$A617,Fact_SortedWeights!$B$2:$B$89,$B617)*(IF($B617="Cardboard Recycling",SUMIFS(Fact_SortedWeights!$E$2:$E$89,Fact_SortedWeights!$C$2:$C$89,$A617,Fact_SortedWeights!$B$2:$B$89,$B617),SUMIFS(Fact_PreSortWeights!$E$2:$E$186,Fact_PreSortWeights!$C$2:$C$186,$A617,Fact_PreSortWeights!$B$2:$B$186,$B617))))</f>
        <v>0</v>
      </c>
      <c r="G617" s="0" t="n">
        <f aca="false">IF(AND(IF($B617="Trash",INDEX('Materials Master'!$F$2:$F$27,MATCH($C617,'Materials Master'!$A$2:$A$27,0)),IF($B617="GMPC Recycling",INDEX('Materials Master'!$G$2:$G$27,MATCH($C617,'Materials Master'!$A$2:$A$27,0)),IF($B617="Organics Recycling",INDEX('Materials Master'!$H$2:$H$27,MATCH($C617,'Materials Master'!$A$2:$A$27,0)),IF($B617="Cardboard Recycling",INDEX('Materials Master'!$I$2:$I$27,MATCH($C617,'Materials Master'!$A$2:$A$27,0)),IF($B617="Paper Recycling",INDEX('Materials Master'!$J$2:$J$27,MATCH($C617,'Materials Master'!$A$2:$A$27,0)),IF($B617="Terracycle",INDEX('Materials Master'!$K$2:$K$27,MATCH($C617,'Materials Master'!$A$2:$A$27,0)),"No"))))))="Yes",INDEX('Materials Master'!$E$2:$E$27,MATCH($C617,'Materials Master'!$A$2:$A$27,0))="Yes",$B617&lt;&gt;"Trash"),1,0)</f>
        <v>0</v>
      </c>
      <c r="H617" s="0" t="str">
        <f aca="false">INDEX('Materials Master'!$E$2:$E$27,MATCH($C617,'Materials Master'!$A$2:$A$27,0))</f>
        <v>No</v>
      </c>
      <c r="I617" s="0" t="str">
        <f aca="false">IFERROR(INDEX(Areas!$C$2:$C$6,MATCH($A617,Areas!$B$2:$B$6,0)),"")</f>
        <v>Rest of Building</v>
      </c>
      <c r="J617" s="0" t="n">
        <f aca="false">IF(IF($B617="Trash",INDEX('Materials Master'!$F$2:$F$27,MATCH($C617,'Materials Master'!$A$2:$A$27,0)),IF($B617="GMPC Recycling",INDEX('Materials Master'!$G$2:$G$27,MATCH($C617,'Materials Master'!$A$2:$A$27,0)),IF($B617="Organics Recycling",INDEX('Materials Master'!$H$2:$H$27,MATCH($C617,'Materials Master'!$A$2:$A$27,0)),IF($B617="Cardboard Recycling",INDEX('Materials Master'!$I$2:$I$27,MATCH($C617,'Materials Master'!$A$2:$A$27,0)),IF($B617="Paper Recycling",INDEX('Materials Master'!$J$2:$J$27,MATCH($C617,'Materials Master'!$A$2:$A$27,0)),IF($B617="Terracycle",INDEX('Materials Master'!$K$2:$K$27,MATCH($C617,'Materials Master'!$A$2:$A$27,0)),"No"))))))="Yes",1,0)</f>
        <v>0</v>
      </c>
    </row>
    <row r="618" customFormat="false" ht="15" hidden="false" customHeight="false" outlineLevel="0" collapsed="false">
      <c r="A618" s="0" t="s">
        <v>100</v>
      </c>
      <c r="B618" s="0" t="s">
        <v>108</v>
      </c>
      <c r="C618" s="0" t="s">
        <v>71</v>
      </c>
      <c r="D618" s="0" t="str">
        <f aca="false">IFERROR(INDEX('Materials Master'!$B$2:$B$27,MATCH($C618,'Materials Master'!$A$2:$A$27,0)),"")</f>
        <v>Fiber-based Compostable Serviceware</v>
      </c>
      <c r="E618" s="0" t="str">
        <f aca="false">IFERROR(INDEX('Materials Master'!$C$2:$C$27,MATCH($C618,'Materials Master'!$A$2:$A$27,0)),"")</f>
        <v>Organics</v>
      </c>
      <c r="F618" s="0" t="n">
        <f aca="false">IF(SUMIFS(Fact_SortedWeights!$E$2:$E$89,Fact_SortedWeights!$C$2:$C$89,$A618,Fact_SortedWeights!$B$2:$B$89,$B618)=0,0,SUMIFS(Fact_SortedWeights!$E$2:$E$89,Fact_SortedWeights!$C$2:$C$89,$A618,Fact_SortedWeights!$B$2:$B$89,$B618,Fact_SortedWeights!$D$2:$D$89,$C618)/SUMIFS(Fact_SortedWeights!$E$2:$E$89,Fact_SortedWeights!$C$2:$C$89,$A618,Fact_SortedWeights!$B$2:$B$89,$B618)*(IF($B618="Cardboard Recycling",SUMIFS(Fact_SortedWeights!$E$2:$E$89,Fact_SortedWeights!$C$2:$C$89,$A618,Fact_SortedWeights!$B$2:$B$89,$B618),SUMIFS(Fact_PreSortWeights!$E$2:$E$186,Fact_PreSortWeights!$C$2:$C$186,$A618,Fact_PreSortWeights!$B$2:$B$186,$B618))))</f>
        <v>0</v>
      </c>
      <c r="G618" s="0" t="n">
        <f aca="false">IF(AND(IF($B618="Trash",INDEX('Materials Master'!$F$2:$F$27,MATCH($C618,'Materials Master'!$A$2:$A$27,0)),IF($B618="GMPC Recycling",INDEX('Materials Master'!$G$2:$G$27,MATCH($C618,'Materials Master'!$A$2:$A$27,0)),IF($B618="Organics Recycling",INDEX('Materials Master'!$H$2:$H$27,MATCH($C618,'Materials Master'!$A$2:$A$27,0)),IF($B618="Cardboard Recycling",INDEX('Materials Master'!$I$2:$I$27,MATCH($C618,'Materials Master'!$A$2:$A$27,0)),IF($B618="Paper Recycling",INDEX('Materials Master'!$J$2:$J$27,MATCH($C618,'Materials Master'!$A$2:$A$27,0)),IF($B618="Terracycle",INDEX('Materials Master'!$K$2:$K$27,MATCH($C618,'Materials Master'!$A$2:$A$27,0)),"No"))))))="Yes",INDEX('Materials Master'!$E$2:$E$27,MATCH($C618,'Materials Master'!$A$2:$A$27,0))="Yes",$B618&lt;&gt;"Trash"),1,0)</f>
        <v>0</v>
      </c>
      <c r="H618" s="0" t="str">
        <f aca="false">INDEX('Materials Master'!$E$2:$E$27,MATCH($C618,'Materials Master'!$A$2:$A$27,0))</f>
        <v>No</v>
      </c>
      <c r="I618" s="0" t="str">
        <f aca="false">IFERROR(INDEX(Areas!$C$2:$C$6,MATCH($A618,Areas!$B$2:$B$6,0)),"")</f>
        <v>Rest of Building</v>
      </c>
      <c r="J618" s="0" t="n">
        <f aca="false">IF(IF($B618="Trash",INDEX('Materials Master'!$F$2:$F$27,MATCH($C618,'Materials Master'!$A$2:$A$27,0)),IF($B618="GMPC Recycling",INDEX('Materials Master'!$G$2:$G$27,MATCH($C618,'Materials Master'!$A$2:$A$27,0)),IF($B618="Organics Recycling",INDEX('Materials Master'!$H$2:$H$27,MATCH($C618,'Materials Master'!$A$2:$A$27,0)),IF($B618="Cardboard Recycling",INDEX('Materials Master'!$I$2:$I$27,MATCH($C618,'Materials Master'!$A$2:$A$27,0)),IF($B618="Paper Recycling",INDEX('Materials Master'!$J$2:$J$27,MATCH($C618,'Materials Master'!$A$2:$A$27,0)),IF($B618="Terracycle",INDEX('Materials Master'!$K$2:$K$27,MATCH($C618,'Materials Master'!$A$2:$A$27,0)),"No"))))))="Yes",1,0)</f>
        <v>0</v>
      </c>
    </row>
    <row r="619" customFormat="false" ht="15" hidden="false" customHeight="false" outlineLevel="0" collapsed="false">
      <c r="A619" s="0" t="s">
        <v>100</v>
      </c>
      <c r="B619" s="0" t="s">
        <v>108</v>
      </c>
      <c r="C619" s="0" t="s">
        <v>73</v>
      </c>
      <c r="D619" s="0" t="str">
        <f aca="false">IFERROR(INDEX('Materials Master'!$B$2:$B$27,MATCH($C619,'Materials Master'!$A$2:$A$27,0)),"")</f>
        <v>PLA Compostable Serviceware</v>
      </c>
      <c r="E619" s="0" t="str">
        <f aca="false">IFERROR(INDEX('Materials Master'!$C$2:$C$27,MATCH($C619,'Materials Master'!$A$2:$A$27,0)),"")</f>
        <v>Organics</v>
      </c>
      <c r="F619" s="0" t="n">
        <f aca="false">IF(SUMIFS(Fact_SortedWeights!$E$2:$E$89,Fact_SortedWeights!$C$2:$C$89,$A619,Fact_SortedWeights!$B$2:$B$89,$B619)=0,0,SUMIFS(Fact_SortedWeights!$E$2:$E$89,Fact_SortedWeights!$C$2:$C$89,$A619,Fact_SortedWeights!$B$2:$B$89,$B619,Fact_SortedWeights!$D$2:$D$89,$C619)/SUMIFS(Fact_SortedWeights!$E$2:$E$89,Fact_SortedWeights!$C$2:$C$89,$A619,Fact_SortedWeights!$B$2:$B$89,$B619)*(IF($B619="Cardboard Recycling",SUMIFS(Fact_SortedWeights!$E$2:$E$89,Fact_SortedWeights!$C$2:$C$89,$A619,Fact_SortedWeights!$B$2:$B$89,$B619),SUMIFS(Fact_PreSortWeights!$E$2:$E$186,Fact_PreSortWeights!$C$2:$C$186,$A619,Fact_PreSortWeights!$B$2:$B$186,$B619))))</f>
        <v>0</v>
      </c>
      <c r="G619" s="0" t="n">
        <f aca="false">IF(AND(IF($B619="Trash",INDEX('Materials Master'!$F$2:$F$27,MATCH($C619,'Materials Master'!$A$2:$A$27,0)),IF($B619="GMPC Recycling",INDEX('Materials Master'!$G$2:$G$27,MATCH($C619,'Materials Master'!$A$2:$A$27,0)),IF($B619="Organics Recycling",INDEX('Materials Master'!$H$2:$H$27,MATCH($C619,'Materials Master'!$A$2:$A$27,0)),IF($B619="Cardboard Recycling",INDEX('Materials Master'!$I$2:$I$27,MATCH($C619,'Materials Master'!$A$2:$A$27,0)),IF($B619="Paper Recycling",INDEX('Materials Master'!$J$2:$J$27,MATCH($C619,'Materials Master'!$A$2:$A$27,0)),IF($B619="Terracycle",INDEX('Materials Master'!$K$2:$K$27,MATCH($C619,'Materials Master'!$A$2:$A$27,0)),"No"))))))="Yes",INDEX('Materials Master'!$E$2:$E$27,MATCH($C619,'Materials Master'!$A$2:$A$27,0))="Yes",$B619&lt;&gt;"Trash"),1,0)</f>
        <v>0</v>
      </c>
      <c r="H619" s="0" t="str">
        <f aca="false">INDEX('Materials Master'!$E$2:$E$27,MATCH($C619,'Materials Master'!$A$2:$A$27,0))</f>
        <v>No</v>
      </c>
      <c r="I619" s="0" t="str">
        <f aca="false">IFERROR(INDEX(Areas!$C$2:$C$6,MATCH($A619,Areas!$B$2:$B$6,0)),"")</f>
        <v>Rest of Building</v>
      </c>
      <c r="J619" s="0" t="n">
        <f aca="false">IF(IF($B619="Trash",INDEX('Materials Master'!$F$2:$F$27,MATCH($C619,'Materials Master'!$A$2:$A$27,0)),IF($B619="GMPC Recycling",INDEX('Materials Master'!$G$2:$G$27,MATCH($C619,'Materials Master'!$A$2:$A$27,0)),IF($B619="Organics Recycling",INDEX('Materials Master'!$H$2:$H$27,MATCH($C619,'Materials Master'!$A$2:$A$27,0)),IF($B619="Cardboard Recycling",INDEX('Materials Master'!$I$2:$I$27,MATCH($C619,'Materials Master'!$A$2:$A$27,0)),IF($B619="Paper Recycling",INDEX('Materials Master'!$J$2:$J$27,MATCH($C619,'Materials Master'!$A$2:$A$27,0)),IF($B619="Terracycle",INDEX('Materials Master'!$K$2:$K$27,MATCH($C619,'Materials Master'!$A$2:$A$27,0)),"No"))))))="Yes",1,0)</f>
        <v>0</v>
      </c>
    </row>
    <row r="620" customFormat="false" ht="15" hidden="false" customHeight="false" outlineLevel="0" collapsed="false">
      <c r="A620" s="0" t="s">
        <v>100</v>
      </c>
      <c r="B620" s="0" t="s">
        <v>108</v>
      </c>
      <c r="C620" s="0" t="s">
        <v>75</v>
      </c>
      <c r="D620" s="0" t="str">
        <f aca="false">IFERROR(INDEX('Materials Master'!$B$2:$B$27,MATCH($C620,'Materials Master'!$A$2:$A$27,0)),"")</f>
        <v>E/U Waste</v>
      </c>
      <c r="E620" s="0" t="str">
        <f aca="false">IFERROR(INDEX('Materials Master'!$C$2:$C$27,MATCH($C620,'Materials Master'!$A$2:$A$27,0)),"")</f>
        <v>Unacceptable</v>
      </c>
      <c r="F620" s="0" t="n">
        <f aca="false">IF(SUMIFS(Fact_SortedWeights!$E$2:$E$89,Fact_SortedWeights!$C$2:$C$89,$A620,Fact_SortedWeights!$B$2:$B$89,$B620)=0,0,SUMIFS(Fact_SortedWeights!$E$2:$E$89,Fact_SortedWeights!$C$2:$C$89,$A620,Fact_SortedWeights!$B$2:$B$89,$B620,Fact_SortedWeights!$D$2:$D$89,$C620)/SUMIFS(Fact_SortedWeights!$E$2:$E$89,Fact_SortedWeights!$C$2:$C$89,$A620,Fact_SortedWeights!$B$2:$B$89,$B620)*(IF($B620="Cardboard Recycling",SUMIFS(Fact_SortedWeights!$E$2:$E$89,Fact_SortedWeights!$C$2:$C$89,$A620,Fact_SortedWeights!$B$2:$B$89,$B620),SUMIFS(Fact_PreSortWeights!$E$2:$E$186,Fact_PreSortWeights!$C$2:$C$186,$A620,Fact_PreSortWeights!$B$2:$B$186,$B620))))</f>
        <v>0</v>
      </c>
      <c r="G620" s="0" t="n">
        <f aca="false">IF(AND(IF($B620="Trash",INDEX('Materials Master'!$F$2:$F$27,MATCH($C620,'Materials Master'!$A$2:$A$27,0)),IF($B620="GMPC Recycling",INDEX('Materials Master'!$G$2:$G$27,MATCH($C620,'Materials Master'!$A$2:$A$27,0)),IF($B620="Organics Recycling",INDEX('Materials Master'!$H$2:$H$27,MATCH($C620,'Materials Master'!$A$2:$A$27,0)),IF($B620="Cardboard Recycling",INDEX('Materials Master'!$I$2:$I$27,MATCH($C620,'Materials Master'!$A$2:$A$27,0)),IF($B620="Paper Recycling",INDEX('Materials Master'!$J$2:$J$27,MATCH($C620,'Materials Master'!$A$2:$A$27,0)),IF($B620="Terracycle",INDEX('Materials Master'!$K$2:$K$27,MATCH($C620,'Materials Master'!$A$2:$A$27,0)),"No"))))))="Yes",INDEX('Materials Master'!$E$2:$E$27,MATCH($C620,'Materials Master'!$A$2:$A$27,0))="Yes",$B620&lt;&gt;"Trash"),1,0)</f>
        <v>0</v>
      </c>
      <c r="H620" s="0" t="str">
        <f aca="false">INDEX('Materials Master'!$E$2:$E$27,MATCH($C620,'Materials Master'!$A$2:$A$27,0))</f>
        <v>No</v>
      </c>
      <c r="I620" s="0" t="str">
        <f aca="false">IFERROR(INDEX(Areas!$C$2:$C$6,MATCH($A620,Areas!$B$2:$B$6,0)),"")</f>
        <v>Rest of Building</v>
      </c>
      <c r="J620" s="0" t="n">
        <f aca="false">IF(IF($B620="Trash",INDEX('Materials Master'!$F$2:$F$27,MATCH($C620,'Materials Master'!$A$2:$A$27,0)),IF($B620="GMPC Recycling",INDEX('Materials Master'!$G$2:$G$27,MATCH($C620,'Materials Master'!$A$2:$A$27,0)),IF($B620="Organics Recycling",INDEX('Materials Master'!$H$2:$H$27,MATCH($C620,'Materials Master'!$A$2:$A$27,0)),IF($B620="Cardboard Recycling",INDEX('Materials Master'!$I$2:$I$27,MATCH($C620,'Materials Master'!$A$2:$A$27,0)),IF($B620="Paper Recycling",INDEX('Materials Master'!$J$2:$J$27,MATCH($C620,'Materials Master'!$A$2:$A$27,0)),IF($B620="Terracycle",INDEX('Materials Master'!$K$2:$K$27,MATCH($C620,'Materials Master'!$A$2:$A$27,0)),"No"))))))="Yes",1,0)</f>
        <v>0</v>
      </c>
    </row>
    <row r="621" customFormat="false" ht="15" hidden="false" customHeight="false" outlineLevel="0" collapsed="false">
      <c r="A621" s="0" t="s">
        <v>100</v>
      </c>
      <c r="B621" s="0" t="s">
        <v>108</v>
      </c>
      <c r="C621" s="0" t="s">
        <v>78</v>
      </c>
      <c r="D621" s="0" t="str">
        <f aca="false">IFERROR(INDEX('Materials Master'!$B$2:$B$27,MATCH($C621,'Materials Master'!$A$2:$A$27,0)),"")</f>
        <v>Textiles</v>
      </c>
      <c r="E621" s="0" t="str">
        <f aca="false">IFERROR(INDEX('Materials Master'!$C$2:$C$27,MATCH($C621,'Materials Master'!$A$2:$A$27,0)),"")</f>
        <v>Unacceptable</v>
      </c>
      <c r="F621" s="0" t="n">
        <f aca="false">IF(SUMIFS(Fact_SortedWeights!$E$2:$E$89,Fact_SortedWeights!$C$2:$C$89,$A621,Fact_SortedWeights!$B$2:$B$89,$B621)=0,0,SUMIFS(Fact_SortedWeights!$E$2:$E$89,Fact_SortedWeights!$C$2:$C$89,$A621,Fact_SortedWeights!$B$2:$B$89,$B621,Fact_SortedWeights!$D$2:$D$89,$C621)/SUMIFS(Fact_SortedWeights!$E$2:$E$89,Fact_SortedWeights!$C$2:$C$89,$A621,Fact_SortedWeights!$B$2:$B$89,$B621)*(IF($B621="Cardboard Recycling",SUMIFS(Fact_SortedWeights!$E$2:$E$89,Fact_SortedWeights!$C$2:$C$89,$A621,Fact_SortedWeights!$B$2:$B$89,$B621),SUMIFS(Fact_PreSortWeights!$E$2:$E$186,Fact_PreSortWeights!$C$2:$C$186,$A621,Fact_PreSortWeights!$B$2:$B$186,$B621))))</f>
        <v>0</v>
      </c>
      <c r="G621" s="0" t="n">
        <f aca="false">IF(AND(IF($B621="Trash",INDEX('Materials Master'!$F$2:$F$27,MATCH($C621,'Materials Master'!$A$2:$A$27,0)),IF($B621="GMPC Recycling",INDEX('Materials Master'!$G$2:$G$27,MATCH($C621,'Materials Master'!$A$2:$A$27,0)),IF($B621="Organics Recycling",INDEX('Materials Master'!$H$2:$H$27,MATCH($C621,'Materials Master'!$A$2:$A$27,0)),IF($B621="Cardboard Recycling",INDEX('Materials Master'!$I$2:$I$27,MATCH($C621,'Materials Master'!$A$2:$A$27,0)),IF($B621="Paper Recycling",INDEX('Materials Master'!$J$2:$J$27,MATCH($C621,'Materials Master'!$A$2:$A$27,0)),IF($B621="Terracycle",INDEX('Materials Master'!$K$2:$K$27,MATCH($C621,'Materials Master'!$A$2:$A$27,0)),"No"))))))="Yes",INDEX('Materials Master'!$E$2:$E$27,MATCH($C621,'Materials Master'!$A$2:$A$27,0))="Yes",$B621&lt;&gt;"Trash"),1,0)</f>
        <v>0</v>
      </c>
      <c r="H621" s="0" t="str">
        <f aca="false">INDEX('Materials Master'!$E$2:$E$27,MATCH($C621,'Materials Master'!$A$2:$A$27,0))</f>
        <v>No</v>
      </c>
      <c r="I621" s="0" t="str">
        <f aca="false">IFERROR(INDEX(Areas!$C$2:$C$6,MATCH($A621,Areas!$B$2:$B$6,0)),"")</f>
        <v>Rest of Building</v>
      </c>
      <c r="J621" s="0" t="n">
        <f aca="false">IF(IF($B621="Trash",INDEX('Materials Master'!$F$2:$F$27,MATCH($C621,'Materials Master'!$A$2:$A$27,0)),IF($B621="GMPC Recycling",INDEX('Materials Master'!$G$2:$G$27,MATCH($C621,'Materials Master'!$A$2:$A$27,0)),IF($B621="Organics Recycling",INDEX('Materials Master'!$H$2:$H$27,MATCH($C621,'Materials Master'!$A$2:$A$27,0)),IF($B621="Cardboard Recycling",INDEX('Materials Master'!$I$2:$I$27,MATCH($C621,'Materials Master'!$A$2:$A$27,0)),IF($B621="Paper Recycling",INDEX('Materials Master'!$J$2:$J$27,MATCH($C621,'Materials Master'!$A$2:$A$27,0)),IF($B621="Terracycle",INDEX('Materials Master'!$K$2:$K$27,MATCH($C621,'Materials Master'!$A$2:$A$27,0)),"No"))))))="Yes",1,0)</f>
        <v>0</v>
      </c>
    </row>
    <row r="622" customFormat="false" ht="15" hidden="false" customHeight="false" outlineLevel="0" collapsed="false">
      <c r="A622" s="0" t="s">
        <v>100</v>
      </c>
      <c r="B622" s="0" t="s">
        <v>108</v>
      </c>
      <c r="C622" s="0" t="s">
        <v>80</v>
      </c>
      <c r="D622" s="0" t="str">
        <f aca="false">IFERROR(INDEX('Materials Master'!$B$2:$B$27,MATCH($C622,'Materials Master'!$A$2:$A$27,0)),"")</f>
        <v>Other Unacceptable (specify)</v>
      </c>
      <c r="E622" s="0" t="str">
        <f aca="false">IFERROR(INDEX('Materials Master'!$C$2:$C$27,MATCH($C622,'Materials Master'!$A$2:$A$27,0)),"")</f>
        <v>Unacceptable</v>
      </c>
      <c r="F622" s="0" t="n">
        <f aca="false">IF(SUMIFS(Fact_SortedWeights!$E$2:$E$89,Fact_SortedWeights!$C$2:$C$89,$A622,Fact_SortedWeights!$B$2:$B$89,$B622)=0,0,SUMIFS(Fact_SortedWeights!$E$2:$E$89,Fact_SortedWeights!$C$2:$C$89,$A622,Fact_SortedWeights!$B$2:$B$89,$B622,Fact_SortedWeights!$D$2:$D$89,$C622)/SUMIFS(Fact_SortedWeights!$E$2:$E$89,Fact_SortedWeights!$C$2:$C$89,$A622,Fact_SortedWeights!$B$2:$B$89,$B622)*(IF($B622="Cardboard Recycling",SUMIFS(Fact_SortedWeights!$E$2:$E$89,Fact_SortedWeights!$C$2:$C$89,$A622,Fact_SortedWeights!$B$2:$B$89,$B622),SUMIFS(Fact_PreSortWeights!$E$2:$E$186,Fact_PreSortWeights!$C$2:$C$186,$A622,Fact_PreSortWeights!$B$2:$B$186,$B622))))</f>
        <v>0</v>
      </c>
      <c r="G622" s="0" t="n">
        <f aca="false">IF(AND(IF($B622="Trash",INDEX('Materials Master'!$F$2:$F$27,MATCH($C622,'Materials Master'!$A$2:$A$27,0)),IF($B622="GMPC Recycling",INDEX('Materials Master'!$G$2:$G$27,MATCH($C622,'Materials Master'!$A$2:$A$27,0)),IF($B622="Organics Recycling",INDEX('Materials Master'!$H$2:$H$27,MATCH($C622,'Materials Master'!$A$2:$A$27,0)),IF($B622="Cardboard Recycling",INDEX('Materials Master'!$I$2:$I$27,MATCH($C622,'Materials Master'!$A$2:$A$27,0)),IF($B622="Paper Recycling",INDEX('Materials Master'!$J$2:$J$27,MATCH($C622,'Materials Master'!$A$2:$A$27,0)),IF($B622="Terracycle",INDEX('Materials Master'!$K$2:$K$27,MATCH($C622,'Materials Master'!$A$2:$A$27,0)),"No"))))))="Yes",INDEX('Materials Master'!$E$2:$E$27,MATCH($C622,'Materials Master'!$A$2:$A$27,0))="Yes",$B622&lt;&gt;"Trash"),1,0)</f>
        <v>0</v>
      </c>
      <c r="H622" s="0" t="str">
        <f aca="false">INDEX('Materials Master'!$E$2:$E$27,MATCH($C622,'Materials Master'!$A$2:$A$27,0))</f>
        <v>No</v>
      </c>
      <c r="I622" s="0" t="str">
        <f aca="false">IFERROR(INDEX(Areas!$C$2:$C$6,MATCH($A622,Areas!$B$2:$B$6,0)),"")</f>
        <v>Rest of Building</v>
      </c>
      <c r="J622" s="0" t="n">
        <f aca="false">IF(IF($B622="Trash",INDEX('Materials Master'!$F$2:$F$27,MATCH($C622,'Materials Master'!$A$2:$A$27,0)),IF($B622="GMPC Recycling",INDEX('Materials Master'!$G$2:$G$27,MATCH($C622,'Materials Master'!$A$2:$A$27,0)),IF($B622="Organics Recycling",INDEX('Materials Master'!$H$2:$H$27,MATCH($C622,'Materials Master'!$A$2:$A$27,0)),IF($B622="Cardboard Recycling",INDEX('Materials Master'!$I$2:$I$27,MATCH($C622,'Materials Master'!$A$2:$A$27,0)),IF($B622="Paper Recycling",INDEX('Materials Master'!$J$2:$J$27,MATCH($C622,'Materials Master'!$A$2:$A$27,0)),IF($B622="Terracycle",INDEX('Materials Master'!$K$2:$K$27,MATCH($C622,'Materials Master'!$A$2:$A$27,0)),"No"))))))="Yes",1,0)</f>
        <v>0</v>
      </c>
    </row>
    <row r="623" customFormat="false" ht="15" hidden="false" customHeight="false" outlineLevel="0" collapsed="false">
      <c r="A623" s="0" t="s">
        <v>100</v>
      </c>
      <c r="B623" s="0" t="s">
        <v>108</v>
      </c>
      <c r="C623" s="0" t="s">
        <v>82</v>
      </c>
      <c r="D623" s="0" t="str">
        <f aca="false">IFERROR(INDEX('Materials Master'!$B$2:$B$27,MATCH($C623,'Materials Master'!$A$2:$A$27,0)),"")</f>
        <v>Liquids</v>
      </c>
      <c r="E623" s="0" t="str">
        <f aca="false">IFERROR(INDEX('Materials Master'!$C$2:$C$27,MATCH($C623,'Materials Master'!$A$2:$A$27,0)),"")</f>
        <v>Unacceptable</v>
      </c>
      <c r="F623" s="0" t="n">
        <f aca="false">IF(SUMIFS(Fact_SortedWeights!$E$2:$E$89,Fact_SortedWeights!$C$2:$C$89,$A623,Fact_SortedWeights!$B$2:$B$89,$B623)=0,0,SUMIFS(Fact_SortedWeights!$E$2:$E$89,Fact_SortedWeights!$C$2:$C$89,$A623,Fact_SortedWeights!$B$2:$B$89,$B623,Fact_SortedWeights!$D$2:$D$89,$C623)/SUMIFS(Fact_SortedWeights!$E$2:$E$89,Fact_SortedWeights!$C$2:$C$89,$A623,Fact_SortedWeights!$B$2:$B$89,$B623)*(IF($B623="Cardboard Recycling",SUMIFS(Fact_SortedWeights!$E$2:$E$89,Fact_SortedWeights!$C$2:$C$89,$A623,Fact_SortedWeights!$B$2:$B$89,$B623),SUMIFS(Fact_PreSortWeights!$E$2:$E$186,Fact_PreSortWeights!$C$2:$C$186,$A623,Fact_PreSortWeights!$B$2:$B$186,$B623))))</f>
        <v>0</v>
      </c>
      <c r="G623" s="0" t="n">
        <f aca="false">IF(AND(IF($B623="Trash",INDEX('Materials Master'!$F$2:$F$27,MATCH($C623,'Materials Master'!$A$2:$A$27,0)),IF($B623="GMPC Recycling",INDEX('Materials Master'!$G$2:$G$27,MATCH($C623,'Materials Master'!$A$2:$A$27,0)),IF($B623="Organics Recycling",INDEX('Materials Master'!$H$2:$H$27,MATCH($C623,'Materials Master'!$A$2:$A$27,0)),IF($B623="Cardboard Recycling",INDEX('Materials Master'!$I$2:$I$27,MATCH($C623,'Materials Master'!$A$2:$A$27,0)),IF($B623="Paper Recycling",INDEX('Materials Master'!$J$2:$J$27,MATCH($C623,'Materials Master'!$A$2:$A$27,0)),IF($B623="Terracycle",INDEX('Materials Master'!$K$2:$K$27,MATCH($C623,'Materials Master'!$A$2:$A$27,0)),"No"))))))="Yes",INDEX('Materials Master'!$E$2:$E$27,MATCH($C623,'Materials Master'!$A$2:$A$27,0))="Yes",$B623&lt;&gt;"Trash"),1,0)</f>
        <v>0</v>
      </c>
      <c r="H623" s="0" t="str">
        <f aca="false">INDEX('Materials Master'!$E$2:$E$27,MATCH($C623,'Materials Master'!$A$2:$A$27,0))</f>
        <v>No</v>
      </c>
      <c r="I623" s="0" t="str">
        <f aca="false">IFERROR(INDEX(Areas!$C$2:$C$6,MATCH($A623,Areas!$B$2:$B$6,0)),"")</f>
        <v>Rest of Building</v>
      </c>
      <c r="J623" s="0" t="n">
        <f aca="false">IF(IF($B623="Trash",INDEX('Materials Master'!$F$2:$F$27,MATCH($C623,'Materials Master'!$A$2:$A$27,0)),IF($B623="GMPC Recycling",INDEX('Materials Master'!$G$2:$G$27,MATCH($C623,'Materials Master'!$A$2:$A$27,0)),IF($B623="Organics Recycling",INDEX('Materials Master'!$H$2:$H$27,MATCH($C623,'Materials Master'!$A$2:$A$27,0)),IF($B623="Cardboard Recycling",INDEX('Materials Master'!$I$2:$I$27,MATCH($C623,'Materials Master'!$A$2:$A$27,0)),IF($B623="Paper Recycling",INDEX('Materials Master'!$J$2:$J$27,MATCH($C623,'Materials Master'!$A$2:$A$27,0)),IF($B623="Terracycle",INDEX('Materials Master'!$K$2:$K$27,MATCH($C623,'Materials Master'!$A$2:$A$27,0)),"No"))))))="Yes",1,0)</f>
        <v>0</v>
      </c>
    </row>
    <row r="624" customFormat="false" ht="15" hidden="false" customHeight="false" outlineLevel="0" collapsed="false">
      <c r="A624" s="0" t="s">
        <v>100</v>
      </c>
      <c r="B624" s="0" t="s">
        <v>108</v>
      </c>
      <c r="C624" s="0" t="s">
        <v>84</v>
      </c>
      <c r="D624" s="0" t="str">
        <f aca="false">IFERROR(INDEX('Materials Master'!$B$2:$B$27,MATCH($C624,'Materials Master'!$A$2:$A$27,0)),"")</f>
        <v>Snack Wrappers (Composites)</v>
      </c>
      <c r="E624" s="0" t="str">
        <f aca="false">IFERROR(INDEX('Materials Master'!$C$2:$C$27,MATCH($C624,'Materials Master'!$A$2:$A$27,0)),"")</f>
        <v>Other</v>
      </c>
      <c r="F624" s="0" t="n">
        <f aca="false">IF(SUMIFS(Fact_SortedWeights!$E$2:$E$89,Fact_SortedWeights!$C$2:$C$89,$A624,Fact_SortedWeights!$B$2:$B$89,$B624)=0,0,SUMIFS(Fact_SortedWeights!$E$2:$E$89,Fact_SortedWeights!$C$2:$C$89,$A624,Fact_SortedWeights!$B$2:$B$89,$B624,Fact_SortedWeights!$D$2:$D$89,$C624)/SUMIFS(Fact_SortedWeights!$E$2:$E$89,Fact_SortedWeights!$C$2:$C$89,$A624,Fact_SortedWeights!$B$2:$B$89,$B624)*(IF($B624="Cardboard Recycling",SUMIFS(Fact_SortedWeights!$E$2:$E$89,Fact_SortedWeights!$C$2:$C$89,$A624,Fact_SortedWeights!$B$2:$B$89,$B624),SUMIFS(Fact_PreSortWeights!$E$2:$E$186,Fact_PreSortWeights!$C$2:$C$186,$A624,Fact_PreSortWeights!$B$2:$B$186,$B624))))</f>
        <v>0</v>
      </c>
      <c r="G624" s="0" t="n">
        <f aca="false">IF(AND(IF($B624="Trash",INDEX('Materials Master'!$F$2:$F$27,MATCH($C624,'Materials Master'!$A$2:$A$27,0)),IF($B624="GMPC Recycling",INDEX('Materials Master'!$G$2:$G$27,MATCH($C624,'Materials Master'!$A$2:$A$27,0)),IF($B624="Organics Recycling",INDEX('Materials Master'!$H$2:$H$27,MATCH($C624,'Materials Master'!$A$2:$A$27,0)),IF($B624="Cardboard Recycling",INDEX('Materials Master'!$I$2:$I$27,MATCH($C624,'Materials Master'!$A$2:$A$27,0)),IF($B624="Paper Recycling",INDEX('Materials Master'!$J$2:$J$27,MATCH($C624,'Materials Master'!$A$2:$A$27,0)),IF($B624="Terracycle",INDEX('Materials Master'!$K$2:$K$27,MATCH($C624,'Materials Master'!$A$2:$A$27,0)),"No"))))))="Yes",INDEX('Materials Master'!$E$2:$E$27,MATCH($C624,'Materials Master'!$A$2:$A$27,0))="Yes",$B624&lt;&gt;"Trash"),1,0)</f>
        <v>1</v>
      </c>
      <c r="H624" s="0" t="str">
        <f aca="false">INDEX('Materials Master'!$E$2:$E$27,MATCH($C624,'Materials Master'!$A$2:$A$27,0))</f>
        <v>Yes</v>
      </c>
      <c r="I624" s="0" t="str">
        <f aca="false">IFERROR(INDEX(Areas!$C$2:$C$6,MATCH($A624,Areas!$B$2:$B$6,0)),"")</f>
        <v>Rest of Building</v>
      </c>
      <c r="J624" s="0" t="n">
        <f aca="false">IF(IF($B624="Trash",INDEX('Materials Master'!$F$2:$F$27,MATCH($C624,'Materials Master'!$A$2:$A$27,0)),IF($B624="GMPC Recycling",INDEX('Materials Master'!$G$2:$G$27,MATCH($C624,'Materials Master'!$A$2:$A$27,0)),IF($B624="Organics Recycling",INDEX('Materials Master'!$H$2:$H$27,MATCH($C624,'Materials Master'!$A$2:$A$27,0)),IF($B624="Cardboard Recycling",INDEX('Materials Master'!$I$2:$I$27,MATCH($C624,'Materials Master'!$A$2:$A$27,0)),IF($B624="Paper Recycling",INDEX('Materials Master'!$J$2:$J$27,MATCH($C624,'Materials Master'!$A$2:$A$27,0)),IF($B624="Terracycle",INDEX('Materials Master'!$K$2:$K$27,MATCH($C624,'Materials Master'!$A$2:$A$27,0)),"No"))))))="Yes",1,0)</f>
        <v>1</v>
      </c>
    </row>
    <row r="625" customFormat="false" ht="15" hidden="false" customHeight="false" outlineLevel="0" collapsed="false">
      <c r="A625" s="0" t="s">
        <v>100</v>
      </c>
      <c r="B625" s="0" t="s">
        <v>108</v>
      </c>
      <c r="C625" s="0" t="s">
        <v>87</v>
      </c>
      <c r="D625" s="0" t="str">
        <f aca="false">IFERROR(INDEX('Materials Master'!$B$2:$B$27,MATCH($C625,'Materials Master'!$A$2:$A$27,0)),"")</f>
        <v>Other/Residual Materials</v>
      </c>
      <c r="E625" s="0" t="str">
        <f aca="false">IFERROR(INDEX('Materials Master'!$C$2:$C$27,MATCH($C625,'Materials Master'!$A$2:$A$27,0)),"")</f>
        <v>Other</v>
      </c>
      <c r="F625" s="0" t="n">
        <f aca="false">IF(SUMIFS(Fact_SortedWeights!$E$2:$E$89,Fact_SortedWeights!$C$2:$C$89,$A625,Fact_SortedWeights!$B$2:$B$89,$B625)=0,0,SUMIFS(Fact_SortedWeights!$E$2:$E$89,Fact_SortedWeights!$C$2:$C$89,$A625,Fact_SortedWeights!$B$2:$B$89,$B625,Fact_SortedWeights!$D$2:$D$89,$C625)/SUMIFS(Fact_SortedWeights!$E$2:$E$89,Fact_SortedWeights!$C$2:$C$89,$A625,Fact_SortedWeights!$B$2:$B$89,$B625)*(IF($B625="Cardboard Recycling",SUMIFS(Fact_SortedWeights!$E$2:$E$89,Fact_SortedWeights!$C$2:$C$89,$A625,Fact_SortedWeights!$B$2:$B$89,$B625),SUMIFS(Fact_PreSortWeights!$E$2:$E$186,Fact_PreSortWeights!$C$2:$C$186,$A625,Fact_PreSortWeights!$B$2:$B$186,$B625))))</f>
        <v>0</v>
      </c>
      <c r="G625" s="0" t="n">
        <f aca="false">IF(AND(IF($B625="Trash",INDEX('Materials Master'!$F$2:$F$27,MATCH($C625,'Materials Master'!$A$2:$A$27,0)),IF($B625="GMPC Recycling",INDEX('Materials Master'!$G$2:$G$27,MATCH($C625,'Materials Master'!$A$2:$A$27,0)),IF($B625="Organics Recycling",INDEX('Materials Master'!$H$2:$H$27,MATCH($C625,'Materials Master'!$A$2:$A$27,0)),IF($B625="Cardboard Recycling",INDEX('Materials Master'!$I$2:$I$27,MATCH($C625,'Materials Master'!$A$2:$A$27,0)),IF($B625="Paper Recycling",INDEX('Materials Master'!$J$2:$J$27,MATCH($C625,'Materials Master'!$A$2:$A$27,0)),IF($B625="Terracycle",INDEX('Materials Master'!$K$2:$K$27,MATCH($C625,'Materials Master'!$A$2:$A$27,0)),"No"))))))="Yes",INDEX('Materials Master'!$E$2:$E$27,MATCH($C625,'Materials Master'!$A$2:$A$27,0))="Yes",$B625&lt;&gt;"Trash"),1,0)</f>
        <v>0</v>
      </c>
      <c r="H625" s="0" t="str">
        <f aca="false">INDEX('Materials Master'!$E$2:$E$27,MATCH($C625,'Materials Master'!$A$2:$A$27,0))</f>
        <v>No</v>
      </c>
      <c r="I625" s="0" t="str">
        <f aca="false">IFERROR(INDEX(Areas!$C$2:$C$6,MATCH($A625,Areas!$B$2:$B$6,0)),"")</f>
        <v>Rest of Building</v>
      </c>
      <c r="J625" s="0" t="n">
        <f aca="false">IF(IF($B625="Trash",INDEX('Materials Master'!$F$2:$F$27,MATCH($C625,'Materials Master'!$A$2:$A$27,0)),IF($B625="GMPC Recycling",INDEX('Materials Master'!$G$2:$G$27,MATCH($C625,'Materials Master'!$A$2:$A$27,0)),IF($B625="Organics Recycling",INDEX('Materials Master'!$H$2:$H$27,MATCH($C625,'Materials Master'!$A$2:$A$27,0)),IF($B625="Cardboard Recycling",INDEX('Materials Master'!$I$2:$I$27,MATCH($C625,'Materials Master'!$A$2:$A$27,0)),IF($B625="Paper Recycling",INDEX('Materials Master'!$J$2:$J$27,MATCH($C625,'Materials Master'!$A$2:$A$27,0)),IF($B625="Terracycle",INDEX('Materials Master'!$K$2:$K$27,MATCH($C625,'Materials Master'!$A$2:$A$27,0)),"No"))))))="Yes",1,0)</f>
        <v>0</v>
      </c>
    </row>
    <row r="626" customFormat="false" ht="15" hidden="false" customHeight="false" outlineLevel="0" collapsed="false">
      <c r="A626" s="0" t="s">
        <v>101</v>
      </c>
      <c r="B626" s="0" t="s">
        <v>103</v>
      </c>
      <c r="C626" s="0" t="s">
        <v>28</v>
      </c>
      <c r="D626" s="0" t="str">
        <f aca="false">IFERROR(INDEX('Materials Master'!$B$2:$B$27,MATCH($C626,'Materials Master'!$A$2:$A$27,0)),"")</f>
        <v>Corrugated Cardboard</v>
      </c>
      <c r="E626" s="0" t="str">
        <f aca="false">IFERROR(INDEX('Materials Master'!$C$2:$C$27,MATCH($C626,'Materials Master'!$A$2:$A$27,0)),"")</f>
        <v>Fibers</v>
      </c>
      <c r="F626" s="0" t="n">
        <f aca="false">IF(SUMIFS(Fact_SortedWeights!$E$2:$E$89,Fact_SortedWeights!$C$2:$C$89,$A626,Fact_SortedWeights!$B$2:$B$89,$B626)=0,0,SUMIFS(Fact_SortedWeights!$E$2:$E$89,Fact_SortedWeights!$C$2:$C$89,$A626,Fact_SortedWeights!$B$2:$B$89,$B626,Fact_SortedWeights!$D$2:$D$89,$C626)/SUMIFS(Fact_SortedWeights!$E$2:$E$89,Fact_SortedWeights!$C$2:$C$89,$A626,Fact_SortedWeights!$B$2:$B$89,$B626)*(IF($B626="Cardboard Recycling",SUMIFS(Fact_SortedWeights!$E$2:$E$89,Fact_SortedWeights!$C$2:$C$89,$A626,Fact_SortedWeights!$B$2:$B$89,$B626),SUMIFS(Fact_PreSortWeights!$E$2:$E$186,Fact_PreSortWeights!$C$2:$C$186,$A626,Fact_PreSortWeights!$B$2:$B$186,$B626))))</f>
        <v>0</v>
      </c>
      <c r="G626" s="0" t="n">
        <f aca="false">IF(AND(IF($B626="Trash",INDEX('Materials Master'!$F$2:$F$27,MATCH($C626,'Materials Master'!$A$2:$A$27,0)),IF($B626="GMPC Recycling",INDEX('Materials Master'!$G$2:$G$27,MATCH($C626,'Materials Master'!$A$2:$A$27,0)),IF($B626="Organics Recycling",INDEX('Materials Master'!$H$2:$H$27,MATCH($C626,'Materials Master'!$A$2:$A$27,0)),IF($B626="Cardboard Recycling",INDEX('Materials Master'!$I$2:$I$27,MATCH($C626,'Materials Master'!$A$2:$A$27,0)),IF($B626="Paper Recycling",INDEX('Materials Master'!$J$2:$J$27,MATCH($C626,'Materials Master'!$A$2:$A$27,0)),IF($B626="Terracycle",INDEX('Materials Master'!$K$2:$K$27,MATCH($C626,'Materials Master'!$A$2:$A$27,0)),"No"))))))="Yes",INDEX('Materials Master'!$E$2:$E$27,MATCH($C626,'Materials Master'!$A$2:$A$27,0))="Yes",$B626&lt;&gt;"Trash"),1,0)</f>
        <v>0</v>
      </c>
      <c r="H626" s="0" t="str">
        <f aca="false">INDEX('Materials Master'!$E$2:$E$27,MATCH($C626,'Materials Master'!$A$2:$A$27,0))</f>
        <v>Yes</v>
      </c>
      <c r="I626" s="0" t="str">
        <f aca="false">IFERROR(INDEX(Areas!$C$2:$C$6,MATCH($A626,Areas!$B$2:$B$6,0)),"")</f>
        <v>Rest of Building</v>
      </c>
      <c r="J626" s="0" t="n">
        <f aca="false">IF(IF($B626="Trash",INDEX('Materials Master'!$F$2:$F$27,MATCH($C626,'Materials Master'!$A$2:$A$27,0)),IF($B626="GMPC Recycling",INDEX('Materials Master'!$G$2:$G$27,MATCH($C626,'Materials Master'!$A$2:$A$27,0)),IF($B626="Organics Recycling",INDEX('Materials Master'!$H$2:$H$27,MATCH($C626,'Materials Master'!$A$2:$A$27,0)),IF($B626="Cardboard Recycling",INDEX('Materials Master'!$I$2:$I$27,MATCH($C626,'Materials Master'!$A$2:$A$27,0)),IF($B626="Paper Recycling",INDEX('Materials Master'!$J$2:$J$27,MATCH($C626,'Materials Master'!$A$2:$A$27,0)),IF($B626="Terracycle",INDEX('Materials Master'!$K$2:$K$27,MATCH($C626,'Materials Master'!$A$2:$A$27,0)),"No"))))))="Yes",1,0)</f>
        <v>0</v>
      </c>
    </row>
    <row r="627" customFormat="false" ht="15" hidden="false" customHeight="false" outlineLevel="0" collapsed="false">
      <c r="A627" s="0" t="s">
        <v>101</v>
      </c>
      <c r="B627" s="0" t="s">
        <v>103</v>
      </c>
      <c r="C627" s="0" t="s">
        <v>33</v>
      </c>
      <c r="D627" s="0" t="str">
        <f aca="false">IFERROR(INDEX('Materials Master'!$B$2:$B$27,MATCH($C627,'Materials Master'!$A$2:$A$27,0)),"")</f>
        <v>Soiled Cardboard</v>
      </c>
      <c r="E627" s="0" t="str">
        <f aca="false">IFERROR(INDEX('Materials Master'!$C$2:$C$27,MATCH($C627,'Materials Master'!$A$2:$A$27,0)),"")</f>
        <v>Fibers</v>
      </c>
      <c r="F627" s="0" t="n">
        <f aca="false">IF(SUMIFS(Fact_SortedWeights!$E$2:$E$89,Fact_SortedWeights!$C$2:$C$89,$A627,Fact_SortedWeights!$B$2:$B$89,$B627)=0,0,SUMIFS(Fact_SortedWeights!$E$2:$E$89,Fact_SortedWeights!$C$2:$C$89,$A627,Fact_SortedWeights!$B$2:$B$89,$B627,Fact_SortedWeights!$D$2:$D$89,$C627)/SUMIFS(Fact_SortedWeights!$E$2:$E$89,Fact_SortedWeights!$C$2:$C$89,$A627,Fact_SortedWeights!$B$2:$B$89,$B627)*(IF($B627="Cardboard Recycling",SUMIFS(Fact_SortedWeights!$E$2:$E$89,Fact_SortedWeights!$C$2:$C$89,$A627,Fact_SortedWeights!$B$2:$B$89,$B627),SUMIFS(Fact_PreSortWeights!$E$2:$E$186,Fact_PreSortWeights!$C$2:$C$186,$A627,Fact_PreSortWeights!$B$2:$B$186,$B627))))</f>
        <v>0</v>
      </c>
      <c r="G627" s="0" t="n">
        <f aca="false">IF(AND(IF($B627="Trash",INDEX('Materials Master'!$F$2:$F$27,MATCH($C627,'Materials Master'!$A$2:$A$27,0)),IF($B627="GMPC Recycling",INDEX('Materials Master'!$G$2:$G$27,MATCH($C627,'Materials Master'!$A$2:$A$27,0)),IF($B627="Organics Recycling",INDEX('Materials Master'!$H$2:$H$27,MATCH($C627,'Materials Master'!$A$2:$A$27,0)),IF($B627="Cardboard Recycling",INDEX('Materials Master'!$I$2:$I$27,MATCH($C627,'Materials Master'!$A$2:$A$27,0)),IF($B627="Paper Recycling",INDEX('Materials Master'!$J$2:$J$27,MATCH($C627,'Materials Master'!$A$2:$A$27,0)),IF($B627="Terracycle",INDEX('Materials Master'!$K$2:$K$27,MATCH($C627,'Materials Master'!$A$2:$A$27,0)),"No"))))))="Yes",INDEX('Materials Master'!$E$2:$E$27,MATCH($C627,'Materials Master'!$A$2:$A$27,0))="Yes",$B627&lt;&gt;"Trash"),1,0)</f>
        <v>0</v>
      </c>
      <c r="H627" s="0" t="str">
        <f aca="false">INDEX('Materials Master'!$E$2:$E$27,MATCH($C627,'Materials Master'!$A$2:$A$27,0))</f>
        <v>No</v>
      </c>
      <c r="I627" s="0" t="str">
        <f aca="false">IFERROR(INDEX(Areas!$C$2:$C$6,MATCH($A627,Areas!$B$2:$B$6,0)),"")</f>
        <v>Rest of Building</v>
      </c>
      <c r="J627" s="0" t="n">
        <f aca="false">IF(IF($B627="Trash",INDEX('Materials Master'!$F$2:$F$27,MATCH($C627,'Materials Master'!$A$2:$A$27,0)),IF($B627="GMPC Recycling",INDEX('Materials Master'!$G$2:$G$27,MATCH($C627,'Materials Master'!$A$2:$A$27,0)),IF($B627="Organics Recycling",INDEX('Materials Master'!$H$2:$H$27,MATCH($C627,'Materials Master'!$A$2:$A$27,0)),IF($B627="Cardboard Recycling",INDEX('Materials Master'!$I$2:$I$27,MATCH($C627,'Materials Master'!$A$2:$A$27,0)),IF($B627="Paper Recycling",INDEX('Materials Master'!$J$2:$J$27,MATCH($C627,'Materials Master'!$A$2:$A$27,0)),IF($B627="Terracycle",INDEX('Materials Master'!$K$2:$K$27,MATCH($C627,'Materials Master'!$A$2:$A$27,0)),"No"))))))="Yes",1,0)</f>
        <v>1</v>
      </c>
    </row>
    <row r="628" customFormat="false" ht="15" hidden="false" customHeight="false" outlineLevel="0" collapsed="false">
      <c r="A628" s="0" t="s">
        <v>101</v>
      </c>
      <c r="B628" s="0" t="s">
        <v>103</v>
      </c>
      <c r="C628" s="0" t="s">
        <v>35</v>
      </c>
      <c r="D628" s="0" t="str">
        <f aca="false">IFERROR(INDEX('Materials Master'!$B$2:$B$27,MATCH($C628,'Materials Master'!$A$2:$A$27,0)),"")</f>
        <v>Waxed Cardboard</v>
      </c>
      <c r="E628" s="0" t="str">
        <f aca="false">IFERROR(INDEX('Materials Master'!$C$2:$C$27,MATCH($C628,'Materials Master'!$A$2:$A$27,0)),"")</f>
        <v>Fibers</v>
      </c>
      <c r="F628" s="0" t="n">
        <f aca="false">IF(SUMIFS(Fact_SortedWeights!$E$2:$E$89,Fact_SortedWeights!$C$2:$C$89,$A628,Fact_SortedWeights!$B$2:$B$89,$B628)=0,0,SUMIFS(Fact_SortedWeights!$E$2:$E$89,Fact_SortedWeights!$C$2:$C$89,$A628,Fact_SortedWeights!$B$2:$B$89,$B628,Fact_SortedWeights!$D$2:$D$89,$C628)/SUMIFS(Fact_SortedWeights!$E$2:$E$89,Fact_SortedWeights!$C$2:$C$89,$A628,Fact_SortedWeights!$B$2:$B$89,$B628)*(IF($B628="Cardboard Recycling",SUMIFS(Fact_SortedWeights!$E$2:$E$89,Fact_SortedWeights!$C$2:$C$89,$A628,Fact_SortedWeights!$B$2:$B$89,$B628),SUMIFS(Fact_PreSortWeights!$E$2:$E$186,Fact_PreSortWeights!$C$2:$C$186,$A628,Fact_PreSortWeights!$B$2:$B$186,$B628))))</f>
        <v>0</v>
      </c>
      <c r="G628" s="0" t="n">
        <f aca="false">IF(AND(IF($B628="Trash",INDEX('Materials Master'!$F$2:$F$27,MATCH($C628,'Materials Master'!$A$2:$A$27,0)),IF($B628="GMPC Recycling",INDEX('Materials Master'!$G$2:$G$27,MATCH($C628,'Materials Master'!$A$2:$A$27,0)),IF($B628="Organics Recycling",INDEX('Materials Master'!$H$2:$H$27,MATCH($C628,'Materials Master'!$A$2:$A$27,0)),IF($B628="Cardboard Recycling",INDEX('Materials Master'!$I$2:$I$27,MATCH($C628,'Materials Master'!$A$2:$A$27,0)),IF($B628="Paper Recycling",INDEX('Materials Master'!$J$2:$J$27,MATCH($C628,'Materials Master'!$A$2:$A$27,0)),IF($B628="Terracycle",INDEX('Materials Master'!$K$2:$K$27,MATCH($C628,'Materials Master'!$A$2:$A$27,0)),"No"))))))="Yes",INDEX('Materials Master'!$E$2:$E$27,MATCH($C628,'Materials Master'!$A$2:$A$27,0))="Yes",$B628&lt;&gt;"Trash"),1,0)</f>
        <v>0</v>
      </c>
      <c r="H628" s="0" t="str">
        <f aca="false">INDEX('Materials Master'!$E$2:$E$27,MATCH($C628,'Materials Master'!$A$2:$A$27,0))</f>
        <v>No</v>
      </c>
      <c r="I628" s="0" t="str">
        <f aca="false">IFERROR(INDEX(Areas!$C$2:$C$6,MATCH($A628,Areas!$B$2:$B$6,0)),"")</f>
        <v>Rest of Building</v>
      </c>
      <c r="J628" s="0" t="n">
        <f aca="false">IF(IF($B628="Trash",INDEX('Materials Master'!$F$2:$F$27,MATCH($C628,'Materials Master'!$A$2:$A$27,0)),IF($B628="GMPC Recycling",INDEX('Materials Master'!$G$2:$G$27,MATCH($C628,'Materials Master'!$A$2:$A$27,0)),IF($B628="Organics Recycling",INDEX('Materials Master'!$H$2:$H$27,MATCH($C628,'Materials Master'!$A$2:$A$27,0)),IF($B628="Cardboard Recycling",INDEX('Materials Master'!$I$2:$I$27,MATCH($C628,'Materials Master'!$A$2:$A$27,0)),IF($B628="Paper Recycling",INDEX('Materials Master'!$J$2:$J$27,MATCH($C628,'Materials Master'!$A$2:$A$27,0)),IF($B628="Terracycle",INDEX('Materials Master'!$K$2:$K$27,MATCH($C628,'Materials Master'!$A$2:$A$27,0)),"No"))))))="Yes",1,0)</f>
        <v>1</v>
      </c>
    </row>
    <row r="629" customFormat="false" ht="15" hidden="false" customHeight="false" outlineLevel="0" collapsed="false">
      <c r="A629" s="0" t="s">
        <v>101</v>
      </c>
      <c r="B629" s="0" t="s">
        <v>103</v>
      </c>
      <c r="C629" s="0" t="s">
        <v>37</v>
      </c>
      <c r="D629" s="0" t="str">
        <f aca="false">IFERROR(INDEX('Materials Master'!$B$2:$B$27,MATCH($C629,'Materials Master'!$A$2:$A$27,0)),"")</f>
        <v>Mixed Paper</v>
      </c>
      <c r="E629" s="0" t="str">
        <f aca="false">IFERROR(INDEX('Materials Master'!$C$2:$C$27,MATCH($C629,'Materials Master'!$A$2:$A$27,0)),"")</f>
        <v>Fibers</v>
      </c>
      <c r="F629" s="0" t="n">
        <f aca="false">IF(SUMIFS(Fact_SortedWeights!$E$2:$E$89,Fact_SortedWeights!$C$2:$C$89,$A629,Fact_SortedWeights!$B$2:$B$89,$B629)=0,0,SUMIFS(Fact_SortedWeights!$E$2:$E$89,Fact_SortedWeights!$C$2:$C$89,$A629,Fact_SortedWeights!$B$2:$B$89,$B629,Fact_SortedWeights!$D$2:$D$89,$C629)/SUMIFS(Fact_SortedWeights!$E$2:$E$89,Fact_SortedWeights!$C$2:$C$89,$A629,Fact_SortedWeights!$B$2:$B$89,$B629)*(IF($B629="Cardboard Recycling",SUMIFS(Fact_SortedWeights!$E$2:$E$89,Fact_SortedWeights!$C$2:$C$89,$A629,Fact_SortedWeights!$B$2:$B$89,$B629),SUMIFS(Fact_PreSortWeights!$E$2:$E$186,Fact_PreSortWeights!$C$2:$C$186,$A629,Fact_PreSortWeights!$B$2:$B$186,$B629))))</f>
        <v>0</v>
      </c>
      <c r="G629" s="0" t="n">
        <f aca="false">IF(AND(IF($B629="Trash",INDEX('Materials Master'!$F$2:$F$27,MATCH($C629,'Materials Master'!$A$2:$A$27,0)),IF($B629="GMPC Recycling",INDEX('Materials Master'!$G$2:$G$27,MATCH($C629,'Materials Master'!$A$2:$A$27,0)),IF($B629="Organics Recycling",INDEX('Materials Master'!$H$2:$H$27,MATCH($C629,'Materials Master'!$A$2:$A$27,0)),IF($B629="Cardboard Recycling",INDEX('Materials Master'!$I$2:$I$27,MATCH($C629,'Materials Master'!$A$2:$A$27,0)),IF($B629="Paper Recycling",INDEX('Materials Master'!$J$2:$J$27,MATCH($C629,'Materials Master'!$A$2:$A$27,0)),IF($B629="Terracycle",INDEX('Materials Master'!$K$2:$K$27,MATCH($C629,'Materials Master'!$A$2:$A$27,0)),"No"))))))="Yes",INDEX('Materials Master'!$E$2:$E$27,MATCH($C629,'Materials Master'!$A$2:$A$27,0))="Yes",$B629&lt;&gt;"Trash"),1,0)</f>
        <v>0</v>
      </c>
      <c r="H629" s="0" t="str">
        <f aca="false">INDEX('Materials Master'!$E$2:$E$27,MATCH($C629,'Materials Master'!$A$2:$A$27,0))</f>
        <v>Yes</v>
      </c>
      <c r="I629" s="0" t="str">
        <f aca="false">IFERROR(INDEX(Areas!$C$2:$C$6,MATCH($A629,Areas!$B$2:$B$6,0)),"")</f>
        <v>Rest of Building</v>
      </c>
      <c r="J629" s="0" t="n">
        <f aca="false">IF(IF($B629="Trash",INDEX('Materials Master'!$F$2:$F$27,MATCH($C629,'Materials Master'!$A$2:$A$27,0)),IF($B629="GMPC Recycling",INDEX('Materials Master'!$G$2:$G$27,MATCH($C629,'Materials Master'!$A$2:$A$27,0)),IF($B629="Organics Recycling",INDEX('Materials Master'!$H$2:$H$27,MATCH($C629,'Materials Master'!$A$2:$A$27,0)),IF($B629="Cardboard Recycling",INDEX('Materials Master'!$I$2:$I$27,MATCH($C629,'Materials Master'!$A$2:$A$27,0)),IF($B629="Paper Recycling",INDEX('Materials Master'!$J$2:$J$27,MATCH($C629,'Materials Master'!$A$2:$A$27,0)),IF($B629="Terracycle",INDEX('Materials Master'!$K$2:$K$27,MATCH($C629,'Materials Master'!$A$2:$A$27,0)),"No"))))))="Yes",1,0)</f>
        <v>0</v>
      </c>
    </row>
    <row r="630" customFormat="false" ht="15" hidden="false" customHeight="false" outlineLevel="0" collapsed="false">
      <c r="A630" s="0" t="s">
        <v>101</v>
      </c>
      <c r="B630" s="0" t="s">
        <v>103</v>
      </c>
      <c r="C630" s="0" t="s">
        <v>39</v>
      </c>
      <c r="D630" s="0" t="str">
        <f aca="false">IFERROR(INDEX('Materials Master'!$B$2:$B$27,MATCH($C630,'Materials Master'!$A$2:$A$27,0)),"")</f>
        <v>Soiled Paper</v>
      </c>
      <c r="E630" s="0" t="str">
        <f aca="false">IFERROR(INDEX('Materials Master'!$C$2:$C$27,MATCH($C630,'Materials Master'!$A$2:$A$27,0)),"")</f>
        <v>Fibers</v>
      </c>
      <c r="F630" s="0" t="n">
        <f aca="false">IF(SUMIFS(Fact_SortedWeights!$E$2:$E$89,Fact_SortedWeights!$C$2:$C$89,$A630,Fact_SortedWeights!$B$2:$B$89,$B630)=0,0,SUMIFS(Fact_SortedWeights!$E$2:$E$89,Fact_SortedWeights!$C$2:$C$89,$A630,Fact_SortedWeights!$B$2:$B$89,$B630,Fact_SortedWeights!$D$2:$D$89,$C630)/SUMIFS(Fact_SortedWeights!$E$2:$E$89,Fact_SortedWeights!$C$2:$C$89,$A630,Fact_SortedWeights!$B$2:$B$89,$B630)*(IF($B630="Cardboard Recycling",SUMIFS(Fact_SortedWeights!$E$2:$E$89,Fact_SortedWeights!$C$2:$C$89,$A630,Fact_SortedWeights!$B$2:$B$89,$B630),SUMIFS(Fact_PreSortWeights!$E$2:$E$186,Fact_PreSortWeights!$C$2:$C$186,$A630,Fact_PreSortWeights!$B$2:$B$186,$B630))))</f>
        <v>0</v>
      </c>
      <c r="G630" s="0" t="n">
        <f aca="false">IF(AND(IF($B630="Trash",INDEX('Materials Master'!$F$2:$F$27,MATCH($C630,'Materials Master'!$A$2:$A$27,0)),IF($B630="GMPC Recycling",INDEX('Materials Master'!$G$2:$G$27,MATCH($C630,'Materials Master'!$A$2:$A$27,0)),IF($B630="Organics Recycling",INDEX('Materials Master'!$H$2:$H$27,MATCH($C630,'Materials Master'!$A$2:$A$27,0)),IF($B630="Cardboard Recycling",INDEX('Materials Master'!$I$2:$I$27,MATCH($C630,'Materials Master'!$A$2:$A$27,0)),IF($B630="Paper Recycling",INDEX('Materials Master'!$J$2:$J$27,MATCH($C630,'Materials Master'!$A$2:$A$27,0)),IF($B630="Terracycle",INDEX('Materials Master'!$K$2:$K$27,MATCH($C630,'Materials Master'!$A$2:$A$27,0)),"No"))))))="Yes",INDEX('Materials Master'!$E$2:$E$27,MATCH($C630,'Materials Master'!$A$2:$A$27,0))="Yes",$B630&lt;&gt;"Trash"),1,0)</f>
        <v>0</v>
      </c>
      <c r="H630" s="0" t="str">
        <f aca="false">INDEX('Materials Master'!$E$2:$E$27,MATCH($C630,'Materials Master'!$A$2:$A$27,0))</f>
        <v>No</v>
      </c>
      <c r="I630" s="0" t="str">
        <f aca="false">IFERROR(INDEX(Areas!$C$2:$C$6,MATCH($A630,Areas!$B$2:$B$6,0)),"")</f>
        <v>Rest of Building</v>
      </c>
      <c r="J630" s="0" t="n">
        <f aca="false">IF(IF($B630="Trash",INDEX('Materials Master'!$F$2:$F$27,MATCH($C630,'Materials Master'!$A$2:$A$27,0)),IF($B630="GMPC Recycling",INDEX('Materials Master'!$G$2:$G$27,MATCH($C630,'Materials Master'!$A$2:$A$27,0)),IF($B630="Organics Recycling",INDEX('Materials Master'!$H$2:$H$27,MATCH($C630,'Materials Master'!$A$2:$A$27,0)),IF($B630="Cardboard Recycling",INDEX('Materials Master'!$I$2:$I$27,MATCH($C630,'Materials Master'!$A$2:$A$27,0)),IF($B630="Paper Recycling",INDEX('Materials Master'!$J$2:$J$27,MATCH($C630,'Materials Master'!$A$2:$A$27,0)),IF($B630="Terracycle",INDEX('Materials Master'!$K$2:$K$27,MATCH($C630,'Materials Master'!$A$2:$A$27,0)),"No"))))))="Yes",1,0)</f>
        <v>1</v>
      </c>
    </row>
    <row r="631" customFormat="false" ht="15" hidden="false" customHeight="false" outlineLevel="0" collapsed="false">
      <c r="A631" s="0" t="s">
        <v>101</v>
      </c>
      <c r="B631" s="0" t="s">
        <v>103</v>
      </c>
      <c r="C631" s="0" t="s">
        <v>41</v>
      </c>
      <c r="D631" s="0" t="str">
        <f aca="false">IFERROR(INDEX('Materials Master'!$B$2:$B$27,MATCH($C631,'Materials Master'!$A$2:$A$27,0)),"")</f>
        <v>Beverage Cartons</v>
      </c>
      <c r="E631" s="0" t="str">
        <f aca="false">IFERROR(INDEX('Materials Master'!$C$2:$C$27,MATCH($C631,'Materials Master'!$A$2:$A$27,0)),"")</f>
        <v>Fibers</v>
      </c>
      <c r="F631" s="0" t="n">
        <f aca="false">IF(SUMIFS(Fact_SortedWeights!$E$2:$E$89,Fact_SortedWeights!$C$2:$C$89,$A631,Fact_SortedWeights!$B$2:$B$89,$B631)=0,0,SUMIFS(Fact_SortedWeights!$E$2:$E$89,Fact_SortedWeights!$C$2:$C$89,$A631,Fact_SortedWeights!$B$2:$B$89,$B631,Fact_SortedWeights!$D$2:$D$89,$C631)/SUMIFS(Fact_SortedWeights!$E$2:$E$89,Fact_SortedWeights!$C$2:$C$89,$A631,Fact_SortedWeights!$B$2:$B$89,$B631)*(IF($B631="Cardboard Recycling",SUMIFS(Fact_SortedWeights!$E$2:$E$89,Fact_SortedWeights!$C$2:$C$89,$A631,Fact_SortedWeights!$B$2:$B$89,$B631),SUMIFS(Fact_PreSortWeights!$E$2:$E$186,Fact_PreSortWeights!$C$2:$C$186,$A631,Fact_PreSortWeights!$B$2:$B$186,$B631))))</f>
        <v>0</v>
      </c>
      <c r="G631" s="0" t="n">
        <f aca="false">IF(AND(IF($B631="Trash",INDEX('Materials Master'!$F$2:$F$27,MATCH($C631,'Materials Master'!$A$2:$A$27,0)),IF($B631="GMPC Recycling",INDEX('Materials Master'!$G$2:$G$27,MATCH($C631,'Materials Master'!$A$2:$A$27,0)),IF($B631="Organics Recycling",INDEX('Materials Master'!$H$2:$H$27,MATCH($C631,'Materials Master'!$A$2:$A$27,0)),IF($B631="Cardboard Recycling",INDEX('Materials Master'!$I$2:$I$27,MATCH($C631,'Materials Master'!$A$2:$A$27,0)),IF($B631="Paper Recycling",INDEX('Materials Master'!$J$2:$J$27,MATCH($C631,'Materials Master'!$A$2:$A$27,0)),IF($B631="Terracycle",INDEX('Materials Master'!$K$2:$K$27,MATCH($C631,'Materials Master'!$A$2:$A$27,0)),"No"))))))="Yes",INDEX('Materials Master'!$E$2:$E$27,MATCH($C631,'Materials Master'!$A$2:$A$27,0))="Yes",$B631&lt;&gt;"Trash"),1,0)</f>
        <v>0</v>
      </c>
      <c r="H631" s="0" t="str">
        <f aca="false">INDEX('Materials Master'!$E$2:$E$27,MATCH($C631,'Materials Master'!$A$2:$A$27,0))</f>
        <v>Yes</v>
      </c>
      <c r="I631" s="0" t="str">
        <f aca="false">IFERROR(INDEX(Areas!$C$2:$C$6,MATCH($A631,Areas!$B$2:$B$6,0)),"")</f>
        <v>Rest of Building</v>
      </c>
      <c r="J631" s="0" t="n">
        <f aca="false">IF(IF($B631="Trash",INDEX('Materials Master'!$F$2:$F$27,MATCH($C631,'Materials Master'!$A$2:$A$27,0)),IF($B631="GMPC Recycling",INDEX('Materials Master'!$G$2:$G$27,MATCH($C631,'Materials Master'!$A$2:$A$27,0)),IF($B631="Organics Recycling",INDEX('Materials Master'!$H$2:$H$27,MATCH($C631,'Materials Master'!$A$2:$A$27,0)),IF($B631="Cardboard Recycling",INDEX('Materials Master'!$I$2:$I$27,MATCH($C631,'Materials Master'!$A$2:$A$27,0)),IF($B631="Paper Recycling",INDEX('Materials Master'!$J$2:$J$27,MATCH($C631,'Materials Master'!$A$2:$A$27,0)),IF($B631="Terracycle",INDEX('Materials Master'!$K$2:$K$27,MATCH($C631,'Materials Master'!$A$2:$A$27,0)),"No"))))))="Yes",1,0)</f>
        <v>0</v>
      </c>
    </row>
    <row r="632" customFormat="false" ht="15" hidden="false" customHeight="false" outlineLevel="0" collapsed="false">
      <c r="A632" s="0" t="s">
        <v>101</v>
      </c>
      <c r="B632" s="0" t="s">
        <v>103</v>
      </c>
      <c r="C632" s="0" t="s">
        <v>43</v>
      </c>
      <c r="D632" s="0" t="str">
        <f aca="false">IFERROR(INDEX('Materials Master'!$B$2:$B$27,MATCH($C632,'Materials Master'!$A$2:$A$27,0)),"")</f>
        <v>Soiled Beverage Cartons</v>
      </c>
      <c r="E632" s="0" t="str">
        <f aca="false">IFERROR(INDEX('Materials Master'!$C$2:$C$27,MATCH($C632,'Materials Master'!$A$2:$A$27,0)),"")</f>
        <v>Fibers</v>
      </c>
      <c r="F632" s="0" t="n">
        <f aca="false">IF(SUMIFS(Fact_SortedWeights!$E$2:$E$89,Fact_SortedWeights!$C$2:$C$89,$A632,Fact_SortedWeights!$B$2:$B$89,$B632)=0,0,SUMIFS(Fact_SortedWeights!$E$2:$E$89,Fact_SortedWeights!$C$2:$C$89,$A632,Fact_SortedWeights!$B$2:$B$89,$B632,Fact_SortedWeights!$D$2:$D$89,$C632)/SUMIFS(Fact_SortedWeights!$E$2:$E$89,Fact_SortedWeights!$C$2:$C$89,$A632,Fact_SortedWeights!$B$2:$B$89,$B632)*(IF($B632="Cardboard Recycling",SUMIFS(Fact_SortedWeights!$E$2:$E$89,Fact_SortedWeights!$C$2:$C$89,$A632,Fact_SortedWeights!$B$2:$B$89,$B632),SUMIFS(Fact_PreSortWeights!$E$2:$E$186,Fact_PreSortWeights!$C$2:$C$186,$A632,Fact_PreSortWeights!$B$2:$B$186,$B632))))</f>
        <v>0</v>
      </c>
      <c r="G632" s="0" t="n">
        <f aca="false">IF(AND(IF($B632="Trash",INDEX('Materials Master'!$F$2:$F$27,MATCH($C632,'Materials Master'!$A$2:$A$27,0)),IF($B632="GMPC Recycling",INDEX('Materials Master'!$G$2:$G$27,MATCH($C632,'Materials Master'!$A$2:$A$27,0)),IF($B632="Organics Recycling",INDEX('Materials Master'!$H$2:$H$27,MATCH($C632,'Materials Master'!$A$2:$A$27,0)),IF($B632="Cardboard Recycling",INDEX('Materials Master'!$I$2:$I$27,MATCH($C632,'Materials Master'!$A$2:$A$27,0)),IF($B632="Paper Recycling",INDEX('Materials Master'!$J$2:$J$27,MATCH($C632,'Materials Master'!$A$2:$A$27,0)),IF($B632="Terracycle",INDEX('Materials Master'!$K$2:$K$27,MATCH($C632,'Materials Master'!$A$2:$A$27,0)),"No"))))))="Yes",INDEX('Materials Master'!$E$2:$E$27,MATCH($C632,'Materials Master'!$A$2:$A$27,0))="Yes",$B632&lt;&gt;"Trash"),1,0)</f>
        <v>0</v>
      </c>
      <c r="H632" s="0" t="str">
        <f aca="false">INDEX('Materials Master'!$E$2:$E$27,MATCH($C632,'Materials Master'!$A$2:$A$27,0))</f>
        <v>No</v>
      </c>
      <c r="I632" s="0" t="str">
        <f aca="false">IFERROR(INDEX(Areas!$C$2:$C$6,MATCH($A632,Areas!$B$2:$B$6,0)),"")</f>
        <v>Rest of Building</v>
      </c>
      <c r="J632" s="0" t="n">
        <f aca="false">IF(IF($B632="Trash",INDEX('Materials Master'!$F$2:$F$27,MATCH($C632,'Materials Master'!$A$2:$A$27,0)),IF($B632="GMPC Recycling",INDEX('Materials Master'!$G$2:$G$27,MATCH($C632,'Materials Master'!$A$2:$A$27,0)),IF($B632="Organics Recycling",INDEX('Materials Master'!$H$2:$H$27,MATCH($C632,'Materials Master'!$A$2:$A$27,0)),IF($B632="Cardboard Recycling",INDEX('Materials Master'!$I$2:$I$27,MATCH($C632,'Materials Master'!$A$2:$A$27,0)),IF($B632="Paper Recycling",INDEX('Materials Master'!$J$2:$J$27,MATCH($C632,'Materials Master'!$A$2:$A$27,0)),IF($B632="Terracycle",INDEX('Materials Master'!$K$2:$K$27,MATCH($C632,'Materials Master'!$A$2:$A$27,0)),"No"))))))="Yes",1,0)</f>
        <v>1</v>
      </c>
    </row>
    <row r="633" customFormat="false" ht="15" hidden="false" customHeight="false" outlineLevel="0" collapsed="false">
      <c r="A633" s="0" t="s">
        <v>101</v>
      </c>
      <c r="B633" s="0" t="s">
        <v>103</v>
      </c>
      <c r="C633" s="0" t="s">
        <v>45</v>
      </c>
      <c r="D633" s="0" t="str">
        <f aca="false">IFERROR(INDEX('Materials Master'!$B$2:$B$27,MATCH($C633,'Materials Master'!$A$2:$A$27,0)),"")</f>
        <v>Paper Cups / Other Coated Paper Containers</v>
      </c>
      <c r="E633" s="0" t="str">
        <f aca="false">IFERROR(INDEX('Materials Master'!$C$2:$C$27,MATCH($C633,'Materials Master'!$A$2:$A$27,0)),"")</f>
        <v>Fibers</v>
      </c>
      <c r="F633" s="0" t="n">
        <f aca="false">IF(SUMIFS(Fact_SortedWeights!$E$2:$E$89,Fact_SortedWeights!$C$2:$C$89,$A633,Fact_SortedWeights!$B$2:$B$89,$B633)=0,0,SUMIFS(Fact_SortedWeights!$E$2:$E$89,Fact_SortedWeights!$C$2:$C$89,$A633,Fact_SortedWeights!$B$2:$B$89,$B633,Fact_SortedWeights!$D$2:$D$89,$C633)/SUMIFS(Fact_SortedWeights!$E$2:$E$89,Fact_SortedWeights!$C$2:$C$89,$A633,Fact_SortedWeights!$B$2:$B$89,$B633)*(IF($B633="Cardboard Recycling",SUMIFS(Fact_SortedWeights!$E$2:$E$89,Fact_SortedWeights!$C$2:$C$89,$A633,Fact_SortedWeights!$B$2:$B$89,$B633),SUMIFS(Fact_PreSortWeights!$E$2:$E$186,Fact_PreSortWeights!$C$2:$C$186,$A633,Fact_PreSortWeights!$B$2:$B$186,$B633))))</f>
        <v>0</v>
      </c>
      <c r="G633" s="0" t="n">
        <f aca="false">IF(AND(IF($B633="Trash",INDEX('Materials Master'!$F$2:$F$27,MATCH($C633,'Materials Master'!$A$2:$A$27,0)),IF($B633="GMPC Recycling",INDEX('Materials Master'!$G$2:$G$27,MATCH($C633,'Materials Master'!$A$2:$A$27,0)),IF($B633="Organics Recycling",INDEX('Materials Master'!$H$2:$H$27,MATCH($C633,'Materials Master'!$A$2:$A$27,0)),IF($B633="Cardboard Recycling",INDEX('Materials Master'!$I$2:$I$27,MATCH($C633,'Materials Master'!$A$2:$A$27,0)),IF($B633="Paper Recycling",INDEX('Materials Master'!$J$2:$J$27,MATCH($C633,'Materials Master'!$A$2:$A$27,0)),IF($B633="Terracycle",INDEX('Materials Master'!$K$2:$K$27,MATCH($C633,'Materials Master'!$A$2:$A$27,0)),"No"))))))="Yes",INDEX('Materials Master'!$E$2:$E$27,MATCH($C633,'Materials Master'!$A$2:$A$27,0))="Yes",$B633&lt;&gt;"Trash"),1,0)</f>
        <v>0</v>
      </c>
      <c r="H633" s="0" t="str">
        <f aca="false">INDEX('Materials Master'!$E$2:$E$27,MATCH($C633,'Materials Master'!$A$2:$A$27,0))</f>
        <v>No</v>
      </c>
      <c r="I633" s="0" t="str">
        <f aca="false">IFERROR(INDEX(Areas!$C$2:$C$6,MATCH($A633,Areas!$B$2:$B$6,0)),"")</f>
        <v>Rest of Building</v>
      </c>
      <c r="J633" s="0" t="n">
        <f aca="false">IF(IF($B633="Trash",INDEX('Materials Master'!$F$2:$F$27,MATCH($C633,'Materials Master'!$A$2:$A$27,0)),IF($B633="GMPC Recycling",INDEX('Materials Master'!$G$2:$G$27,MATCH($C633,'Materials Master'!$A$2:$A$27,0)),IF($B633="Organics Recycling",INDEX('Materials Master'!$H$2:$H$27,MATCH($C633,'Materials Master'!$A$2:$A$27,0)),IF($B633="Cardboard Recycling",INDEX('Materials Master'!$I$2:$I$27,MATCH($C633,'Materials Master'!$A$2:$A$27,0)),IF($B633="Paper Recycling",INDEX('Materials Master'!$J$2:$J$27,MATCH($C633,'Materials Master'!$A$2:$A$27,0)),IF($B633="Terracycle",INDEX('Materials Master'!$K$2:$K$27,MATCH($C633,'Materials Master'!$A$2:$A$27,0)),"No"))))))="Yes",1,0)</f>
        <v>1</v>
      </c>
    </row>
    <row r="634" customFormat="false" ht="15" hidden="false" customHeight="false" outlineLevel="0" collapsed="false">
      <c r="A634" s="0" t="s">
        <v>101</v>
      </c>
      <c r="B634" s="0" t="s">
        <v>103</v>
      </c>
      <c r="C634" s="0" t="s">
        <v>47</v>
      </c>
      <c r="D634" s="0" t="str">
        <f aca="false">IFERROR(INDEX('Materials Master'!$B$2:$B$27,MATCH($C634,'Materials Master'!$A$2:$A$27,0)),"")</f>
        <v>Glass Bottles &amp; Jars</v>
      </c>
      <c r="E634" s="0" t="str">
        <f aca="false">IFERROR(INDEX('Materials Master'!$C$2:$C$27,MATCH($C634,'Materials Master'!$A$2:$A$27,0)),"")</f>
        <v>Glass</v>
      </c>
      <c r="F634" s="0" t="n">
        <f aca="false">IF(SUMIFS(Fact_SortedWeights!$E$2:$E$89,Fact_SortedWeights!$C$2:$C$89,$A634,Fact_SortedWeights!$B$2:$B$89,$B634)=0,0,SUMIFS(Fact_SortedWeights!$E$2:$E$89,Fact_SortedWeights!$C$2:$C$89,$A634,Fact_SortedWeights!$B$2:$B$89,$B634,Fact_SortedWeights!$D$2:$D$89,$C634)/SUMIFS(Fact_SortedWeights!$E$2:$E$89,Fact_SortedWeights!$C$2:$C$89,$A634,Fact_SortedWeights!$B$2:$B$89,$B634)*(IF($B634="Cardboard Recycling",SUMIFS(Fact_SortedWeights!$E$2:$E$89,Fact_SortedWeights!$C$2:$C$89,$A634,Fact_SortedWeights!$B$2:$B$89,$B634),SUMIFS(Fact_PreSortWeights!$E$2:$E$186,Fact_PreSortWeights!$C$2:$C$186,$A634,Fact_PreSortWeights!$B$2:$B$186,$B634))))</f>
        <v>0</v>
      </c>
      <c r="G634" s="0" t="n">
        <f aca="false">IF(AND(IF($B634="Trash",INDEX('Materials Master'!$F$2:$F$27,MATCH($C634,'Materials Master'!$A$2:$A$27,0)),IF($B634="GMPC Recycling",INDEX('Materials Master'!$G$2:$G$27,MATCH($C634,'Materials Master'!$A$2:$A$27,0)),IF($B634="Organics Recycling",INDEX('Materials Master'!$H$2:$H$27,MATCH($C634,'Materials Master'!$A$2:$A$27,0)),IF($B634="Cardboard Recycling",INDEX('Materials Master'!$I$2:$I$27,MATCH($C634,'Materials Master'!$A$2:$A$27,0)),IF($B634="Paper Recycling",INDEX('Materials Master'!$J$2:$J$27,MATCH($C634,'Materials Master'!$A$2:$A$27,0)),IF($B634="Terracycle",INDEX('Materials Master'!$K$2:$K$27,MATCH($C634,'Materials Master'!$A$2:$A$27,0)),"No"))))))="Yes",INDEX('Materials Master'!$E$2:$E$27,MATCH($C634,'Materials Master'!$A$2:$A$27,0))="Yes",$B634&lt;&gt;"Trash"),1,0)</f>
        <v>0</v>
      </c>
      <c r="H634" s="0" t="str">
        <f aca="false">INDEX('Materials Master'!$E$2:$E$27,MATCH($C634,'Materials Master'!$A$2:$A$27,0))</f>
        <v>Yes</v>
      </c>
      <c r="I634" s="0" t="str">
        <f aca="false">IFERROR(INDEX(Areas!$C$2:$C$6,MATCH($A634,Areas!$B$2:$B$6,0)),"")</f>
        <v>Rest of Building</v>
      </c>
      <c r="J634" s="0" t="n">
        <f aca="false">IF(IF($B634="Trash",INDEX('Materials Master'!$F$2:$F$27,MATCH($C634,'Materials Master'!$A$2:$A$27,0)),IF($B634="GMPC Recycling",INDEX('Materials Master'!$G$2:$G$27,MATCH($C634,'Materials Master'!$A$2:$A$27,0)),IF($B634="Organics Recycling",INDEX('Materials Master'!$H$2:$H$27,MATCH($C634,'Materials Master'!$A$2:$A$27,0)),IF($B634="Cardboard Recycling",INDEX('Materials Master'!$I$2:$I$27,MATCH($C634,'Materials Master'!$A$2:$A$27,0)),IF($B634="Paper Recycling",INDEX('Materials Master'!$J$2:$J$27,MATCH($C634,'Materials Master'!$A$2:$A$27,0)),IF($B634="Terracycle",INDEX('Materials Master'!$K$2:$K$27,MATCH($C634,'Materials Master'!$A$2:$A$27,0)),"No"))))))="Yes",1,0)</f>
        <v>0</v>
      </c>
    </row>
    <row r="635" customFormat="false" ht="15" hidden="false" customHeight="false" outlineLevel="0" collapsed="false">
      <c r="A635" s="0" t="s">
        <v>101</v>
      </c>
      <c r="B635" s="0" t="s">
        <v>103</v>
      </c>
      <c r="C635" s="0" t="s">
        <v>50</v>
      </c>
      <c r="D635" s="0" t="str">
        <f aca="false">IFERROR(INDEX('Materials Master'!$B$2:$B$27,MATCH($C635,'Materials Master'!$A$2:$A$27,0)),"")</f>
        <v>Soiled Glass</v>
      </c>
      <c r="E635" s="0" t="str">
        <f aca="false">IFERROR(INDEX('Materials Master'!$C$2:$C$27,MATCH($C635,'Materials Master'!$A$2:$A$27,0)),"")</f>
        <v>Glass</v>
      </c>
      <c r="F635" s="0" t="n">
        <f aca="false">IF(SUMIFS(Fact_SortedWeights!$E$2:$E$89,Fact_SortedWeights!$C$2:$C$89,$A635,Fact_SortedWeights!$B$2:$B$89,$B635)=0,0,SUMIFS(Fact_SortedWeights!$E$2:$E$89,Fact_SortedWeights!$C$2:$C$89,$A635,Fact_SortedWeights!$B$2:$B$89,$B635,Fact_SortedWeights!$D$2:$D$89,$C635)/SUMIFS(Fact_SortedWeights!$E$2:$E$89,Fact_SortedWeights!$C$2:$C$89,$A635,Fact_SortedWeights!$B$2:$B$89,$B635)*(IF($B635="Cardboard Recycling",SUMIFS(Fact_SortedWeights!$E$2:$E$89,Fact_SortedWeights!$C$2:$C$89,$A635,Fact_SortedWeights!$B$2:$B$89,$B635),SUMIFS(Fact_PreSortWeights!$E$2:$E$186,Fact_PreSortWeights!$C$2:$C$186,$A635,Fact_PreSortWeights!$B$2:$B$186,$B635))))</f>
        <v>0</v>
      </c>
      <c r="G635" s="0" t="n">
        <f aca="false">IF(AND(IF($B635="Trash",INDEX('Materials Master'!$F$2:$F$27,MATCH($C635,'Materials Master'!$A$2:$A$27,0)),IF($B635="GMPC Recycling",INDEX('Materials Master'!$G$2:$G$27,MATCH($C635,'Materials Master'!$A$2:$A$27,0)),IF($B635="Organics Recycling",INDEX('Materials Master'!$H$2:$H$27,MATCH($C635,'Materials Master'!$A$2:$A$27,0)),IF($B635="Cardboard Recycling",INDEX('Materials Master'!$I$2:$I$27,MATCH($C635,'Materials Master'!$A$2:$A$27,0)),IF($B635="Paper Recycling",INDEX('Materials Master'!$J$2:$J$27,MATCH($C635,'Materials Master'!$A$2:$A$27,0)),IF($B635="Terracycle",INDEX('Materials Master'!$K$2:$K$27,MATCH($C635,'Materials Master'!$A$2:$A$27,0)),"No"))))))="Yes",INDEX('Materials Master'!$E$2:$E$27,MATCH($C635,'Materials Master'!$A$2:$A$27,0))="Yes",$B635&lt;&gt;"Trash"),1,0)</f>
        <v>0</v>
      </c>
      <c r="H635" s="0" t="str">
        <f aca="false">INDEX('Materials Master'!$E$2:$E$27,MATCH($C635,'Materials Master'!$A$2:$A$27,0))</f>
        <v>No</v>
      </c>
      <c r="I635" s="0" t="str">
        <f aca="false">IFERROR(INDEX(Areas!$C$2:$C$6,MATCH($A635,Areas!$B$2:$B$6,0)),"")</f>
        <v>Rest of Building</v>
      </c>
      <c r="J635" s="0" t="n">
        <f aca="false">IF(IF($B635="Trash",INDEX('Materials Master'!$F$2:$F$27,MATCH($C635,'Materials Master'!$A$2:$A$27,0)),IF($B635="GMPC Recycling",INDEX('Materials Master'!$G$2:$G$27,MATCH($C635,'Materials Master'!$A$2:$A$27,0)),IF($B635="Organics Recycling",INDEX('Materials Master'!$H$2:$H$27,MATCH($C635,'Materials Master'!$A$2:$A$27,0)),IF($B635="Cardboard Recycling",INDEX('Materials Master'!$I$2:$I$27,MATCH($C635,'Materials Master'!$A$2:$A$27,0)),IF($B635="Paper Recycling",INDEX('Materials Master'!$J$2:$J$27,MATCH($C635,'Materials Master'!$A$2:$A$27,0)),IF($B635="Terracycle",INDEX('Materials Master'!$K$2:$K$27,MATCH($C635,'Materials Master'!$A$2:$A$27,0)),"No"))))))="Yes",1,0)</f>
        <v>1</v>
      </c>
    </row>
    <row r="636" customFormat="false" ht="15" hidden="false" customHeight="false" outlineLevel="0" collapsed="false">
      <c r="A636" s="0" t="s">
        <v>101</v>
      </c>
      <c r="B636" s="0" t="s">
        <v>103</v>
      </c>
      <c r="C636" s="0" t="s">
        <v>52</v>
      </c>
      <c r="D636" s="0" t="str">
        <f aca="false">IFERROR(INDEX('Materials Master'!$B$2:$B$27,MATCH($C636,'Materials Master'!$A$2:$A$27,0)),"")</f>
        <v>Aluminum &amp; Bi-Metal Containers</v>
      </c>
      <c r="E636" s="0" t="str">
        <f aca="false">IFERROR(INDEX('Materials Master'!$C$2:$C$27,MATCH($C636,'Materials Master'!$A$2:$A$27,0)),"")</f>
        <v>Metals</v>
      </c>
      <c r="F636" s="0" t="n">
        <f aca="false">IF(SUMIFS(Fact_SortedWeights!$E$2:$E$89,Fact_SortedWeights!$C$2:$C$89,$A636,Fact_SortedWeights!$B$2:$B$89,$B636)=0,0,SUMIFS(Fact_SortedWeights!$E$2:$E$89,Fact_SortedWeights!$C$2:$C$89,$A636,Fact_SortedWeights!$B$2:$B$89,$B636,Fact_SortedWeights!$D$2:$D$89,$C636)/SUMIFS(Fact_SortedWeights!$E$2:$E$89,Fact_SortedWeights!$C$2:$C$89,$A636,Fact_SortedWeights!$B$2:$B$89,$B636)*(IF($B636="Cardboard Recycling",SUMIFS(Fact_SortedWeights!$E$2:$E$89,Fact_SortedWeights!$C$2:$C$89,$A636,Fact_SortedWeights!$B$2:$B$89,$B636),SUMIFS(Fact_PreSortWeights!$E$2:$E$186,Fact_PreSortWeights!$C$2:$C$186,$A636,Fact_PreSortWeights!$B$2:$B$186,$B636))))</f>
        <v>0</v>
      </c>
      <c r="G636" s="0" t="n">
        <f aca="false">IF(AND(IF($B636="Trash",INDEX('Materials Master'!$F$2:$F$27,MATCH($C636,'Materials Master'!$A$2:$A$27,0)),IF($B636="GMPC Recycling",INDEX('Materials Master'!$G$2:$G$27,MATCH($C636,'Materials Master'!$A$2:$A$27,0)),IF($B636="Organics Recycling",INDEX('Materials Master'!$H$2:$H$27,MATCH($C636,'Materials Master'!$A$2:$A$27,0)),IF($B636="Cardboard Recycling",INDEX('Materials Master'!$I$2:$I$27,MATCH($C636,'Materials Master'!$A$2:$A$27,0)),IF($B636="Paper Recycling",INDEX('Materials Master'!$J$2:$J$27,MATCH($C636,'Materials Master'!$A$2:$A$27,0)),IF($B636="Terracycle",INDEX('Materials Master'!$K$2:$K$27,MATCH($C636,'Materials Master'!$A$2:$A$27,0)),"No"))))))="Yes",INDEX('Materials Master'!$E$2:$E$27,MATCH($C636,'Materials Master'!$A$2:$A$27,0))="Yes",$B636&lt;&gt;"Trash"),1,0)</f>
        <v>0</v>
      </c>
      <c r="H636" s="0" t="str">
        <f aca="false">INDEX('Materials Master'!$E$2:$E$27,MATCH($C636,'Materials Master'!$A$2:$A$27,0))</f>
        <v>Yes</v>
      </c>
      <c r="I636" s="0" t="str">
        <f aca="false">IFERROR(INDEX(Areas!$C$2:$C$6,MATCH($A636,Areas!$B$2:$B$6,0)),"")</f>
        <v>Rest of Building</v>
      </c>
      <c r="J636" s="0" t="n">
        <f aca="false">IF(IF($B636="Trash",INDEX('Materials Master'!$F$2:$F$27,MATCH($C636,'Materials Master'!$A$2:$A$27,0)),IF($B636="GMPC Recycling",INDEX('Materials Master'!$G$2:$G$27,MATCH($C636,'Materials Master'!$A$2:$A$27,0)),IF($B636="Organics Recycling",INDEX('Materials Master'!$H$2:$H$27,MATCH($C636,'Materials Master'!$A$2:$A$27,0)),IF($B636="Cardboard Recycling",INDEX('Materials Master'!$I$2:$I$27,MATCH($C636,'Materials Master'!$A$2:$A$27,0)),IF($B636="Paper Recycling",INDEX('Materials Master'!$J$2:$J$27,MATCH($C636,'Materials Master'!$A$2:$A$27,0)),IF($B636="Terracycle",INDEX('Materials Master'!$K$2:$K$27,MATCH($C636,'Materials Master'!$A$2:$A$27,0)),"No"))))))="Yes",1,0)</f>
        <v>0</v>
      </c>
    </row>
    <row r="637" customFormat="false" ht="15" hidden="false" customHeight="false" outlineLevel="0" collapsed="false">
      <c r="A637" s="0" t="s">
        <v>101</v>
      </c>
      <c r="B637" s="0" t="s">
        <v>103</v>
      </c>
      <c r="C637" s="0" t="s">
        <v>55</v>
      </c>
      <c r="D637" s="0" t="str">
        <f aca="false">IFERROR(INDEX('Materials Master'!$B$2:$B$27,MATCH($C637,'Materials Master'!$A$2:$A$27,0)),"")</f>
        <v>Soiled Metals</v>
      </c>
      <c r="E637" s="0" t="str">
        <f aca="false">IFERROR(INDEX('Materials Master'!$C$2:$C$27,MATCH($C637,'Materials Master'!$A$2:$A$27,0)),"")</f>
        <v>Metals</v>
      </c>
      <c r="F637" s="0" t="n">
        <f aca="false">IF(SUMIFS(Fact_SortedWeights!$E$2:$E$89,Fact_SortedWeights!$C$2:$C$89,$A637,Fact_SortedWeights!$B$2:$B$89,$B637)=0,0,SUMIFS(Fact_SortedWeights!$E$2:$E$89,Fact_SortedWeights!$C$2:$C$89,$A637,Fact_SortedWeights!$B$2:$B$89,$B637,Fact_SortedWeights!$D$2:$D$89,$C637)/SUMIFS(Fact_SortedWeights!$E$2:$E$89,Fact_SortedWeights!$C$2:$C$89,$A637,Fact_SortedWeights!$B$2:$B$89,$B637)*(IF($B637="Cardboard Recycling",SUMIFS(Fact_SortedWeights!$E$2:$E$89,Fact_SortedWeights!$C$2:$C$89,$A637,Fact_SortedWeights!$B$2:$B$89,$B637),SUMIFS(Fact_PreSortWeights!$E$2:$E$186,Fact_PreSortWeights!$C$2:$C$186,$A637,Fact_PreSortWeights!$B$2:$B$186,$B637))))</f>
        <v>0</v>
      </c>
      <c r="G637" s="0" t="n">
        <f aca="false">IF(AND(IF($B637="Trash",INDEX('Materials Master'!$F$2:$F$27,MATCH($C637,'Materials Master'!$A$2:$A$27,0)),IF($B637="GMPC Recycling",INDEX('Materials Master'!$G$2:$G$27,MATCH($C637,'Materials Master'!$A$2:$A$27,0)),IF($B637="Organics Recycling",INDEX('Materials Master'!$H$2:$H$27,MATCH($C637,'Materials Master'!$A$2:$A$27,0)),IF($B637="Cardboard Recycling",INDEX('Materials Master'!$I$2:$I$27,MATCH($C637,'Materials Master'!$A$2:$A$27,0)),IF($B637="Paper Recycling",INDEX('Materials Master'!$J$2:$J$27,MATCH($C637,'Materials Master'!$A$2:$A$27,0)),IF($B637="Terracycle",INDEX('Materials Master'!$K$2:$K$27,MATCH($C637,'Materials Master'!$A$2:$A$27,0)),"No"))))))="Yes",INDEX('Materials Master'!$E$2:$E$27,MATCH($C637,'Materials Master'!$A$2:$A$27,0))="Yes",$B637&lt;&gt;"Trash"),1,0)</f>
        <v>0</v>
      </c>
      <c r="H637" s="0" t="str">
        <f aca="false">INDEX('Materials Master'!$E$2:$E$27,MATCH($C637,'Materials Master'!$A$2:$A$27,0))</f>
        <v>No</v>
      </c>
      <c r="I637" s="0" t="str">
        <f aca="false">IFERROR(INDEX(Areas!$C$2:$C$6,MATCH($A637,Areas!$B$2:$B$6,0)),"")</f>
        <v>Rest of Building</v>
      </c>
      <c r="J637" s="0" t="n">
        <f aca="false">IF(IF($B637="Trash",INDEX('Materials Master'!$F$2:$F$27,MATCH($C637,'Materials Master'!$A$2:$A$27,0)),IF($B637="GMPC Recycling",INDEX('Materials Master'!$G$2:$G$27,MATCH($C637,'Materials Master'!$A$2:$A$27,0)),IF($B637="Organics Recycling",INDEX('Materials Master'!$H$2:$H$27,MATCH($C637,'Materials Master'!$A$2:$A$27,0)),IF($B637="Cardboard Recycling",INDEX('Materials Master'!$I$2:$I$27,MATCH($C637,'Materials Master'!$A$2:$A$27,0)),IF($B637="Paper Recycling",INDEX('Materials Master'!$J$2:$J$27,MATCH($C637,'Materials Master'!$A$2:$A$27,0)),IF($B637="Terracycle",INDEX('Materials Master'!$K$2:$K$27,MATCH($C637,'Materials Master'!$A$2:$A$27,0)),"No"))))))="Yes",1,0)</f>
        <v>1</v>
      </c>
    </row>
    <row r="638" customFormat="false" ht="15" hidden="false" customHeight="false" outlineLevel="0" collapsed="false">
      <c r="A638" s="0" t="s">
        <v>101</v>
      </c>
      <c r="B638" s="0" t="s">
        <v>103</v>
      </c>
      <c r="C638" s="0" t="s">
        <v>57</v>
      </c>
      <c r="D638" s="0" t="str">
        <f aca="false">IFERROR(INDEX('Materials Master'!$B$2:$B$27,MATCH($C638,'Materials Master'!$A$2:$A$27,0)),"")</f>
        <v>Rigid Plastics (1-6)</v>
      </c>
      <c r="E638" s="0" t="str">
        <f aca="false">IFERROR(INDEX('Materials Master'!$C$2:$C$27,MATCH($C638,'Materials Master'!$A$2:$A$27,0)),"")</f>
        <v>Plastics</v>
      </c>
      <c r="F638" s="0" t="n">
        <f aca="false">IF(SUMIFS(Fact_SortedWeights!$E$2:$E$89,Fact_SortedWeights!$C$2:$C$89,$A638,Fact_SortedWeights!$B$2:$B$89,$B638)=0,0,SUMIFS(Fact_SortedWeights!$E$2:$E$89,Fact_SortedWeights!$C$2:$C$89,$A638,Fact_SortedWeights!$B$2:$B$89,$B638,Fact_SortedWeights!$D$2:$D$89,$C638)/SUMIFS(Fact_SortedWeights!$E$2:$E$89,Fact_SortedWeights!$C$2:$C$89,$A638,Fact_SortedWeights!$B$2:$B$89,$B638)*(IF($B638="Cardboard Recycling",SUMIFS(Fact_SortedWeights!$E$2:$E$89,Fact_SortedWeights!$C$2:$C$89,$A638,Fact_SortedWeights!$B$2:$B$89,$B638),SUMIFS(Fact_PreSortWeights!$E$2:$E$186,Fact_PreSortWeights!$C$2:$C$186,$A638,Fact_PreSortWeights!$B$2:$B$186,$B638))))</f>
        <v>0</v>
      </c>
      <c r="G638" s="0" t="n">
        <f aca="false">IF(AND(IF($B638="Trash",INDEX('Materials Master'!$F$2:$F$27,MATCH($C638,'Materials Master'!$A$2:$A$27,0)),IF($B638="GMPC Recycling",INDEX('Materials Master'!$G$2:$G$27,MATCH($C638,'Materials Master'!$A$2:$A$27,0)),IF($B638="Organics Recycling",INDEX('Materials Master'!$H$2:$H$27,MATCH($C638,'Materials Master'!$A$2:$A$27,0)),IF($B638="Cardboard Recycling",INDEX('Materials Master'!$I$2:$I$27,MATCH($C638,'Materials Master'!$A$2:$A$27,0)),IF($B638="Paper Recycling",INDEX('Materials Master'!$J$2:$J$27,MATCH($C638,'Materials Master'!$A$2:$A$27,0)),IF($B638="Terracycle",INDEX('Materials Master'!$K$2:$K$27,MATCH($C638,'Materials Master'!$A$2:$A$27,0)),"No"))))))="Yes",INDEX('Materials Master'!$E$2:$E$27,MATCH($C638,'Materials Master'!$A$2:$A$27,0))="Yes",$B638&lt;&gt;"Trash"),1,0)</f>
        <v>0</v>
      </c>
      <c r="H638" s="0" t="str">
        <f aca="false">INDEX('Materials Master'!$E$2:$E$27,MATCH($C638,'Materials Master'!$A$2:$A$27,0))</f>
        <v>Yes</v>
      </c>
      <c r="I638" s="0" t="str">
        <f aca="false">IFERROR(INDEX(Areas!$C$2:$C$6,MATCH($A638,Areas!$B$2:$B$6,0)),"")</f>
        <v>Rest of Building</v>
      </c>
      <c r="J638" s="0" t="n">
        <f aca="false">IF(IF($B638="Trash",INDEX('Materials Master'!$F$2:$F$27,MATCH($C638,'Materials Master'!$A$2:$A$27,0)),IF($B638="GMPC Recycling",INDEX('Materials Master'!$G$2:$G$27,MATCH($C638,'Materials Master'!$A$2:$A$27,0)),IF($B638="Organics Recycling",INDEX('Materials Master'!$H$2:$H$27,MATCH($C638,'Materials Master'!$A$2:$A$27,0)),IF($B638="Cardboard Recycling",INDEX('Materials Master'!$I$2:$I$27,MATCH($C638,'Materials Master'!$A$2:$A$27,0)),IF($B638="Paper Recycling",INDEX('Materials Master'!$J$2:$J$27,MATCH($C638,'Materials Master'!$A$2:$A$27,0)),IF($B638="Terracycle",INDEX('Materials Master'!$K$2:$K$27,MATCH($C638,'Materials Master'!$A$2:$A$27,0)),"No"))))))="Yes",1,0)</f>
        <v>0</v>
      </c>
    </row>
    <row r="639" customFormat="false" ht="15" hidden="false" customHeight="false" outlineLevel="0" collapsed="false">
      <c r="A639" s="0" t="s">
        <v>101</v>
      </c>
      <c r="B639" s="0" t="s">
        <v>103</v>
      </c>
      <c r="C639" s="0" t="s">
        <v>60</v>
      </c>
      <c r="D639" s="0" t="str">
        <f aca="false">IFERROR(INDEX('Materials Master'!$B$2:$B$27,MATCH($C639,'Materials Master'!$A$2:$A$27,0)),"")</f>
        <v>Soiled Rigid Plastics</v>
      </c>
      <c r="E639" s="0" t="str">
        <f aca="false">IFERROR(INDEX('Materials Master'!$C$2:$C$27,MATCH($C639,'Materials Master'!$A$2:$A$27,0)),"")</f>
        <v>Plastics</v>
      </c>
      <c r="F639" s="0" t="n">
        <f aca="false">IF(SUMIFS(Fact_SortedWeights!$E$2:$E$89,Fact_SortedWeights!$C$2:$C$89,$A639,Fact_SortedWeights!$B$2:$B$89,$B639)=0,0,SUMIFS(Fact_SortedWeights!$E$2:$E$89,Fact_SortedWeights!$C$2:$C$89,$A639,Fact_SortedWeights!$B$2:$B$89,$B639,Fact_SortedWeights!$D$2:$D$89,$C639)/SUMIFS(Fact_SortedWeights!$E$2:$E$89,Fact_SortedWeights!$C$2:$C$89,$A639,Fact_SortedWeights!$B$2:$B$89,$B639)*(IF($B639="Cardboard Recycling",SUMIFS(Fact_SortedWeights!$E$2:$E$89,Fact_SortedWeights!$C$2:$C$89,$A639,Fact_SortedWeights!$B$2:$B$89,$B639),SUMIFS(Fact_PreSortWeights!$E$2:$E$186,Fact_PreSortWeights!$C$2:$C$186,$A639,Fact_PreSortWeights!$B$2:$B$186,$B639))))</f>
        <v>0</v>
      </c>
      <c r="G639" s="0" t="n">
        <f aca="false">IF(AND(IF($B639="Trash",INDEX('Materials Master'!$F$2:$F$27,MATCH($C639,'Materials Master'!$A$2:$A$27,0)),IF($B639="GMPC Recycling",INDEX('Materials Master'!$G$2:$G$27,MATCH($C639,'Materials Master'!$A$2:$A$27,0)),IF($B639="Organics Recycling",INDEX('Materials Master'!$H$2:$H$27,MATCH($C639,'Materials Master'!$A$2:$A$27,0)),IF($B639="Cardboard Recycling",INDEX('Materials Master'!$I$2:$I$27,MATCH($C639,'Materials Master'!$A$2:$A$27,0)),IF($B639="Paper Recycling",INDEX('Materials Master'!$J$2:$J$27,MATCH($C639,'Materials Master'!$A$2:$A$27,0)),IF($B639="Terracycle",INDEX('Materials Master'!$K$2:$K$27,MATCH($C639,'Materials Master'!$A$2:$A$27,0)),"No"))))))="Yes",INDEX('Materials Master'!$E$2:$E$27,MATCH($C639,'Materials Master'!$A$2:$A$27,0))="Yes",$B639&lt;&gt;"Trash"),1,0)</f>
        <v>0</v>
      </c>
      <c r="H639" s="0" t="str">
        <f aca="false">INDEX('Materials Master'!$E$2:$E$27,MATCH($C639,'Materials Master'!$A$2:$A$27,0))</f>
        <v>No</v>
      </c>
      <c r="I639" s="0" t="str">
        <f aca="false">IFERROR(INDEX(Areas!$C$2:$C$6,MATCH($A639,Areas!$B$2:$B$6,0)),"")</f>
        <v>Rest of Building</v>
      </c>
      <c r="J639" s="0" t="n">
        <f aca="false">IF(IF($B639="Trash",INDEX('Materials Master'!$F$2:$F$27,MATCH($C639,'Materials Master'!$A$2:$A$27,0)),IF($B639="GMPC Recycling",INDEX('Materials Master'!$G$2:$G$27,MATCH($C639,'Materials Master'!$A$2:$A$27,0)),IF($B639="Organics Recycling",INDEX('Materials Master'!$H$2:$H$27,MATCH($C639,'Materials Master'!$A$2:$A$27,0)),IF($B639="Cardboard Recycling",INDEX('Materials Master'!$I$2:$I$27,MATCH($C639,'Materials Master'!$A$2:$A$27,0)),IF($B639="Paper Recycling",INDEX('Materials Master'!$J$2:$J$27,MATCH($C639,'Materials Master'!$A$2:$A$27,0)),IF($B639="Terracycle",INDEX('Materials Master'!$K$2:$K$27,MATCH($C639,'Materials Master'!$A$2:$A$27,0)),"No"))))))="Yes",1,0)</f>
        <v>1</v>
      </c>
    </row>
    <row r="640" customFormat="false" ht="15" hidden="false" customHeight="false" outlineLevel="0" collapsed="false">
      <c r="A640" s="0" t="s">
        <v>101</v>
      </c>
      <c r="B640" s="0" t="s">
        <v>103</v>
      </c>
      <c r="C640" s="0" t="s">
        <v>62</v>
      </c>
      <c r="D640" s="0" t="str">
        <f aca="false">IFERROR(INDEX('Materials Master'!$B$2:$B$27,MATCH($C640,'Materials Master'!$A$2:$A$27,0)),"")</f>
        <v>Film Plastics</v>
      </c>
      <c r="E640" s="0" t="str">
        <f aca="false">IFERROR(INDEX('Materials Master'!$C$2:$C$27,MATCH($C640,'Materials Master'!$A$2:$A$27,0)),"")</f>
        <v>Plastics</v>
      </c>
      <c r="F640" s="0" t="n">
        <f aca="false">IF(SUMIFS(Fact_SortedWeights!$E$2:$E$89,Fact_SortedWeights!$C$2:$C$89,$A640,Fact_SortedWeights!$B$2:$B$89,$B640)=0,0,SUMIFS(Fact_SortedWeights!$E$2:$E$89,Fact_SortedWeights!$C$2:$C$89,$A640,Fact_SortedWeights!$B$2:$B$89,$B640,Fact_SortedWeights!$D$2:$D$89,$C640)/SUMIFS(Fact_SortedWeights!$E$2:$E$89,Fact_SortedWeights!$C$2:$C$89,$A640,Fact_SortedWeights!$B$2:$B$89,$B640)*(IF($B640="Cardboard Recycling",SUMIFS(Fact_SortedWeights!$E$2:$E$89,Fact_SortedWeights!$C$2:$C$89,$A640,Fact_SortedWeights!$B$2:$B$89,$B640),SUMIFS(Fact_PreSortWeights!$E$2:$E$186,Fact_PreSortWeights!$C$2:$C$186,$A640,Fact_PreSortWeights!$B$2:$B$186,$B640))))</f>
        <v>0</v>
      </c>
      <c r="G640" s="0" t="n">
        <f aca="false">IF(AND(IF($B640="Trash",INDEX('Materials Master'!$F$2:$F$27,MATCH($C640,'Materials Master'!$A$2:$A$27,0)),IF($B640="GMPC Recycling",INDEX('Materials Master'!$G$2:$G$27,MATCH($C640,'Materials Master'!$A$2:$A$27,0)),IF($B640="Organics Recycling",INDEX('Materials Master'!$H$2:$H$27,MATCH($C640,'Materials Master'!$A$2:$A$27,0)),IF($B640="Cardboard Recycling",INDEX('Materials Master'!$I$2:$I$27,MATCH($C640,'Materials Master'!$A$2:$A$27,0)),IF($B640="Paper Recycling",INDEX('Materials Master'!$J$2:$J$27,MATCH($C640,'Materials Master'!$A$2:$A$27,0)),IF($B640="Terracycle",INDEX('Materials Master'!$K$2:$K$27,MATCH($C640,'Materials Master'!$A$2:$A$27,0)),"No"))))))="Yes",INDEX('Materials Master'!$E$2:$E$27,MATCH($C640,'Materials Master'!$A$2:$A$27,0))="Yes",$B640&lt;&gt;"Trash"),1,0)</f>
        <v>0</v>
      </c>
      <c r="H640" s="0" t="str">
        <f aca="false">INDEX('Materials Master'!$E$2:$E$27,MATCH($C640,'Materials Master'!$A$2:$A$27,0))</f>
        <v>No</v>
      </c>
      <c r="I640" s="0" t="str">
        <f aca="false">IFERROR(INDEX(Areas!$C$2:$C$6,MATCH($A640,Areas!$B$2:$B$6,0)),"")</f>
        <v>Rest of Building</v>
      </c>
      <c r="J640" s="0" t="n">
        <f aca="false">IF(IF($B640="Trash",INDEX('Materials Master'!$F$2:$F$27,MATCH($C640,'Materials Master'!$A$2:$A$27,0)),IF($B640="GMPC Recycling",INDEX('Materials Master'!$G$2:$G$27,MATCH($C640,'Materials Master'!$A$2:$A$27,0)),IF($B640="Organics Recycling",INDEX('Materials Master'!$H$2:$H$27,MATCH($C640,'Materials Master'!$A$2:$A$27,0)),IF($B640="Cardboard Recycling",INDEX('Materials Master'!$I$2:$I$27,MATCH($C640,'Materials Master'!$A$2:$A$27,0)),IF($B640="Paper Recycling",INDEX('Materials Master'!$J$2:$J$27,MATCH($C640,'Materials Master'!$A$2:$A$27,0)),IF($B640="Terracycle",INDEX('Materials Master'!$K$2:$K$27,MATCH($C640,'Materials Master'!$A$2:$A$27,0)),"No"))))))="Yes",1,0)</f>
        <v>1</v>
      </c>
    </row>
    <row r="641" customFormat="false" ht="15" hidden="false" customHeight="false" outlineLevel="0" collapsed="false">
      <c r="A641" s="0" t="s">
        <v>101</v>
      </c>
      <c r="B641" s="0" t="s">
        <v>103</v>
      </c>
      <c r="C641" s="0" t="s">
        <v>64</v>
      </c>
      <c r="D641" s="0" t="str">
        <f aca="false">IFERROR(INDEX('Materials Master'!$B$2:$B$27,MATCH($C641,'Materials Master'!$A$2:$A$27,0)),"")</f>
        <v>Foams</v>
      </c>
      <c r="E641" s="0" t="str">
        <f aca="false">IFERROR(INDEX('Materials Master'!$C$2:$C$27,MATCH($C641,'Materials Master'!$A$2:$A$27,0)),"")</f>
        <v>Plastics</v>
      </c>
      <c r="F641" s="0" t="n">
        <f aca="false">IF(SUMIFS(Fact_SortedWeights!$E$2:$E$89,Fact_SortedWeights!$C$2:$C$89,$A641,Fact_SortedWeights!$B$2:$B$89,$B641)=0,0,SUMIFS(Fact_SortedWeights!$E$2:$E$89,Fact_SortedWeights!$C$2:$C$89,$A641,Fact_SortedWeights!$B$2:$B$89,$B641,Fact_SortedWeights!$D$2:$D$89,$C641)/SUMIFS(Fact_SortedWeights!$E$2:$E$89,Fact_SortedWeights!$C$2:$C$89,$A641,Fact_SortedWeights!$B$2:$B$89,$B641)*(IF($B641="Cardboard Recycling",SUMIFS(Fact_SortedWeights!$E$2:$E$89,Fact_SortedWeights!$C$2:$C$89,$A641,Fact_SortedWeights!$B$2:$B$89,$B641),SUMIFS(Fact_PreSortWeights!$E$2:$E$186,Fact_PreSortWeights!$C$2:$C$186,$A641,Fact_PreSortWeights!$B$2:$B$186,$B641))))</f>
        <v>0</v>
      </c>
      <c r="G641" s="0" t="n">
        <f aca="false">IF(AND(IF($B641="Trash",INDEX('Materials Master'!$F$2:$F$27,MATCH($C641,'Materials Master'!$A$2:$A$27,0)),IF($B641="GMPC Recycling",INDEX('Materials Master'!$G$2:$G$27,MATCH($C641,'Materials Master'!$A$2:$A$27,0)),IF($B641="Organics Recycling",INDEX('Materials Master'!$H$2:$H$27,MATCH($C641,'Materials Master'!$A$2:$A$27,0)),IF($B641="Cardboard Recycling",INDEX('Materials Master'!$I$2:$I$27,MATCH($C641,'Materials Master'!$A$2:$A$27,0)),IF($B641="Paper Recycling",INDEX('Materials Master'!$J$2:$J$27,MATCH($C641,'Materials Master'!$A$2:$A$27,0)),IF($B641="Terracycle",INDEX('Materials Master'!$K$2:$K$27,MATCH($C641,'Materials Master'!$A$2:$A$27,0)),"No"))))))="Yes",INDEX('Materials Master'!$E$2:$E$27,MATCH($C641,'Materials Master'!$A$2:$A$27,0))="Yes",$B641&lt;&gt;"Trash"),1,0)</f>
        <v>0</v>
      </c>
      <c r="H641" s="0" t="str">
        <f aca="false">INDEX('Materials Master'!$E$2:$E$27,MATCH($C641,'Materials Master'!$A$2:$A$27,0))</f>
        <v>No</v>
      </c>
      <c r="I641" s="0" t="str">
        <f aca="false">IFERROR(INDEX(Areas!$C$2:$C$6,MATCH($A641,Areas!$B$2:$B$6,0)),"")</f>
        <v>Rest of Building</v>
      </c>
      <c r="J641" s="0" t="n">
        <f aca="false">IF(IF($B641="Trash",INDEX('Materials Master'!$F$2:$F$27,MATCH($C641,'Materials Master'!$A$2:$A$27,0)),IF($B641="GMPC Recycling",INDEX('Materials Master'!$G$2:$G$27,MATCH($C641,'Materials Master'!$A$2:$A$27,0)),IF($B641="Organics Recycling",INDEX('Materials Master'!$H$2:$H$27,MATCH($C641,'Materials Master'!$A$2:$A$27,0)),IF($B641="Cardboard Recycling",INDEX('Materials Master'!$I$2:$I$27,MATCH($C641,'Materials Master'!$A$2:$A$27,0)),IF($B641="Paper Recycling",INDEX('Materials Master'!$J$2:$J$27,MATCH($C641,'Materials Master'!$A$2:$A$27,0)),IF($B641="Terracycle",INDEX('Materials Master'!$K$2:$K$27,MATCH($C641,'Materials Master'!$A$2:$A$27,0)),"No"))))))="Yes",1,0)</f>
        <v>1</v>
      </c>
    </row>
    <row r="642" customFormat="false" ht="15" hidden="false" customHeight="false" outlineLevel="0" collapsed="false">
      <c r="A642" s="0" t="s">
        <v>101</v>
      </c>
      <c r="B642" s="0" t="s">
        <v>103</v>
      </c>
      <c r="C642" s="0" t="s">
        <v>66</v>
      </c>
      <c r="D642" s="0" t="str">
        <f aca="false">IFERROR(INDEX('Materials Master'!$B$2:$B$27,MATCH($C642,'Materials Master'!$A$2:$A$27,0)),"")</f>
        <v>Food Waste</v>
      </c>
      <c r="E642" s="0" t="str">
        <f aca="false">IFERROR(INDEX('Materials Master'!$C$2:$C$27,MATCH($C642,'Materials Master'!$A$2:$A$27,0)),"")</f>
        <v>Organics</v>
      </c>
      <c r="F642" s="0" t="n">
        <f aca="false">IF(SUMIFS(Fact_SortedWeights!$E$2:$E$89,Fact_SortedWeights!$C$2:$C$89,$A642,Fact_SortedWeights!$B$2:$B$89,$B642)=0,0,SUMIFS(Fact_SortedWeights!$E$2:$E$89,Fact_SortedWeights!$C$2:$C$89,$A642,Fact_SortedWeights!$B$2:$B$89,$B642,Fact_SortedWeights!$D$2:$D$89,$C642)/SUMIFS(Fact_SortedWeights!$E$2:$E$89,Fact_SortedWeights!$C$2:$C$89,$A642,Fact_SortedWeights!$B$2:$B$89,$B642)*(IF($B642="Cardboard Recycling",SUMIFS(Fact_SortedWeights!$E$2:$E$89,Fact_SortedWeights!$C$2:$C$89,$A642,Fact_SortedWeights!$B$2:$B$89,$B642),SUMIFS(Fact_PreSortWeights!$E$2:$E$186,Fact_PreSortWeights!$C$2:$C$186,$A642,Fact_PreSortWeights!$B$2:$B$186,$B642))))</f>
        <v>0</v>
      </c>
      <c r="G642" s="0" t="n">
        <f aca="false">IF(AND(IF($B642="Trash",INDEX('Materials Master'!$F$2:$F$27,MATCH($C642,'Materials Master'!$A$2:$A$27,0)),IF($B642="GMPC Recycling",INDEX('Materials Master'!$G$2:$G$27,MATCH($C642,'Materials Master'!$A$2:$A$27,0)),IF($B642="Organics Recycling",INDEX('Materials Master'!$H$2:$H$27,MATCH($C642,'Materials Master'!$A$2:$A$27,0)),IF($B642="Cardboard Recycling",INDEX('Materials Master'!$I$2:$I$27,MATCH($C642,'Materials Master'!$A$2:$A$27,0)),IF($B642="Paper Recycling",INDEX('Materials Master'!$J$2:$J$27,MATCH($C642,'Materials Master'!$A$2:$A$27,0)),IF($B642="Terracycle",INDEX('Materials Master'!$K$2:$K$27,MATCH($C642,'Materials Master'!$A$2:$A$27,0)),"No"))))))="Yes",INDEX('Materials Master'!$E$2:$E$27,MATCH($C642,'Materials Master'!$A$2:$A$27,0))="Yes",$B642&lt;&gt;"Trash"),1,0)</f>
        <v>0</v>
      </c>
      <c r="H642" s="0" t="str">
        <f aca="false">INDEX('Materials Master'!$E$2:$E$27,MATCH($C642,'Materials Master'!$A$2:$A$27,0))</f>
        <v>Yes</v>
      </c>
      <c r="I642" s="0" t="str">
        <f aca="false">IFERROR(INDEX(Areas!$C$2:$C$6,MATCH($A642,Areas!$B$2:$B$6,0)),"")</f>
        <v>Rest of Building</v>
      </c>
      <c r="J642" s="0" t="n">
        <f aca="false">IF(IF($B642="Trash",INDEX('Materials Master'!$F$2:$F$27,MATCH($C642,'Materials Master'!$A$2:$A$27,0)),IF($B642="GMPC Recycling",INDEX('Materials Master'!$G$2:$G$27,MATCH($C642,'Materials Master'!$A$2:$A$27,0)),IF($B642="Organics Recycling",INDEX('Materials Master'!$H$2:$H$27,MATCH($C642,'Materials Master'!$A$2:$A$27,0)),IF($B642="Cardboard Recycling",INDEX('Materials Master'!$I$2:$I$27,MATCH($C642,'Materials Master'!$A$2:$A$27,0)),IF($B642="Paper Recycling",INDEX('Materials Master'!$J$2:$J$27,MATCH($C642,'Materials Master'!$A$2:$A$27,0)),IF($B642="Terracycle",INDEX('Materials Master'!$K$2:$K$27,MATCH($C642,'Materials Master'!$A$2:$A$27,0)),"No"))))))="Yes",1,0)</f>
        <v>0</v>
      </c>
    </row>
    <row r="643" customFormat="false" ht="15" hidden="false" customHeight="false" outlineLevel="0" collapsed="false">
      <c r="A643" s="0" t="s">
        <v>101</v>
      </c>
      <c r="B643" s="0" t="s">
        <v>103</v>
      </c>
      <c r="C643" s="0" t="s">
        <v>69</v>
      </c>
      <c r="D643" s="0" t="str">
        <f aca="false">IFERROR(INDEX('Materials Master'!$B$2:$B$27,MATCH($C643,'Materials Master'!$A$2:$A$27,0)),"")</f>
        <v>Paper Fibers and Food-Soiled Paper (FSP)</v>
      </c>
      <c r="E643" s="0" t="str">
        <f aca="false">IFERROR(INDEX('Materials Master'!$C$2:$C$27,MATCH($C643,'Materials Master'!$A$2:$A$27,0)),"")</f>
        <v>Organics</v>
      </c>
      <c r="F643" s="0" t="n">
        <f aca="false">IF(SUMIFS(Fact_SortedWeights!$E$2:$E$89,Fact_SortedWeights!$C$2:$C$89,$A643,Fact_SortedWeights!$B$2:$B$89,$B643)=0,0,SUMIFS(Fact_SortedWeights!$E$2:$E$89,Fact_SortedWeights!$C$2:$C$89,$A643,Fact_SortedWeights!$B$2:$B$89,$B643,Fact_SortedWeights!$D$2:$D$89,$C643)/SUMIFS(Fact_SortedWeights!$E$2:$E$89,Fact_SortedWeights!$C$2:$C$89,$A643,Fact_SortedWeights!$B$2:$B$89,$B643)*(IF($B643="Cardboard Recycling",SUMIFS(Fact_SortedWeights!$E$2:$E$89,Fact_SortedWeights!$C$2:$C$89,$A643,Fact_SortedWeights!$B$2:$B$89,$B643),SUMIFS(Fact_PreSortWeights!$E$2:$E$186,Fact_PreSortWeights!$C$2:$C$186,$A643,Fact_PreSortWeights!$B$2:$B$186,$B643))))</f>
        <v>0</v>
      </c>
      <c r="G643" s="0" t="n">
        <f aca="false">IF(AND(IF($B643="Trash",INDEX('Materials Master'!$F$2:$F$27,MATCH($C643,'Materials Master'!$A$2:$A$27,0)),IF($B643="GMPC Recycling",INDEX('Materials Master'!$G$2:$G$27,MATCH($C643,'Materials Master'!$A$2:$A$27,0)),IF($B643="Organics Recycling",INDEX('Materials Master'!$H$2:$H$27,MATCH($C643,'Materials Master'!$A$2:$A$27,0)),IF($B643="Cardboard Recycling",INDEX('Materials Master'!$I$2:$I$27,MATCH($C643,'Materials Master'!$A$2:$A$27,0)),IF($B643="Paper Recycling",INDEX('Materials Master'!$J$2:$J$27,MATCH($C643,'Materials Master'!$A$2:$A$27,0)),IF($B643="Terracycle",INDEX('Materials Master'!$K$2:$K$27,MATCH($C643,'Materials Master'!$A$2:$A$27,0)),"No"))))))="Yes",INDEX('Materials Master'!$E$2:$E$27,MATCH($C643,'Materials Master'!$A$2:$A$27,0))="Yes",$B643&lt;&gt;"Trash"),1,0)</f>
        <v>0</v>
      </c>
      <c r="H643" s="0" t="str">
        <f aca="false">INDEX('Materials Master'!$E$2:$E$27,MATCH($C643,'Materials Master'!$A$2:$A$27,0))</f>
        <v>No</v>
      </c>
      <c r="I643" s="0" t="str">
        <f aca="false">IFERROR(INDEX(Areas!$C$2:$C$6,MATCH($A643,Areas!$B$2:$B$6,0)),"")</f>
        <v>Rest of Building</v>
      </c>
      <c r="J643" s="0" t="n">
        <f aca="false">IF(IF($B643="Trash",INDEX('Materials Master'!$F$2:$F$27,MATCH($C643,'Materials Master'!$A$2:$A$27,0)),IF($B643="GMPC Recycling",INDEX('Materials Master'!$G$2:$G$27,MATCH($C643,'Materials Master'!$A$2:$A$27,0)),IF($B643="Organics Recycling",INDEX('Materials Master'!$H$2:$H$27,MATCH($C643,'Materials Master'!$A$2:$A$27,0)),IF($B643="Cardboard Recycling",INDEX('Materials Master'!$I$2:$I$27,MATCH($C643,'Materials Master'!$A$2:$A$27,0)),IF($B643="Paper Recycling",INDEX('Materials Master'!$J$2:$J$27,MATCH($C643,'Materials Master'!$A$2:$A$27,0)),IF($B643="Terracycle",INDEX('Materials Master'!$K$2:$K$27,MATCH($C643,'Materials Master'!$A$2:$A$27,0)),"No"))))))="Yes",1,0)</f>
        <v>1</v>
      </c>
    </row>
    <row r="644" customFormat="false" ht="15" hidden="false" customHeight="false" outlineLevel="0" collapsed="false">
      <c r="A644" s="0" t="s">
        <v>101</v>
      </c>
      <c r="B644" s="0" t="s">
        <v>103</v>
      </c>
      <c r="C644" s="0" t="s">
        <v>71</v>
      </c>
      <c r="D644" s="0" t="str">
        <f aca="false">IFERROR(INDEX('Materials Master'!$B$2:$B$27,MATCH($C644,'Materials Master'!$A$2:$A$27,0)),"")</f>
        <v>Fiber-based Compostable Serviceware</v>
      </c>
      <c r="E644" s="0" t="str">
        <f aca="false">IFERROR(INDEX('Materials Master'!$C$2:$C$27,MATCH($C644,'Materials Master'!$A$2:$A$27,0)),"")</f>
        <v>Organics</v>
      </c>
      <c r="F644" s="0" t="n">
        <f aca="false">IF(SUMIFS(Fact_SortedWeights!$E$2:$E$89,Fact_SortedWeights!$C$2:$C$89,$A644,Fact_SortedWeights!$B$2:$B$89,$B644)=0,0,SUMIFS(Fact_SortedWeights!$E$2:$E$89,Fact_SortedWeights!$C$2:$C$89,$A644,Fact_SortedWeights!$B$2:$B$89,$B644,Fact_SortedWeights!$D$2:$D$89,$C644)/SUMIFS(Fact_SortedWeights!$E$2:$E$89,Fact_SortedWeights!$C$2:$C$89,$A644,Fact_SortedWeights!$B$2:$B$89,$B644)*(IF($B644="Cardboard Recycling",SUMIFS(Fact_SortedWeights!$E$2:$E$89,Fact_SortedWeights!$C$2:$C$89,$A644,Fact_SortedWeights!$B$2:$B$89,$B644),SUMIFS(Fact_PreSortWeights!$E$2:$E$186,Fact_PreSortWeights!$C$2:$C$186,$A644,Fact_PreSortWeights!$B$2:$B$186,$B644))))</f>
        <v>0</v>
      </c>
      <c r="G644" s="0" t="n">
        <f aca="false">IF(AND(IF($B644="Trash",INDEX('Materials Master'!$F$2:$F$27,MATCH($C644,'Materials Master'!$A$2:$A$27,0)),IF($B644="GMPC Recycling",INDEX('Materials Master'!$G$2:$G$27,MATCH($C644,'Materials Master'!$A$2:$A$27,0)),IF($B644="Organics Recycling",INDEX('Materials Master'!$H$2:$H$27,MATCH($C644,'Materials Master'!$A$2:$A$27,0)),IF($B644="Cardboard Recycling",INDEX('Materials Master'!$I$2:$I$27,MATCH($C644,'Materials Master'!$A$2:$A$27,0)),IF($B644="Paper Recycling",INDEX('Materials Master'!$J$2:$J$27,MATCH($C644,'Materials Master'!$A$2:$A$27,0)),IF($B644="Terracycle",INDEX('Materials Master'!$K$2:$K$27,MATCH($C644,'Materials Master'!$A$2:$A$27,0)),"No"))))))="Yes",INDEX('Materials Master'!$E$2:$E$27,MATCH($C644,'Materials Master'!$A$2:$A$27,0))="Yes",$B644&lt;&gt;"Trash"),1,0)</f>
        <v>0</v>
      </c>
      <c r="H644" s="0" t="str">
        <f aca="false">INDEX('Materials Master'!$E$2:$E$27,MATCH($C644,'Materials Master'!$A$2:$A$27,0))</f>
        <v>No</v>
      </c>
      <c r="I644" s="0" t="str">
        <f aca="false">IFERROR(INDEX(Areas!$C$2:$C$6,MATCH($A644,Areas!$B$2:$B$6,0)),"")</f>
        <v>Rest of Building</v>
      </c>
      <c r="J644" s="0" t="n">
        <f aca="false">IF(IF($B644="Trash",INDEX('Materials Master'!$F$2:$F$27,MATCH($C644,'Materials Master'!$A$2:$A$27,0)),IF($B644="GMPC Recycling",INDEX('Materials Master'!$G$2:$G$27,MATCH($C644,'Materials Master'!$A$2:$A$27,0)),IF($B644="Organics Recycling",INDEX('Materials Master'!$H$2:$H$27,MATCH($C644,'Materials Master'!$A$2:$A$27,0)),IF($B644="Cardboard Recycling",INDEX('Materials Master'!$I$2:$I$27,MATCH($C644,'Materials Master'!$A$2:$A$27,0)),IF($B644="Paper Recycling",INDEX('Materials Master'!$J$2:$J$27,MATCH($C644,'Materials Master'!$A$2:$A$27,0)),IF($B644="Terracycle",INDEX('Materials Master'!$K$2:$K$27,MATCH($C644,'Materials Master'!$A$2:$A$27,0)),"No"))))))="Yes",1,0)</f>
        <v>1</v>
      </c>
    </row>
    <row r="645" customFormat="false" ht="15" hidden="false" customHeight="false" outlineLevel="0" collapsed="false">
      <c r="A645" s="0" t="s">
        <v>101</v>
      </c>
      <c r="B645" s="0" t="s">
        <v>103</v>
      </c>
      <c r="C645" s="0" t="s">
        <v>73</v>
      </c>
      <c r="D645" s="0" t="str">
        <f aca="false">IFERROR(INDEX('Materials Master'!$B$2:$B$27,MATCH($C645,'Materials Master'!$A$2:$A$27,0)),"")</f>
        <v>PLA Compostable Serviceware</v>
      </c>
      <c r="E645" s="0" t="str">
        <f aca="false">IFERROR(INDEX('Materials Master'!$C$2:$C$27,MATCH($C645,'Materials Master'!$A$2:$A$27,0)),"")</f>
        <v>Organics</v>
      </c>
      <c r="F645" s="0" t="n">
        <f aca="false">IF(SUMIFS(Fact_SortedWeights!$E$2:$E$89,Fact_SortedWeights!$C$2:$C$89,$A645,Fact_SortedWeights!$B$2:$B$89,$B645)=0,0,SUMIFS(Fact_SortedWeights!$E$2:$E$89,Fact_SortedWeights!$C$2:$C$89,$A645,Fact_SortedWeights!$B$2:$B$89,$B645,Fact_SortedWeights!$D$2:$D$89,$C645)/SUMIFS(Fact_SortedWeights!$E$2:$E$89,Fact_SortedWeights!$C$2:$C$89,$A645,Fact_SortedWeights!$B$2:$B$89,$B645)*(IF($B645="Cardboard Recycling",SUMIFS(Fact_SortedWeights!$E$2:$E$89,Fact_SortedWeights!$C$2:$C$89,$A645,Fact_SortedWeights!$B$2:$B$89,$B645),SUMIFS(Fact_PreSortWeights!$E$2:$E$186,Fact_PreSortWeights!$C$2:$C$186,$A645,Fact_PreSortWeights!$B$2:$B$186,$B645))))</f>
        <v>0</v>
      </c>
      <c r="G645" s="0" t="n">
        <f aca="false">IF(AND(IF($B645="Trash",INDEX('Materials Master'!$F$2:$F$27,MATCH($C645,'Materials Master'!$A$2:$A$27,0)),IF($B645="GMPC Recycling",INDEX('Materials Master'!$G$2:$G$27,MATCH($C645,'Materials Master'!$A$2:$A$27,0)),IF($B645="Organics Recycling",INDEX('Materials Master'!$H$2:$H$27,MATCH($C645,'Materials Master'!$A$2:$A$27,0)),IF($B645="Cardboard Recycling",INDEX('Materials Master'!$I$2:$I$27,MATCH($C645,'Materials Master'!$A$2:$A$27,0)),IF($B645="Paper Recycling",INDEX('Materials Master'!$J$2:$J$27,MATCH($C645,'Materials Master'!$A$2:$A$27,0)),IF($B645="Terracycle",INDEX('Materials Master'!$K$2:$K$27,MATCH($C645,'Materials Master'!$A$2:$A$27,0)),"No"))))))="Yes",INDEX('Materials Master'!$E$2:$E$27,MATCH($C645,'Materials Master'!$A$2:$A$27,0))="Yes",$B645&lt;&gt;"Trash"),1,0)</f>
        <v>0</v>
      </c>
      <c r="H645" s="0" t="str">
        <f aca="false">INDEX('Materials Master'!$E$2:$E$27,MATCH($C645,'Materials Master'!$A$2:$A$27,0))</f>
        <v>No</v>
      </c>
      <c r="I645" s="0" t="str">
        <f aca="false">IFERROR(INDEX(Areas!$C$2:$C$6,MATCH($A645,Areas!$B$2:$B$6,0)),"")</f>
        <v>Rest of Building</v>
      </c>
      <c r="J645" s="0" t="n">
        <f aca="false">IF(IF($B645="Trash",INDEX('Materials Master'!$F$2:$F$27,MATCH($C645,'Materials Master'!$A$2:$A$27,0)),IF($B645="GMPC Recycling",INDEX('Materials Master'!$G$2:$G$27,MATCH($C645,'Materials Master'!$A$2:$A$27,0)),IF($B645="Organics Recycling",INDEX('Materials Master'!$H$2:$H$27,MATCH($C645,'Materials Master'!$A$2:$A$27,0)),IF($B645="Cardboard Recycling",INDEX('Materials Master'!$I$2:$I$27,MATCH($C645,'Materials Master'!$A$2:$A$27,0)),IF($B645="Paper Recycling",INDEX('Materials Master'!$J$2:$J$27,MATCH($C645,'Materials Master'!$A$2:$A$27,0)),IF($B645="Terracycle",INDEX('Materials Master'!$K$2:$K$27,MATCH($C645,'Materials Master'!$A$2:$A$27,0)),"No"))))))="Yes",1,0)</f>
        <v>1</v>
      </c>
    </row>
    <row r="646" customFormat="false" ht="15" hidden="false" customHeight="false" outlineLevel="0" collapsed="false">
      <c r="A646" s="0" t="s">
        <v>101</v>
      </c>
      <c r="B646" s="0" t="s">
        <v>103</v>
      </c>
      <c r="C646" s="0" t="s">
        <v>75</v>
      </c>
      <c r="D646" s="0" t="str">
        <f aca="false">IFERROR(INDEX('Materials Master'!$B$2:$B$27,MATCH($C646,'Materials Master'!$A$2:$A$27,0)),"")</f>
        <v>E/U Waste</v>
      </c>
      <c r="E646" s="0" t="str">
        <f aca="false">IFERROR(INDEX('Materials Master'!$C$2:$C$27,MATCH($C646,'Materials Master'!$A$2:$A$27,0)),"")</f>
        <v>Unacceptable</v>
      </c>
      <c r="F646" s="0" t="n">
        <f aca="false">IF(SUMIFS(Fact_SortedWeights!$E$2:$E$89,Fact_SortedWeights!$C$2:$C$89,$A646,Fact_SortedWeights!$B$2:$B$89,$B646)=0,0,SUMIFS(Fact_SortedWeights!$E$2:$E$89,Fact_SortedWeights!$C$2:$C$89,$A646,Fact_SortedWeights!$B$2:$B$89,$B646,Fact_SortedWeights!$D$2:$D$89,$C646)/SUMIFS(Fact_SortedWeights!$E$2:$E$89,Fact_SortedWeights!$C$2:$C$89,$A646,Fact_SortedWeights!$B$2:$B$89,$B646)*(IF($B646="Cardboard Recycling",SUMIFS(Fact_SortedWeights!$E$2:$E$89,Fact_SortedWeights!$C$2:$C$89,$A646,Fact_SortedWeights!$B$2:$B$89,$B646),SUMIFS(Fact_PreSortWeights!$E$2:$E$186,Fact_PreSortWeights!$C$2:$C$186,$A646,Fact_PreSortWeights!$B$2:$B$186,$B646))))</f>
        <v>0</v>
      </c>
      <c r="G646" s="0" t="n">
        <f aca="false">IF(AND(IF($B646="Trash",INDEX('Materials Master'!$F$2:$F$27,MATCH($C646,'Materials Master'!$A$2:$A$27,0)),IF($B646="GMPC Recycling",INDEX('Materials Master'!$G$2:$G$27,MATCH($C646,'Materials Master'!$A$2:$A$27,0)),IF($B646="Organics Recycling",INDEX('Materials Master'!$H$2:$H$27,MATCH($C646,'Materials Master'!$A$2:$A$27,0)),IF($B646="Cardboard Recycling",INDEX('Materials Master'!$I$2:$I$27,MATCH($C646,'Materials Master'!$A$2:$A$27,0)),IF($B646="Paper Recycling",INDEX('Materials Master'!$J$2:$J$27,MATCH($C646,'Materials Master'!$A$2:$A$27,0)),IF($B646="Terracycle",INDEX('Materials Master'!$K$2:$K$27,MATCH($C646,'Materials Master'!$A$2:$A$27,0)),"No"))))))="Yes",INDEX('Materials Master'!$E$2:$E$27,MATCH($C646,'Materials Master'!$A$2:$A$27,0))="Yes",$B646&lt;&gt;"Trash"),1,0)</f>
        <v>0</v>
      </c>
      <c r="H646" s="0" t="str">
        <f aca="false">INDEX('Materials Master'!$E$2:$E$27,MATCH($C646,'Materials Master'!$A$2:$A$27,0))</f>
        <v>No</v>
      </c>
      <c r="I646" s="0" t="str">
        <f aca="false">IFERROR(INDEX(Areas!$C$2:$C$6,MATCH($A646,Areas!$B$2:$B$6,0)),"")</f>
        <v>Rest of Building</v>
      </c>
      <c r="J646" s="0" t="n">
        <f aca="false">IF(IF($B646="Trash",INDEX('Materials Master'!$F$2:$F$27,MATCH($C646,'Materials Master'!$A$2:$A$27,0)),IF($B646="GMPC Recycling",INDEX('Materials Master'!$G$2:$G$27,MATCH($C646,'Materials Master'!$A$2:$A$27,0)),IF($B646="Organics Recycling",INDEX('Materials Master'!$H$2:$H$27,MATCH($C646,'Materials Master'!$A$2:$A$27,0)),IF($B646="Cardboard Recycling",INDEX('Materials Master'!$I$2:$I$27,MATCH($C646,'Materials Master'!$A$2:$A$27,0)),IF($B646="Paper Recycling",INDEX('Materials Master'!$J$2:$J$27,MATCH($C646,'Materials Master'!$A$2:$A$27,0)),IF($B646="Terracycle",INDEX('Materials Master'!$K$2:$K$27,MATCH($C646,'Materials Master'!$A$2:$A$27,0)),"No"))))))="Yes",1,0)</f>
        <v>1</v>
      </c>
    </row>
    <row r="647" customFormat="false" ht="15" hidden="false" customHeight="false" outlineLevel="0" collapsed="false">
      <c r="A647" s="0" t="s">
        <v>101</v>
      </c>
      <c r="B647" s="0" t="s">
        <v>103</v>
      </c>
      <c r="C647" s="0" t="s">
        <v>78</v>
      </c>
      <c r="D647" s="0" t="str">
        <f aca="false">IFERROR(INDEX('Materials Master'!$B$2:$B$27,MATCH($C647,'Materials Master'!$A$2:$A$27,0)),"")</f>
        <v>Textiles</v>
      </c>
      <c r="E647" s="0" t="str">
        <f aca="false">IFERROR(INDEX('Materials Master'!$C$2:$C$27,MATCH($C647,'Materials Master'!$A$2:$A$27,0)),"")</f>
        <v>Unacceptable</v>
      </c>
      <c r="F647" s="0" t="n">
        <f aca="false">IF(SUMIFS(Fact_SortedWeights!$E$2:$E$89,Fact_SortedWeights!$C$2:$C$89,$A647,Fact_SortedWeights!$B$2:$B$89,$B647)=0,0,SUMIFS(Fact_SortedWeights!$E$2:$E$89,Fact_SortedWeights!$C$2:$C$89,$A647,Fact_SortedWeights!$B$2:$B$89,$B647,Fact_SortedWeights!$D$2:$D$89,$C647)/SUMIFS(Fact_SortedWeights!$E$2:$E$89,Fact_SortedWeights!$C$2:$C$89,$A647,Fact_SortedWeights!$B$2:$B$89,$B647)*(IF($B647="Cardboard Recycling",SUMIFS(Fact_SortedWeights!$E$2:$E$89,Fact_SortedWeights!$C$2:$C$89,$A647,Fact_SortedWeights!$B$2:$B$89,$B647),SUMIFS(Fact_PreSortWeights!$E$2:$E$186,Fact_PreSortWeights!$C$2:$C$186,$A647,Fact_PreSortWeights!$B$2:$B$186,$B647))))</f>
        <v>0</v>
      </c>
      <c r="G647" s="0" t="n">
        <f aca="false">IF(AND(IF($B647="Trash",INDEX('Materials Master'!$F$2:$F$27,MATCH($C647,'Materials Master'!$A$2:$A$27,0)),IF($B647="GMPC Recycling",INDEX('Materials Master'!$G$2:$G$27,MATCH($C647,'Materials Master'!$A$2:$A$27,0)),IF($B647="Organics Recycling",INDEX('Materials Master'!$H$2:$H$27,MATCH($C647,'Materials Master'!$A$2:$A$27,0)),IF($B647="Cardboard Recycling",INDEX('Materials Master'!$I$2:$I$27,MATCH($C647,'Materials Master'!$A$2:$A$27,0)),IF($B647="Paper Recycling",INDEX('Materials Master'!$J$2:$J$27,MATCH($C647,'Materials Master'!$A$2:$A$27,0)),IF($B647="Terracycle",INDEX('Materials Master'!$K$2:$K$27,MATCH($C647,'Materials Master'!$A$2:$A$27,0)),"No"))))))="Yes",INDEX('Materials Master'!$E$2:$E$27,MATCH($C647,'Materials Master'!$A$2:$A$27,0))="Yes",$B647&lt;&gt;"Trash"),1,0)</f>
        <v>0</v>
      </c>
      <c r="H647" s="0" t="str">
        <f aca="false">INDEX('Materials Master'!$E$2:$E$27,MATCH($C647,'Materials Master'!$A$2:$A$27,0))</f>
        <v>No</v>
      </c>
      <c r="I647" s="0" t="str">
        <f aca="false">IFERROR(INDEX(Areas!$C$2:$C$6,MATCH($A647,Areas!$B$2:$B$6,0)),"")</f>
        <v>Rest of Building</v>
      </c>
      <c r="J647" s="0" t="n">
        <f aca="false">IF(IF($B647="Trash",INDEX('Materials Master'!$F$2:$F$27,MATCH($C647,'Materials Master'!$A$2:$A$27,0)),IF($B647="GMPC Recycling",INDEX('Materials Master'!$G$2:$G$27,MATCH($C647,'Materials Master'!$A$2:$A$27,0)),IF($B647="Organics Recycling",INDEX('Materials Master'!$H$2:$H$27,MATCH($C647,'Materials Master'!$A$2:$A$27,0)),IF($B647="Cardboard Recycling",INDEX('Materials Master'!$I$2:$I$27,MATCH($C647,'Materials Master'!$A$2:$A$27,0)),IF($B647="Paper Recycling",INDEX('Materials Master'!$J$2:$J$27,MATCH($C647,'Materials Master'!$A$2:$A$27,0)),IF($B647="Terracycle",INDEX('Materials Master'!$K$2:$K$27,MATCH($C647,'Materials Master'!$A$2:$A$27,0)),"No"))))))="Yes",1,0)</f>
        <v>1</v>
      </c>
    </row>
    <row r="648" customFormat="false" ht="15" hidden="false" customHeight="false" outlineLevel="0" collapsed="false">
      <c r="A648" s="0" t="s">
        <v>101</v>
      </c>
      <c r="B648" s="0" t="s">
        <v>103</v>
      </c>
      <c r="C648" s="0" t="s">
        <v>80</v>
      </c>
      <c r="D648" s="0" t="str">
        <f aca="false">IFERROR(INDEX('Materials Master'!$B$2:$B$27,MATCH($C648,'Materials Master'!$A$2:$A$27,0)),"")</f>
        <v>Other Unacceptable (specify)</v>
      </c>
      <c r="E648" s="0" t="str">
        <f aca="false">IFERROR(INDEX('Materials Master'!$C$2:$C$27,MATCH($C648,'Materials Master'!$A$2:$A$27,0)),"")</f>
        <v>Unacceptable</v>
      </c>
      <c r="F648" s="0" t="n">
        <f aca="false">IF(SUMIFS(Fact_SortedWeights!$E$2:$E$89,Fact_SortedWeights!$C$2:$C$89,$A648,Fact_SortedWeights!$B$2:$B$89,$B648)=0,0,SUMIFS(Fact_SortedWeights!$E$2:$E$89,Fact_SortedWeights!$C$2:$C$89,$A648,Fact_SortedWeights!$B$2:$B$89,$B648,Fact_SortedWeights!$D$2:$D$89,$C648)/SUMIFS(Fact_SortedWeights!$E$2:$E$89,Fact_SortedWeights!$C$2:$C$89,$A648,Fact_SortedWeights!$B$2:$B$89,$B648)*(IF($B648="Cardboard Recycling",SUMIFS(Fact_SortedWeights!$E$2:$E$89,Fact_SortedWeights!$C$2:$C$89,$A648,Fact_SortedWeights!$B$2:$B$89,$B648),SUMIFS(Fact_PreSortWeights!$E$2:$E$186,Fact_PreSortWeights!$C$2:$C$186,$A648,Fact_PreSortWeights!$B$2:$B$186,$B648))))</f>
        <v>0</v>
      </c>
      <c r="G648" s="0" t="n">
        <f aca="false">IF(AND(IF($B648="Trash",INDEX('Materials Master'!$F$2:$F$27,MATCH($C648,'Materials Master'!$A$2:$A$27,0)),IF($B648="GMPC Recycling",INDEX('Materials Master'!$G$2:$G$27,MATCH($C648,'Materials Master'!$A$2:$A$27,0)),IF($B648="Organics Recycling",INDEX('Materials Master'!$H$2:$H$27,MATCH($C648,'Materials Master'!$A$2:$A$27,0)),IF($B648="Cardboard Recycling",INDEX('Materials Master'!$I$2:$I$27,MATCH($C648,'Materials Master'!$A$2:$A$27,0)),IF($B648="Paper Recycling",INDEX('Materials Master'!$J$2:$J$27,MATCH($C648,'Materials Master'!$A$2:$A$27,0)),IF($B648="Terracycle",INDEX('Materials Master'!$K$2:$K$27,MATCH($C648,'Materials Master'!$A$2:$A$27,0)),"No"))))))="Yes",INDEX('Materials Master'!$E$2:$E$27,MATCH($C648,'Materials Master'!$A$2:$A$27,0))="Yes",$B648&lt;&gt;"Trash"),1,0)</f>
        <v>0</v>
      </c>
      <c r="H648" s="0" t="str">
        <f aca="false">INDEX('Materials Master'!$E$2:$E$27,MATCH($C648,'Materials Master'!$A$2:$A$27,0))</f>
        <v>No</v>
      </c>
      <c r="I648" s="0" t="str">
        <f aca="false">IFERROR(INDEX(Areas!$C$2:$C$6,MATCH($A648,Areas!$B$2:$B$6,0)),"")</f>
        <v>Rest of Building</v>
      </c>
      <c r="J648" s="0" t="n">
        <f aca="false">IF(IF($B648="Trash",INDEX('Materials Master'!$F$2:$F$27,MATCH($C648,'Materials Master'!$A$2:$A$27,0)),IF($B648="GMPC Recycling",INDEX('Materials Master'!$G$2:$G$27,MATCH($C648,'Materials Master'!$A$2:$A$27,0)),IF($B648="Organics Recycling",INDEX('Materials Master'!$H$2:$H$27,MATCH($C648,'Materials Master'!$A$2:$A$27,0)),IF($B648="Cardboard Recycling",INDEX('Materials Master'!$I$2:$I$27,MATCH($C648,'Materials Master'!$A$2:$A$27,0)),IF($B648="Paper Recycling",INDEX('Materials Master'!$J$2:$J$27,MATCH($C648,'Materials Master'!$A$2:$A$27,0)),IF($B648="Terracycle",INDEX('Materials Master'!$K$2:$K$27,MATCH($C648,'Materials Master'!$A$2:$A$27,0)),"No"))))))="Yes",1,0)</f>
        <v>1</v>
      </c>
    </row>
    <row r="649" customFormat="false" ht="15" hidden="false" customHeight="false" outlineLevel="0" collapsed="false">
      <c r="A649" s="0" t="s">
        <v>101</v>
      </c>
      <c r="B649" s="0" t="s">
        <v>103</v>
      </c>
      <c r="C649" s="0" t="s">
        <v>82</v>
      </c>
      <c r="D649" s="0" t="str">
        <f aca="false">IFERROR(INDEX('Materials Master'!$B$2:$B$27,MATCH($C649,'Materials Master'!$A$2:$A$27,0)),"")</f>
        <v>Liquids</v>
      </c>
      <c r="E649" s="0" t="str">
        <f aca="false">IFERROR(INDEX('Materials Master'!$C$2:$C$27,MATCH($C649,'Materials Master'!$A$2:$A$27,0)),"")</f>
        <v>Unacceptable</v>
      </c>
      <c r="F649" s="0" t="n">
        <f aca="false">IF(SUMIFS(Fact_SortedWeights!$E$2:$E$89,Fact_SortedWeights!$C$2:$C$89,$A649,Fact_SortedWeights!$B$2:$B$89,$B649)=0,0,SUMIFS(Fact_SortedWeights!$E$2:$E$89,Fact_SortedWeights!$C$2:$C$89,$A649,Fact_SortedWeights!$B$2:$B$89,$B649,Fact_SortedWeights!$D$2:$D$89,$C649)/SUMIFS(Fact_SortedWeights!$E$2:$E$89,Fact_SortedWeights!$C$2:$C$89,$A649,Fact_SortedWeights!$B$2:$B$89,$B649)*(IF($B649="Cardboard Recycling",SUMIFS(Fact_SortedWeights!$E$2:$E$89,Fact_SortedWeights!$C$2:$C$89,$A649,Fact_SortedWeights!$B$2:$B$89,$B649),SUMIFS(Fact_PreSortWeights!$E$2:$E$186,Fact_PreSortWeights!$C$2:$C$186,$A649,Fact_PreSortWeights!$B$2:$B$186,$B649))))</f>
        <v>0</v>
      </c>
      <c r="G649" s="0" t="n">
        <f aca="false">IF(AND(IF($B649="Trash",INDEX('Materials Master'!$F$2:$F$27,MATCH($C649,'Materials Master'!$A$2:$A$27,0)),IF($B649="GMPC Recycling",INDEX('Materials Master'!$G$2:$G$27,MATCH($C649,'Materials Master'!$A$2:$A$27,0)),IF($B649="Organics Recycling",INDEX('Materials Master'!$H$2:$H$27,MATCH($C649,'Materials Master'!$A$2:$A$27,0)),IF($B649="Cardboard Recycling",INDEX('Materials Master'!$I$2:$I$27,MATCH($C649,'Materials Master'!$A$2:$A$27,0)),IF($B649="Paper Recycling",INDEX('Materials Master'!$J$2:$J$27,MATCH($C649,'Materials Master'!$A$2:$A$27,0)),IF($B649="Terracycle",INDEX('Materials Master'!$K$2:$K$27,MATCH($C649,'Materials Master'!$A$2:$A$27,0)),"No"))))))="Yes",INDEX('Materials Master'!$E$2:$E$27,MATCH($C649,'Materials Master'!$A$2:$A$27,0))="Yes",$B649&lt;&gt;"Trash"),1,0)</f>
        <v>0</v>
      </c>
      <c r="H649" s="0" t="str">
        <f aca="false">INDEX('Materials Master'!$E$2:$E$27,MATCH($C649,'Materials Master'!$A$2:$A$27,0))</f>
        <v>No</v>
      </c>
      <c r="I649" s="0" t="str">
        <f aca="false">IFERROR(INDEX(Areas!$C$2:$C$6,MATCH($A649,Areas!$B$2:$B$6,0)),"")</f>
        <v>Rest of Building</v>
      </c>
      <c r="J649" s="0" t="n">
        <f aca="false">IF(IF($B649="Trash",INDEX('Materials Master'!$F$2:$F$27,MATCH($C649,'Materials Master'!$A$2:$A$27,0)),IF($B649="GMPC Recycling",INDEX('Materials Master'!$G$2:$G$27,MATCH($C649,'Materials Master'!$A$2:$A$27,0)),IF($B649="Organics Recycling",INDEX('Materials Master'!$H$2:$H$27,MATCH($C649,'Materials Master'!$A$2:$A$27,0)),IF($B649="Cardboard Recycling",INDEX('Materials Master'!$I$2:$I$27,MATCH($C649,'Materials Master'!$A$2:$A$27,0)),IF($B649="Paper Recycling",INDEX('Materials Master'!$J$2:$J$27,MATCH($C649,'Materials Master'!$A$2:$A$27,0)),IF($B649="Terracycle",INDEX('Materials Master'!$K$2:$K$27,MATCH($C649,'Materials Master'!$A$2:$A$27,0)),"No"))))))="Yes",1,0)</f>
        <v>1</v>
      </c>
    </row>
    <row r="650" customFormat="false" ht="15" hidden="false" customHeight="false" outlineLevel="0" collapsed="false">
      <c r="A650" s="0" t="s">
        <v>101</v>
      </c>
      <c r="B650" s="0" t="s">
        <v>103</v>
      </c>
      <c r="C650" s="0" t="s">
        <v>84</v>
      </c>
      <c r="D650" s="0" t="str">
        <f aca="false">IFERROR(INDEX('Materials Master'!$B$2:$B$27,MATCH($C650,'Materials Master'!$A$2:$A$27,0)),"")</f>
        <v>Snack Wrappers (Composites)</v>
      </c>
      <c r="E650" s="0" t="str">
        <f aca="false">IFERROR(INDEX('Materials Master'!$C$2:$C$27,MATCH($C650,'Materials Master'!$A$2:$A$27,0)),"")</f>
        <v>Other</v>
      </c>
      <c r="F650" s="0" t="n">
        <f aca="false">IF(SUMIFS(Fact_SortedWeights!$E$2:$E$89,Fact_SortedWeights!$C$2:$C$89,$A650,Fact_SortedWeights!$B$2:$B$89,$B650)=0,0,SUMIFS(Fact_SortedWeights!$E$2:$E$89,Fact_SortedWeights!$C$2:$C$89,$A650,Fact_SortedWeights!$B$2:$B$89,$B650,Fact_SortedWeights!$D$2:$D$89,$C650)/SUMIFS(Fact_SortedWeights!$E$2:$E$89,Fact_SortedWeights!$C$2:$C$89,$A650,Fact_SortedWeights!$B$2:$B$89,$B650)*(IF($B650="Cardboard Recycling",SUMIFS(Fact_SortedWeights!$E$2:$E$89,Fact_SortedWeights!$C$2:$C$89,$A650,Fact_SortedWeights!$B$2:$B$89,$B650),SUMIFS(Fact_PreSortWeights!$E$2:$E$186,Fact_PreSortWeights!$C$2:$C$186,$A650,Fact_PreSortWeights!$B$2:$B$186,$B650))))</f>
        <v>0</v>
      </c>
      <c r="G650" s="0" t="n">
        <f aca="false">IF(AND(IF($B650="Trash",INDEX('Materials Master'!$F$2:$F$27,MATCH($C650,'Materials Master'!$A$2:$A$27,0)),IF($B650="GMPC Recycling",INDEX('Materials Master'!$G$2:$G$27,MATCH($C650,'Materials Master'!$A$2:$A$27,0)),IF($B650="Organics Recycling",INDEX('Materials Master'!$H$2:$H$27,MATCH($C650,'Materials Master'!$A$2:$A$27,0)),IF($B650="Cardboard Recycling",INDEX('Materials Master'!$I$2:$I$27,MATCH($C650,'Materials Master'!$A$2:$A$27,0)),IF($B650="Paper Recycling",INDEX('Materials Master'!$J$2:$J$27,MATCH($C650,'Materials Master'!$A$2:$A$27,0)),IF($B650="Terracycle",INDEX('Materials Master'!$K$2:$K$27,MATCH($C650,'Materials Master'!$A$2:$A$27,0)),"No"))))))="Yes",INDEX('Materials Master'!$E$2:$E$27,MATCH($C650,'Materials Master'!$A$2:$A$27,0))="Yes",$B650&lt;&gt;"Trash"),1,0)</f>
        <v>0</v>
      </c>
      <c r="H650" s="0" t="str">
        <f aca="false">INDEX('Materials Master'!$E$2:$E$27,MATCH($C650,'Materials Master'!$A$2:$A$27,0))</f>
        <v>Yes</v>
      </c>
      <c r="I650" s="0" t="str">
        <f aca="false">IFERROR(INDEX(Areas!$C$2:$C$6,MATCH($A650,Areas!$B$2:$B$6,0)),"")</f>
        <v>Rest of Building</v>
      </c>
      <c r="J650" s="0" t="n">
        <f aca="false">IF(IF($B650="Trash",INDEX('Materials Master'!$F$2:$F$27,MATCH($C650,'Materials Master'!$A$2:$A$27,0)),IF($B650="GMPC Recycling",INDEX('Materials Master'!$G$2:$G$27,MATCH($C650,'Materials Master'!$A$2:$A$27,0)),IF($B650="Organics Recycling",INDEX('Materials Master'!$H$2:$H$27,MATCH($C650,'Materials Master'!$A$2:$A$27,0)),IF($B650="Cardboard Recycling",INDEX('Materials Master'!$I$2:$I$27,MATCH($C650,'Materials Master'!$A$2:$A$27,0)),IF($B650="Paper Recycling",INDEX('Materials Master'!$J$2:$J$27,MATCH($C650,'Materials Master'!$A$2:$A$27,0)),IF($B650="Terracycle",INDEX('Materials Master'!$K$2:$K$27,MATCH($C650,'Materials Master'!$A$2:$A$27,0)),"No"))))))="Yes",1,0)</f>
        <v>0</v>
      </c>
    </row>
    <row r="651" customFormat="false" ht="15" hidden="false" customHeight="false" outlineLevel="0" collapsed="false">
      <c r="A651" s="0" t="s">
        <v>101</v>
      </c>
      <c r="B651" s="0" t="s">
        <v>103</v>
      </c>
      <c r="C651" s="0" t="s">
        <v>87</v>
      </c>
      <c r="D651" s="0" t="str">
        <f aca="false">IFERROR(INDEX('Materials Master'!$B$2:$B$27,MATCH($C651,'Materials Master'!$A$2:$A$27,0)),"")</f>
        <v>Other/Residual Materials</v>
      </c>
      <c r="E651" s="0" t="str">
        <f aca="false">IFERROR(INDEX('Materials Master'!$C$2:$C$27,MATCH($C651,'Materials Master'!$A$2:$A$27,0)),"")</f>
        <v>Other</v>
      </c>
      <c r="F651" s="0" t="n">
        <f aca="false">IF(SUMIFS(Fact_SortedWeights!$E$2:$E$89,Fact_SortedWeights!$C$2:$C$89,$A651,Fact_SortedWeights!$B$2:$B$89,$B651)=0,0,SUMIFS(Fact_SortedWeights!$E$2:$E$89,Fact_SortedWeights!$C$2:$C$89,$A651,Fact_SortedWeights!$B$2:$B$89,$B651,Fact_SortedWeights!$D$2:$D$89,$C651)/SUMIFS(Fact_SortedWeights!$E$2:$E$89,Fact_SortedWeights!$C$2:$C$89,$A651,Fact_SortedWeights!$B$2:$B$89,$B651)*(IF($B651="Cardboard Recycling",SUMIFS(Fact_SortedWeights!$E$2:$E$89,Fact_SortedWeights!$C$2:$C$89,$A651,Fact_SortedWeights!$B$2:$B$89,$B651),SUMIFS(Fact_PreSortWeights!$E$2:$E$186,Fact_PreSortWeights!$C$2:$C$186,$A651,Fact_PreSortWeights!$B$2:$B$186,$B651))))</f>
        <v>0</v>
      </c>
      <c r="G651" s="0" t="n">
        <f aca="false">IF(AND(IF($B651="Trash",INDEX('Materials Master'!$F$2:$F$27,MATCH($C651,'Materials Master'!$A$2:$A$27,0)),IF($B651="GMPC Recycling",INDEX('Materials Master'!$G$2:$G$27,MATCH($C651,'Materials Master'!$A$2:$A$27,0)),IF($B651="Organics Recycling",INDEX('Materials Master'!$H$2:$H$27,MATCH($C651,'Materials Master'!$A$2:$A$27,0)),IF($B651="Cardboard Recycling",INDEX('Materials Master'!$I$2:$I$27,MATCH($C651,'Materials Master'!$A$2:$A$27,0)),IF($B651="Paper Recycling",INDEX('Materials Master'!$J$2:$J$27,MATCH($C651,'Materials Master'!$A$2:$A$27,0)),IF($B651="Terracycle",INDEX('Materials Master'!$K$2:$K$27,MATCH($C651,'Materials Master'!$A$2:$A$27,0)),"No"))))))="Yes",INDEX('Materials Master'!$E$2:$E$27,MATCH($C651,'Materials Master'!$A$2:$A$27,0))="Yes",$B651&lt;&gt;"Trash"),1,0)</f>
        <v>0</v>
      </c>
      <c r="H651" s="0" t="str">
        <f aca="false">INDEX('Materials Master'!$E$2:$E$27,MATCH($C651,'Materials Master'!$A$2:$A$27,0))</f>
        <v>No</v>
      </c>
      <c r="I651" s="0" t="str">
        <f aca="false">IFERROR(INDEX(Areas!$C$2:$C$6,MATCH($A651,Areas!$B$2:$B$6,0)),"")</f>
        <v>Rest of Building</v>
      </c>
      <c r="J651" s="0" t="n">
        <f aca="false">IF(IF($B651="Trash",INDEX('Materials Master'!$F$2:$F$27,MATCH($C651,'Materials Master'!$A$2:$A$27,0)),IF($B651="GMPC Recycling",INDEX('Materials Master'!$G$2:$G$27,MATCH($C651,'Materials Master'!$A$2:$A$27,0)),IF($B651="Organics Recycling",INDEX('Materials Master'!$H$2:$H$27,MATCH($C651,'Materials Master'!$A$2:$A$27,0)),IF($B651="Cardboard Recycling",INDEX('Materials Master'!$I$2:$I$27,MATCH($C651,'Materials Master'!$A$2:$A$27,0)),IF($B651="Paper Recycling",INDEX('Materials Master'!$J$2:$J$27,MATCH($C651,'Materials Master'!$A$2:$A$27,0)),IF($B651="Terracycle",INDEX('Materials Master'!$K$2:$K$27,MATCH($C651,'Materials Master'!$A$2:$A$27,0)),"No"))))))="Yes",1,0)</f>
        <v>1</v>
      </c>
    </row>
    <row r="652" customFormat="false" ht="15" hidden="false" customHeight="false" outlineLevel="0" collapsed="false">
      <c r="A652" s="0" t="s">
        <v>101</v>
      </c>
      <c r="B652" s="0" t="s">
        <v>104</v>
      </c>
      <c r="C652" s="0" t="s">
        <v>28</v>
      </c>
      <c r="D652" s="0" t="str">
        <f aca="false">IFERROR(INDEX('Materials Master'!$B$2:$B$27,MATCH($C652,'Materials Master'!$A$2:$A$27,0)),"")</f>
        <v>Corrugated Cardboard</v>
      </c>
      <c r="E652" s="0" t="str">
        <f aca="false">IFERROR(INDEX('Materials Master'!$C$2:$C$27,MATCH($C652,'Materials Master'!$A$2:$A$27,0)),"")</f>
        <v>Fibers</v>
      </c>
      <c r="F652" s="0" t="n">
        <f aca="false">IF(SUMIFS(Fact_SortedWeights!$E$2:$E$89,Fact_SortedWeights!$C$2:$C$89,$A652,Fact_SortedWeights!$B$2:$B$89,$B652)=0,0,SUMIFS(Fact_SortedWeights!$E$2:$E$89,Fact_SortedWeights!$C$2:$C$89,$A652,Fact_SortedWeights!$B$2:$B$89,$B652,Fact_SortedWeights!$D$2:$D$89,$C652)/SUMIFS(Fact_SortedWeights!$E$2:$E$89,Fact_SortedWeights!$C$2:$C$89,$A652,Fact_SortedWeights!$B$2:$B$89,$B652)*(IF($B652="Cardboard Recycling",SUMIFS(Fact_SortedWeights!$E$2:$E$89,Fact_SortedWeights!$C$2:$C$89,$A652,Fact_SortedWeights!$B$2:$B$89,$B652),SUMIFS(Fact_PreSortWeights!$E$2:$E$186,Fact_PreSortWeights!$C$2:$C$186,$A652,Fact_PreSortWeights!$B$2:$B$186,$B652))))</f>
        <v>0</v>
      </c>
      <c r="G652" s="0" t="n">
        <f aca="false">IF(AND(IF($B652="Trash",INDEX('Materials Master'!$F$2:$F$27,MATCH($C652,'Materials Master'!$A$2:$A$27,0)),IF($B652="GMPC Recycling",INDEX('Materials Master'!$G$2:$G$27,MATCH($C652,'Materials Master'!$A$2:$A$27,0)),IF($B652="Organics Recycling",INDEX('Materials Master'!$H$2:$H$27,MATCH($C652,'Materials Master'!$A$2:$A$27,0)),IF($B652="Cardboard Recycling",INDEX('Materials Master'!$I$2:$I$27,MATCH($C652,'Materials Master'!$A$2:$A$27,0)),IF($B652="Paper Recycling",INDEX('Materials Master'!$J$2:$J$27,MATCH($C652,'Materials Master'!$A$2:$A$27,0)),IF($B652="Terracycle",INDEX('Materials Master'!$K$2:$K$27,MATCH($C652,'Materials Master'!$A$2:$A$27,0)),"No"))))))="Yes",INDEX('Materials Master'!$E$2:$E$27,MATCH($C652,'Materials Master'!$A$2:$A$27,0))="Yes",$B652&lt;&gt;"Trash"),1,0)</f>
        <v>1</v>
      </c>
      <c r="H652" s="0" t="str">
        <f aca="false">INDEX('Materials Master'!$E$2:$E$27,MATCH($C652,'Materials Master'!$A$2:$A$27,0))</f>
        <v>Yes</v>
      </c>
      <c r="I652" s="0" t="str">
        <f aca="false">IFERROR(INDEX(Areas!$C$2:$C$6,MATCH($A652,Areas!$B$2:$B$6,0)),"")</f>
        <v>Rest of Building</v>
      </c>
      <c r="J652" s="0" t="n">
        <f aca="false">IF(IF($B652="Trash",INDEX('Materials Master'!$F$2:$F$27,MATCH($C652,'Materials Master'!$A$2:$A$27,0)),IF($B652="GMPC Recycling",INDEX('Materials Master'!$G$2:$G$27,MATCH($C652,'Materials Master'!$A$2:$A$27,0)),IF($B652="Organics Recycling",INDEX('Materials Master'!$H$2:$H$27,MATCH($C652,'Materials Master'!$A$2:$A$27,0)),IF($B652="Cardboard Recycling",INDEX('Materials Master'!$I$2:$I$27,MATCH($C652,'Materials Master'!$A$2:$A$27,0)),IF($B652="Paper Recycling",INDEX('Materials Master'!$J$2:$J$27,MATCH($C652,'Materials Master'!$A$2:$A$27,0)),IF($B652="Terracycle",INDEX('Materials Master'!$K$2:$K$27,MATCH($C652,'Materials Master'!$A$2:$A$27,0)),"No"))))))="Yes",1,0)</f>
        <v>1</v>
      </c>
    </row>
    <row r="653" customFormat="false" ht="15" hidden="false" customHeight="false" outlineLevel="0" collapsed="false">
      <c r="A653" s="0" t="s">
        <v>101</v>
      </c>
      <c r="B653" s="0" t="s">
        <v>104</v>
      </c>
      <c r="C653" s="0" t="s">
        <v>33</v>
      </c>
      <c r="D653" s="0" t="str">
        <f aca="false">IFERROR(INDEX('Materials Master'!$B$2:$B$27,MATCH($C653,'Materials Master'!$A$2:$A$27,0)),"")</f>
        <v>Soiled Cardboard</v>
      </c>
      <c r="E653" s="0" t="str">
        <f aca="false">IFERROR(INDEX('Materials Master'!$C$2:$C$27,MATCH($C653,'Materials Master'!$A$2:$A$27,0)),"")</f>
        <v>Fibers</v>
      </c>
      <c r="F653" s="0" t="n">
        <f aca="false">IF(SUMIFS(Fact_SortedWeights!$E$2:$E$89,Fact_SortedWeights!$C$2:$C$89,$A653,Fact_SortedWeights!$B$2:$B$89,$B653)=0,0,SUMIFS(Fact_SortedWeights!$E$2:$E$89,Fact_SortedWeights!$C$2:$C$89,$A653,Fact_SortedWeights!$B$2:$B$89,$B653,Fact_SortedWeights!$D$2:$D$89,$C653)/SUMIFS(Fact_SortedWeights!$E$2:$E$89,Fact_SortedWeights!$C$2:$C$89,$A653,Fact_SortedWeights!$B$2:$B$89,$B653)*(IF($B653="Cardboard Recycling",SUMIFS(Fact_SortedWeights!$E$2:$E$89,Fact_SortedWeights!$C$2:$C$89,$A653,Fact_SortedWeights!$B$2:$B$89,$B653),SUMIFS(Fact_PreSortWeights!$E$2:$E$186,Fact_PreSortWeights!$C$2:$C$186,$A653,Fact_PreSortWeights!$B$2:$B$186,$B653))))</f>
        <v>0</v>
      </c>
      <c r="G653" s="0" t="n">
        <f aca="false">IF(AND(IF($B653="Trash",INDEX('Materials Master'!$F$2:$F$27,MATCH($C653,'Materials Master'!$A$2:$A$27,0)),IF($B653="GMPC Recycling",INDEX('Materials Master'!$G$2:$G$27,MATCH($C653,'Materials Master'!$A$2:$A$27,0)),IF($B653="Organics Recycling",INDEX('Materials Master'!$H$2:$H$27,MATCH($C653,'Materials Master'!$A$2:$A$27,0)),IF($B653="Cardboard Recycling",INDEX('Materials Master'!$I$2:$I$27,MATCH($C653,'Materials Master'!$A$2:$A$27,0)),IF($B653="Paper Recycling",INDEX('Materials Master'!$J$2:$J$27,MATCH($C653,'Materials Master'!$A$2:$A$27,0)),IF($B653="Terracycle",INDEX('Materials Master'!$K$2:$K$27,MATCH($C653,'Materials Master'!$A$2:$A$27,0)),"No"))))))="Yes",INDEX('Materials Master'!$E$2:$E$27,MATCH($C653,'Materials Master'!$A$2:$A$27,0))="Yes",$B653&lt;&gt;"Trash"),1,0)</f>
        <v>0</v>
      </c>
      <c r="H653" s="0" t="str">
        <f aca="false">INDEX('Materials Master'!$E$2:$E$27,MATCH($C653,'Materials Master'!$A$2:$A$27,0))</f>
        <v>No</v>
      </c>
      <c r="I653" s="0" t="str">
        <f aca="false">IFERROR(INDEX(Areas!$C$2:$C$6,MATCH($A653,Areas!$B$2:$B$6,0)),"")</f>
        <v>Rest of Building</v>
      </c>
      <c r="J653" s="0" t="n">
        <f aca="false">IF(IF($B653="Trash",INDEX('Materials Master'!$F$2:$F$27,MATCH($C653,'Materials Master'!$A$2:$A$27,0)),IF($B653="GMPC Recycling",INDEX('Materials Master'!$G$2:$G$27,MATCH($C653,'Materials Master'!$A$2:$A$27,0)),IF($B653="Organics Recycling",INDEX('Materials Master'!$H$2:$H$27,MATCH($C653,'Materials Master'!$A$2:$A$27,0)),IF($B653="Cardboard Recycling",INDEX('Materials Master'!$I$2:$I$27,MATCH($C653,'Materials Master'!$A$2:$A$27,0)),IF($B653="Paper Recycling",INDEX('Materials Master'!$J$2:$J$27,MATCH($C653,'Materials Master'!$A$2:$A$27,0)),IF($B653="Terracycle",INDEX('Materials Master'!$K$2:$K$27,MATCH($C653,'Materials Master'!$A$2:$A$27,0)),"No"))))))="Yes",1,0)</f>
        <v>0</v>
      </c>
    </row>
    <row r="654" customFormat="false" ht="15" hidden="false" customHeight="false" outlineLevel="0" collapsed="false">
      <c r="A654" s="0" t="s">
        <v>101</v>
      </c>
      <c r="B654" s="0" t="s">
        <v>104</v>
      </c>
      <c r="C654" s="0" t="s">
        <v>35</v>
      </c>
      <c r="D654" s="0" t="str">
        <f aca="false">IFERROR(INDEX('Materials Master'!$B$2:$B$27,MATCH($C654,'Materials Master'!$A$2:$A$27,0)),"")</f>
        <v>Waxed Cardboard</v>
      </c>
      <c r="E654" s="0" t="str">
        <f aca="false">IFERROR(INDEX('Materials Master'!$C$2:$C$27,MATCH($C654,'Materials Master'!$A$2:$A$27,0)),"")</f>
        <v>Fibers</v>
      </c>
      <c r="F654" s="0" t="n">
        <f aca="false">IF(SUMIFS(Fact_SortedWeights!$E$2:$E$89,Fact_SortedWeights!$C$2:$C$89,$A654,Fact_SortedWeights!$B$2:$B$89,$B654)=0,0,SUMIFS(Fact_SortedWeights!$E$2:$E$89,Fact_SortedWeights!$C$2:$C$89,$A654,Fact_SortedWeights!$B$2:$B$89,$B654,Fact_SortedWeights!$D$2:$D$89,$C654)/SUMIFS(Fact_SortedWeights!$E$2:$E$89,Fact_SortedWeights!$C$2:$C$89,$A654,Fact_SortedWeights!$B$2:$B$89,$B654)*(IF($B654="Cardboard Recycling",SUMIFS(Fact_SortedWeights!$E$2:$E$89,Fact_SortedWeights!$C$2:$C$89,$A654,Fact_SortedWeights!$B$2:$B$89,$B654),SUMIFS(Fact_PreSortWeights!$E$2:$E$186,Fact_PreSortWeights!$C$2:$C$186,$A654,Fact_PreSortWeights!$B$2:$B$186,$B654))))</f>
        <v>0</v>
      </c>
      <c r="G654" s="0" t="n">
        <f aca="false">IF(AND(IF($B654="Trash",INDEX('Materials Master'!$F$2:$F$27,MATCH($C654,'Materials Master'!$A$2:$A$27,0)),IF($B654="GMPC Recycling",INDEX('Materials Master'!$G$2:$G$27,MATCH($C654,'Materials Master'!$A$2:$A$27,0)),IF($B654="Organics Recycling",INDEX('Materials Master'!$H$2:$H$27,MATCH($C654,'Materials Master'!$A$2:$A$27,0)),IF($B654="Cardboard Recycling",INDEX('Materials Master'!$I$2:$I$27,MATCH($C654,'Materials Master'!$A$2:$A$27,0)),IF($B654="Paper Recycling",INDEX('Materials Master'!$J$2:$J$27,MATCH($C654,'Materials Master'!$A$2:$A$27,0)),IF($B654="Terracycle",INDEX('Materials Master'!$K$2:$K$27,MATCH($C654,'Materials Master'!$A$2:$A$27,0)),"No"))))))="Yes",INDEX('Materials Master'!$E$2:$E$27,MATCH($C654,'Materials Master'!$A$2:$A$27,0))="Yes",$B654&lt;&gt;"Trash"),1,0)</f>
        <v>0</v>
      </c>
      <c r="H654" s="0" t="str">
        <f aca="false">INDEX('Materials Master'!$E$2:$E$27,MATCH($C654,'Materials Master'!$A$2:$A$27,0))</f>
        <v>No</v>
      </c>
      <c r="I654" s="0" t="str">
        <f aca="false">IFERROR(INDEX(Areas!$C$2:$C$6,MATCH($A654,Areas!$B$2:$B$6,0)),"")</f>
        <v>Rest of Building</v>
      </c>
      <c r="J654" s="0" t="n">
        <f aca="false">IF(IF($B654="Trash",INDEX('Materials Master'!$F$2:$F$27,MATCH($C654,'Materials Master'!$A$2:$A$27,0)),IF($B654="GMPC Recycling",INDEX('Materials Master'!$G$2:$G$27,MATCH($C654,'Materials Master'!$A$2:$A$27,0)),IF($B654="Organics Recycling",INDEX('Materials Master'!$H$2:$H$27,MATCH($C654,'Materials Master'!$A$2:$A$27,0)),IF($B654="Cardboard Recycling",INDEX('Materials Master'!$I$2:$I$27,MATCH($C654,'Materials Master'!$A$2:$A$27,0)),IF($B654="Paper Recycling",INDEX('Materials Master'!$J$2:$J$27,MATCH($C654,'Materials Master'!$A$2:$A$27,0)),IF($B654="Terracycle",INDEX('Materials Master'!$K$2:$K$27,MATCH($C654,'Materials Master'!$A$2:$A$27,0)),"No"))))))="Yes",1,0)</f>
        <v>0</v>
      </c>
    </row>
    <row r="655" customFormat="false" ht="15" hidden="false" customHeight="false" outlineLevel="0" collapsed="false">
      <c r="A655" s="0" t="s">
        <v>101</v>
      </c>
      <c r="B655" s="0" t="s">
        <v>104</v>
      </c>
      <c r="C655" s="0" t="s">
        <v>37</v>
      </c>
      <c r="D655" s="0" t="str">
        <f aca="false">IFERROR(INDEX('Materials Master'!$B$2:$B$27,MATCH($C655,'Materials Master'!$A$2:$A$27,0)),"")</f>
        <v>Mixed Paper</v>
      </c>
      <c r="E655" s="0" t="str">
        <f aca="false">IFERROR(INDEX('Materials Master'!$C$2:$C$27,MATCH($C655,'Materials Master'!$A$2:$A$27,0)),"")</f>
        <v>Fibers</v>
      </c>
      <c r="F655" s="0" t="n">
        <f aca="false">IF(SUMIFS(Fact_SortedWeights!$E$2:$E$89,Fact_SortedWeights!$C$2:$C$89,$A655,Fact_SortedWeights!$B$2:$B$89,$B655)=0,0,SUMIFS(Fact_SortedWeights!$E$2:$E$89,Fact_SortedWeights!$C$2:$C$89,$A655,Fact_SortedWeights!$B$2:$B$89,$B655,Fact_SortedWeights!$D$2:$D$89,$C655)/SUMIFS(Fact_SortedWeights!$E$2:$E$89,Fact_SortedWeights!$C$2:$C$89,$A655,Fact_SortedWeights!$B$2:$B$89,$B655)*(IF($B655="Cardboard Recycling",SUMIFS(Fact_SortedWeights!$E$2:$E$89,Fact_SortedWeights!$C$2:$C$89,$A655,Fact_SortedWeights!$B$2:$B$89,$B655),SUMIFS(Fact_PreSortWeights!$E$2:$E$186,Fact_PreSortWeights!$C$2:$C$186,$A655,Fact_PreSortWeights!$B$2:$B$186,$B655))))</f>
        <v>0</v>
      </c>
      <c r="G655" s="0" t="n">
        <f aca="false">IF(AND(IF($B655="Trash",INDEX('Materials Master'!$F$2:$F$27,MATCH($C655,'Materials Master'!$A$2:$A$27,0)),IF($B655="GMPC Recycling",INDEX('Materials Master'!$G$2:$G$27,MATCH($C655,'Materials Master'!$A$2:$A$27,0)),IF($B655="Organics Recycling",INDEX('Materials Master'!$H$2:$H$27,MATCH($C655,'Materials Master'!$A$2:$A$27,0)),IF($B655="Cardboard Recycling",INDEX('Materials Master'!$I$2:$I$27,MATCH($C655,'Materials Master'!$A$2:$A$27,0)),IF($B655="Paper Recycling",INDEX('Materials Master'!$J$2:$J$27,MATCH($C655,'Materials Master'!$A$2:$A$27,0)),IF($B655="Terracycle",INDEX('Materials Master'!$K$2:$K$27,MATCH($C655,'Materials Master'!$A$2:$A$27,0)),"No"))))))="Yes",INDEX('Materials Master'!$E$2:$E$27,MATCH($C655,'Materials Master'!$A$2:$A$27,0))="Yes",$B655&lt;&gt;"Trash"),1,0)</f>
        <v>1</v>
      </c>
      <c r="H655" s="0" t="str">
        <f aca="false">INDEX('Materials Master'!$E$2:$E$27,MATCH($C655,'Materials Master'!$A$2:$A$27,0))</f>
        <v>Yes</v>
      </c>
      <c r="I655" s="0" t="str">
        <f aca="false">IFERROR(INDEX(Areas!$C$2:$C$6,MATCH($A655,Areas!$B$2:$B$6,0)),"")</f>
        <v>Rest of Building</v>
      </c>
      <c r="J655" s="0" t="n">
        <f aca="false">IF(IF($B655="Trash",INDEX('Materials Master'!$F$2:$F$27,MATCH($C655,'Materials Master'!$A$2:$A$27,0)),IF($B655="GMPC Recycling",INDEX('Materials Master'!$G$2:$G$27,MATCH($C655,'Materials Master'!$A$2:$A$27,0)),IF($B655="Organics Recycling",INDEX('Materials Master'!$H$2:$H$27,MATCH($C655,'Materials Master'!$A$2:$A$27,0)),IF($B655="Cardboard Recycling",INDEX('Materials Master'!$I$2:$I$27,MATCH($C655,'Materials Master'!$A$2:$A$27,0)),IF($B655="Paper Recycling",INDEX('Materials Master'!$J$2:$J$27,MATCH($C655,'Materials Master'!$A$2:$A$27,0)),IF($B655="Terracycle",INDEX('Materials Master'!$K$2:$K$27,MATCH($C655,'Materials Master'!$A$2:$A$27,0)),"No"))))))="Yes",1,0)</f>
        <v>1</v>
      </c>
    </row>
    <row r="656" customFormat="false" ht="15" hidden="false" customHeight="false" outlineLevel="0" collapsed="false">
      <c r="A656" s="0" t="s">
        <v>101</v>
      </c>
      <c r="B656" s="0" t="s">
        <v>104</v>
      </c>
      <c r="C656" s="0" t="s">
        <v>39</v>
      </c>
      <c r="D656" s="0" t="str">
        <f aca="false">IFERROR(INDEX('Materials Master'!$B$2:$B$27,MATCH($C656,'Materials Master'!$A$2:$A$27,0)),"")</f>
        <v>Soiled Paper</v>
      </c>
      <c r="E656" s="0" t="str">
        <f aca="false">IFERROR(INDEX('Materials Master'!$C$2:$C$27,MATCH($C656,'Materials Master'!$A$2:$A$27,0)),"")</f>
        <v>Fibers</v>
      </c>
      <c r="F656" s="0" t="n">
        <f aca="false">IF(SUMIFS(Fact_SortedWeights!$E$2:$E$89,Fact_SortedWeights!$C$2:$C$89,$A656,Fact_SortedWeights!$B$2:$B$89,$B656)=0,0,SUMIFS(Fact_SortedWeights!$E$2:$E$89,Fact_SortedWeights!$C$2:$C$89,$A656,Fact_SortedWeights!$B$2:$B$89,$B656,Fact_SortedWeights!$D$2:$D$89,$C656)/SUMIFS(Fact_SortedWeights!$E$2:$E$89,Fact_SortedWeights!$C$2:$C$89,$A656,Fact_SortedWeights!$B$2:$B$89,$B656)*(IF($B656="Cardboard Recycling",SUMIFS(Fact_SortedWeights!$E$2:$E$89,Fact_SortedWeights!$C$2:$C$89,$A656,Fact_SortedWeights!$B$2:$B$89,$B656),SUMIFS(Fact_PreSortWeights!$E$2:$E$186,Fact_PreSortWeights!$C$2:$C$186,$A656,Fact_PreSortWeights!$B$2:$B$186,$B656))))</f>
        <v>0</v>
      </c>
      <c r="G656" s="0" t="n">
        <f aca="false">IF(AND(IF($B656="Trash",INDEX('Materials Master'!$F$2:$F$27,MATCH($C656,'Materials Master'!$A$2:$A$27,0)),IF($B656="GMPC Recycling",INDEX('Materials Master'!$G$2:$G$27,MATCH($C656,'Materials Master'!$A$2:$A$27,0)),IF($B656="Organics Recycling",INDEX('Materials Master'!$H$2:$H$27,MATCH($C656,'Materials Master'!$A$2:$A$27,0)),IF($B656="Cardboard Recycling",INDEX('Materials Master'!$I$2:$I$27,MATCH($C656,'Materials Master'!$A$2:$A$27,0)),IF($B656="Paper Recycling",INDEX('Materials Master'!$J$2:$J$27,MATCH($C656,'Materials Master'!$A$2:$A$27,0)),IF($B656="Terracycle",INDEX('Materials Master'!$K$2:$K$27,MATCH($C656,'Materials Master'!$A$2:$A$27,0)),"No"))))))="Yes",INDEX('Materials Master'!$E$2:$E$27,MATCH($C656,'Materials Master'!$A$2:$A$27,0))="Yes",$B656&lt;&gt;"Trash"),1,0)</f>
        <v>0</v>
      </c>
      <c r="H656" s="0" t="str">
        <f aca="false">INDEX('Materials Master'!$E$2:$E$27,MATCH($C656,'Materials Master'!$A$2:$A$27,0))</f>
        <v>No</v>
      </c>
      <c r="I656" s="0" t="str">
        <f aca="false">IFERROR(INDEX(Areas!$C$2:$C$6,MATCH($A656,Areas!$B$2:$B$6,0)),"")</f>
        <v>Rest of Building</v>
      </c>
      <c r="J656" s="0" t="n">
        <f aca="false">IF(IF($B656="Trash",INDEX('Materials Master'!$F$2:$F$27,MATCH($C656,'Materials Master'!$A$2:$A$27,0)),IF($B656="GMPC Recycling",INDEX('Materials Master'!$G$2:$G$27,MATCH($C656,'Materials Master'!$A$2:$A$27,0)),IF($B656="Organics Recycling",INDEX('Materials Master'!$H$2:$H$27,MATCH($C656,'Materials Master'!$A$2:$A$27,0)),IF($B656="Cardboard Recycling",INDEX('Materials Master'!$I$2:$I$27,MATCH($C656,'Materials Master'!$A$2:$A$27,0)),IF($B656="Paper Recycling",INDEX('Materials Master'!$J$2:$J$27,MATCH($C656,'Materials Master'!$A$2:$A$27,0)),IF($B656="Terracycle",INDEX('Materials Master'!$K$2:$K$27,MATCH($C656,'Materials Master'!$A$2:$A$27,0)),"No"))))))="Yes",1,0)</f>
        <v>0</v>
      </c>
    </row>
    <row r="657" customFormat="false" ht="15" hidden="false" customHeight="false" outlineLevel="0" collapsed="false">
      <c r="A657" s="0" t="s">
        <v>101</v>
      </c>
      <c r="B657" s="0" t="s">
        <v>104</v>
      </c>
      <c r="C657" s="0" t="s">
        <v>41</v>
      </c>
      <c r="D657" s="0" t="str">
        <f aca="false">IFERROR(INDEX('Materials Master'!$B$2:$B$27,MATCH($C657,'Materials Master'!$A$2:$A$27,0)),"")</f>
        <v>Beverage Cartons</v>
      </c>
      <c r="E657" s="0" t="str">
        <f aca="false">IFERROR(INDEX('Materials Master'!$C$2:$C$27,MATCH($C657,'Materials Master'!$A$2:$A$27,0)),"")</f>
        <v>Fibers</v>
      </c>
      <c r="F657" s="0" t="n">
        <f aca="false">IF(SUMIFS(Fact_SortedWeights!$E$2:$E$89,Fact_SortedWeights!$C$2:$C$89,$A657,Fact_SortedWeights!$B$2:$B$89,$B657)=0,0,SUMIFS(Fact_SortedWeights!$E$2:$E$89,Fact_SortedWeights!$C$2:$C$89,$A657,Fact_SortedWeights!$B$2:$B$89,$B657,Fact_SortedWeights!$D$2:$D$89,$C657)/SUMIFS(Fact_SortedWeights!$E$2:$E$89,Fact_SortedWeights!$C$2:$C$89,$A657,Fact_SortedWeights!$B$2:$B$89,$B657)*(IF($B657="Cardboard Recycling",SUMIFS(Fact_SortedWeights!$E$2:$E$89,Fact_SortedWeights!$C$2:$C$89,$A657,Fact_SortedWeights!$B$2:$B$89,$B657),SUMIFS(Fact_PreSortWeights!$E$2:$E$186,Fact_PreSortWeights!$C$2:$C$186,$A657,Fact_PreSortWeights!$B$2:$B$186,$B657))))</f>
        <v>0</v>
      </c>
      <c r="G657" s="0" t="n">
        <f aca="false">IF(AND(IF($B657="Trash",INDEX('Materials Master'!$F$2:$F$27,MATCH($C657,'Materials Master'!$A$2:$A$27,0)),IF($B657="GMPC Recycling",INDEX('Materials Master'!$G$2:$G$27,MATCH($C657,'Materials Master'!$A$2:$A$27,0)),IF($B657="Organics Recycling",INDEX('Materials Master'!$H$2:$H$27,MATCH($C657,'Materials Master'!$A$2:$A$27,0)),IF($B657="Cardboard Recycling",INDEX('Materials Master'!$I$2:$I$27,MATCH($C657,'Materials Master'!$A$2:$A$27,0)),IF($B657="Paper Recycling",INDEX('Materials Master'!$J$2:$J$27,MATCH($C657,'Materials Master'!$A$2:$A$27,0)),IF($B657="Terracycle",INDEX('Materials Master'!$K$2:$K$27,MATCH($C657,'Materials Master'!$A$2:$A$27,0)),"No"))))))="Yes",INDEX('Materials Master'!$E$2:$E$27,MATCH($C657,'Materials Master'!$A$2:$A$27,0))="Yes",$B657&lt;&gt;"Trash"),1,0)</f>
        <v>1</v>
      </c>
      <c r="H657" s="0" t="str">
        <f aca="false">INDEX('Materials Master'!$E$2:$E$27,MATCH($C657,'Materials Master'!$A$2:$A$27,0))</f>
        <v>Yes</v>
      </c>
      <c r="I657" s="0" t="str">
        <f aca="false">IFERROR(INDEX(Areas!$C$2:$C$6,MATCH($A657,Areas!$B$2:$B$6,0)),"")</f>
        <v>Rest of Building</v>
      </c>
      <c r="J657" s="0" t="n">
        <f aca="false">IF(IF($B657="Trash",INDEX('Materials Master'!$F$2:$F$27,MATCH($C657,'Materials Master'!$A$2:$A$27,0)),IF($B657="GMPC Recycling",INDEX('Materials Master'!$G$2:$G$27,MATCH($C657,'Materials Master'!$A$2:$A$27,0)),IF($B657="Organics Recycling",INDEX('Materials Master'!$H$2:$H$27,MATCH($C657,'Materials Master'!$A$2:$A$27,0)),IF($B657="Cardboard Recycling",INDEX('Materials Master'!$I$2:$I$27,MATCH($C657,'Materials Master'!$A$2:$A$27,0)),IF($B657="Paper Recycling",INDEX('Materials Master'!$J$2:$J$27,MATCH($C657,'Materials Master'!$A$2:$A$27,0)),IF($B657="Terracycle",INDEX('Materials Master'!$K$2:$K$27,MATCH($C657,'Materials Master'!$A$2:$A$27,0)),"No"))))))="Yes",1,0)</f>
        <v>1</v>
      </c>
    </row>
    <row r="658" customFormat="false" ht="15" hidden="false" customHeight="false" outlineLevel="0" collapsed="false">
      <c r="A658" s="0" t="s">
        <v>101</v>
      </c>
      <c r="B658" s="0" t="s">
        <v>104</v>
      </c>
      <c r="C658" s="0" t="s">
        <v>43</v>
      </c>
      <c r="D658" s="0" t="str">
        <f aca="false">IFERROR(INDEX('Materials Master'!$B$2:$B$27,MATCH($C658,'Materials Master'!$A$2:$A$27,0)),"")</f>
        <v>Soiled Beverage Cartons</v>
      </c>
      <c r="E658" s="0" t="str">
        <f aca="false">IFERROR(INDEX('Materials Master'!$C$2:$C$27,MATCH($C658,'Materials Master'!$A$2:$A$27,0)),"")</f>
        <v>Fibers</v>
      </c>
      <c r="F658" s="0" t="n">
        <f aca="false">IF(SUMIFS(Fact_SortedWeights!$E$2:$E$89,Fact_SortedWeights!$C$2:$C$89,$A658,Fact_SortedWeights!$B$2:$B$89,$B658)=0,0,SUMIFS(Fact_SortedWeights!$E$2:$E$89,Fact_SortedWeights!$C$2:$C$89,$A658,Fact_SortedWeights!$B$2:$B$89,$B658,Fact_SortedWeights!$D$2:$D$89,$C658)/SUMIFS(Fact_SortedWeights!$E$2:$E$89,Fact_SortedWeights!$C$2:$C$89,$A658,Fact_SortedWeights!$B$2:$B$89,$B658)*(IF($B658="Cardboard Recycling",SUMIFS(Fact_SortedWeights!$E$2:$E$89,Fact_SortedWeights!$C$2:$C$89,$A658,Fact_SortedWeights!$B$2:$B$89,$B658),SUMIFS(Fact_PreSortWeights!$E$2:$E$186,Fact_PreSortWeights!$C$2:$C$186,$A658,Fact_PreSortWeights!$B$2:$B$186,$B658))))</f>
        <v>0</v>
      </c>
      <c r="G658" s="0" t="n">
        <f aca="false">IF(AND(IF($B658="Trash",INDEX('Materials Master'!$F$2:$F$27,MATCH($C658,'Materials Master'!$A$2:$A$27,0)),IF($B658="GMPC Recycling",INDEX('Materials Master'!$G$2:$G$27,MATCH($C658,'Materials Master'!$A$2:$A$27,0)),IF($B658="Organics Recycling",INDEX('Materials Master'!$H$2:$H$27,MATCH($C658,'Materials Master'!$A$2:$A$27,0)),IF($B658="Cardboard Recycling",INDEX('Materials Master'!$I$2:$I$27,MATCH($C658,'Materials Master'!$A$2:$A$27,0)),IF($B658="Paper Recycling",INDEX('Materials Master'!$J$2:$J$27,MATCH($C658,'Materials Master'!$A$2:$A$27,0)),IF($B658="Terracycle",INDEX('Materials Master'!$K$2:$K$27,MATCH($C658,'Materials Master'!$A$2:$A$27,0)),"No"))))))="Yes",INDEX('Materials Master'!$E$2:$E$27,MATCH($C658,'Materials Master'!$A$2:$A$27,0))="Yes",$B658&lt;&gt;"Trash"),1,0)</f>
        <v>0</v>
      </c>
      <c r="H658" s="0" t="str">
        <f aca="false">INDEX('Materials Master'!$E$2:$E$27,MATCH($C658,'Materials Master'!$A$2:$A$27,0))</f>
        <v>No</v>
      </c>
      <c r="I658" s="0" t="str">
        <f aca="false">IFERROR(INDEX(Areas!$C$2:$C$6,MATCH($A658,Areas!$B$2:$B$6,0)),"")</f>
        <v>Rest of Building</v>
      </c>
      <c r="J658" s="0" t="n">
        <f aca="false">IF(IF($B658="Trash",INDEX('Materials Master'!$F$2:$F$27,MATCH($C658,'Materials Master'!$A$2:$A$27,0)),IF($B658="GMPC Recycling",INDEX('Materials Master'!$G$2:$G$27,MATCH($C658,'Materials Master'!$A$2:$A$27,0)),IF($B658="Organics Recycling",INDEX('Materials Master'!$H$2:$H$27,MATCH($C658,'Materials Master'!$A$2:$A$27,0)),IF($B658="Cardboard Recycling",INDEX('Materials Master'!$I$2:$I$27,MATCH($C658,'Materials Master'!$A$2:$A$27,0)),IF($B658="Paper Recycling",INDEX('Materials Master'!$J$2:$J$27,MATCH($C658,'Materials Master'!$A$2:$A$27,0)),IF($B658="Terracycle",INDEX('Materials Master'!$K$2:$K$27,MATCH($C658,'Materials Master'!$A$2:$A$27,0)),"No"))))))="Yes",1,0)</f>
        <v>0</v>
      </c>
    </row>
    <row r="659" customFormat="false" ht="15" hidden="false" customHeight="false" outlineLevel="0" collapsed="false">
      <c r="A659" s="0" t="s">
        <v>101</v>
      </c>
      <c r="B659" s="0" t="s">
        <v>104</v>
      </c>
      <c r="C659" s="0" t="s">
        <v>45</v>
      </c>
      <c r="D659" s="0" t="str">
        <f aca="false">IFERROR(INDEX('Materials Master'!$B$2:$B$27,MATCH($C659,'Materials Master'!$A$2:$A$27,0)),"")</f>
        <v>Paper Cups / Other Coated Paper Containers</v>
      </c>
      <c r="E659" s="0" t="str">
        <f aca="false">IFERROR(INDEX('Materials Master'!$C$2:$C$27,MATCH($C659,'Materials Master'!$A$2:$A$27,0)),"")</f>
        <v>Fibers</v>
      </c>
      <c r="F659" s="0" t="n">
        <f aca="false">IF(SUMIFS(Fact_SortedWeights!$E$2:$E$89,Fact_SortedWeights!$C$2:$C$89,$A659,Fact_SortedWeights!$B$2:$B$89,$B659)=0,0,SUMIFS(Fact_SortedWeights!$E$2:$E$89,Fact_SortedWeights!$C$2:$C$89,$A659,Fact_SortedWeights!$B$2:$B$89,$B659,Fact_SortedWeights!$D$2:$D$89,$C659)/SUMIFS(Fact_SortedWeights!$E$2:$E$89,Fact_SortedWeights!$C$2:$C$89,$A659,Fact_SortedWeights!$B$2:$B$89,$B659)*(IF($B659="Cardboard Recycling",SUMIFS(Fact_SortedWeights!$E$2:$E$89,Fact_SortedWeights!$C$2:$C$89,$A659,Fact_SortedWeights!$B$2:$B$89,$B659),SUMIFS(Fact_PreSortWeights!$E$2:$E$186,Fact_PreSortWeights!$C$2:$C$186,$A659,Fact_PreSortWeights!$B$2:$B$186,$B659))))</f>
        <v>0</v>
      </c>
      <c r="G659" s="0" t="n">
        <f aca="false">IF(AND(IF($B659="Trash",INDEX('Materials Master'!$F$2:$F$27,MATCH($C659,'Materials Master'!$A$2:$A$27,0)),IF($B659="GMPC Recycling",INDEX('Materials Master'!$G$2:$G$27,MATCH($C659,'Materials Master'!$A$2:$A$27,0)),IF($B659="Organics Recycling",INDEX('Materials Master'!$H$2:$H$27,MATCH($C659,'Materials Master'!$A$2:$A$27,0)),IF($B659="Cardboard Recycling",INDEX('Materials Master'!$I$2:$I$27,MATCH($C659,'Materials Master'!$A$2:$A$27,0)),IF($B659="Paper Recycling",INDEX('Materials Master'!$J$2:$J$27,MATCH($C659,'Materials Master'!$A$2:$A$27,0)),IF($B659="Terracycle",INDEX('Materials Master'!$K$2:$K$27,MATCH($C659,'Materials Master'!$A$2:$A$27,0)),"No"))))))="Yes",INDEX('Materials Master'!$E$2:$E$27,MATCH($C659,'Materials Master'!$A$2:$A$27,0))="Yes",$B659&lt;&gt;"Trash"),1,0)</f>
        <v>0</v>
      </c>
      <c r="H659" s="0" t="str">
        <f aca="false">INDEX('Materials Master'!$E$2:$E$27,MATCH($C659,'Materials Master'!$A$2:$A$27,0))</f>
        <v>No</v>
      </c>
      <c r="I659" s="0" t="str">
        <f aca="false">IFERROR(INDEX(Areas!$C$2:$C$6,MATCH($A659,Areas!$B$2:$B$6,0)),"")</f>
        <v>Rest of Building</v>
      </c>
      <c r="J659" s="0" t="n">
        <f aca="false">IF(IF($B659="Trash",INDEX('Materials Master'!$F$2:$F$27,MATCH($C659,'Materials Master'!$A$2:$A$27,0)),IF($B659="GMPC Recycling",INDEX('Materials Master'!$G$2:$G$27,MATCH($C659,'Materials Master'!$A$2:$A$27,0)),IF($B659="Organics Recycling",INDEX('Materials Master'!$H$2:$H$27,MATCH($C659,'Materials Master'!$A$2:$A$27,0)),IF($B659="Cardboard Recycling",INDEX('Materials Master'!$I$2:$I$27,MATCH($C659,'Materials Master'!$A$2:$A$27,0)),IF($B659="Paper Recycling",INDEX('Materials Master'!$J$2:$J$27,MATCH($C659,'Materials Master'!$A$2:$A$27,0)),IF($B659="Terracycle",INDEX('Materials Master'!$K$2:$K$27,MATCH($C659,'Materials Master'!$A$2:$A$27,0)),"No"))))))="Yes",1,0)</f>
        <v>0</v>
      </c>
    </row>
    <row r="660" customFormat="false" ht="15" hidden="false" customHeight="false" outlineLevel="0" collapsed="false">
      <c r="A660" s="0" t="s">
        <v>101</v>
      </c>
      <c r="B660" s="0" t="s">
        <v>104</v>
      </c>
      <c r="C660" s="0" t="s">
        <v>47</v>
      </c>
      <c r="D660" s="0" t="str">
        <f aca="false">IFERROR(INDEX('Materials Master'!$B$2:$B$27,MATCH($C660,'Materials Master'!$A$2:$A$27,0)),"")</f>
        <v>Glass Bottles &amp; Jars</v>
      </c>
      <c r="E660" s="0" t="str">
        <f aca="false">IFERROR(INDEX('Materials Master'!$C$2:$C$27,MATCH($C660,'Materials Master'!$A$2:$A$27,0)),"")</f>
        <v>Glass</v>
      </c>
      <c r="F660" s="0" t="n">
        <f aca="false">IF(SUMIFS(Fact_SortedWeights!$E$2:$E$89,Fact_SortedWeights!$C$2:$C$89,$A660,Fact_SortedWeights!$B$2:$B$89,$B660)=0,0,SUMIFS(Fact_SortedWeights!$E$2:$E$89,Fact_SortedWeights!$C$2:$C$89,$A660,Fact_SortedWeights!$B$2:$B$89,$B660,Fact_SortedWeights!$D$2:$D$89,$C660)/SUMIFS(Fact_SortedWeights!$E$2:$E$89,Fact_SortedWeights!$C$2:$C$89,$A660,Fact_SortedWeights!$B$2:$B$89,$B660)*(IF($B660="Cardboard Recycling",SUMIFS(Fact_SortedWeights!$E$2:$E$89,Fact_SortedWeights!$C$2:$C$89,$A660,Fact_SortedWeights!$B$2:$B$89,$B660),SUMIFS(Fact_PreSortWeights!$E$2:$E$186,Fact_PreSortWeights!$C$2:$C$186,$A660,Fact_PreSortWeights!$B$2:$B$186,$B660))))</f>
        <v>0</v>
      </c>
      <c r="G660" s="0" t="n">
        <f aca="false">IF(AND(IF($B660="Trash",INDEX('Materials Master'!$F$2:$F$27,MATCH($C660,'Materials Master'!$A$2:$A$27,0)),IF($B660="GMPC Recycling",INDEX('Materials Master'!$G$2:$G$27,MATCH($C660,'Materials Master'!$A$2:$A$27,0)),IF($B660="Organics Recycling",INDEX('Materials Master'!$H$2:$H$27,MATCH($C660,'Materials Master'!$A$2:$A$27,0)),IF($B660="Cardboard Recycling",INDEX('Materials Master'!$I$2:$I$27,MATCH($C660,'Materials Master'!$A$2:$A$27,0)),IF($B660="Paper Recycling",INDEX('Materials Master'!$J$2:$J$27,MATCH($C660,'Materials Master'!$A$2:$A$27,0)),IF($B660="Terracycle",INDEX('Materials Master'!$K$2:$K$27,MATCH($C660,'Materials Master'!$A$2:$A$27,0)),"No"))))))="Yes",INDEX('Materials Master'!$E$2:$E$27,MATCH($C660,'Materials Master'!$A$2:$A$27,0))="Yes",$B660&lt;&gt;"Trash"),1,0)</f>
        <v>1</v>
      </c>
      <c r="H660" s="0" t="str">
        <f aca="false">INDEX('Materials Master'!$E$2:$E$27,MATCH($C660,'Materials Master'!$A$2:$A$27,0))</f>
        <v>Yes</v>
      </c>
      <c r="I660" s="0" t="str">
        <f aca="false">IFERROR(INDEX(Areas!$C$2:$C$6,MATCH($A660,Areas!$B$2:$B$6,0)),"")</f>
        <v>Rest of Building</v>
      </c>
      <c r="J660" s="0" t="n">
        <f aca="false">IF(IF($B660="Trash",INDEX('Materials Master'!$F$2:$F$27,MATCH($C660,'Materials Master'!$A$2:$A$27,0)),IF($B660="GMPC Recycling",INDEX('Materials Master'!$G$2:$G$27,MATCH($C660,'Materials Master'!$A$2:$A$27,0)),IF($B660="Organics Recycling",INDEX('Materials Master'!$H$2:$H$27,MATCH($C660,'Materials Master'!$A$2:$A$27,0)),IF($B660="Cardboard Recycling",INDEX('Materials Master'!$I$2:$I$27,MATCH($C660,'Materials Master'!$A$2:$A$27,0)),IF($B660="Paper Recycling",INDEX('Materials Master'!$J$2:$J$27,MATCH($C660,'Materials Master'!$A$2:$A$27,0)),IF($B660="Terracycle",INDEX('Materials Master'!$K$2:$K$27,MATCH($C660,'Materials Master'!$A$2:$A$27,0)),"No"))))))="Yes",1,0)</f>
        <v>1</v>
      </c>
    </row>
    <row r="661" customFormat="false" ht="15" hidden="false" customHeight="false" outlineLevel="0" collapsed="false">
      <c r="A661" s="0" t="s">
        <v>101</v>
      </c>
      <c r="B661" s="0" t="s">
        <v>104</v>
      </c>
      <c r="C661" s="0" t="s">
        <v>50</v>
      </c>
      <c r="D661" s="0" t="str">
        <f aca="false">IFERROR(INDEX('Materials Master'!$B$2:$B$27,MATCH($C661,'Materials Master'!$A$2:$A$27,0)),"")</f>
        <v>Soiled Glass</v>
      </c>
      <c r="E661" s="0" t="str">
        <f aca="false">IFERROR(INDEX('Materials Master'!$C$2:$C$27,MATCH($C661,'Materials Master'!$A$2:$A$27,0)),"")</f>
        <v>Glass</v>
      </c>
      <c r="F661" s="0" t="n">
        <f aca="false">IF(SUMIFS(Fact_SortedWeights!$E$2:$E$89,Fact_SortedWeights!$C$2:$C$89,$A661,Fact_SortedWeights!$B$2:$B$89,$B661)=0,0,SUMIFS(Fact_SortedWeights!$E$2:$E$89,Fact_SortedWeights!$C$2:$C$89,$A661,Fact_SortedWeights!$B$2:$B$89,$B661,Fact_SortedWeights!$D$2:$D$89,$C661)/SUMIFS(Fact_SortedWeights!$E$2:$E$89,Fact_SortedWeights!$C$2:$C$89,$A661,Fact_SortedWeights!$B$2:$B$89,$B661)*(IF($B661="Cardboard Recycling",SUMIFS(Fact_SortedWeights!$E$2:$E$89,Fact_SortedWeights!$C$2:$C$89,$A661,Fact_SortedWeights!$B$2:$B$89,$B661),SUMIFS(Fact_PreSortWeights!$E$2:$E$186,Fact_PreSortWeights!$C$2:$C$186,$A661,Fact_PreSortWeights!$B$2:$B$186,$B661))))</f>
        <v>0</v>
      </c>
      <c r="G661" s="0" t="n">
        <f aca="false">IF(AND(IF($B661="Trash",INDEX('Materials Master'!$F$2:$F$27,MATCH($C661,'Materials Master'!$A$2:$A$27,0)),IF($B661="GMPC Recycling",INDEX('Materials Master'!$G$2:$G$27,MATCH($C661,'Materials Master'!$A$2:$A$27,0)),IF($B661="Organics Recycling",INDEX('Materials Master'!$H$2:$H$27,MATCH($C661,'Materials Master'!$A$2:$A$27,0)),IF($B661="Cardboard Recycling",INDEX('Materials Master'!$I$2:$I$27,MATCH($C661,'Materials Master'!$A$2:$A$27,0)),IF($B661="Paper Recycling",INDEX('Materials Master'!$J$2:$J$27,MATCH($C661,'Materials Master'!$A$2:$A$27,0)),IF($B661="Terracycle",INDEX('Materials Master'!$K$2:$K$27,MATCH($C661,'Materials Master'!$A$2:$A$27,0)),"No"))))))="Yes",INDEX('Materials Master'!$E$2:$E$27,MATCH($C661,'Materials Master'!$A$2:$A$27,0))="Yes",$B661&lt;&gt;"Trash"),1,0)</f>
        <v>0</v>
      </c>
      <c r="H661" s="0" t="str">
        <f aca="false">INDEX('Materials Master'!$E$2:$E$27,MATCH($C661,'Materials Master'!$A$2:$A$27,0))</f>
        <v>No</v>
      </c>
      <c r="I661" s="0" t="str">
        <f aca="false">IFERROR(INDEX(Areas!$C$2:$C$6,MATCH($A661,Areas!$B$2:$B$6,0)),"")</f>
        <v>Rest of Building</v>
      </c>
      <c r="J661" s="0" t="n">
        <f aca="false">IF(IF($B661="Trash",INDEX('Materials Master'!$F$2:$F$27,MATCH($C661,'Materials Master'!$A$2:$A$27,0)),IF($B661="GMPC Recycling",INDEX('Materials Master'!$G$2:$G$27,MATCH($C661,'Materials Master'!$A$2:$A$27,0)),IF($B661="Organics Recycling",INDEX('Materials Master'!$H$2:$H$27,MATCH($C661,'Materials Master'!$A$2:$A$27,0)),IF($B661="Cardboard Recycling",INDEX('Materials Master'!$I$2:$I$27,MATCH($C661,'Materials Master'!$A$2:$A$27,0)),IF($B661="Paper Recycling",INDEX('Materials Master'!$J$2:$J$27,MATCH($C661,'Materials Master'!$A$2:$A$27,0)),IF($B661="Terracycle",INDEX('Materials Master'!$K$2:$K$27,MATCH($C661,'Materials Master'!$A$2:$A$27,0)),"No"))))))="Yes",1,0)</f>
        <v>0</v>
      </c>
    </row>
    <row r="662" customFormat="false" ht="15" hidden="false" customHeight="false" outlineLevel="0" collapsed="false">
      <c r="A662" s="0" t="s">
        <v>101</v>
      </c>
      <c r="B662" s="0" t="s">
        <v>104</v>
      </c>
      <c r="C662" s="0" t="s">
        <v>52</v>
      </c>
      <c r="D662" s="0" t="str">
        <f aca="false">IFERROR(INDEX('Materials Master'!$B$2:$B$27,MATCH($C662,'Materials Master'!$A$2:$A$27,0)),"")</f>
        <v>Aluminum &amp; Bi-Metal Containers</v>
      </c>
      <c r="E662" s="0" t="str">
        <f aca="false">IFERROR(INDEX('Materials Master'!$C$2:$C$27,MATCH($C662,'Materials Master'!$A$2:$A$27,0)),"")</f>
        <v>Metals</v>
      </c>
      <c r="F662" s="0" t="n">
        <f aca="false">IF(SUMIFS(Fact_SortedWeights!$E$2:$E$89,Fact_SortedWeights!$C$2:$C$89,$A662,Fact_SortedWeights!$B$2:$B$89,$B662)=0,0,SUMIFS(Fact_SortedWeights!$E$2:$E$89,Fact_SortedWeights!$C$2:$C$89,$A662,Fact_SortedWeights!$B$2:$B$89,$B662,Fact_SortedWeights!$D$2:$D$89,$C662)/SUMIFS(Fact_SortedWeights!$E$2:$E$89,Fact_SortedWeights!$C$2:$C$89,$A662,Fact_SortedWeights!$B$2:$B$89,$B662)*(IF($B662="Cardboard Recycling",SUMIFS(Fact_SortedWeights!$E$2:$E$89,Fact_SortedWeights!$C$2:$C$89,$A662,Fact_SortedWeights!$B$2:$B$89,$B662),SUMIFS(Fact_PreSortWeights!$E$2:$E$186,Fact_PreSortWeights!$C$2:$C$186,$A662,Fact_PreSortWeights!$B$2:$B$186,$B662))))</f>
        <v>0</v>
      </c>
      <c r="G662" s="0" t="n">
        <f aca="false">IF(AND(IF($B662="Trash",INDEX('Materials Master'!$F$2:$F$27,MATCH($C662,'Materials Master'!$A$2:$A$27,0)),IF($B662="GMPC Recycling",INDEX('Materials Master'!$G$2:$G$27,MATCH($C662,'Materials Master'!$A$2:$A$27,0)),IF($B662="Organics Recycling",INDEX('Materials Master'!$H$2:$H$27,MATCH($C662,'Materials Master'!$A$2:$A$27,0)),IF($B662="Cardboard Recycling",INDEX('Materials Master'!$I$2:$I$27,MATCH($C662,'Materials Master'!$A$2:$A$27,0)),IF($B662="Paper Recycling",INDEX('Materials Master'!$J$2:$J$27,MATCH($C662,'Materials Master'!$A$2:$A$27,0)),IF($B662="Terracycle",INDEX('Materials Master'!$K$2:$K$27,MATCH($C662,'Materials Master'!$A$2:$A$27,0)),"No"))))))="Yes",INDEX('Materials Master'!$E$2:$E$27,MATCH($C662,'Materials Master'!$A$2:$A$27,0))="Yes",$B662&lt;&gt;"Trash"),1,0)</f>
        <v>1</v>
      </c>
      <c r="H662" s="0" t="str">
        <f aca="false">INDEX('Materials Master'!$E$2:$E$27,MATCH($C662,'Materials Master'!$A$2:$A$27,0))</f>
        <v>Yes</v>
      </c>
      <c r="I662" s="0" t="str">
        <f aca="false">IFERROR(INDEX(Areas!$C$2:$C$6,MATCH($A662,Areas!$B$2:$B$6,0)),"")</f>
        <v>Rest of Building</v>
      </c>
      <c r="J662" s="0" t="n">
        <f aca="false">IF(IF($B662="Trash",INDEX('Materials Master'!$F$2:$F$27,MATCH($C662,'Materials Master'!$A$2:$A$27,0)),IF($B662="GMPC Recycling",INDEX('Materials Master'!$G$2:$G$27,MATCH($C662,'Materials Master'!$A$2:$A$27,0)),IF($B662="Organics Recycling",INDEX('Materials Master'!$H$2:$H$27,MATCH($C662,'Materials Master'!$A$2:$A$27,0)),IF($B662="Cardboard Recycling",INDEX('Materials Master'!$I$2:$I$27,MATCH($C662,'Materials Master'!$A$2:$A$27,0)),IF($B662="Paper Recycling",INDEX('Materials Master'!$J$2:$J$27,MATCH($C662,'Materials Master'!$A$2:$A$27,0)),IF($B662="Terracycle",INDEX('Materials Master'!$K$2:$K$27,MATCH($C662,'Materials Master'!$A$2:$A$27,0)),"No"))))))="Yes",1,0)</f>
        <v>1</v>
      </c>
    </row>
    <row r="663" customFormat="false" ht="15" hidden="false" customHeight="false" outlineLevel="0" collapsed="false">
      <c r="A663" s="0" t="s">
        <v>101</v>
      </c>
      <c r="B663" s="0" t="s">
        <v>104</v>
      </c>
      <c r="C663" s="0" t="s">
        <v>55</v>
      </c>
      <c r="D663" s="0" t="str">
        <f aca="false">IFERROR(INDEX('Materials Master'!$B$2:$B$27,MATCH($C663,'Materials Master'!$A$2:$A$27,0)),"")</f>
        <v>Soiled Metals</v>
      </c>
      <c r="E663" s="0" t="str">
        <f aca="false">IFERROR(INDEX('Materials Master'!$C$2:$C$27,MATCH($C663,'Materials Master'!$A$2:$A$27,0)),"")</f>
        <v>Metals</v>
      </c>
      <c r="F663" s="0" t="n">
        <f aca="false">IF(SUMIFS(Fact_SortedWeights!$E$2:$E$89,Fact_SortedWeights!$C$2:$C$89,$A663,Fact_SortedWeights!$B$2:$B$89,$B663)=0,0,SUMIFS(Fact_SortedWeights!$E$2:$E$89,Fact_SortedWeights!$C$2:$C$89,$A663,Fact_SortedWeights!$B$2:$B$89,$B663,Fact_SortedWeights!$D$2:$D$89,$C663)/SUMIFS(Fact_SortedWeights!$E$2:$E$89,Fact_SortedWeights!$C$2:$C$89,$A663,Fact_SortedWeights!$B$2:$B$89,$B663)*(IF($B663="Cardboard Recycling",SUMIFS(Fact_SortedWeights!$E$2:$E$89,Fact_SortedWeights!$C$2:$C$89,$A663,Fact_SortedWeights!$B$2:$B$89,$B663),SUMIFS(Fact_PreSortWeights!$E$2:$E$186,Fact_PreSortWeights!$C$2:$C$186,$A663,Fact_PreSortWeights!$B$2:$B$186,$B663))))</f>
        <v>0</v>
      </c>
      <c r="G663" s="0" t="n">
        <f aca="false">IF(AND(IF($B663="Trash",INDEX('Materials Master'!$F$2:$F$27,MATCH($C663,'Materials Master'!$A$2:$A$27,0)),IF($B663="GMPC Recycling",INDEX('Materials Master'!$G$2:$G$27,MATCH($C663,'Materials Master'!$A$2:$A$27,0)),IF($B663="Organics Recycling",INDEX('Materials Master'!$H$2:$H$27,MATCH($C663,'Materials Master'!$A$2:$A$27,0)),IF($B663="Cardboard Recycling",INDEX('Materials Master'!$I$2:$I$27,MATCH($C663,'Materials Master'!$A$2:$A$27,0)),IF($B663="Paper Recycling",INDEX('Materials Master'!$J$2:$J$27,MATCH($C663,'Materials Master'!$A$2:$A$27,0)),IF($B663="Terracycle",INDEX('Materials Master'!$K$2:$K$27,MATCH($C663,'Materials Master'!$A$2:$A$27,0)),"No"))))))="Yes",INDEX('Materials Master'!$E$2:$E$27,MATCH($C663,'Materials Master'!$A$2:$A$27,0))="Yes",$B663&lt;&gt;"Trash"),1,0)</f>
        <v>0</v>
      </c>
      <c r="H663" s="0" t="str">
        <f aca="false">INDEX('Materials Master'!$E$2:$E$27,MATCH($C663,'Materials Master'!$A$2:$A$27,0))</f>
        <v>No</v>
      </c>
      <c r="I663" s="0" t="str">
        <f aca="false">IFERROR(INDEX(Areas!$C$2:$C$6,MATCH($A663,Areas!$B$2:$B$6,0)),"")</f>
        <v>Rest of Building</v>
      </c>
      <c r="J663" s="0" t="n">
        <f aca="false">IF(IF($B663="Trash",INDEX('Materials Master'!$F$2:$F$27,MATCH($C663,'Materials Master'!$A$2:$A$27,0)),IF($B663="GMPC Recycling",INDEX('Materials Master'!$G$2:$G$27,MATCH($C663,'Materials Master'!$A$2:$A$27,0)),IF($B663="Organics Recycling",INDEX('Materials Master'!$H$2:$H$27,MATCH($C663,'Materials Master'!$A$2:$A$27,0)),IF($B663="Cardboard Recycling",INDEX('Materials Master'!$I$2:$I$27,MATCH($C663,'Materials Master'!$A$2:$A$27,0)),IF($B663="Paper Recycling",INDEX('Materials Master'!$J$2:$J$27,MATCH($C663,'Materials Master'!$A$2:$A$27,0)),IF($B663="Terracycle",INDEX('Materials Master'!$K$2:$K$27,MATCH($C663,'Materials Master'!$A$2:$A$27,0)),"No"))))))="Yes",1,0)</f>
        <v>0</v>
      </c>
    </row>
    <row r="664" customFormat="false" ht="15" hidden="false" customHeight="false" outlineLevel="0" collapsed="false">
      <c r="A664" s="0" t="s">
        <v>101</v>
      </c>
      <c r="B664" s="0" t="s">
        <v>104</v>
      </c>
      <c r="C664" s="0" t="s">
        <v>57</v>
      </c>
      <c r="D664" s="0" t="str">
        <f aca="false">IFERROR(INDEX('Materials Master'!$B$2:$B$27,MATCH($C664,'Materials Master'!$A$2:$A$27,0)),"")</f>
        <v>Rigid Plastics (1-6)</v>
      </c>
      <c r="E664" s="0" t="str">
        <f aca="false">IFERROR(INDEX('Materials Master'!$C$2:$C$27,MATCH($C664,'Materials Master'!$A$2:$A$27,0)),"")</f>
        <v>Plastics</v>
      </c>
      <c r="F664" s="0" t="n">
        <f aca="false">IF(SUMIFS(Fact_SortedWeights!$E$2:$E$89,Fact_SortedWeights!$C$2:$C$89,$A664,Fact_SortedWeights!$B$2:$B$89,$B664)=0,0,SUMIFS(Fact_SortedWeights!$E$2:$E$89,Fact_SortedWeights!$C$2:$C$89,$A664,Fact_SortedWeights!$B$2:$B$89,$B664,Fact_SortedWeights!$D$2:$D$89,$C664)/SUMIFS(Fact_SortedWeights!$E$2:$E$89,Fact_SortedWeights!$C$2:$C$89,$A664,Fact_SortedWeights!$B$2:$B$89,$B664)*(IF($B664="Cardboard Recycling",SUMIFS(Fact_SortedWeights!$E$2:$E$89,Fact_SortedWeights!$C$2:$C$89,$A664,Fact_SortedWeights!$B$2:$B$89,$B664),SUMIFS(Fact_PreSortWeights!$E$2:$E$186,Fact_PreSortWeights!$C$2:$C$186,$A664,Fact_PreSortWeights!$B$2:$B$186,$B664))))</f>
        <v>0</v>
      </c>
      <c r="G664" s="0" t="n">
        <f aca="false">IF(AND(IF($B664="Trash",INDEX('Materials Master'!$F$2:$F$27,MATCH($C664,'Materials Master'!$A$2:$A$27,0)),IF($B664="GMPC Recycling",INDEX('Materials Master'!$G$2:$G$27,MATCH($C664,'Materials Master'!$A$2:$A$27,0)),IF($B664="Organics Recycling",INDEX('Materials Master'!$H$2:$H$27,MATCH($C664,'Materials Master'!$A$2:$A$27,0)),IF($B664="Cardboard Recycling",INDEX('Materials Master'!$I$2:$I$27,MATCH($C664,'Materials Master'!$A$2:$A$27,0)),IF($B664="Paper Recycling",INDEX('Materials Master'!$J$2:$J$27,MATCH($C664,'Materials Master'!$A$2:$A$27,0)),IF($B664="Terracycle",INDEX('Materials Master'!$K$2:$K$27,MATCH($C664,'Materials Master'!$A$2:$A$27,0)),"No"))))))="Yes",INDEX('Materials Master'!$E$2:$E$27,MATCH($C664,'Materials Master'!$A$2:$A$27,0))="Yes",$B664&lt;&gt;"Trash"),1,0)</f>
        <v>1</v>
      </c>
      <c r="H664" s="0" t="str">
        <f aca="false">INDEX('Materials Master'!$E$2:$E$27,MATCH($C664,'Materials Master'!$A$2:$A$27,0))</f>
        <v>Yes</v>
      </c>
      <c r="I664" s="0" t="str">
        <f aca="false">IFERROR(INDEX(Areas!$C$2:$C$6,MATCH($A664,Areas!$B$2:$B$6,0)),"")</f>
        <v>Rest of Building</v>
      </c>
      <c r="J664" s="0" t="n">
        <f aca="false">IF(IF($B664="Trash",INDEX('Materials Master'!$F$2:$F$27,MATCH($C664,'Materials Master'!$A$2:$A$27,0)),IF($B664="GMPC Recycling",INDEX('Materials Master'!$G$2:$G$27,MATCH($C664,'Materials Master'!$A$2:$A$27,0)),IF($B664="Organics Recycling",INDEX('Materials Master'!$H$2:$H$27,MATCH($C664,'Materials Master'!$A$2:$A$27,0)),IF($B664="Cardboard Recycling",INDEX('Materials Master'!$I$2:$I$27,MATCH($C664,'Materials Master'!$A$2:$A$27,0)),IF($B664="Paper Recycling",INDEX('Materials Master'!$J$2:$J$27,MATCH($C664,'Materials Master'!$A$2:$A$27,0)),IF($B664="Terracycle",INDEX('Materials Master'!$K$2:$K$27,MATCH($C664,'Materials Master'!$A$2:$A$27,0)),"No"))))))="Yes",1,0)</f>
        <v>1</v>
      </c>
    </row>
    <row r="665" customFormat="false" ht="15" hidden="false" customHeight="false" outlineLevel="0" collapsed="false">
      <c r="A665" s="0" t="s">
        <v>101</v>
      </c>
      <c r="B665" s="0" t="s">
        <v>104</v>
      </c>
      <c r="C665" s="0" t="s">
        <v>60</v>
      </c>
      <c r="D665" s="0" t="str">
        <f aca="false">IFERROR(INDEX('Materials Master'!$B$2:$B$27,MATCH($C665,'Materials Master'!$A$2:$A$27,0)),"")</f>
        <v>Soiled Rigid Plastics</v>
      </c>
      <c r="E665" s="0" t="str">
        <f aca="false">IFERROR(INDEX('Materials Master'!$C$2:$C$27,MATCH($C665,'Materials Master'!$A$2:$A$27,0)),"")</f>
        <v>Plastics</v>
      </c>
      <c r="F665" s="0" t="n">
        <f aca="false">IF(SUMIFS(Fact_SortedWeights!$E$2:$E$89,Fact_SortedWeights!$C$2:$C$89,$A665,Fact_SortedWeights!$B$2:$B$89,$B665)=0,0,SUMIFS(Fact_SortedWeights!$E$2:$E$89,Fact_SortedWeights!$C$2:$C$89,$A665,Fact_SortedWeights!$B$2:$B$89,$B665,Fact_SortedWeights!$D$2:$D$89,$C665)/SUMIFS(Fact_SortedWeights!$E$2:$E$89,Fact_SortedWeights!$C$2:$C$89,$A665,Fact_SortedWeights!$B$2:$B$89,$B665)*(IF($B665="Cardboard Recycling",SUMIFS(Fact_SortedWeights!$E$2:$E$89,Fact_SortedWeights!$C$2:$C$89,$A665,Fact_SortedWeights!$B$2:$B$89,$B665),SUMIFS(Fact_PreSortWeights!$E$2:$E$186,Fact_PreSortWeights!$C$2:$C$186,$A665,Fact_PreSortWeights!$B$2:$B$186,$B665))))</f>
        <v>0</v>
      </c>
      <c r="G665" s="0" t="n">
        <f aca="false">IF(AND(IF($B665="Trash",INDEX('Materials Master'!$F$2:$F$27,MATCH($C665,'Materials Master'!$A$2:$A$27,0)),IF($B665="GMPC Recycling",INDEX('Materials Master'!$G$2:$G$27,MATCH($C665,'Materials Master'!$A$2:$A$27,0)),IF($B665="Organics Recycling",INDEX('Materials Master'!$H$2:$H$27,MATCH($C665,'Materials Master'!$A$2:$A$27,0)),IF($B665="Cardboard Recycling",INDEX('Materials Master'!$I$2:$I$27,MATCH($C665,'Materials Master'!$A$2:$A$27,0)),IF($B665="Paper Recycling",INDEX('Materials Master'!$J$2:$J$27,MATCH($C665,'Materials Master'!$A$2:$A$27,0)),IF($B665="Terracycle",INDEX('Materials Master'!$K$2:$K$27,MATCH($C665,'Materials Master'!$A$2:$A$27,0)),"No"))))))="Yes",INDEX('Materials Master'!$E$2:$E$27,MATCH($C665,'Materials Master'!$A$2:$A$27,0))="Yes",$B665&lt;&gt;"Trash"),1,0)</f>
        <v>0</v>
      </c>
      <c r="H665" s="0" t="str">
        <f aca="false">INDEX('Materials Master'!$E$2:$E$27,MATCH($C665,'Materials Master'!$A$2:$A$27,0))</f>
        <v>No</v>
      </c>
      <c r="I665" s="0" t="str">
        <f aca="false">IFERROR(INDEX(Areas!$C$2:$C$6,MATCH($A665,Areas!$B$2:$B$6,0)),"")</f>
        <v>Rest of Building</v>
      </c>
      <c r="J665" s="0" t="n">
        <f aca="false">IF(IF($B665="Trash",INDEX('Materials Master'!$F$2:$F$27,MATCH($C665,'Materials Master'!$A$2:$A$27,0)),IF($B665="GMPC Recycling",INDEX('Materials Master'!$G$2:$G$27,MATCH($C665,'Materials Master'!$A$2:$A$27,0)),IF($B665="Organics Recycling",INDEX('Materials Master'!$H$2:$H$27,MATCH($C665,'Materials Master'!$A$2:$A$27,0)),IF($B665="Cardboard Recycling",INDEX('Materials Master'!$I$2:$I$27,MATCH($C665,'Materials Master'!$A$2:$A$27,0)),IF($B665="Paper Recycling",INDEX('Materials Master'!$J$2:$J$27,MATCH($C665,'Materials Master'!$A$2:$A$27,0)),IF($B665="Terracycle",INDEX('Materials Master'!$K$2:$K$27,MATCH($C665,'Materials Master'!$A$2:$A$27,0)),"No"))))))="Yes",1,0)</f>
        <v>0</v>
      </c>
    </row>
    <row r="666" customFormat="false" ht="15" hidden="false" customHeight="false" outlineLevel="0" collapsed="false">
      <c r="A666" s="0" t="s">
        <v>101</v>
      </c>
      <c r="B666" s="0" t="s">
        <v>104</v>
      </c>
      <c r="C666" s="0" t="s">
        <v>62</v>
      </c>
      <c r="D666" s="0" t="str">
        <f aca="false">IFERROR(INDEX('Materials Master'!$B$2:$B$27,MATCH($C666,'Materials Master'!$A$2:$A$27,0)),"")</f>
        <v>Film Plastics</v>
      </c>
      <c r="E666" s="0" t="str">
        <f aca="false">IFERROR(INDEX('Materials Master'!$C$2:$C$27,MATCH($C666,'Materials Master'!$A$2:$A$27,0)),"")</f>
        <v>Plastics</v>
      </c>
      <c r="F666" s="0" t="n">
        <f aca="false">IF(SUMIFS(Fact_SortedWeights!$E$2:$E$89,Fact_SortedWeights!$C$2:$C$89,$A666,Fact_SortedWeights!$B$2:$B$89,$B666)=0,0,SUMIFS(Fact_SortedWeights!$E$2:$E$89,Fact_SortedWeights!$C$2:$C$89,$A666,Fact_SortedWeights!$B$2:$B$89,$B666,Fact_SortedWeights!$D$2:$D$89,$C666)/SUMIFS(Fact_SortedWeights!$E$2:$E$89,Fact_SortedWeights!$C$2:$C$89,$A666,Fact_SortedWeights!$B$2:$B$89,$B666)*(IF($B666="Cardboard Recycling",SUMIFS(Fact_SortedWeights!$E$2:$E$89,Fact_SortedWeights!$C$2:$C$89,$A666,Fact_SortedWeights!$B$2:$B$89,$B666),SUMIFS(Fact_PreSortWeights!$E$2:$E$186,Fact_PreSortWeights!$C$2:$C$186,$A666,Fact_PreSortWeights!$B$2:$B$186,$B666))))</f>
        <v>0</v>
      </c>
      <c r="G666" s="0" t="n">
        <f aca="false">IF(AND(IF($B666="Trash",INDEX('Materials Master'!$F$2:$F$27,MATCH($C666,'Materials Master'!$A$2:$A$27,0)),IF($B666="GMPC Recycling",INDEX('Materials Master'!$G$2:$G$27,MATCH($C666,'Materials Master'!$A$2:$A$27,0)),IF($B666="Organics Recycling",INDEX('Materials Master'!$H$2:$H$27,MATCH($C666,'Materials Master'!$A$2:$A$27,0)),IF($B666="Cardboard Recycling",INDEX('Materials Master'!$I$2:$I$27,MATCH($C666,'Materials Master'!$A$2:$A$27,0)),IF($B666="Paper Recycling",INDEX('Materials Master'!$J$2:$J$27,MATCH($C666,'Materials Master'!$A$2:$A$27,0)),IF($B666="Terracycle",INDEX('Materials Master'!$K$2:$K$27,MATCH($C666,'Materials Master'!$A$2:$A$27,0)),"No"))))))="Yes",INDEX('Materials Master'!$E$2:$E$27,MATCH($C666,'Materials Master'!$A$2:$A$27,0))="Yes",$B666&lt;&gt;"Trash"),1,0)</f>
        <v>0</v>
      </c>
      <c r="H666" s="0" t="str">
        <f aca="false">INDEX('Materials Master'!$E$2:$E$27,MATCH($C666,'Materials Master'!$A$2:$A$27,0))</f>
        <v>No</v>
      </c>
      <c r="I666" s="0" t="str">
        <f aca="false">IFERROR(INDEX(Areas!$C$2:$C$6,MATCH($A666,Areas!$B$2:$B$6,0)),"")</f>
        <v>Rest of Building</v>
      </c>
      <c r="J666" s="0" t="n">
        <f aca="false">IF(IF($B666="Trash",INDEX('Materials Master'!$F$2:$F$27,MATCH($C666,'Materials Master'!$A$2:$A$27,0)),IF($B666="GMPC Recycling",INDEX('Materials Master'!$G$2:$G$27,MATCH($C666,'Materials Master'!$A$2:$A$27,0)),IF($B666="Organics Recycling",INDEX('Materials Master'!$H$2:$H$27,MATCH($C666,'Materials Master'!$A$2:$A$27,0)),IF($B666="Cardboard Recycling",INDEX('Materials Master'!$I$2:$I$27,MATCH($C666,'Materials Master'!$A$2:$A$27,0)),IF($B666="Paper Recycling",INDEX('Materials Master'!$J$2:$J$27,MATCH($C666,'Materials Master'!$A$2:$A$27,0)),IF($B666="Terracycle",INDEX('Materials Master'!$K$2:$K$27,MATCH($C666,'Materials Master'!$A$2:$A$27,0)),"No"))))))="Yes",1,0)</f>
        <v>0</v>
      </c>
    </row>
    <row r="667" customFormat="false" ht="15" hidden="false" customHeight="false" outlineLevel="0" collapsed="false">
      <c r="A667" s="0" t="s">
        <v>101</v>
      </c>
      <c r="B667" s="0" t="s">
        <v>104</v>
      </c>
      <c r="C667" s="0" t="s">
        <v>64</v>
      </c>
      <c r="D667" s="0" t="str">
        <f aca="false">IFERROR(INDEX('Materials Master'!$B$2:$B$27,MATCH($C667,'Materials Master'!$A$2:$A$27,0)),"")</f>
        <v>Foams</v>
      </c>
      <c r="E667" s="0" t="str">
        <f aca="false">IFERROR(INDEX('Materials Master'!$C$2:$C$27,MATCH($C667,'Materials Master'!$A$2:$A$27,0)),"")</f>
        <v>Plastics</v>
      </c>
      <c r="F667" s="0" t="n">
        <f aca="false">IF(SUMIFS(Fact_SortedWeights!$E$2:$E$89,Fact_SortedWeights!$C$2:$C$89,$A667,Fact_SortedWeights!$B$2:$B$89,$B667)=0,0,SUMIFS(Fact_SortedWeights!$E$2:$E$89,Fact_SortedWeights!$C$2:$C$89,$A667,Fact_SortedWeights!$B$2:$B$89,$B667,Fact_SortedWeights!$D$2:$D$89,$C667)/SUMIFS(Fact_SortedWeights!$E$2:$E$89,Fact_SortedWeights!$C$2:$C$89,$A667,Fact_SortedWeights!$B$2:$B$89,$B667)*(IF($B667="Cardboard Recycling",SUMIFS(Fact_SortedWeights!$E$2:$E$89,Fact_SortedWeights!$C$2:$C$89,$A667,Fact_SortedWeights!$B$2:$B$89,$B667),SUMIFS(Fact_PreSortWeights!$E$2:$E$186,Fact_PreSortWeights!$C$2:$C$186,$A667,Fact_PreSortWeights!$B$2:$B$186,$B667))))</f>
        <v>0</v>
      </c>
      <c r="G667" s="0" t="n">
        <f aca="false">IF(AND(IF($B667="Trash",INDEX('Materials Master'!$F$2:$F$27,MATCH($C667,'Materials Master'!$A$2:$A$27,0)),IF($B667="GMPC Recycling",INDEX('Materials Master'!$G$2:$G$27,MATCH($C667,'Materials Master'!$A$2:$A$27,0)),IF($B667="Organics Recycling",INDEX('Materials Master'!$H$2:$H$27,MATCH($C667,'Materials Master'!$A$2:$A$27,0)),IF($B667="Cardboard Recycling",INDEX('Materials Master'!$I$2:$I$27,MATCH($C667,'Materials Master'!$A$2:$A$27,0)),IF($B667="Paper Recycling",INDEX('Materials Master'!$J$2:$J$27,MATCH($C667,'Materials Master'!$A$2:$A$27,0)),IF($B667="Terracycle",INDEX('Materials Master'!$K$2:$K$27,MATCH($C667,'Materials Master'!$A$2:$A$27,0)),"No"))))))="Yes",INDEX('Materials Master'!$E$2:$E$27,MATCH($C667,'Materials Master'!$A$2:$A$27,0))="Yes",$B667&lt;&gt;"Trash"),1,0)</f>
        <v>0</v>
      </c>
      <c r="H667" s="0" t="str">
        <f aca="false">INDEX('Materials Master'!$E$2:$E$27,MATCH($C667,'Materials Master'!$A$2:$A$27,0))</f>
        <v>No</v>
      </c>
      <c r="I667" s="0" t="str">
        <f aca="false">IFERROR(INDEX(Areas!$C$2:$C$6,MATCH($A667,Areas!$B$2:$B$6,0)),"")</f>
        <v>Rest of Building</v>
      </c>
      <c r="J667" s="0" t="n">
        <f aca="false">IF(IF($B667="Trash",INDEX('Materials Master'!$F$2:$F$27,MATCH($C667,'Materials Master'!$A$2:$A$27,0)),IF($B667="GMPC Recycling",INDEX('Materials Master'!$G$2:$G$27,MATCH($C667,'Materials Master'!$A$2:$A$27,0)),IF($B667="Organics Recycling",INDEX('Materials Master'!$H$2:$H$27,MATCH($C667,'Materials Master'!$A$2:$A$27,0)),IF($B667="Cardboard Recycling",INDEX('Materials Master'!$I$2:$I$27,MATCH($C667,'Materials Master'!$A$2:$A$27,0)),IF($B667="Paper Recycling",INDEX('Materials Master'!$J$2:$J$27,MATCH($C667,'Materials Master'!$A$2:$A$27,0)),IF($B667="Terracycle",INDEX('Materials Master'!$K$2:$K$27,MATCH($C667,'Materials Master'!$A$2:$A$27,0)),"No"))))))="Yes",1,0)</f>
        <v>0</v>
      </c>
    </row>
    <row r="668" customFormat="false" ht="15" hidden="false" customHeight="false" outlineLevel="0" collapsed="false">
      <c r="A668" s="0" t="s">
        <v>101</v>
      </c>
      <c r="B668" s="0" t="s">
        <v>104</v>
      </c>
      <c r="C668" s="0" t="s">
        <v>66</v>
      </c>
      <c r="D668" s="0" t="str">
        <f aca="false">IFERROR(INDEX('Materials Master'!$B$2:$B$27,MATCH($C668,'Materials Master'!$A$2:$A$27,0)),"")</f>
        <v>Food Waste</v>
      </c>
      <c r="E668" s="0" t="str">
        <f aca="false">IFERROR(INDEX('Materials Master'!$C$2:$C$27,MATCH($C668,'Materials Master'!$A$2:$A$27,0)),"")</f>
        <v>Organics</v>
      </c>
      <c r="F668" s="0" t="n">
        <f aca="false">IF(SUMIFS(Fact_SortedWeights!$E$2:$E$89,Fact_SortedWeights!$C$2:$C$89,$A668,Fact_SortedWeights!$B$2:$B$89,$B668)=0,0,SUMIFS(Fact_SortedWeights!$E$2:$E$89,Fact_SortedWeights!$C$2:$C$89,$A668,Fact_SortedWeights!$B$2:$B$89,$B668,Fact_SortedWeights!$D$2:$D$89,$C668)/SUMIFS(Fact_SortedWeights!$E$2:$E$89,Fact_SortedWeights!$C$2:$C$89,$A668,Fact_SortedWeights!$B$2:$B$89,$B668)*(IF($B668="Cardboard Recycling",SUMIFS(Fact_SortedWeights!$E$2:$E$89,Fact_SortedWeights!$C$2:$C$89,$A668,Fact_SortedWeights!$B$2:$B$89,$B668),SUMIFS(Fact_PreSortWeights!$E$2:$E$186,Fact_PreSortWeights!$C$2:$C$186,$A668,Fact_PreSortWeights!$B$2:$B$186,$B668))))</f>
        <v>0</v>
      </c>
      <c r="G668" s="0" t="n">
        <f aca="false">IF(AND(IF($B668="Trash",INDEX('Materials Master'!$F$2:$F$27,MATCH($C668,'Materials Master'!$A$2:$A$27,0)),IF($B668="GMPC Recycling",INDEX('Materials Master'!$G$2:$G$27,MATCH($C668,'Materials Master'!$A$2:$A$27,0)),IF($B668="Organics Recycling",INDEX('Materials Master'!$H$2:$H$27,MATCH($C668,'Materials Master'!$A$2:$A$27,0)),IF($B668="Cardboard Recycling",INDEX('Materials Master'!$I$2:$I$27,MATCH($C668,'Materials Master'!$A$2:$A$27,0)),IF($B668="Paper Recycling",INDEX('Materials Master'!$J$2:$J$27,MATCH($C668,'Materials Master'!$A$2:$A$27,0)),IF($B668="Terracycle",INDEX('Materials Master'!$K$2:$K$27,MATCH($C668,'Materials Master'!$A$2:$A$27,0)),"No"))))))="Yes",INDEX('Materials Master'!$E$2:$E$27,MATCH($C668,'Materials Master'!$A$2:$A$27,0))="Yes",$B668&lt;&gt;"Trash"),1,0)</f>
        <v>0</v>
      </c>
      <c r="H668" s="0" t="str">
        <f aca="false">INDEX('Materials Master'!$E$2:$E$27,MATCH($C668,'Materials Master'!$A$2:$A$27,0))</f>
        <v>Yes</v>
      </c>
      <c r="I668" s="0" t="str">
        <f aca="false">IFERROR(INDEX(Areas!$C$2:$C$6,MATCH($A668,Areas!$B$2:$B$6,0)),"")</f>
        <v>Rest of Building</v>
      </c>
      <c r="J668" s="0" t="n">
        <f aca="false">IF(IF($B668="Trash",INDEX('Materials Master'!$F$2:$F$27,MATCH($C668,'Materials Master'!$A$2:$A$27,0)),IF($B668="GMPC Recycling",INDEX('Materials Master'!$G$2:$G$27,MATCH($C668,'Materials Master'!$A$2:$A$27,0)),IF($B668="Organics Recycling",INDEX('Materials Master'!$H$2:$H$27,MATCH($C668,'Materials Master'!$A$2:$A$27,0)),IF($B668="Cardboard Recycling",INDEX('Materials Master'!$I$2:$I$27,MATCH($C668,'Materials Master'!$A$2:$A$27,0)),IF($B668="Paper Recycling",INDEX('Materials Master'!$J$2:$J$27,MATCH($C668,'Materials Master'!$A$2:$A$27,0)),IF($B668="Terracycle",INDEX('Materials Master'!$K$2:$K$27,MATCH($C668,'Materials Master'!$A$2:$A$27,0)),"No"))))))="Yes",1,0)</f>
        <v>0</v>
      </c>
    </row>
    <row r="669" customFormat="false" ht="15" hidden="false" customHeight="false" outlineLevel="0" collapsed="false">
      <c r="A669" s="0" t="s">
        <v>101</v>
      </c>
      <c r="B669" s="0" t="s">
        <v>104</v>
      </c>
      <c r="C669" s="0" t="s">
        <v>69</v>
      </c>
      <c r="D669" s="0" t="str">
        <f aca="false">IFERROR(INDEX('Materials Master'!$B$2:$B$27,MATCH($C669,'Materials Master'!$A$2:$A$27,0)),"")</f>
        <v>Paper Fibers and Food-Soiled Paper (FSP)</v>
      </c>
      <c r="E669" s="0" t="str">
        <f aca="false">IFERROR(INDEX('Materials Master'!$C$2:$C$27,MATCH($C669,'Materials Master'!$A$2:$A$27,0)),"")</f>
        <v>Organics</v>
      </c>
      <c r="F669" s="0" t="n">
        <f aca="false">IF(SUMIFS(Fact_SortedWeights!$E$2:$E$89,Fact_SortedWeights!$C$2:$C$89,$A669,Fact_SortedWeights!$B$2:$B$89,$B669)=0,0,SUMIFS(Fact_SortedWeights!$E$2:$E$89,Fact_SortedWeights!$C$2:$C$89,$A669,Fact_SortedWeights!$B$2:$B$89,$B669,Fact_SortedWeights!$D$2:$D$89,$C669)/SUMIFS(Fact_SortedWeights!$E$2:$E$89,Fact_SortedWeights!$C$2:$C$89,$A669,Fact_SortedWeights!$B$2:$B$89,$B669)*(IF($B669="Cardboard Recycling",SUMIFS(Fact_SortedWeights!$E$2:$E$89,Fact_SortedWeights!$C$2:$C$89,$A669,Fact_SortedWeights!$B$2:$B$89,$B669),SUMIFS(Fact_PreSortWeights!$E$2:$E$186,Fact_PreSortWeights!$C$2:$C$186,$A669,Fact_PreSortWeights!$B$2:$B$186,$B669))))</f>
        <v>0</v>
      </c>
      <c r="G669" s="0" t="n">
        <f aca="false">IF(AND(IF($B669="Trash",INDEX('Materials Master'!$F$2:$F$27,MATCH($C669,'Materials Master'!$A$2:$A$27,0)),IF($B669="GMPC Recycling",INDEX('Materials Master'!$G$2:$G$27,MATCH($C669,'Materials Master'!$A$2:$A$27,0)),IF($B669="Organics Recycling",INDEX('Materials Master'!$H$2:$H$27,MATCH($C669,'Materials Master'!$A$2:$A$27,0)),IF($B669="Cardboard Recycling",INDEX('Materials Master'!$I$2:$I$27,MATCH($C669,'Materials Master'!$A$2:$A$27,0)),IF($B669="Paper Recycling",INDEX('Materials Master'!$J$2:$J$27,MATCH($C669,'Materials Master'!$A$2:$A$27,0)),IF($B669="Terracycle",INDEX('Materials Master'!$K$2:$K$27,MATCH($C669,'Materials Master'!$A$2:$A$27,0)),"No"))))))="Yes",INDEX('Materials Master'!$E$2:$E$27,MATCH($C669,'Materials Master'!$A$2:$A$27,0))="Yes",$B669&lt;&gt;"Trash"),1,0)</f>
        <v>0</v>
      </c>
      <c r="H669" s="0" t="str">
        <f aca="false">INDEX('Materials Master'!$E$2:$E$27,MATCH($C669,'Materials Master'!$A$2:$A$27,0))</f>
        <v>No</v>
      </c>
      <c r="I669" s="0" t="str">
        <f aca="false">IFERROR(INDEX(Areas!$C$2:$C$6,MATCH($A669,Areas!$B$2:$B$6,0)),"")</f>
        <v>Rest of Building</v>
      </c>
      <c r="J669" s="0" t="n">
        <f aca="false">IF(IF($B669="Trash",INDEX('Materials Master'!$F$2:$F$27,MATCH($C669,'Materials Master'!$A$2:$A$27,0)),IF($B669="GMPC Recycling",INDEX('Materials Master'!$G$2:$G$27,MATCH($C669,'Materials Master'!$A$2:$A$27,0)),IF($B669="Organics Recycling",INDEX('Materials Master'!$H$2:$H$27,MATCH($C669,'Materials Master'!$A$2:$A$27,0)),IF($B669="Cardboard Recycling",INDEX('Materials Master'!$I$2:$I$27,MATCH($C669,'Materials Master'!$A$2:$A$27,0)),IF($B669="Paper Recycling",INDEX('Materials Master'!$J$2:$J$27,MATCH($C669,'Materials Master'!$A$2:$A$27,0)),IF($B669="Terracycle",INDEX('Materials Master'!$K$2:$K$27,MATCH($C669,'Materials Master'!$A$2:$A$27,0)),"No"))))))="Yes",1,0)</f>
        <v>0</v>
      </c>
    </row>
    <row r="670" customFormat="false" ht="15" hidden="false" customHeight="false" outlineLevel="0" collapsed="false">
      <c r="A670" s="0" t="s">
        <v>101</v>
      </c>
      <c r="B670" s="0" t="s">
        <v>104</v>
      </c>
      <c r="C670" s="0" t="s">
        <v>71</v>
      </c>
      <c r="D670" s="0" t="str">
        <f aca="false">IFERROR(INDEX('Materials Master'!$B$2:$B$27,MATCH($C670,'Materials Master'!$A$2:$A$27,0)),"")</f>
        <v>Fiber-based Compostable Serviceware</v>
      </c>
      <c r="E670" s="0" t="str">
        <f aca="false">IFERROR(INDEX('Materials Master'!$C$2:$C$27,MATCH($C670,'Materials Master'!$A$2:$A$27,0)),"")</f>
        <v>Organics</v>
      </c>
      <c r="F670" s="0" t="n">
        <f aca="false">IF(SUMIFS(Fact_SortedWeights!$E$2:$E$89,Fact_SortedWeights!$C$2:$C$89,$A670,Fact_SortedWeights!$B$2:$B$89,$B670)=0,0,SUMIFS(Fact_SortedWeights!$E$2:$E$89,Fact_SortedWeights!$C$2:$C$89,$A670,Fact_SortedWeights!$B$2:$B$89,$B670,Fact_SortedWeights!$D$2:$D$89,$C670)/SUMIFS(Fact_SortedWeights!$E$2:$E$89,Fact_SortedWeights!$C$2:$C$89,$A670,Fact_SortedWeights!$B$2:$B$89,$B670)*(IF($B670="Cardboard Recycling",SUMIFS(Fact_SortedWeights!$E$2:$E$89,Fact_SortedWeights!$C$2:$C$89,$A670,Fact_SortedWeights!$B$2:$B$89,$B670),SUMIFS(Fact_PreSortWeights!$E$2:$E$186,Fact_PreSortWeights!$C$2:$C$186,$A670,Fact_PreSortWeights!$B$2:$B$186,$B670))))</f>
        <v>0</v>
      </c>
      <c r="G670" s="0" t="n">
        <f aca="false">IF(AND(IF($B670="Trash",INDEX('Materials Master'!$F$2:$F$27,MATCH($C670,'Materials Master'!$A$2:$A$27,0)),IF($B670="GMPC Recycling",INDEX('Materials Master'!$G$2:$G$27,MATCH($C670,'Materials Master'!$A$2:$A$27,0)),IF($B670="Organics Recycling",INDEX('Materials Master'!$H$2:$H$27,MATCH($C670,'Materials Master'!$A$2:$A$27,0)),IF($B670="Cardboard Recycling",INDEX('Materials Master'!$I$2:$I$27,MATCH($C670,'Materials Master'!$A$2:$A$27,0)),IF($B670="Paper Recycling",INDEX('Materials Master'!$J$2:$J$27,MATCH($C670,'Materials Master'!$A$2:$A$27,0)),IF($B670="Terracycle",INDEX('Materials Master'!$K$2:$K$27,MATCH($C670,'Materials Master'!$A$2:$A$27,0)),"No"))))))="Yes",INDEX('Materials Master'!$E$2:$E$27,MATCH($C670,'Materials Master'!$A$2:$A$27,0))="Yes",$B670&lt;&gt;"Trash"),1,0)</f>
        <v>0</v>
      </c>
      <c r="H670" s="0" t="str">
        <f aca="false">INDEX('Materials Master'!$E$2:$E$27,MATCH($C670,'Materials Master'!$A$2:$A$27,0))</f>
        <v>No</v>
      </c>
      <c r="I670" s="0" t="str">
        <f aca="false">IFERROR(INDEX(Areas!$C$2:$C$6,MATCH($A670,Areas!$B$2:$B$6,0)),"")</f>
        <v>Rest of Building</v>
      </c>
      <c r="J670" s="0" t="n">
        <f aca="false">IF(IF($B670="Trash",INDEX('Materials Master'!$F$2:$F$27,MATCH($C670,'Materials Master'!$A$2:$A$27,0)),IF($B670="GMPC Recycling",INDEX('Materials Master'!$G$2:$G$27,MATCH($C670,'Materials Master'!$A$2:$A$27,0)),IF($B670="Organics Recycling",INDEX('Materials Master'!$H$2:$H$27,MATCH($C670,'Materials Master'!$A$2:$A$27,0)),IF($B670="Cardboard Recycling",INDEX('Materials Master'!$I$2:$I$27,MATCH($C670,'Materials Master'!$A$2:$A$27,0)),IF($B670="Paper Recycling",INDEX('Materials Master'!$J$2:$J$27,MATCH($C670,'Materials Master'!$A$2:$A$27,0)),IF($B670="Terracycle",INDEX('Materials Master'!$K$2:$K$27,MATCH($C670,'Materials Master'!$A$2:$A$27,0)),"No"))))))="Yes",1,0)</f>
        <v>0</v>
      </c>
    </row>
    <row r="671" customFormat="false" ht="15" hidden="false" customHeight="false" outlineLevel="0" collapsed="false">
      <c r="A671" s="0" t="s">
        <v>101</v>
      </c>
      <c r="B671" s="0" t="s">
        <v>104</v>
      </c>
      <c r="C671" s="0" t="s">
        <v>73</v>
      </c>
      <c r="D671" s="0" t="str">
        <f aca="false">IFERROR(INDEX('Materials Master'!$B$2:$B$27,MATCH($C671,'Materials Master'!$A$2:$A$27,0)),"")</f>
        <v>PLA Compostable Serviceware</v>
      </c>
      <c r="E671" s="0" t="str">
        <f aca="false">IFERROR(INDEX('Materials Master'!$C$2:$C$27,MATCH($C671,'Materials Master'!$A$2:$A$27,0)),"")</f>
        <v>Organics</v>
      </c>
      <c r="F671" s="0" t="n">
        <f aca="false">IF(SUMIFS(Fact_SortedWeights!$E$2:$E$89,Fact_SortedWeights!$C$2:$C$89,$A671,Fact_SortedWeights!$B$2:$B$89,$B671)=0,0,SUMIFS(Fact_SortedWeights!$E$2:$E$89,Fact_SortedWeights!$C$2:$C$89,$A671,Fact_SortedWeights!$B$2:$B$89,$B671,Fact_SortedWeights!$D$2:$D$89,$C671)/SUMIFS(Fact_SortedWeights!$E$2:$E$89,Fact_SortedWeights!$C$2:$C$89,$A671,Fact_SortedWeights!$B$2:$B$89,$B671)*(IF($B671="Cardboard Recycling",SUMIFS(Fact_SortedWeights!$E$2:$E$89,Fact_SortedWeights!$C$2:$C$89,$A671,Fact_SortedWeights!$B$2:$B$89,$B671),SUMIFS(Fact_PreSortWeights!$E$2:$E$186,Fact_PreSortWeights!$C$2:$C$186,$A671,Fact_PreSortWeights!$B$2:$B$186,$B671))))</f>
        <v>0</v>
      </c>
      <c r="G671" s="0" t="n">
        <f aca="false">IF(AND(IF($B671="Trash",INDEX('Materials Master'!$F$2:$F$27,MATCH($C671,'Materials Master'!$A$2:$A$27,0)),IF($B671="GMPC Recycling",INDEX('Materials Master'!$G$2:$G$27,MATCH($C671,'Materials Master'!$A$2:$A$27,0)),IF($B671="Organics Recycling",INDEX('Materials Master'!$H$2:$H$27,MATCH($C671,'Materials Master'!$A$2:$A$27,0)),IF($B671="Cardboard Recycling",INDEX('Materials Master'!$I$2:$I$27,MATCH($C671,'Materials Master'!$A$2:$A$27,0)),IF($B671="Paper Recycling",INDEX('Materials Master'!$J$2:$J$27,MATCH($C671,'Materials Master'!$A$2:$A$27,0)),IF($B671="Terracycle",INDEX('Materials Master'!$K$2:$K$27,MATCH($C671,'Materials Master'!$A$2:$A$27,0)),"No"))))))="Yes",INDEX('Materials Master'!$E$2:$E$27,MATCH($C671,'Materials Master'!$A$2:$A$27,0))="Yes",$B671&lt;&gt;"Trash"),1,0)</f>
        <v>0</v>
      </c>
      <c r="H671" s="0" t="str">
        <f aca="false">INDEX('Materials Master'!$E$2:$E$27,MATCH($C671,'Materials Master'!$A$2:$A$27,0))</f>
        <v>No</v>
      </c>
      <c r="I671" s="0" t="str">
        <f aca="false">IFERROR(INDEX(Areas!$C$2:$C$6,MATCH($A671,Areas!$B$2:$B$6,0)),"")</f>
        <v>Rest of Building</v>
      </c>
      <c r="J671" s="0" t="n">
        <f aca="false">IF(IF($B671="Trash",INDEX('Materials Master'!$F$2:$F$27,MATCH($C671,'Materials Master'!$A$2:$A$27,0)),IF($B671="GMPC Recycling",INDEX('Materials Master'!$G$2:$G$27,MATCH($C671,'Materials Master'!$A$2:$A$27,0)),IF($B671="Organics Recycling",INDEX('Materials Master'!$H$2:$H$27,MATCH($C671,'Materials Master'!$A$2:$A$27,0)),IF($B671="Cardboard Recycling",INDEX('Materials Master'!$I$2:$I$27,MATCH($C671,'Materials Master'!$A$2:$A$27,0)),IF($B671="Paper Recycling",INDEX('Materials Master'!$J$2:$J$27,MATCH($C671,'Materials Master'!$A$2:$A$27,0)),IF($B671="Terracycle",INDEX('Materials Master'!$K$2:$K$27,MATCH($C671,'Materials Master'!$A$2:$A$27,0)),"No"))))))="Yes",1,0)</f>
        <v>0</v>
      </c>
    </row>
    <row r="672" customFormat="false" ht="15" hidden="false" customHeight="false" outlineLevel="0" collapsed="false">
      <c r="A672" s="0" t="s">
        <v>101</v>
      </c>
      <c r="B672" s="0" t="s">
        <v>104</v>
      </c>
      <c r="C672" s="0" t="s">
        <v>75</v>
      </c>
      <c r="D672" s="0" t="str">
        <f aca="false">IFERROR(INDEX('Materials Master'!$B$2:$B$27,MATCH($C672,'Materials Master'!$A$2:$A$27,0)),"")</f>
        <v>E/U Waste</v>
      </c>
      <c r="E672" s="0" t="str">
        <f aca="false">IFERROR(INDEX('Materials Master'!$C$2:$C$27,MATCH($C672,'Materials Master'!$A$2:$A$27,0)),"")</f>
        <v>Unacceptable</v>
      </c>
      <c r="F672" s="0" t="n">
        <f aca="false">IF(SUMIFS(Fact_SortedWeights!$E$2:$E$89,Fact_SortedWeights!$C$2:$C$89,$A672,Fact_SortedWeights!$B$2:$B$89,$B672)=0,0,SUMIFS(Fact_SortedWeights!$E$2:$E$89,Fact_SortedWeights!$C$2:$C$89,$A672,Fact_SortedWeights!$B$2:$B$89,$B672,Fact_SortedWeights!$D$2:$D$89,$C672)/SUMIFS(Fact_SortedWeights!$E$2:$E$89,Fact_SortedWeights!$C$2:$C$89,$A672,Fact_SortedWeights!$B$2:$B$89,$B672)*(IF($B672="Cardboard Recycling",SUMIFS(Fact_SortedWeights!$E$2:$E$89,Fact_SortedWeights!$C$2:$C$89,$A672,Fact_SortedWeights!$B$2:$B$89,$B672),SUMIFS(Fact_PreSortWeights!$E$2:$E$186,Fact_PreSortWeights!$C$2:$C$186,$A672,Fact_PreSortWeights!$B$2:$B$186,$B672))))</f>
        <v>0</v>
      </c>
      <c r="G672" s="0" t="n">
        <f aca="false">IF(AND(IF($B672="Trash",INDEX('Materials Master'!$F$2:$F$27,MATCH($C672,'Materials Master'!$A$2:$A$27,0)),IF($B672="GMPC Recycling",INDEX('Materials Master'!$G$2:$G$27,MATCH($C672,'Materials Master'!$A$2:$A$27,0)),IF($B672="Organics Recycling",INDEX('Materials Master'!$H$2:$H$27,MATCH($C672,'Materials Master'!$A$2:$A$27,0)),IF($B672="Cardboard Recycling",INDEX('Materials Master'!$I$2:$I$27,MATCH($C672,'Materials Master'!$A$2:$A$27,0)),IF($B672="Paper Recycling",INDEX('Materials Master'!$J$2:$J$27,MATCH($C672,'Materials Master'!$A$2:$A$27,0)),IF($B672="Terracycle",INDEX('Materials Master'!$K$2:$K$27,MATCH($C672,'Materials Master'!$A$2:$A$27,0)),"No"))))))="Yes",INDEX('Materials Master'!$E$2:$E$27,MATCH($C672,'Materials Master'!$A$2:$A$27,0))="Yes",$B672&lt;&gt;"Trash"),1,0)</f>
        <v>0</v>
      </c>
      <c r="H672" s="0" t="str">
        <f aca="false">INDEX('Materials Master'!$E$2:$E$27,MATCH($C672,'Materials Master'!$A$2:$A$27,0))</f>
        <v>No</v>
      </c>
      <c r="I672" s="0" t="str">
        <f aca="false">IFERROR(INDEX(Areas!$C$2:$C$6,MATCH($A672,Areas!$B$2:$B$6,0)),"")</f>
        <v>Rest of Building</v>
      </c>
      <c r="J672" s="0" t="n">
        <f aca="false">IF(IF($B672="Trash",INDEX('Materials Master'!$F$2:$F$27,MATCH($C672,'Materials Master'!$A$2:$A$27,0)),IF($B672="GMPC Recycling",INDEX('Materials Master'!$G$2:$G$27,MATCH($C672,'Materials Master'!$A$2:$A$27,0)),IF($B672="Organics Recycling",INDEX('Materials Master'!$H$2:$H$27,MATCH($C672,'Materials Master'!$A$2:$A$27,0)),IF($B672="Cardboard Recycling",INDEX('Materials Master'!$I$2:$I$27,MATCH($C672,'Materials Master'!$A$2:$A$27,0)),IF($B672="Paper Recycling",INDEX('Materials Master'!$J$2:$J$27,MATCH($C672,'Materials Master'!$A$2:$A$27,0)),IF($B672="Terracycle",INDEX('Materials Master'!$K$2:$K$27,MATCH($C672,'Materials Master'!$A$2:$A$27,0)),"No"))))))="Yes",1,0)</f>
        <v>0</v>
      </c>
    </row>
    <row r="673" customFormat="false" ht="15" hidden="false" customHeight="false" outlineLevel="0" collapsed="false">
      <c r="A673" s="0" t="s">
        <v>101</v>
      </c>
      <c r="B673" s="0" t="s">
        <v>104</v>
      </c>
      <c r="C673" s="0" t="s">
        <v>78</v>
      </c>
      <c r="D673" s="0" t="str">
        <f aca="false">IFERROR(INDEX('Materials Master'!$B$2:$B$27,MATCH($C673,'Materials Master'!$A$2:$A$27,0)),"")</f>
        <v>Textiles</v>
      </c>
      <c r="E673" s="0" t="str">
        <f aca="false">IFERROR(INDEX('Materials Master'!$C$2:$C$27,MATCH($C673,'Materials Master'!$A$2:$A$27,0)),"")</f>
        <v>Unacceptable</v>
      </c>
      <c r="F673" s="0" t="n">
        <f aca="false">IF(SUMIFS(Fact_SortedWeights!$E$2:$E$89,Fact_SortedWeights!$C$2:$C$89,$A673,Fact_SortedWeights!$B$2:$B$89,$B673)=0,0,SUMIFS(Fact_SortedWeights!$E$2:$E$89,Fact_SortedWeights!$C$2:$C$89,$A673,Fact_SortedWeights!$B$2:$B$89,$B673,Fact_SortedWeights!$D$2:$D$89,$C673)/SUMIFS(Fact_SortedWeights!$E$2:$E$89,Fact_SortedWeights!$C$2:$C$89,$A673,Fact_SortedWeights!$B$2:$B$89,$B673)*(IF($B673="Cardboard Recycling",SUMIFS(Fact_SortedWeights!$E$2:$E$89,Fact_SortedWeights!$C$2:$C$89,$A673,Fact_SortedWeights!$B$2:$B$89,$B673),SUMIFS(Fact_PreSortWeights!$E$2:$E$186,Fact_PreSortWeights!$C$2:$C$186,$A673,Fact_PreSortWeights!$B$2:$B$186,$B673))))</f>
        <v>0</v>
      </c>
      <c r="G673" s="0" t="n">
        <f aca="false">IF(AND(IF($B673="Trash",INDEX('Materials Master'!$F$2:$F$27,MATCH($C673,'Materials Master'!$A$2:$A$27,0)),IF($B673="GMPC Recycling",INDEX('Materials Master'!$G$2:$G$27,MATCH($C673,'Materials Master'!$A$2:$A$27,0)),IF($B673="Organics Recycling",INDEX('Materials Master'!$H$2:$H$27,MATCH($C673,'Materials Master'!$A$2:$A$27,0)),IF($B673="Cardboard Recycling",INDEX('Materials Master'!$I$2:$I$27,MATCH($C673,'Materials Master'!$A$2:$A$27,0)),IF($B673="Paper Recycling",INDEX('Materials Master'!$J$2:$J$27,MATCH($C673,'Materials Master'!$A$2:$A$27,0)),IF($B673="Terracycle",INDEX('Materials Master'!$K$2:$K$27,MATCH($C673,'Materials Master'!$A$2:$A$27,0)),"No"))))))="Yes",INDEX('Materials Master'!$E$2:$E$27,MATCH($C673,'Materials Master'!$A$2:$A$27,0))="Yes",$B673&lt;&gt;"Trash"),1,0)</f>
        <v>0</v>
      </c>
      <c r="H673" s="0" t="str">
        <f aca="false">INDEX('Materials Master'!$E$2:$E$27,MATCH($C673,'Materials Master'!$A$2:$A$27,0))</f>
        <v>No</v>
      </c>
      <c r="I673" s="0" t="str">
        <f aca="false">IFERROR(INDEX(Areas!$C$2:$C$6,MATCH($A673,Areas!$B$2:$B$6,0)),"")</f>
        <v>Rest of Building</v>
      </c>
      <c r="J673" s="0" t="n">
        <f aca="false">IF(IF($B673="Trash",INDEX('Materials Master'!$F$2:$F$27,MATCH($C673,'Materials Master'!$A$2:$A$27,0)),IF($B673="GMPC Recycling",INDEX('Materials Master'!$G$2:$G$27,MATCH($C673,'Materials Master'!$A$2:$A$27,0)),IF($B673="Organics Recycling",INDEX('Materials Master'!$H$2:$H$27,MATCH($C673,'Materials Master'!$A$2:$A$27,0)),IF($B673="Cardboard Recycling",INDEX('Materials Master'!$I$2:$I$27,MATCH($C673,'Materials Master'!$A$2:$A$27,0)),IF($B673="Paper Recycling",INDEX('Materials Master'!$J$2:$J$27,MATCH($C673,'Materials Master'!$A$2:$A$27,0)),IF($B673="Terracycle",INDEX('Materials Master'!$K$2:$K$27,MATCH($C673,'Materials Master'!$A$2:$A$27,0)),"No"))))))="Yes",1,0)</f>
        <v>0</v>
      </c>
    </row>
    <row r="674" customFormat="false" ht="15" hidden="false" customHeight="false" outlineLevel="0" collapsed="false">
      <c r="A674" s="0" t="s">
        <v>101</v>
      </c>
      <c r="B674" s="0" t="s">
        <v>104</v>
      </c>
      <c r="C674" s="0" t="s">
        <v>80</v>
      </c>
      <c r="D674" s="0" t="str">
        <f aca="false">IFERROR(INDEX('Materials Master'!$B$2:$B$27,MATCH($C674,'Materials Master'!$A$2:$A$27,0)),"")</f>
        <v>Other Unacceptable (specify)</v>
      </c>
      <c r="E674" s="0" t="str">
        <f aca="false">IFERROR(INDEX('Materials Master'!$C$2:$C$27,MATCH($C674,'Materials Master'!$A$2:$A$27,0)),"")</f>
        <v>Unacceptable</v>
      </c>
      <c r="F674" s="0" t="n">
        <f aca="false">IF(SUMIFS(Fact_SortedWeights!$E$2:$E$89,Fact_SortedWeights!$C$2:$C$89,$A674,Fact_SortedWeights!$B$2:$B$89,$B674)=0,0,SUMIFS(Fact_SortedWeights!$E$2:$E$89,Fact_SortedWeights!$C$2:$C$89,$A674,Fact_SortedWeights!$B$2:$B$89,$B674,Fact_SortedWeights!$D$2:$D$89,$C674)/SUMIFS(Fact_SortedWeights!$E$2:$E$89,Fact_SortedWeights!$C$2:$C$89,$A674,Fact_SortedWeights!$B$2:$B$89,$B674)*(IF($B674="Cardboard Recycling",SUMIFS(Fact_SortedWeights!$E$2:$E$89,Fact_SortedWeights!$C$2:$C$89,$A674,Fact_SortedWeights!$B$2:$B$89,$B674),SUMIFS(Fact_PreSortWeights!$E$2:$E$186,Fact_PreSortWeights!$C$2:$C$186,$A674,Fact_PreSortWeights!$B$2:$B$186,$B674))))</f>
        <v>0</v>
      </c>
      <c r="G674" s="0" t="n">
        <f aca="false">IF(AND(IF($B674="Trash",INDEX('Materials Master'!$F$2:$F$27,MATCH($C674,'Materials Master'!$A$2:$A$27,0)),IF($B674="GMPC Recycling",INDEX('Materials Master'!$G$2:$G$27,MATCH($C674,'Materials Master'!$A$2:$A$27,0)),IF($B674="Organics Recycling",INDEX('Materials Master'!$H$2:$H$27,MATCH($C674,'Materials Master'!$A$2:$A$27,0)),IF($B674="Cardboard Recycling",INDEX('Materials Master'!$I$2:$I$27,MATCH($C674,'Materials Master'!$A$2:$A$27,0)),IF($B674="Paper Recycling",INDEX('Materials Master'!$J$2:$J$27,MATCH($C674,'Materials Master'!$A$2:$A$27,0)),IF($B674="Terracycle",INDEX('Materials Master'!$K$2:$K$27,MATCH($C674,'Materials Master'!$A$2:$A$27,0)),"No"))))))="Yes",INDEX('Materials Master'!$E$2:$E$27,MATCH($C674,'Materials Master'!$A$2:$A$27,0))="Yes",$B674&lt;&gt;"Trash"),1,0)</f>
        <v>0</v>
      </c>
      <c r="H674" s="0" t="str">
        <f aca="false">INDEX('Materials Master'!$E$2:$E$27,MATCH($C674,'Materials Master'!$A$2:$A$27,0))</f>
        <v>No</v>
      </c>
      <c r="I674" s="0" t="str">
        <f aca="false">IFERROR(INDEX(Areas!$C$2:$C$6,MATCH($A674,Areas!$B$2:$B$6,0)),"")</f>
        <v>Rest of Building</v>
      </c>
      <c r="J674" s="0" t="n">
        <f aca="false">IF(IF($B674="Trash",INDEX('Materials Master'!$F$2:$F$27,MATCH($C674,'Materials Master'!$A$2:$A$27,0)),IF($B674="GMPC Recycling",INDEX('Materials Master'!$G$2:$G$27,MATCH($C674,'Materials Master'!$A$2:$A$27,0)),IF($B674="Organics Recycling",INDEX('Materials Master'!$H$2:$H$27,MATCH($C674,'Materials Master'!$A$2:$A$27,0)),IF($B674="Cardboard Recycling",INDEX('Materials Master'!$I$2:$I$27,MATCH($C674,'Materials Master'!$A$2:$A$27,0)),IF($B674="Paper Recycling",INDEX('Materials Master'!$J$2:$J$27,MATCH($C674,'Materials Master'!$A$2:$A$27,0)),IF($B674="Terracycle",INDEX('Materials Master'!$K$2:$K$27,MATCH($C674,'Materials Master'!$A$2:$A$27,0)),"No"))))))="Yes",1,0)</f>
        <v>0</v>
      </c>
    </row>
    <row r="675" customFormat="false" ht="15" hidden="false" customHeight="false" outlineLevel="0" collapsed="false">
      <c r="A675" s="0" t="s">
        <v>101</v>
      </c>
      <c r="B675" s="0" t="s">
        <v>104</v>
      </c>
      <c r="C675" s="0" t="s">
        <v>82</v>
      </c>
      <c r="D675" s="0" t="str">
        <f aca="false">IFERROR(INDEX('Materials Master'!$B$2:$B$27,MATCH($C675,'Materials Master'!$A$2:$A$27,0)),"")</f>
        <v>Liquids</v>
      </c>
      <c r="E675" s="0" t="str">
        <f aca="false">IFERROR(INDEX('Materials Master'!$C$2:$C$27,MATCH($C675,'Materials Master'!$A$2:$A$27,0)),"")</f>
        <v>Unacceptable</v>
      </c>
      <c r="F675" s="0" t="n">
        <f aca="false">IF(SUMIFS(Fact_SortedWeights!$E$2:$E$89,Fact_SortedWeights!$C$2:$C$89,$A675,Fact_SortedWeights!$B$2:$B$89,$B675)=0,0,SUMIFS(Fact_SortedWeights!$E$2:$E$89,Fact_SortedWeights!$C$2:$C$89,$A675,Fact_SortedWeights!$B$2:$B$89,$B675,Fact_SortedWeights!$D$2:$D$89,$C675)/SUMIFS(Fact_SortedWeights!$E$2:$E$89,Fact_SortedWeights!$C$2:$C$89,$A675,Fact_SortedWeights!$B$2:$B$89,$B675)*(IF($B675="Cardboard Recycling",SUMIFS(Fact_SortedWeights!$E$2:$E$89,Fact_SortedWeights!$C$2:$C$89,$A675,Fact_SortedWeights!$B$2:$B$89,$B675),SUMIFS(Fact_PreSortWeights!$E$2:$E$186,Fact_PreSortWeights!$C$2:$C$186,$A675,Fact_PreSortWeights!$B$2:$B$186,$B675))))</f>
        <v>0</v>
      </c>
      <c r="G675" s="0" t="n">
        <f aca="false">IF(AND(IF($B675="Trash",INDEX('Materials Master'!$F$2:$F$27,MATCH($C675,'Materials Master'!$A$2:$A$27,0)),IF($B675="GMPC Recycling",INDEX('Materials Master'!$G$2:$G$27,MATCH($C675,'Materials Master'!$A$2:$A$27,0)),IF($B675="Organics Recycling",INDEX('Materials Master'!$H$2:$H$27,MATCH($C675,'Materials Master'!$A$2:$A$27,0)),IF($B675="Cardboard Recycling",INDEX('Materials Master'!$I$2:$I$27,MATCH($C675,'Materials Master'!$A$2:$A$27,0)),IF($B675="Paper Recycling",INDEX('Materials Master'!$J$2:$J$27,MATCH($C675,'Materials Master'!$A$2:$A$27,0)),IF($B675="Terracycle",INDEX('Materials Master'!$K$2:$K$27,MATCH($C675,'Materials Master'!$A$2:$A$27,0)),"No"))))))="Yes",INDEX('Materials Master'!$E$2:$E$27,MATCH($C675,'Materials Master'!$A$2:$A$27,0))="Yes",$B675&lt;&gt;"Trash"),1,0)</f>
        <v>0</v>
      </c>
      <c r="H675" s="0" t="str">
        <f aca="false">INDEX('Materials Master'!$E$2:$E$27,MATCH($C675,'Materials Master'!$A$2:$A$27,0))</f>
        <v>No</v>
      </c>
      <c r="I675" s="0" t="str">
        <f aca="false">IFERROR(INDEX(Areas!$C$2:$C$6,MATCH($A675,Areas!$B$2:$B$6,0)),"")</f>
        <v>Rest of Building</v>
      </c>
      <c r="J675" s="0" t="n">
        <f aca="false">IF(IF($B675="Trash",INDEX('Materials Master'!$F$2:$F$27,MATCH($C675,'Materials Master'!$A$2:$A$27,0)),IF($B675="GMPC Recycling",INDEX('Materials Master'!$G$2:$G$27,MATCH($C675,'Materials Master'!$A$2:$A$27,0)),IF($B675="Organics Recycling",INDEX('Materials Master'!$H$2:$H$27,MATCH($C675,'Materials Master'!$A$2:$A$27,0)),IF($B675="Cardboard Recycling",INDEX('Materials Master'!$I$2:$I$27,MATCH($C675,'Materials Master'!$A$2:$A$27,0)),IF($B675="Paper Recycling",INDEX('Materials Master'!$J$2:$J$27,MATCH($C675,'Materials Master'!$A$2:$A$27,0)),IF($B675="Terracycle",INDEX('Materials Master'!$K$2:$K$27,MATCH($C675,'Materials Master'!$A$2:$A$27,0)),"No"))))))="Yes",1,0)</f>
        <v>0</v>
      </c>
    </row>
    <row r="676" customFormat="false" ht="15" hidden="false" customHeight="false" outlineLevel="0" collapsed="false">
      <c r="A676" s="0" t="s">
        <v>101</v>
      </c>
      <c r="B676" s="0" t="s">
        <v>104</v>
      </c>
      <c r="C676" s="0" t="s">
        <v>84</v>
      </c>
      <c r="D676" s="0" t="str">
        <f aca="false">IFERROR(INDEX('Materials Master'!$B$2:$B$27,MATCH($C676,'Materials Master'!$A$2:$A$27,0)),"")</f>
        <v>Snack Wrappers (Composites)</v>
      </c>
      <c r="E676" s="0" t="str">
        <f aca="false">IFERROR(INDEX('Materials Master'!$C$2:$C$27,MATCH($C676,'Materials Master'!$A$2:$A$27,0)),"")</f>
        <v>Other</v>
      </c>
      <c r="F676" s="0" t="n">
        <f aca="false">IF(SUMIFS(Fact_SortedWeights!$E$2:$E$89,Fact_SortedWeights!$C$2:$C$89,$A676,Fact_SortedWeights!$B$2:$B$89,$B676)=0,0,SUMIFS(Fact_SortedWeights!$E$2:$E$89,Fact_SortedWeights!$C$2:$C$89,$A676,Fact_SortedWeights!$B$2:$B$89,$B676,Fact_SortedWeights!$D$2:$D$89,$C676)/SUMIFS(Fact_SortedWeights!$E$2:$E$89,Fact_SortedWeights!$C$2:$C$89,$A676,Fact_SortedWeights!$B$2:$B$89,$B676)*(IF($B676="Cardboard Recycling",SUMIFS(Fact_SortedWeights!$E$2:$E$89,Fact_SortedWeights!$C$2:$C$89,$A676,Fact_SortedWeights!$B$2:$B$89,$B676),SUMIFS(Fact_PreSortWeights!$E$2:$E$186,Fact_PreSortWeights!$C$2:$C$186,$A676,Fact_PreSortWeights!$B$2:$B$186,$B676))))</f>
        <v>0</v>
      </c>
      <c r="G676" s="0" t="n">
        <f aca="false">IF(AND(IF($B676="Trash",INDEX('Materials Master'!$F$2:$F$27,MATCH($C676,'Materials Master'!$A$2:$A$27,0)),IF($B676="GMPC Recycling",INDEX('Materials Master'!$G$2:$G$27,MATCH($C676,'Materials Master'!$A$2:$A$27,0)),IF($B676="Organics Recycling",INDEX('Materials Master'!$H$2:$H$27,MATCH($C676,'Materials Master'!$A$2:$A$27,0)),IF($B676="Cardboard Recycling",INDEX('Materials Master'!$I$2:$I$27,MATCH($C676,'Materials Master'!$A$2:$A$27,0)),IF($B676="Paper Recycling",INDEX('Materials Master'!$J$2:$J$27,MATCH($C676,'Materials Master'!$A$2:$A$27,0)),IF($B676="Terracycle",INDEX('Materials Master'!$K$2:$K$27,MATCH($C676,'Materials Master'!$A$2:$A$27,0)),"No"))))))="Yes",INDEX('Materials Master'!$E$2:$E$27,MATCH($C676,'Materials Master'!$A$2:$A$27,0))="Yes",$B676&lt;&gt;"Trash"),1,0)</f>
        <v>0</v>
      </c>
      <c r="H676" s="0" t="str">
        <f aca="false">INDEX('Materials Master'!$E$2:$E$27,MATCH($C676,'Materials Master'!$A$2:$A$27,0))</f>
        <v>Yes</v>
      </c>
      <c r="I676" s="0" t="str">
        <f aca="false">IFERROR(INDEX(Areas!$C$2:$C$6,MATCH($A676,Areas!$B$2:$B$6,0)),"")</f>
        <v>Rest of Building</v>
      </c>
      <c r="J676" s="0" t="n">
        <f aca="false">IF(IF($B676="Trash",INDEX('Materials Master'!$F$2:$F$27,MATCH($C676,'Materials Master'!$A$2:$A$27,0)),IF($B676="GMPC Recycling",INDEX('Materials Master'!$G$2:$G$27,MATCH($C676,'Materials Master'!$A$2:$A$27,0)),IF($B676="Organics Recycling",INDEX('Materials Master'!$H$2:$H$27,MATCH($C676,'Materials Master'!$A$2:$A$27,0)),IF($B676="Cardboard Recycling",INDEX('Materials Master'!$I$2:$I$27,MATCH($C676,'Materials Master'!$A$2:$A$27,0)),IF($B676="Paper Recycling",INDEX('Materials Master'!$J$2:$J$27,MATCH($C676,'Materials Master'!$A$2:$A$27,0)),IF($B676="Terracycle",INDEX('Materials Master'!$K$2:$K$27,MATCH($C676,'Materials Master'!$A$2:$A$27,0)),"No"))))))="Yes",1,0)</f>
        <v>0</v>
      </c>
    </row>
    <row r="677" customFormat="false" ht="15" hidden="false" customHeight="false" outlineLevel="0" collapsed="false">
      <c r="A677" s="0" t="s">
        <v>101</v>
      </c>
      <c r="B677" s="0" t="s">
        <v>104</v>
      </c>
      <c r="C677" s="0" t="s">
        <v>87</v>
      </c>
      <c r="D677" s="0" t="str">
        <f aca="false">IFERROR(INDEX('Materials Master'!$B$2:$B$27,MATCH($C677,'Materials Master'!$A$2:$A$27,0)),"")</f>
        <v>Other/Residual Materials</v>
      </c>
      <c r="E677" s="0" t="str">
        <f aca="false">IFERROR(INDEX('Materials Master'!$C$2:$C$27,MATCH($C677,'Materials Master'!$A$2:$A$27,0)),"")</f>
        <v>Other</v>
      </c>
      <c r="F677" s="0" t="n">
        <f aca="false">IF(SUMIFS(Fact_SortedWeights!$E$2:$E$89,Fact_SortedWeights!$C$2:$C$89,$A677,Fact_SortedWeights!$B$2:$B$89,$B677)=0,0,SUMIFS(Fact_SortedWeights!$E$2:$E$89,Fact_SortedWeights!$C$2:$C$89,$A677,Fact_SortedWeights!$B$2:$B$89,$B677,Fact_SortedWeights!$D$2:$D$89,$C677)/SUMIFS(Fact_SortedWeights!$E$2:$E$89,Fact_SortedWeights!$C$2:$C$89,$A677,Fact_SortedWeights!$B$2:$B$89,$B677)*(IF($B677="Cardboard Recycling",SUMIFS(Fact_SortedWeights!$E$2:$E$89,Fact_SortedWeights!$C$2:$C$89,$A677,Fact_SortedWeights!$B$2:$B$89,$B677),SUMIFS(Fact_PreSortWeights!$E$2:$E$186,Fact_PreSortWeights!$C$2:$C$186,$A677,Fact_PreSortWeights!$B$2:$B$186,$B677))))</f>
        <v>0</v>
      </c>
      <c r="G677" s="0" t="n">
        <f aca="false">IF(AND(IF($B677="Trash",INDEX('Materials Master'!$F$2:$F$27,MATCH($C677,'Materials Master'!$A$2:$A$27,0)),IF($B677="GMPC Recycling",INDEX('Materials Master'!$G$2:$G$27,MATCH($C677,'Materials Master'!$A$2:$A$27,0)),IF($B677="Organics Recycling",INDEX('Materials Master'!$H$2:$H$27,MATCH($C677,'Materials Master'!$A$2:$A$27,0)),IF($B677="Cardboard Recycling",INDEX('Materials Master'!$I$2:$I$27,MATCH($C677,'Materials Master'!$A$2:$A$27,0)),IF($B677="Paper Recycling",INDEX('Materials Master'!$J$2:$J$27,MATCH($C677,'Materials Master'!$A$2:$A$27,0)),IF($B677="Terracycle",INDEX('Materials Master'!$K$2:$K$27,MATCH($C677,'Materials Master'!$A$2:$A$27,0)),"No"))))))="Yes",INDEX('Materials Master'!$E$2:$E$27,MATCH($C677,'Materials Master'!$A$2:$A$27,0))="Yes",$B677&lt;&gt;"Trash"),1,0)</f>
        <v>0</v>
      </c>
      <c r="H677" s="0" t="str">
        <f aca="false">INDEX('Materials Master'!$E$2:$E$27,MATCH($C677,'Materials Master'!$A$2:$A$27,0))</f>
        <v>No</v>
      </c>
      <c r="I677" s="0" t="str">
        <f aca="false">IFERROR(INDEX(Areas!$C$2:$C$6,MATCH($A677,Areas!$B$2:$B$6,0)),"")</f>
        <v>Rest of Building</v>
      </c>
      <c r="J677" s="0" t="n">
        <f aca="false">IF(IF($B677="Trash",INDEX('Materials Master'!$F$2:$F$27,MATCH($C677,'Materials Master'!$A$2:$A$27,0)),IF($B677="GMPC Recycling",INDEX('Materials Master'!$G$2:$G$27,MATCH($C677,'Materials Master'!$A$2:$A$27,0)),IF($B677="Organics Recycling",INDEX('Materials Master'!$H$2:$H$27,MATCH($C677,'Materials Master'!$A$2:$A$27,0)),IF($B677="Cardboard Recycling",INDEX('Materials Master'!$I$2:$I$27,MATCH($C677,'Materials Master'!$A$2:$A$27,0)),IF($B677="Paper Recycling",INDEX('Materials Master'!$J$2:$J$27,MATCH($C677,'Materials Master'!$A$2:$A$27,0)),IF($B677="Terracycle",INDEX('Materials Master'!$K$2:$K$27,MATCH($C677,'Materials Master'!$A$2:$A$27,0)),"No"))))))="Yes",1,0)</f>
        <v>0</v>
      </c>
    </row>
    <row r="678" customFormat="false" ht="15" hidden="false" customHeight="false" outlineLevel="0" collapsed="false">
      <c r="A678" s="0" t="s">
        <v>101</v>
      </c>
      <c r="B678" s="0" t="s">
        <v>105</v>
      </c>
      <c r="C678" s="0" t="s">
        <v>28</v>
      </c>
      <c r="D678" s="0" t="str">
        <f aca="false">IFERROR(INDEX('Materials Master'!$B$2:$B$27,MATCH($C678,'Materials Master'!$A$2:$A$27,0)),"")</f>
        <v>Corrugated Cardboard</v>
      </c>
      <c r="E678" s="0" t="str">
        <f aca="false">IFERROR(INDEX('Materials Master'!$C$2:$C$27,MATCH($C678,'Materials Master'!$A$2:$A$27,0)),"")</f>
        <v>Fibers</v>
      </c>
      <c r="F678" s="0" t="n">
        <f aca="false">IF(SUMIFS(Fact_SortedWeights!$E$2:$E$89,Fact_SortedWeights!$C$2:$C$89,$A678,Fact_SortedWeights!$B$2:$B$89,$B678)=0,0,SUMIFS(Fact_SortedWeights!$E$2:$E$89,Fact_SortedWeights!$C$2:$C$89,$A678,Fact_SortedWeights!$B$2:$B$89,$B678,Fact_SortedWeights!$D$2:$D$89,$C678)/SUMIFS(Fact_SortedWeights!$E$2:$E$89,Fact_SortedWeights!$C$2:$C$89,$A678,Fact_SortedWeights!$B$2:$B$89,$B678)*(IF($B678="Cardboard Recycling",SUMIFS(Fact_SortedWeights!$E$2:$E$89,Fact_SortedWeights!$C$2:$C$89,$A678,Fact_SortedWeights!$B$2:$B$89,$B678),SUMIFS(Fact_PreSortWeights!$E$2:$E$186,Fact_PreSortWeights!$C$2:$C$186,$A678,Fact_PreSortWeights!$B$2:$B$186,$B678))))</f>
        <v>0</v>
      </c>
      <c r="G678" s="0" t="n">
        <f aca="false">IF(AND(IF($B678="Trash",INDEX('Materials Master'!$F$2:$F$27,MATCH($C678,'Materials Master'!$A$2:$A$27,0)),IF($B678="GMPC Recycling",INDEX('Materials Master'!$G$2:$G$27,MATCH($C678,'Materials Master'!$A$2:$A$27,0)),IF($B678="Organics Recycling",INDEX('Materials Master'!$H$2:$H$27,MATCH($C678,'Materials Master'!$A$2:$A$27,0)),IF($B678="Cardboard Recycling",INDEX('Materials Master'!$I$2:$I$27,MATCH($C678,'Materials Master'!$A$2:$A$27,0)),IF($B678="Paper Recycling",INDEX('Materials Master'!$J$2:$J$27,MATCH($C678,'Materials Master'!$A$2:$A$27,0)),IF($B678="Terracycle",INDEX('Materials Master'!$K$2:$K$27,MATCH($C678,'Materials Master'!$A$2:$A$27,0)),"No"))))))="Yes",INDEX('Materials Master'!$E$2:$E$27,MATCH($C678,'Materials Master'!$A$2:$A$27,0))="Yes",$B678&lt;&gt;"Trash"),1,0)</f>
        <v>0</v>
      </c>
      <c r="H678" s="0" t="str">
        <f aca="false">INDEX('Materials Master'!$E$2:$E$27,MATCH($C678,'Materials Master'!$A$2:$A$27,0))</f>
        <v>Yes</v>
      </c>
      <c r="I678" s="0" t="str">
        <f aca="false">IFERROR(INDEX(Areas!$C$2:$C$6,MATCH($A678,Areas!$B$2:$B$6,0)),"")</f>
        <v>Rest of Building</v>
      </c>
      <c r="J678" s="0" t="n">
        <f aca="false">IF(IF($B678="Trash",INDEX('Materials Master'!$F$2:$F$27,MATCH($C678,'Materials Master'!$A$2:$A$27,0)),IF($B678="GMPC Recycling",INDEX('Materials Master'!$G$2:$G$27,MATCH($C678,'Materials Master'!$A$2:$A$27,0)),IF($B678="Organics Recycling",INDEX('Materials Master'!$H$2:$H$27,MATCH($C678,'Materials Master'!$A$2:$A$27,0)),IF($B678="Cardboard Recycling",INDEX('Materials Master'!$I$2:$I$27,MATCH($C678,'Materials Master'!$A$2:$A$27,0)),IF($B678="Paper Recycling",INDEX('Materials Master'!$J$2:$J$27,MATCH($C678,'Materials Master'!$A$2:$A$27,0)),IF($B678="Terracycle",INDEX('Materials Master'!$K$2:$K$27,MATCH($C678,'Materials Master'!$A$2:$A$27,0)),"No"))))))="Yes",1,0)</f>
        <v>0</v>
      </c>
    </row>
    <row r="679" customFormat="false" ht="15" hidden="false" customHeight="false" outlineLevel="0" collapsed="false">
      <c r="A679" s="0" t="s">
        <v>101</v>
      </c>
      <c r="B679" s="0" t="s">
        <v>105</v>
      </c>
      <c r="C679" s="0" t="s">
        <v>33</v>
      </c>
      <c r="D679" s="0" t="str">
        <f aca="false">IFERROR(INDEX('Materials Master'!$B$2:$B$27,MATCH($C679,'Materials Master'!$A$2:$A$27,0)),"")</f>
        <v>Soiled Cardboard</v>
      </c>
      <c r="E679" s="0" t="str">
        <f aca="false">IFERROR(INDEX('Materials Master'!$C$2:$C$27,MATCH($C679,'Materials Master'!$A$2:$A$27,0)),"")</f>
        <v>Fibers</v>
      </c>
      <c r="F679" s="0" t="n">
        <f aca="false">IF(SUMIFS(Fact_SortedWeights!$E$2:$E$89,Fact_SortedWeights!$C$2:$C$89,$A679,Fact_SortedWeights!$B$2:$B$89,$B679)=0,0,SUMIFS(Fact_SortedWeights!$E$2:$E$89,Fact_SortedWeights!$C$2:$C$89,$A679,Fact_SortedWeights!$B$2:$B$89,$B679,Fact_SortedWeights!$D$2:$D$89,$C679)/SUMIFS(Fact_SortedWeights!$E$2:$E$89,Fact_SortedWeights!$C$2:$C$89,$A679,Fact_SortedWeights!$B$2:$B$89,$B679)*(IF($B679="Cardboard Recycling",SUMIFS(Fact_SortedWeights!$E$2:$E$89,Fact_SortedWeights!$C$2:$C$89,$A679,Fact_SortedWeights!$B$2:$B$89,$B679),SUMIFS(Fact_PreSortWeights!$E$2:$E$186,Fact_PreSortWeights!$C$2:$C$186,$A679,Fact_PreSortWeights!$B$2:$B$186,$B679))))</f>
        <v>0</v>
      </c>
      <c r="G679" s="0" t="n">
        <f aca="false">IF(AND(IF($B679="Trash",INDEX('Materials Master'!$F$2:$F$27,MATCH($C679,'Materials Master'!$A$2:$A$27,0)),IF($B679="GMPC Recycling",INDEX('Materials Master'!$G$2:$G$27,MATCH($C679,'Materials Master'!$A$2:$A$27,0)),IF($B679="Organics Recycling",INDEX('Materials Master'!$H$2:$H$27,MATCH($C679,'Materials Master'!$A$2:$A$27,0)),IF($B679="Cardboard Recycling",INDEX('Materials Master'!$I$2:$I$27,MATCH($C679,'Materials Master'!$A$2:$A$27,0)),IF($B679="Paper Recycling",INDEX('Materials Master'!$J$2:$J$27,MATCH($C679,'Materials Master'!$A$2:$A$27,0)),IF($B679="Terracycle",INDEX('Materials Master'!$K$2:$K$27,MATCH($C679,'Materials Master'!$A$2:$A$27,0)),"No"))))))="Yes",INDEX('Materials Master'!$E$2:$E$27,MATCH($C679,'Materials Master'!$A$2:$A$27,0))="Yes",$B679&lt;&gt;"Trash"),1,0)</f>
        <v>0</v>
      </c>
      <c r="H679" s="0" t="str">
        <f aca="false">INDEX('Materials Master'!$E$2:$E$27,MATCH($C679,'Materials Master'!$A$2:$A$27,0))</f>
        <v>No</v>
      </c>
      <c r="I679" s="0" t="str">
        <f aca="false">IFERROR(INDEX(Areas!$C$2:$C$6,MATCH($A679,Areas!$B$2:$B$6,0)),"")</f>
        <v>Rest of Building</v>
      </c>
      <c r="J679" s="0" t="n">
        <f aca="false">IF(IF($B679="Trash",INDEX('Materials Master'!$F$2:$F$27,MATCH($C679,'Materials Master'!$A$2:$A$27,0)),IF($B679="GMPC Recycling",INDEX('Materials Master'!$G$2:$G$27,MATCH($C679,'Materials Master'!$A$2:$A$27,0)),IF($B679="Organics Recycling",INDEX('Materials Master'!$H$2:$H$27,MATCH($C679,'Materials Master'!$A$2:$A$27,0)),IF($B679="Cardboard Recycling",INDEX('Materials Master'!$I$2:$I$27,MATCH($C679,'Materials Master'!$A$2:$A$27,0)),IF($B679="Paper Recycling",INDEX('Materials Master'!$J$2:$J$27,MATCH($C679,'Materials Master'!$A$2:$A$27,0)),IF($B679="Terracycle",INDEX('Materials Master'!$K$2:$K$27,MATCH($C679,'Materials Master'!$A$2:$A$27,0)),"No"))))))="Yes",1,0)</f>
        <v>0</v>
      </c>
    </row>
    <row r="680" customFormat="false" ht="15" hidden="false" customHeight="false" outlineLevel="0" collapsed="false">
      <c r="A680" s="0" t="s">
        <v>101</v>
      </c>
      <c r="B680" s="0" t="s">
        <v>105</v>
      </c>
      <c r="C680" s="0" t="s">
        <v>35</v>
      </c>
      <c r="D680" s="0" t="str">
        <f aca="false">IFERROR(INDEX('Materials Master'!$B$2:$B$27,MATCH($C680,'Materials Master'!$A$2:$A$27,0)),"")</f>
        <v>Waxed Cardboard</v>
      </c>
      <c r="E680" s="0" t="str">
        <f aca="false">IFERROR(INDEX('Materials Master'!$C$2:$C$27,MATCH($C680,'Materials Master'!$A$2:$A$27,0)),"")</f>
        <v>Fibers</v>
      </c>
      <c r="F680" s="0" t="n">
        <f aca="false">IF(SUMIFS(Fact_SortedWeights!$E$2:$E$89,Fact_SortedWeights!$C$2:$C$89,$A680,Fact_SortedWeights!$B$2:$B$89,$B680)=0,0,SUMIFS(Fact_SortedWeights!$E$2:$E$89,Fact_SortedWeights!$C$2:$C$89,$A680,Fact_SortedWeights!$B$2:$B$89,$B680,Fact_SortedWeights!$D$2:$D$89,$C680)/SUMIFS(Fact_SortedWeights!$E$2:$E$89,Fact_SortedWeights!$C$2:$C$89,$A680,Fact_SortedWeights!$B$2:$B$89,$B680)*(IF($B680="Cardboard Recycling",SUMIFS(Fact_SortedWeights!$E$2:$E$89,Fact_SortedWeights!$C$2:$C$89,$A680,Fact_SortedWeights!$B$2:$B$89,$B680),SUMIFS(Fact_PreSortWeights!$E$2:$E$186,Fact_PreSortWeights!$C$2:$C$186,$A680,Fact_PreSortWeights!$B$2:$B$186,$B680))))</f>
        <v>0</v>
      </c>
      <c r="G680" s="0" t="n">
        <f aca="false">IF(AND(IF($B680="Trash",INDEX('Materials Master'!$F$2:$F$27,MATCH($C680,'Materials Master'!$A$2:$A$27,0)),IF($B680="GMPC Recycling",INDEX('Materials Master'!$G$2:$G$27,MATCH($C680,'Materials Master'!$A$2:$A$27,0)),IF($B680="Organics Recycling",INDEX('Materials Master'!$H$2:$H$27,MATCH($C680,'Materials Master'!$A$2:$A$27,0)),IF($B680="Cardboard Recycling",INDEX('Materials Master'!$I$2:$I$27,MATCH($C680,'Materials Master'!$A$2:$A$27,0)),IF($B680="Paper Recycling",INDEX('Materials Master'!$J$2:$J$27,MATCH($C680,'Materials Master'!$A$2:$A$27,0)),IF($B680="Terracycle",INDEX('Materials Master'!$K$2:$K$27,MATCH($C680,'Materials Master'!$A$2:$A$27,0)),"No"))))))="Yes",INDEX('Materials Master'!$E$2:$E$27,MATCH($C680,'Materials Master'!$A$2:$A$27,0))="Yes",$B680&lt;&gt;"Trash"),1,0)</f>
        <v>0</v>
      </c>
      <c r="H680" s="0" t="str">
        <f aca="false">INDEX('Materials Master'!$E$2:$E$27,MATCH($C680,'Materials Master'!$A$2:$A$27,0))</f>
        <v>No</v>
      </c>
      <c r="I680" s="0" t="str">
        <f aca="false">IFERROR(INDEX(Areas!$C$2:$C$6,MATCH($A680,Areas!$B$2:$B$6,0)),"")</f>
        <v>Rest of Building</v>
      </c>
      <c r="J680" s="0" t="n">
        <f aca="false">IF(IF($B680="Trash",INDEX('Materials Master'!$F$2:$F$27,MATCH($C680,'Materials Master'!$A$2:$A$27,0)),IF($B680="GMPC Recycling",INDEX('Materials Master'!$G$2:$G$27,MATCH($C680,'Materials Master'!$A$2:$A$27,0)),IF($B680="Organics Recycling",INDEX('Materials Master'!$H$2:$H$27,MATCH($C680,'Materials Master'!$A$2:$A$27,0)),IF($B680="Cardboard Recycling",INDEX('Materials Master'!$I$2:$I$27,MATCH($C680,'Materials Master'!$A$2:$A$27,0)),IF($B680="Paper Recycling",INDEX('Materials Master'!$J$2:$J$27,MATCH($C680,'Materials Master'!$A$2:$A$27,0)),IF($B680="Terracycle",INDEX('Materials Master'!$K$2:$K$27,MATCH($C680,'Materials Master'!$A$2:$A$27,0)),"No"))))))="Yes",1,0)</f>
        <v>0</v>
      </c>
    </row>
    <row r="681" customFormat="false" ht="15" hidden="false" customHeight="false" outlineLevel="0" collapsed="false">
      <c r="A681" s="0" t="s">
        <v>101</v>
      </c>
      <c r="B681" s="0" t="s">
        <v>105</v>
      </c>
      <c r="C681" s="0" t="s">
        <v>37</v>
      </c>
      <c r="D681" s="0" t="str">
        <f aca="false">IFERROR(INDEX('Materials Master'!$B$2:$B$27,MATCH($C681,'Materials Master'!$A$2:$A$27,0)),"")</f>
        <v>Mixed Paper</v>
      </c>
      <c r="E681" s="0" t="str">
        <f aca="false">IFERROR(INDEX('Materials Master'!$C$2:$C$27,MATCH($C681,'Materials Master'!$A$2:$A$27,0)),"")</f>
        <v>Fibers</v>
      </c>
      <c r="F681" s="0" t="n">
        <f aca="false">IF(SUMIFS(Fact_SortedWeights!$E$2:$E$89,Fact_SortedWeights!$C$2:$C$89,$A681,Fact_SortedWeights!$B$2:$B$89,$B681)=0,0,SUMIFS(Fact_SortedWeights!$E$2:$E$89,Fact_SortedWeights!$C$2:$C$89,$A681,Fact_SortedWeights!$B$2:$B$89,$B681,Fact_SortedWeights!$D$2:$D$89,$C681)/SUMIFS(Fact_SortedWeights!$E$2:$E$89,Fact_SortedWeights!$C$2:$C$89,$A681,Fact_SortedWeights!$B$2:$B$89,$B681)*(IF($B681="Cardboard Recycling",SUMIFS(Fact_SortedWeights!$E$2:$E$89,Fact_SortedWeights!$C$2:$C$89,$A681,Fact_SortedWeights!$B$2:$B$89,$B681),SUMIFS(Fact_PreSortWeights!$E$2:$E$186,Fact_PreSortWeights!$C$2:$C$186,$A681,Fact_PreSortWeights!$B$2:$B$186,$B681))))</f>
        <v>0</v>
      </c>
      <c r="G681" s="0" t="n">
        <f aca="false">IF(AND(IF($B681="Trash",INDEX('Materials Master'!$F$2:$F$27,MATCH($C681,'Materials Master'!$A$2:$A$27,0)),IF($B681="GMPC Recycling",INDEX('Materials Master'!$G$2:$G$27,MATCH($C681,'Materials Master'!$A$2:$A$27,0)),IF($B681="Organics Recycling",INDEX('Materials Master'!$H$2:$H$27,MATCH($C681,'Materials Master'!$A$2:$A$27,0)),IF($B681="Cardboard Recycling",INDEX('Materials Master'!$I$2:$I$27,MATCH($C681,'Materials Master'!$A$2:$A$27,0)),IF($B681="Paper Recycling",INDEX('Materials Master'!$J$2:$J$27,MATCH($C681,'Materials Master'!$A$2:$A$27,0)),IF($B681="Terracycle",INDEX('Materials Master'!$K$2:$K$27,MATCH($C681,'Materials Master'!$A$2:$A$27,0)),"No"))))))="Yes",INDEX('Materials Master'!$E$2:$E$27,MATCH($C681,'Materials Master'!$A$2:$A$27,0))="Yes",$B681&lt;&gt;"Trash"),1,0)</f>
        <v>0</v>
      </c>
      <c r="H681" s="0" t="str">
        <f aca="false">INDEX('Materials Master'!$E$2:$E$27,MATCH($C681,'Materials Master'!$A$2:$A$27,0))</f>
        <v>Yes</v>
      </c>
      <c r="I681" s="0" t="str">
        <f aca="false">IFERROR(INDEX(Areas!$C$2:$C$6,MATCH($A681,Areas!$B$2:$B$6,0)),"")</f>
        <v>Rest of Building</v>
      </c>
      <c r="J681" s="0" t="n">
        <f aca="false">IF(IF($B681="Trash",INDEX('Materials Master'!$F$2:$F$27,MATCH($C681,'Materials Master'!$A$2:$A$27,0)),IF($B681="GMPC Recycling",INDEX('Materials Master'!$G$2:$G$27,MATCH($C681,'Materials Master'!$A$2:$A$27,0)),IF($B681="Organics Recycling",INDEX('Materials Master'!$H$2:$H$27,MATCH($C681,'Materials Master'!$A$2:$A$27,0)),IF($B681="Cardboard Recycling",INDEX('Materials Master'!$I$2:$I$27,MATCH($C681,'Materials Master'!$A$2:$A$27,0)),IF($B681="Paper Recycling",INDEX('Materials Master'!$J$2:$J$27,MATCH($C681,'Materials Master'!$A$2:$A$27,0)),IF($B681="Terracycle",INDEX('Materials Master'!$K$2:$K$27,MATCH($C681,'Materials Master'!$A$2:$A$27,0)),"No"))))))="Yes",1,0)</f>
        <v>0</v>
      </c>
    </row>
    <row r="682" customFormat="false" ht="15" hidden="false" customHeight="false" outlineLevel="0" collapsed="false">
      <c r="A682" s="0" t="s">
        <v>101</v>
      </c>
      <c r="B682" s="0" t="s">
        <v>105</v>
      </c>
      <c r="C682" s="0" t="s">
        <v>39</v>
      </c>
      <c r="D682" s="0" t="str">
        <f aca="false">IFERROR(INDEX('Materials Master'!$B$2:$B$27,MATCH($C682,'Materials Master'!$A$2:$A$27,0)),"")</f>
        <v>Soiled Paper</v>
      </c>
      <c r="E682" s="0" t="str">
        <f aca="false">IFERROR(INDEX('Materials Master'!$C$2:$C$27,MATCH($C682,'Materials Master'!$A$2:$A$27,0)),"")</f>
        <v>Fibers</v>
      </c>
      <c r="F682" s="0" t="n">
        <f aca="false">IF(SUMIFS(Fact_SortedWeights!$E$2:$E$89,Fact_SortedWeights!$C$2:$C$89,$A682,Fact_SortedWeights!$B$2:$B$89,$B682)=0,0,SUMIFS(Fact_SortedWeights!$E$2:$E$89,Fact_SortedWeights!$C$2:$C$89,$A682,Fact_SortedWeights!$B$2:$B$89,$B682,Fact_SortedWeights!$D$2:$D$89,$C682)/SUMIFS(Fact_SortedWeights!$E$2:$E$89,Fact_SortedWeights!$C$2:$C$89,$A682,Fact_SortedWeights!$B$2:$B$89,$B682)*(IF($B682="Cardboard Recycling",SUMIFS(Fact_SortedWeights!$E$2:$E$89,Fact_SortedWeights!$C$2:$C$89,$A682,Fact_SortedWeights!$B$2:$B$89,$B682),SUMIFS(Fact_PreSortWeights!$E$2:$E$186,Fact_PreSortWeights!$C$2:$C$186,$A682,Fact_PreSortWeights!$B$2:$B$186,$B682))))</f>
        <v>0</v>
      </c>
      <c r="G682" s="0" t="n">
        <f aca="false">IF(AND(IF($B682="Trash",INDEX('Materials Master'!$F$2:$F$27,MATCH($C682,'Materials Master'!$A$2:$A$27,0)),IF($B682="GMPC Recycling",INDEX('Materials Master'!$G$2:$G$27,MATCH($C682,'Materials Master'!$A$2:$A$27,0)),IF($B682="Organics Recycling",INDEX('Materials Master'!$H$2:$H$27,MATCH($C682,'Materials Master'!$A$2:$A$27,0)),IF($B682="Cardboard Recycling",INDEX('Materials Master'!$I$2:$I$27,MATCH($C682,'Materials Master'!$A$2:$A$27,0)),IF($B682="Paper Recycling",INDEX('Materials Master'!$J$2:$J$27,MATCH($C682,'Materials Master'!$A$2:$A$27,0)),IF($B682="Terracycle",INDEX('Materials Master'!$K$2:$K$27,MATCH($C682,'Materials Master'!$A$2:$A$27,0)),"No"))))))="Yes",INDEX('Materials Master'!$E$2:$E$27,MATCH($C682,'Materials Master'!$A$2:$A$27,0))="Yes",$B682&lt;&gt;"Trash"),1,0)</f>
        <v>0</v>
      </c>
      <c r="H682" s="0" t="str">
        <f aca="false">INDEX('Materials Master'!$E$2:$E$27,MATCH($C682,'Materials Master'!$A$2:$A$27,0))</f>
        <v>No</v>
      </c>
      <c r="I682" s="0" t="str">
        <f aca="false">IFERROR(INDEX(Areas!$C$2:$C$6,MATCH($A682,Areas!$B$2:$B$6,0)),"")</f>
        <v>Rest of Building</v>
      </c>
      <c r="J682" s="0" t="n">
        <f aca="false">IF(IF($B682="Trash",INDEX('Materials Master'!$F$2:$F$27,MATCH($C682,'Materials Master'!$A$2:$A$27,0)),IF($B682="GMPC Recycling",INDEX('Materials Master'!$G$2:$G$27,MATCH($C682,'Materials Master'!$A$2:$A$27,0)),IF($B682="Organics Recycling",INDEX('Materials Master'!$H$2:$H$27,MATCH($C682,'Materials Master'!$A$2:$A$27,0)),IF($B682="Cardboard Recycling",INDEX('Materials Master'!$I$2:$I$27,MATCH($C682,'Materials Master'!$A$2:$A$27,0)),IF($B682="Paper Recycling",INDEX('Materials Master'!$J$2:$J$27,MATCH($C682,'Materials Master'!$A$2:$A$27,0)),IF($B682="Terracycle",INDEX('Materials Master'!$K$2:$K$27,MATCH($C682,'Materials Master'!$A$2:$A$27,0)),"No"))))))="Yes",1,0)</f>
        <v>0</v>
      </c>
    </row>
    <row r="683" customFormat="false" ht="15" hidden="false" customHeight="false" outlineLevel="0" collapsed="false">
      <c r="A683" s="0" t="s">
        <v>101</v>
      </c>
      <c r="B683" s="0" t="s">
        <v>105</v>
      </c>
      <c r="C683" s="0" t="s">
        <v>41</v>
      </c>
      <c r="D683" s="0" t="str">
        <f aca="false">IFERROR(INDEX('Materials Master'!$B$2:$B$27,MATCH($C683,'Materials Master'!$A$2:$A$27,0)),"")</f>
        <v>Beverage Cartons</v>
      </c>
      <c r="E683" s="0" t="str">
        <f aca="false">IFERROR(INDEX('Materials Master'!$C$2:$C$27,MATCH($C683,'Materials Master'!$A$2:$A$27,0)),"")</f>
        <v>Fibers</v>
      </c>
      <c r="F683" s="0" t="n">
        <f aca="false">IF(SUMIFS(Fact_SortedWeights!$E$2:$E$89,Fact_SortedWeights!$C$2:$C$89,$A683,Fact_SortedWeights!$B$2:$B$89,$B683)=0,0,SUMIFS(Fact_SortedWeights!$E$2:$E$89,Fact_SortedWeights!$C$2:$C$89,$A683,Fact_SortedWeights!$B$2:$B$89,$B683,Fact_SortedWeights!$D$2:$D$89,$C683)/SUMIFS(Fact_SortedWeights!$E$2:$E$89,Fact_SortedWeights!$C$2:$C$89,$A683,Fact_SortedWeights!$B$2:$B$89,$B683)*(IF($B683="Cardboard Recycling",SUMIFS(Fact_SortedWeights!$E$2:$E$89,Fact_SortedWeights!$C$2:$C$89,$A683,Fact_SortedWeights!$B$2:$B$89,$B683),SUMIFS(Fact_PreSortWeights!$E$2:$E$186,Fact_PreSortWeights!$C$2:$C$186,$A683,Fact_PreSortWeights!$B$2:$B$186,$B683))))</f>
        <v>0</v>
      </c>
      <c r="G683" s="0" t="n">
        <f aca="false">IF(AND(IF($B683="Trash",INDEX('Materials Master'!$F$2:$F$27,MATCH($C683,'Materials Master'!$A$2:$A$27,0)),IF($B683="GMPC Recycling",INDEX('Materials Master'!$G$2:$G$27,MATCH($C683,'Materials Master'!$A$2:$A$27,0)),IF($B683="Organics Recycling",INDEX('Materials Master'!$H$2:$H$27,MATCH($C683,'Materials Master'!$A$2:$A$27,0)),IF($B683="Cardboard Recycling",INDEX('Materials Master'!$I$2:$I$27,MATCH($C683,'Materials Master'!$A$2:$A$27,0)),IF($B683="Paper Recycling",INDEX('Materials Master'!$J$2:$J$27,MATCH($C683,'Materials Master'!$A$2:$A$27,0)),IF($B683="Terracycle",INDEX('Materials Master'!$K$2:$K$27,MATCH($C683,'Materials Master'!$A$2:$A$27,0)),"No"))))))="Yes",INDEX('Materials Master'!$E$2:$E$27,MATCH($C683,'Materials Master'!$A$2:$A$27,0))="Yes",$B683&lt;&gt;"Trash"),1,0)</f>
        <v>0</v>
      </c>
      <c r="H683" s="0" t="str">
        <f aca="false">INDEX('Materials Master'!$E$2:$E$27,MATCH($C683,'Materials Master'!$A$2:$A$27,0))</f>
        <v>Yes</v>
      </c>
      <c r="I683" s="0" t="str">
        <f aca="false">IFERROR(INDEX(Areas!$C$2:$C$6,MATCH($A683,Areas!$B$2:$B$6,0)),"")</f>
        <v>Rest of Building</v>
      </c>
      <c r="J683" s="0" t="n">
        <f aca="false">IF(IF($B683="Trash",INDEX('Materials Master'!$F$2:$F$27,MATCH($C683,'Materials Master'!$A$2:$A$27,0)),IF($B683="GMPC Recycling",INDEX('Materials Master'!$G$2:$G$27,MATCH($C683,'Materials Master'!$A$2:$A$27,0)),IF($B683="Organics Recycling",INDEX('Materials Master'!$H$2:$H$27,MATCH($C683,'Materials Master'!$A$2:$A$27,0)),IF($B683="Cardboard Recycling",INDEX('Materials Master'!$I$2:$I$27,MATCH($C683,'Materials Master'!$A$2:$A$27,0)),IF($B683="Paper Recycling",INDEX('Materials Master'!$J$2:$J$27,MATCH($C683,'Materials Master'!$A$2:$A$27,0)),IF($B683="Terracycle",INDEX('Materials Master'!$K$2:$K$27,MATCH($C683,'Materials Master'!$A$2:$A$27,0)),"No"))))))="Yes",1,0)</f>
        <v>0</v>
      </c>
    </row>
    <row r="684" customFormat="false" ht="15" hidden="false" customHeight="false" outlineLevel="0" collapsed="false">
      <c r="A684" s="0" t="s">
        <v>101</v>
      </c>
      <c r="B684" s="0" t="s">
        <v>105</v>
      </c>
      <c r="C684" s="0" t="s">
        <v>43</v>
      </c>
      <c r="D684" s="0" t="str">
        <f aca="false">IFERROR(INDEX('Materials Master'!$B$2:$B$27,MATCH($C684,'Materials Master'!$A$2:$A$27,0)),"")</f>
        <v>Soiled Beverage Cartons</v>
      </c>
      <c r="E684" s="0" t="str">
        <f aca="false">IFERROR(INDEX('Materials Master'!$C$2:$C$27,MATCH($C684,'Materials Master'!$A$2:$A$27,0)),"")</f>
        <v>Fibers</v>
      </c>
      <c r="F684" s="0" t="n">
        <f aca="false">IF(SUMIFS(Fact_SortedWeights!$E$2:$E$89,Fact_SortedWeights!$C$2:$C$89,$A684,Fact_SortedWeights!$B$2:$B$89,$B684)=0,0,SUMIFS(Fact_SortedWeights!$E$2:$E$89,Fact_SortedWeights!$C$2:$C$89,$A684,Fact_SortedWeights!$B$2:$B$89,$B684,Fact_SortedWeights!$D$2:$D$89,$C684)/SUMIFS(Fact_SortedWeights!$E$2:$E$89,Fact_SortedWeights!$C$2:$C$89,$A684,Fact_SortedWeights!$B$2:$B$89,$B684)*(IF($B684="Cardboard Recycling",SUMIFS(Fact_SortedWeights!$E$2:$E$89,Fact_SortedWeights!$C$2:$C$89,$A684,Fact_SortedWeights!$B$2:$B$89,$B684),SUMIFS(Fact_PreSortWeights!$E$2:$E$186,Fact_PreSortWeights!$C$2:$C$186,$A684,Fact_PreSortWeights!$B$2:$B$186,$B684))))</f>
        <v>0</v>
      </c>
      <c r="G684" s="0" t="n">
        <f aca="false">IF(AND(IF($B684="Trash",INDEX('Materials Master'!$F$2:$F$27,MATCH($C684,'Materials Master'!$A$2:$A$27,0)),IF($B684="GMPC Recycling",INDEX('Materials Master'!$G$2:$G$27,MATCH($C684,'Materials Master'!$A$2:$A$27,0)),IF($B684="Organics Recycling",INDEX('Materials Master'!$H$2:$H$27,MATCH($C684,'Materials Master'!$A$2:$A$27,0)),IF($B684="Cardboard Recycling",INDEX('Materials Master'!$I$2:$I$27,MATCH($C684,'Materials Master'!$A$2:$A$27,0)),IF($B684="Paper Recycling",INDEX('Materials Master'!$J$2:$J$27,MATCH($C684,'Materials Master'!$A$2:$A$27,0)),IF($B684="Terracycle",INDEX('Materials Master'!$K$2:$K$27,MATCH($C684,'Materials Master'!$A$2:$A$27,0)),"No"))))))="Yes",INDEX('Materials Master'!$E$2:$E$27,MATCH($C684,'Materials Master'!$A$2:$A$27,0))="Yes",$B684&lt;&gt;"Trash"),1,0)</f>
        <v>0</v>
      </c>
      <c r="H684" s="0" t="str">
        <f aca="false">INDEX('Materials Master'!$E$2:$E$27,MATCH($C684,'Materials Master'!$A$2:$A$27,0))</f>
        <v>No</v>
      </c>
      <c r="I684" s="0" t="str">
        <f aca="false">IFERROR(INDEX(Areas!$C$2:$C$6,MATCH($A684,Areas!$B$2:$B$6,0)),"")</f>
        <v>Rest of Building</v>
      </c>
      <c r="J684" s="0" t="n">
        <f aca="false">IF(IF($B684="Trash",INDEX('Materials Master'!$F$2:$F$27,MATCH($C684,'Materials Master'!$A$2:$A$27,0)),IF($B684="GMPC Recycling",INDEX('Materials Master'!$G$2:$G$27,MATCH($C684,'Materials Master'!$A$2:$A$27,0)),IF($B684="Organics Recycling",INDEX('Materials Master'!$H$2:$H$27,MATCH($C684,'Materials Master'!$A$2:$A$27,0)),IF($B684="Cardboard Recycling",INDEX('Materials Master'!$I$2:$I$27,MATCH($C684,'Materials Master'!$A$2:$A$27,0)),IF($B684="Paper Recycling",INDEX('Materials Master'!$J$2:$J$27,MATCH($C684,'Materials Master'!$A$2:$A$27,0)),IF($B684="Terracycle",INDEX('Materials Master'!$K$2:$K$27,MATCH($C684,'Materials Master'!$A$2:$A$27,0)),"No"))))))="Yes",1,0)</f>
        <v>0</v>
      </c>
    </row>
    <row r="685" customFormat="false" ht="15" hidden="false" customHeight="false" outlineLevel="0" collapsed="false">
      <c r="A685" s="0" t="s">
        <v>101</v>
      </c>
      <c r="B685" s="0" t="s">
        <v>105</v>
      </c>
      <c r="C685" s="0" t="s">
        <v>45</v>
      </c>
      <c r="D685" s="0" t="str">
        <f aca="false">IFERROR(INDEX('Materials Master'!$B$2:$B$27,MATCH($C685,'Materials Master'!$A$2:$A$27,0)),"")</f>
        <v>Paper Cups / Other Coated Paper Containers</v>
      </c>
      <c r="E685" s="0" t="str">
        <f aca="false">IFERROR(INDEX('Materials Master'!$C$2:$C$27,MATCH($C685,'Materials Master'!$A$2:$A$27,0)),"")</f>
        <v>Fibers</v>
      </c>
      <c r="F685" s="0" t="n">
        <f aca="false">IF(SUMIFS(Fact_SortedWeights!$E$2:$E$89,Fact_SortedWeights!$C$2:$C$89,$A685,Fact_SortedWeights!$B$2:$B$89,$B685)=0,0,SUMIFS(Fact_SortedWeights!$E$2:$E$89,Fact_SortedWeights!$C$2:$C$89,$A685,Fact_SortedWeights!$B$2:$B$89,$B685,Fact_SortedWeights!$D$2:$D$89,$C685)/SUMIFS(Fact_SortedWeights!$E$2:$E$89,Fact_SortedWeights!$C$2:$C$89,$A685,Fact_SortedWeights!$B$2:$B$89,$B685)*(IF($B685="Cardboard Recycling",SUMIFS(Fact_SortedWeights!$E$2:$E$89,Fact_SortedWeights!$C$2:$C$89,$A685,Fact_SortedWeights!$B$2:$B$89,$B685),SUMIFS(Fact_PreSortWeights!$E$2:$E$186,Fact_PreSortWeights!$C$2:$C$186,$A685,Fact_PreSortWeights!$B$2:$B$186,$B685))))</f>
        <v>0</v>
      </c>
      <c r="G685" s="0" t="n">
        <f aca="false">IF(AND(IF($B685="Trash",INDEX('Materials Master'!$F$2:$F$27,MATCH($C685,'Materials Master'!$A$2:$A$27,0)),IF($B685="GMPC Recycling",INDEX('Materials Master'!$G$2:$G$27,MATCH($C685,'Materials Master'!$A$2:$A$27,0)),IF($B685="Organics Recycling",INDEX('Materials Master'!$H$2:$H$27,MATCH($C685,'Materials Master'!$A$2:$A$27,0)),IF($B685="Cardboard Recycling",INDEX('Materials Master'!$I$2:$I$27,MATCH($C685,'Materials Master'!$A$2:$A$27,0)),IF($B685="Paper Recycling",INDEX('Materials Master'!$J$2:$J$27,MATCH($C685,'Materials Master'!$A$2:$A$27,0)),IF($B685="Terracycle",INDEX('Materials Master'!$K$2:$K$27,MATCH($C685,'Materials Master'!$A$2:$A$27,0)),"No"))))))="Yes",INDEX('Materials Master'!$E$2:$E$27,MATCH($C685,'Materials Master'!$A$2:$A$27,0))="Yes",$B685&lt;&gt;"Trash"),1,0)</f>
        <v>0</v>
      </c>
      <c r="H685" s="0" t="str">
        <f aca="false">INDEX('Materials Master'!$E$2:$E$27,MATCH($C685,'Materials Master'!$A$2:$A$27,0))</f>
        <v>No</v>
      </c>
      <c r="I685" s="0" t="str">
        <f aca="false">IFERROR(INDEX(Areas!$C$2:$C$6,MATCH($A685,Areas!$B$2:$B$6,0)),"")</f>
        <v>Rest of Building</v>
      </c>
      <c r="J685" s="0" t="n">
        <f aca="false">IF(IF($B685="Trash",INDEX('Materials Master'!$F$2:$F$27,MATCH($C685,'Materials Master'!$A$2:$A$27,0)),IF($B685="GMPC Recycling",INDEX('Materials Master'!$G$2:$G$27,MATCH($C685,'Materials Master'!$A$2:$A$27,0)),IF($B685="Organics Recycling",INDEX('Materials Master'!$H$2:$H$27,MATCH($C685,'Materials Master'!$A$2:$A$27,0)),IF($B685="Cardboard Recycling",INDEX('Materials Master'!$I$2:$I$27,MATCH($C685,'Materials Master'!$A$2:$A$27,0)),IF($B685="Paper Recycling",INDEX('Materials Master'!$J$2:$J$27,MATCH($C685,'Materials Master'!$A$2:$A$27,0)),IF($B685="Terracycle",INDEX('Materials Master'!$K$2:$K$27,MATCH($C685,'Materials Master'!$A$2:$A$27,0)),"No"))))))="Yes",1,0)</f>
        <v>0</v>
      </c>
    </row>
    <row r="686" customFormat="false" ht="15" hidden="false" customHeight="false" outlineLevel="0" collapsed="false">
      <c r="A686" s="0" t="s">
        <v>101</v>
      </c>
      <c r="B686" s="0" t="s">
        <v>105</v>
      </c>
      <c r="C686" s="0" t="s">
        <v>47</v>
      </c>
      <c r="D686" s="0" t="str">
        <f aca="false">IFERROR(INDEX('Materials Master'!$B$2:$B$27,MATCH($C686,'Materials Master'!$A$2:$A$27,0)),"")</f>
        <v>Glass Bottles &amp; Jars</v>
      </c>
      <c r="E686" s="0" t="str">
        <f aca="false">IFERROR(INDEX('Materials Master'!$C$2:$C$27,MATCH($C686,'Materials Master'!$A$2:$A$27,0)),"")</f>
        <v>Glass</v>
      </c>
      <c r="F686" s="0" t="n">
        <f aca="false">IF(SUMIFS(Fact_SortedWeights!$E$2:$E$89,Fact_SortedWeights!$C$2:$C$89,$A686,Fact_SortedWeights!$B$2:$B$89,$B686)=0,0,SUMIFS(Fact_SortedWeights!$E$2:$E$89,Fact_SortedWeights!$C$2:$C$89,$A686,Fact_SortedWeights!$B$2:$B$89,$B686,Fact_SortedWeights!$D$2:$D$89,$C686)/SUMIFS(Fact_SortedWeights!$E$2:$E$89,Fact_SortedWeights!$C$2:$C$89,$A686,Fact_SortedWeights!$B$2:$B$89,$B686)*(IF($B686="Cardboard Recycling",SUMIFS(Fact_SortedWeights!$E$2:$E$89,Fact_SortedWeights!$C$2:$C$89,$A686,Fact_SortedWeights!$B$2:$B$89,$B686),SUMIFS(Fact_PreSortWeights!$E$2:$E$186,Fact_PreSortWeights!$C$2:$C$186,$A686,Fact_PreSortWeights!$B$2:$B$186,$B686))))</f>
        <v>0</v>
      </c>
      <c r="G686" s="0" t="n">
        <f aca="false">IF(AND(IF($B686="Trash",INDEX('Materials Master'!$F$2:$F$27,MATCH($C686,'Materials Master'!$A$2:$A$27,0)),IF($B686="GMPC Recycling",INDEX('Materials Master'!$G$2:$G$27,MATCH($C686,'Materials Master'!$A$2:$A$27,0)),IF($B686="Organics Recycling",INDEX('Materials Master'!$H$2:$H$27,MATCH($C686,'Materials Master'!$A$2:$A$27,0)),IF($B686="Cardboard Recycling",INDEX('Materials Master'!$I$2:$I$27,MATCH($C686,'Materials Master'!$A$2:$A$27,0)),IF($B686="Paper Recycling",INDEX('Materials Master'!$J$2:$J$27,MATCH($C686,'Materials Master'!$A$2:$A$27,0)),IF($B686="Terracycle",INDEX('Materials Master'!$K$2:$K$27,MATCH($C686,'Materials Master'!$A$2:$A$27,0)),"No"))))))="Yes",INDEX('Materials Master'!$E$2:$E$27,MATCH($C686,'Materials Master'!$A$2:$A$27,0))="Yes",$B686&lt;&gt;"Trash"),1,0)</f>
        <v>0</v>
      </c>
      <c r="H686" s="0" t="str">
        <f aca="false">INDEX('Materials Master'!$E$2:$E$27,MATCH($C686,'Materials Master'!$A$2:$A$27,0))</f>
        <v>Yes</v>
      </c>
      <c r="I686" s="0" t="str">
        <f aca="false">IFERROR(INDEX(Areas!$C$2:$C$6,MATCH($A686,Areas!$B$2:$B$6,0)),"")</f>
        <v>Rest of Building</v>
      </c>
      <c r="J686" s="0" t="n">
        <f aca="false">IF(IF($B686="Trash",INDEX('Materials Master'!$F$2:$F$27,MATCH($C686,'Materials Master'!$A$2:$A$27,0)),IF($B686="GMPC Recycling",INDEX('Materials Master'!$G$2:$G$27,MATCH($C686,'Materials Master'!$A$2:$A$27,0)),IF($B686="Organics Recycling",INDEX('Materials Master'!$H$2:$H$27,MATCH($C686,'Materials Master'!$A$2:$A$27,0)),IF($B686="Cardboard Recycling",INDEX('Materials Master'!$I$2:$I$27,MATCH($C686,'Materials Master'!$A$2:$A$27,0)),IF($B686="Paper Recycling",INDEX('Materials Master'!$J$2:$J$27,MATCH($C686,'Materials Master'!$A$2:$A$27,0)),IF($B686="Terracycle",INDEX('Materials Master'!$K$2:$K$27,MATCH($C686,'Materials Master'!$A$2:$A$27,0)),"No"))))))="Yes",1,0)</f>
        <v>0</v>
      </c>
    </row>
    <row r="687" customFormat="false" ht="15" hidden="false" customHeight="false" outlineLevel="0" collapsed="false">
      <c r="A687" s="0" t="s">
        <v>101</v>
      </c>
      <c r="B687" s="0" t="s">
        <v>105</v>
      </c>
      <c r="C687" s="0" t="s">
        <v>50</v>
      </c>
      <c r="D687" s="0" t="str">
        <f aca="false">IFERROR(INDEX('Materials Master'!$B$2:$B$27,MATCH($C687,'Materials Master'!$A$2:$A$27,0)),"")</f>
        <v>Soiled Glass</v>
      </c>
      <c r="E687" s="0" t="str">
        <f aca="false">IFERROR(INDEX('Materials Master'!$C$2:$C$27,MATCH($C687,'Materials Master'!$A$2:$A$27,0)),"")</f>
        <v>Glass</v>
      </c>
      <c r="F687" s="0" t="n">
        <f aca="false">IF(SUMIFS(Fact_SortedWeights!$E$2:$E$89,Fact_SortedWeights!$C$2:$C$89,$A687,Fact_SortedWeights!$B$2:$B$89,$B687)=0,0,SUMIFS(Fact_SortedWeights!$E$2:$E$89,Fact_SortedWeights!$C$2:$C$89,$A687,Fact_SortedWeights!$B$2:$B$89,$B687,Fact_SortedWeights!$D$2:$D$89,$C687)/SUMIFS(Fact_SortedWeights!$E$2:$E$89,Fact_SortedWeights!$C$2:$C$89,$A687,Fact_SortedWeights!$B$2:$B$89,$B687)*(IF($B687="Cardboard Recycling",SUMIFS(Fact_SortedWeights!$E$2:$E$89,Fact_SortedWeights!$C$2:$C$89,$A687,Fact_SortedWeights!$B$2:$B$89,$B687),SUMIFS(Fact_PreSortWeights!$E$2:$E$186,Fact_PreSortWeights!$C$2:$C$186,$A687,Fact_PreSortWeights!$B$2:$B$186,$B687))))</f>
        <v>0</v>
      </c>
      <c r="G687" s="0" t="n">
        <f aca="false">IF(AND(IF($B687="Trash",INDEX('Materials Master'!$F$2:$F$27,MATCH($C687,'Materials Master'!$A$2:$A$27,0)),IF($B687="GMPC Recycling",INDEX('Materials Master'!$G$2:$G$27,MATCH($C687,'Materials Master'!$A$2:$A$27,0)),IF($B687="Organics Recycling",INDEX('Materials Master'!$H$2:$H$27,MATCH($C687,'Materials Master'!$A$2:$A$27,0)),IF($B687="Cardboard Recycling",INDEX('Materials Master'!$I$2:$I$27,MATCH($C687,'Materials Master'!$A$2:$A$27,0)),IF($B687="Paper Recycling",INDEX('Materials Master'!$J$2:$J$27,MATCH($C687,'Materials Master'!$A$2:$A$27,0)),IF($B687="Terracycle",INDEX('Materials Master'!$K$2:$K$27,MATCH($C687,'Materials Master'!$A$2:$A$27,0)),"No"))))))="Yes",INDEX('Materials Master'!$E$2:$E$27,MATCH($C687,'Materials Master'!$A$2:$A$27,0))="Yes",$B687&lt;&gt;"Trash"),1,0)</f>
        <v>0</v>
      </c>
      <c r="H687" s="0" t="str">
        <f aca="false">INDEX('Materials Master'!$E$2:$E$27,MATCH($C687,'Materials Master'!$A$2:$A$27,0))</f>
        <v>No</v>
      </c>
      <c r="I687" s="0" t="str">
        <f aca="false">IFERROR(INDEX(Areas!$C$2:$C$6,MATCH($A687,Areas!$B$2:$B$6,0)),"")</f>
        <v>Rest of Building</v>
      </c>
      <c r="J687" s="0" t="n">
        <f aca="false">IF(IF($B687="Trash",INDEX('Materials Master'!$F$2:$F$27,MATCH($C687,'Materials Master'!$A$2:$A$27,0)),IF($B687="GMPC Recycling",INDEX('Materials Master'!$G$2:$G$27,MATCH($C687,'Materials Master'!$A$2:$A$27,0)),IF($B687="Organics Recycling",INDEX('Materials Master'!$H$2:$H$27,MATCH($C687,'Materials Master'!$A$2:$A$27,0)),IF($B687="Cardboard Recycling",INDEX('Materials Master'!$I$2:$I$27,MATCH($C687,'Materials Master'!$A$2:$A$27,0)),IF($B687="Paper Recycling",INDEX('Materials Master'!$J$2:$J$27,MATCH($C687,'Materials Master'!$A$2:$A$27,0)),IF($B687="Terracycle",INDEX('Materials Master'!$K$2:$K$27,MATCH($C687,'Materials Master'!$A$2:$A$27,0)),"No"))))))="Yes",1,0)</f>
        <v>0</v>
      </c>
    </row>
    <row r="688" customFormat="false" ht="15" hidden="false" customHeight="false" outlineLevel="0" collapsed="false">
      <c r="A688" s="0" t="s">
        <v>101</v>
      </c>
      <c r="B688" s="0" t="s">
        <v>105</v>
      </c>
      <c r="C688" s="0" t="s">
        <v>52</v>
      </c>
      <c r="D688" s="0" t="str">
        <f aca="false">IFERROR(INDEX('Materials Master'!$B$2:$B$27,MATCH($C688,'Materials Master'!$A$2:$A$27,0)),"")</f>
        <v>Aluminum &amp; Bi-Metal Containers</v>
      </c>
      <c r="E688" s="0" t="str">
        <f aca="false">IFERROR(INDEX('Materials Master'!$C$2:$C$27,MATCH($C688,'Materials Master'!$A$2:$A$27,0)),"")</f>
        <v>Metals</v>
      </c>
      <c r="F688" s="0" t="n">
        <f aca="false">IF(SUMIFS(Fact_SortedWeights!$E$2:$E$89,Fact_SortedWeights!$C$2:$C$89,$A688,Fact_SortedWeights!$B$2:$B$89,$B688)=0,0,SUMIFS(Fact_SortedWeights!$E$2:$E$89,Fact_SortedWeights!$C$2:$C$89,$A688,Fact_SortedWeights!$B$2:$B$89,$B688,Fact_SortedWeights!$D$2:$D$89,$C688)/SUMIFS(Fact_SortedWeights!$E$2:$E$89,Fact_SortedWeights!$C$2:$C$89,$A688,Fact_SortedWeights!$B$2:$B$89,$B688)*(IF($B688="Cardboard Recycling",SUMIFS(Fact_SortedWeights!$E$2:$E$89,Fact_SortedWeights!$C$2:$C$89,$A688,Fact_SortedWeights!$B$2:$B$89,$B688),SUMIFS(Fact_PreSortWeights!$E$2:$E$186,Fact_PreSortWeights!$C$2:$C$186,$A688,Fact_PreSortWeights!$B$2:$B$186,$B688))))</f>
        <v>0</v>
      </c>
      <c r="G688" s="0" t="n">
        <f aca="false">IF(AND(IF($B688="Trash",INDEX('Materials Master'!$F$2:$F$27,MATCH($C688,'Materials Master'!$A$2:$A$27,0)),IF($B688="GMPC Recycling",INDEX('Materials Master'!$G$2:$G$27,MATCH($C688,'Materials Master'!$A$2:$A$27,0)),IF($B688="Organics Recycling",INDEX('Materials Master'!$H$2:$H$27,MATCH($C688,'Materials Master'!$A$2:$A$27,0)),IF($B688="Cardboard Recycling",INDEX('Materials Master'!$I$2:$I$27,MATCH($C688,'Materials Master'!$A$2:$A$27,0)),IF($B688="Paper Recycling",INDEX('Materials Master'!$J$2:$J$27,MATCH($C688,'Materials Master'!$A$2:$A$27,0)),IF($B688="Terracycle",INDEX('Materials Master'!$K$2:$K$27,MATCH($C688,'Materials Master'!$A$2:$A$27,0)),"No"))))))="Yes",INDEX('Materials Master'!$E$2:$E$27,MATCH($C688,'Materials Master'!$A$2:$A$27,0))="Yes",$B688&lt;&gt;"Trash"),1,0)</f>
        <v>0</v>
      </c>
      <c r="H688" s="0" t="str">
        <f aca="false">INDEX('Materials Master'!$E$2:$E$27,MATCH($C688,'Materials Master'!$A$2:$A$27,0))</f>
        <v>Yes</v>
      </c>
      <c r="I688" s="0" t="str">
        <f aca="false">IFERROR(INDEX(Areas!$C$2:$C$6,MATCH($A688,Areas!$B$2:$B$6,0)),"")</f>
        <v>Rest of Building</v>
      </c>
      <c r="J688" s="0" t="n">
        <f aca="false">IF(IF($B688="Trash",INDEX('Materials Master'!$F$2:$F$27,MATCH($C688,'Materials Master'!$A$2:$A$27,0)),IF($B688="GMPC Recycling",INDEX('Materials Master'!$G$2:$G$27,MATCH($C688,'Materials Master'!$A$2:$A$27,0)),IF($B688="Organics Recycling",INDEX('Materials Master'!$H$2:$H$27,MATCH($C688,'Materials Master'!$A$2:$A$27,0)),IF($B688="Cardboard Recycling",INDEX('Materials Master'!$I$2:$I$27,MATCH($C688,'Materials Master'!$A$2:$A$27,0)),IF($B688="Paper Recycling",INDEX('Materials Master'!$J$2:$J$27,MATCH($C688,'Materials Master'!$A$2:$A$27,0)),IF($B688="Terracycle",INDEX('Materials Master'!$K$2:$K$27,MATCH($C688,'Materials Master'!$A$2:$A$27,0)),"No"))))))="Yes",1,0)</f>
        <v>0</v>
      </c>
    </row>
    <row r="689" customFormat="false" ht="15" hidden="false" customHeight="false" outlineLevel="0" collapsed="false">
      <c r="A689" s="0" t="s">
        <v>101</v>
      </c>
      <c r="B689" s="0" t="s">
        <v>105</v>
      </c>
      <c r="C689" s="0" t="s">
        <v>55</v>
      </c>
      <c r="D689" s="0" t="str">
        <f aca="false">IFERROR(INDEX('Materials Master'!$B$2:$B$27,MATCH($C689,'Materials Master'!$A$2:$A$27,0)),"")</f>
        <v>Soiled Metals</v>
      </c>
      <c r="E689" s="0" t="str">
        <f aca="false">IFERROR(INDEX('Materials Master'!$C$2:$C$27,MATCH($C689,'Materials Master'!$A$2:$A$27,0)),"")</f>
        <v>Metals</v>
      </c>
      <c r="F689" s="0" t="n">
        <f aca="false">IF(SUMIFS(Fact_SortedWeights!$E$2:$E$89,Fact_SortedWeights!$C$2:$C$89,$A689,Fact_SortedWeights!$B$2:$B$89,$B689)=0,0,SUMIFS(Fact_SortedWeights!$E$2:$E$89,Fact_SortedWeights!$C$2:$C$89,$A689,Fact_SortedWeights!$B$2:$B$89,$B689,Fact_SortedWeights!$D$2:$D$89,$C689)/SUMIFS(Fact_SortedWeights!$E$2:$E$89,Fact_SortedWeights!$C$2:$C$89,$A689,Fact_SortedWeights!$B$2:$B$89,$B689)*(IF($B689="Cardboard Recycling",SUMIFS(Fact_SortedWeights!$E$2:$E$89,Fact_SortedWeights!$C$2:$C$89,$A689,Fact_SortedWeights!$B$2:$B$89,$B689),SUMIFS(Fact_PreSortWeights!$E$2:$E$186,Fact_PreSortWeights!$C$2:$C$186,$A689,Fact_PreSortWeights!$B$2:$B$186,$B689))))</f>
        <v>0</v>
      </c>
      <c r="G689" s="0" t="n">
        <f aca="false">IF(AND(IF($B689="Trash",INDEX('Materials Master'!$F$2:$F$27,MATCH($C689,'Materials Master'!$A$2:$A$27,0)),IF($B689="GMPC Recycling",INDEX('Materials Master'!$G$2:$G$27,MATCH($C689,'Materials Master'!$A$2:$A$27,0)),IF($B689="Organics Recycling",INDEX('Materials Master'!$H$2:$H$27,MATCH($C689,'Materials Master'!$A$2:$A$27,0)),IF($B689="Cardboard Recycling",INDEX('Materials Master'!$I$2:$I$27,MATCH($C689,'Materials Master'!$A$2:$A$27,0)),IF($B689="Paper Recycling",INDEX('Materials Master'!$J$2:$J$27,MATCH($C689,'Materials Master'!$A$2:$A$27,0)),IF($B689="Terracycle",INDEX('Materials Master'!$K$2:$K$27,MATCH($C689,'Materials Master'!$A$2:$A$27,0)),"No"))))))="Yes",INDEX('Materials Master'!$E$2:$E$27,MATCH($C689,'Materials Master'!$A$2:$A$27,0))="Yes",$B689&lt;&gt;"Trash"),1,0)</f>
        <v>0</v>
      </c>
      <c r="H689" s="0" t="str">
        <f aca="false">INDEX('Materials Master'!$E$2:$E$27,MATCH($C689,'Materials Master'!$A$2:$A$27,0))</f>
        <v>No</v>
      </c>
      <c r="I689" s="0" t="str">
        <f aca="false">IFERROR(INDEX(Areas!$C$2:$C$6,MATCH($A689,Areas!$B$2:$B$6,0)),"")</f>
        <v>Rest of Building</v>
      </c>
      <c r="J689" s="0" t="n">
        <f aca="false">IF(IF($B689="Trash",INDEX('Materials Master'!$F$2:$F$27,MATCH($C689,'Materials Master'!$A$2:$A$27,0)),IF($B689="GMPC Recycling",INDEX('Materials Master'!$G$2:$G$27,MATCH($C689,'Materials Master'!$A$2:$A$27,0)),IF($B689="Organics Recycling",INDEX('Materials Master'!$H$2:$H$27,MATCH($C689,'Materials Master'!$A$2:$A$27,0)),IF($B689="Cardboard Recycling",INDEX('Materials Master'!$I$2:$I$27,MATCH($C689,'Materials Master'!$A$2:$A$27,0)),IF($B689="Paper Recycling",INDEX('Materials Master'!$J$2:$J$27,MATCH($C689,'Materials Master'!$A$2:$A$27,0)),IF($B689="Terracycle",INDEX('Materials Master'!$K$2:$K$27,MATCH($C689,'Materials Master'!$A$2:$A$27,0)),"No"))))))="Yes",1,0)</f>
        <v>0</v>
      </c>
    </row>
    <row r="690" customFormat="false" ht="15" hidden="false" customHeight="false" outlineLevel="0" collapsed="false">
      <c r="A690" s="0" t="s">
        <v>101</v>
      </c>
      <c r="B690" s="0" t="s">
        <v>105</v>
      </c>
      <c r="C690" s="0" t="s">
        <v>57</v>
      </c>
      <c r="D690" s="0" t="str">
        <f aca="false">IFERROR(INDEX('Materials Master'!$B$2:$B$27,MATCH($C690,'Materials Master'!$A$2:$A$27,0)),"")</f>
        <v>Rigid Plastics (1-6)</v>
      </c>
      <c r="E690" s="0" t="str">
        <f aca="false">IFERROR(INDEX('Materials Master'!$C$2:$C$27,MATCH($C690,'Materials Master'!$A$2:$A$27,0)),"")</f>
        <v>Plastics</v>
      </c>
      <c r="F690" s="0" t="n">
        <f aca="false">IF(SUMIFS(Fact_SortedWeights!$E$2:$E$89,Fact_SortedWeights!$C$2:$C$89,$A690,Fact_SortedWeights!$B$2:$B$89,$B690)=0,0,SUMIFS(Fact_SortedWeights!$E$2:$E$89,Fact_SortedWeights!$C$2:$C$89,$A690,Fact_SortedWeights!$B$2:$B$89,$B690,Fact_SortedWeights!$D$2:$D$89,$C690)/SUMIFS(Fact_SortedWeights!$E$2:$E$89,Fact_SortedWeights!$C$2:$C$89,$A690,Fact_SortedWeights!$B$2:$B$89,$B690)*(IF($B690="Cardboard Recycling",SUMIFS(Fact_SortedWeights!$E$2:$E$89,Fact_SortedWeights!$C$2:$C$89,$A690,Fact_SortedWeights!$B$2:$B$89,$B690),SUMIFS(Fact_PreSortWeights!$E$2:$E$186,Fact_PreSortWeights!$C$2:$C$186,$A690,Fact_PreSortWeights!$B$2:$B$186,$B690))))</f>
        <v>0</v>
      </c>
      <c r="G690" s="0" t="n">
        <f aca="false">IF(AND(IF($B690="Trash",INDEX('Materials Master'!$F$2:$F$27,MATCH($C690,'Materials Master'!$A$2:$A$27,0)),IF($B690="GMPC Recycling",INDEX('Materials Master'!$G$2:$G$27,MATCH($C690,'Materials Master'!$A$2:$A$27,0)),IF($B690="Organics Recycling",INDEX('Materials Master'!$H$2:$H$27,MATCH($C690,'Materials Master'!$A$2:$A$27,0)),IF($B690="Cardboard Recycling",INDEX('Materials Master'!$I$2:$I$27,MATCH($C690,'Materials Master'!$A$2:$A$27,0)),IF($B690="Paper Recycling",INDEX('Materials Master'!$J$2:$J$27,MATCH($C690,'Materials Master'!$A$2:$A$27,0)),IF($B690="Terracycle",INDEX('Materials Master'!$K$2:$K$27,MATCH($C690,'Materials Master'!$A$2:$A$27,0)),"No"))))))="Yes",INDEX('Materials Master'!$E$2:$E$27,MATCH($C690,'Materials Master'!$A$2:$A$27,0))="Yes",$B690&lt;&gt;"Trash"),1,0)</f>
        <v>0</v>
      </c>
      <c r="H690" s="0" t="str">
        <f aca="false">INDEX('Materials Master'!$E$2:$E$27,MATCH($C690,'Materials Master'!$A$2:$A$27,0))</f>
        <v>Yes</v>
      </c>
      <c r="I690" s="0" t="str">
        <f aca="false">IFERROR(INDEX(Areas!$C$2:$C$6,MATCH($A690,Areas!$B$2:$B$6,0)),"")</f>
        <v>Rest of Building</v>
      </c>
      <c r="J690" s="0" t="n">
        <f aca="false">IF(IF($B690="Trash",INDEX('Materials Master'!$F$2:$F$27,MATCH($C690,'Materials Master'!$A$2:$A$27,0)),IF($B690="GMPC Recycling",INDEX('Materials Master'!$G$2:$G$27,MATCH($C690,'Materials Master'!$A$2:$A$27,0)),IF($B690="Organics Recycling",INDEX('Materials Master'!$H$2:$H$27,MATCH($C690,'Materials Master'!$A$2:$A$27,0)),IF($B690="Cardboard Recycling",INDEX('Materials Master'!$I$2:$I$27,MATCH($C690,'Materials Master'!$A$2:$A$27,0)),IF($B690="Paper Recycling",INDEX('Materials Master'!$J$2:$J$27,MATCH($C690,'Materials Master'!$A$2:$A$27,0)),IF($B690="Terracycle",INDEX('Materials Master'!$K$2:$K$27,MATCH($C690,'Materials Master'!$A$2:$A$27,0)),"No"))))))="Yes",1,0)</f>
        <v>0</v>
      </c>
    </row>
    <row r="691" customFormat="false" ht="15" hidden="false" customHeight="false" outlineLevel="0" collapsed="false">
      <c r="A691" s="0" t="s">
        <v>101</v>
      </c>
      <c r="B691" s="0" t="s">
        <v>105</v>
      </c>
      <c r="C691" s="0" t="s">
        <v>60</v>
      </c>
      <c r="D691" s="0" t="str">
        <f aca="false">IFERROR(INDEX('Materials Master'!$B$2:$B$27,MATCH($C691,'Materials Master'!$A$2:$A$27,0)),"")</f>
        <v>Soiled Rigid Plastics</v>
      </c>
      <c r="E691" s="0" t="str">
        <f aca="false">IFERROR(INDEX('Materials Master'!$C$2:$C$27,MATCH($C691,'Materials Master'!$A$2:$A$27,0)),"")</f>
        <v>Plastics</v>
      </c>
      <c r="F691" s="0" t="n">
        <f aca="false">IF(SUMIFS(Fact_SortedWeights!$E$2:$E$89,Fact_SortedWeights!$C$2:$C$89,$A691,Fact_SortedWeights!$B$2:$B$89,$B691)=0,0,SUMIFS(Fact_SortedWeights!$E$2:$E$89,Fact_SortedWeights!$C$2:$C$89,$A691,Fact_SortedWeights!$B$2:$B$89,$B691,Fact_SortedWeights!$D$2:$D$89,$C691)/SUMIFS(Fact_SortedWeights!$E$2:$E$89,Fact_SortedWeights!$C$2:$C$89,$A691,Fact_SortedWeights!$B$2:$B$89,$B691)*(IF($B691="Cardboard Recycling",SUMIFS(Fact_SortedWeights!$E$2:$E$89,Fact_SortedWeights!$C$2:$C$89,$A691,Fact_SortedWeights!$B$2:$B$89,$B691),SUMIFS(Fact_PreSortWeights!$E$2:$E$186,Fact_PreSortWeights!$C$2:$C$186,$A691,Fact_PreSortWeights!$B$2:$B$186,$B691))))</f>
        <v>0</v>
      </c>
      <c r="G691" s="0" t="n">
        <f aca="false">IF(AND(IF($B691="Trash",INDEX('Materials Master'!$F$2:$F$27,MATCH($C691,'Materials Master'!$A$2:$A$27,0)),IF($B691="GMPC Recycling",INDEX('Materials Master'!$G$2:$G$27,MATCH($C691,'Materials Master'!$A$2:$A$27,0)),IF($B691="Organics Recycling",INDEX('Materials Master'!$H$2:$H$27,MATCH($C691,'Materials Master'!$A$2:$A$27,0)),IF($B691="Cardboard Recycling",INDEX('Materials Master'!$I$2:$I$27,MATCH($C691,'Materials Master'!$A$2:$A$27,0)),IF($B691="Paper Recycling",INDEX('Materials Master'!$J$2:$J$27,MATCH($C691,'Materials Master'!$A$2:$A$27,0)),IF($B691="Terracycle",INDEX('Materials Master'!$K$2:$K$27,MATCH($C691,'Materials Master'!$A$2:$A$27,0)),"No"))))))="Yes",INDEX('Materials Master'!$E$2:$E$27,MATCH($C691,'Materials Master'!$A$2:$A$27,0))="Yes",$B691&lt;&gt;"Trash"),1,0)</f>
        <v>0</v>
      </c>
      <c r="H691" s="0" t="str">
        <f aca="false">INDEX('Materials Master'!$E$2:$E$27,MATCH($C691,'Materials Master'!$A$2:$A$27,0))</f>
        <v>No</v>
      </c>
      <c r="I691" s="0" t="str">
        <f aca="false">IFERROR(INDEX(Areas!$C$2:$C$6,MATCH($A691,Areas!$B$2:$B$6,0)),"")</f>
        <v>Rest of Building</v>
      </c>
      <c r="J691" s="0" t="n">
        <f aca="false">IF(IF($B691="Trash",INDEX('Materials Master'!$F$2:$F$27,MATCH($C691,'Materials Master'!$A$2:$A$27,0)),IF($B691="GMPC Recycling",INDEX('Materials Master'!$G$2:$G$27,MATCH($C691,'Materials Master'!$A$2:$A$27,0)),IF($B691="Organics Recycling",INDEX('Materials Master'!$H$2:$H$27,MATCH($C691,'Materials Master'!$A$2:$A$27,0)),IF($B691="Cardboard Recycling",INDEX('Materials Master'!$I$2:$I$27,MATCH($C691,'Materials Master'!$A$2:$A$27,0)),IF($B691="Paper Recycling",INDEX('Materials Master'!$J$2:$J$27,MATCH($C691,'Materials Master'!$A$2:$A$27,0)),IF($B691="Terracycle",INDEX('Materials Master'!$K$2:$K$27,MATCH($C691,'Materials Master'!$A$2:$A$27,0)),"No"))))))="Yes",1,0)</f>
        <v>0</v>
      </c>
    </row>
    <row r="692" customFormat="false" ht="15" hidden="false" customHeight="false" outlineLevel="0" collapsed="false">
      <c r="A692" s="0" t="s">
        <v>101</v>
      </c>
      <c r="B692" s="0" t="s">
        <v>105</v>
      </c>
      <c r="C692" s="0" t="s">
        <v>62</v>
      </c>
      <c r="D692" s="0" t="str">
        <f aca="false">IFERROR(INDEX('Materials Master'!$B$2:$B$27,MATCH($C692,'Materials Master'!$A$2:$A$27,0)),"")</f>
        <v>Film Plastics</v>
      </c>
      <c r="E692" s="0" t="str">
        <f aca="false">IFERROR(INDEX('Materials Master'!$C$2:$C$27,MATCH($C692,'Materials Master'!$A$2:$A$27,0)),"")</f>
        <v>Plastics</v>
      </c>
      <c r="F692" s="0" t="n">
        <f aca="false">IF(SUMIFS(Fact_SortedWeights!$E$2:$E$89,Fact_SortedWeights!$C$2:$C$89,$A692,Fact_SortedWeights!$B$2:$B$89,$B692)=0,0,SUMIFS(Fact_SortedWeights!$E$2:$E$89,Fact_SortedWeights!$C$2:$C$89,$A692,Fact_SortedWeights!$B$2:$B$89,$B692,Fact_SortedWeights!$D$2:$D$89,$C692)/SUMIFS(Fact_SortedWeights!$E$2:$E$89,Fact_SortedWeights!$C$2:$C$89,$A692,Fact_SortedWeights!$B$2:$B$89,$B692)*(IF($B692="Cardboard Recycling",SUMIFS(Fact_SortedWeights!$E$2:$E$89,Fact_SortedWeights!$C$2:$C$89,$A692,Fact_SortedWeights!$B$2:$B$89,$B692),SUMIFS(Fact_PreSortWeights!$E$2:$E$186,Fact_PreSortWeights!$C$2:$C$186,$A692,Fact_PreSortWeights!$B$2:$B$186,$B692))))</f>
        <v>0</v>
      </c>
      <c r="G692" s="0" t="n">
        <f aca="false">IF(AND(IF($B692="Trash",INDEX('Materials Master'!$F$2:$F$27,MATCH($C692,'Materials Master'!$A$2:$A$27,0)),IF($B692="GMPC Recycling",INDEX('Materials Master'!$G$2:$G$27,MATCH($C692,'Materials Master'!$A$2:$A$27,0)),IF($B692="Organics Recycling",INDEX('Materials Master'!$H$2:$H$27,MATCH($C692,'Materials Master'!$A$2:$A$27,0)),IF($B692="Cardboard Recycling",INDEX('Materials Master'!$I$2:$I$27,MATCH($C692,'Materials Master'!$A$2:$A$27,0)),IF($B692="Paper Recycling",INDEX('Materials Master'!$J$2:$J$27,MATCH($C692,'Materials Master'!$A$2:$A$27,0)),IF($B692="Terracycle",INDEX('Materials Master'!$K$2:$K$27,MATCH($C692,'Materials Master'!$A$2:$A$27,0)),"No"))))))="Yes",INDEX('Materials Master'!$E$2:$E$27,MATCH($C692,'Materials Master'!$A$2:$A$27,0))="Yes",$B692&lt;&gt;"Trash"),1,0)</f>
        <v>0</v>
      </c>
      <c r="H692" s="0" t="str">
        <f aca="false">INDEX('Materials Master'!$E$2:$E$27,MATCH($C692,'Materials Master'!$A$2:$A$27,0))</f>
        <v>No</v>
      </c>
      <c r="I692" s="0" t="str">
        <f aca="false">IFERROR(INDEX(Areas!$C$2:$C$6,MATCH($A692,Areas!$B$2:$B$6,0)),"")</f>
        <v>Rest of Building</v>
      </c>
      <c r="J692" s="0" t="n">
        <f aca="false">IF(IF($B692="Trash",INDEX('Materials Master'!$F$2:$F$27,MATCH($C692,'Materials Master'!$A$2:$A$27,0)),IF($B692="GMPC Recycling",INDEX('Materials Master'!$G$2:$G$27,MATCH($C692,'Materials Master'!$A$2:$A$27,0)),IF($B692="Organics Recycling",INDEX('Materials Master'!$H$2:$H$27,MATCH($C692,'Materials Master'!$A$2:$A$27,0)),IF($B692="Cardboard Recycling",INDEX('Materials Master'!$I$2:$I$27,MATCH($C692,'Materials Master'!$A$2:$A$27,0)),IF($B692="Paper Recycling",INDEX('Materials Master'!$J$2:$J$27,MATCH($C692,'Materials Master'!$A$2:$A$27,0)),IF($B692="Terracycle",INDEX('Materials Master'!$K$2:$K$27,MATCH($C692,'Materials Master'!$A$2:$A$27,0)),"No"))))))="Yes",1,0)</f>
        <v>0</v>
      </c>
    </row>
    <row r="693" customFormat="false" ht="15" hidden="false" customHeight="false" outlineLevel="0" collapsed="false">
      <c r="A693" s="0" t="s">
        <v>101</v>
      </c>
      <c r="B693" s="0" t="s">
        <v>105</v>
      </c>
      <c r="C693" s="0" t="s">
        <v>64</v>
      </c>
      <c r="D693" s="0" t="str">
        <f aca="false">IFERROR(INDEX('Materials Master'!$B$2:$B$27,MATCH($C693,'Materials Master'!$A$2:$A$27,0)),"")</f>
        <v>Foams</v>
      </c>
      <c r="E693" s="0" t="str">
        <f aca="false">IFERROR(INDEX('Materials Master'!$C$2:$C$27,MATCH($C693,'Materials Master'!$A$2:$A$27,0)),"")</f>
        <v>Plastics</v>
      </c>
      <c r="F693" s="0" t="n">
        <f aca="false">IF(SUMIFS(Fact_SortedWeights!$E$2:$E$89,Fact_SortedWeights!$C$2:$C$89,$A693,Fact_SortedWeights!$B$2:$B$89,$B693)=0,0,SUMIFS(Fact_SortedWeights!$E$2:$E$89,Fact_SortedWeights!$C$2:$C$89,$A693,Fact_SortedWeights!$B$2:$B$89,$B693,Fact_SortedWeights!$D$2:$D$89,$C693)/SUMIFS(Fact_SortedWeights!$E$2:$E$89,Fact_SortedWeights!$C$2:$C$89,$A693,Fact_SortedWeights!$B$2:$B$89,$B693)*(IF($B693="Cardboard Recycling",SUMIFS(Fact_SortedWeights!$E$2:$E$89,Fact_SortedWeights!$C$2:$C$89,$A693,Fact_SortedWeights!$B$2:$B$89,$B693),SUMIFS(Fact_PreSortWeights!$E$2:$E$186,Fact_PreSortWeights!$C$2:$C$186,$A693,Fact_PreSortWeights!$B$2:$B$186,$B693))))</f>
        <v>0</v>
      </c>
      <c r="G693" s="0" t="n">
        <f aca="false">IF(AND(IF($B693="Trash",INDEX('Materials Master'!$F$2:$F$27,MATCH($C693,'Materials Master'!$A$2:$A$27,0)),IF($B693="GMPC Recycling",INDEX('Materials Master'!$G$2:$G$27,MATCH($C693,'Materials Master'!$A$2:$A$27,0)),IF($B693="Organics Recycling",INDEX('Materials Master'!$H$2:$H$27,MATCH($C693,'Materials Master'!$A$2:$A$27,0)),IF($B693="Cardboard Recycling",INDEX('Materials Master'!$I$2:$I$27,MATCH($C693,'Materials Master'!$A$2:$A$27,0)),IF($B693="Paper Recycling",INDEX('Materials Master'!$J$2:$J$27,MATCH($C693,'Materials Master'!$A$2:$A$27,0)),IF($B693="Terracycle",INDEX('Materials Master'!$K$2:$K$27,MATCH($C693,'Materials Master'!$A$2:$A$27,0)),"No"))))))="Yes",INDEX('Materials Master'!$E$2:$E$27,MATCH($C693,'Materials Master'!$A$2:$A$27,0))="Yes",$B693&lt;&gt;"Trash"),1,0)</f>
        <v>0</v>
      </c>
      <c r="H693" s="0" t="str">
        <f aca="false">INDEX('Materials Master'!$E$2:$E$27,MATCH($C693,'Materials Master'!$A$2:$A$27,0))</f>
        <v>No</v>
      </c>
      <c r="I693" s="0" t="str">
        <f aca="false">IFERROR(INDEX(Areas!$C$2:$C$6,MATCH($A693,Areas!$B$2:$B$6,0)),"")</f>
        <v>Rest of Building</v>
      </c>
      <c r="J693" s="0" t="n">
        <f aca="false">IF(IF($B693="Trash",INDEX('Materials Master'!$F$2:$F$27,MATCH($C693,'Materials Master'!$A$2:$A$27,0)),IF($B693="GMPC Recycling",INDEX('Materials Master'!$G$2:$G$27,MATCH($C693,'Materials Master'!$A$2:$A$27,0)),IF($B693="Organics Recycling",INDEX('Materials Master'!$H$2:$H$27,MATCH($C693,'Materials Master'!$A$2:$A$27,0)),IF($B693="Cardboard Recycling",INDEX('Materials Master'!$I$2:$I$27,MATCH($C693,'Materials Master'!$A$2:$A$27,0)),IF($B693="Paper Recycling",INDEX('Materials Master'!$J$2:$J$27,MATCH($C693,'Materials Master'!$A$2:$A$27,0)),IF($B693="Terracycle",INDEX('Materials Master'!$K$2:$K$27,MATCH($C693,'Materials Master'!$A$2:$A$27,0)),"No"))))))="Yes",1,0)</f>
        <v>0</v>
      </c>
    </row>
    <row r="694" customFormat="false" ht="15" hidden="false" customHeight="false" outlineLevel="0" collapsed="false">
      <c r="A694" s="0" t="s">
        <v>101</v>
      </c>
      <c r="B694" s="0" t="s">
        <v>105</v>
      </c>
      <c r="C694" s="0" t="s">
        <v>66</v>
      </c>
      <c r="D694" s="0" t="str">
        <f aca="false">IFERROR(INDEX('Materials Master'!$B$2:$B$27,MATCH($C694,'Materials Master'!$A$2:$A$27,0)),"")</f>
        <v>Food Waste</v>
      </c>
      <c r="E694" s="0" t="str">
        <f aca="false">IFERROR(INDEX('Materials Master'!$C$2:$C$27,MATCH($C694,'Materials Master'!$A$2:$A$27,0)),"")</f>
        <v>Organics</v>
      </c>
      <c r="F694" s="0" t="n">
        <f aca="false">IF(SUMIFS(Fact_SortedWeights!$E$2:$E$89,Fact_SortedWeights!$C$2:$C$89,$A694,Fact_SortedWeights!$B$2:$B$89,$B694)=0,0,SUMIFS(Fact_SortedWeights!$E$2:$E$89,Fact_SortedWeights!$C$2:$C$89,$A694,Fact_SortedWeights!$B$2:$B$89,$B694,Fact_SortedWeights!$D$2:$D$89,$C694)/SUMIFS(Fact_SortedWeights!$E$2:$E$89,Fact_SortedWeights!$C$2:$C$89,$A694,Fact_SortedWeights!$B$2:$B$89,$B694)*(IF($B694="Cardboard Recycling",SUMIFS(Fact_SortedWeights!$E$2:$E$89,Fact_SortedWeights!$C$2:$C$89,$A694,Fact_SortedWeights!$B$2:$B$89,$B694),SUMIFS(Fact_PreSortWeights!$E$2:$E$186,Fact_PreSortWeights!$C$2:$C$186,$A694,Fact_PreSortWeights!$B$2:$B$186,$B694))))</f>
        <v>0</v>
      </c>
      <c r="G694" s="0" t="n">
        <f aca="false">IF(AND(IF($B694="Trash",INDEX('Materials Master'!$F$2:$F$27,MATCH($C694,'Materials Master'!$A$2:$A$27,0)),IF($B694="GMPC Recycling",INDEX('Materials Master'!$G$2:$G$27,MATCH($C694,'Materials Master'!$A$2:$A$27,0)),IF($B694="Organics Recycling",INDEX('Materials Master'!$H$2:$H$27,MATCH($C694,'Materials Master'!$A$2:$A$27,0)),IF($B694="Cardboard Recycling",INDEX('Materials Master'!$I$2:$I$27,MATCH($C694,'Materials Master'!$A$2:$A$27,0)),IF($B694="Paper Recycling",INDEX('Materials Master'!$J$2:$J$27,MATCH($C694,'Materials Master'!$A$2:$A$27,0)),IF($B694="Terracycle",INDEX('Materials Master'!$K$2:$K$27,MATCH($C694,'Materials Master'!$A$2:$A$27,0)),"No"))))))="Yes",INDEX('Materials Master'!$E$2:$E$27,MATCH($C694,'Materials Master'!$A$2:$A$27,0))="Yes",$B694&lt;&gt;"Trash"),1,0)</f>
        <v>1</v>
      </c>
      <c r="H694" s="0" t="str">
        <f aca="false">INDEX('Materials Master'!$E$2:$E$27,MATCH($C694,'Materials Master'!$A$2:$A$27,0))</f>
        <v>Yes</v>
      </c>
      <c r="I694" s="0" t="str">
        <f aca="false">IFERROR(INDEX(Areas!$C$2:$C$6,MATCH($A694,Areas!$B$2:$B$6,0)),"")</f>
        <v>Rest of Building</v>
      </c>
      <c r="J694" s="0" t="n">
        <f aca="false">IF(IF($B694="Trash",INDEX('Materials Master'!$F$2:$F$27,MATCH($C694,'Materials Master'!$A$2:$A$27,0)),IF($B694="GMPC Recycling",INDEX('Materials Master'!$G$2:$G$27,MATCH($C694,'Materials Master'!$A$2:$A$27,0)),IF($B694="Organics Recycling",INDEX('Materials Master'!$H$2:$H$27,MATCH($C694,'Materials Master'!$A$2:$A$27,0)),IF($B694="Cardboard Recycling",INDEX('Materials Master'!$I$2:$I$27,MATCH($C694,'Materials Master'!$A$2:$A$27,0)),IF($B694="Paper Recycling",INDEX('Materials Master'!$J$2:$J$27,MATCH($C694,'Materials Master'!$A$2:$A$27,0)),IF($B694="Terracycle",INDEX('Materials Master'!$K$2:$K$27,MATCH($C694,'Materials Master'!$A$2:$A$27,0)),"No"))))))="Yes",1,0)</f>
        <v>1</v>
      </c>
    </row>
    <row r="695" customFormat="false" ht="15" hidden="false" customHeight="false" outlineLevel="0" collapsed="false">
      <c r="A695" s="0" t="s">
        <v>101</v>
      </c>
      <c r="B695" s="0" t="s">
        <v>105</v>
      </c>
      <c r="C695" s="0" t="s">
        <v>69</v>
      </c>
      <c r="D695" s="0" t="str">
        <f aca="false">IFERROR(INDEX('Materials Master'!$B$2:$B$27,MATCH($C695,'Materials Master'!$A$2:$A$27,0)),"")</f>
        <v>Paper Fibers and Food-Soiled Paper (FSP)</v>
      </c>
      <c r="E695" s="0" t="str">
        <f aca="false">IFERROR(INDEX('Materials Master'!$C$2:$C$27,MATCH($C695,'Materials Master'!$A$2:$A$27,0)),"")</f>
        <v>Organics</v>
      </c>
      <c r="F695" s="0" t="n">
        <f aca="false">IF(SUMIFS(Fact_SortedWeights!$E$2:$E$89,Fact_SortedWeights!$C$2:$C$89,$A695,Fact_SortedWeights!$B$2:$B$89,$B695)=0,0,SUMIFS(Fact_SortedWeights!$E$2:$E$89,Fact_SortedWeights!$C$2:$C$89,$A695,Fact_SortedWeights!$B$2:$B$89,$B695,Fact_SortedWeights!$D$2:$D$89,$C695)/SUMIFS(Fact_SortedWeights!$E$2:$E$89,Fact_SortedWeights!$C$2:$C$89,$A695,Fact_SortedWeights!$B$2:$B$89,$B695)*(IF($B695="Cardboard Recycling",SUMIFS(Fact_SortedWeights!$E$2:$E$89,Fact_SortedWeights!$C$2:$C$89,$A695,Fact_SortedWeights!$B$2:$B$89,$B695),SUMIFS(Fact_PreSortWeights!$E$2:$E$186,Fact_PreSortWeights!$C$2:$C$186,$A695,Fact_PreSortWeights!$B$2:$B$186,$B695))))</f>
        <v>0</v>
      </c>
      <c r="G695" s="0" t="n">
        <f aca="false">IF(AND(IF($B695="Trash",INDEX('Materials Master'!$F$2:$F$27,MATCH($C695,'Materials Master'!$A$2:$A$27,0)),IF($B695="GMPC Recycling",INDEX('Materials Master'!$G$2:$G$27,MATCH($C695,'Materials Master'!$A$2:$A$27,0)),IF($B695="Organics Recycling",INDEX('Materials Master'!$H$2:$H$27,MATCH($C695,'Materials Master'!$A$2:$A$27,0)),IF($B695="Cardboard Recycling",INDEX('Materials Master'!$I$2:$I$27,MATCH($C695,'Materials Master'!$A$2:$A$27,0)),IF($B695="Paper Recycling",INDEX('Materials Master'!$J$2:$J$27,MATCH($C695,'Materials Master'!$A$2:$A$27,0)),IF($B695="Terracycle",INDEX('Materials Master'!$K$2:$K$27,MATCH($C695,'Materials Master'!$A$2:$A$27,0)),"No"))))))="Yes",INDEX('Materials Master'!$E$2:$E$27,MATCH($C695,'Materials Master'!$A$2:$A$27,0))="Yes",$B695&lt;&gt;"Trash"),1,0)</f>
        <v>0</v>
      </c>
      <c r="H695" s="0" t="str">
        <f aca="false">INDEX('Materials Master'!$E$2:$E$27,MATCH($C695,'Materials Master'!$A$2:$A$27,0))</f>
        <v>No</v>
      </c>
      <c r="I695" s="0" t="str">
        <f aca="false">IFERROR(INDEX(Areas!$C$2:$C$6,MATCH($A695,Areas!$B$2:$B$6,0)),"")</f>
        <v>Rest of Building</v>
      </c>
      <c r="J695" s="0" t="n">
        <f aca="false">IF(IF($B695="Trash",INDEX('Materials Master'!$F$2:$F$27,MATCH($C695,'Materials Master'!$A$2:$A$27,0)),IF($B695="GMPC Recycling",INDEX('Materials Master'!$G$2:$G$27,MATCH($C695,'Materials Master'!$A$2:$A$27,0)),IF($B695="Organics Recycling",INDEX('Materials Master'!$H$2:$H$27,MATCH($C695,'Materials Master'!$A$2:$A$27,0)),IF($B695="Cardboard Recycling",INDEX('Materials Master'!$I$2:$I$27,MATCH($C695,'Materials Master'!$A$2:$A$27,0)),IF($B695="Paper Recycling",INDEX('Materials Master'!$J$2:$J$27,MATCH($C695,'Materials Master'!$A$2:$A$27,0)),IF($B695="Terracycle",INDEX('Materials Master'!$K$2:$K$27,MATCH($C695,'Materials Master'!$A$2:$A$27,0)),"No"))))))="Yes",1,0)</f>
        <v>0</v>
      </c>
    </row>
    <row r="696" customFormat="false" ht="15" hidden="false" customHeight="false" outlineLevel="0" collapsed="false">
      <c r="A696" s="0" t="s">
        <v>101</v>
      </c>
      <c r="B696" s="0" t="s">
        <v>105</v>
      </c>
      <c r="C696" s="0" t="s">
        <v>71</v>
      </c>
      <c r="D696" s="0" t="str">
        <f aca="false">IFERROR(INDEX('Materials Master'!$B$2:$B$27,MATCH($C696,'Materials Master'!$A$2:$A$27,0)),"")</f>
        <v>Fiber-based Compostable Serviceware</v>
      </c>
      <c r="E696" s="0" t="str">
        <f aca="false">IFERROR(INDEX('Materials Master'!$C$2:$C$27,MATCH($C696,'Materials Master'!$A$2:$A$27,0)),"")</f>
        <v>Organics</v>
      </c>
      <c r="F696" s="0" t="n">
        <f aca="false">IF(SUMIFS(Fact_SortedWeights!$E$2:$E$89,Fact_SortedWeights!$C$2:$C$89,$A696,Fact_SortedWeights!$B$2:$B$89,$B696)=0,0,SUMIFS(Fact_SortedWeights!$E$2:$E$89,Fact_SortedWeights!$C$2:$C$89,$A696,Fact_SortedWeights!$B$2:$B$89,$B696,Fact_SortedWeights!$D$2:$D$89,$C696)/SUMIFS(Fact_SortedWeights!$E$2:$E$89,Fact_SortedWeights!$C$2:$C$89,$A696,Fact_SortedWeights!$B$2:$B$89,$B696)*(IF($B696="Cardboard Recycling",SUMIFS(Fact_SortedWeights!$E$2:$E$89,Fact_SortedWeights!$C$2:$C$89,$A696,Fact_SortedWeights!$B$2:$B$89,$B696),SUMIFS(Fact_PreSortWeights!$E$2:$E$186,Fact_PreSortWeights!$C$2:$C$186,$A696,Fact_PreSortWeights!$B$2:$B$186,$B696))))</f>
        <v>0</v>
      </c>
      <c r="G696" s="0" t="n">
        <f aca="false">IF(AND(IF($B696="Trash",INDEX('Materials Master'!$F$2:$F$27,MATCH($C696,'Materials Master'!$A$2:$A$27,0)),IF($B696="GMPC Recycling",INDEX('Materials Master'!$G$2:$G$27,MATCH($C696,'Materials Master'!$A$2:$A$27,0)),IF($B696="Organics Recycling",INDEX('Materials Master'!$H$2:$H$27,MATCH($C696,'Materials Master'!$A$2:$A$27,0)),IF($B696="Cardboard Recycling",INDEX('Materials Master'!$I$2:$I$27,MATCH($C696,'Materials Master'!$A$2:$A$27,0)),IF($B696="Paper Recycling",INDEX('Materials Master'!$J$2:$J$27,MATCH($C696,'Materials Master'!$A$2:$A$27,0)),IF($B696="Terracycle",INDEX('Materials Master'!$K$2:$K$27,MATCH($C696,'Materials Master'!$A$2:$A$27,0)),"No"))))))="Yes",INDEX('Materials Master'!$E$2:$E$27,MATCH($C696,'Materials Master'!$A$2:$A$27,0))="Yes",$B696&lt;&gt;"Trash"),1,0)</f>
        <v>0</v>
      </c>
      <c r="H696" s="0" t="str">
        <f aca="false">INDEX('Materials Master'!$E$2:$E$27,MATCH($C696,'Materials Master'!$A$2:$A$27,0))</f>
        <v>No</v>
      </c>
      <c r="I696" s="0" t="str">
        <f aca="false">IFERROR(INDEX(Areas!$C$2:$C$6,MATCH($A696,Areas!$B$2:$B$6,0)),"")</f>
        <v>Rest of Building</v>
      </c>
      <c r="J696" s="0" t="n">
        <f aca="false">IF(IF($B696="Trash",INDEX('Materials Master'!$F$2:$F$27,MATCH($C696,'Materials Master'!$A$2:$A$27,0)),IF($B696="GMPC Recycling",INDEX('Materials Master'!$G$2:$G$27,MATCH($C696,'Materials Master'!$A$2:$A$27,0)),IF($B696="Organics Recycling",INDEX('Materials Master'!$H$2:$H$27,MATCH($C696,'Materials Master'!$A$2:$A$27,0)),IF($B696="Cardboard Recycling",INDEX('Materials Master'!$I$2:$I$27,MATCH($C696,'Materials Master'!$A$2:$A$27,0)),IF($B696="Paper Recycling",INDEX('Materials Master'!$J$2:$J$27,MATCH($C696,'Materials Master'!$A$2:$A$27,0)),IF($B696="Terracycle",INDEX('Materials Master'!$K$2:$K$27,MATCH($C696,'Materials Master'!$A$2:$A$27,0)),"No"))))))="Yes",1,0)</f>
        <v>0</v>
      </c>
    </row>
    <row r="697" customFormat="false" ht="15" hidden="false" customHeight="false" outlineLevel="0" collapsed="false">
      <c r="A697" s="0" t="s">
        <v>101</v>
      </c>
      <c r="B697" s="0" t="s">
        <v>105</v>
      </c>
      <c r="C697" s="0" t="s">
        <v>73</v>
      </c>
      <c r="D697" s="0" t="str">
        <f aca="false">IFERROR(INDEX('Materials Master'!$B$2:$B$27,MATCH($C697,'Materials Master'!$A$2:$A$27,0)),"")</f>
        <v>PLA Compostable Serviceware</v>
      </c>
      <c r="E697" s="0" t="str">
        <f aca="false">IFERROR(INDEX('Materials Master'!$C$2:$C$27,MATCH($C697,'Materials Master'!$A$2:$A$27,0)),"")</f>
        <v>Organics</v>
      </c>
      <c r="F697" s="0" t="n">
        <f aca="false">IF(SUMIFS(Fact_SortedWeights!$E$2:$E$89,Fact_SortedWeights!$C$2:$C$89,$A697,Fact_SortedWeights!$B$2:$B$89,$B697)=0,0,SUMIFS(Fact_SortedWeights!$E$2:$E$89,Fact_SortedWeights!$C$2:$C$89,$A697,Fact_SortedWeights!$B$2:$B$89,$B697,Fact_SortedWeights!$D$2:$D$89,$C697)/SUMIFS(Fact_SortedWeights!$E$2:$E$89,Fact_SortedWeights!$C$2:$C$89,$A697,Fact_SortedWeights!$B$2:$B$89,$B697)*(IF($B697="Cardboard Recycling",SUMIFS(Fact_SortedWeights!$E$2:$E$89,Fact_SortedWeights!$C$2:$C$89,$A697,Fact_SortedWeights!$B$2:$B$89,$B697),SUMIFS(Fact_PreSortWeights!$E$2:$E$186,Fact_PreSortWeights!$C$2:$C$186,$A697,Fact_PreSortWeights!$B$2:$B$186,$B697))))</f>
        <v>0</v>
      </c>
      <c r="G697" s="0" t="n">
        <f aca="false">IF(AND(IF($B697="Trash",INDEX('Materials Master'!$F$2:$F$27,MATCH($C697,'Materials Master'!$A$2:$A$27,0)),IF($B697="GMPC Recycling",INDEX('Materials Master'!$G$2:$G$27,MATCH($C697,'Materials Master'!$A$2:$A$27,0)),IF($B697="Organics Recycling",INDEX('Materials Master'!$H$2:$H$27,MATCH($C697,'Materials Master'!$A$2:$A$27,0)),IF($B697="Cardboard Recycling",INDEX('Materials Master'!$I$2:$I$27,MATCH($C697,'Materials Master'!$A$2:$A$27,0)),IF($B697="Paper Recycling",INDEX('Materials Master'!$J$2:$J$27,MATCH($C697,'Materials Master'!$A$2:$A$27,0)),IF($B697="Terracycle",INDEX('Materials Master'!$K$2:$K$27,MATCH($C697,'Materials Master'!$A$2:$A$27,0)),"No"))))))="Yes",INDEX('Materials Master'!$E$2:$E$27,MATCH($C697,'Materials Master'!$A$2:$A$27,0))="Yes",$B697&lt;&gt;"Trash"),1,0)</f>
        <v>0</v>
      </c>
      <c r="H697" s="0" t="str">
        <f aca="false">INDEX('Materials Master'!$E$2:$E$27,MATCH($C697,'Materials Master'!$A$2:$A$27,0))</f>
        <v>No</v>
      </c>
      <c r="I697" s="0" t="str">
        <f aca="false">IFERROR(INDEX(Areas!$C$2:$C$6,MATCH($A697,Areas!$B$2:$B$6,0)),"")</f>
        <v>Rest of Building</v>
      </c>
      <c r="J697" s="0" t="n">
        <f aca="false">IF(IF($B697="Trash",INDEX('Materials Master'!$F$2:$F$27,MATCH($C697,'Materials Master'!$A$2:$A$27,0)),IF($B697="GMPC Recycling",INDEX('Materials Master'!$G$2:$G$27,MATCH($C697,'Materials Master'!$A$2:$A$27,0)),IF($B697="Organics Recycling",INDEX('Materials Master'!$H$2:$H$27,MATCH($C697,'Materials Master'!$A$2:$A$27,0)),IF($B697="Cardboard Recycling",INDEX('Materials Master'!$I$2:$I$27,MATCH($C697,'Materials Master'!$A$2:$A$27,0)),IF($B697="Paper Recycling",INDEX('Materials Master'!$J$2:$J$27,MATCH($C697,'Materials Master'!$A$2:$A$27,0)),IF($B697="Terracycle",INDEX('Materials Master'!$K$2:$K$27,MATCH($C697,'Materials Master'!$A$2:$A$27,0)),"No"))))))="Yes",1,0)</f>
        <v>0</v>
      </c>
    </row>
    <row r="698" customFormat="false" ht="15" hidden="false" customHeight="false" outlineLevel="0" collapsed="false">
      <c r="A698" s="0" t="s">
        <v>101</v>
      </c>
      <c r="B698" s="0" t="s">
        <v>105</v>
      </c>
      <c r="C698" s="0" t="s">
        <v>75</v>
      </c>
      <c r="D698" s="0" t="str">
        <f aca="false">IFERROR(INDEX('Materials Master'!$B$2:$B$27,MATCH($C698,'Materials Master'!$A$2:$A$27,0)),"")</f>
        <v>E/U Waste</v>
      </c>
      <c r="E698" s="0" t="str">
        <f aca="false">IFERROR(INDEX('Materials Master'!$C$2:$C$27,MATCH($C698,'Materials Master'!$A$2:$A$27,0)),"")</f>
        <v>Unacceptable</v>
      </c>
      <c r="F698" s="0" t="n">
        <f aca="false">IF(SUMIFS(Fact_SortedWeights!$E$2:$E$89,Fact_SortedWeights!$C$2:$C$89,$A698,Fact_SortedWeights!$B$2:$B$89,$B698)=0,0,SUMIFS(Fact_SortedWeights!$E$2:$E$89,Fact_SortedWeights!$C$2:$C$89,$A698,Fact_SortedWeights!$B$2:$B$89,$B698,Fact_SortedWeights!$D$2:$D$89,$C698)/SUMIFS(Fact_SortedWeights!$E$2:$E$89,Fact_SortedWeights!$C$2:$C$89,$A698,Fact_SortedWeights!$B$2:$B$89,$B698)*(IF($B698="Cardboard Recycling",SUMIFS(Fact_SortedWeights!$E$2:$E$89,Fact_SortedWeights!$C$2:$C$89,$A698,Fact_SortedWeights!$B$2:$B$89,$B698),SUMIFS(Fact_PreSortWeights!$E$2:$E$186,Fact_PreSortWeights!$C$2:$C$186,$A698,Fact_PreSortWeights!$B$2:$B$186,$B698))))</f>
        <v>0</v>
      </c>
      <c r="G698" s="0" t="n">
        <f aca="false">IF(AND(IF($B698="Trash",INDEX('Materials Master'!$F$2:$F$27,MATCH($C698,'Materials Master'!$A$2:$A$27,0)),IF($B698="GMPC Recycling",INDEX('Materials Master'!$G$2:$G$27,MATCH($C698,'Materials Master'!$A$2:$A$27,0)),IF($B698="Organics Recycling",INDEX('Materials Master'!$H$2:$H$27,MATCH($C698,'Materials Master'!$A$2:$A$27,0)),IF($B698="Cardboard Recycling",INDEX('Materials Master'!$I$2:$I$27,MATCH($C698,'Materials Master'!$A$2:$A$27,0)),IF($B698="Paper Recycling",INDEX('Materials Master'!$J$2:$J$27,MATCH($C698,'Materials Master'!$A$2:$A$27,0)),IF($B698="Terracycle",INDEX('Materials Master'!$K$2:$K$27,MATCH($C698,'Materials Master'!$A$2:$A$27,0)),"No"))))))="Yes",INDEX('Materials Master'!$E$2:$E$27,MATCH($C698,'Materials Master'!$A$2:$A$27,0))="Yes",$B698&lt;&gt;"Trash"),1,0)</f>
        <v>0</v>
      </c>
      <c r="H698" s="0" t="str">
        <f aca="false">INDEX('Materials Master'!$E$2:$E$27,MATCH($C698,'Materials Master'!$A$2:$A$27,0))</f>
        <v>No</v>
      </c>
      <c r="I698" s="0" t="str">
        <f aca="false">IFERROR(INDEX(Areas!$C$2:$C$6,MATCH($A698,Areas!$B$2:$B$6,0)),"")</f>
        <v>Rest of Building</v>
      </c>
      <c r="J698" s="0" t="n">
        <f aca="false">IF(IF($B698="Trash",INDEX('Materials Master'!$F$2:$F$27,MATCH($C698,'Materials Master'!$A$2:$A$27,0)),IF($B698="GMPC Recycling",INDEX('Materials Master'!$G$2:$G$27,MATCH($C698,'Materials Master'!$A$2:$A$27,0)),IF($B698="Organics Recycling",INDEX('Materials Master'!$H$2:$H$27,MATCH($C698,'Materials Master'!$A$2:$A$27,0)),IF($B698="Cardboard Recycling",INDEX('Materials Master'!$I$2:$I$27,MATCH($C698,'Materials Master'!$A$2:$A$27,0)),IF($B698="Paper Recycling",INDEX('Materials Master'!$J$2:$J$27,MATCH($C698,'Materials Master'!$A$2:$A$27,0)),IF($B698="Terracycle",INDEX('Materials Master'!$K$2:$K$27,MATCH($C698,'Materials Master'!$A$2:$A$27,0)),"No"))))))="Yes",1,0)</f>
        <v>0</v>
      </c>
    </row>
    <row r="699" customFormat="false" ht="15" hidden="false" customHeight="false" outlineLevel="0" collapsed="false">
      <c r="A699" s="0" t="s">
        <v>101</v>
      </c>
      <c r="B699" s="0" t="s">
        <v>105</v>
      </c>
      <c r="C699" s="0" t="s">
        <v>78</v>
      </c>
      <c r="D699" s="0" t="str">
        <f aca="false">IFERROR(INDEX('Materials Master'!$B$2:$B$27,MATCH($C699,'Materials Master'!$A$2:$A$27,0)),"")</f>
        <v>Textiles</v>
      </c>
      <c r="E699" s="0" t="str">
        <f aca="false">IFERROR(INDEX('Materials Master'!$C$2:$C$27,MATCH($C699,'Materials Master'!$A$2:$A$27,0)),"")</f>
        <v>Unacceptable</v>
      </c>
      <c r="F699" s="0" t="n">
        <f aca="false">IF(SUMIFS(Fact_SortedWeights!$E$2:$E$89,Fact_SortedWeights!$C$2:$C$89,$A699,Fact_SortedWeights!$B$2:$B$89,$B699)=0,0,SUMIFS(Fact_SortedWeights!$E$2:$E$89,Fact_SortedWeights!$C$2:$C$89,$A699,Fact_SortedWeights!$B$2:$B$89,$B699,Fact_SortedWeights!$D$2:$D$89,$C699)/SUMIFS(Fact_SortedWeights!$E$2:$E$89,Fact_SortedWeights!$C$2:$C$89,$A699,Fact_SortedWeights!$B$2:$B$89,$B699)*(IF($B699="Cardboard Recycling",SUMIFS(Fact_SortedWeights!$E$2:$E$89,Fact_SortedWeights!$C$2:$C$89,$A699,Fact_SortedWeights!$B$2:$B$89,$B699),SUMIFS(Fact_PreSortWeights!$E$2:$E$186,Fact_PreSortWeights!$C$2:$C$186,$A699,Fact_PreSortWeights!$B$2:$B$186,$B699))))</f>
        <v>0</v>
      </c>
      <c r="G699" s="0" t="n">
        <f aca="false">IF(AND(IF($B699="Trash",INDEX('Materials Master'!$F$2:$F$27,MATCH($C699,'Materials Master'!$A$2:$A$27,0)),IF($B699="GMPC Recycling",INDEX('Materials Master'!$G$2:$G$27,MATCH($C699,'Materials Master'!$A$2:$A$27,0)),IF($B699="Organics Recycling",INDEX('Materials Master'!$H$2:$H$27,MATCH($C699,'Materials Master'!$A$2:$A$27,0)),IF($B699="Cardboard Recycling",INDEX('Materials Master'!$I$2:$I$27,MATCH($C699,'Materials Master'!$A$2:$A$27,0)),IF($B699="Paper Recycling",INDEX('Materials Master'!$J$2:$J$27,MATCH($C699,'Materials Master'!$A$2:$A$27,0)),IF($B699="Terracycle",INDEX('Materials Master'!$K$2:$K$27,MATCH($C699,'Materials Master'!$A$2:$A$27,0)),"No"))))))="Yes",INDEX('Materials Master'!$E$2:$E$27,MATCH($C699,'Materials Master'!$A$2:$A$27,0))="Yes",$B699&lt;&gt;"Trash"),1,0)</f>
        <v>0</v>
      </c>
      <c r="H699" s="0" t="str">
        <f aca="false">INDEX('Materials Master'!$E$2:$E$27,MATCH($C699,'Materials Master'!$A$2:$A$27,0))</f>
        <v>No</v>
      </c>
      <c r="I699" s="0" t="str">
        <f aca="false">IFERROR(INDEX(Areas!$C$2:$C$6,MATCH($A699,Areas!$B$2:$B$6,0)),"")</f>
        <v>Rest of Building</v>
      </c>
      <c r="J699" s="0" t="n">
        <f aca="false">IF(IF($B699="Trash",INDEX('Materials Master'!$F$2:$F$27,MATCH($C699,'Materials Master'!$A$2:$A$27,0)),IF($B699="GMPC Recycling",INDEX('Materials Master'!$G$2:$G$27,MATCH($C699,'Materials Master'!$A$2:$A$27,0)),IF($B699="Organics Recycling",INDEX('Materials Master'!$H$2:$H$27,MATCH($C699,'Materials Master'!$A$2:$A$27,0)),IF($B699="Cardboard Recycling",INDEX('Materials Master'!$I$2:$I$27,MATCH($C699,'Materials Master'!$A$2:$A$27,0)),IF($B699="Paper Recycling",INDEX('Materials Master'!$J$2:$J$27,MATCH($C699,'Materials Master'!$A$2:$A$27,0)),IF($B699="Terracycle",INDEX('Materials Master'!$K$2:$K$27,MATCH($C699,'Materials Master'!$A$2:$A$27,0)),"No"))))))="Yes",1,0)</f>
        <v>0</v>
      </c>
    </row>
    <row r="700" customFormat="false" ht="15" hidden="false" customHeight="false" outlineLevel="0" collapsed="false">
      <c r="A700" s="0" t="s">
        <v>101</v>
      </c>
      <c r="B700" s="0" t="s">
        <v>105</v>
      </c>
      <c r="C700" s="0" t="s">
        <v>80</v>
      </c>
      <c r="D700" s="0" t="str">
        <f aca="false">IFERROR(INDEX('Materials Master'!$B$2:$B$27,MATCH($C700,'Materials Master'!$A$2:$A$27,0)),"")</f>
        <v>Other Unacceptable (specify)</v>
      </c>
      <c r="E700" s="0" t="str">
        <f aca="false">IFERROR(INDEX('Materials Master'!$C$2:$C$27,MATCH($C700,'Materials Master'!$A$2:$A$27,0)),"")</f>
        <v>Unacceptable</v>
      </c>
      <c r="F700" s="0" t="n">
        <f aca="false">IF(SUMIFS(Fact_SortedWeights!$E$2:$E$89,Fact_SortedWeights!$C$2:$C$89,$A700,Fact_SortedWeights!$B$2:$B$89,$B700)=0,0,SUMIFS(Fact_SortedWeights!$E$2:$E$89,Fact_SortedWeights!$C$2:$C$89,$A700,Fact_SortedWeights!$B$2:$B$89,$B700,Fact_SortedWeights!$D$2:$D$89,$C700)/SUMIFS(Fact_SortedWeights!$E$2:$E$89,Fact_SortedWeights!$C$2:$C$89,$A700,Fact_SortedWeights!$B$2:$B$89,$B700)*(IF($B700="Cardboard Recycling",SUMIFS(Fact_SortedWeights!$E$2:$E$89,Fact_SortedWeights!$C$2:$C$89,$A700,Fact_SortedWeights!$B$2:$B$89,$B700),SUMIFS(Fact_PreSortWeights!$E$2:$E$186,Fact_PreSortWeights!$C$2:$C$186,$A700,Fact_PreSortWeights!$B$2:$B$186,$B700))))</f>
        <v>0</v>
      </c>
      <c r="G700" s="0" t="n">
        <f aca="false">IF(AND(IF($B700="Trash",INDEX('Materials Master'!$F$2:$F$27,MATCH($C700,'Materials Master'!$A$2:$A$27,0)),IF($B700="GMPC Recycling",INDEX('Materials Master'!$G$2:$G$27,MATCH($C700,'Materials Master'!$A$2:$A$27,0)),IF($B700="Organics Recycling",INDEX('Materials Master'!$H$2:$H$27,MATCH($C700,'Materials Master'!$A$2:$A$27,0)),IF($B700="Cardboard Recycling",INDEX('Materials Master'!$I$2:$I$27,MATCH($C700,'Materials Master'!$A$2:$A$27,0)),IF($B700="Paper Recycling",INDEX('Materials Master'!$J$2:$J$27,MATCH($C700,'Materials Master'!$A$2:$A$27,0)),IF($B700="Terracycle",INDEX('Materials Master'!$K$2:$K$27,MATCH($C700,'Materials Master'!$A$2:$A$27,0)),"No"))))))="Yes",INDEX('Materials Master'!$E$2:$E$27,MATCH($C700,'Materials Master'!$A$2:$A$27,0))="Yes",$B700&lt;&gt;"Trash"),1,0)</f>
        <v>0</v>
      </c>
      <c r="H700" s="0" t="str">
        <f aca="false">INDEX('Materials Master'!$E$2:$E$27,MATCH($C700,'Materials Master'!$A$2:$A$27,0))</f>
        <v>No</v>
      </c>
      <c r="I700" s="0" t="str">
        <f aca="false">IFERROR(INDEX(Areas!$C$2:$C$6,MATCH($A700,Areas!$B$2:$B$6,0)),"")</f>
        <v>Rest of Building</v>
      </c>
      <c r="J700" s="0" t="n">
        <f aca="false">IF(IF($B700="Trash",INDEX('Materials Master'!$F$2:$F$27,MATCH($C700,'Materials Master'!$A$2:$A$27,0)),IF($B700="GMPC Recycling",INDEX('Materials Master'!$G$2:$G$27,MATCH($C700,'Materials Master'!$A$2:$A$27,0)),IF($B700="Organics Recycling",INDEX('Materials Master'!$H$2:$H$27,MATCH($C700,'Materials Master'!$A$2:$A$27,0)),IF($B700="Cardboard Recycling",INDEX('Materials Master'!$I$2:$I$27,MATCH($C700,'Materials Master'!$A$2:$A$27,0)),IF($B700="Paper Recycling",INDEX('Materials Master'!$J$2:$J$27,MATCH($C700,'Materials Master'!$A$2:$A$27,0)),IF($B700="Terracycle",INDEX('Materials Master'!$K$2:$K$27,MATCH($C700,'Materials Master'!$A$2:$A$27,0)),"No"))))))="Yes",1,0)</f>
        <v>0</v>
      </c>
    </row>
    <row r="701" customFormat="false" ht="15" hidden="false" customHeight="false" outlineLevel="0" collapsed="false">
      <c r="A701" s="0" t="s">
        <v>101</v>
      </c>
      <c r="B701" s="0" t="s">
        <v>105</v>
      </c>
      <c r="C701" s="0" t="s">
        <v>82</v>
      </c>
      <c r="D701" s="0" t="str">
        <f aca="false">IFERROR(INDEX('Materials Master'!$B$2:$B$27,MATCH($C701,'Materials Master'!$A$2:$A$27,0)),"")</f>
        <v>Liquids</v>
      </c>
      <c r="E701" s="0" t="str">
        <f aca="false">IFERROR(INDEX('Materials Master'!$C$2:$C$27,MATCH($C701,'Materials Master'!$A$2:$A$27,0)),"")</f>
        <v>Unacceptable</v>
      </c>
      <c r="F701" s="0" t="n">
        <f aca="false">IF(SUMIFS(Fact_SortedWeights!$E$2:$E$89,Fact_SortedWeights!$C$2:$C$89,$A701,Fact_SortedWeights!$B$2:$B$89,$B701)=0,0,SUMIFS(Fact_SortedWeights!$E$2:$E$89,Fact_SortedWeights!$C$2:$C$89,$A701,Fact_SortedWeights!$B$2:$B$89,$B701,Fact_SortedWeights!$D$2:$D$89,$C701)/SUMIFS(Fact_SortedWeights!$E$2:$E$89,Fact_SortedWeights!$C$2:$C$89,$A701,Fact_SortedWeights!$B$2:$B$89,$B701)*(IF($B701="Cardboard Recycling",SUMIFS(Fact_SortedWeights!$E$2:$E$89,Fact_SortedWeights!$C$2:$C$89,$A701,Fact_SortedWeights!$B$2:$B$89,$B701),SUMIFS(Fact_PreSortWeights!$E$2:$E$186,Fact_PreSortWeights!$C$2:$C$186,$A701,Fact_PreSortWeights!$B$2:$B$186,$B701))))</f>
        <v>0</v>
      </c>
      <c r="G701" s="0" t="n">
        <f aca="false">IF(AND(IF($B701="Trash",INDEX('Materials Master'!$F$2:$F$27,MATCH($C701,'Materials Master'!$A$2:$A$27,0)),IF($B701="GMPC Recycling",INDEX('Materials Master'!$G$2:$G$27,MATCH($C701,'Materials Master'!$A$2:$A$27,0)),IF($B701="Organics Recycling",INDEX('Materials Master'!$H$2:$H$27,MATCH($C701,'Materials Master'!$A$2:$A$27,0)),IF($B701="Cardboard Recycling",INDEX('Materials Master'!$I$2:$I$27,MATCH($C701,'Materials Master'!$A$2:$A$27,0)),IF($B701="Paper Recycling",INDEX('Materials Master'!$J$2:$J$27,MATCH($C701,'Materials Master'!$A$2:$A$27,0)),IF($B701="Terracycle",INDEX('Materials Master'!$K$2:$K$27,MATCH($C701,'Materials Master'!$A$2:$A$27,0)),"No"))))))="Yes",INDEX('Materials Master'!$E$2:$E$27,MATCH($C701,'Materials Master'!$A$2:$A$27,0))="Yes",$B701&lt;&gt;"Trash"),1,0)</f>
        <v>0</v>
      </c>
      <c r="H701" s="0" t="str">
        <f aca="false">INDEX('Materials Master'!$E$2:$E$27,MATCH($C701,'Materials Master'!$A$2:$A$27,0))</f>
        <v>No</v>
      </c>
      <c r="I701" s="0" t="str">
        <f aca="false">IFERROR(INDEX(Areas!$C$2:$C$6,MATCH($A701,Areas!$B$2:$B$6,0)),"")</f>
        <v>Rest of Building</v>
      </c>
      <c r="J701" s="0" t="n">
        <f aca="false">IF(IF($B701="Trash",INDEX('Materials Master'!$F$2:$F$27,MATCH($C701,'Materials Master'!$A$2:$A$27,0)),IF($B701="GMPC Recycling",INDEX('Materials Master'!$G$2:$G$27,MATCH($C701,'Materials Master'!$A$2:$A$27,0)),IF($B701="Organics Recycling",INDEX('Materials Master'!$H$2:$H$27,MATCH($C701,'Materials Master'!$A$2:$A$27,0)),IF($B701="Cardboard Recycling",INDEX('Materials Master'!$I$2:$I$27,MATCH($C701,'Materials Master'!$A$2:$A$27,0)),IF($B701="Paper Recycling",INDEX('Materials Master'!$J$2:$J$27,MATCH($C701,'Materials Master'!$A$2:$A$27,0)),IF($B701="Terracycle",INDEX('Materials Master'!$K$2:$K$27,MATCH($C701,'Materials Master'!$A$2:$A$27,0)),"No"))))))="Yes",1,0)</f>
        <v>0</v>
      </c>
    </row>
    <row r="702" customFormat="false" ht="15" hidden="false" customHeight="false" outlineLevel="0" collapsed="false">
      <c r="A702" s="0" t="s">
        <v>101</v>
      </c>
      <c r="B702" s="0" t="s">
        <v>105</v>
      </c>
      <c r="C702" s="0" t="s">
        <v>84</v>
      </c>
      <c r="D702" s="0" t="str">
        <f aca="false">IFERROR(INDEX('Materials Master'!$B$2:$B$27,MATCH($C702,'Materials Master'!$A$2:$A$27,0)),"")</f>
        <v>Snack Wrappers (Composites)</v>
      </c>
      <c r="E702" s="0" t="str">
        <f aca="false">IFERROR(INDEX('Materials Master'!$C$2:$C$27,MATCH($C702,'Materials Master'!$A$2:$A$27,0)),"")</f>
        <v>Other</v>
      </c>
      <c r="F702" s="0" t="n">
        <f aca="false">IF(SUMIFS(Fact_SortedWeights!$E$2:$E$89,Fact_SortedWeights!$C$2:$C$89,$A702,Fact_SortedWeights!$B$2:$B$89,$B702)=0,0,SUMIFS(Fact_SortedWeights!$E$2:$E$89,Fact_SortedWeights!$C$2:$C$89,$A702,Fact_SortedWeights!$B$2:$B$89,$B702,Fact_SortedWeights!$D$2:$D$89,$C702)/SUMIFS(Fact_SortedWeights!$E$2:$E$89,Fact_SortedWeights!$C$2:$C$89,$A702,Fact_SortedWeights!$B$2:$B$89,$B702)*(IF($B702="Cardboard Recycling",SUMIFS(Fact_SortedWeights!$E$2:$E$89,Fact_SortedWeights!$C$2:$C$89,$A702,Fact_SortedWeights!$B$2:$B$89,$B702),SUMIFS(Fact_PreSortWeights!$E$2:$E$186,Fact_PreSortWeights!$C$2:$C$186,$A702,Fact_PreSortWeights!$B$2:$B$186,$B702))))</f>
        <v>0</v>
      </c>
      <c r="G702" s="0" t="n">
        <f aca="false">IF(AND(IF($B702="Trash",INDEX('Materials Master'!$F$2:$F$27,MATCH($C702,'Materials Master'!$A$2:$A$27,0)),IF($B702="GMPC Recycling",INDEX('Materials Master'!$G$2:$G$27,MATCH($C702,'Materials Master'!$A$2:$A$27,0)),IF($B702="Organics Recycling",INDEX('Materials Master'!$H$2:$H$27,MATCH($C702,'Materials Master'!$A$2:$A$27,0)),IF($B702="Cardboard Recycling",INDEX('Materials Master'!$I$2:$I$27,MATCH($C702,'Materials Master'!$A$2:$A$27,0)),IF($B702="Paper Recycling",INDEX('Materials Master'!$J$2:$J$27,MATCH($C702,'Materials Master'!$A$2:$A$27,0)),IF($B702="Terracycle",INDEX('Materials Master'!$K$2:$K$27,MATCH($C702,'Materials Master'!$A$2:$A$27,0)),"No"))))))="Yes",INDEX('Materials Master'!$E$2:$E$27,MATCH($C702,'Materials Master'!$A$2:$A$27,0))="Yes",$B702&lt;&gt;"Trash"),1,0)</f>
        <v>0</v>
      </c>
      <c r="H702" s="0" t="str">
        <f aca="false">INDEX('Materials Master'!$E$2:$E$27,MATCH($C702,'Materials Master'!$A$2:$A$27,0))</f>
        <v>Yes</v>
      </c>
      <c r="I702" s="0" t="str">
        <f aca="false">IFERROR(INDEX(Areas!$C$2:$C$6,MATCH($A702,Areas!$B$2:$B$6,0)),"")</f>
        <v>Rest of Building</v>
      </c>
      <c r="J702" s="0" t="n">
        <f aca="false">IF(IF($B702="Trash",INDEX('Materials Master'!$F$2:$F$27,MATCH($C702,'Materials Master'!$A$2:$A$27,0)),IF($B702="GMPC Recycling",INDEX('Materials Master'!$G$2:$G$27,MATCH($C702,'Materials Master'!$A$2:$A$27,0)),IF($B702="Organics Recycling",INDEX('Materials Master'!$H$2:$H$27,MATCH($C702,'Materials Master'!$A$2:$A$27,0)),IF($B702="Cardboard Recycling",INDEX('Materials Master'!$I$2:$I$27,MATCH($C702,'Materials Master'!$A$2:$A$27,0)),IF($B702="Paper Recycling",INDEX('Materials Master'!$J$2:$J$27,MATCH($C702,'Materials Master'!$A$2:$A$27,0)),IF($B702="Terracycle",INDEX('Materials Master'!$K$2:$K$27,MATCH($C702,'Materials Master'!$A$2:$A$27,0)),"No"))))))="Yes",1,0)</f>
        <v>0</v>
      </c>
    </row>
    <row r="703" customFormat="false" ht="15" hidden="false" customHeight="false" outlineLevel="0" collapsed="false">
      <c r="A703" s="0" t="s">
        <v>101</v>
      </c>
      <c r="B703" s="0" t="s">
        <v>105</v>
      </c>
      <c r="C703" s="0" t="s">
        <v>87</v>
      </c>
      <c r="D703" s="0" t="str">
        <f aca="false">IFERROR(INDEX('Materials Master'!$B$2:$B$27,MATCH($C703,'Materials Master'!$A$2:$A$27,0)),"")</f>
        <v>Other/Residual Materials</v>
      </c>
      <c r="E703" s="0" t="str">
        <f aca="false">IFERROR(INDEX('Materials Master'!$C$2:$C$27,MATCH($C703,'Materials Master'!$A$2:$A$27,0)),"")</f>
        <v>Other</v>
      </c>
      <c r="F703" s="0" t="n">
        <f aca="false">IF(SUMIFS(Fact_SortedWeights!$E$2:$E$89,Fact_SortedWeights!$C$2:$C$89,$A703,Fact_SortedWeights!$B$2:$B$89,$B703)=0,0,SUMIFS(Fact_SortedWeights!$E$2:$E$89,Fact_SortedWeights!$C$2:$C$89,$A703,Fact_SortedWeights!$B$2:$B$89,$B703,Fact_SortedWeights!$D$2:$D$89,$C703)/SUMIFS(Fact_SortedWeights!$E$2:$E$89,Fact_SortedWeights!$C$2:$C$89,$A703,Fact_SortedWeights!$B$2:$B$89,$B703)*(IF($B703="Cardboard Recycling",SUMIFS(Fact_SortedWeights!$E$2:$E$89,Fact_SortedWeights!$C$2:$C$89,$A703,Fact_SortedWeights!$B$2:$B$89,$B703),SUMIFS(Fact_PreSortWeights!$E$2:$E$186,Fact_PreSortWeights!$C$2:$C$186,$A703,Fact_PreSortWeights!$B$2:$B$186,$B703))))</f>
        <v>0</v>
      </c>
      <c r="G703" s="0" t="n">
        <f aca="false">IF(AND(IF($B703="Trash",INDEX('Materials Master'!$F$2:$F$27,MATCH($C703,'Materials Master'!$A$2:$A$27,0)),IF($B703="GMPC Recycling",INDEX('Materials Master'!$G$2:$G$27,MATCH($C703,'Materials Master'!$A$2:$A$27,0)),IF($B703="Organics Recycling",INDEX('Materials Master'!$H$2:$H$27,MATCH($C703,'Materials Master'!$A$2:$A$27,0)),IF($B703="Cardboard Recycling",INDEX('Materials Master'!$I$2:$I$27,MATCH($C703,'Materials Master'!$A$2:$A$27,0)),IF($B703="Paper Recycling",INDEX('Materials Master'!$J$2:$J$27,MATCH($C703,'Materials Master'!$A$2:$A$27,0)),IF($B703="Terracycle",INDEX('Materials Master'!$K$2:$K$27,MATCH($C703,'Materials Master'!$A$2:$A$27,0)),"No"))))))="Yes",INDEX('Materials Master'!$E$2:$E$27,MATCH($C703,'Materials Master'!$A$2:$A$27,0))="Yes",$B703&lt;&gt;"Trash"),1,0)</f>
        <v>0</v>
      </c>
      <c r="H703" s="0" t="str">
        <f aca="false">INDEX('Materials Master'!$E$2:$E$27,MATCH($C703,'Materials Master'!$A$2:$A$27,0))</f>
        <v>No</v>
      </c>
      <c r="I703" s="0" t="str">
        <f aca="false">IFERROR(INDEX(Areas!$C$2:$C$6,MATCH($A703,Areas!$B$2:$B$6,0)),"")</f>
        <v>Rest of Building</v>
      </c>
      <c r="J703" s="0" t="n">
        <f aca="false">IF(IF($B703="Trash",INDEX('Materials Master'!$F$2:$F$27,MATCH($C703,'Materials Master'!$A$2:$A$27,0)),IF($B703="GMPC Recycling",INDEX('Materials Master'!$G$2:$G$27,MATCH($C703,'Materials Master'!$A$2:$A$27,0)),IF($B703="Organics Recycling",INDEX('Materials Master'!$H$2:$H$27,MATCH($C703,'Materials Master'!$A$2:$A$27,0)),IF($B703="Cardboard Recycling",INDEX('Materials Master'!$I$2:$I$27,MATCH($C703,'Materials Master'!$A$2:$A$27,0)),IF($B703="Paper Recycling",INDEX('Materials Master'!$J$2:$J$27,MATCH($C703,'Materials Master'!$A$2:$A$27,0)),IF($B703="Terracycle",INDEX('Materials Master'!$K$2:$K$27,MATCH($C703,'Materials Master'!$A$2:$A$27,0)),"No"))))))="Yes",1,0)</f>
        <v>0</v>
      </c>
    </row>
    <row r="704" customFormat="false" ht="15" hidden="false" customHeight="false" outlineLevel="0" collapsed="false">
      <c r="A704" s="0" t="s">
        <v>101</v>
      </c>
      <c r="B704" s="0" t="s">
        <v>106</v>
      </c>
      <c r="C704" s="0" t="s">
        <v>28</v>
      </c>
      <c r="D704" s="0" t="str">
        <f aca="false">IFERROR(INDEX('Materials Master'!$B$2:$B$27,MATCH($C704,'Materials Master'!$A$2:$A$27,0)),"")</f>
        <v>Corrugated Cardboard</v>
      </c>
      <c r="E704" s="0" t="str">
        <f aca="false">IFERROR(INDEX('Materials Master'!$C$2:$C$27,MATCH($C704,'Materials Master'!$A$2:$A$27,0)),"")</f>
        <v>Fibers</v>
      </c>
      <c r="F704" s="0" t="n">
        <f aca="false">IF(SUMIFS(Fact_SortedWeights!$E$2:$E$89,Fact_SortedWeights!$C$2:$C$89,$A704,Fact_SortedWeights!$B$2:$B$89,$B704)=0,0,SUMIFS(Fact_SortedWeights!$E$2:$E$89,Fact_SortedWeights!$C$2:$C$89,$A704,Fact_SortedWeights!$B$2:$B$89,$B704,Fact_SortedWeights!$D$2:$D$89,$C704)/SUMIFS(Fact_SortedWeights!$E$2:$E$89,Fact_SortedWeights!$C$2:$C$89,$A704,Fact_SortedWeights!$B$2:$B$89,$B704)*(IF($B704="Cardboard Recycling",SUMIFS(Fact_SortedWeights!$E$2:$E$89,Fact_SortedWeights!$C$2:$C$89,$A704,Fact_SortedWeights!$B$2:$B$89,$B704),SUMIFS(Fact_PreSortWeights!$E$2:$E$186,Fact_PreSortWeights!$C$2:$C$186,$A704,Fact_PreSortWeights!$B$2:$B$186,$B704))))</f>
        <v>0</v>
      </c>
      <c r="G704" s="0" t="n">
        <f aca="false">IF(AND(IF($B704="Trash",INDEX('Materials Master'!$F$2:$F$27,MATCH($C704,'Materials Master'!$A$2:$A$27,0)),IF($B704="GMPC Recycling",INDEX('Materials Master'!$G$2:$G$27,MATCH($C704,'Materials Master'!$A$2:$A$27,0)),IF($B704="Organics Recycling",INDEX('Materials Master'!$H$2:$H$27,MATCH($C704,'Materials Master'!$A$2:$A$27,0)),IF($B704="Cardboard Recycling",INDEX('Materials Master'!$I$2:$I$27,MATCH($C704,'Materials Master'!$A$2:$A$27,0)),IF($B704="Paper Recycling",INDEX('Materials Master'!$J$2:$J$27,MATCH($C704,'Materials Master'!$A$2:$A$27,0)),IF($B704="Terracycle",INDEX('Materials Master'!$K$2:$K$27,MATCH($C704,'Materials Master'!$A$2:$A$27,0)),"No"))))))="Yes",INDEX('Materials Master'!$E$2:$E$27,MATCH($C704,'Materials Master'!$A$2:$A$27,0))="Yes",$B704&lt;&gt;"Trash"),1,0)</f>
        <v>1</v>
      </c>
      <c r="H704" s="0" t="str">
        <f aca="false">INDEX('Materials Master'!$E$2:$E$27,MATCH($C704,'Materials Master'!$A$2:$A$27,0))</f>
        <v>Yes</v>
      </c>
      <c r="I704" s="0" t="str">
        <f aca="false">IFERROR(INDEX(Areas!$C$2:$C$6,MATCH($A704,Areas!$B$2:$B$6,0)),"")</f>
        <v>Rest of Building</v>
      </c>
      <c r="J704" s="0" t="n">
        <f aca="false">IF(IF($B704="Trash",INDEX('Materials Master'!$F$2:$F$27,MATCH($C704,'Materials Master'!$A$2:$A$27,0)),IF($B704="GMPC Recycling",INDEX('Materials Master'!$G$2:$G$27,MATCH($C704,'Materials Master'!$A$2:$A$27,0)),IF($B704="Organics Recycling",INDEX('Materials Master'!$H$2:$H$27,MATCH($C704,'Materials Master'!$A$2:$A$27,0)),IF($B704="Cardboard Recycling",INDEX('Materials Master'!$I$2:$I$27,MATCH($C704,'Materials Master'!$A$2:$A$27,0)),IF($B704="Paper Recycling",INDEX('Materials Master'!$J$2:$J$27,MATCH($C704,'Materials Master'!$A$2:$A$27,0)),IF($B704="Terracycle",INDEX('Materials Master'!$K$2:$K$27,MATCH($C704,'Materials Master'!$A$2:$A$27,0)),"No"))))))="Yes",1,0)</f>
        <v>1</v>
      </c>
    </row>
    <row r="705" customFormat="false" ht="15" hidden="false" customHeight="false" outlineLevel="0" collapsed="false">
      <c r="A705" s="0" t="s">
        <v>101</v>
      </c>
      <c r="B705" s="0" t="s">
        <v>106</v>
      </c>
      <c r="C705" s="0" t="s">
        <v>33</v>
      </c>
      <c r="D705" s="0" t="str">
        <f aca="false">IFERROR(INDEX('Materials Master'!$B$2:$B$27,MATCH($C705,'Materials Master'!$A$2:$A$27,0)),"")</f>
        <v>Soiled Cardboard</v>
      </c>
      <c r="E705" s="0" t="str">
        <f aca="false">IFERROR(INDEX('Materials Master'!$C$2:$C$27,MATCH($C705,'Materials Master'!$A$2:$A$27,0)),"")</f>
        <v>Fibers</v>
      </c>
      <c r="F705" s="0" t="n">
        <f aca="false">IF(SUMIFS(Fact_SortedWeights!$E$2:$E$89,Fact_SortedWeights!$C$2:$C$89,$A705,Fact_SortedWeights!$B$2:$B$89,$B705)=0,0,SUMIFS(Fact_SortedWeights!$E$2:$E$89,Fact_SortedWeights!$C$2:$C$89,$A705,Fact_SortedWeights!$B$2:$B$89,$B705,Fact_SortedWeights!$D$2:$D$89,$C705)/SUMIFS(Fact_SortedWeights!$E$2:$E$89,Fact_SortedWeights!$C$2:$C$89,$A705,Fact_SortedWeights!$B$2:$B$89,$B705)*(IF($B705="Cardboard Recycling",SUMIFS(Fact_SortedWeights!$E$2:$E$89,Fact_SortedWeights!$C$2:$C$89,$A705,Fact_SortedWeights!$B$2:$B$89,$B705),SUMIFS(Fact_PreSortWeights!$E$2:$E$186,Fact_PreSortWeights!$C$2:$C$186,$A705,Fact_PreSortWeights!$B$2:$B$186,$B705))))</f>
        <v>0</v>
      </c>
      <c r="G705" s="0" t="n">
        <f aca="false">IF(AND(IF($B705="Trash",INDEX('Materials Master'!$F$2:$F$27,MATCH($C705,'Materials Master'!$A$2:$A$27,0)),IF($B705="GMPC Recycling",INDEX('Materials Master'!$G$2:$G$27,MATCH($C705,'Materials Master'!$A$2:$A$27,0)),IF($B705="Organics Recycling",INDEX('Materials Master'!$H$2:$H$27,MATCH($C705,'Materials Master'!$A$2:$A$27,0)),IF($B705="Cardboard Recycling",INDEX('Materials Master'!$I$2:$I$27,MATCH($C705,'Materials Master'!$A$2:$A$27,0)),IF($B705="Paper Recycling",INDEX('Materials Master'!$J$2:$J$27,MATCH($C705,'Materials Master'!$A$2:$A$27,0)),IF($B705="Terracycle",INDEX('Materials Master'!$K$2:$K$27,MATCH($C705,'Materials Master'!$A$2:$A$27,0)),"No"))))))="Yes",INDEX('Materials Master'!$E$2:$E$27,MATCH($C705,'Materials Master'!$A$2:$A$27,0))="Yes",$B705&lt;&gt;"Trash"),1,0)</f>
        <v>0</v>
      </c>
      <c r="H705" s="0" t="str">
        <f aca="false">INDEX('Materials Master'!$E$2:$E$27,MATCH($C705,'Materials Master'!$A$2:$A$27,0))</f>
        <v>No</v>
      </c>
      <c r="I705" s="0" t="str">
        <f aca="false">IFERROR(INDEX(Areas!$C$2:$C$6,MATCH($A705,Areas!$B$2:$B$6,0)),"")</f>
        <v>Rest of Building</v>
      </c>
      <c r="J705" s="0" t="n">
        <f aca="false">IF(IF($B705="Trash",INDEX('Materials Master'!$F$2:$F$27,MATCH($C705,'Materials Master'!$A$2:$A$27,0)),IF($B705="GMPC Recycling",INDEX('Materials Master'!$G$2:$G$27,MATCH($C705,'Materials Master'!$A$2:$A$27,0)),IF($B705="Organics Recycling",INDEX('Materials Master'!$H$2:$H$27,MATCH($C705,'Materials Master'!$A$2:$A$27,0)),IF($B705="Cardboard Recycling",INDEX('Materials Master'!$I$2:$I$27,MATCH($C705,'Materials Master'!$A$2:$A$27,0)),IF($B705="Paper Recycling",INDEX('Materials Master'!$J$2:$J$27,MATCH($C705,'Materials Master'!$A$2:$A$27,0)),IF($B705="Terracycle",INDEX('Materials Master'!$K$2:$K$27,MATCH($C705,'Materials Master'!$A$2:$A$27,0)),"No"))))))="Yes",1,0)</f>
        <v>0</v>
      </c>
    </row>
    <row r="706" customFormat="false" ht="15" hidden="false" customHeight="false" outlineLevel="0" collapsed="false">
      <c r="A706" s="0" t="s">
        <v>101</v>
      </c>
      <c r="B706" s="0" t="s">
        <v>106</v>
      </c>
      <c r="C706" s="0" t="s">
        <v>35</v>
      </c>
      <c r="D706" s="0" t="str">
        <f aca="false">IFERROR(INDEX('Materials Master'!$B$2:$B$27,MATCH($C706,'Materials Master'!$A$2:$A$27,0)),"")</f>
        <v>Waxed Cardboard</v>
      </c>
      <c r="E706" s="0" t="str">
        <f aca="false">IFERROR(INDEX('Materials Master'!$C$2:$C$27,MATCH($C706,'Materials Master'!$A$2:$A$27,0)),"")</f>
        <v>Fibers</v>
      </c>
      <c r="F706" s="0" t="n">
        <f aca="false">IF(SUMIFS(Fact_SortedWeights!$E$2:$E$89,Fact_SortedWeights!$C$2:$C$89,$A706,Fact_SortedWeights!$B$2:$B$89,$B706)=0,0,SUMIFS(Fact_SortedWeights!$E$2:$E$89,Fact_SortedWeights!$C$2:$C$89,$A706,Fact_SortedWeights!$B$2:$B$89,$B706,Fact_SortedWeights!$D$2:$D$89,$C706)/SUMIFS(Fact_SortedWeights!$E$2:$E$89,Fact_SortedWeights!$C$2:$C$89,$A706,Fact_SortedWeights!$B$2:$B$89,$B706)*(IF($B706="Cardboard Recycling",SUMIFS(Fact_SortedWeights!$E$2:$E$89,Fact_SortedWeights!$C$2:$C$89,$A706,Fact_SortedWeights!$B$2:$B$89,$B706),SUMIFS(Fact_PreSortWeights!$E$2:$E$186,Fact_PreSortWeights!$C$2:$C$186,$A706,Fact_PreSortWeights!$B$2:$B$186,$B706))))</f>
        <v>0</v>
      </c>
      <c r="G706" s="0" t="n">
        <f aca="false">IF(AND(IF($B706="Trash",INDEX('Materials Master'!$F$2:$F$27,MATCH($C706,'Materials Master'!$A$2:$A$27,0)),IF($B706="GMPC Recycling",INDEX('Materials Master'!$G$2:$G$27,MATCH($C706,'Materials Master'!$A$2:$A$27,0)),IF($B706="Organics Recycling",INDEX('Materials Master'!$H$2:$H$27,MATCH($C706,'Materials Master'!$A$2:$A$27,0)),IF($B706="Cardboard Recycling",INDEX('Materials Master'!$I$2:$I$27,MATCH($C706,'Materials Master'!$A$2:$A$27,0)),IF($B706="Paper Recycling",INDEX('Materials Master'!$J$2:$J$27,MATCH($C706,'Materials Master'!$A$2:$A$27,0)),IF($B706="Terracycle",INDEX('Materials Master'!$K$2:$K$27,MATCH($C706,'Materials Master'!$A$2:$A$27,0)),"No"))))))="Yes",INDEX('Materials Master'!$E$2:$E$27,MATCH($C706,'Materials Master'!$A$2:$A$27,0))="Yes",$B706&lt;&gt;"Trash"),1,0)</f>
        <v>0</v>
      </c>
      <c r="H706" s="0" t="str">
        <f aca="false">INDEX('Materials Master'!$E$2:$E$27,MATCH($C706,'Materials Master'!$A$2:$A$27,0))</f>
        <v>No</v>
      </c>
      <c r="I706" s="0" t="str">
        <f aca="false">IFERROR(INDEX(Areas!$C$2:$C$6,MATCH($A706,Areas!$B$2:$B$6,0)),"")</f>
        <v>Rest of Building</v>
      </c>
      <c r="J706" s="0" t="n">
        <f aca="false">IF(IF($B706="Trash",INDEX('Materials Master'!$F$2:$F$27,MATCH($C706,'Materials Master'!$A$2:$A$27,0)),IF($B706="GMPC Recycling",INDEX('Materials Master'!$G$2:$G$27,MATCH($C706,'Materials Master'!$A$2:$A$27,0)),IF($B706="Organics Recycling",INDEX('Materials Master'!$H$2:$H$27,MATCH($C706,'Materials Master'!$A$2:$A$27,0)),IF($B706="Cardboard Recycling",INDEX('Materials Master'!$I$2:$I$27,MATCH($C706,'Materials Master'!$A$2:$A$27,0)),IF($B706="Paper Recycling",INDEX('Materials Master'!$J$2:$J$27,MATCH($C706,'Materials Master'!$A$2:$A$27,0)),IF($B706="Terracycle",INDEX('Materials Master'!$K$2:$K$27,MATCH($C706,'Materials Master'!$A$2:$A$27,0)),"No"))))))="Yes",1,0)</f>
        <v>0</v>
      </c>
    </row>
    <row r="707" customFormat="false" ht="15" hidden="false" customHeight="false" outlineLevel="0" collapsed="false">
      <c r="A707" s="0" t="s">
        <v>101</v>
      </c>
      <c r="B707" s="0" t="s">
        <v>106</v>
      </c>
      <c r="C707" s="0" t="s">
        <v>37</v>
      </c>
      <c r="D707" s="0" t="str">
        <f aca="false">IFERROR(INDEX('Materials Master'!$B$2:$B$27,MATCH($C707,'Materials Master'!$A$2:$A$27,0)),"")</f>
        <v>Mixed Paper</v>
      </c>
      <c r="E707" s="0" t="str">
        <f aca="false">IFERROR(INDEX('Materials Master'!$C$2:$C$27,MATCH($C707,'Materials Master'!$A$2:$A$27,0)),"")</f>
        <v>Fibers</v>
      </c>
      <c r="F707" s="0" t="n">
        <f aca="false">IF(SUMIFS(Fact_SortedWeights!$E$2:$E$89,Fact_SortedWeights!$C$2:$C$89,$A707,Fact_SortedWeights!$B$2:$B$89,$B707)=0,0,SUMIFS(Fact_SortedWeights!$E$2:$E$89,Fact_SortedWeights!$C$2:$C$89,$A707,Fact_SortedWeights!$B$2:$B$89,$B707,Fact_SortedWeights!$D$2:$D$89,$C707)/SUMIFS(Fact_SortedWeights!$E$2:$E$89,Fact_SortedWeights!$C$2:$C$89,$A707,Fact_SortedWeights!$B$2:$B$89,$B707)*(IF($B707="Cardboard Recycling",SUMIFS(Fact_SortedWeights!$E$2:$E$89,Fact_SortedWeights!$C$2:$C$89,$A707,Fact_SortedWeights!$B$2:$B$89,$B707),SUMIFS(Fact_PreSortWeights!$E$2:$E$186,Fact_PreSortWeights!$C$2:$C$186,$A707,Fact_PreSortWeights!$B$2:$B$186,$B707))))</f>
        <v>0</v>
      </c>
      <c r="G707" s="0" t="n">
        <f aca="false">IF(AND(IF($B707="Trash",INDEX('Materials Master'!$F$2:$F$27,MATCH($C707,'Materials Master'!$A$2:$A$27,0)),IF($B707="GMPC Recycling",INDEX('Materials Master'!$G$2:$G$27,MATCH($C707,'Materials Master'!$A$2:$A$27,0)),IF($B707="Organics Recycling",INDEX('Materials Master'!$H$2:$H$27,MATCH($C707,'Materials Master'!$A$2:$A$27,0)),IF($B707="Cardboard Recycling",INDEX('Materials Master'!$I$2:$I$27,MATCH($C707,'Materials Master'!$A$2:$A$27,0)),IF($B707="Paper Recycling",INDEX('Materials Master'!$J$2:$J$27,MATCH($C707,'Materials Master'!$A$2:$A$27,0)),IF($B707="Terracycle",INDEX('Materials Master'!$K$2:$K$27,MATCH($C707,'Materials Master'!$A$2:$A$27,0)),"No"))))))="Yes",INDEX('Materials Master'!$E$2:$E$27,MATCH($C707,'Materials Master'!$A$2:$A$27,0))="Yes",$B707&lt;&gt;"Trash"),1,0)</f>
        <v>1</v>
      </c>
      <c r="H707" s="0" t="str">
        <f aca="false">INDEX('Materials Master'!$E$2:$E$27,MATCH($C707,'Materials Master'!$A$2:$A$27,0))</f>
        <v>Yes</v>
      </c>
      <c r="I707" s="0" t="str">
        <f aca="false">IFERROR(INDEX(Areas!$C$2:$C$6,MATCH($A707,Areas!$B$2:$B$6,0)),"")</f>
        <v>Rest of Building</v>
      </c>
      <c r="J707" s="0" t="n">
        <f aca="false">IF(IF($B707="Trash",INDEX('Materials Master'!$F$2:$F$27,MATCH($C707,'Materials Master'!$A$2:$A$27,0)),IF($B707="GMPC Recycling",INDEX('Materials Master'!$G$2:$G$27,MATCH($C707,'Materials Master'!$A$2:$A$27,0)),IF($B707="Organics Recycling",INDEX('Materials Master'!$H$2:$H$27,MATCH($C707,'Materials Master'!$A$2:$A$27,0)),IF($B707="Cardboard Recycling",INDEX('Materials Master'!$I$2:$I$27,MATCH($C707,'Materials Master'!$A$2:$A$27,0)),IF($B707="Paper Recycling",INDEX('Materials Master'!$J$2:$J$27,MATCH($C707,'Materials Master'!$A$2:$A$27,0)),IF($B707="Terracycle",INDEX('Materials Master'!$K$2:$K$27,MATCH($C707,'Materials Master'!$A$2:$A$27,0)),"No"))))))="Yes",1,0)</f>
        <v>1</v>
      </c>
    </row>
    <row r="708" customFormat="false" ht="15" hidden="false" customHeight="false" outlineLevel="0" collapsed="false">
      <c r="A708" s="0" t="s">
        <v>101</v>
      </c>
      <c r="B708" s="0" t="s">
        <v>106</v>
      </c>
      <c r="C708" s="0" t="s">
        <v>39</v>
      </c>
      <c r="D708" s="0" t="str">
        <f aca="false">IFERROR(INDEX('Materials Master'!$B$2:$B$27,MATCH($C708,'Materials Master'!$A$2:$A$27,0)),"")</f>
        <v>Soiled Paper</v>
      </c>
      <c r="E708" s="0" t="str">
        <f aca="false">IFERROR(INDEX('Materials Master'!$C$2:$C$27,MATCH($C708,'Materials Master'!$A$2:$A$27,0)),"")</f>
        <v>Fibers</v>
      </c>
      <c r="F708" s="0" t="n">
        <f aca="false">IF(SUMIFS(Fact_SortedWeights!$E$2:$E$89,Fact_SortedWeights!$C$2:$C$89,$A708,Fact_SortedWeights!$B$2:$B$89,$B708)=0,0,SUMIFS(Fact_SortedWeights!$E$2:$E$89,Fact_SortedWeights!$C$2:$C$89,$A708,Fact_SortedWeights!$B$2:$B$89,$B708,Fact_SortedWeights!$D$2:$D$89,$C708)/SUMIFS(Fact_SortedWeights!$E$2:$E$89,Fact_SortedWeights!$C$2:$C$89,$A708,Fact_SortedWeights!$B$2:$B$89,$B708)*(IF($B708="Cardboard Recycling",SUMIFS(Fact_SortedWeights!$E$2:$E$89,Fact_SortedWeights!$C$2:$C$89,$A708,Fact_SortedWeights!$B$2:$B$89,$B708),SUMIFS(Fact_PreSortWeights!$E$2:$E$186,Fact_PreSortWeights!$C$2:$C$186,$A708,Fact_PreSortWeights!$B$2:$B$186,$B708))))</f>
        <v>0</v>
      </c>
      <c r="G708" s="0" t="n">
        <f aca="false">IF(AND(IF($B708="Trash",INDEX('Materials Master'!$F$2:$F$27,MATCH($C708,'Materials Master'!$A$2:$A$27,0)),IF($B708="GMPC Recycling",INDEX('Materials Master'!$G$2:$G$27,MATCH($C708,'Materials Master'!$A$2:$A$27,0)),IF($B708="Organics Recycling",INDEX('Materials Master'!$H$2:$H$27,MATCH($C708,'Materials Master'!$A$2:$A$27,0)),IF($B708="Cardboard Recycling",INDEX('Materials Master'!$I$2:$I$27,MATCH($C708,'Materials Master'!$A$2:$A$27,0)),IF($B708="Paper Recycling",INDEX('Materials Master'!$J$2:$J$27,MATCH($C708,'Materials Master'!$A$2:$A$27,0)),IF($B708="Terracycle",INDEX('Materials Master'!$K$2:$K$27,MATCH($C708,'Materials Master'!$A$2:$A$27,0)),"No"))))))="Yes",INDEX('Materials Master'!$E$2:$E$27,MATCH($C708,'Materials Master'!$A$2:$A$27,0))="Yes",$B708&lt;&gt;"Trash"),1,0)</f>
        <v>0</v>
      </c>
      <c r="H708" s="0" t="str">
        <f aca="false">INDEX('Materials Master'!$E$2:$E$27,MATCH($C708,'Materials Master'!$A$2:$A$27,0))</f>
        <v>No</v>
      </c>
      <c r="I708" s="0" t="str">
        <f aca="false">IFERROR(INDEX(Areas!$C$2:$C$6,MATCH($A708,Areas!$B$2:$B$6,0)),"")</f>
        <v>Rest of Building</v>
      </c>
      <c r="J708" s="0" t="n">
        <f aca="false">IF(IF($B708="Trash",INDEX('Materials Master'!$F$2:$F$27,MATCH($C708,'Materials Master'!$A$2:$A$27,0)),IF($B708="GMPC Recycling",INDEX('Materials Master'!$G$2:$G$27,MATCH($C708,'Materials Master'!$A$2:$A$27,0)),IF($B708="Organics Recycling",INDEX('Materials Master'!$H$2:$H$27,MATCH($C708,'Materials Master'!$A$2:$A$27,0)),IF($B708="Cardboard Recycling",INDEX('Materials Master'!$I$2:$I$27,MATCH($C708,'Materials Master'!$A$2:$A$27,0)),IF($B708="Paper Recycling",INDEX('Materials Master'!$J$2:$J$27,MATCH($C708,'Materials Master'!$A$2:$A$27,0)),IF($B708="Terracycle",INDEX('Materials Master'!$K$2:$K$27,MATCH($C708,'Materials Master'!$A$2:$A$27,0)),"No"))))))="Yes",1,0)</f>
        <v>0</v>
      </c>
    </row>
    <row r="709" customFormat="false" ht="15" hidden="false" customHeight="false" outlineLevel="0" collapsed="false">
      <c r="A709" s="0" t="s">
        <v>101</v>
      </c>
      <c r="B709" s="0" t="s">
        <v>106</v>
      </c>
      <c r="C709" s="0" t="s">
        <v>41</v>
      </c>
      <c r="D709" s="0" t="str">
        <f aca="false">IFERROR(INDEX('Materials Master'!$B$2:$B$27,MATCH($C709,'Materials Master'!$A$2:$A$27,0)),"")</f>
        <v>Beverage Cartons</v>
      </c>
      <c r="E709" s="0" t="str">
        <f aca="false">IFERROR(INDEX('Materials Master'!$C$2:$C$27,MATCH($C709,'Materials Master'!$A$2:$A$27,0)),"")</f>
        <v>Fibers</v>
      </c>
      <c r="F709" s="0" t="n">
        <f aca="false">IF(SUMIFS(Fact_SortedWeights!$E$2:$E$89,Fact_SortedWeights!$C$2:$C$89,$A709,Fact_SortedWeights!$B$2:$B$89,$B709)=0,0,SUMIFS(Fact_SortedWeights!$E$2:$E$89,Fact_SortedWeights!$C$2:$C$89,$A709,Fact_SortedWeights!$B$2:$B$89,$B709,Fact_SortedWeights!$D$2:$D$89,$C709)/SUMIFS(Fact_SortedWeights!$E$2:$E$89,Fact_SortedWeights!$C$2:$C$89,$A709,Fact_SortedWeights!$B$2:$B$89,$B709)*(IF($B709="Cardboard Recycling",SUMIFS(Fact_SortedWeights!$E$2:$E$89,Fact_SortedWeights!$C$2:$C$89,$A709,Fact_SortedWeights!$B$2:$B$89,$B709),SUMIFS(Fact_PreSortWeights!$E$2:$E$186,Fact_PreSortWeights!$C$2:$C$186,$A709,Fact_PreSortWeights!$B$2:$B$186,$B709))))</f>
        <v>0</v>
      </c>
      <c r="G709" s="0" t="n">
        <f aca="false">IF(AND(IF($B709="Trash",INDEX('Materials Master'!$F$2:$F$27,MATCH($C709,'Materials Master'!$A$2:$A$27,0)),IF($B709="GMPC Recycling",INDEX('Materials Master'!$G$2:$G$27,MATCH($C709,'Materials Master'!$A$2:$A$27,0)),IF($B709="Organics Recycling",INDEX('Materials Master'!$H$2:$H$27,MATCH($C709,'Materials Master'!$A$2:$A$27,0)),IF($B709="Cardboard Recycling",INDEX('Materials Master'!$I$2:$I$27,MATCH($C709,'Materials Master'!$A$2:$A$27,0)),IF($B709="Paper Recycling",INDEX('Materials Master'!$J$2:$J$27,MATCH($C709,'Materials Master'!$A$2:$A$27,0)),IF($B709="Terracycle",INDEX('Materials Master'!$K$2:$K$27,MATCH($C709,'Materials Master'!$A$2:$A$27,0)),"No"))))))="Yes",INDEX('Materials Master'!$E$2:$E$27,MATCH($C709,'Materials Master'!$A$2:$A$27,0))="Yes",$B709&lt;&gt;"Trash"),1,0)</f>
        <v>1</v>
      </c>
      <c r="H709" s="0" t="str">
        <f aca="false">INDEX('Materials Master'!$E$2:$E$27,MATCH($C709,'Materials Master'!$A$2:$A$27,0))</f>
        <v>Yes</v>
      </c>
      <c r="I709" s="0" t="str">
        <f aca="false">IFERROR(INDEX(Areas!$C$2:$C$6,MATCH($A709,Areas!$B$2:$B$6,0)),"")</f>
        <v>Rest of Building</v>
      </c>
      <c r="J709" s="0" t="n">
        <f aca="false">IF(IF($B709="Trash",INDEX('Materials Master'!$F$2:$F$27,MATCH($C709,'Materials Master'!$A$2:$A$27,0)),IF($B709="GMPC Recycling",INDEX('Materials Master'!$G$2:$G$27,MATCH($C709,'Materials Master'!$A$2:$A$27,0)),IF($B709="Organics Recycling",INDEX('Materials Master'!$H$2:$H$27,MATCH($C709,'Materials Master'!$A$2:$A$27,0)),IF($B709="Cardboard Recycling",INDEX('Materials Master'!$I$2:$I$27,MATCH($C709,'Materials Master'!$A$2:$A$27,0)),IF($B709="Paper Recycling",INDEX('Materials Master'!$J$2:$J$27,MATCH($C709,'Materials Master'!$A$2:$A$27,0)),IF($B709="Terracycle",INDEX('Materials Master'!$K$2:$K$27,MATCH($C709,'Materials Master'!$A$2:$A$27,0)),"No"))))))="Yes",1,0)</f>
        <v>1</v>
      </c>
    </row>
    <row r="710" customFormat="false" ht="15" hidden="false" customHeight="false" outlineLevel="0" collapsed="false">
      <c r="A710" s="0" t="s">
        <v>101</v>
      </c>
      <c r="B710" s="0" t="s">
        <v>106</v>
      </c>
      <c r="C710" s="0" t="s">
        <v>43</v>
      </c>
      <c r="D710" s="0" t="str">
        <f aca="false">IFERROR(INDEX('Materials Master'!$B$2:$B$27,MATCH($C710,'Materials Master'!$A$2:$A$27,0)),"")</f>
        <v>Soiled Beverage Cartons</v>
      </c>
      <c r="E710" s="0" t="str">
        <f aca="false">IFERROR(INDEX('Materials Master'!$C$2:$C$27,MATCH($C710,'Materials Master'!$A$2:$A$27,0)),"")</f>
        <v>Fibers</v>
      </c>
      <c r="F710" s="0" t="n">
        <f aca="false">IF(SUMIFS(Fact_SortedWeights!$E$2:$E$89,Fact_SortedWeights!$C$2:$C$89,$A710,Fact_SortedWeights!$B$2:$B$89,$B710)=0,0,SUMIFS(Fact_SortedWeights!$E$2:$E$89,Fact_SortedWeights!$C$2:$C$89,$A710,Fact_SortedWeights!$B$2:$B$89,$B710,Fact_SortedWeights!$D$2:$D$89,$C710)/SUMIFS(Fact_SortedWeights!$E$2:$E$89,Fact_SortedWeights!$C$2:$C$89,$A710,Fact_SortedWeights!$B$2:$B$89,$B710)*(IF($B710="Cardboard Recycling",SUMIFS(Fact_SortedWeights!$E$2:$E$89,Fact_SortedWeights!$C$2:$C$89,$A710,Fact_SortedWeights!$B$2:$B$89,$B710),SUMIFS(Fact_PreSortWeights!$E$2:$E$186,Fact_PreSortWeights!$C$2:$C$186,$A710,Fact_PreSortWeights!$B$2:$B$186,$B710))))</f>
        <v>0</v>
      </c>
      <c r="G710" s="0" t="n">
        <f aca="false">IF(AND(IF($B710="Trash",INDEX('Materials Master'!$F$2:$F$27,MATCH($C710,'Materials Master'!$A$2:$A$27,0)),IF($B710="GMPC Recycling",INDEX('Materials Master'!$G$2:$G$27,MATCH($C710,'Materials Master'!$A$2:$A$27,0)),IF($B710="Organics Recycling",INDEX('Materials Master'!$H$2:$H$27,MATCH($C710,'Materials Master'!$A$2:$A$27,0)),IF($B710="Cardboard Recycling",INDEX('Materials Master'!$I$2:$I$27,MATCH($C710,'Materials Master'!$A$2:$A$27,0)),IF($B710="Paper Recycling",INDEX('Materials Master'!$J$2:$J$27,MATCH($C710,'Materials Master'!$A$2:$A$27,0)),IF($B710="Terracycle",INDEX('Materials Master'!$K$2:$K$27,MATCH($C710,'Materials Master'!$A$2:$A$27,0)),"No"))))))="Yes",INDEX('Materials Master'!$E$2:$E$27,MATCH($C710,'Materials Master'!$A$2:$A$27,0))="Yes",$B710&lt;&gt;"Trash"),1,0)</f>
        <v>0</v>
      </c>
      <c r="H710" s="0" t="str">
        <f aca="false">INDEX('Materials Master'!$E$2:$E$27,MATCH($C710,'Materials Master'!$A$2:$A$27,0))</f>
        <v>No</v>
      </c>
      <c r="I710" s="0" t="str">
        <f aca="false">IFERROR(INDEX(Areas!$C$2:$C$6,MATCH($A710,Areas!$B$2:$B$6,0)),"")</f>
        <v>Rest of Building</v>
      </c>
      <c r="J710" s="0" t="n">
        <f aca="false">IF(IF($B710="Trash",INDEX('Materials Master'!$F$2:$F$27,MATCH($C710,'Materials Master'!$A$2:$A$27,0)),IF($B710="GMPC Recycling",INDEX('Materials Master'!$G$2:$G$27,MATCH($C710,'Materials Master'!$A$2:$A$27,0)),IF($B710="Organics Recycling",INDEX('Materials Master'!$H$2:$H$27,MATCH($C710,'Materials Master'!$A$2:$A$27,0)),IF($B710="Cardboard Recycling",INDEX('Materials Master'!$I$2:$I$27,MATCH($C710,'Materials Master'!$A$2:$A$27,0)),IF($B710="Paper Recycling",INDEX('Materials Master'!$J$2:$J$27,MATCH($C710,'Materials Master'!$A$2:$A$27,0)),IF($B710="Terracycle",INDEX('Materials Master'!$K$2:$K$27,MATCH($C710,'Materials Master'!$A$2:$A$27,0)),"No"))))))="Yes",1,0)</f>
        <v>0</v>
      </c>
    </row>
    <row r="711" customFormat="false" ht="15" hidden="false" customHeight="false" outlineLevel="0" collapsed="false">
      <c r="A711" s="0" t="s">
        <v>101</v>
      </c>
      <c r="B711" s="0" t="s">
        <v>106</v>
      </c>
      <c r="C711" s="0" t="s">
        <v>45</v>
      </c>
      <c r="D711" s="0" t="str">
        <f aca="false">IFERROR(INDEX('Materials Master'!$B$2:$B$27,MATCH($C711,'Materials Master'!$A$2:$A$27,0)),"")</f>
        <v>Paper Cups / Other Coated Paper Containers</v>
      </c>
      <c r="E711" s="0" t="str">
        <f aca="false">IFERROR(INDEX('Materials Master'!$C$2:$C$27,MATCH($C711,'Materials Master'!$A$2:$A$27,0)),"")</f>
        <v>Fibers</v>
      </c>
      <c r="F711" s="0" t="n">
        <f aca="false">IF(SUMIFS(Fact_SortedWeights!$E$2:$E$89,Fact_SortedWeights!$C$2:$C$89,$A711,Fact_SortedWeights!$B$2:$B$89,$B711)=0,0,SUMIFS(Fact_SortedWeights!$E$2:$E$89,Fact_SortedWeights!$C$2:$C$89,$A711,Fact_SortedWeights!$B$2:$B$89,$B711,Fact_SortedWeights!$D$2:$D$89,$C711)/SUMIFS(Fact_SortedWeights!$E$2:$E$89,Fact_SortedWeights!$C$2:$C$89,$A711,Fact_SortedWeights!$B$2:$B$89,$B711)*(IF($B711="Cardboard Recycling",SUMIFS(Fact_SortedWeights!$E$2:$E$89,Fact_SortedWeights!$C$2:$C$89,$A711,Fact_SortedWeights!$B$2:$B$89,$B711),SUMIFS(Fact_PreSortWeights!$E$2:$E$186,Fact_PreSortWeights!$C$2:$C$186,$A711,Fact_PreSortWeights!$B$2:$B$186,$B711))))</f>
        <v>0</v>
      </c>
      <c r="G711" s="0" t="n">
        <f aca="false">IF(AND(IF($B711="Trash",INDEX('Materials Master'!$F$2:$F$27,MATCH($C711,'Materials Master'!$A$2:$A$27,0)),IF($B711="GMPC Recycling",INDEX('Materials Master'!$G$2:$G$27,MATCH($C711,'Materials Master'!$A$2:$A$27,0)),IF($B711="Organics Recycling",INDEX('Materials Master'!$H$2:$H$27,MATCH($C711,'Materials Master'!$A$2:$A$27,0)),IF($B711="Cardboard Recycling",INDEX('Materials Master'!$I$2:$I$27,MATCH($C711,'Materials Master'!$A$2:$A$27,0)),IF($B711="Paper Recycling",INDEX('Materials Master'!$J$2:$J$27,MATCH($C711,'Materials Master'!$A$2:$A$27,0)),IF($B711="Terracycle",INDEX('Materials Master'!$K$2:$K$27,MATCH($C711,'Materials Master'!$A$2:$A$27,0)),"No"))))))="Yes",INDEX('Materials Master'!$E$2:$E$27,MATCH($C711,'Materials Master'!$A$2:$A$27,0))="Yes",$B711&lt;&gt;"Trash"),1,0)</f>
        <v>0</v>
      </c>
      <c r="H711" s="0" t="str">
        <f aca="false">INDEX('Materials Master'!$E$2:$E$27,MATCH($C711,'Materials Master'!$A$2:$A$27,0))</f>
        <v>No</v>
      </c>
      <c r="I711" s="0" t="str">
        <f aca="false">IFERROR(INDEX(Areas!$C$2:$C$6,MATCH($A711,Areas!$B$2:$B$6,0)),"")</f>
        <v>Rest of Building</v>
      </c>
      <c r="J711" s="0" t="n">
        <f aca="false">IF(IF($B711="Trash",INDEX('Materials Master'!$F$2:$F$27,MATCH($C711,'Materials Master'!$A$2:$A$27,0)),IF($B711="GMPC Recycling",INDEX('Materials Master'!$G$2:$G$27,MATCH($C711,'Materials Master'!$A$2:$A$27,0)),IF($B711="Organics Recycling",INDEX('Materials Master'!$H$2:$H$27,MATCH($C711,'Materials Master'!$A$2:$A$27,0)),IF($B711="Cardboard Recycling",INDEX('Materials Master'!$I$2:$I$27,MATCH($C711,'Materials Master'!$A$2:$A$27,0)),IF($B711="Paper Recycling",INDEX('Materials Master'!$J$2:$J$27,MATCH($C711,'Materials Master'!$A$2:$A$27,0)),IF($B711="Terracycle",INDEX('Materials Master'!$K$2:$K$27,MATCH($C711,'Materials Master'!$A$2:$A$27,0)),"No"))))))="Yes",1,0)</f>
        <v>0</v>
      </c>
    </row>
    <row r="712" customFormat="false" ht="15" hidden="false" customHeight="false" outlineLevel="0" collapsed="false">
      <c r="A712" s="0" t="s">
        <v>101</v>
      </c>
      <c r="B712" s="0" t="s">
        <v>106</v>
      </c>
      <c r="C712" s="0" t="s">
        <v>47</v>
      </c>
      <c r="D712" s="0" t="str">
        <f aca="false">IFERROR(INDEX('Materials Master'!$B$2:$B$27,MATCH($C712,'Materials Master'!$A$2:$A$27,0)),"")</f>
        <v>Glass Bottles &amp; Jars</v>
      </c>
      <c r="E712" s="0" t="str">
        <f aca="false">IFERROR(INDEX('Materials Master'!$C$2:$C$27,MATCH($C712,'Materials Master'!$A$2:$A$27,0)),"")</f>
        <v>Glass</v>
      </c>
      <c r="F712" s="0" t="n">
        <f aca="false">IF(SUMIFS(Fact_SortedWeights!$E$2:$E$89,Fact_SortedWeights!$C$2:$C$89,$A712,Fact_SortedWeights!$B$2:$B$89,$B712)=0,0,SUMIFS(Fact_SortedWeights!$E$2:$E$89,Fact_SortedWeights!$C$2:$C$89,$A712,Fact_SortedWeights!$B$2:$B$89,$B712,Fact_SortedWeights!$D$2:$D$89,$C712)/SUMIFS(Fact_SortedWeights!$E$2:$E$89,Fact_SortedWeights!$C$2:$C$89,$A712,Fact_SortedWeights!$B$2:$B$89,$B712)*(IF($B712="Cardboard Recycling",SUMIFS(Fact_SortedWeights!$E$2:$E$89,Fact_SortedWeights!$C$2:$C$89,$A712,Fact_SortedWeights!$B$2:$B$89,$B712),SUMIFS(Fact_PreSortWeights!$E$2:$E$186,Fact_PreSortWeights!$C$2:$C$186,$A712,Fact_PreSortWeights!$B$2:$B$186,$B712))))</f>
        <v>0</v>
      </c>
      <c r="G712" s="0" t="n">
        <f aca="false">IF(AND(IF($B712="Trash",INDEX('Materials Master'!$F$2:$F$27,MATCH($C712,'Materials Master'!$A$2:$A$27,0)),IF($B712="GMPC Recycling",INDEX('Materials Master'!$G$2:$G$27,MATCH($C712,'Materials Master'!$A$2:$A$27,0)),IF($B712="Organics Recycling",INDEX('Materials Master'!$H$2:$H$27,MATCH($C712,'Materials Master'!$A$2:$A$27,0)),IF($B712="Cardboard Recycling",INDEX('Materials Master'!$I$2:$I$27,MATCH($C712,'Materials Master'!$A$2:$A$27,0)),IF($B712="Paper Recycling",INDEX('Materials Master'!$J$2:$J$27,MATCH($C712,'Materials Master'!$A$2:$A$27,0)),IF($B712="Terracycle",INDEX('Materials Master'!$K$2:$K$27,MATCH($C712,'Materials Master'!$A$2:$A$27,0)),"No"))))))="Yes",INDEX('Materials Master'!$E$2:$E$27,MATCH($C712,'Materials Master'!$A$2:$A$27,0))="Yes",$B712&lt;&gt;"Trash"),1,0)</f>
        <v>1</v>
      </c>
      <c r="H712" s="0" t="str">
        <f aca="false">INDEX('Materials Master'!$E$2:$E$27,MATCH($C712,'Materials Master'!$A$2:$A$27,0))</f>
        <v>Yes</v>
      </c>
      <c r="I712" s="0" t="str">
        <f aca="false">IFERROR(INDEX(Areas!$C$2:$C$6,MATCH($A712,Areas!$B$2:$B$6,0)),"")</f>
        <v>Rest of Building</v>
      </c>
      <c r="J712" s="0" t="n">
        <f aca="false">IF(IF($B712="Trash",INDEX('Materials Master'!$F$2:$F$27,MATCH($C712,'Materials Master'!$A$2:$A$27,0)),IF($B712="GMPC Recycling",INDEX('Materials Master'!$G$2:$G$27,MATCH($C712,'Materials Master'!$A$2:$A$27,0)),IF($B712="Organics Recycling",INDEX('Materials Master'!$H$2:$H$27,MATCH($C712,'Materials Master'!$A$2:$A$27,0)),IF($B712="Cardboard Recycling",INDEX('Materials Master'!$I$2:$I$27,MATCH($C712,'Materials Master'!$A$2:$A$27,0)),IF($B712="Paper Recycling",INDEX('Materials Master'!$J$2:$J$27,MATCH($C712,'Materials Master'!$A$2:$A$27,0)),IF($B712="Terracycle",INDEX('Materials Master'!$K$2:$K$27,MATCH($C712,'Materials Master'!$A$2:$A$27,0)),"No"))))))="Yes",1,0)</f>
        <v>1</v>
      </c>
    </row>
    <row r="713" customFormat="false" ht="15" hidden="false" customHeight="false" outlineLevel="0" collapsed="false">
      <c r="A713" s="0" t="s">
        <v>101</v>
      </c>
      <c r="B713" s="0" t="s">
        <v>106</v>
      </c>
      <c r="C713" s="0" t="s">
        <v>50</v>
      </c>
      <c r="D713" s="0" t="str">
        <f aca="false">IFERROR(INDEX('Materials Master'!$B$2:$B$27,MATCH($C713,'Materials Master'!$A$2:$A$27,0)),"")</f>
        <v>Soiled Glass</v>
      </c>
      <c r="E713" s="0" t="str">
        <f aca="false">IFERROR(INDEX('Materials Master'!$C$2:$C$27,MATCH($C713,'Materials Master'!$A$2:$A$27,0)),"")</f>
        <v>Glass</v>
      </c>
      <c r="F713" s="0" t="n">
        <f aca="false">IF(SUMIFS(Fact_SortedWeights!$E$2:$E$89,Fact_SortedWeights!$C$2:$C$89,$A713,Fact_SortedWeights!$B$2:$B$89,$B713)=0,0,SUMIFS(Fact_SortedWeights!$E$2:$E$89,Fact_SortedWeights!$C$2:$C$89,$A713,Fact_SortedWeights!$B$2:$B$89,$B713,Fact_SortedWeights!$D$2:$D$89,$C713)/SUMIFS(Fact_SortedWeights!$E$2:$E$89,Fact_SortedWeights!$C$2:$C$89,$A713,Fact_SortedWeights!$B$2:$B$89,$B713)*(IF($B713="Cardboard Recycling",SUMIFS(Fact_SortedWeights!$E$2:$E$89,Fact_SortedWeights!$C$2:$C$89,$A713,Fact_SortedWeights!$B$2:$B$89,$B713),SUMIFS(Fact_PreSortWeights!$E$2:$E$186,Fact_PreSortWeights!$C$2:$C$186,$A713,Fact_PreSortWeights!$B$2:$B$186,$B713))))</f>
        <v>0</v>
      </c>
      <c r="G713" s="0" t="n">
        <f aca="false">IF(AND(IF($B713="Trash",INDEX('Materials Master'!$F$2:$F$27,MATCH($C713,'Materials Master'!$A$2:$A$27,0)),IF($B713="GMPC Recycling",INDEX('Materials Master'!$G$2:$G$27,MATCH($C713,'Materials Master'!$A$2:$A$27,0)),IF($B713="Organics Recycling",INDEX('Materials Master'!$H$2:$H$27,MATCH($C713,'Materials Master'!$A$2:$A$27,0)),IF($B713="Cardboard Recycling",INDEX('Materials Master'!$I$2:$I$27,MATCH($C713,'Materials Master'!$A$2:$A$27,0)),IF($B713="Paper Recycling",INDEX('Materials Master'!$J$2:$J$27,MATCH($C713,'Materials Master'!$A$2:$A$27,0)),IF($B713="Terracycle",INDEX('Materials Master'!$K$2:$K$27,MATCH($C713,'Materials Master'!$A$2:$A$27,0)),"No"))))))="Yes",INDEX('Materials Master'!$E$2:$E$27,MATCH($C713,'Materials Master'!$A$2:$A$27,0))="Yes",$B713&lt;&gt;"Trash"),1,0)</f>
        <v>0</v>
      </c>
      <c r="H713" s="0" t="str">
        <f aca="false">INDEX('Materials Master'!$E$2:$E$27,MATCH($C713,'Materials Master'!$A$2:$A$27,0))</f>
        <v>No</v>
      </c>
      <c r="I713" s="0" t="str">
        <f aca="false">IFERROR(INDEX(Areas!$C$2:$C$6,MATCH($A713,Areas!$B$2:$B$6,0)),"")</f>
        <v>Rest of Building</v>
      </c>
      <c r="J713" s="0" t="n">
        <f aca="false">IF(IF($B713="Trash",INDEX('Materials Master'!$F$2:$F$27,MATCH($C713,'Materials Master'!$A$2:$A$27,0)),IF($B713="GMPC Recycling",INDEX('Materials Master'!$G$2:$G$27,MATCH($C713,'Materials Master'!$A$2:$A$27,0)),IF($B713="Organics Recycling",INDEX('Materials Master'!$H$2:$H$27,MATCH($C713,'Materials Master'!$A$2:$A$27,0)),IF($B713="Cardboard Recycling",INDEX('Materials Master'!$I$2:$I$27,MATCH($C713,'Materials Master'!$A$2:$A$27,0)),IF($B713="Paper Recycling",INDEX('Materials Master'!$J$2:$J$27,MATCH($C713,'Materials Master'!$A$2:$A$27,0)),IF($B713="Terracycle",INDEX('Materials Master'!$K$2:$K$27,MATCH($C713,'Materials Master'!$A$2:$A$27,0)),"No"))))))="Yes",1,0)</f>
        <v>0</v>
      </c>
    </row>
    <row r="714" customFormat="false" ht="15" hidden="false" customHeight="false" outlineLevel="0" collapsed="false">
      <c r="A714" s="0" t="s">
        <v>101</v>
      </c>
      <c r="B714" s="0" t="s">
        <v>106</v>
      </c>
      <c r="C714" s="0" t="s">
        <v>52</v>
      </c>
      <c r="D714" s="0" t="str">
        <f aca="false">IFERROR(INDEX('Materials Master'!$B$2:$B$27,MATCH($C714,'Materials Master'!$A$2:$A$27,0)),"")</f>
        <v>Aluminum &amp; Bi-Metal Containers</v>
      </c>
      <c r="E714" s="0" t="str">
        <f aca="false">IFERROR(INDEX('Materials Master'!$C$2:$C$27,MATCH($C714,'Materials Master'!$A$2:$A$27,0)),"")</f>
        <v>Metals</v>
      </c>
      <c r="F714" s="0" t="n">
        <f aca="false">IF(SUMIFS(Fact_SortedWeights!$E$2:$E$89,Fact_SortedWeights!$C$2:$C$89,$A714,Fact_SortedWeights!$B$2:$B$89,$B714)=0,0,SUMIFS(Fact_SortedWeights!$E$2:$E$89,Fact_SortedWeights!$C$2:$C$89,$A714,Fact_SortedWeights!$B$2:$B$89,$B714,Fact_SortedWeights!$D$2:$D$89,$C714)/SUMIFS(Fact_SortedWeights!$E$2:$E$89,Fact_SortedWeights!$C$2:$C$89,$A714,Fact_SortedWeights!$B$2:$B$89,$B714)*(IF($B714="Cardboard Recycling",SUMIFS(Fact_SortedWeights!$E$2:$E$89,Fact_SortedWeights!$C$2:$C$89,$A714,Fact_SortedWeights!$B$2:$B$89,$B714),SUMIFS(Fact_PreSortWeights!$E$2:$E$186,Fact_PreSortWeights!$C$2:$C$186,$A714,Fact_PreSortWeights!$B$2:$B$186,$B714))))</f>
        <v>0</v>
      </c>
      <c r="G714" s="0" t="n">
        <f aca="false">IF(AND(IF($B714="Trash",INDEX('Materials Master'!$F$2:$F$27,MATCH($C714,'Materials Master'!$A$2:$A$27,0)),IF($B714="GMPC Recycling",INDEX('Materials Master'!$G$2:$G$27,MATCH($C714,'Materials Master'!$A$2:$A$27,0)),IF($B714="Organics Recycling",INDEX('Materials Master'!$H$2:$H$27,MATCH($C714,'Materials Master'!$A$2:$A$27,0)),IF($B714="Cardboard Recycling",INDEX('Materials Master'!$I$2:$I$27,MATCH($C714,'Materials Master'!$A$2:$A$27,0)),IF($B714="Paper Recycling",INDEX('Materials Master'!$J$2:$J$27,MATCH($C714,'Materials Master'!$A$2:$A$27,0)),IF($B714="Terracycle",INDEX('Materials Master'!$K$2:$K$27,MATCH($C714,'Materials Master'!$A$2:$A$27,0)),"No"))))))="Yes",INDEX('Materials Master'!$E$2:$E$27,MATCH($C714,'Materials Master'!$A$2:$A$27,0))="Yes",$B714&lt;&gt;"Trash"),1,0)</f>
        <v>1</v>
      </c>
      <c r="H714" s="0" t="str">
        <f aca="false">INDEX('Materials Master'!$E$2:$E$27,MATCH($C714,'Materials Master'!$A$2:$A$27,0))</f>
        <v>Yes</v>
      </c>
      <c r="I714" s="0" t="str">
        <f aca="false">IFERROR(INDEX(Areas!$C$2:$C$6,MATCH($A714,Areas!$B$2:$B$6,0)),"")</f>
        <v>Rest of Building</v>
      </c>
      <c r="J714" s="0" t="n">
        <f aca="false">IF(IF($B714="Trash",INDEX('Materials Master'!$F$2:$F$27,MATCH($C714,'Materials Master'!$A$2:$A$27,0)),IF($B714="GMPC Recycling",INDEX('Materials Master'!$G$2:$G$27,MATCH($C714,'Materials Master'!$A$2:$A$27,0)),IF($B714="Organics Recycling",INDEX('Materials Master'!$H$2:$H$27,MATCH($C714,'Materials Master'!$A$2:$A$27,0)),IF($B714="Cardboard Recycling",INDEX('Materials Master'!$I$2:$I$27,MATCH($C714,'Materials Master'!$A$2:$A$27,0)),IF($B714="Paper Recycling",INDEX('Materials Master'!$J$2:$J$27,MATCH($C714,'Materials Master'!$A$2:$A$27,0)),IF($B714="Terracycle",INDEX('Materials Master'!$K$2:$K$27,MATCH($C714,'Materials Master'!$A$2:$A$27,0)),"No"))))))="Yes",1,0)</f>
        <v>1</v>
      </c>
    </row>
    <row r="715" customFormat="false" ht="15" hidden="false" customHeight="false" outlineLevel="0" collapsed="false">
      <c r="A715" s="0" t="s">
        <v>101</v>
      </c>
      <c r="B715" s="0" t="s">
        <v>106</v>
      </c>
      <c r="C715" s="0" t="s">
        <v>55</v>
      </c>
      <c r="D715" s="0" t="str">
        <f aca="false">IFERROR(INDEX('Materials Master'!$B$2:$B$27,MATCH($C715,'Materials Master'!$A$2:$A$27,0)),"")</f>
        <v>Soiled Metals</v>
      </c>
      <c r="E715" s="0" t="str">
        <f aca="false">IFERROR(INDEX('Materials Master'!$C$2:$C$27,MATCH($C715,'Materials Master'!$A$2:$A$27,0)),"")</f>
        <v>Metals</v>
      </c>
      <c r="F715" s="0" t="n">
        <f aca="false">IF(SUMIFS(Fact_SortedWeights!$E$2:$E$89,Fact_SortedWeights!$C$2:$C$89,$A715,Fact_SortedWeights!$B$2:$B$89,$B715)=0,0,SUMIFS(Fact_SortedWeights!$E$2:$E$89,Fact_SortedWeights!$C$2:$C$89,$A715,Fact_SortedWeights!$B$2:$B$89,$B715,Fact_SortedWeights!$D$2:$D$89,$C715)/SUMIFS(Fact_SortedWeights!$E$2:$E$89,Fact_SortedWeights!$C$2:$C$89,$A715,Fact_SortedWeights!$B$2:$B$89,$B715)*(IF($B715="Cardboard Recycling",SUMIFS(Fact_SortedWeights!$E$2:$E$89,Fact_SortedWeights!$C$2:$C$89,$A715,Fact_SortedWeights!$B$2:$B$89,$B715),SUMIFS(Fact_PreSortWeights!$E$2:$E$186,Fact_PreSortWeights!$C$2:$C$186,$A715,Fact_PreSortWeights!$B$2:$B$186,$B715))))</f>
        <v>0</v>
      </c>
      <c r="G715" s="0" t="n">
        <f aca="false">IF(AND(IF($B715="Trash",INDEX('Materials Master'!$F$2:$F$27,MATCH($C715,'Materials Master'!$A$2:$A$27,0)),IF($B715="GMPC Recycling",INDEX('Materials Master'!$G$2:$G$27,MATCH($C715,'Materials Master'!$A$2:$A$27,0)),IF($B715="Organics Recycling",INDEX('Materials Master'!$H$2:$H$27,MATCH($C715,'Materials Master'!$A$2:$A$27,0)),IF($B715="Cardboard Recycling",INDEX('Materials Master'!$I$2:$I$27,MATCH($C715,'Materials Master'!$A$2:$A$27,0)),IF($B715="Paper Recycling",INDEX('Materials Master'!$J$2:$J$27,MATCH($C715,'Materials Master'!$A$2:$A$27,0)),IF($B715="Terracycle",INDEX('Materials Master'!$K$2:$K$27,MATCH($C715,'Materials Master'!$A$2:$A$27,0)),"No"))))))="Yes",INDEX('Materials Master'!$E$2:$E$27,MATCH($C715,'Materials Master'!$A$2:$A$27,0))="Yes",$B715&lt;&gt;"Trash"),1,0)</f>
        <v>0</v>
      </c>
      <c r="H715" s="0" t="str">
        <f aca="false">INDEX('Materials Master'!$E$2:$E$27,MATCH($C715,'Materials Master'!$A$2:$A$27,0))</f>
        <v>No</v>
      </c>
      <c r="I715" s="0" t="str">
        <f aca="false">IFERROR(INDEX(Areas!$C$2:$C$6,MATCH($A715,Areas!$B$2:$B$6,0)),"")</f>
        <v>Rest of Building</v>
      </c>
      <c r="J715" s="0" t="n">
        <f aca="false">IF(IF($B715="Trash",INDEX('Materials Master'!$F$2:$F$27,MATCH($C715,'Materials Master'!$A$2:$A$27,0)),IF($B715="GMPC Recycling",INDEX('Materials Master'!$G$2:$G$27,MATCH($C715,'Materials Master'!$A$2:$A$27,0)),IF($B715="Organics Recycling",INDEX('Materials Master'!$H$2:$H$27,MATCH($C715,'Materials Master'!$A$2:$A$27,0)),IF($B715="Cardboard Recycling",INDEX('Materials Master'!$I$2:$I$27,MATCH($C715,'Materials Master'!$A$2:$A$27,0)),IF($B715="Paper Recycling",INDEX('Materials Master'!$J$2:$J$27,MATCH($C715,'Materials Master'!$A$2:$A$27,0)),IF($B715="Terracycle",INDEX('Materials Master'!$K$2:$K$27,MATCH($C715,'Materials Master'!$A$2:$A$27,0)),"No"))))))="Yes",1,0)</f>
        <v>0</v>
      </c>
    </row>
    <row r="716" customFormat="false" ht="15" hidden="false" customHeight="false" outlineLevel="0" collapsed="false">
      <c r="A716" s="0" t="s">
        <v>101</v>
      </c>
      <c r="B716" s="0" t="s">
        <v>106</v>
      </c>
      <c r="C716" s="0" t="s">
        <v>57</v>
      </c>
      <c r="D716" s="0" t="str">
        <f aca="false">IFERROR(INDEX('Materials Master'!$B$2:$B$27,MATCH($C716,'Materials Master'!$A$2:$A$27,0)),"")</f>
        <v>Rigid Plastics (1-6)</v>
      </c>
      <c r="E716" s="0" t="str">
        <f aca="false">IFERROR(INDEX('Materials Master'!$C$2:$C$27,MATCH($C716,'Materials Master'!$A$2:$A$27,0)),"")</f>
        <v>Plastics</v>
      </c>
      <c r="F716" s="0" t="n">
        <f aca="false">IF(SUMIFS(Fact_SortedWeights!$E$2:$E$89,Fact_SortedWeights!$C$2:$C$89,$A716,Fact_SortedWeights!$B$2:$B$89,$B716)=0,0,SUMIFS(Fact_SortedWeights!$E$2:$E$89,Fact_SortedWeights!$C$2:$C$89,$A716,Fact_SortedWeights!$B$2:$B$89,$B716,Fact_SortedWeights!$D$2:$D$89,$C716)/SUMIFS(Fact_SortedWeights!$E$2:$E$89,Fact_SortedWeights!$C$2:$C$89,$A716,Fact_SortedWeights!$B$2:$B$89,$B716)*(IF($B716="Cardboard Recycling",SUMIFS(Fact_SortedWeights!$E$2:$E$89,Fact_SortedWeights!$C$2:$C$89,$A716,Fact_SortedWeights!$B$2:$B$89,$B716),SUMIFS(Fact_PreSortWeights!$E$2:$E$186,Fact_PreSortWeights!$C$2:$C$186,$A716,Fact_PreSortWeights!$B$2:$B$186,$B716))))</f>
        <v>0</v>
      </c>
      <c r="G716" s="0" t="n">
        <f aca="false">IF(AND(IF($B716="Trash",INDEX('Materials Master'!$F$2:$F$27,MATCH($C716,'Materials Master'!$A$2:$A$27,0)),IF($B716="GMPC Recycling",INDEX('Materials Master'!$G$2:$G$27,MATCH($C716,'Materials Master'!$A$2:$A$27,0)),IF($B716="Organics Recycling",INDEX('Materials Master'!$H$2:$H$27,MATCH($C716,'Materials Master'!$A$2:$A$27,0)),IF($B716="Cardboard Recycling",INDEX('Materials Master'!$I$2:$I$27,MATCH($C716,'Materials Master'!$A$2:$A$27,0)),IF($B716="Paper Recycling",INDEX('Materials Master'!$J$2:$J$27,MATCH($C716,'Materials Master'!$A$2:$A$27,0)),IF($B716="Terracycle",INDEX('Materials Master'!$K$2:$K$27,MATCH($C716,'Materials Master'!$A$2:$A$27,0)),"No"))))))="Yes",INDEX('Materials Master'!$E$2:$E$27,MATCH($C716,'Materials Master'!$A$2:$A$27,0))="Yes",$B716&lt;&gt;"Trash"),1,0)</f>
        <v>1</v>
      </c>
      <c r="H716" s="0" t="str">
        <f aca="false">INDEX('Materials Master'!$E$2:$E$27,MATCH($C716,'Materials Master'!$A$2:$A$27,0))</f>
        <v>Yes</v>
      </c>
      <c r="I716" s="0" t="str">
        <f aca="false">IFERROR(INDEX(Areas!$C$2:$C$6,MATCH($A716,Areas!$B$2:$B$6,0)),"")</f>
        <v>Rest of Building</v>
      </c>
      <c r="J716" s="0" t="n">
        <f aca="false">IF(IF($B716="Trash",INDEX('Materials Master'!$F$2:$F$27,MATCH($C716,'Materials Master'!$A$2:$A$27,0)),IF($B716="GMPC Recycling",INDEX('Materials Master'!$G$2:$G$27,MATCH($C716,'Materials Master'!$A$2:$A$27,0)),IF($B716="Organics Recycling",INDEX('Materials Master'!$H$2:$H$27,MATCH($C716,'Materials Master'!$A$2:$A$27,0)),IF($B716="Cardboard Recycling",INDEX('Materials Master'!$I$2:$I$27,MATCH($C716,'Materials Master'!$A$2:$A$27,0)),IF($B716="Paper Recycling",INDEX('Materials Master'!$J$2:$J$27,MATCH($C716,'Materials Master'!$A$2:$A$27,0)),IF($B716="Terracycle",INDEX('Materials Master'!$K$2:$K$27,MATCH($C716,'Materials Master'!$A$2:$A$27,0)),"No"))))))="Yes",1,0)</f>
        <v>1</v>
      </c>
    </row>
    <row r="717" customFormat="false" ht="15" hidden="false" customHeight="false" outlineLevel="0" collapsed="false">
      <c r="A717" s="0" t="s">
        <v>101</v>
      </c>
      <c r="B717" s="0" t="s">
        <v>106</v>
      </c>
      <c r="C717" s="0" t="s">
        <v>60</v>
      </c>
      <c r="D717" s="0" t="str">
        <f aca="false">IFERROR(INDEX('Materials Master'!$B$2:$B$27,MATCH($C717,'Materials Master'!$A$2:$A$27,0)),"")</f>
        <v>Soiled Rigid Plastics</v>
      </c>
      <c r="E717" s="0" t="str">
        <f aca="false">IFERROR(INDEX('Materials Master'!$C$2:$C$27,MATCH($C717,'Materials Master'!$A$2:$A$27,0)),"")</f>
        <v>Plastics</v>
      </c>
      <c r="F717" s="0" t="n">
        <f aca="false">IF(SUMIFS(Fact_SortedWeights!$E$2:$E$89,Fact_SortedWeights!$C$2:$C$89,$A717,Fact_SortedWeights!$B$2:$B$89,$B717)=0,0,SUMIFS(Fact_SortedWeights!$E$2:$E$89,Fact_SortedWeights!$C$2:$C$89,$A717,Fact_SortedWeights!$B$2:$B$89,$B717,Fact_SortedWeights!$D$2:$D$89,$C717)/SUMIFS(Fact_SortedWeights!$E$2:$E$89,Fact_SortedWeights!$C$2:$C$89,$A717,Fact_SortedWeights!$B$2:$B$89,$B717)*(IF($B717="Cardboard Recycling",SUMIFS(Fact_SortedWeights!$E$2:$E$89,Fact_SortedWeights!$C$2:$C$89,$A717,Fact_SortedWeights!$B$2:$B$89,$B717),SUMIFS(Fact_PreSortWeights!$E$2:$E$186,Fact_PreSortWeights!$C$2:$C$186,$A717,Fact_PreSortWeights!$B$2:$B$186,$B717))))</f>
        <v>0</v>
      </c>
      <c r="G717" s="0" t="n">
        <f aca="false">IF(AND(IF($B717="Trash",INDEX('Materials Master'!$F$2:$F$27,MATCH($C717,'Materials Master'!$A$2:$A$27,0)),IF($B717="GMPC Recycling",INDEX('Materials Master'!$G$2:$G$27,MATCH($C717,'Materials Master'!$A$2:$A$27,0)),IF($B717="Organics Recycling",INDEX('Materials Master'!$H$2:$H$27,MATCH($C717,'Materials Master'!$A$2:$A$27,0)),IF($B717="Cardboard Recycling",INDEX('Materials Master'!$I$2:$I$27,MATCH($C717,'Materials Master'!$A$2:$A$27,0)),IF($B717="Paper Recycling",INDEX('Materials Master'!$J$2:$J$27,MATCH($C717,'Materials Master'!$A$2:$A$27,0)),IF($B717="Terracycle",INDEX('Materials Master'!$K$2:$K$27,MATCH($C717,'Materials Master'!$A$2:$A$27,0)),"No"))))))="Yes",INDEX('Materials Master'!$E$2:$E$27,MATCH($C717,'Materials Master'!$A$2:$A$27,0))="Yes",$B717&lt;&gt;"Trash"),1,0)</f>
        <v>0</v>
      </c>
      <c r="H717" s="0" t="str">
        <f aca="false">INDEX('Materials Master'!$E$2:$E$27,MATCH($C717,'Materials Master'!$A$2:$A$27,0))</f>
        <v>No</v>
      </c>
      <c r="I717" s="0" t="str">
        <f aca="false">IFERROR(INDEX(Areas!$C$2:$C$6,MATCH($A717,Areas!$B$2:$B$6,0)),"")</f>
        <v>Rest of Building</v>
      </c>
      <c r="J717" s="0" t="n">
        <f aca="false">IF(IF($B717="Trash",INDEX('Materials Master'!$F$2:$F$27,MATCH($C717,'Materials Master'!$A$2:$A$27,0)),IF($B717="GMPC Recycling",INDEX('Materials Master'!$G$2:$G$27,MATCH($C717,'Materials Master'!$A$2:$A$27,0)),IF($B717="Organics Recycling",INDEX('Materials Master'!$H$2:$H$27,MATCH($C717,'Materials Master'!$A$2:$A$27,0)),IF($B717="Cardboard Recycling",INDEX('Materials Master'!$I$2:$I$27,MATCH($C717,'Materials Master'!$A$2:$A$27,0)),IF($B717="Paper Recycling",INDEX('Materials Master'!$J$2:$J$27,MATCH($C717,'Materials Master'!$A$2:$A$27,0)),IF($B717="Terracycle",INDEX('Materials Master'!$K$2:$K$27,MATCH($C717,'Materials Master'!$A$2:$A$27,0)),"No"))))))="Yes",1,0)</f>
        <v>0</v>
      </c>
    </row>
    <row r="718" customFormat="false" ht="15" hidden="false" customHeight="false" outlineLevel="0" collapsed="false">
      <c r="A718" s="0" t="s">
        <v>101</v>
      </c>
      <c r="B718" s="0" t="s">
        <v>106</v>
      </c>
      <c r="C718" s="0" t="s">
        <v>62</v>
      </c>
      <c r="D718" s="0" t="str">
        <f aca="false">IFERROR(INDEX('Materials Master'!$B$2:$B$27,MATCH($C718,'Materials Master'!$A$2:$A$27,0)),"")</f>
        <v>Film Plastics</v>
      </c>
      <c r="E718" s="0" t="str">
        <f aca="false">IFERROR(INDEX('Materials Master'!$C$2:$C$27,MATCH($C718,'Materials Master'!$A$2:$A$27,0)),"")</f>
        <v>Plastics</v>
      </c>
      <c r="F718" s="0" t="n">
        <f aca="false">IF(SUMIFS(Fact_SortedWeights!$E$2:$E$89,Fact_SortedWeights!$C$2:$C$89,$A718,Fact_SortedWeights!$B$2:$B$89,$B718)=0,0,SUMIFS(Fact_SortedWeights!$E$2:$E$89,Fact_SortedWeights!$C$2:$C$89,$A718,Fact_SortedWeights!$B$2:$B$89,$B718,Fact_SortedWeights!$D$2:$D$89,$C718)/SUMIFS(Fact_SortedWeights!$E$2:$E$89,Fact_SortedWeights!$C$2:$C$89,$A718,Fact_SortedWeights!$B$2:$B$89,$B718)*(IF($B718="Cardboard Recycling",SUMIFS(Fact_SortedWeights!$E$2:$E$89,Fact_SortedWeights!$C$2:$C$89,$A718,Fact_SortedWeights!$B$2:$B$89,$B718),SUMIFS(Fact_PreSortWeights!$E$2:$E$186,Fact_PreSortWeights!$C$2:$C$186,$A718,Fact_PreSortWeights!$B$2:$B$186,$B718))))</f>
        <v>0</v>
      </c>
      <c r="G718" s="0" t="n">
        <f aca="false">IF(AND(IF($B718="Trash",INDEX('Materials Master'!$F$2:$F$27,MATCH($C718,'Materials Master'!$A$2:$A$27,0)),IF($B718="GMPC Recycling",INDEX('Materials Master'!$G$2:$G$27,MATCH($C718,'Materials Master'!$A$2:$A$27,0)),IF($B718="Organics Recycling",INDEX('Materials Master'!$H$2:$H$27,MATCH($C718,'Materials Master'!$A$2:$A$27,0)),IF($B718="Cardboard Recycling",INDEX('Materials Master'!$I$2:$I$27,MATCH($C718,'Materials Master'!$A$2:$A$27,0)),IF($B718="Paper Recycling",INDEX('Materials Master'!$J$2:$J$27,MATCH($C718,'Materials Master'!$A$2:$A$27,0)),IF($B718="Terracycle",INDEX('Materials Master'!$K$2:$K$27,MATCH($C718,'Materials Master'!$A$2:$A$27,0)),"No"))))))="Yes",INDEX('Materials Master'!$E$2:$E$27,MATCH($C718,'Materials Master'!$A$2:$A$27,0))="Yes",$B718&lt;&gt;"Trash"),1,0)</f>
        <v>0</v>
      </c>
      <c r="H718" s="0" t="str">
        <f aca="false">INDEX('Materials Master'!$E$2:$E$27,MATCH($C718,'Materials Master'!$A$2:$A$27,0))</f>
        <v>No</v>
      </c>
      <c r="I718" s="0" t="str">
        <f aca="false">IFERROR(INDEX(Areas!$C$2:$C$6,MATCH($A718,Areas!$B$2:$B$6,0)),"")</f>
        <v>Rest of Building</v>
      </c>
      <c r="J718" s="0" t="n">
        <f aca="false">IF(IF($B718="Trash",INDEX('Materials Master'!$F$2:$F$27,MATCH($C718,'Materials Master'!$A$2:$A$27,0)),IF($B718="GMPC Recycling",INDEX('Materials Master'!$G$2:$G$27,MATCH($C718,'Materials Master'!$A$2:$A$27,0)),IF($B718="Organics Recycling",INDEX('Materials Master'!$H$2:$H$27,MATCH($C718,'Materials Master'!$A$2:$A$27,0)),IF($B718="Cardboard Recycling",INDEX('Materials Master'!$I$2:$I$27,MATCH($C718,'Materials Master'!$A$2:$A$27,0)),IF($B718="Paper Recycling",INDEX('Materials Master'!$J$2:$J$27,MATCH($C718,'Materials Master'!$A$2:$A$27,0)),IF($B718="Terracycle",INDEX('Materials Master'!$K$2:$K$27,MATCH($C718,'Materials Master'!$A$2:$A$27,0)),"No"))))))="Yes",1,0)</f>
        <v>0</v>
      </c>
    </row>
    <row r="719" customFormat="false" ht="15" hidden="false" customHeight="false" outlineLevel="0" collapsed="false">
      <c r="A719" s="0" t="s">
        <v>101</v>
      </c>
      <c r="B719" s="0" t="s">
        <v>106</v>
      </c>
      <c r="C719" s="0" t="s">
        <v>64</v>
      </c>
      <c r="D719" s="0" t="str">
        <f aca="false">IFERROR(INDEX('Materials Master'!$B$2:$B$27,MATCH($C719,'Materials Master'!$A$2:$A$27,0)),"")</f>
        <v>Foams</v>
      </c>
      <c r="E719" s="0" t="str">
        <f aca="false">IFERROR(INDEX('Materials Master'!$C$2:$C$27,MATCH($C719,'Materials Master'!$A$2:$A$27,0)),"")</f>
        <v>Plastics</v>
      </c>
      <c r="F719" s="0" t="n">
        <f aca="false">IF(SUMIFS(Fact_SortedWeights!$E$2:$E$89,Fact_SortedWeights!$C$2:$C$89,$A719,Fact_SortedWeights!$B$2:$B$89,$B719)=0,0,SUMIFS(Fact_SortedWeights!$E$2:$E$89,Fact_SortedWeights!$C$2:$C$89,$A719,Fact_SortedWeights!$B$2:$B$89,$B719,Fact_SortedWeights!$D$2:$D$89,$C719)/SUMIFS(Fact_SortedWeights!$E$2:$E$89,Fact_SortedWeights!$C$2:$C$89,$A719,Fact_SortedWeights!$B$2:$B$89,$B719)*(IF($B719="Cardboard Recycling",SUMIFS(Fact_SortedWeights!$E$2:$E$89,Fact_SortedWeights!$C$2:$C$89,$A719,Fact_SortedWeights!$B$2:$B$89,$B719),SUMIFS(Fact_PreSortWeights!$E$2:$E$186,Fact_PreSortWeights!$C$2:$C$186,$A719,Fact_PreSortWeights!$B$2:$B$186,$B719))))</f>
        <v>0</v>
      </c>
      <c r="G719" s="0" t="n">
        <f aca="false">IF(AND(IF($B719="Trash",INDEX('Materials Master'!$F$2:$F$27,MATCH($C719,'Materials Master'!$A$2:$A$27,0)),IF($B719="GMPC Recycling",INDEX('Materials Master'!$G$2:$G$27,MATCH($C719,'Materials Master'!$A$2:$A$27,0)),IF($B719="Organics Recycling",INDEX('Materials Master'!$H$2:$H$27,MATCH($C719,'Materials Master'!$A$2:$A$27,0)),IF($B719="Cardboard Recycling",INDEX('Materials Master'!$I$2:$I$27,MATCH($C719,'Materials Master'!$A$2:$A$27,0)),IF($B719="Paper Recycling",INDEX('Materials Master'!$J$2:$J$27,MATCH($C719,'Materials Master'!$A$2:$A$27,0)),IF($B719="Terracycle",INDEX('Materials Master'!$K$2:$K$27,MATCH($C719,'Materials Master'!$A$2:$A$27,0)),"No"))))))="Yes",INDEX('Materials Master'!$E$2:$E$27,MATCH($C719,'Materials Master'!$A$2:$A$27,0))="Yes",$B719&lt;&gt;"Trash"),1,0)</f>
        <v>0</v>
      </c>
      <c r="H719" s="0" t="str">
        <f aca="false">INDEX('Materials Master'!$E$2:$E$27,MATCH($C719,'Materials Master'!$A$2:$A$27,0))</f>
        <v>No</v>
      </c>
      <c r="I719" s="0" t="str">
        <f aca="false">IFERROR(INDEX(Areas!$C$2:$C$6,MATCH($A719,Areas!$B$2:$B$6,0)),"")</f>
        <v>Rest of Building</v>
      </c>
      <c r="J719" s="0" t="n">
        <f aca="false">IF(IF($B719="Trash",INDEX('Materials Master'!$F$2:$F$27,MATCH($C719,'Materials Master'!$A$2:$A$27,0)),IF($B719="GMPC Recycling",INDEX('Materials Master'!$G$2:$G$27,MATCH($C719,'Materials Master'!$A$2:$A$27,0)),IF($B719="Organics Recycling",INDEX('Materials Master'!$H$2:$H$27,MATCH($C719,'Materials Master'!$A$2:$A$27,0)),IF($B719="Cardboard Recycling",INDEX('Materials Master'!$I$2:$I$27,MATCH($C719,'Materials Master'!$A$2:$A$27,0)),IF($B719="Paper Recycling",INDEX('Materials Master'!$J$2:$J$27,MATCH($C719,'Materials Master'!$A$2:$A$27,0)),IF($B719="Terracycle",INDEX('Materials Master'!$K$2:$K$27,MATCH($C719,'Materials Master'!$A$2:$A$27,0)),"No"))))))="Yes",1,0)</f>
        <v>0</v>
      </c>
    </row>
    <row r="720" customFormat="false" ht="15" hidden="false" customHeight="false" outlineLevel="0" collapsed="false">
      <c r="A720" s="0" t="s">
        <v>101</v>
      </c>
      <c r="B720" s="0" t="s">
        <v>106</v>
      </c>
      <c r="C720" s="0" t="s">
        <v>66</v>
      </c>
      <c r="D720" s="0" t="str">
        <f aca="false">IFERROR(INDEX('Materials Master'!$B$2:$B$27,MATCH($C720,'Materials Master'!$A$2:$A$27,0)),"")</f>
        <v>Food Waste</v>
      </c>
      <c r="E720" s="0" t="str">
        <f aca="false">IFERROR(INDEX('Materials Master'!$C$2:$C$27,MATCH($C720,'Materials Master'!$A$2:$A$27,0)),"")</f>
        <v>Organics</v>
      </c>
      <c r="F720" s="0" t="n">
        <f aca="false">IF(SUMIFS(Fact_SortedWeights!$E$2:$E$89,Fact_SortedWeights!$C$2:$C$89,$A720,Fact_SortedWeights!$B$2:$B$89,$B720)=0,0,SUMIFS(Fact_SortedWeights!$E$2:$E$89,Fact_SortedWeights!$C$2:$C$89,$A720,Fact_SortedWeights!$B$2:$B$89,$B720,Fact_SortedWeights!$D$2:$D$89,$C720)/SUMIFS(Fact_SortedWeights!$E$2:$E$89,Fact_SortedWeights!$C$2:$C$89,$A720,Fact_SortedWeights!$B$2:$B$89,$B720)*(IF($B720="Cardboard Recycling",SUMIFS(Fact_SortedWeights!$E$2:$E$89,Fact_SortedWeights!$C$2:$C$89,$A720,Fact_SortedWeights!$B$2:$B$89,$B720),SUMIFS(Fact_PreSortWeights!$E$2:$E$186,Fact_PreSortWeights!$C$2:$C$186,$A720,Fact_PreSortWeights!$B$2:$B$186,$B720))))</f>
        <v>0</v>
      </c>
      <c r="G720" s="0" t="n">
        <f aca="false">IF(AND(IF($B720="Trash",INDEX('Materials Master'!$F$2:$F$27,MATCH($C720,'Materials Master'!$A$2:$A$27,0)),IF($B720="GMPC Recycling",INDEX('Materials Master'!$G$2:$G$27,MATCH($C720,'Materials Master'!$A$2:$A$27,0)),IF($B720="Organics Recycling",INDEX('Materials Master'!$H$2:$H$27,MATCH($C720,'Materials Master'!$A$2:$A$27,0)),IF($B720="Cardboard Recycling",INDEX('Materials Master'!$I$2:$I$27,MATCH($C720,'Materials Master'!$A$2:$A$27,0)),IF($B720="Paper Recycling",INDEX('Materials Master'!$J$2:$J$27,MATCH($C720,'Materials Master'!$A$2:$A$27,0)),IF($B720="Terracycle",INDEX('Materials Master'!$K$2:$K$27,MATCH($C720,'Materials Master'!$A$2:$A$27,0)),"No"))))))="Yes",INDEX('Materials Master'!$E$2:$E$27,MATCH($C720,'Materials Master'!$A$2:$A$27,0))="Yes",$B720&lt;&gt;"Trash"),1,0)</f>
        <v>0</v>
      </c>
      <c r="H720" s="0" t="str">
        <f aca="false">INDEX('Materials Master'!$E$2:$E$27,MATCH($C720,'Materials Master'!$A$2:$A$27,0))</f>
        <v>Yes</v>
      </c>
      <c r="I720" s="0" t="str">
        <f aca="false">IFERROR(INDEX(Areas!$C$2:$C$6,MATCH($A720,Areas!$B$2:$B$6,0)),"")</f>
        <v>Rest of Building</v>
      </c>
      <c r="J720" s="0" t="n">
        <f aca="false">IF(IF($B720="Trash",INDEX('Materials Master'!$F$2:$F$27,MATCH($C720,'Materials Master'!$A$2:$A$27,0)),IF($B720="GMPC Recycling",INDEX('Materials Master'!$G$2:$G$27,MATCH($C720,'Materials Master'!$A$2:$A$27,0)),IF($B720="Organics Recycling",INDEX('Materials Master'!$H$2:$H$27,MATCH($C720,'Materials Master'!$A$2:$A$27,0)),IF($B720="Cardboard Recycling",INDEX('Materials Master'!$I$2:$I$27,MATCH($C720,'Materials Master'!$A$2:$A$27,0)),IF($B720="Paper Recycling",INDEX('Materials Master'!$J$2:$J$27,MATCH($C720,'Materials Master'!$A$2:$A$27,0)),IF($B720="Terracycle",INDEX('Materials Master'!$K$2:$K$27,MATCH($C720,'Materials Master'!$A$2:$A$27,0)),"No"))))))="Yes",1,0)</f>
        <v>0</v>
      </c>
    </row>
    <row r="721" customFormat="false" ht="15" hidden="false" customHeight="false" outlineLevel="0" collapsed="false">
      <c r="A721" s="0" t="s">
        <v>101</v>
      </c>
      <c r="B721" s="0" t="s">
        <v>106</v>
      </c>
      <c r="C721" s="0" t="s">
        <v>69</v>
      </c>
      <c r="D721" s="0" t="str">
        <f aca="false">IFERROR(INDEX('Materials Master'!$B$2:$B$27,MATCH($C721,'Materials Master'!$A$2:$A$27,0)),"")</f>
        <v>Paper Fibers and Food-Soiled Paper (FSP)</v>
      </c>
      <c r="E721" s="0" t="str">
        <f aca="false">IFERROR(INDEX('Materials Master'!$C$2:$C$27,MATCH($C721,'Materials Master'!$A$2:$A$27,0)),"")</f>
        <v>Organics</v>
      </c>
      <c r="F721" s="0" t="n">
        <f aca="false">IF(SUMIFS(Fact_SortedWeights!$E$2:$E$89,Fact_SortedWeights!$C$2:$C$89,$A721,Fact_SortedWeights!$B$2:$B$89,$B721)=0,0,SUMIFS(Fact_SortedWeights!$E$2:$E$89,Fact_SortedWeights!$C$2:$C$89,$A721,Fact_SortedWeights!$B$2:$B$89,$B721,Fact_SortedWeights!$D$2:$D$89,$C721)/SUMIFS(Fact_SortedWeights!$E$2:$E$89,Fact_SortedWeights!$C$2:$C$89,$A721,Fact_SortedWeights!$B$2:$B$89,$B721)*(IF($B721="Cardboard Recycling",SUMIFS(Fact_SortedWeights!$E$2:$E$89,Fact_SortedWeights!$C$2:$C$89,$A721,Fact_SortedWeights!$B$2:$B$89,$B721),SUMIFS(Fact_PreSortWeights!$E$2:$E$186,Fact_PreSortWeights!$C$2:$C$186,$A721,Fact_PreSortWeights!$B$2:$B$186,$B721))))</f>
        <v>0</v>
      </c>
      <c r="G721" s="0" t="n">
        <f aca="false">IF(AND(IF($B721="Trash",INDEX('Materials Master'!$F$2:$F$27,MATCH($C721,'Materials Master'!$A$2:$A$27,0)),IF($B721="GMPC Recycling",INDEX('Materials Master'!$G$2:$G$27,MATCH($C721,'Materials Master'!$A$2:$A$27,0)),IF($B721="Organics Recycling",INDEX('Materials Master'!$H$2:$H$27,MATCH($C721,'Materials Master'!$A$2:$A$27,0)),IF($B721="Cardboard Recycling",INDEX('Materials Master'!$I$2:$I$27,MATCH($C721,'Materials Master'!$A$2:$A$27,0)),IF($B721="Paper Recycling",INDEX('Materials Master'!$J$2:$J$27,MATCH($C721,'Materials Master'!$A$2:$A$27,0)),IF($B721="Terracycle",INDEX('Materials Master'!$K$2:$K$27,MATCH($C721,'Materials Master'!$A$2:$A$27,0)),"No"))))))="Yes",INDEX('Materials Master'!$E$2:$E$27,MATCH($C721,'Materials Master'!$A$2:$A$27,0))="Yes",$B721&lt;&gt;"Trash"),1,0)</f>
        <v>0</v>
      </c>
      <c r="H721" s="0" t="str">
        <f aca="false">INDEX('Materials Master'!$E$2:$E$27,MATCH($C721,'Materials Master'!$A$2:$A$27,0))</f>
        <v>No</v>
      </c>
      <c r="I721" s="0" t="str">
        <f aca="false">IFERROR(INDEX(Areas!$C$2:$C$6,MATCH($A721,Areas!$B$2:$B$6,0)),"")</f>
        <v>Rest of Building</v>
      </c>
      <c r="J721" s="0" t="n">
        <f aca="false">IF(IF($B721="Trash",INDEX('Materials Master'!$F$2:$F$27,MATCH($C721,'Materials Master'!$A$2:$A$27,0)),IF($B721="GMPC Recycling",INDEX('Materials Master'!$G$2:$G$27,MATCH($C721,'Materials Master'!$A$2:$A$27,0)),IF($B721="Organics Recycling",INDEX('Materials Master'!$H$2:$H$27,MATCH($C721,'Materials Master'!$A$2:$A$27,0)),IF($B721="Cardboard Recycling",INDEX('Materials Master'!$I$2:$I$27,MATCH($C721,'Materials Master'!$A$2:$A$27,0)),IF($B721="Paper Recycling",INDEX('Materials Master'!$J$2:$J$27,MATCH($C721,'Materials Master'!$A$2:$A$27,0)),IF($B721="Terracycle",INDEX('Materials Master'!$K$2:$K$27,MATCH($C721,'Materials Master'!$A$2:$A$27,0)),"No"))))))="Yes",1,0)</f>
        <v>0</v>
      </c>
    </row>
    <row r="722" customFormat="false" ht="15" hidden="false" customHeight="false" outlineLevel="0" collapsed="false">
      <c r="A722" s="0" t="s">
        <v>101</v>
      </c>
      <c r="B722" s="0" t="s">
        <v>106</v>
      </c>
      <c r="C722" s="0" t="s">
        <v>71</v>
      </c>
      <c r="D722" s="0" t="str">
        <f aca="false">IFERROR(INDEX('Materials Master'!$B$2:$B$27,MATCH($C722,'Materials Master'!$A$2:$A$27,0)),"")</f>
        <v>Fiber-based Compostable Serviceware</v>
      </c>
      <c r="E722" s="0" t="str">
        <f aca="false">IFERROR(INDEX('Materials Master'!$C$2:$C$27,MATCH($C722,'Materials Master'!$A$2:$A$27,0)),"")</f>
        <v>Organics</v>
      </c>
      <c r="F722" s="0" t="n">
        <f aca="false">IF(SUMIFS(Fact_SortedWeights!$E$2:$E$89,Fact_SortedWeights!$C$2:$C$89,$A722,Fact_SortedWeights!$B$2:$B$89,$B722)=0,0,SUMIFS(Fact_SortedWeights!$E$2:$E$89,Fact_SortedWeights!$C$2:$C$89,$A722,Fact_SortedWeights!$B$2:$B$89,$B722,Fact_SortedWeights!$D$2:$D$89,$C722)/SUMIFS(Fact_SortedWeights!$E$2:$E$89,Fact_SortedWeights!$C$2:$C$89,$A722,Fact_SortedWeights!$B$2:$B$89,$B722)*(IF($B722="Cardboard Recycling",SUMIFS(Fact_SortedWeights!$E$2:$E$89,Fact_SortedWeights!$C$2:$C$89,$A722,Fact_SortedWeights!$B$2:$B$89,$B722),SUMIFS(Fact_PreSortWeights!$E$2:$E$186,Fact_PreSortWeights!$C$2:$C$186,$A722,Fact_PreSortWeights!$B$2:$B$186,$B722))))</f>
        <v>0</v>
      </c>
      <c r="G722" s="0" t="n">
        <f aca="false">IF(AND(IF($B722="Trash",INDEX('Materials Master'!$F$2:$F$27,MATCH($C722,'Materials Master'!$A$2:$A$27,0)),IF($B722="GMPC Recycling",INDEX('Materials Master'!$G$2:$G$27,MATCH($C722,'Materials Master'!$A$2:$A$27,0)),IF($B722="Organics Recycling",INDEX('Materials Master'!$H$2:$H$27,MATCH($C722,'Materials Master'!$A$2:$A$27,0)),IF($B722="Cardboard Recycling",INDEX('Materials Master'!$I$2:$I$27,MATCH($C722,'Materials Master'!$A$2:$A$27,0)),IF($B722="Paper Recycling",INDEX('Materials Master'!$J$2:$J$27,MATCH($C722,'Materials Master'!$A$2:$A$27,0)),IF($B722="Terracycle",INDEX('Materials Master'!$K$2:$K$27,MATCH($C722,'Materials Master'!$A$2:$A$27,0)),"No"))))))="Yes",INDEX('Materials Master'!$E$2:$E$27,MATCH($C722,'Materials Master'!$A$2:$A$27,0))="Yes",$B722&lt;&gt;"Trash"),1,0)</f>
        <v>0</v>
      </c>
      <c r="H722" s="0" t="str">
        <f aca="false">INDEX('Materials Master'!$E$2:$E$27,MATCH($C722,'Materials Master'!$A$2:$A$27,0))</f>
        <v>No</v>
      </c>
      <c r="I722" s="0" t="str">
        <f aca="false">IFERROR(INDEX(Areas!$C$2:$C$6,MATCH($A722,Areas!$B$2:$B$6,0)),"")</f>
        <v>Rest of Building</v>
      </c>
      <c r="J722" s="0" t="n">
        <f aca="false">IF(IF($B722="Trash",INDEX('Materials Master'!$F$2:$F$27,MATCH($C722,'Materials Master'!$A$2:$A$27,0)),IF($B722="GMPC Recycling",INDEX('Materials Master'!$G$2:$G$27,MATCH($C722,'Materials Master'!$A$2:$A$27,0)),IF($B722="Organics Recycling",INDEX('Materials Master'!$H$2:$H$27,MATCH($C722,'Materials Master'!$A$2:$A$27,0)),IF($B722="Cardboard Recycling",INDEX('Materials Master'!$I$2:$I$27,MATCH($C722,'Materials Master'!$A$2:$A$27,0)),IF($B722="Paper Recycling",INDEX('Materials Master'!$J$2:$J$27,MATCH($C722,'Materials Master'!$A$2:$A$27,0)),IF($B722="Terracycle",INDEX('Materials Master'!$K$2:$K$27,MATCH($C722,'Materials Master'!$A$2:$A$27,0)),"No"))))))="Yes",1,0)</f>
        <v>0</v>
      </c>
    </row>
    <row r="723" customFormat="false" ht="15" hidden="false" customHeight="false" outlineLevel="0" collapsed="false">
      <c r="A723" s="0" t="s">
        <v>101</v>
      </c>
      <c r="B723" s="0" t="s">
        <v>106</v>
      </c>
      <c r="C723" s="0" t="s">
        <v>73</v>
      </c>
      <c r="D723" s="0" t="str">
        <f aca="false">IFERROR(INDEX('Materials Master'!$B$2:$B$27,MATCH($C723,'Materials Master'!$A$2:$A$27,0)),"")</f>
        <v>PLA Compostable Serviceware</v>
      </c>
      <c r="E723" s="0" t="str">
        <f aca="false">IFERROR(INDEX('Materials Master'!$C$2:$C$27,MATCH($C723,'Materials Master'!$A$2:$A$27,0)),"")</f>
        <v>Organics</v>
      </c>
      <c r="F723" s="0" t="n">
        <f aca="false">IF(SUMIFS(Fact_SortedWeights!$E$2:$E$89,Fact_SortedWeights!$C$2:$C$89,$A723,Fact_SortedWeights!$B$2:$B$89,$B723)=0,0,SUMIFS(Fact_SortedWeights!$E$2:$E$89,Fact_SortedWeights!$C$2:$C$89,$A723,Fact_SortedWeights!$B$2:$B$89,$B723,Fact_SortedWeights!$D$2:$D$89,$C723)/SUMIFS(Fact_SortedWeights!$E$2:$E$89,Fact_SortedWeights!$C$2:$C$89,$A723,Fact_SortedWeights!$B$2:$B$89,$B723)*(IF($B723="Cardboard Recycling",SUMIFS(Fact_SortedWeights!$E$2:$E$89,Fact_SortedWeights!$C$2:$C$89,$A723,Fact_SortedWeights!$B$2:$B$89,$B723),SUMIFS(Fact_PreSortWeights!$E$2:$E$186,Fact_PreSortWeights!$C$2:$C$186,$A723,Fact_PreSortWeights!$B$2:$B$186,$B723))))</f>
        <v>0</v>
      </c>
      <c r="G723" s="0" t="n">
        <f aca="false">IF(AND(IF($B723="Trash",INDEX('Materials Master'!$F$2:$F$27,MATCH($C723,'Materials Master'!$A$2:$A$27,0)),IF($B723="GMPC Recycling",INDEX('Materials Master'!$G$2:$G$27,MATCH($C723,'Materials Master'!$A$2:$A$27,0)),IF($B723="Organics Recycling",INDEX('Materials Master'!$H$2:$H$27,MATCH($C723,'Materials Master'!$A$2:$A$27,0)),IF($B723="Cardboard Recycling",INDEX('Materials Master'!$I$2:$I$27,MATCH($C723,'Materials Master'!$A$2:$A$27,0)),IF($B723="Paper Recycling",INDEX('Materials Master'!$J$2:$J$27,MATCH($C723,'Materials Master'!$A$2:$A$27,0)),IF($B723="Terracycle",INDEX('Materials Master'!$K$2:$K$27,MATCH($C723,'Materials Master'!$A$2:$A$27,0)),"No"))))))="Yes",INDEX('Materials Master'!$E$2:$E$27,MATCH($C723,'Materials Master'!$A$2:$A$27,0))="Yes",$B723&lt;&gt;"Trash"),1,0)</f>
        <v>0</v>
      </c>
      <c r="H723" s="0" t="str">
        <f aca="false">INDEX('Materials Master'!$E$2:$E$27,MATCH($C723,'Materials Master'!$A$2:$A$27,0))</f>
        <v>No</v>
      </c>
      <c r="I723" s="0" t="str">
        <f aca="false">IFERROR(INDEX(Areas!$C$2:$C$6,MATCH($A723,Areas!$B$2:$B$6,0)),"")</f>
        <v>Rest of Building</v>
      </c>
      <c r="J723" s="0" t="n">
        <f aca="false">IF(IF($B723="Trash",INDEX('Materials Master'!$F$2:$F$27,MATCH($C723,'Materials Master'!$A$2:$A$27,0)),IF($B723="GMPC Recycling",INDEX('Materials Master'!$G$2:$G$27,MATCH($C723,'Materials Master'!$A$2:$A$27,0)),IF($B723="Organics Recycling",INDEX('Materials Master'!$H$2:$H$27,MATCH($C723,'Materials Master'!$A$2:$A$27,0)),IF($B723="Cardboard Recycling",INDEX('Materials Master'!$I$2:$I$27,MATCH($C723,'Materials Master'!$A$2:$A$27,0)),IF($B723="Paper Recycling",INDEX('Materials Master'!$J$2:$J$27,MATCH($C723,'Materials Master'!$A$2:$A$27,0)),IF($B723="Terracycle",INDEX('Materials Master'!$K$2:$K$27,MATCH($C723,'Materials Master'!$A$2:$A$27,0)),"No"))))))="Yes",1,0)</f>
        <v>0</v>
      </c>
    </row>
    <row r="724" customFormat="false" ht="15" hidden="false" customHeight="false" outlineLevel="0" collapsed="false">
      <c r="A724" s="0" t="s">
        <v>101</v>
      </c>
      <c r="B724" s="0" t="s">
        <v>106</v>
      </c>
      <c r="C724" s="0" t="s">
        <v>75</v>
      </c>
      <c r="D724" s="0" t="str">
        <f aca="false">IFERROR(INDEX('Materials Master'!$B$2:$B$27,MATCH($C724,'Materials Master'!$A$2:$A$27,0)),"")</f>
        <v>E/U Waste</v>
      </c>
      <c r="E724" s="0" t="str">
        <f aca="false">IFERROR(INDEX('Materials Master'!$C$2:$C$27,MATCH($C724,'Materials Master'!$A$2:$A$27,0)),"")</f>
        <v>Unacceptable</v>
      </c>
      <c r="F724" s="0" t="n">
        <f aca="false">IF(SUMIFS(Fact_SortedWeights!$E$2:$E$89,Fact_SortedWeights!$C$2:$C$89,$A724,Fact_SortedWeights!$B$2:$B$89,$B724)=0,0,SUMIFS(Fact_SortedWeights!$E$2:$E$89,Fact_SortedWeights!$C$2:$C$89,$A724,Fact_SortedWeights!$B$2:$B$89,$B724,Fact_SortedWeights!$D$2:$D$89,$C724)/SUMIFS(Fact_SortedWeights!$E$2:$E$89,Fact_SortedWeights!$C$2:$C$89,$A724,Fact_SortedWeights!$B$2:$B$89,$B724)*(IF($B724="Cardboard Recycling",SUMIFS(Fact_SortedWeights!$E$2:$E$89,Fact_SortedWeights!$C$2:$C$89,$A724,Fact_SortedWeights!$B$2:$B$89,$B724),SUMIFS(Fact_PreSortWeights!$E$2:$E$186,Fact_PreSortWeights!$C$2:$C$186,$A724,Fact_PreSortWeights!$B$2:$B$186,$B724))))</f>
        <v>0</v>
      </c>
      <c r="G724" s="0" t="n">
        <f aca="false">IF(AND(IF($B724="Trash",INDEX('Materials Master'!$F$2:$F$27,MATCH($C724,'Materials Master'!$A$2:$A$27,0)),IF($B724="GMPC Recycling",INDEX('Materials Master'!$G$2:$G$27,MATCH($C724,'Materials Master'!$A$2:$A$27,0)),IF($B724="Organics Recycling",INDEX('Materials Master'!$H$2:$H$27,MATCH($C724,'Materials Master'!$A$2:$A$27,0)),IF($B724="Cardboard Recycling",INDEX('Materials Master'!$I$2:$I$27,MATCH($C724,'Materials Master'!$A$2:$A$27,0)),IF($B724="Paper Recycling",INDEX('Materials Master'!$J$2:$J$27,MATCH($C724,'Materials Master'!$A$2:$A$27,0)),IF($B724="Terracycle",INDEX('Materials Master'!$K$2:$K$27,MATCH($C724,'Materials Master'!$A$2:$A$27,0)),"No"))))))="Yes",INDEX('Materials Master'!$E$2:$E$27,MATCH($C724,'Materials Master'!$A$2:$A$27,0))="Yes",$B724&lt;&gt;"Trash"),1,0)</f>
        <v>0</v>
      </c>
      <c r="H724" s="0" t="str">
        <f aca="false">INDEX('Materials Master'!$E$2:$E$27,MATCH($C724,'Materials Master'!$A$2:$A$27,0))</f>
        <v>No</v>
      </c>
      <c r="I724" s="0" t="str">
        <f aca="false">IFERROR(INDEX(Areas!$C$2:$C$6,MATCH($A724,Areas!$B$2:$B$6,0)),"")</f>
        <v>Rest of Building</v>
      </c>
      <c r="J724" s="0" t="n">
        <f aca="false">IF(IF($B724="Trash",INDEX('Materials Master'!$F$2:$F$27,MATCH($C724,'Materials Master'!$A$2:$A$27,0)),IF($B724="GMPC Recycling",INDEX('Materials Master'!$G$2:$G$27,MATCH($C724,'Materials Master'!$A$2:$A$27,0)),IF($B724="Organics Recycling",INDEX('Materials Master'!$H$2:$H$27,MATCH($C724,'Materials Master'!$A$2:$A$27,0)),IF($B724="Cardboard Recycling",INDEX('Materials Master'!$I$2:$I$27,MATCH($C724,'Materials Master'!$A$2:$A$27,0)),IF($B724="Paper Recycling",INDEX('Materials Master'!$J$2:$J$27,MATCH($C724,'Materials Master'!$A$2:$A$27,0)),IF($B724="Terracycle",INDEX('Materials Master'!$K$2:$K$27,MATCH($C724,'Materials Master'!$A$2:$A$27,0)),"No"))))))="Yes",1,0)</f>
        <v>0</v>
      </c>
    </row>
    <row r="725" customFormat="false" ht="15" hidden="false" customHeight="false" outlineLevel="0" collapsed="false">
      <c r="A725" s="0" t="s">
        <v>101</v>
      </c>
      <c r="B725" s="0" t="s">
        <v>106</v>
      </c>
      <c r="C725" s="0" t="s">
        <v>78</v>
      </c>
      <c r="D725" s="0" t="str">
        <f aca="false">IFERROR(INDEX('Materials Master'!$B$2:$B$27,MATCH($C725,'Materials Master'!$A$2:$A$27,0)),"")</f>
        <v>Textiles</v>
      </c>
      <c r="E725" s="0" t="str">
        <f aca="false">IFERROR(INDEX('Materials Master'!$C$2:$C$27,MATCH($C725,'Materials Master'!$A$2:$A$27,0)),"")</f>
        <v>Unacceptable</v>
      </c>
      <c r="F725" s="0" t="n">
        <f aca="false">IF(SUMIFS(Fact_SortedWeights!$E$2:$E$89,Fact_SortedWeights!$C$2:$C$89,$A725,Fact_SortedWeights!$B$2:$B$89,$B725)=0,0,SUMIFS(Fact_SortedWeights!$E$2:$E$89,Fact_SortedWeights!$C$2:$C$89,$A725,Fact_SortedWeights!$B$2:$B$89,$B725,Fact_SortedWeights!$D$2:$D$89,$C725)/SUMIFS(Fact_SortedWeights!$E$2:$E$89,Fact_SortedWeights!$C$2:$C$89,$A725,Fact_SortedWeights!$B$2:$B$89,$B725)*(IF($B725="Cardboard Recycling",SUMIFS(Fact_SortedWeights!$E$2:$E$89,Fact_SortedWeights!$C$2:$C$89,$A725,Fact_SortedWeights!$B$2:$B$89,$B725),SUMIFS(Fact_PreSortWeights!$E$2:$E$186,Fact_PreSortWeights!$C$2:$C$186,$A725,Fact_PreSortWeights!$B$2:$B$186,$B725))))</f>
        <v>0</v>
      </c>
      <c r="G725" s="0" t="n">
        <f aca="false">IF(AND(IF($B725="Trash",INDEX('Materials Master'!$F$2:$F$27,MATCH($C725,'Materials Master'!$A$2:$A$27,0)),IF($B725="GMPC Recycling",INDEX('Materials Master'!$G$2:$G$27,MATCH($C725,'Materials Master'!$A$2:$A$27,0)),IF($B725="Organics Recycling",INDEX('Materials Master'!$H$2:$H$27,MATCH($C725,'Materials Master'!$A$2:$A$27,0)),IF($B725="Cardboard Recycling",INDEX('Materials Master'!$I$2:$I$27,MATCH($C725,'Materials Master'!$A$2:$A$27,0)),IF($B725="Paper Recycling",INDEX('Materials Master'!$J$2:$J$27,MATCH($C725,'Materials Master'!$A$2:$A$27,0)),IF($B725="Terracycle",INDEX('Materials Master'!$K$2:$K$27,MATCH($C725,'Materials Master'!$A$2:$A$27,0)),"No"))))))="Yes",INDEX('Materials Master'!$E$2:$E$27,MATCH($C725,'Materials Master'!$A$2:$A$27,0))="Yes",$B725&lt;&gt;"Trash"),1,0)</f>
        <v>0</v>
      </c>
      <c r="H725" s="0" t="str">
        <f aca="false">INDEX('Materials Master'!$E$2:$E$27,MATCH($C725,'Materials Master'!$A$2:$A$27,0))</f>
        <v>No</v>
      </c>
      <c r="I725" s="0" t="str">
        <f aca="false">IFERROR(INDEX(Areas!$C$2:$C$6,MATCH($A725,Areas!$B$2:$B$6,0)),"")</f>
        <v>Rest of Building</v>
      </c>
      <c r="J725" s="0" t="n">
        <f aca="false">IF(IF($B725="Trash",INDEX('Materials Master'!$F$2:$F$27,MATCH($C725,'Materials Master'!$A$2:$A$27,0)),IF($B725="GMPC Recycling",INDEX('Materials Master'!$G$2:$G$27,MATCH($C725,'Materials Master'!$A$2:$A$27,0)),IF($B725="Organics Recycling",INDEX('Materials Master'!$H$2:$H$27,MATCH($C725,'Materials Master'!$A$2:$A$27,0)),IF($B725="Cardboard Recycling",INDEX('Materials Master'!$I$2:$I$27,MATCH($C725,'Materials Master'!$A$2:$A$27,0)),IF($B725="Paper Recycling",INDEX('Materials Master'!$J$2:$J$27,MATCH($C725,'Materials Master'!$A$2:$A$27,0)),IF($B725="Terracycle",INDEX('Materials Master'!$K$2:$K$27,MATCH($C725,'Materials Master'!$A$2:$A$27,0)),"No"))))))="Yes",1,0)</f>
        <v>0</v>
      </c>
    </row>
    <row r="726" customFormat="false" ht="15" hidden="false" customHeight="false" outlineLevel="0" collapsed="false">
      <c r="A726" s="0" t="s">
        <v>101</v>
      </c>
      <c r="B726" s="0" t="s">
        <v>106</v>
      </c>
      <c r="C726" s="0" t="s">
        <v>80</v>
      </c>
      <c r="D726" s="0" t="str">
        <f aca="false">IFERROR(INDEX('Materials Master'!$B$2:$B$27,MATCH($C726,'Materials Master'!$A$2:$A$27,0)),"")</f>
        <v>Other Unacceptable (specify)</v>
      </c>
      <c r="E726" s="0" t="str">
        <f aca="false">IFERROR(INDEX('Materials Master'!$C$2:$C$27,MATCH($C726,'Materials Master'!$A$2:$A$27,0)),"")</f>
        <v>Unacceptable</v>
      </c>
      <c r="F726" s="0" t="n">
        <f aca="false">IF(SUMIFS(Fact_SortedWeights!$E$2:$E$89,Fact_SortedWeights!$C$2:$C$89,$A726,Fact_SortedWeights!$B$2:$B$89,$B726)=0,0,SUMIFS(Fact_SortedWeights!$E$2:$E$89,Fact_SortedWeights!$C$2:$C$89,$A726,Fact_SortedWeights!$B$2:$B$89,$B726,Fact_SortedWeights!$D$2:$D$89,$C726)/SUMIFS(Fact_SortedWeights!$E$2:$E$89,Fact_SortedWeights!$C$2:$C$89,$A726,Fact_SortedWeights!$B$2:$B$89,$B726)*(IF($B726="Cardboard Recycling",SUMIFS(Fact_SortedWeights!$E$2:$E$89,Fact_SortedWeights!$C$2:$C$89,$A726,Fact_SortedWeights!$B$2:$B$89,$B726),SUMIFS(Fact_PreSortWeights!$E$2:$E$186,Fact_PreSortWeights!$C$2:$C$186,$A726,Fact_PreSortWeights!$B$2:$B$186,$B726))))</f>
        <v>0</v>
      </c>
      <c r="G726" s="0" t="n">
        <f aca="false">IF(AND(IF($B726="Trash",INDEX('Materials Master'!$F$2:$F$27,MATCH($C726,'Materials Master'!$A$2:$A$27,0)),IF($B726="GMPC Recycling",INDEX('Materials Master'!$G$2:$G$27,MATCH($C726,'Materials Master'!$A$2:$A$27,0)),IF($B726="Organics Recycling",INDEX('Materials Master'!$H$2:$H$27,MATCH($C726,'Materials Master'!$A$2:$A$27,0)),IF($B726="Cardboard Recycling",INDEX('Materials Master'!$I$2:$I$27,MATCH($C726,'Materials Master'!$A$2:$A$27,0)),IF($B726="Paper Recycling",INDEX('Materials Master'!$J$2:$J$27,MATCH($C726,'Materials Master'!$A$2:$A$27,0)),IF($B726="Terracycle",INDEX('Materials Master'!$K$2:$K$27,MATCH($C726,'Materials Master'!$A$2:$A$27,0)),"No"))))))="Yes",INDEX('Materials Master'!$E$2:$E$27,MATCH($C726,'Materials Master'!$A$2:$A$27,0))="Yes",$B726&lt;&gt;"Trash"),1,0)</f>
        <v>0</v>
      </c>
      <c r="H726" s="0" t="str">
        <f aca="false">INDEX('Materials Master'!$E$2:$E$27,MATCH($C726,'Materials Master'!$A$2:$A$27,0))</f>
        <v>No</v>
      </c>
      <c r="I726" s="0" t="str">
        <f aca="false">IFERROR(INDEX(Areas!$C$2:$C$6,MATCH($A726,Areas!$B$2:$B$6,0)),"")</f>
        <v>Rest of Building</v>
      </c>
      <c r="J726" s="0" t="n">
        <f aca="false">IF(IF($B726="Trash",INDEX('Materials Master'!$F$2:$F$27,MATCH($C726,'Materials Master'!$A$2:$A$27,0)),IF($B726="GMPC Recycling",INDEX('Materials Master'!$G$2:$G$27,MATCH($C726,'Materials Master'!$A$2:$A$27,0)),IF($B726="Organics Recycling",INDEX('Materials Master'!$H$2:$H$27,MATCH($C726,'Materials Master'!$A$2:$A$27,0)),IF($B726="Cardboard Recycling",INDEX('Materials Master'!$I$2:$I$27,MATCH($C726,'Materials Master'!$A$2:$A$27,0)),IF($B726="Paper Recycling",INDEX('Materials Master'!$J$2:$J$27,MATCH($C726,'Materials Master'!$A$2:$A$27,0)),IF($B726="Terracycle",INDEX('Materials Master'!$K$2:$K$27,MATCH($C726,'Materials Master'!$A$2:$A$27,0)),"No"))))))="Yes",1,0)</f>
        <v>0</v>
      </c>
    </row>
    <row r="727" customFormat="false" ht="15" hidden="false" customHeight="false" outlineLevel="0" collapsed="false">
      <c r="A727" s="0" t="s">
        <v>101</v>
      </c>
      <c r="B727" s="0" t="s">
        <v>106</v>
      </c>
      <c r="C727" s="0" t="s">
        <v>82</v>
      </c>
      <c r="D727" s="0" t="str">
        <f aca="false">IFERROR(INDEX('Materials Master'!$B$2:$B$27,MATCH($C727,'Materials Master'!$A$2:$A$27,0)),"")</f>
        <v>Liquids</v>
      </c>
      <c r="E727" s="0" t="str">
        <f aca="false">IFERROR(INDEX('Materials Master'!$C$2:$C$27,MATCH($C727,'Materials Master'!$A$2:$A$27,0)),"")</f>
        <v>Unacceptable</v>
      </c>
      <c r="F727" s="0" t="n">
        <f aca="false">IF(SUMIFS(Fact_SortedWeights!$E$2:$E$89,Fact_SortedWeights!$C$2:$C$89,$A727,Fact_SortedWeights!$B$2:$B$89,$B727)=0,0,SUMIFS(Fact_SortedWeights!$E$2:$E$89,Fact_SortedWeights!$C$2:$C$89,$A727,Fact_SortedWeights!$B$2:$B$89,$B727,Fact_SortedWeights!$D$2:$D$89,$C727)/SUMIFS(Fact_SortedWeights!$E$2:$E$89,Fact_SortedWeights!$C$2:$C$89,$A727,Fact_SortedWeights!$B$2:$B$89,$B727)*(IF($B727="Cardboard Recycling",SUMIFS(Fact_SortedWeights!$E$2:$E$89,Fact_SortedWeights!$C$2:$C$89,$A727,Fact_SortedWeights!$B$2:$B$89,$B727),SUMIFS(Fact_PreSortWeights!$E$2:$E$186,Fact_PreSortWeights!$C$2:$C$186,$A727,Fact_PreSortWeights!$B$2:$B$186,$B727))))</f>
        <v>0</v>
      </c>
      <c r="G727" s="0" t="n">
        <f aca="false">IF(AND(IF($B727="Trash",INDEX('Materials Master'!$F$2:$F$27,MATCH($C727,'Materials Master'!$A$2:$A$27,0)),IF($B727="GMPC Recycling",INDEX('Materials Master'!$G$2:$G$27,MATCH($C727,'Materials Master'!$A$2:$A$27,0)),IF($B727="Organics Recycling",INDEX('Materials Master'!$H$2:$H$27,MATCH($C727,'Materials Master'!$A$2:$A$27,0)),IF($B727="Cardboard Recycling",INDEX('Materials Master'!$I$2:$I$27,MATCH($C727,'Materials Master'!$A$2:$A$27,0)),IF($B727="Paper Recycling",INDEX('Materials Master'!$J$2:$J$27,MATCH($C727,'Materials Master'!$A$2:$A$27,0)),IF($B727="Terracycle",INDEX('Materials Master'!$K$2:$K$27,MATCH($C727,'Materials Master'!$A$2:$A$27,0)),"No"))))))="Yes",INDEX('Materials Master'!$E$2:$E$27,MATCH($C727,'Materials Master'!$A$2:$A$27,0))="Yes",$B727&lt;&gt;"Trash"),1,0)</f>
        <v>0</v>
      </c>
      <c r="H727" s="0" t="str">
        <f aca="false">INDEX('Materials Master'!$E$2:$E$27,MATCH($C727,'Materials Master'!$A$2:$A$27,0))</f>
        <v>No</v>
      </c>
      <c r="I727" s="0" t="str">
        <f aca="false">IFERROR(INDEX(Areas!$C$2:$C$6,MATCH($A727,Areas!$B$2:$B$6,0)),"")</f>
        <v>Rest of Building</v>
      </c>
      <c r="J727" s="0" t="n">
        <f aca="false">IF(IF($B727="Trash",INDEX('Materials Master'!$F$2:$F$27,MATCH($C727,'Materials Master'!$A$2:$A$27,0)),IF($B727="GMPC Recycling",INDEX('Materials Master'!$G$2:$G$27,MATCH($C727,'Materials Master'!$A$2:$A$27,0)),IF($B727="Organics Recycling",INDEX('Materials Master'!$H$2:$H$27,MATCH($C727,'Materials Master'!$A$2:$A$27,0)),IF($B727="Cardboard Recycling",INDEX('Materials Master'!$I$2:$I$27,MATCH($C727,'Materials Master'!$A$2:$A$27,0)),IF($B727="Paper Recycling",INDEX('Materials Master'!$J$2:$J$27,MATCH($C727,'Materials Master'!$A$2:$A$27,0)),IF($B727="Terracycle",INDEX('Materials Master'!$K$2:$K$27,MATCH($C727,'Materials Master'!$A$2:$A$27,0)),"No"))))))="Yes",1,0)</f>
        <v>0</v>
      </c>
    </row>
    <row r="728" customFormat="false" ht="15" hidden="false" customHeight="false" outlineLevel="0" collapsed="false">
      <c r="A728" s="0" t="s">
        <v>101</v>
      </c>
      <c r="B728" s="0" t="s">
        <v>106</v>
      </c>
      <c r="C728" s="0" t="s">
        <v>84</v>
      </c>
      <c r="D728" s="0" t="str">
        <f aca="false">IFERROR(INDEX('Materials Master'!$B$2:$B$27,MATCH($C728,'Materials Master'!$A$2:$A$27,0)),"")</f>
        <v>Snack Wrappers (Composites)</v>
      </c>
      <c r="E728" s="0" t="str">
        <f aca="false">IFERROR(INDEX('Materials Master'!$C$2:$C$27,MATCH($C728,'Materials Master'!$A$2:$A$27,0)),"")</f>
        <v>Other</v>
      </c>
      <c r="F728" s="0" t="n">
        <f aca="false">IF(SUMIFS(Fact_SortedWeights!$E$2:$E$89,Fact_SortedWeights!$C$2:$C$89,$A728,Fact_SortedWeights!$B$2:$B$89,$B728)=0,0,SUMIFS(Fact_SortedWeights!$E$2:$E$89,Fact_SortedWeights!$C$2:$C$89,$A728,Fact_SortedWeights!$B$2:$B$89,$B728,Fact_SortedWeights!$D$2:$D$89,$C728)/SUMIFS(Fact_SortedWeights!$E$2:$E$89,Fact_SortedWeights!$C$2:$C$89,$A728,Fact_SortedWeights!$B$2:$B$89,$B728)*(IF($B728="Cardboard Recycling",SUMIFS(Fact_SortedWeights!$E$2:$E$89,Fact_SortedWeights!$C$2:$C$89,$A728,Fact_SortedWeights!$B$2:$B$89,$B728),SUMIFS(Fact_PreSortWeights!$E$2:$E$186,Fact_PreSortWeights!$C$2:$C$186,$A728,Fact_PreSortWeights!$B$2:$B$186,$B728))))</f>
        <v>0</v>
      </c>
      <c r="G728" s="0" t="n">
        <f aca="false">IF(AND(IF($B728="Trash",INDEX('Materials Master'!$F$2:$F$27,MATCH($C728,'Materials Master'!$A$2:$A$27,0)),IF($B728="GMPC Recycling",INDEX('Materials Master'!$G$2:$G$27,MATCH($C728,'Materials Master'!$A$2:$A$27,0)),IF($B728="Organics Recycling",INDEX('Materials Master'!$H$2:$H$27,MATCH($C728,'Materials Master'!$A$2:$A$27,0)),IF($B728="Cardboard Recycling",INDEX('Materials Master'!$I$2:$I$27,MATCH($C728,'Materials Master'!$A$2:$A$27,0)),IF($B728="Paper Recycling",INDEX('Materials Master'!$J$2:$J$27,MATCH($C728,'Materials Master'!$A$2:$A$27,0)),IF($B728="Terracycle",INDEX('Materials Master'!$K$2:$K$27,MATCH($C728,'Materials Master'!$A$2:$A$27,0)),"No"))))))="Yes",INDEX('Materials Master'!$E$2:$E$27,MATCH($C728,'Materials Master'!$A$2:$A$27,0))="Yes",$B728&lt;&gt;"Trash"),1,0)</f>
        <v>0</v>
      </c>
      <c r="H728" s="0" t="str">
        <f aca="false">INDEX('Materials Master'!$E$2:$E$27,MATCH($C728,'Materials Master'!$A$2:$A$27,0))</f>
        <v>Yes</v>
      </c>
      <c r="I728" s="0" t="str">
        <f aca="false">IFERROR(INDEX(Areas!$C$2:$C$6,MATCH($A728,Areas!$B$2:$B$6,0)),"")</f>
        <v>Rest of Building</v>
      </c>
      <c r="J728" s="0" t="n">
        <f aca="false">IF(IF($B728="Trash",INDEX('Materials Master'!$F$2:$F$27,MATCH($C728,'Materials Master'!$A$2:$A$27,0)),IF($B728="GMPC Recycling",INDEX('Materials Master'!$G$2:$G$27,MATCH($C728,'Materials Master'!$A$2:$A$27,0)),IF($B728="Organics Recycling",INDEX('Materials Master'!$H$2:$H$27,MATCH($C728,'Materials Master'!$A$2:$A$27,0)),IF($B728="Cardboard Recycling",INDEX('Materials Master'!$I$2:$I$27,MATCH($C728,'Materials Master'!$A$2:$A$27,0)),IF($B728="Paper Recycling",INDEX('Materials Master'!$J$2:$J$27,MATCH($C728,'Materials Master'!$A$2:$A$27,0)),IF($B728="Terracycle",INDEX('Materials Master'!$K$2:$K$27,MATCH($C728,'Materials Master'!$A$2:$A$27,0)),"No"))))))="Yes",1,0)</f>
        <v>0</v>
      </c>
    </row>
    <row r="729" customFormat="false" ht="15" hidden="false" customHeight="false" outlineLevel="0" collapsed="false">
      <c r="A729" s="0" t="s">
        <v>101</v>
      </c>
      <c r="B729" s="0" t="s">
        <v>106</v>
      </c>
      <c r="C729" s="0" t="s">
        <v>87</v>
      </c>
      <c r="D729" s="0" t="str">
        <f aca="false">IFERROR(INDEX('Materials Master'!$B$2:$B$27,MATCH($C729,'Materials Master'!$A$2:$A$27,0)),"")</f>
        <v>Other/Residual Materials</v>
      </c>
      <c r="E729" s="0" t="str">
        <f aca="false">IFERROR(INDEX('Materials Master'!$C$2:$C$27,MATCH($C729,'Materials Master'!$A$2:$A$27,0)),"")</f>
        <v>Other</v>
      </c>
      <c r="F729" s="0" t="n">
        <f aca="false">IF(SUMIFS(Fact_SortedWeights!$E$2:$E$89,Fact_SortedWeights!$C$2:$C$89,$A729,Fact_SortedWeights!$B$2:$B$89,$B729)=0,0,SUMIFS(Fact_SortedWeights!$E$2:$E$89,Fact_SortedWeights!$C$2:$C$89,$A729,Fact_SortedWeights!$B$2:$B$89,$B729,Fact_SortedWeights!$D$2:$D$89,$C729)/SUMIFS(Fact_SortedWeights!$E$2:$E$89,Fact_SortedWeights!$C$2:$C$89,$A729,Fact_SortedWeights!$B$2:$B$89,$B729)*(IF($B729="Cardboard Recycling",SUMIFS(Fact_SortedWeights!$E$2:$E$89,Fact_SortedWeights!$C$2:$C$89,$A729,Fact_SortedWeights!$B$2:$B$89,$B729),SUMIFS(Fact_PreSortWeights!$E$2:$E$186,Fact_PreSortWeights!$C$2:$C$186,$A729,Fact_PreSortWeights!$B$2:$B$186,$B729))))</f>
        <v>0</v>
      </c>
      <c r="G729" s="0" t="n">
        <f aca="false">IF(AND(IF($B729="Trash",INDEX('Materials Master'!$F$2:$F$27,MATCH($C729,'Materials Master'!$A$2:$A$27,0)),IF($B729="GMPC Recycling",INDEX('Materials Master'!$G$2:$G$27,MATCH($C729,'Materials Master'!$A$2:$A$27,0)),IF($B729="Organics Recycling",INDEX('Materials Master'!$H$2:$H$27,MATCH($C729,'Materials Master'!$A$2:$A$27,0)),IF($B729="Cardboard Recycling",INDEX('Materials Master'!$I$2:$I$27,MATCH($C729,'Materials Master'!$A$2:$A$27,0)),IF($B729="Paper Recycling",INDEX('Materials Master'!$J$2:$J$27,MATCH($C729,'Materials Master'!$A$2:$A$27,0)),IF($B729="Terracycle",INDEX('Materials Master'!$K$2:$K$27,MATCH($C729,'Materials Master'!$A$2:$A$27,0)),"No"))))))="Yes",INDEX('Materials Master'!$E$2:$E$27,MATCH($C729,'Materials Master'!$A$2:$A$27,0))="Yes",$B729&lt;&gt;"Trash"),1,0)</f>
        <v>0</v>
      </c>
      <c r="H729" s="0" t="str">
        <f aca="false">INDEX('Materials Master'!$E$2:$E$27,MATCH($C729,'Materials Master'!$A$2:$A$27,0))</f>
        <v>No</v>
      </c>
      <c r="I729" s="0" t="str">
        <f aca="false">IFERROR(INDEX(Areas!$C$2:$C$6,MATCH($A729,Areas!$B$2:$B$6,0)),"")</f>
        <v>Rest of Building</v>
      </c>
      <c r="J729" s="0" t="n">
        <f aca="false">IF(IF($B729="Trash",INDEX('Materials Master'!$F$2:$F$27,MATCH($C729,'Materials Master'!$A$2:$A$27,0)),IF($B729="GMPC Recycling",INDEX('Materials Master'!$G$2:$G$27,MATCH($C729,'Materials Master'!$A$2:$A$27,0)),IF($B729="Organics Recycling",INDEX('Materials Master'!$H$2:$H$27,MATCH($C729,'Materials Master'!$A$2:$A$27,0)),IF($B729="Cardboard Recycling",INDEX('Materials Master'!$I$2:$I$27,MATCH($C729,'Materials Master'!$A$2:$A$27,0)),IF($B729="Paper Recycling",INDEX('Materials Master'!$J$2:$J$27,MATCH($C729,'Materials Master'!$A$2:$A$27,0)),IF($B729="Terracycle",INDEX('Materials Master'!$K$2:$K$27,MATCH($C729,'Materials Master'!$A$2:$A$27,0)),"No"))))))="Yes",1,0)</f>
        <v>0</v>
      </c>
    </row>
    <row r="730" customFormat="false" ht="15" hidden="false" customHeight="false" outlineLevel="0" collapsed="false">
      <c r="A730" s="0" t="s">
        <v>101</v>
      </c>
      <c r="B730" s="0" t="s">
        <v>107</v>
      </c>
      <c r="C730" s="0" t="s">
        <v>28</v>
      </c>
      <c r="D730" s="0" t="str">
        <f aca="false">IFERROR(INDEX('Materials Master'!$B$2:$B$27,MATCH($C730,'Materials Master'!$A$2:$A$27,0)),"")</f>
        <v>Corrugated Cardboard</v>
      </c>
      <c r="E730" s="0" t="str">
        <f aca="false">IFERROR(INDEX('Materials Master'!$C$2:$C$27,MATCH($C730,'Materials Master'!$A$2:$A$27,0)),"")</f>
        <v>Fibers</v>
      </c>
      <c r="F730" s="0" t="n">
        <f aca="false">IF(SUMIFS(Fact_SortedWeights!$E$2:$E$89,Fact_SortedWeights!$C$2:$C$89,$A730,Fact_SortedWeights!$B$2:$B$89,$B730)=0,0,SUMIFS(Fact_SortedWeights!$E$2:$E$89,Fact_SortedWeights!$C$2:$C$89,$A730,Fact_SortedWeights!$B$2:$B$89,$B730,Fact_SortedWeights!$D$2:$D$89,$C730)/SUMIFS(Fact_SortedWeights!$E$2:$E$89,Fact_SortedWeights!$C$2:$C$89,$A730,Fact_SortedWeights!$B$2:$B$89,$B730)*(IF($B730="Cardboard Recycling",SUMIFS(Fact_SortedWeights!$E$2:$E$89,Fact_SortedWeights!$C$2:$C$89,$A730,Fact_SortedWeights!$B$2:$B$89,$B730),SUMIFS(Fact_PreSortWeights!$E$2:$E$186,Fact_PreSortWeights!$C$2:$C$186,$A730,Fact_PreSortWeights!$B$2:$B$186,$B730))))</f>
        <v>0</v>
      </c>
      <c r="G730" s="0" t="n">
        <f aca="false">IF(AND(IF($B730="Trash",INDEX('Materials Master'!$F$2:$F$27,MATCH($C730,'Materials Master'!$A$2:$A$27,0)),IF($B730="GMPC Recycling",INDEX('Materials Master'!$G$2:$G$27,MATCH($C730,'Materials Master'!$A$2:$A$27,0)),IF($B730="Organics Recycling",INDEX('Materials Master'!$H$2:$H$27,MATCH($C730,'Materials Master'!$A$2:$A$27,0)),IF($B730="Cardboard Recycling",INDEX('Materials Master'!$I$2:$I$27,MATCH($C730,'Materials Master'!$A$2:$A$27,0)),IF($B730="Paper Recycling",INDEX('Materials Master'!$J$2:$J$27,MATCH($C730,'Materials Master'!$A$2:$A$27,0)),IF($B730="Terracycle",INDEX('Materials Master'!$K$2:$K$27,MATCH($C730,'Materials Master'!$A$2:$A$27,0)),"No"))))))="Yes",INDEX('Materials Master'!$E$2:$E$27,MATCH($C730,'Materials Master'!$A$2:$A$27,0))="Yes",$B730&lt;&gt;"Trash"),1,0)</f>
        <v>1</v>
      </c>
      <c r="H730" s="0" t="str">
        <f aca="false">INDEX('Materials Master'!$E$2:$E$27,MATCH($C730,'Materials Master'!$A$2:$A$27,0))</f>
        <v>Yes</v>
      </c>
      <c r="I730" s="0" t="str">
        <f aca="false">IFERROR(INDEX(Areas!$C$2:$C$6,MATCH($A730,Areas!$B$2:$B$6,0)),"")</f>
        <v>Rest of Building</v>
      </c>
      <c r="J730" s="0" t="n">
        <f aca="false">IF(IF($B730="Trash",INDEX('Materials Master'!$F$2:$F$27,MATCH($C730,'Materials Master'!$A$2:$A$27,0)),IF($B730="GMPC Recycling",INDEX('Materials Master'!$G$2:$G$27,MATCH($C730,'Materials Master'!$A$2:$A$27,0)),IF($B730="Organics Recycling",INDEX('Materials Master'!$H$2:$H$27,MATCH($C730,'Materials Master'!$A$2:$A$27,0)),IF($B730="Cardboard Recycling",INDEX('Materials Master'!$I$2:$I$27,MATCH($C730,'Materials Master'!$A$2:$A$27,0)),IF($B730="Paper Recycling",INDEX('Materials Master'!$J$2:$J$27,MATCH($C730,'Materials Master'!$A$2:$A$27,0)),IF($B730="Terracycle",INDEX('Materials Master'!$K$2:$K$27,MATCH($C730,'Materials Master'!$A$2:$A$27,0)),"No"))))))="Yes",1,0)</f>
        <v>1</v>
      </c>
    </row>
    <row r="731" customFormat="false" ht="15" hidden="false" customHeight="false" outlineLevel="0" collapsed="false">
      <c r="A731" s="0" t="s">
        <v>101</v>
      </c>
      <c r="B731" s="0" t="s">
        <v>107</v>
      </c>
      <c r="C731" s="0" t="s">
        <v>33</v>
      </c>
      <c r="D731" s="0" t="str">
        <f aca="false">IFERROR(INDEX('Materials Master'!$B$2:$B$27,MATCH($C731,'Materials Master'!$A$2:$A$27,0)),"")</f>
        <v>Soiled Cardboard</v>
      </c>
      <c r="E731" s="0" t="str">
        <f aca="false">IFERROR(INDEX('Materials Master'!$C$2:$C$27,MATCH($C731,'Materials Master'!$A$2:$A$27,0)),"")</f>
        <v>Fibers</v>
      </c>
      <c r="F731" s="0" t="n">
        <f aca="false">IF(SUMIFS(Fact_SortedWeights!$E$2:$E$89,Fact_SortedWeights!$C$2:$C$89,$A731,Fact_SortedWeights!$B$2:$B$89,$B731)=0,0,SUMIFS(Fact_SortedWeights!$E$2:$E$89,Fact_SortedWeights!$C$2:$C$89,$A731,Fact_SortedWeights!$B$2:$B$89,$B731,Fact_SortedWeights!$D$2:$D$89,$C731)/SUMIFS(Fact_SortedWeights!$E$2:$E$89,Fact_SortedWeights!$C$2:$C$89,$A731,Fact_SortedWeights!$B$2:$B$89,$B731)*(IF($B731="Cardboard Recycling",SUMIFS(Fact_SortedWeights!$E$2:$E$89,Fact_SortedWeights!$C$2:$C$89,$A731,Fact_SortedWeights!$B$2:$B$89,$B731),SUMIFS(Fact_PreSortWeights!$E$2:$E$186,Fact_PreSortWeights!$C$2:$C$186,$A731,Fact_PreSortWeights!$B$2:$B$186,$B731))))</f>
        <v>0</v>
      </c>
      <c r="G731" s="0" t="n">
        <f aca="false">IF(AND(IF($B731="Trash",INDEX('Materials Master'!$F$2:$F$27,MATCH($C731,'Materials Master'!$A$2:$A$27,0)),IF($B731="GMPC Recycling",INDEX('Materials Master'!$G$2:$G$27,MATCH($C731,'Materials Master'!$A$2:$A$27,0)),IF($B731="Organics Recycling",INDEX('Materials Master'!$H$2:$H$27,MATCH($C731,'Materials Master'!$A$2:$A$27,0)),IF($B731="Cardboard Recycling",INDEX('Materials Master'!$I$2:$I$27,MATCH($C731,'Materials Master'!$A$2:$A$27,0)),IF($B731="Paper Recycling",INDEX('Materials Master'!$J$2:$J$27,MATCH($C731,'Materials Master'!$A$2:$A$27,0)),IF($B731="Terracycle",INDEX('Materials Master'!$K$2:$K$27,MATCH($C731,'Materials Master'!$A$2:$A$27,0)),"No"))))))="Yes",INDEX('Materials Master'!$E$2:$E$27,MATCH($C731,'Materials Master'!$A$2:$A$27,0))="Yes",$B731&lt;&gt;"Trash"),1,0)</f>
        <v>0</v>
      </c>
      <c r="H731" s="0" t="str">
        <f aca="false">INDEX('Materials Master'!$E$2:$E$27,MATCH($C731,'Materials Master'!$A$2:$A$27,0))</f>
        <v>No</v>
      </c>
      <c r="I731" s="0" t="str">
        <f aca="false">IFERROR(INDEX(Areas!$C$2:$C$6,MATCH($A731,Areas!$B$2:$B$6,0)),"")</f>
        <v>Rest of Building</v>
      </c>
      <c r="J731" s="0" t="n">
        <f aca="false">IF(IF($B731="Trash",INDEX('Materials Master'!$F$2:$F$27,MATCH($C731,'Materials Master'!$A$2:$A$27,0)),IF($B731="GMPC Recycling",INDEX('Materials Master'!$G$2:$G$27,MATCH($C731,'Materials Master'!$A$2:$A$27,0)),IF($B731="Organics Recycling",INDEX('Materials Master'!$H$2:$H$27,MATCH($C731,'Materials Master'!$A$2:$A$27,0)),IF($B731="Cardboard Recycling",INDEX('Materials Master'!$I$2:$I$27,MATCH($C731,'Materials Master'!$A$2:$A$27,0)),IF($B731="Paper Recycling",INDEX('Materials Master'!$J$2:$J$27,MATCH($C731,'Materials Master'!$A$2:$A$27,0)),IF($B731="Terracycle",INDEX('Materials Master'!$K$2:$K$27,MATCH($C731,'Materials Master'!$A$2:$A$27,0)),"No"))))))="Yes",1,0)</f>
        <v>0</v>
      </c>
    </row>
    <row r="732" customFormat="false" ht="15" hidden="false" customHeight="false" outlineLevel="0" collapsed="false">
      <c r="A732" s="0" t="s">
        <v>101</v>
      </c>
      <c r="B732" s="0" t="s">
        <v>107</v>
      </c>
      <c r="C732" s="0" t="s">
        <v>35</v>
      </c>
      <c r="D732" s="0" t="str">
        <f aca="false">IFERROR(INDEX('Materials Master'!$B$2:$B$27,MATCH($C732,'Materials Master'!$A$2:$A$27,0)),"")</f>
        <v>Waxed Cardboard</v>
      </c>
      <c r="E732" s="0" t="str">
        <f aca="false">IFERROR(INDEX('Materials Master'!$C$2:$C$27,MATCH($C732,'Materials Master'!$A$2:$A$27,0)),"")</f>
        <v>Fibers</v>
      </c>
      <c r="F732" s="0" t="n">
        <f aca="false">IF(SUMIFS(Fact_SortedWeights!$E$2:$E$89,Fact_SortedWeights!$C$2:$C$89,$A732,Fact_SortedWeights!$B$2:$B$89,$B732)=0,0,SUMIFS(Fact_SortedWeights!$E$2:$E$89,Fact_SortedWeights!$C$2:$C$89,$A732,Fact_SortedWeights!$B$2:$B$89,$B732,Fact_SortedWeights!$D$2:$D$89,$C732)/SUMIFS(Fact_SortedWeights!$E$2:$E$89,Fact_SortedWeights!$C$2:$C$89,$A732,Fact_SortedWeights!$B$2:$B$89,$B732)*(IF($B732="Cardboard Recycling",SUMIFS(Fact_SortedWeights!$E$2:$E$89,Fact_SortedWeights!$C$2:$C$89,$A732,Fact_SortedWeights!$B$2:$B$89,$B732),SUMIFS(Fact_PreSortWeights!$E$2:$E$186,Fact_PreSortWeights!$C$2:$C$186,$A732,Fact_PreSortWeights!$B$2:$B$186,$B732))))</f>
        <v>0</v>
      </c>
      <c r="G732" s="0" t="n">
        <f aca="false">IF(AND(IF($B732="Trash",INDEX('Materials Master'!$F$2:$F$27,MATCH($C732,'Materials Master'!$A$2:$A$27,0)),IF($B732="GMPC Recycling",INDEX('Materials Master'!$G$2:$G$27,MATCH($C732,'Materials Master'!$A$2:$A$27,0)),IF($B732="Organics Recycling",INDEX('Materials Master'!$H$2:$H$27,MATCH($C732,'Materials Master'!$A$2:$A$27,0)),IF($B732="Cardboard Recycling",INDEX('Materials Master'!$I$2:$I$27,MATCH($C732,'Materials Master'!$A$2:$A$27,0)),IF($B732="Paper Recycling",INDEX('Materials Master'!$J$2:$J$27,MATCH($C732,'Materials Master'!$A$2:$A$27,0)),IF($B732="Terracycle",INDEX('Materials Master'!$K$2:$K$27,MATCH($C732,'Materials Master'!$A$2:$A$27,0)),"No"))))))="Yes",INDEX('Materials Master'!$E$2:$E$27,MATCH($C732,'Materials Master'!$A$2:$A$27,0))="Yes",$B732&lt;&gt;"Trash"),1,0)</f>
        <v>0</v>
      </c>
      <c r="H732" s="0" t="str">
        <f aca="false">INDEX('Materials Master'!$E$2:$E$27,MATCH($C732,'Materials Master'!$A$2:$A$27,0))</f>
        <v>No</v>
      </c>
      <c r="I732" s="0" t="str">
        <f aca="false">IFERROR(INDEX(Areas!$C$2:$C$6,MATCH($A732,Areas!$B$2:$B$6,0)),"")</f>
        <v>Rest of Building</v>
      </c>
      <c r="J732" s="0" t="n">
        <f aca="false">IF(IF($B732="Trash",INDEX('Materials Master'!$F$2:$F$27,MATCH($C732,'Materials Master'!$A$2:$A$27,0)),IF($B732="GMPC Recycling",INDEX('Materials Master'!$G$2:$G$27,MATCH($C732,'Materials Master'!$A$2:$A$27,0)),IF($B732="Organics Recycling",INDEX('Materials Master'!$H$2:$H$27,MATCH($C732,'Materials Master'!$A$2:$A$27,0)),IF($B732="Cardboard Recycling",INDEX('Materials Master'!$I$2:$I$27,MATCH($C732,'Materials Master'!$A$2:$A$27,0)),IF($B732="Paper Recycling",INDEX('Materials Master'!$J$2:$J$27,MATCH($C732,'Materials Master'!$A$2:$A$27,0)),IF($B732="Terracycle",INDEX('Materials Master'!$K$2:$K$27,MATCH($C732,'Materials Master'!$A$2:$A$27,0)),"No"))))))="Yes",1,0)</f>
        <v>0</v>
      </c>
    </row>
    <row r="733" customFormat="false" ht="15" hidden="false" customHeight="false" outlineLevel="0" collapsed="false">
      <c r="A733" s="0" t="s">
        <v>101</v>
      </c>
      <c r="B733" s="0" t="s">
        <v>107</v>
      </c>
      <c r="C733" s="0" t="s">
        <v>37</v>
      </c>
      <c r="D733" s="0" t="str">
        <f aca="false">IFERROR(INDEX('Materials Master'!$B$2:$B$27,MATCH($C733,'Materials Master'!$A$2:$A$27,0)),"")</f>
        <v>Mixed Paper</v>
      </c>
      <c r="E733" s="0" t="str">
        <f aca="false">IFERROR(INDEX('Materials Master'!$C$2:$C$27,MATCH($C733,'Materials Master'!$A$2:$A$27,0)),"")</f>
        <v>Fibers</v>
      </c>
      <c r="F733" s="0" t="n">
        <f aca="false">IF(SUMIFS(Fact_SortedWeights!$E$2:$E$89,Fact_SortedWeights!$C$2:$C$89,$A733,Fact_SortedWeights!$B$2:$B$89,$B733)=0,0,SUMIFS(Fact_SortedWeights!$E$2:$E$89,Fact_SortedWeights!$C$2:$C$89,$A733,Fact_SortedWeights!$B$2:$B$89,$B733,Fact_SortedWeights!$D$2:$D$89,$C733)/SUMIFS(Fact_SortedWeights!$E$2:$E$89,Fact_SortedWeights!$C$2:$C$89,$A733,Fact_SortedWeights!$B$2:$B$89,$B733)*(IF($B733="Cardboard Recycling",SUMIFS(Fact_SortedWeights!$E$2:$E$89,Fact_SortedWeights!$C$2:$C$89,$A733,Fact_SortedWeights!$B$2:$B$89,$B733),SUMIFS(Fact_PreSortWeights!$E$2:$E$186,Fact_PreSortWeights!$C$2:$C$186,$A733,Fact_PreSortWeights!$B$2:$B$186,$B733))))</f>
        <v>0</v>
      </c>
      <c r="G733" s="0" t="n">
        <f aca="false">IF(AND(IF($B733="Trash",INDEX('Materials Master'!$F$2:$F$27,MATCH($C733,'Materials Master'!$A$2:$A$27,0)),IF($B733="GMPC Recycling",INDEX('Materials Master'!$G$2:$G$27,MATCH($C733,'Materials Master'!$A$2:$A$27,0)),IF($B733="Organics Recycling",INDEX('Materials Master'!$H$2:$H$27,MATCH($C733,'Materials Master'!$A$2:$A$27,0)),IF($B733="Cardboard Recycling",INDEX('Materials Master'!$I$2:$I$27,MATCH($C733,'Materials Master'!$A$2:$A$27,0)),IF($B733="Paper Recycling",INDEX('Materials Master'!$J$2:$J$27,MATCH($C733,'Materials Master'!$A$2:$A$27,0)),IF($B733="Terracycle",INDEX('Materials Master'!$K$2:$K$27,MATCH($C733,'Materials Master'!$A$2:$A$27,0)),"No"))))))="Yes",INDEX('Materials Master'!$E$2:$E$27,MATCH($C733,'Materials Master'!$A$2:$A$27,0))="Yes",$B733&lt;&gt;"Trash"),1,0)</f>
        <v>1</v>
      </c>
      <c r="H733" s="0" t="str">
        <f aca="false">INDEX('Materials Master'!$E$2:$E$27,MATCH($C733,'Materials Master'!$A$2:$A$27,0))</f>
        <v>Yes</v>
      </c>
      <c r="I733" s="0" t="str">
        <f aca="false">IFERROR(INDEX(Areas!$C$2:$C$6,MATCH($A733,Areas!$B$2:$B$6,0)),"")</f>
        <v>Rest of Building</v>
      </c>
      <c r="J733" s="0" t="n">
        <f aca="false">IF(IF($B733="Trash",INDEX('Materials Master'!$F$2:$F$27,MATCH($C733,'Materials Master'!$A$2:$A$27,0)),IF($B733="GMPC Recycling",INDEX('Materials Master'!$G$2:$G$27,MATCH($C733,'Materials Master'!$A$2:$A$27,0)),IF($B733="Organics Recycling",INDEX('Materials Master'!$H$2:$H$27,MATCH($C733,'Materials Master'!$A$2:$A$27,0)),IF($B733="Cardboard Recycling",INDEX('Materials Master'!$I$2:$I$27,MATCH($C733,'Materials Master'!$A$2:$A$27,0)),IF($B733="Paper Recycling",INDEX('Materials Master'!$J$2:$J$27,MATCH($C733,'Materials Master'!$A$2:$A$27,0)),IF($B733="Terracycle",INDEX('Materials Master'!$K$2:$K$27,MATCH($C733,'Materials Master'!$A$2:$A$27,0)),"No"))))))="Yes",1,0)</f>
        <v>1</v>
      </c>
    </row>
    <row r="734" customFormat="false" ht="15" hidden="false" customHeight="false" outlineLevel="0" collapsed="false">
      <c r="A734" s="0" t="s">
        <v>101</v>
      </c>
      <c r="B734" s="0" t="s">
        <v>107</v>
      </c>
      <c r="C734" s="0" t="s">
        <v>39</v>
      </c>
      <c r="D734" s="0" t="str">
        <f aca="false">IFERROR(INDEX('Materials Master'!$B$2:$B$27,MATCH($C734,'Materials Master'!$A$2:$A$27,0)),"")</f>
        <v>Soiled Paper</v>
      </c>
      <c r="E734" s="0" t="str">
        <f aca="false">IFERROR(INDEX('Materials Master'!$C$2:$C$27,MATCH($C734,'Materials Master'!$A$2:$A$27,0)),"")</f>
        <v>Fibers</v>
      </c>
      <c r="F734" s="0" t="n">
        <f aca="false">IF(SUMIFS(Fact_SortedWeights!$E$2:$E$89,Fact_SortedWeights!$C$2:$C$89,$A734,Fact_SortedWeights!$B$2:$B$89,$B734)=0,0,SUMIFS(Fact_SortedWeights!$E$2:$E$89,Fact_SortedWeights!$C$2:$C$89,$A734,Fact_SortedWeights!$B$2:$B$89,$B734,Fact_SortedWeights!$D$2:$D$89,$C734)/SUMIFS(Fact_SortedWeights!$E$2:$E$89,Fact_SortedWeights!$C$2:$C$89,$A734,Fact_SortedWeights!$B$2:$B$89,$B734)*(IF($B734="Cardboard Recycling",SUMIFS(Fact_SortedWeights!$E$2:$E$89,Fact_SortedWeights!$C$2:$C$89,$A734,Fact_SortedWeights!$B$2:$B$89,$B734),SUMIFS(Fact_PreSortWeights!$E$2:$E$186,Fact_PreSortWeights!$C$2:$C$186,$A734,Fact_PreSortWeights!$B$2:$B$186,$B734))))</f>
        <v>0</v>
      </c>
      <c r="G734" s="0" t="n">
        <f aca="false">IF(AND(IF($B734="Trash",INDEX('Materials Master'!$F$2:$F$27,MATCH($C734,'Materials Master'!$A$2:$A$27,0)),IF($B734="GMPC Recycling",INDEX('Materials Master'!$G$2:$G$27,MATCH($C734,'Materials Master'!$A$2:$A$27,0)),IF($B734="Organics Recycling",INDEX('Materials Master'!$H$2:$H$27,MATCH($C734,'Materials Master'!$A$2:$A$27,0)),IF($B734="Cardboard Recycling",INDEX('Materials Master'!$I$2:$I$27,MATCH($C734,'Materials Master'!$A$2:$A$27,0)),IF($B734="Paper Recycling",INDEX('Materials Master'!$J$2:$J$27,MATCH($C734,'Materials Master'!$A$2:$A$27,0)),IF($B734="Terracycle",INDEX('Materials Master'!$K$2:$K$27,MATCH($C734,'Materials Master'!$A$2:$A$27,0)),"No"))))))="Yes",INDEX('Materials Master'!$E$2:$E$27,MATCH($C734,'Materials Master'!$A$2:$A$27,0))="Yes",$B734&lt;&gt;"Trash"),1,0)</f>
        <v>0</v>
      </c>
      <c r="H734" s="0" t="str">
        <f aca="false">INDEX('Materials Master'!$E$2:$E$27,MATCH($C734,'Materials Master'!$A$2:$A$27,0))</f>
        <v>No</v>
      </c>
      <c r="I734" s="0" t="str">
        <f aca="false">IFERROR(INDEX(Areas!$C$2:$C$6,MATCH($A734,Areas!$B$2:$B$6,0)),"")</f>
        <v>Rest of Building</v>
      </c>
      <c r="J734" s="0" t="n">
        <f aca="false">IF(IF($B734="Trash",INDEX('Materials Master'!$F$2:$F$27,MATCH($C734,'Materials Master'!$A$2:$A$27,0)),IF($B734="GMPC Recycling",INDEX('Materials Master'!$G$2:$G$27,MATCH($C734,'Materials Master'!$A$2:$A$27,0)),IF($B734="Organics Recycling",INDEX('Materials Master'!$H$2:$H$27,MATCH($C734,'Materials Master'!$A$2:$A$27,0)),IF($B734="Cardboard Recycling",INDEX('Materials Master'!$I$2:$I$27,MATCH($C734,'Materials Master'!$A$2:$A$27,0)),IF($B734="Paper Recycling",INDEX('Materials Master'!$J$2:$J$27,MATCH($C734,'Materials Master'!$A$2:$A$27,0)),IF($B734="Terracycle",INDEX('Materials Master'!$K$2:$K$27,MATCH($C734,'Materials Master'!$A$2:$A$27,0)),"No"))))))="Yes",1,0)</f>
        <v>0</v>
      </c>
    </row>
    <row r="735" customFormat="false" ht="15" hidden="false" customHeight="false" outlineLevel="0" collapsed="false">
      <c r="A735" s="0" t="s">
        <v>101</v>
      </c>
      <c r="B735" s="0" t="s">
        <v>107</v>
      </c>
      <c r="C735" s="0" t="s">
        <v>41</v>
      </c>
      <c r="D735" s="0" t="str">
        <f aca="false">IFERROR(INDEX('Materials Master'!$B$2:$B$27,MATCH($C735,'Materials Master'!$A$2:$A$27,0)),"")</f>
        <v>Beverage Cartons</v>
      </c>
      <c r="E735" s="0" t="str">
        <f aca="false">IFERROR(INDEX('Materials Master'!$C$2:$C$27,MATCH($C735,'Materials Master'!$A$2:$A$27,0)),"")</f>
        <v>Fibers</v>
      </c>
      <c r="F735" s="0" t="n">
        <f aca="false">IF(SUMIFS(Fact_SortedWeights!$E$2:$E$89,Fact_SortedWeights!$C$2:$C$89,$A735,Fact_SortedWeights!$B$2:$B$89,$B735)=0,0,SUMIFS(Fact_SortedWeights!$E$2:$E$89,Fact_SortedWeights!$C$2:$C$89,$A735,Fact_SortedWeights!$B$2:$B$89,$B735,Fact_SortedWeights!$D$2:$D$89,$C735)/SUMIFS(Fact_SortedWeights!$E$2:$E$89,Fact_SortedWeights!$C$2:$C$89,$A735,Fact_SortedWeights!$B$2:$B$89,$B735)*(IF($B735="Cardboard Recycling",SUMIFS(Fact_SortedWeights!$E$2:$E$89,Fact_SortedWeights!$C$2:$C$89,$A735,Fact_SortedWeights!$B$2:$B$89,$B735),SUMIFS(Fact_PreSortWeights!$E$2:$E$186,Fact_PreSortWeights!$C$2:$C$186,$A735,Fact_PreSortWeights!$B$2:$B$186,$B735))))</f>
        <v>0</v>
      </c>
      <c r="G735" s="0" t="n">
        <f aca="false">IF(AND(IF($B735="Trash",INDEX('Materials Master'!$F$2:$F$27,MATCH($C735,'Materials Master'!$A$2:$A$27,0)),IF($B735="GMPC Recycling",INDEX('Materials Master'!$G$2:$G$27,MATCH($C735,'Materials Master'!$A$2:$A$27,0)),IF($B735="Organics Recycling",INDEX('Materials Master'!$H$2:$H$27,MATCH($C735,'Materials Master'!$A$2:$A$27,0)),IF($B735="Cardboard Recycling",INDEX('Materials Master'!$I$2:$I$27,MATCH($C735,'Materials Master'!$A$2:$A$27,0)),IF($B735="Paper Recycling",INDEX('Materials Master'!$J$2:$J$27,MATCH($C735,'Materials Master'!$A$2:$A$27,0)),IF($B735="Terracycle",INDEX('Materials Master'!$K$2:$K$27,MATCH($C735,'Materials Master'!$A$2:$A$27,0)),"No"))))))="Yes",INDEX('Materials Master'!$E$2:$E$27,MATCH($C735,'Materials Master'!$A$2:$A$27,0))="Yes",$B735&lt;&gt;"Trash"),1,0)</f>
        <v>1</v>
      </c>
      <c r="H735" s="0" t="str">
        <f aca="false">INDEX('Materials Master'!$E$2:$E$27,MATCH($C735,'Materials Master'!$A$2:$A$27,0))</f>
        <v>Yes</v>
      </c>
      <c r="I735" s="0" t="str">
        <f aca="false">IFERROR(INDEX(Areas!$C$2:$C$6,MATCH($A735,Areas!$B$2:$B$6,0)),"")</f>
        <v>Rest of Building</v>
      </c>
      <c r="J735" s="0" t="n">
        <f aca="false">IF(IF($B735="Trash",INDEX('Materials Master'!$F$2:$F$27,MATCH($C735,'Materials Master'!$A$2:$A$27,0)),IF($B735="GMPC Recycling",INDEX('Materials Master'!$G$2:$G$27,MATCH($C735,'Materials Master'!$A$2:$A$27,0)),IF($B735="Organics Recycling",INDEX('Materials Master'!$H$2:$H$27,MATCH($C735,'Materials Master'!$A$2:$A$27,0)),IF($B735="Cardboard Recycling",INDEX('Materials Master'!$I$2:$I$27,MATCH($C735,'Materials Master'!$A$2:$A$27,0)),IF($B735="Paper Recycling",INDEX('Materials Master'!$J$2:$J$27,MATCH($C735,'Materials Master'!$A$2:$A$27,0)),IF($B735="Terracycle",INDEX('Materials Master'!$K$2:$K$27,MATCH($C735,'Materials Master'!$A$2:$A$27,0)),"No"))))))="Yes",1,0)</f>
        <v>1</v>
      </c>
    </row>
    <row r="736" customFormat="false" ht="15" hidden="false" customHeight="false" outlineLevel="0" collapsed="false">
      <c r="A736" s="0" t="s">
        <v>101</v>
      </c>
      <c r="B736" s="0" t="s">
        <v>107</v>
      </c>
      <c r="C736" s="0" t="s">
        <v>43</v>
      </c>
      <c r="D736" s="0" t="str">
        <f aca="false">IFERROR(INDEX('Materials Master'!$B$2:$B$27,MATCH($C736,'Materials Master'!$A$2:$A$27,0)),"")</f>
        <v>Soiled Beverage Cartons</v>
      </c>
      <c r="E736" s="0" t="str">
        <f aca="false">IFERROR(INDEX('Materials Master'!$C$2:$C$27,MATCH($C736,'Materials Master'!$A$2:$A$27,0)),"")</f>
        <v>Fibers</v>
      </c>
      <c r="F736" s="0" t="n">
        <f aca="false">IF(SUMIFS(Fact_SortedWeights!$E$2:$E$89,Fact_SortedWeights!$C$2:$C$89,$A736,Fact_SortedWeights!$B$2:$B$89,$B736)=0,0,SUMIFS(Fact_SortedWeights!$E$2:$E$89,Fact_SortedWeights!$C$2:$C$89,$A736,Fact_SortedWeights!$B$2:$B$89,$B736,Fact_SortedWeights!$D$2:$D$89,$C736)/SUMIFS(Fact_SortedWeights!$E$2:$E$89,Fact_SortedWeights!$C$2:$C$89,$A736,Fact_SortedWeights!$B$2:$B$89,$B736)*(IF($B736="Cardboard Recycling",SUMIFS(Fact_SortedWeights!$E$2:$E$89,Fact_SortedWeights!$C$2:$C$89,$A736,Fact_SortedWeights!$B$2:$B$89,$B736),SUMIFS(Fact_PreSortWeights!$E$2:$E$186,Fact_PreSortWeights!$C$2:$C$186,$A736,Fact_PreSortWeights!$B$2:$B$186,$B736))))</f>
        <v>0</v>
      </c>
      <c r="G736" s="0" t="n">
        <f aca="false">IF(AND(IF($B736="Trash",INDEX('Materials Master'!$F$2:$F$27,MATCH($C736,'Materials Master'!$A$2:$A$27,0)),IF($B736="GMPC Recycling",INDEX('Materials Master'!$G$2:$G$27,MATCH($C736,'Materials Master'!$A$2:$A$27,0)),IF($B736="Organics Recycling",INDEX('Materials Master'!$H$2:$H$27,MATCH($C736,'Materials Master'!$A$2:$A$27,0)),IF($B736="Cardboard Recycling",INDEX('Materials Master'!$I$2:$I$27,MATCH($C736,'Materials Master'!$A$2:$A$27,0)),IF($B736="Paper Recycling",INDEX('Materials Master'!$J$2:$J$27,MATCH($C736,'Materials Master'!$A$2:$A$27,0)),IF($B736="Terracycle",INDEX('Materials Master'!$K$2:$K$27,MATCH($C736,'Materials Master'!$A$2:$A$27,0)),"No"))))))="Yes",INDEX('Materials Master'!$E$2:$E$27,MATCH($C736,'Materials Master'!$A$2:$A$27,0))="Yes",$B736&lt;&gt;"Trash"),1,0)</f>
        <v>0</v>
      </c>
      <c r="H736" s="0" t="str">
        <f aca="false">INDEX('Materials Master'!$E$2:$E$27,MATCH($C736,'Materials Master'!$A$2:$A$27,0))</f>
        <v>No</v>
      </c>
      <c r="I736" s="0" t="str">
        <f aca="false">IFERROR(INDEX(Areas!$C$2:$C$6,MATCH($A736,Areas!$B$2:$B$6,0)),"")</f>
        <v>Rest of Building</v>
      </c>
      <c r="J736" s="0" t="n">
        <f aca="false">IF(IF($B736="Trash",INDEX('Materials Master'!$F$2:$F$27,MATCH($C736,'Materials Master'!$A$2:$A$27,0)),IF($B736="GMPC Recycling",INDEX('Materials Master'!$G$2:$G$27,MATCH($C736,'Materials Master'!$A$2:$A$27,0)),IF($B736="Organics Recycling",INDEX('Materials Master'!$H$2:$H$27,MATCH($C736,'Materials Master'!$A$2:$A$27,0)),IF($B736="Cardboard Recycling",INDEX('Materials Master'!$I$2:$I$27,MATCH($C736,'Materials Master'!$A$2:$A$27,0)),IF($B736="Paper Recycling",INDEX('Materials Master'!$J$2:$J$27,MATCH($C736,'Materials Master'!$A$2:$A$27,0)),IF($B736="Terracycle",INDEX('Materials Master'!$K$2:$K$27,MATCH($C736,'Materials Master'!$A$2:$A$27,0)),"No"))))))="Yes",1,0)</f>
        <v>0</v>
      </c>
    </row>
    <row r="737" customFormat="false" ht="15" hidden="false" customHeight="false" outlineLevel="0" collapsed="false">
      <c r="A737" s="0" t="s">
        <v>101</v>
      </c>
      <c r="B737" s="0" t="s">
        <v>107</v>
      </c>
      <c r="C737" s="0" t="s">
        <v>45</v>
      </c>
      <c r="D737" s="0" t="str">
        <f aca="false">IFERROR(INDEX('Materials Master'!$B$2:$B$27,MATCH($C737,'Materials Master'!$A$2:$A$27,0)),"")</f>
        <v>Paper Cups / Other Coated Paper Containers</v>
      </c>
      <c r="E737" s="0" t="str">
        <f aca="false">IFERROR(INDEX('Materials Master'!$C$2:$C$27,MATCH($C737,'Materials Master'!$A$2:$A$27,0)),"")</f>
        <v>Fibers</v>
      </c>
      <c r="F737" s="0" t="n">
        <f aca="false">IF(SUMIFS(Fact_SortedWeights!$E$2:$E$89,Fact_SortedWeights!$C$2:$C$89,$A737,Fact_SortedWeights!$B$2:$B$89,$B737)=0,0,SUMIFS(Fact_SortedWeights!$E$2:$E$89,Fact_SortedWeights!$C$2:$C$89,$A737,Fact_SortedWeights!$B$2:$B$89,$B737,Fact_SortedWeights!$D$2:$D$89,$C737)/SUMIFS(Fact_SortedWeights!$E$2:$E$89,Fact_SortedWeights!$C$2:$C$89,$A737,Fact_SortedWeights!$B$2:$B$89,$B737)*(IF($B737="Cardboard Recycling",SUMIFS(Fact_SortedWeights!$E$2:$E$89,Fact_SortedWeights!$C$2:$C$89,$A737,Fact_SortedWeights!$B$2:$B$89,$B737),SUMIFS(Fact_PreSortWeights!$E$2:$E$186,Fact_PreSortWeights!$C$2:$C$186,$A737,Fact_PreSortWeights!$B$2:$B$186,$B737))))</f>
        <v>0</v>
      </c>
      <c r="G737" s="0" t="n">
        <f aca="false">IF(AND(IF($B737="Trash",INDEX('Materials Master'!$F$2:$F$27,MATCH($C737,'Materials Master'!$A$2:$A$27,0)),IF($B737="GMPC Recycling",INDEX('Materials Master'!$G$2:$G$27,MATCH($C737,'Materials Master'!$A$2:$A$27,0)),IF($B737="Organics Recycling",INDEX('Materials Master'!$H$2:$H$27,MATCH($C737,'Materials Master'!$A$2:$A$27,0)),IF($B737="Cardboard Recycling",INDEX('Materials Master'!$I$2:$I$27,MATCH($C737,'Materials Master'!$A$2:$A$27,0)),IF($B737="Paper Recycling",INDEX('Materials Master'!$J$2:$J$27,MATCH($C737,'Materials Master'!$A$2:$A$27,0)),IF($B737="Terracycle",INDEX('Materials Master'!$K$2:$K$27,MATCH($C737,'Materials Master'!$A$2:$A$27,0)),"No"))))))="Yes",INDEX('Materials Master'!$E$2:$E$27,MATCH($C737,'Materials Master'!$A$2:$A$27,0))="Yes",$B737&lt;&gt;"Trash"),1,0)</f>
        <v>0</v>
      </c>
      <c r="H737" s="0" t="str">
        <f aca="false">INDEX('Materials Master'!$E$2:$E$27,MATCH($C737,'Materials Master'!$A$2:$A$27,0))</f>
        <v>No</v>
      </c>
      <c r="I737" s="0" t="str">
        <f aca="false">IFERROR(INDEX(Areas!$C$2:$C$6,MATCH($A737,Areas!$B$2:$B$6,0)),"")</f>
        <v>Rest of Building</v>
      </c>
      <c r="J737" s="0" t="n">
        <f aca="false">IF(IF($B737="Trash",INDEX('Materials Master'!$F$2:$F$27,MATCH($C737,'Materials Master'!$A$2:$A$27,0)),IF($B737="GMPC Recycling",INDEX('Materials Master'!$G$2:$G$27,MATCH($C737,'Materials Master'!$A$2:$A$27,0)),IF($B737="Organics Recycling",INDEX('Materials Master'!$H$2:$H$27,MATCH($C737,'Materials Master'!$A$2:$A$27,0)),IF($B737="Cardboard Recycling",INDEX('Materials Master'!$I$2:$I$27,MATCH($C737,'Materials Master'!$A$2:$A$27,0)),IF($B737="Paper Recycling",INDEX('Materials Master'!$J$2:$J$27,MATCH($C737,'Materials Master'!$A$2:$A$27,0)),IF($B737="Terracycle",INDEX('Materials Master'!$K$2:$K$27,MATCH($C737,'Materials Master'!$A$2:$A$27,0)),"No"))))))="Yes",1,0)</f>
        <v>0</v>
      </c>
    </row>
    <row r="738" customFormat="false" ht="15" hidden="false" customHeight="false" outlineLevel="0" collapsed="false">
      <c r="A738" s="0" t="s">
        <v>101</v>
      </c>
      <c r="B738" s="0" t="s">
        <v>107</v>
      </c>
      <c r="C738" s="0" t="s">
        <v>47</v>
      </c>
      <c r="D738" s="0" t="str">
        <f aca="false">IFERROR(INDEX('Materials Master'!$B$2:$B$27,MATCH($C738,'Materials Master'!$A$2:$A$27,0)),"")</f>
        <v>Glass Bottles &amp; Jars</v>
      </c>
      <c r="E738" s="0" t="str">
        <f aca="false">IFERROR(INDEX('Materials Master'!$C$2:$C$27,MATCH($C738,'Materials Master'!$A$2:$A$27,0)),"")</f>
        <v>Glass</v>
      </c>
      <c r="F738" s="0" t="n">
        <f aca="false">IF(SUMIFS(Fact_SortedWeights!$E$2:$E$89,Fact_SortedWeights!$C$2:$C$89,$A738,Fact_SortedWeights!$B$2:$B$89,$B738)=0,0,SUMIFS(Fact_SortedWeights!$E$2:$E$89,Fact_SortedWeights!$C$2:$C$89,$A738,Fact_SortedWeights!$B$2:$B$89,$B738,Fact_SortedWeights!$D$2:$D$89,$C738)/SUMIFS(Fact_SortedWeights!$E$2:$E$89,Fact_SortedWeights!$C$2:$C$89,$A738,Fact_SortedWeights!$B$2:$B$89,$B738)*(IF($B738="Cardboard Recycling",SUMIFS(Fact_SortedWeights!$E$2:$E$89,Fact_SortedWeights!$C$2:$C$89,$A738,Fact_SortedWeights!$B$2:$B$89,$B738),SUMIFS(Fact_PreSortWeights!$E$2:$E$186,Fact_PreSortWeights!$C$2:$C$186,$A738,Fact_PreSortWeights!$B$2:$B$186,$B738))))</f>
        <v>0</v>
      </c>
      <c r="G738" s="0" t="n">
        <f aca="false">IF(AND(IF($B738="Trash",INDEX('Materials Master'!$F$2:$F$27,MATCH($C738,'Materials Master'!$A$2:$A$27,0)),IF($B738="GMPC Recycling",INDEX('Materials Master'!$G$2:$G$27,MATCH($C738,'Materials Master'!$A$2:$A$27,0)),IF($B738="Organics Recycling",INDEX('Materials Master'!$H$2:$H$27,MATCH($C738,'Materials Master'!$A$2:$A$27,0)),IF($B738="Cardboard Recycling",INDEX('Materials Master'!$I$2:$I$27,MATCH($C738,'Materials Master'!$A$2:$A$27,0)),IF($B738="Paper Recycling",INDEX('Materials Master'!$J$2:$J$27,MATCH($C738,'Materials Master'!$A$2:$A$27,0)),IF($B738="Terracycle",INDEX('Materials Master'!$K$2:$K$27,MATCH($C738,'Materials Master'!$A$2:$A$27,0)),"No"))))))="Yes",INDEX('Materials Master'!$E$2:$E$27,MATCH($C738,'Materials Master'!$A$2:$A$27,0))="Yes",$B738&lt;&gt;"Trash"),1,0)</f>
        <v>1</v>
      </c>
      <c r="H738" s="0" t="str">
        <f aca="false">INDEX('Materials Master'!$E$2:$E$27,MATCH($C738,'Materials Master'!$A$2:$A$27,0))</f>
        <v>Yes</v>
      </c>
      <c r="I738" s="0" t="str">
        <f aca="false">IFERROR(INDEX(Areas!$C$2:$C$6,MATCH($A738,Areas!$B$2:$B$6,0)),"")</f>
        <v>Rest of Building</v>
      </c>
      <c r="J738" s="0" t="n">
        <f aca="false">IF(IF($B738="Trash",INDEX('Materials Master'!$F$2:$F$27,MATCH($C738,'Materials Master'!$A$2:$A$27,0)),IF($B738="GMPC Recycling",INDEX('Materials Master'!$G$2:$G$27,MATCH($C738,'Materials Master'!$A$2:$A$27,0)),IF($B738="Organics Recycling",INDEX('Materials Master'!$H$2:$H$27,MATCH($C738,'Materials Master'!$A$2:$A$27,0)),IF($B738="Cardboard Recycling",INDEX('Materials Master'!$I$2:$I$27,MATCH($C738,'Materials Master'!$A$2:$A$27,0)),IF($B738="Paper Recycling",INDEX('Materials Master'!$J$2:$J$27,MATCH($C738,'Materials Master'!$A$2:$A$27,0)),IF($B738="Terracycle",INDEX('Materials Master'!$K$2:$K$27,MATCH($C738,'Materials Master'!$A$2:$A$27,0)),"No"))))))="Yes",1,0)</f>
        <v>1</v>
      </c>
    </row>
    <row r="739" customFormat="false" ht="15" hidden="false" customHeight="false" outlineLevel="0" collapsed="false">
      <c r="A739" s="0" t="s">
        <v>101</v>
      </c>
      <c r="B739" s="0" t="s">
        <v>107</v>
      </c>
      <c r="C739" s="0" t="s">
        <v>50</v>
      </c>
      <c r="D739" s="0" t="str">
        <f aca="false">IFERROR(INDEX('Materials Master'!$B$2:$B$27,MATCH($C739,'Materials Master'!$A$2:$A$27,0)),"")</f>
        <v>Soiled Glass</v>
      </c>
      <c r="E739" s="0" t="str">
        <f aca="false">IFERROR(INDEX('Materials Master'!$C$2:$C$27,MATCH($C739,'Materials Master'!$A$2:$A$27,0)),"")</f>
        <v>Glass</v>
      </c>
      <c r="F739" s="0" t="n">
        <f aca="false">IF(SUMIFS(Fact_SortedWeights!$E$2:$E$89,Fact_SortedWeights!$C$2:$C$89,$A739,Fact_SortedWeights!$B$2:$B$89,$B739)=0,0,SUMIFS(Fact_SortedWeights!$E$2:$E$89,Fact_SortedWeights!$C$2:$C$89,$A739,Fact_SortedWeights!$B$2:$B$89,$B739,Fact_SortedWeights!$D$2:$D$89,$C739)/SUMIFS(Fact_SortedWeights!$E$2:$E$89,Fact_SortedWeights!$C$2:$C$89,$A739,Fact_SortedWeights!$B$2:$B$89,$B739)*(IF($B739="Cardboard Recycling",SUMIFS(Fact_SortedWeights!$E$2:$E$89,Fact_SortedWeights!$C$2:$C$89,$A739,Fact_SortedWeights!$B$2:$B$89,$B739),SUMIFS(Fact_PreSortWeights!$E$2:$E$186,Fact_PreSortWeights!$C$2:$C$186,$A739,Fact_PreSortWeights!$B$2:$B$186,$B739))))</f>
        <v>0</v>
      </c>
      <c r="G739" s="0" t="n">
        <f aca="false">IF(AND(IF($B739="Trash",INDEX('Materials Master'!$F$2:$F$27,MATCH($C739,'Materials Master'!$A$2:$A$27,0)),IF($B739="GMPC Recycling",INDEX('Materials Master'!$G$2:$G$27,MATCH($C739,'Materials Master'!$A$2:$A$27,0)),IF($B739="Organics Recycling",INDEX('Materials Master'!$H$2:$H$27,MATCH($C739,'Materials Master'!$A$2:$A$27,0)),IF($B739="Cardboard Recycling",INDEX('Materials Master'!$I$2:$I$27,MATCH($C739,'Materials Master'!$A$2:$A$27,0)),IF($B739="Paper Recycling",INDEX('Materials Master'!$J$2:$J$27,MATCH($C739,'Materials Master'!$A$2:$A$27,0)),IF($B739="Terracycle",INDEX('Materials Master'!$K$2:$K$27,MATCH($C739,'Materials Master'!$A$2:$A$27,0)),"No"))))))="Yes",INDEX('Materials Master'!$E$2:$E$27,MATCH($C739,'Materials Master'!$A$2:$A$27,0))="Yes",$B739&lt;&gt;"Trash"),1,0)</f>
        <v>0</v>
      </c>
      <c r="H739" s="0" t="str">
        <f aca="false">INDEX('Materials Master'!$E$2:$E$27,MATCH($C739,'Materials Master'!$A$2:$A$27,0))</f>
        <v>No</v>
      </c>
      <c r="I739" s="0" t="str">
        <f aca="false">IFERROR(INDEX(Areas!$C$2:$C$6,MATCH($A739,Areas!$B$2:$B$6,0)),"")</f>
        <v>Rest of Building</v>
      </c>
      <c r="J739" s="0" t="n">
        <f aca="false">IF(IF($B739="Trash",INDEX('Materials Master'!$F$2:$F$27,MATCH($C739,'Materials Master'!$A$2:$A$27,0)),IF($B739="GMPC Recycling",INDEX('Materials Master'!$G$2:$G$27,MATCH($C739,'Materials Master'!$A$2:$A$27,0)),IF($B739="Organics Recycling",INDEX('Materials Master'!$H$2:$H$27,MATCH($C739,'Materials Master'!$A$2:$A$27,0)),IF($B739="Cardboard Recycling",INDEX('Materials Master'!$I$2:$I$27,MATCH($C739,'Materials Master'!$A$2:$A$27,0)),IF($B739="Paper Recycling",INDEX('Materials Master'!$J$2:$J$27,MATCH($C739,'Materials Master'!$A$2:$A$27,0)),IF($B739="Terracycle",INDEX('Materials Master'!$K$2:$K$27,MATCH($C739,'Materials Master'!$A$2:$A$27,0)),"No"))))))="Yes",1,0)</f>
        <v>0</v>
      </c>
    </row>
    <row r="740" customFormat="false" ht="15" hidden="false" customHeight="false" outlineLevel="0" collapsed="false">
      <c r="A740" s="0" t="s">
        <v>101</v>
      </c>
      <c r="B740" s="0" t="s">
        <v>107</v>
      </c>
      <c r="C740" s="0" t="s">
        <v>52</v>
      </c>
      <c r="D740" s="0" t="str">
        <f aca="false">IFERROR(INDEX('Materials Master'!$B$2:$B$27,MATCH($C740,'Materials Master'!$A$2:$A$27,0)),"")</f>
        <v>Aluminum &amp; Bi-Metal Containers</v>
      </c>
      <c r="E740" s="0" t="str">
        <f aca="false">IFERROR(INDEX('Materials Master'!$C$2:$C$27,MATCH($C740,'Materials Master'!$A$2:$A$27,0)),"")</f>
        <v>Metals</v>
      </c>
      <c r="F740" s="0" t="n">
        <f aca="false">IF(SUMIFS(Fact_SortedWeights!$E$2:$E$89,Fact_SortedWeights!$C$2:$C$89,$A740,Fact_SortedWeights!$B$2:$B$89,$B740)=0,0,SUMIFS(Fact_SortedWeights!$E$2:$E$89,Fact_SortedWeights!$C$2:$C$89,$A740,Fact_SortedWeights!$B$2:$B$89,$B740,Fact_SortedWeights!$D$2:$D$89,$C740)/SUMIFS(Fact_SortedWeights!$E$2:$E$89,Fact_SortedWeights!$C$2:$C$89,$A740,Fact_SortedWeights!$B$2:$B$89,$B740)*(IF($B740="Cardboard Recycling",SUMIFS(Fact_SortedWeights!$E$2:$E$89,Fact_SortedWeights!$C$2:$C$89,$A740,Fact_SortedWeights!$B$2:$B$89,$B740),SUMIFS(Fact_PreSortWeights!$E$2:$E$186,Fact_PreSortWeights!$C$2:$C$186,$A740,Fact_PreSortWeights!$B$2:$B$186,$B740))))</f>
        <v>0</v>
      </c>
      <c r="G740" s="0" t="n">
        <f aca="false">IF(AND(IF($B740="Trash",INDEX('Materials Master'!$F$2:$F$27,MATCH($C740,'Materials Master'!$A$2:$A$27,0)),IF($B740="GMPC Recycling",INDEX('Materials Master'!$G$2:$G$27,MATCH($C740,'Materials Master'!$A$2:$A$27,0)),IF($B740="Organics Recycling",INDEX('Materials Master'!$H$2:$H$27,MATCH($C740,'Materials Master'!$A$2:$A$27,0)),IF($B740="Cardboard Recycling",INDEX('Materials Master'!$I$2:$I$27,MATCH($C740,'Materials Master'!$A$2:$A$27,0)),IF($B740="Paper Recycling",INDEX('Materials Master'!$J$2:$J$27,MATCH($C740,'Materials Master'!$A$2:$A$27,0)),IF($B740="Terracycle",INDEX('Materials Master'!$K$2:$K$27,MATCH($C740,'Materials Master'!$A$2:$A$27,0)),"No"))))))="Yes",INDEX('Materials Master'!$E$2:$E$27,MATCH($C740,'Materials Master'!$A$2:$A$27,0))="Yes",$B740&lt;&gt;"Trash"),1,0)</f>
        <v>1</v>
      </c>
      <c r="H740" s="0" t="str">
        <f aca="false">INDEX('Materials Master'!$E$2:$E$27,MATCH($C740,'Materials Master'!$A$2:$A$27,0))</f>
        <v>Yes</v>
      </c>
      <c r="I740" s="0" t="str">
        <f aca="false">IFERROR(INDEX(Areas!$C$2:$C$6,MATCH($A740,Areas!$B$2:$B$6,0)),"")</f>
        <v>Rest of Building</v>
      </c>
      <c r="J740" s="0" t="n">
        <f aca="false">IF(IF($B740="Trash",INDEX('Materials Master'!$F$2:$F$27,MATCH($C740,'Materials Master'!$A$2:$A$27,0)),IF($B740="GMPC Recycling",INDEX('Materials Master'!$G$2:$G$27,MATCH($C740,'Materials Master'!$A$2:$A$27,0)),IF($B740="Organics Recycling",INDEX('Materials Master'!$H$2:$H$27,MATCH($C740,'Materials Master'!$A$2:$A$27,0)),IF($B740="Cardboard Recycling",INDEX('Materials Master'!$I$2:$I$27,MATCH($C740,'Materials Master'!$A$2:$A$27,0)),IF($B740="Paper Recycling",INDEX('Materials Master'!$J$2:$J$27,MATCH($C740,'Materials Master'!$A$2:$A$27,0)),IF($B740="Terracycle",INDEX('Materials Master'!$K$2:$K$27,MATCH($C740,'Materials Master'!$A$2:$A$27,0)),"No"))))))="Yes",1,0)</f>
        <v>1</v>
      </c>
    </row>
    <row r="741" customFormat="false" ht="15" hidden="false" customHeight="false" outlineLevel="0" collapsed="false">
      <c r="A741" s="0" t="s">
        <v>101</v>
      </c>
      <c r="B741" s="0" t="s">
        <v>107</v>
      </c>
      <c r="C741" s="0" t="s">
        <v>55</v>
      </c>
      <c r="D741" s="0" t="str">
        <f aca="false">IFERROR(INDEX('Materials Master'!$B$2:$B$27,MATCH($C741,'Materials Master'!$A$2:$A$27,0)),"")</f>
        <v>Soiled Metals</v>
      </c>
      <c r="E741" s="0" t="str">
        <f aca="false">IFERROR(INDEX('Materials Master'!$C$2:$C$27,MATCH($C741,'Materials Master'!$A$2:$A$27,0)),"")</f>
        <v>Metals</v>
      </c>
      <c r="F741" s="0" t="n">
        <f aca="false">IF(SUMIFS(Fact_SortedWeights!$E$2:$E$89,Fact_SortedWeights!$C$2:$C$89,$A741,Fact_SortedWeights!$B$2:$B$89,$B741)=0,0,SUMIFS(Fact_SortedWeights!$E$2:$E$89,Fact_SortedWeights!$C$2:$C$89,$A741,Fact_SortedWeights!$B$2:$B$89,$B741,Fact_SortedWeights!$D$2:$D$89,$C741)/SUMIFS(Fact_SortedWeights!$E$2:$E$89,Fact_SortedWeights!$C$2:$C$89,$A741,Fact_SortedWeights!$B$2:$B$89,$B741)*(IF($B741="Cardboard Recycling",SUMIFS(Fact_SortedWeights!$E$2:$E$89,Fact_SortedWeights!$C$2:$C$89,$A741,Fact_SortedWeights!$B$2:$B$89,$B741),SUMIFS(Fact_PreSortWeights!$E$2:$E$186,Fact_PreSortWeights!$C$2:$C$186,$A741,Fact_PreSortWeights!$B$2:$B$186,$B741))))</f>
        <v>0</v>
      </c>
      <c r="G741" s="0" t="n">
        <f aca="false">IF(AND(IF($B741="Trash",INDEX('Materials Master'!$F$2:$F$27,MATCH($C741,'Materials Master'!$A$2:$A$27,0)),IF($B741="GMPC Recycling",INDEX('Materials Master'!$G$2:$G$27,MATCH($C741,'Materials Master'!$A$2:$A$27,0)),IF($B741="Organics Recycling",INDEX('Materials Master'!$H$2:$H$27,MATCH($C741,'Materials Master'!$A$2:$A$27,0)),IF($B741="Cardboard Recycling",INDEX('Materials Master'!$I$2:$I$27,MATCH($C741,'Materials Master'!$A$2:$A$27,0)),IF($B741="Paper Recycling",INDEX('Materials Master'!$J$2:$J$27,MATCH($C741,'Materials Master'!$A$2:$A$27,0)),IF($B741="Terracycle",INDEX('Materials Master'!$K$2:$K$27,MATCH($C741,'Materials Master'!$A$2:$A$27,0)),"No"))))))="Yes",INDEX('Materials Master'!$E$2:$E$27,MATCH($C741,'Materials Master'!$A$2:$A$27,0))="Yes",$B741&lt;&gt;"Trash"),1,0)</f>
        <v>0</v>
      </c>
      <c r="H741" s="0" t="str">
        <f aca="false">INDEX('Materials Master'!$E$2:$E$27,MATCH($C741,'Materials Master'!$A$2:$A$27,0))</f>
        <v>No</v>
      </c>
      <c r="I741" s="0" t="str">
        <f aca="false">IFERROR(INDEX(Areas!$C$2:$C$6,MATCH($A741,Areas!$B$2:$B$6,0)),"")</f>
        <v>Rest of Building</v>
      </c>
      <c r="J741" s="0" t="n">
        <f aca="false">IF(IF($B741="Trash",INDEX('Materials Master'!$F$2:$F$27,MATCH($C741,'Materials Master'!$A$2:$A$27,0)),IF($B741="GMPC Recycling",INDEX('Materials Master'!$G$2:$G$27,MATCH($C741,'Materials Master'!$A$2:$A$27,0)),IF($B741="Organics Recycling",INDEX('Materials Master'!$H$2:$H$27,MATCH($C741,'Materials Master'!$A$2:$A$27,0)),IF($B741="Cardboard Recycling",INDEX('Materials Master'!$I$2:$I$27,MATCH($C741,'Materials Master'!$A$2:$A$27,0)),IF($B741="Paper Recycling",INDEX('Materials Master'!$J$2:$J$27,MATCH($C741,'Materials Master'!$A$2:$A$27,0)),IF($B741="Terracycle",INDEX('Materials Master'!$K$2:$K$27,MATCH($C741,'Materials Master'!$A$2:$A$27,0)),"No"))))))="Yes",1,0)</f>
        <v>0</v>
      </c>
    </row>
    <row r="742" customFormat="false" ht="15" hidden="false" customHeight="false" outlineLevel="0" collapsed="false">
      <c r="A742" s="0" t="s">
        <v>101</v>
      </c>
      <c r="B742" s="0" t="s">
        <v>107</v>
      </c>
      <c r="C742" s="0" t="s">
        <v>57</v>
      </c>
      <c r="D742" s="0" t="str">
        <f aca="false">IFERROR(INDEX('Materials Master'!$B$2:$B$27,MATCH($C742,'Materials Master'!$A$2:$A$27,0)),"")</f>
        <v>Rigid Plastics (1-6)</v>
      </c>
      <c r="E742" s="0" t="str">
        <f aca="false">IFERROR(INDEX('Materials Master'!$C$2:$C$27,MATCH($C742,'Materials Master'!$A$2:$A$27,0)),"")</f>
        <v>Plastics</v>
      </c>
      <c r="F742" s="0" t="n">
        <f aca="false">IF(SUMIFS(Fact_SortedWeights!$E$2:$E$89,Fact_SortedWeights!$C$2:$C$89,$A742,Fact_SortedWeights!$B$2:$B$89,$B742)=0,0,SUMIFS(Fact_SortedWeights!$E$2:$E$89,Fact_SortedWeights!$C$2:$C$89,$A742,Fact_SortedWeights!$B$2:$B$89,$B742,Fact_SortedWeights!$D$2:$D$89,$C742)/SUMIFS(Fact_SortedWeights!$E$2:$E$89,Fact_SortedWeights!$C$2:$C$89,$A742,Fact_SortedWeights!$B$2:$B$89,$B742)*(IF($B742="Cardboard Recycling",SUMIFS(Fact_SortedWeights!$E$2:$E$89,Fact_SortedWeights!$C$2:$C$89,$A742,Fact_SortedWeights!$B$2:$B$89,$B742),SUMIFS(Fact_PreSortWeights!$E$2:$E$186,Fact_PreSortWeights!$C$2:$C$186,$A742,Fact_PreSortWeights!$B$2:$B$186,$B742))))</f>
        <v>0</v>
      </c>
      <c r="G742" s="0" t="n">
        <f aca="false">IF(AND(IF($B742="Trash",INDEX('Materials Master'!$F$2:$F$27,MATCH($C742,'Materials Master'!$A$2:$A$27,0)),IF($B742="GMPC Recycling",INDEX('Materials Master'!$G$2:$G$27,MATCH($C742,'Materials Master'!$A$2:$A$27,0)),IF($B742="Organics Recycling",INDEX('Materials Master'!$H$2:$H$27,MATCH($C742,'Materials Master'!$A$2:$A$27,0)),IF($B742="Cardboard Recycling",INDEX('Materials Master'!$I$2:$I$27,MATCH($C742,'Materials Master'!$A$2:$A$27,0)),IF($B742="Paper Recycling",INDEX('Materials Master'!$J$2:$J$27,MATCH($C742,'Materials Master'!$A$2:$A$27,0)),IF($B742="Terracycle",INDEX('Materials Master'!$K$2:$K$27,MATCH($C742,'Materials Master'!$A$2:$A$27,0)),"No"))))))="Yes",INDEX('Materials Master'!$E$2:$E$27,MATCH($C742,'Materials Master'!$A$2:$A$27,0))="Yes",$B742&lt;&gt;"Trash"),1,0)</f>
        <v>1</v>
      </c>
      <c r="H742" s="0" t="str">
        <f aca="false">INDEX('Materials Master'!$E$2:$E$27,MATCH($C742,'Materials Master'!$A$2:$A$27,0))</f>
        <v>Yes</v>
      </c>
      <c r="I742" s="0" t="str">
        <f aca="false">IFERROR(INDEX(Areas!$C$2:$C$6,MATCH($A742,Areas!$B$2:$B$6,0)),"")</f>
        <v>Rest of Building</v>
      </c>
      <c r="J742" s="0" t="n">
        <f aca="false">IF(IF($B742="Trash",INDEX('Materials Master'!$F$2:$F$27,MATCH($C742,'Materials Master'!$A$2:$A$27,0)),IF($B742="GMPC Recycling",INDEX('Materials Master'!$G$2:$G$27,MATCH($C742,'Materials Master'!$A$2:$A$27,0)),IF($B742="Organics Recycling",INDEX('Materials Master'!$H$2:$H$27,MATCH($C742,'Materials Master'!$A$2:$A$27,0)),IF($B742="Cardboard Recycling",INDEX('Materials Master'!$I$2:$I$27,MATCH($C742,'Materials Master'!$A$2:$A$27,0)),IF($B742="Paper Recycling",INDEX('Materials Master'!$J$2:$J$27,MATCH($C742,'Materials Master'!$A$2:$A$27,0)),IF($B742="Terracycle",INDEX('Materials Master'!$K$2:$K$27,MATCH($C742,'Materials Master'!$A$2:$A$27,0)),"No"))))))="Yes",1,0)</f>
        <v>1</v>
      </c>
    </row>
    <row r="743" customFormat="false" ht="15" hidden="false" customHeight="false" outlineLevel="0" collapsed="false">
      <c r="A743" s="0" t="s">
        <v>101</v>
      </c>
      <c r="B743" s="0" t="s">
        <v>107</v>
      </c>
      <c r="C743" s="0" t="s">
        <v>60</v>
      </c>
      <c r="D743" s="0" t="str">
        <f aca="false">IFERROR(INDEX('Materials Master'!$B$2:$B$27,MATCH($C743,'Materials Master'!$A$2:$A$27,0)),"")</f>
        <v>Soiled Rigid Plastics</v>
      </c>
      <c r="E743" s="0" t="str">
        <f aca="false">IFERROR(INDEX('Materials Master'!$C$2:$C$27,MATCH($C743,'Materials Master'!$A$2:$A$27,0)),"")</f>
        <v>Plastics</v>
      </c>
      <c r="F743" s="0" t="n">
        <f aca="false">IF(SUMIFS(Fact_SortedWeights!$E$2:$E$89,Fact_SortedWeights!$C$2:$C$89,$A743,Fact_SortedWeights!$B$2:$B$89,$B743)=0,0,SUMIFS(Fact_SortedWeights!$E$2:$E$89,Fact_SortedWeights!$C$2:$C$89,$A743,Fact_SortedWeights!$B$2:$B$89,$B743,Fact_SortedWeights!$D$2:$D$89,$C743)/SUMIFS(Fact_SortedWeights!$E$2:$E$89,Fact_SortedWeights!$C$2:$C$89,$A743,Fact_SortedWeights!$B$2:$B$89,$B743)*(IF($B743="Cardboard Recycling",SUMIFS(Fact_SortedWeights!$E$2:$E$89,Fact_SortedWeights!$C$2:$C$89,$A743,Fact_SortedWeights!$B$2:$B$89,$B743),SUMIFS(Fact_PreSortWeights!$E$2:$E$186,Fact_PreSortWeights!$C$2:$C$186,$A743,Fact_PreSortWeights!$B$2:$B$186,$B743))))</f>
        <v>0</v>
      </c>
      <c r="G743" s="0" t="n">
        <f aca="false">IF(AND(IF($B743="Trash",INDEX('Materials Master'!$F$2:$F$27,MATCH($C743,'Materials Master'!$A$2:$A$27,0)),IF($B743="GMPC Recycling",INDEX('Materials Master'!$G$2:$G$27,MATCH($C743,'Materials Master'!$A$2:$A$27,0)),IF($B743="Organics Recycling",INDEX('Materials Master'!$H$2:$H$27,MATCH($C743,'Materials Master'!$A$2:$A$27,0)),IF($B743="Cardboard Recycling",INDEX('Materials Master'!$I$2:$I$27,MATCH($C743,'Materials Master'!$A$2:$A$27,0)),IF($B743="Paper Recycling",INDEX('Materials Master'!$J$2:$J$27,MATCH($C743,'Materials Master'!$A$2:$A$27,0)),IF($B743="Terracycle",INDEX('Materials Master'!$K$2:$K$27,MATCH($C743,'Materials Master'!$A$2:$A$27,0)),"No"))))))="Yes",INDEX('Materials Master'!$E$2:$E$27,MATCH($C743,'Materials Master'!$A$2:$A$27,0))="Yes",$B743&lt;&gt;"Trash"),1,0)</f>
        <v>0</v>
      </c>
      <c r="H743" s="0" t="str">
        <f aca="false">INDEX('Materials Master'!$E$2:$E$27,MATCH($C743,'Materials Master'!$A$2:$A$27,0))</f>
        <v>No</v>
      </c>
      <c r="I743" s="0" t="str">
        <f aca="false">IFERROR(INDEX(Areas!$C$2:$C$6,MATCH($A743,Areas!$B$2:$B$6,0)),"")</f>
        <v>Rest of Building</v>
      </c>
      <c r="J743" s="0" t="n">
        <f aca="false">IF(IF($B743="Trash",INDEX('Materials Master'!$F$2:$F$27,MATCH($C743,'Materials Master'!$A$2:$A$27,0)),IF($B743="GMPC Recycling",INDEX('Materials Master'!$G$2:$G$27,MATCH($C743,'Materials Master'!$A$2:$A$27,0)),IF($B743="Organics Recycling",INDEX('Materials Master'!$H$2:$H$27,MATCH($C743,'Materials Master'!$A$2:$A$27,0)),IF($B743="Cardboard Recycling",INDEX('Materials Master'!$I$2:$I$27,MATCH($C743,'Materials Master'!$A$2:$A$27,0)),IF($B743="Paper Recycling",INDEX('Materials Master'!$J$2:$J$27,MATCH($C743,'Materials Master'!$A$2:$A$27,0)),IF($B743="Terracycle",INDEX('Materials Master'!$K$2:$K$27,MATCH($C743,'Materials Master'!$A$2:$A$27,0)),"No"))))))="Yes",1,0)</f>
        <v>0</v>
      </c>
    </row>
    <row r="744" customFormat="false" ht="15" hidden="false" customHeight="false" outlineLevel="0" collapsed="false">
      <c r="A744" s="0" t="s">
        <v>101</v>
      </c>
      <c r="B744" s="0" t="s">
        <v>107</v>
      </c>
      <c r="C744" s="0" t="s">
        <v>62</v>
      </c>
      <c r="D744" s="0" t="str">
        <f aca="false">IFERROR(INDEX('Materials Master'!$B$2:$B$27,MATCH($C744,'Materials Master'!$A$2:$A$27,0)),"")</f>
        <v>Film Plastics</v>
      </c>
      <c r="E744" s="0" t="str">
        <f aca="false">IFERROR(INDEX('Materials Master'!$C$2:$C$27,MATCH($C744,'Materials Master'!$A$2:$A$27,0)),"")</f>
        <v>Plastics</v>
      </c>
      <c r="F744" s="0" t="n">
        <f aca="false">IF(SUMIFS(Fact_SortedWeights!$E$2:$E$89,Fact_SortedWeights!$C$2:$C$89,$A744,Fact_SortedWeights!$B$2:$B$89,$B744)=0,0,SUMIFS(Fact_SortedWeights!$E$2:$E$89,Fact_SortedWeights!$C$2:$C$89,$A744,Fact_SortedWeights!$B$2:$B$89,$B744,Fact_SortedWeights!$D$2:$D$89,$C744)/SUMIFS(Fact_SortedWeights!$E$2:$E$89,Fact_SortedWeights!$C$2:$C$89,$A744,Fact_SortedWeights!$B$2:$B$89,$B744)*(IF($B744="Cardboard Recycling",SUMIFS(Fact_SortedWeights!$E$2:$E$89,Fact_SortedWeights!$C$2:$C$89,$A744,Fact_SortedWeights!$B$2:$B$89,$B744),SUMIFS(Fact_PreSortWeights!$E$2:$E$186,Fact_PreSortWeights!$C$2:$C$186,$A744,Fact_PreSortWeights!$B$2:$B$186,$B744))))</f>
        <v>0</v>
      </c>
      <c r="G744" s="0" t="n">
        <f aca="false">IF(AND(IF($B744="Trash",INDEX('Materials Master'!$F$2:$F$27,MATCH($C744,'Materials Master'!$A$2:$A$27,0)),IF($B744="GMPC Recycling",INDEX('Materials Master'!$G$2:$G$27,MATCH($C744,'Materials Master'!$A$2:$A$27,0)),IF($B744="Organics Recycling",INDEX('Materials Master'!$H$2:$H$27,MATCH($C744,'Materials Master'!$A$2:$A$27,0)),IF($B744="Cardboard Recycling",INDEX('Materials Master'!$I$2:$I$27,MATCH($C744,'Materials Master'!$A$2:$A$27,0)),IF($B744="Paper Recycling",INDEX('Materials Master'!$J$2:$J$27,MATCH($C744,'Materials Master'!$A$2:$A$27,0)),IF($B744="Terracycle",INDEX('Materials Master'!$K$2:$K$27,MATCH($C744,'Materials Master'!$A$2:$A$27,0)),"No"))))))="Yes",INDEX('Materials Master'!$E$2:$E$27,MATCH($C744,'Materials Master'!$A$2:$A$27,0))="Yes",$B744&lt;&gt;"Trash"),1,0)</f>
        <v>0</v>
      </c>
      <c r="H744" s="0" t="str">
        <f aca="false">INDEX('Materials Master'!$E$2:$E$27,MATCH($C744,'Materials Master'!$A$2:$A$27,0))</f>
        <v>No</v>
      </c>
      <c r="I744" s="0" t="str">
        <f aca="false">IFERROR(INDEX(Areas!$C$2:$C$6,MATCH($A744,Areas!$B$2:$B$6,0)),"")</f>
        <v>Rest of Building</v>
      </c>
      <c r="J744" s="0" t="n">
        <f aca="false">IF(IF($B744="Trash",INDEX('Materials Master'!$F$2:$F$27,MATCH($C744,'Materials Master'!$A$2:$A$27,0)),IF($B744="GMPC Recycling",INDEX('Materials Master'!$G$2:$G$27,MATCH($C744,'Materials Master'!$A$2:$A$27,0)),IF($B744="Organics Recycling",INDEX('Materials Master'!$H$2:$H$27,MATCH($C744,'Materials Master'!$A$2:$A$27,0)),IF($B744="Cardboard Recycling",INDEX('Materials Master'!$I$2:$I$27,MATCH($C744,'Materials Master'!$A$2:$A$27,0)),IF($B744="Paper Recycling",INDEX('Materials Master'!$J$2:$J$27,MATCH($C744,'Materials Master'!$A$2:$A$27,0)),IF($B744="Terracycle",INDEX('Materials Master'!$K$2:$K$27,MATCH($C744,'Materials Master'!$A$2:$A$27,0)),"No"))))))="Yes",1,0)</f>
        <v>0</v>
      </c>
    </row>
    <row r="745" customFormat="false" ht="15" hidden="false" customHeight="false" outlineLevel="0" collapsed="false">
      <c r="A745" s="0" t="s">
        <v>101</v>
      </c>
      <c r="B745" s="0" t="s">
        <v>107</v>
      </c>
      <c r="C745" s="0" t="s">
        <v>64</v>
      </c>
      <c r="D745" s="0" t="str">
        <f aca="false">IFERROR(INDEX('Materials Master'!$B$2:$B$27,MATCH($C745,'Materials Master'!$A$2:$A$27,0)),"")</f>
        <v>Foams</v>
      </c>
      <c r="E745" s="0" t="str">
        <f aca="false">IFERROR(INDEX('Materials Master'!$C$2:$C$27,MATCH($C745,'Materials Master'!$A$2:$A$27,0)),"")</f>
        <v>Plastics</v>
      </c>
      <c r="F745" s="0" t="n">
        <f aca="false">IF(SUMIFS(Fact_SortedWeights!$E$2:$E$89,Fact_SortedWeights!$C$2:$C$89,$A745,Fact_SortedWeights!$B$2:$B$89,$B745)=0,0,SUMIFS(Fact_SortedWeights!$E$2:$E$89,Fact_SortedWeights!$C$2:$C$89,$A745,Fact_SortedWeights!$B$2:$B$89,$B745,Fact_SortedWeights!$D$2:$D$89,$C745)/SUMIFS(Fact_SortedWeights!$E$2:$E$89,Fact_SortedWeights!$C$2:$C$89,$A745,Fact_SortedWeights!$B$2:$B$89,$B745)*(IF($B745="Cardboard Recycling",SUMIFS(Fact_SortedWeights!$E$2:$E$89,Fact_SortedWeights!$C$2:$C$89,$A745,Fact_SortedWeights!$B$2:$B$89,$B745),SUMIFS(Fact_PreSortWeights!$E$2:$E$186,Fact_PreSortWeights!$C$2:$C$186,$A745,Fact_PreSortWeights!$B$2:$B$186,$B745))))</f>
        <v>0</v>
      </c>
      <c r="G745" s="0" t="n">
        <f aca="false">IF(AND(IF($B745="Trash",INDEX('Materials Master'!$F$2:$F$27,MATCH($C745,'Materials Master'!$A$2:$A$27,0)),IF($B745="GMPC Recycling",INDEX('Materials Master'!$G$2:$G$27,MATCH($C745,'Materials Master'!$A$2:$A$27,0)),IF($B745="Organics Recycling",INDEX('Materials Master'!$H$2:$H$27,MATCH($C745,'Materials Master'!$A$2:$A$27,0)),IF($B745="Cardboard Recycling",INDEX('Materials Master'!$I$2:$I$27,MATCH($C745,'Materials Master'!$A$2:$A$27,0)),IF($B745="Paper Recycling",INDEX('Materials Master'!$J$2:$J$27,MATCH($C745,'Materials Master'!$A$2:$A$27,0)),IF($B745="Terracycle",INDEX('Materials Master'!$K$2:$K$27,MATCH($C745,'Materials Master'!$A$2:$A$27,0)),"No"))))))="Yes",INDEX('Materials Master'!$E$2:$E$27,MATCH($C745,'Materials Master'!$A$2:$A$27,0))="Yes",$B745&lt;&gt;"Trash"),1,0)</f>
        <v>0</v>
      </c>
      <c r="H745" s="0" t="str">
        <f aca="false">INDEX('Materials Master'!$E$2:$E$27,MATCH($C745,'Materials Master'!$A$2:$A$27,0))</f>
        <v>No</v>
      </c>
      <c r="I745" s="0" t="str">
        <f aca="false">IFERROR(INDEX(Areas!$C$2:$C$6,MATCH($A745,Areas!$B$2:$B$6,0)),"")</f>
        <v>Rest of Building</v>
      </c>
      <c r="J745" s="0" t="n">
        <f aca="false">IF(IF($B745="Trash",INDEX('Materials Master'!$F$2:$F$27,MATCH($C745,'Materials Master'!$A$2:$A$27,0)),IF($B745="GMPC Recycling",INDEX('Materials Master'!$G$2:$G$27,MATCH($C745,'Materials Master'!$A$2:$A$27,0)),IF($B745="Organics Recycling",INDEX('Materials Master'!$H$2:$H$27,MATCH($C745,'Materials Master'!$A$2:$A$27,0)),IF($B745="Cardboard Recycling",INDEX('Materials Master'!$I$2:$I$27,MATCH($C745,'Materials Master'!$A$2:$A$27,0)),IF($B745="Paper Recycling",INDEX('Materials Master'!$J$2:$J$27,MATCH($C745,'Materials Master'!$A$2:$A$27,0)),IF($B745="Terracycle",INDEX('Materials Master'!$K$2:$K$27,MATCH($C745,'Materials Master'!$A$2:$A$27,0)),"No"))))))="Yes",1,0)</f>
        <v>0</v>
      </c>
    </row>
    <row r="746" customFormat="false" ht="15" hidden="false" customHeight="false" outlineLevel="0" collapsed="false">
      <c r="A746" s="0" t="s">
        <v>101</v>
      </c>
      <c r="B746" s="0" t="s">
        <v>107</v>
      </c>
      <c r="C746" s="0" t="s">
        <v>66</v>
      </c>
      <c r="D746" s="0" t="str">
        <f aca="false">IFERROR(INDEX('Materials Master'!$B$2:$B$27,MATCH($C746,'Materials Master'!$A$2:$A$27,0)),"")</f>
        <v>Food Waste</v>
      </c>
      <c r="E746" s="0" t="str">
        <f aca="false">IFERROR(INDEX('Materials Master'!$C$2:$C$27,MATCH($C746,'Materials Master'!$A$2:$A$27,0)),"")</f>
        <v>Organics</v>
      </c>
      <c r="F746" s="0" t="n">
        <f aca="false">IF(SUMIFS(Fact_SortedWeights!$E$2:$E$89,Fact_SortedWeights!$C$2:$C$89,$A746,Fact_SortedWeights!$B$2:$B$89,$B746)=0,0,SUMIFS(Fact_SortedWeights!$E$2:$E$89,Fact_SortedWeights!$C$2:$C$89,$A746,Fact_SortedWeights!$B$2:$B$89,$B746,Fact_SortedWeights!$D$2:$D$89,$C746)/SUMIFS(Fact_SortedWeights!$E$2:$E$89,Fact_SortedWeights!$C$2:$C$89,$A746,Fact_SortedWeights!$B$2:$B$89,$B746)*(IF($B746="Cardboard Recycling",SUMIFS(Fact_SortedWeights!$E$2:$E$89,Fact_SortedWeights!$C$2:$C$89,$A746,Fact_SortedWeights!$B$2:$B$89,$B746),SUMIFS(Fact_PreSortWeights!$E$2:$E$186,Fact_PreSortWeights!$C$2:$C$186,$A746,Fact_PreSortWeights!$B$2:$B$186,$B746))))</f>
        <v>0</v>
      </c>
      <c r="G746" s="0" t="n">
        <f aca="false">IF(AND(IF($B746="Trash",INDEX('Materials Master'!$F$2:$F$27,MATCH($C746,'Materials Master'!$A$2:$A$27,0)),IF($B746="GMPC Recycling",INDEX('Materials Master'!$G$2:$G$27,MATCH($C746,'Materials Master'!$A$2:$A$27,0)),IF($B746="Organics Recycling",INDEX('Materials Master'!$H$2:$H$27,MATCH($C746,'Materials Master'!$A$2:$A$27,0)),IF($B746="Cardboard Recycling",INDEX('Materials Master'!$I$2:$I$27,MATCH($C746,'Materials Master'!$A$2:$A$27,0)),IF($B746="Paper Recycling",INDEX('Materials Master'!$J$2:$J$27,MATCH($C746,'Materials Master'!$A$2:$A$27,0)),IF($B746="Terracycle",INDEX('Materials Master'!$K$2:$K$27,MATCH($C746,'Materials Master'!$A$2:$A$27,0)),"No"))))))="Yes",INDEX('Materials Master'!$E$2:$E$27,MATCH($C746,'Materials Master'!$A$2:$A$27,0))="Yes",$B746&lt;&gt;"Trash"),1,0)</f>
        <v>0</v>
      </c>
      <c r="H746" s="0" t="str">
        <f aca="false">INDEX('Materials Master'!$E$2:$E$27,MATCH($C746,'Materials Master'!$A$2:$A$27,0))</f>
        <v>Yes</v>
      </c>
      <c r="I746" s="0" t="str">
        <f aca="false">IFERROR(INDEX(Areas!$C$2:$C$6,MATCH($A746,Areas!$B$2:$B$6,0)),"")</f>
        <v>Rest of Building</v>
      </c>
      <c r="J746" s="0" t="n">
        <f aca="false">IF(IF($B746="Trash",INDEX('Materials Master'!$F$2:$F$27,MATCH($C746,'Materials Master'!$A$2:$A$27,0)),IF($B746="GMPC Recycling",INDEX('Materials Master'!$G$2:$G$27,MATCH($C746,'Materials Master'!$A$2:$A$27,0)),IF($B746="Organics Recycling",INDEX('Materials Master'!$H$2:$H$27,MATCH($C746,'Materials Master'!$A$2:$A$27,0)),IF($B746="Cardboard Recycling",INDEX('Materials Master'!$I$2:$I$27,MATCH($C746,'Materials Master'!$A$2:$A$27,0)),IF($B746="Paper Recycling",INDEX('Materials Master'!$J$2:$J$27,MATCH($C746,'Materials Master'!$A$2:$A$27,0)),IF($B746="Terracycle",INDEX('Materials Master'!$K$2:$K$27,MATCH($C746,'Materials Master'!$A$2:$A$27,0)),"No"))))))="Yes",1,0)</f>
        <v>0</v>
      </c>
    </row>
    <row r="747" customFormat="false" ht="15" hidden="false" customHeight="false" outlineLevel="0" collapsed="false">
      <c r="A747" s="0" t="s">
        <v>101</v>
      </c>
      <c r="B747" s="0" t="s">
        <v>107</v>
      </c>
      <c r="C747" s="0" t="s">
        <v>69</v>
      </c>
      <c r="D747" s="0" t="str">
        <f aca="false">IFERROR(INDEX('Materials Master'!$B$2:$B$27,MATCH($C747,'Materials Master'!$A$2:$A$27,0)),"")</f>
        <v>Paper Fibers and Food-Soiled Paper (FSP)</v>
      </c>
      <c r="E747" s="0" t="str">
        <f aca="false">IFERROR(INDEX('Materials Master'!$C$2:$C$27,MATCH($C747,'Materials Master'!$A$2:$A$27,0)),"")</f>
        <v>Organics</v>
      </c>
      <c r="F747" s="0" t="n">
        <f aca="false">IF(SUMIFS(Fact_SortedWeights!$E$2:$E$89,Fact_SortedWeights!$C$2:$C$89,$A747,Fact_SortedWeights!$B$2:$B$89,$B747)=0,0,SUMIFS(Fact_SortedWeights!$E$2:$E$89,Fact_SortedWeights!$C$2:$C$89,$A747,Fact_SortedWeights!$B$2:$B$89,$B747,Fact_SortedWeights!$D$2:$D$89,$C747)/SUMIFS(Fact_SortedWeights!$E$2:$E$89,Fact_SortedWeights!$C$2:$C$89,$A747,Fact_SortedWeights!$B$2:$B$89,$B747)*(IF($B747="Cardboard Recycling",SUMIFS(Fact_SortedWeights!$E$2:$E$89,Fact_SortedWeights!$C$2:$C$89,$A747,Fact_SortedWeights!$B$2:$B$89,$B747),SUMIFS(Fact_PreSortWeights!$E$2:$E$186,Fact_PreSortWeights!$C$2:$C$186,$A747,Fact_PreSortWeights!$B$2:$B$186,$B747))))</f>
        <v>0</v>
      </c>
      <c r="G747" s="0" t="n">
        <f aca="false">IF(AND(IF($B747="Trash",INDEX('Materials Master'!$F$2:$F$27,MATCH($C747,'Materials Master'!$A$2:$A$27,0)),IF($B747="GMPC Recycling",INDEX('Materials Master'!$G$2:$G$27,MATCH($C747,'Materials Master'!$A$2:$A$27,0)),IF($B747="Organics Recycling",INDEX('Materials Master'!$H$2:$H$27,MATCH($C747,'Materials Master'!$A$2:$A$27,0)),IF($B747="Cardboard Recycling",INDEX('Materials Master'!$I$2:$I$27,MATCH($C747,'Materials Master'!$A$2:$A$27,0)),IF($B747="Paper Recycling",INDEX('Materials Master'!$J$2:$J$27,MATCH($C747,'Materials Master'!$A$2:$A$27,0)),IF($B747="Terracycle",INDEX('Materials Master'!$K$2:$K$27,MATCH($C747,'Materials Master'!$A$2:$A$27,0)),"No"))))))="Yes",INDEX('Materials Master'!$E$2:$E$27,MATCH($C747,'Materials Master'!$A$2:$A$27,0))="Yes",$B747&lt;&gt;"Trash"),1,0)</f>
        <v>0</v>
      </c>
      <c r="H747" s="0" t="str">
        <f aca="false">INDEX('Materials Master'!$E$2:$E$27,MATCH($C747,'Materials Master'!$A$2:$A$27,0))</f>
        <v>No</v>
      </c>
      <c r="I747" s="0" t="str">
        <f aca="false">IFERROR(INDEX(Areas!$C$2:$C$6,MATCH($A747,Areas!$B$2:$B$6,0)),"")</f>
        <v>Rest of Building</v>
      </c>
      <c r="J747" s="0" t="n">
        <f aca="false">IF(IF($B747="Trash",INDEX('Materials Master'!$F$2:$F$27,MATCH($C747,'Materials Master'!$A$2:$A$27,0)),IF($B747="GMPC Recycling",INDEX('Materials Master'!$G$2:$G$27,MATCH($C747,'Materials Master'!$A$2:$A$27,0)),IF($B747="Organics Recycling",INDEX('Materials Master'!$H$2:$H$27,MATCH($C747,'Materials Master'!$A$2:$A$27,0)),IF($B747="Cardboard Recycling",INDEX('Materials Master'!$I$2:$I$27,MATCH($C747,'Materials Master'!$A$2:$A$27,0)),IF($B747="Paper Recycling",INDEX('Materials Master'!$J$2:$J$27,MATCH($C747,'Materials Master'!$A$2:$A$27,0)),IF($B747="Terracycle",INDEX('Materials Master'!$K$2:$K$27,MATCH($C747,'Materials Master'!$A$2:$A$27,0)),"No"))))))="Yes",1,0)</f>
        <v>0</v>
      </c>
    </row>
    <row r="748" customFormat="false" ht="15" hidden="false" customHeight="false" outlineLevel="0" collapsed="false">
      <c r="A748" s="0" t="s">
        <v>101</v>
      </c>
      <c r="B748" s="0" t="s">
        <v>107</v>
      </c>
      <c r="C748" s="0" t="s">
        <v>71</v>
      </c>
      <c r="D748" s="0" t="str">
        <f aca="false">IFERROR(INDEX('Materials Master'!$B$2:$B$27,MATCH($C748,'Materials Master'!$A$2:$A$27,0)),"")</f>
        <v>Fiber-based Compostable Serviceware</v>
      </c>
      <c r="E748" s="0" t="str">
        <f aca="false">IFERROR(INDEX('Materials Master'!$C$2:$C$27,MATCH($C748,'Materials Master'!$A$2:$A$27,0)),"")</f>
        <v>Organics</v>
      </c>
      <c r="F748" s="0" t="n">
        <f aca="false">IF(SUMIFS(Fact_SortedWeights!$E$2:$E$89,Fact_SortedWeights!$C$2:$C$89,$A748,Fact_SortedWeights!$B$2:$B$89,$B748)=0,0,SUMIFS(Fact_SortedWeights!$E$2:$E$89,Fact_SortedWeights!$C$2:$C$89,$A748,Fact_SortedWeights!$B$2:$B$89,$B748,Fact_SortedWeights!$D$2:$D$89,$C748)/SUMIFS(Fact_SortedWeights!$E$2:$E$89,Fact_SortedWeights!$C$2:$C$89,$A748,Fact_SortedWeights!$B$2:$B$89,$B748)*(IF($B748="Cardboard Recycling",SUMIFS(Fact_SortedWeights!$E$2:$E$89,Fact_SortedWeights!$C$2:$C$89,$A748,Fact_SortedWeights!$B$2:$B$89,$B748),SUMIFS(Fact_PreSortWeights!$E$2:$E$186,Fact_PreSortWeights!$C$2:$C$186,$A748,Fact_PreSortWeights!$B$2:$B$186,$B748))))</f>
        <v>0</v>
      </c>
      <c r="G748" s="0" t="n">
        <f aca="false">IF(AND(IF($B748="Trash",INDEX('Materials Master'!$F$2:$F$27,MATCH($C748,'Materials Master'!$A$2:$A$27,0)),IF($B748="GMPC Recycling",INDEX('Materials Master'!$G$2:$G$27,MATCH($C748,'Materials Master'!$A$2:$A$27,0)),IF($B748="Organics Recycling",INDEX('Materials Master'!$H$2:$H$27,MATCH($C748,'Materials Master'!$A$2:$A$27,0)),IF($B748="Cardboard Recycling",INDEX('Materials Master'!$I$2:$I$27,MATCH($C748,'Materials Master'!$A$2:$A$27,0)),IF($B748="Paper Recycling",INDEX('Materials Master'!$J$2:$J$27,MATCH($C748,'Materials Master'!$A$2:$A$27,0)),IF($B748="Terracycle",INDEX('Materials Master'!$K$2:$K$27,MATCH($C748,'Materials Master'!$A$2:$A$27,0)),"No"))))))="Yes",INDEX('Materials Master'!$E$2:$E$27,MATCH($C748,'Materials Master'!$A$2:$A$27,0))="Yes",$B748&lt;&gt;"Trash"),1,0)</f>
        <v>0</v>
      </c>
      <c r="H748" s="0" t="str">
        <f aca="false">INDEX('Materials Master'!$E$2:$E$27,MATCH($C748,'Materials Master'!$A$2:$A$27,0))</f>
        <v>No</v>
      </c>
      <c r="I748" s="0" t="str">
        <f aca="false">IFERROR(INDEX(Areas!$C$2:$C$6,MATCH($A748,Areas!$B$2:$B$6,0)),"")</f>
        <v>Rest of Building</v>
      </c>
      <c r="J748" s="0" t="n">
        <f aca="false">IF(IF($B748="Trash",INDEX('Materials Master'!$F$2:$F$27,MATCH($C748,'Materials Master'!$A$2:$A$27,0)),IF($B748="GMPC Recycling",INDEX('Materials Master'!$G$2:$G$27,MATCH($C748,'Materials Master'!$A$2:$A$27,0)),IF($B748="Organics Recycling",INDEX('Materials Master'!$H$2:$H$27,MATCH($C748,'Materials Master'!$A$2:$A$27,0)),IF($B748="Cardboard Recycling",INDEX('Materials Master'!$I$2:$I$27,MATCH($C748,'Materials Master'!$A$2:$A$27,0)),IF($B748="Paper Recycling",INDEX('Materials Master'!$J$2:$J$27,MATCH($C748,'Materials Master'!$A$2:$A$27,0)),IF($B748="Terracycle",INDEX('Materials Master'!$K$2:$K$27,MATCH($C748,'Materials Master'!$A$2:$A$27,0)),"No"))))))="Yes",1,0)</f>
        <v>0</v>
      </c>
    </row>
    <row r="749" customFormat="false" ht="15" hidden="false" customHeight="false" outlineLevel="0" collapsed="false">
      <c r="A749" s="0" t="s">
        <v>101</v>
      </c>
      <c r="B749" s="0" t="s">
        <v>107</v>
      </c>
      <c r="C749" s="0" t="s">
        <v>73</v>
      </c>
      <c r="D749" s="0" t="str">
        <f aca="false">IFERROR(INDEX('Materials Master'!$B$2:$B$27,MATCH($C749,'Materials Master'!$A$2:$A$27,0)),"")</f>
        <v>PLA Compostable Serviceware</v>
      </c>
      <c r="E749" s="0" t="str">
        <f aca="false">IFERROR(INDEX('Materials Master'!$C$2:$C$27,MATCH($C749,'Materials Master'!$A$2:$A$27,0)),"")</f>
        <v>Organics</v>
      </c>
      <c r="F749" s="0" t="n">
        <f aca="false">IF(SUMIFS(Fact_SortedWeights!$E$2:$E$89,Fact_SortedWeights!$C$2:$C$89,$A749,Fact_SortedWeights!$B$2:$B$89,$B749)=0,0,SUMIFS(Fact_SortedWeights!$E$2:$E$89,Fact_SortedWeights!$C$2:$C$89,$A749,Fact_SortedWeights!$B$2:$B$89,$B749,Fact_SortedWeights!$D$2:$D$89,$C749)/SUMIFS(Fact_SortedWeights!$E$2:$E$89,Fact_SortedWeights!$C$2:$C$89,$A749,Fact_SortedWeights!$B$2:$B$89,$B749)*(IF($B749="Cardboard Recycling",SUMIFS(Fact_SortedWeights!$E$2:$E$89,Fact_SortedWeights!$C$2:$C$89,$A749,Fact_SortedWeights!$B$2:$B$89,$B749),SUMIFS(Fact_PreSortWeights!$E$2:$E$186,Fact_PreSortWeights!$C$2:$C$186,$A749,Fact_PreSortWeights!$B$2:$B$186,$B749))))</f>
        <v>0</v>
      </c>
      <c r="G749" s="0" t="n">
        <f aca="false">IF(AND(IF($B749="Trash",INDEX('Materials Master'!$F$2:$F$27,MATCH($C749,'Materials Master'!$A$2:$A$27,0)),IF($B749="GMPC Recycling",INDEX('Materials Master'!$G$2:$G$27,MATCH($C749,'Materials Master'!$A$2:$A$27,0)),IF($B749="Organics Recycling",INDEX('Materials Master'!$H$2:$H$27,MATCH($C749,'Materials Master'!$A$2:$A$27,0)),IF($B749="Cardboard Recycling",INDEX('Materials Master'!$I$2:$I$27,MATCH($C749,'Materials Master'!$A$2:$A$27,0)),IF($B749="Paper Recycling",INDEX('Materials Master'!$J$2:$J$27,MATCH($C749,'Materials Master'!$A$2:$A$27,0)),IF($B749="Terracycle",INDEX('Materials Master'!$K$2:$K$27,MATCH($C749,'Materials Master'!$A$2:$A$27,0)),"No"))))))="Yes",INDEX('Materials Master'!$E$2:$E$27,MATCH($C749,'Materials Master'!$A$2:$A$27,0))="Yes",$B749&lt;&gt;"Trash"),1,0)</f>
        <v>0</v>
      </c>
      <c r="H749" s="0" t="str">
        <f aca="false">INDEX('Materials Master'!$E$2:$E$27,MATCH($C749,'Materials Master'!$A$2:$A$27,0))</f>
        <v>No</v>
      </c>
      <c r="I749" s="0" t="str">
        <f aca="false">IFERROR(INDEX(Areas!$C$2:$C$6,MATCH($A749,Areas!$B$2:$B$6,0)),"")</f>
        <v>Rest of Building</v>
      </c>
      <c r="J749" s="0" t="n">
        <f aca="false">IF(IF($B749="Trash",INDEX('Materials Master'!$F$2:$F$27,MATCH($C749,'Materials Master'!$A$2:$A$27,0)),IF($B749="GMPC Recycling",INDEX('Materials Master'!$G$2:$G$27,MATCH($C749,'Materials Master'!$A$2:$A$27,0)),IF($B749="Organics Recycling",INDEX('Materials Master'!$H$2:$H$27,MATCH($C749,'Materials Master'!$A$2:$A$27,0)),IF($B749="Cardboard Recycling",INDEX('Materials Master'!$I$2:$I$27,MATCH($C749,'Materials Master'!$A$2:$A$27,0)),IF($B749="Paper Recycling",INDEX('Materials Master'!$J$2:$J$27,MATCH($C749,'Materials Master'!$A$2:$A$27,0)),IF($B749="Terracycle",INDEX('Materials Master'!$K$2:$K$27,MATCH($C749,'Materials Master'!$A$2:$A$27,0)),"No"))))))="Yes",1,0)</f>
        <v>0</v>
      </c>
    </row>
    <row r="750" customFormat="false" ht="15" hidden="false" customHeight="false" outlineLevel="0" collapsed="false">
      <c r="A750" s="0" t="s">
        <v>101</v>
      </c>
      <c r="B750" s="0" t="s">
        <v>107</v>
      </c>
      <c r="C750" s="0" t="s">
        <v>75</v>
      </c>
      <c r="D750" s="0" t="str">
        <f aca="false">IFERROR(INDEX('Materials Master'!$B$2:$B$27,MATCH($C750,'Materials Master'!$A$2:$A$27,0)),"")</f>
        <v>E/U Waste</v>
      </c>
      <c r="E750" s="0" t="str">
        <f aca="false">IFERROR(INDEX('Materials Master'!$C$2:$C$27,MATCH($C750,'Materials Master'!$A$2:$A$27,0)),"")</f>
        <v>Unacceptable</v>
      </c>
      <c r="F750" s="0" t="n">
        <f aca="false">IF(SUMIFS(Fact_SortedWeights!$E$2:$E$89,Fact_SortedWeights!$C$2:$C$89,$A750,Fact_SortedWeights!$B$2:$B$89,$B750)=0,0,SUMIFS(Fact_SortedWeights!$E$2:$E$89,Fact_SortedWeights!$C$2:$C$89,$A750,Fact_SortedWeights!$B$2:$B$89,$B750,Fact_SortedWeights!$D$2:$D$89,$C750)/SUMIFS(Fact_SortedWeights!$E$2:$E$89,Fact_SortedWeights!$C$2:$C$89,$A750,Fact_SortedWeights!$B$2:$B$89,$B750)*(IF($B750="Cardboard Recycling",SUMIFS(Fact_SortedWeights!$E$2:$E$89,Fact_SortedWeights!$C$2:$C$89,$A750,Fact_SortedWeights!$B$2:$B$89,$B750),SUMIFS(Fact_PreSortWeights!$E$2:$E$186,Fact_PreSortWeights!$C$2:$C$186,$A750,Fact_PreSortWeights!$B$2:$B$186,$B750))))</f>
        <v>0</v>
      </c>
      <c r="G750" s="0" t="n">
        <f aca="false">IF(AND(IF($B750="Trash",INDEX('Materials Master'!$F$2:$F$27,MATCH($C750,'Materials Master'!$A$2:$A$27,0)),IF($B750="GMPC Recycling",INDEX('Materials Master'!$G$2:$G$27,MATCH($C750,'Materials Master'!$A$2:$A$27,0)),IF($B750="Organics Recycling",INDEX('Materials Master'!$H$2:$H$27,MATCH($C750,'Materials Master'!$A$2:$A$27,0)),IF($B750="Cardboard Recycling",INDEX('Materials Master'!$I$2:$I$27,MATCH($C750,'Materials Master'!$A$2:$A$27,0)),IF($B750="Paper Recycling",INDEX('Materials Master'!$J$2:$J$27,MATCH($C750,'Materials Master'!$A$2:$A$27,0)),IF($B750="Terracycle",INDEX('Materials Master'!$K$2:$K$27,MATCH($C750,'Materials Master'!$A$2:$A$27,0)),"No"))))))="Yes",INDEX('Materials Master'!$E$2:$E$27,MATCH($C750,'Materials Master'!$A$2:$A$27,0))="Yes",$B750&lt;&gt;"Trash"),1,0)</f>
        <v>0</v>
      </c>
      <c r="H750" s="0" t="str">
        <f aca="false">INDEX('Materials Master'!$E$2:$E$27,MATCH($C750,'Materials Master'!$A$2:$A$27,0))</f>
        <v>No</v>
      </c>
      <c r="I750" s="0" t="str">
        <f aca="false">IFERROR(INDEX(Areas!$C$2:$C$6,MATCH($A750,Areas!$B$2:$B$6,0)),"")</f>
        <v>Rest of Building</v>
      </c>
      <c r="J750" s="0" t="n">
        <f aca="false">IF(IF($B750="Trash",INDEX('Materials Master'!$F$2:$F$27,MATCH($C750,'Materials Master'!$A$2:$A$27,0)),IF($B750="GMPC Recycling",INDEX('Materials Master'!$G$2:$G$27,MATCH($C750,'Materials Master'!$A$2:$A$27,0)),IF($B750="Organics Recycling",INDEX('Materials Master'!$H$2:$H$27,MATCH($C750,'Materials Master'!$A$2:$A$27,0)),IF($B750="Cardboard Recycling",INDEX('Materials Master'!$I$2:$I$27,MATCH($C750,'Materials Master'!$A$2:$A$27,0)),IF($B750="Paper Recycling",INDEX('Materials Master'!$J$2:$J$27,MATCH($C750,'Materials Master'!$A$2:$A$27,0)),IF($B750="Terracycle",INDEX('Materials Master'!$K$2:$K$27,MATCH($C750,'Materials Master'!$A$2:$A$27,0)),"No"))))))="Yes",1,0)</f>
        <v>0</v>
      </c>
    </row>
    <row r="751" customFormat="false" ht="15" hidden="false" customHeight="false" outlineLevel="0" collapsed="false">
      <c r="A751" s="0" t="s">
        <v>101</v>
      </c>
      <c r="B751" s="0" t="s">
        <v>107</v>
      </c>
      <c r="C751" s="0" t="s">
        <v>78</v>
      </c>
      <c r="D751" s="0" t="str">
        <f aca="false">IFERROR(INDEX('Materials Master'!$B$2:$B$27,MATCH($C751,'Materials Master'!$A$2:$A$27,0)),"")</f>
        <v>Textiles</v>
      </c>
      <c r="E751" s="0" t="str">
        <f aca="false">IFERROR(INDEX('Materials Master'!$C$2:$C$27,MATCH($C751,'Materials Master'!$A$2:$A$27,0)),"")</f>
        <v>Unacceptable</v>
      </c>
      <c r="F751" s="0" t="n">
        <f aca="false">IF(SUMIFS(Fact_SortedWeights!$E$2:$E$89,Fact_SortedWeights!$C$2:$C$89,$A751,Fact_SortedWeights!$B$2:$B$89,$B751)=0,0,SUMIFS(Fact_SortedWeights!$E$2:$E$89,Fact_SortedWeights!$C$2:$C$89,$A751,Fact_SortedWeights!$B$2:$B$89,$B751,Fact_SortedWeights!$D$2:$D$89,$C751)/SUMIFS(Fact_SortedWeights!$E$2:$E$89,Fact_SortedWeights!$C$2:$C$89,$A751,Fact_SortedWeights!$B$2:$B$89,$B751)*(IF($B751="Cardboard Recycling",SUMIFS(Fact_SortedWeights!$E$2:$E$89,Fact_SortedWeights!$C$2:$C$89,$A751,Fact_SortedWeights!$B$2:$B$89,$B751),SUMIFS(Fact_PreSortWeights!$E$2:$E$186,Fact_PreSortWeights!$C$2:$C$186,$A751,Fact_PreSortWeights!$B$2:$B$186,$B751))))</f>
        <v>0</v>
      </c>
      <c r="G751" s="0" t="n">
        <f aca="false">IF(AND(IF($B751="Trash",INDEX('Materials Master'!$F$2:$F$27,MATCH($C751,'Materials Master'!$A$2:$A$27,0)),IF($B751="GMPC Recycling",INDEX('Materials Master'!$G$2:$G$27,MATCH($C751,'Materials Master'!$A$2:$A$27,0)),IF($B751="Organics Recycling",INDEX('Materials Master'!$H$2:$H$27,MATCH($C751,'Materials Master'!$A$2:$A$27,0)),IF($B751="Cardboard Recycling",INDEX('Materials Master'!$I$2:$I$27,MATCH($C751,'Materials Master'!$A$2:$A$27,0)),IF($B751="Paper Recycling",INDEX('Materials Master'!$J$2:$J$27,MATCH($C751,'Materials Master'!$A$2:$A$27,0)),IF($B751="Terracycle",INDEX('Materials Master'!$K$2:$K$27,MATCH($C751,'Materials Master'!$A$2:$A$27,0)),"No"))))))="Yes",INDEX('Materials Master'!$E$2:$E$27,MATCH($C751,'Materials Master'!$A$2:$A$27,0))="Yes",$B751&lt;&gt;"Trash"),1,0)</f>
        <v>0</v>
      </c>
      <c r="H751" s="0" t="str">
        <f aca="false">INDEX('Materials Master'!$E$2:$E$27,MATCH($C751,'Materials Master'!$A$2:$A$27,0))</f>
        <v>No</v>
      </c>
      <c r="I751" s="0" t="str">
        <f aca="false">IFERROR(INDEX(Areas!$C$2:$C$6,MATCH($A751,Areas!$B$2:$B$6,0)),"")</f>
        <v>Rest of Building</v>
      </c>
      <c r="J751" s="0" t="n">
        <f aca="false">IF(IF($B751="Trash",INDEX('Materials Master'!$F$2:$F$27,MATCH($C751,'Materials Master'!$A$2:$A$27,0)),IF($B751="GMPC Recycling",INDEX('Materials Master'!$G$2:$G$27,MATCH($C751,'Materials Master'!$A$2:$A$27,0)),IF($B751="Organics Recycling",INDEX('Materials Master'!$H$2:$H$27,MATCH($C751,'Materials Master'!$A$2:$A$27,0)),IF($B751="Cardboard Recycling",INDEX('Materials Master'!$I$2:$I$27,MATCH($C751,'Materials Master'!$A$2:$A$27,0)),IF($B751="Paper Recycling",INDEX('Materials Master'!$J$2:$J$27,MATCH($C751,'Materials Master'!$A$2:$A$27,0)),IF($B751="Terracycle",INDEX('Materials Master'!$K$2:$K$27,MATCH($C751,'Materials Master'!$A$2:$A$27,0)),"No"))))))="Yes",1,0)</f>
        <v>0</v>
      </c>
    </row>
    <row r="752" customFormat="false" ht="15" hidden="false" customHeight="false" outlineLevel="0" collapsed="false">
      <c r="A752" s="0" t="s">
        <v>101</v>
      </c>
      <c r="B752" s="0" t="s">
        <v>107</v>
      </c>
      <c r="C752" s="0" t="s">
        <v>80</v>
      </c>
      <c r="D752" s="0" t="str">
        <f aca="false">IFERROR(INDEX('Materials Master'!$B$2:$B$27,MATCH($C752,'Materials Master'!$A$2:$A$27,0)),"")</f>
        <v>Other Unacceptable (specify)</v>
      </c>
      <c r="E752" s="0" t="str">
        <f aca="false">IFERROR(INDEX('Materials Master'!$C$2:$C$27,MATCH($C752,'Materials Master'!$A$2:$A$27,0)),"")</f>
        <v>Unacceptable</v>
      </c>
      <c r="F752" s="0" t="n">
        <f aca="false">IF(SUMIFS(Fact_SortedWeights!$E$2:$E$89,Fact_SortedWeights!$C$2:$C$89,$A752,Fact_SortedWeights!$B$2:$B$89,$B752)=0,0,SUMIFS(Fact_SortedWeights!$E$2:$E$89,Fact_SortedWeights!$C$2:$C$89,$A752,Fact_SortedWeights!$B$2:$B$89,$B752,Fact_SortedWeights!$D$2:$D$89,$C752)/SUMIFS(Fact_SortedWeights!$E$2:$E$89,Fact_SortedWeights!$C$2:$C$89,$A752,Fact_SortedWeights!$B$2:$B$89,$B752)*(IF($B752="Cardboard Recycling",SUMIFS(Fact_SortedWeights!$E$2:$E$89,Fact_SortedWeights!$C$2:$C$89,$A752,Fact_SortedWeights!$B$2:$B$89,$B752),SUMIFS(Fact_PreSortWeights!$E$2:$E$186,Fact_PreSortWeights!$C$2:$C$186,$A752,Fact_PreSortWeights!$B$2:$B$186,$B752))))</f>
        <v>0</v>
      </c>
      <c r="G752" s="0" t="n">
        <f aca="false">IF(AND(IF($B752="Trash",INDEX('Materials Master'!$F$2:$F$27,MATCH($C752,'Materials Master'!$A$2:$A$27,0)),IF($B752="GMPC Recycling",INDEX('Materials Master'!$G$2:$G$27,MATCH($C752,'Materials Master'!$A$2:$A$27,0)),IF($B752="Organics Recycling",INDEX('Materials Master'!$H$2:$H$27,MATCH($C752,'Materials Master'!$A$2:$A$27,0)),IF($B752="Cardboard Recycling",INDEX('Materials Master'!$I$2:$I$27,MATCH($C752,'Materials Master'!$A$2:$A$27,0)),IF($B752="Paper Recycling",INDEX('Materials Master'!$J$2:$J$27,MATCH($C752,'Materials Master'!$A$2:$A$27,0)),IF($B752="Terracycle",INDEX('Materials Master'!$K$2:$K$27,MATCH($C752,'Materials Master'!$A$2:$A$27,0)),"No"))))))="Yes",INDEX('Materials Master'!$E$2:$E$27,MATCH($C752,'Materials Master'!$A$2:$A$27,0))="Yes",$B752&lt;&gt;"Trash"),1,0)</f>
        <v>0</v>
      </c>
      <c r="H752" s="0" t="str">
        <f aca="false">INDEX('Materials Master'!$E$2:$E$27,MATCH($C752,'Materials Master'!$A$2:$A$27,0))</f>
        <v>No</v>
      </c>
      <c r="I752" s="0" t="str">
        <f aca="false">IFERROR(INDEX(Areas!$C$2:$C$6,MATCH($A752,Areas!$B$2:$B$6,0)),"")</f>
        <v>Rest of Building</v>
      </c>
      <c r="J752" s="0" t="n">
        <f aca="false">IF(IF($B752="Trash",INDEX('Materials Master'!$F$2:$F$27,MATCH($C752,'Materials Master'!$A$2:$A$27,0)),IF($B752="GMPC Recycling",INDEX('Materials Master'!$G$2:$G$27,MATCH($C752,'Materials Master'!$A$2:$A$27,0)),IF($B752="Organics Recycling",INDEX('Materials Master'!$H$2:$H$27,MATCH($C752,'Materials Master'!$A$2:$A$27,0)),IF($B752="Cardboard Recycling",INDEX('Materials Master'!$I$2:$I$27,MATCH($C752,'Materials Master'!$A$2:$A$27,0)),IF($B752="Paper Recycling",INDEX('Materials Master'!$J$2:$J$27,MATCH($C752,'Materials Master'!$A$2:$A$27,0)),IF($B752="Terracycle",INDEX('Materials Master'!$K$2:$K$27,MATCH($C752,'Materials Master'!$A$2:$A$27,0)),"No"))))))="Yes",1,0)</f>
        <v>0</v>
      </c>
    </row>
    <row r="753" customFormat="false" ht="15" hidden="false" customHeight="false" outlineLevel="0" collapsed="false">
      <c r="A753" s="0" t="s">
        <v>101</v>
      </c>
      <c r="B753" s="0" t="s">
        <v>107</v>
      </c>
      <c r="C753" s="0" t="s">
        <v>82</v>
      </c>
      <c r="D753" s="0" t="str">
        <f aca="false">IFERROR(INDEX('Materials Master'!$B$2:$B$27,MATCH($C753,'Materials Master'!$A$2:$A$27,0)),"")</f>
        <v>Liquids</v>
      </c>
      <c r="E753" s="0" t="str">
        <f aca="false">IFERROR(INDEX('Materials Master'!$C$2:$C$27,MATCH($C753,'Materials Master'!$A$2:$A$27,0)),"")</f>
        <v>Unacceptable</v>
      </c>
      <c r="F753" s="0" t="n">
        <f aca="false">IF(SUMIFS(Fact_SortedWeights!$E$2:$E$89,Fact_SortedWeights!$C$2:$C$89,$A753,Fact_SortedWeights!$B$2:$B$89,$B753)=0,0,SUMIFS(Fact_SortedWeights!$E$2:$E$89,Fact_SortedWeights!$C$2:$C$89,$A753,Fact_SortedWeights!$B$2:$B$89,$B753,Fact_SortedWeights!$D$2:$D$89,$C753)/SUMIFS(Fact_SortedWeights!$E$2:$E$89,Fact_SortedWeights!$C$2:$C$89,$A753,Fact_SortedWeights!$B$2:$B$89,$B753)*(IF($B753="Cardboard Recycling",SUMIFS(Fact_SortedWeights!$E$2:$E$89,Fact_SortedWeights!$C$2:$C$89,$A753,Fact_SortedWeights!$B$2:$B$89,$B753),SUMIFS(Fact_PreSortWeights!$E$2:$E$186,Fact_PreSortWeights!$C$2:$C$186,$A753,Fact_PreSortWeights!$B$2:$B$186,$B753))))</f>
        <v>0</v>
      </c>
      <c r="G753" s="0" t="n">
        <f aca="false">IF(AND(IF($B753="Trash",INDEX('Materials Master'!$F$2:$F$27,MATCH($C753,'Materials Master'!$A$2:$A$27,0)),IF($B753="GMPC Recycling",INDEX('Materials Master'!$G$2:$G$27,MATCH($C753,'Materials Master'!$A$2:$A$27,0)),IF($B753="Organics Recycling",INDEX('Materials Master'!$H$2:$H$27,MATCH($C753,'Materials Master'!$A$2:$A$27,0)),IF($B753="Cardboard Recycling",INDEX('Materials Master'!$I$2:$I$27,MATCH($C753,'Materials Master'!$A$2:$A$27,0)),IF($B753="Paper Recycling",INDEX('Materials Master'!$J$2:$J$27,MATCH($C753,'Materials Master'!$A$2:$A$27,0)),IF($B753="Terracycle",INDEX('Materials Master'!$K$2:$K$27,MATCH($C753,'Materials Master'!$A$2:$A$27,0)),"No"))))))="Yes",INDEX('Materials Master'!$E$2:$E$27,MATCH($C753,'Materials Master'!$A$2:$A$27,0))="Yes",$B753&lt;&gt;"Trash"),1,0)</f>
        <v>0</v>
      </c>
      <c r="H753" s="0" t="str">
        <f aca="false">INDEX('Materials Master'!$E$2:$E$27,MATCH($C753,'Materials Master'!$A$2:$A$27,0))</f>
        <v>No</v>
      </c>
      <c r="I753" s="0" t="str">
        <f aca="false">IFERROR(INDEX(Areas!$C$2:$C$6,MATCH($A753,Areas!$B$2:$B$6,0)),"")</f>
        <v>Rest of Building</v>
      </c>
      <c r="J753" s="0" t="n">
        <f aca="false">IF(IF($B753="Trash",INDEX('Materials Master'!$F$2:$F$27,MATCH($C753,'Materials Master'!$A$2:$A$27,0)),IF($B753="GMPC Recycling",INDEX('Materials Master'!$G$2:$G$27,MATCH($C753,'Materials Master'!$A$2:$A$27,0)),IF($B753="Organics Recycling",INDEX('Materials Master'!$H$2:$H$27,MATCH($C753,'Materials Master'!$A$2:$A$27,0)),IF($B753="Cardboard Recycling",INDEX('Materials Master'!$I$2:$I$27,MATCH($C753,'Materials Master'!$A$2:$A$27,0)),IF($B753="Paper Recycling",INDEX('Materials Master'!$J$2:$J$27,MATCH($C753,'Materials Master'!$A$2:$A$27,0)),IF($B753="Terracycle",INDEX('Materials Master'!$K$2:$K$27,MATCH($C753,'Materials Master'!$A$2:$A$27,0)),"No"))))))="Yes",1,0)</f>
        <v>0</v>
      </c>
    </row>
    <row r="754" customFormat="false" ht="15" hidden="false" customHeight="false" outlineLevel="0" collapsed="false">
      <c r="A754" s="0" t="s">
        <v>101</v>
      </c>
      <c r="B754" s="0" t="s">
        <v>107</v>
      </c>
      <c r="C754" s="0" t="s">
        <v>84</v>
      </c>
      <c r="D754" s="0" t="str">
        <f aca="false">IFERROR(INDEX('Materials Master'!$B$2:$B$27,MATCH($C754,'Materials Master'!$A$2:$A$27,0)),"")</f>
        <v>Snack Wrappers (Composites)</v>
      </c>
      <c r="E754" s="0" t="str">
        <f aca="false">IFERROR(INDEX('Materials Master'!$C$2:$C$27,MATCH($C754,'Materials Master'!$A$2:$A$27,0)),"")</f>
        <v>Other</v>
      </c>
      <c r="F754" s="0" t="n">
        <f aca="false">IF(SUMIFS(Fact_SortedWeights!$E$2:$E$89,Fact_SortedWeights!$C$2:$C$89,$A754,Fact_SortedWeights!$B$2:$B$89,$B754)=0,0,SUMIFS(Fact_SortedWeights!$E$2:$E$89,Fact_SortedWeights!$C$2:$C$89,$A754,Fact_SortedWeights!$B$2:$B$89,$B754,Fact_SortedWeights!$D$2:$D$89,$C754)/SUMIFS(Fact_SortedWeights!$E$2:$E$89,Fact_SortedWeights!$C$2:$C$89,$A754,Fact_SortedWeights!$B$2:$B$89,$B754)*(IF($B754="Cardboard Recycling",SUMIFS(Fact_SortedWeights!$E$2:$E$89,Fact_SortedWeights!$C$2:$C$89,$A754,Fact_SortedWeights!$B$2:$B$89,$B754),SUMIFS(Fact_PreSortWeights!$E$2:$E$186,Fact_PreSortWeights!$C$2:$C$186,$A754,Fact_PreSortWeights!$B$2:$B$186,$B754))))</f>
        <v>0</v>
      </c>
      <c r="G754" s="0" t="n">
        <f aca="false">IF(AND(IF($B754="Trash",INDEX('Materials Master'!$F$2:$F$27,MATCH($C754,'Materials Master'!$A$2:$A$27,0)),IF($B754="GMPC Recycling",INDEX('Materials Master'!$G$2:$G$27,MATCH($C754,'Materials Master'!$A$2:$A$27,0)),IF($B754="Organics Recycling",INDEX('Materials Master'!$H$2:$H$27,MATCH($C754,'Materials Master'!$A$2:$A$27,0)),IF($B754="Cardboard Recycling",INDEX('Materials Master'!$I$2:$I$27,MATCH($C754,'Materials Master'!$A$2:$A$27,0)),IF($B754="Paper Recycling",INDEX('Materials Master'!$J$2:$J$27,MATCH($C754,'Materials Master'!$A$2:$A$27,0)),IF($B754="Terracycle",INDEX('Materials Master'!$K$2:$K$27,MATCH($C754,'Materials Master'!$A$2:$A$27,0)),"No"))))))="Yes",INDEX('Materials Master'!$E$2:$E$27,MATCH($C754,'Materials Master'!$A$2:$A$27,0))="Yes",$B754&lt;&gt;"Trash"),1,0)</f>
        <v>0</v>
      </c>
      <c r="H754" s="0" t="str">
        <f aca="false">INDEX('Materials Master'!$E$2:$E$27,MATCH($C754,'Materials Master'!$A$2:$A$27,0))</f>
        <v>Yes</v>
      </c>
      <c r="I754" s="0" t="str">
        <f aca="false">IFERROR(INDEX(Areas!$C$2:$C$6,MATCH($A754,Areas!$B$2:$B$6,0)),"")</f>
        <v>Rest of Building</v>
      </c>
      <c r="J754" s="0" t="n">
        <f aca="false">IF(IF($B754="Trash",INDEX('Materials Master'!$F$2:$F$27,MATCH($C754,'Materials Master'!$A$2:$A$27,0)),IF($B754="GMPC Recycling",INDEX('Materials Master'!$G$2:$G$27,MATCH($C754,'Materials Master'!$A$2:$A$27,0)),IF($B754="Organics Recycling",INDEX('Materials Master'!$H$2:$H$27,MATCH($C754,'Materials Master'!$A$2:$A$27,0)),IF($B754="Cardboard Recycling",INDEX('Materials Master'!$I$2:$I$27,MATCH($C754,'Materials Master'!$A$2:$A$27,0)),IF($B754="Paper Recycling",INDEX('Materials Master'!$J$2:$J$27,MATCH($C754,'Materials Master'!$A$2:$A$27,0)),IF($B754="Terracycle",INDEX('Materials Master'!$K$2:$K$27,MATCH($C754,'Materials Master'!$A$2:$A$27,0)),"No"))))))="Yes",1,0)</f>
        <v>0</v>
      </c>
    </row>
    <row r="755" customFormat="false" ht="15" hidden="false" customHeight="false" outlineLevel="0" collapsed="false">
      <c r="A755" s="0" t="s">
        <v>101</v>
      </c>
      <c r="B755" s="0" t="s">
        <v>107</v>
      </c>
      <c r="C755" s="0" t="s">
        <v>87</v>
      </c>
      <c r="D755" s="0" t="str">
        <f aca="false">IFERROR(INDEX('Materials Master'!$B$2:$B$27,MATCH($C755,'Materials Master'!$A$2:$A$27,0)),"")</f>
        <v>Other/Residual Materials</v>
      </c>
      <c r="E755" s="0" t="str">
        <f aca="false">IFERROR(INDEX('Materials Master'!$C$2:$C$27,MATCH($C755,'Materials Master'!$A$2:$A$27,0)),"")</f>
        <v>Other</v>
      </c>
      <c r="F755" s="0" t="n">
        <f aca="false">IF(SUMIFS(Fact_SortedWeights!$E$2:$E$89,Fact_SortedWeights!$C$2:$C$89,$A755,Fact_SortedWeights!$B$2:$B$89,$B755)=0,0,SUMIFS(Fact_SortedWeights!$E$2:$E$89,Fact_SortedWeights!$C$2:$C$89,$A755,Fact_SortedWeights!$B$2:$B$89,$B755,Fact_SortedWeights!$D$2:$D$89,$C755)/SUMIFS(Fact_SortedWeights!$E$2:$E$89,Fact_SortedWeights!$C$2:$C$89,$A755,Fact_SortedWeights!$B$2:$B$89,$B755)*(IF($B755="Cardboard Recycling",SUMIFS(Fact_SortedWeights!$E$2:$E$89,Fact_SortedWeights!$C$2:$C$89,$A755,Fact_SortedWeights!$B$2:$B$89,$B755),SUMIFS(Fact_PreSortWeights!$E$2:$E$186,Fact_PreSortWeights!$C$2:$C$186,$A755,Fact_PreSortWeights!$B$2:$B$186,$B755))))</f>
        <v>0</v>
      </c>
      <c r="G755" s="0" t="n">
        <f aca="false">IF(AND(IF($B755="Trash",INDEX('Materials Master'!$F$2:$F$27,MATCH($C755,'Materials Master'!$A$2:$A$27,0)),IF($B755="GMPC Recycling",INDEX('Materials Master'!$G$2:$G$27,MATCH($C755,'Materials Master'!$A$2:$A$27,0)),IF($B755="Organics Recycling",INDEX('Materials Master'!$H$2:$H$27,MATCH($C755,'Materials Master'!$A$2:$A$27,0)),IF($B755="Cardboard Recycling",INDEX('Materials Master'!$I$2:$I$27,MATCH($C755,'Materials Master'!$A$2:$A$27,0)),IF($B755="Paper Recycling",INDEX('Materials Master'!$J$2:$J$27,MATCH($C755,'Materials Master'!$A$2:$A$27,0)),IF($B755="Terracycle",INDEX('Materials Master'!$K$2:$K$27,MATCH($C755,'Materials Master'!$A$2:$A$27,0)),"No"))))))="Yes",INDEX('Materials Master'!$E$2:$E$27,MATCH($C755,'Materials Master'!$A$2:$A$27,0))="Yes",$B755&lt;&gt;"Trash"),1,0)</f>
        <v>0</v>
      </c>
      <c r="H755" s="0" t="str">
        <f aca="false">INDEX('Materials Master'!$E$2:$E$27,MATCH($C755,'Materials Master'!$A$2:$A$27,0))</f>
        <v>No</v>
      </c>
      <c r="I755" s="0" t="str">
        <f aca="false">IFERROR(INDEX(Areas!$C$2:$C$6,MATCH($A755,Areas!$B$2:$B$6,0)),"")</f>
        <v>Rest of Building</v>
      </c>
      <c r="J755" s="0" t="n">
        <f aca="false">IF(IF($B755="Trash",INDEX('Materials Master'!$F$2:$F$27,MATCH($C755,'Materials Master'!$A$2:$A$27,0)),IF($B755="GMPC Recycling",INDEX('Materials Master'!$G$2:$G$27,MATCH($C755,'Materials Master'!$A$2:$A$27,0)),IF($B755="Organics Recycling",INDEX('Materials Master'!$H$2:$H$27,MATCH($C755,'Materials Master'!$A$2:$A$27,0)),IF($B755="Cardboard Recycling",INDEX('Materials Master'!$I$2:$I$27,MATCH($C755,'Materials Master'!$A$2:$A$27,0)),IF($B755="Paper Recycling",INDEX('Materials Master'!$J$2:$J$27,MATCH($C755,'Materials Master'!$A$2:$A$27,0)),IF($B755="Terracycle",INDEX('Materials Master'!$K$2:$K$27,MATCH($C755,'Materials Master'!$A$2:$A$27,0)),"No"))))))="Yes",1,0)</f>
        <v>0</v>
      </c>
    </row>
    <row r="756" customFormat="false" ht="15" hidden="false" customHeight="false" outlineLevel="0" collapsed="false">
      <c r="A756" s="0" t="s">
        <v>101</v>
      </c>
      <c r="B756" s="0" t="s">
        <v>108</v>
      </c>
      <c r="C756" s="0" t="s">
        <v>28</v>
      </c>
      <c r="D756" s="0" t="str">
        <f aca="false">IFERROR(INDEX('Materials Master'!$B$2:$B$27,MATCH($C756,'Materials Master'!$A$2:$A$27,0)),"")</f>
        <v>Corrugated Cardboard</v>
      </c>
      <c r="E756" s="0" t="str">
        <f aca="false">IFERROR(INDEX('Materials Master'!$C$2:$C$27,MATCH($C756,'Materials Master'!$A$2:$A$27,0)),"")</f>
        <v>Fibers</v>
      </c>
      <c r="F756" s="0" t="n">
        <f aca="false">IF(SUMIFS(Fact_SortedWeights!$E$2:$E$89,Fact_SortedWeights!$C$2:$C$89,$A756,Fact_SortedWeights!$B$2:$B$89,$B756)=0,0,SUMIFS(Fact_SortedWeights!$E$2:$E$89,Fact_SortedWeights!$C$2:$C$89,$A756,Fact_SortedWeights!$B$2:$B$89,$B756,Fact_SortedWeights!$D$2:$D$89,$C756)/SUMIFS(Fact_SortedWeights!$E$2:$E$89,Fact_SortedWeights!$C$2:$C$89,$A756,Fact_SortedWeights!$B$2:$B$89,$B756)*(IF($B756="Cardboard Recycling",SUMIFS(Fact_SortedWeights!$E$2:$E$89,Fact_SortedWeights!$C$2:$C$89,$A756,Fact_SortedWeights!$B$2:$B$89,$B756),SUMIFS(Fact_PreSortWeights!$E$2:$E$186,Fact_PreSortWeights!$C$2:$C$186,$A756,Fact_PreSortWeights!$B$2:$B$186,$B756))))</f>
        <v>0</v>
      </c>
      <c r="G756" s="0" t="n">
        <f aca="false">IF(AND(IF($B756="Trash",INDEX('Materials Master'!$F$2:$F$27,MATCH($C756,'Materials Master'!$A$2:$A$27,0)),IF($B756="GMPC Recycling",INDEX('Materials Master'!$G$2:$G$27,MATCH($C756,'Materials Master'!$A$2:$A$27,0)),IF($B756="Organics Recycling",INDEX('Materials Master'!$H$2:$H$27,MATCH($C756,'Materials Master'!$A$2:$A$27,0)),IF($B756="Cardboard Recycling",INDEX('Materials Master'!$I$2:$I$27,MATCH($C756,'Materials Master'!$A$2:$A$27,0)),IF($B756="Paper Recycling",INDEX('Materials Master'!$J$2:$J$27,MATCH($C756,'Materials Master'!$A$2:$A$27,0)),IF($B756="Terracycle",INDEX('Materials Master'!$K$2:$K$27,MATCH($C756,'Materials Master'!$A$2:$A$27,0)),"No"))))))="Yes",INDEX('Materials Master'!$E$2:$E$27,MATCH($C756,'Materials Master'!$A$2:$A$27,0))="Yes",$B756&lt;&gt;"Trash"),1,0)</f>
        <v>0</v>
      </c>
      <c r="H756" s="0" t="str">
        <f aca="false">INDEX('Materials Master'!$E$2:$E$27,MATCH($C756,'Materials Master'!$A$2:$A$27,0))</f>
        <v>Yes</v>
      </c>
      <c r="I756" s="0" t="str">
        <f aca="false">IFERROR(INDEX(Areas!$C$2:$C$6,MATCH($A756,Areas!$B$2:$B$6,0)),"")</f>
        <v>Rest of Building</v>
      </c>
      <c r="J756" s="0" t="n">
        <f aca="false">IF(IF($B756="Trash",INDEX('Materials Master'!$F$2:$F$27,MATCH($C756,'Materials Master'!$A$2:$A$27,0)),IF($B756="GMPC Recycling",INDEX('Materials Master'!$G$2:$G$27,MATCH($C756,'Materials Master'!$A$2:$A$27,0)),IF($B756="Organics Recycling",INDEX('Materials Master'!$H$2:$H$27,MATCH($C756,'Materials Master'!$A$2:$A$27,0)),IF($B756="Cardboard Recycling",INDEX('Materials Master'!$I$2:$I$27,MATCH($C756,'Materials Master'!$A$2:$A$27,0)),IF($B756="Paper Recycling",INDEX('Materials Master'!$J$2:$J$27,MATCH($C756,'Materials Master'!$A$2:$A$27,0)),IF($B756="Terracycle",INDEX('Materials Master'!$K$2:$K$27,MATCH($C756,'Materials Master'!$A$2:$A$27,0)),"No"))))))="Yes",1,0)</f>
        <v>0</v>
      </c>
    </row>
    <row r="757" customFormat="false" ht="15" hidden="false" customHeight="false" outlineLevel="0" collapsed="false">
      <c r="A757" s="0" t="s">
        <v>101</v>
      </c>
      <c r="B757" s="0" t="s">
        <v>108</v>
      </c>
      <c r="C757" s="0" t="s">
        <v>33</v>
      </c>
      <c r="D757" s="0" t="str">
        <f aca="false">IFERROR(INDEX('Materials Master'!$B$2:$B$27,MATCH($C757,'Materials Master'!$A$2:$A$27,0)),"")</f>
        <v>Soiled Cardboard</v>
      </c>
      <c r="E757" s="0" t="str">
        <f aca="false">IFERROR(INDEX('Materials Master'!$C$2:$C$27,MATCH($C757,'Materials Master'!$A$2:$A$27,0)),"")</f>
        <v>Fibers</v>
      </c>
      <c r="F757" s="0" t="n">
        <f aca="false">IF(SUMIFS(Fact_SortedWeights!$E$2:$E$89,Fact_SortedWeights!$C$2:$C$89,$A757,Fact_SortedWeights!$B$2:$B$89,$B757)=0,0,SUMIFS(Fact_SortedWeights!$E$2:$E$89,Fact_SortedWeights!$C$2:$C$89,$A757,Fact_SortedWeights!$B$2:$B$89,$B757,Fact_SortedWeights!$D$2:$D$89,$C757)/SUMIFS(Fact_SortedWeights!$E$2:$E$89,Fact_SortedWeights!$C$2:$C$89,$A757,Fact_SortedWeights!$B$2:$B$89,$B757)*(IF($B757="Cardboard Recycling",SUMIFS(Fact_SortedWeights!$E$2:$E$89,Fact_SortedWeights!$C$2:$C$89,$A757,Fact_SortedWeights!$B$2:$B$89,$B757),SUMIFS(Fact_PreSortWeights!$E$2:$E$186,Fact_PreSortWeights!$C$2:$C$186,$A757,Fact_PreSortWeights!$B$2:$B$186,$B757))))</f>
        <v>0</v>
      </c>
      <c r="G757" s="0" t="n">
        <f aca="false">IF(AND(IF($B757="Trash",INDEX('Materials Master'!$F$2:$F$27,MATCH($C757,'Materials Master'!$A$2:$A$27,0)),IF($B757="GMPC Recycling",INDEX('Materials Master'!$G$2:$G$27,MATCH($C757,'Materials Master'!$A$2:$A$27,0)),IF($B757="Organics Recycling",INDEX('Materials Master'!$H$2:$H$27,MATCH($C757,'Materials Master'!$A$2:$A$27,0)),IF($B757="Cardboard Recycling",INDEX('Materials Master'!$I$2:$I$27,MATCH($C757,'Materials Master'!$A$2:$A$27,0)),IF($B757="Paper Recycling",INDEX('Materials Master'!$J$2:$J$27,MATCH($C757,'Materials Master'!$A$2:$A$27,0)),IF($B757="Terracycle",INDEX('Materials Master'!$K$2:$K$27,MATCH($C757,'Materials Master'!$A$2:$A$27,0)),"No"))))))="Yes",INDEX('Materials Master'!$E$2:$E$27,MATCH($C757,'Materials Master'!$A$2:$A$27,0))="Yes",$B757&lt;&gt;"Trash"),1,0)</f>
        <v>0</v>
      </c>
      <c r="H757" s="0" t="str">
        <f aca="false">INDEX('Materials Master'!$E$2:$E$27,MATCH($C757,'Materials Master'!$A$2:$A$27,0))</f>
        <v>No</v>
      </c>
      <c r="I757" s="0" t="str">
        <f aca="false">IFERROR(INDEX(Areas!$C$2:$C$6,MATCH($A757,Areas!$B$2:$B$6,0)),"")</f>
        <v>Rest of Building</v>
      </c>
      <c r="J757" s="0" t="n">
        <f aca="false">IF(IF($B757="Trash",INDEX('Materials Master'!$F$2:$F$27,MATCH($C757,'Materials Master'!$A$2:$A$27,0)),IF($B757="GMPC Recycling",INDEX('Materials Master'!$G$2:$G$27,MATCH($C757,'Materials Master'!$A$2:$A$27,0)),IF($B757="Organics Recycling",INDEX('Materials Master'!$H$2:$H$27,MATCH($C757,'Materials Master'!$A$2:$A$27,0)),IF($B757="Cardboard Recycling",INDEX('Materials Master'!$I$2:$I$27,MATCH($C757,'Materials Master'!$A$2:$A$27,0)),IF($B757="Paper Recycling",INDEX('Materials Master'!$J$2:$J$27,MATCH($C757,'Materials Master'!$A$2:$A$27,0)),IF($B757="Terracycle",INDEX('Materials Master'!$K$2:$K$27,MATCH($C757,'Materials Master'!$A$2:$A$27,0)),"No"))))))="Yes",1,0)</f>
        <v>0</v>
      </c>
    </row>
    <row r="758" customFormat="false" ht="15" hidden="false" customHeight="false" outlineLevel="0" collapsed="false">
      <c r="A758" s="0" t="s">
        <v>101</v>
      </c>
      <c r="B758" s="0" t="s">
        <v>108</v>
      </c>
      <c r="C758" s="0" t="s">
        <v>35</v>
      </c>
      <c r="D758" s="0" t="str">
        <f aca="false">IFERROR(INDEX('Materials Master'!$B$2:$B$27,MATCH($C758,'Materials Master'!$A$2:$A$27,0)),"")</f>
        <v>Waxed Cardboard</v>
      </c>
      <c r="E758" s="0" t="str">
        <f aca="false">IFERROR(INDEX('Materials Master'!$C$2:$C$27,MATCH($C758,'Materials Master'!$A$2:$A$27,0)),"")</f>
        <v>Fibers</v>
      </c>
      <c r="F758" s="0" t="n">
        <f aca="false">IF(SUMIFS(Fact_SortedWeights!$E$2:$E$89,Fact_SortedWeights!$C$2:$C$89,$A758,Fact_SortedWeights!$B$2:$B$89,$B758)=0,0,SUMIFS(Fact_SortedWeights!$E$2:$E$89,Fact_SortedWeights!$C$2:$C$89,$A758,Fact_SortedWeights!$B$2:$B$89,$B758,Fact_SortedWeights!$D$2:$D$89,$C758)/SUMIFS(Fact_SortedWeights!$E$2:$E$89,Fact_SortedWeights!$C$2:$C$89,$A758,Fact_SortedWeights!$B$2:$B$89,$B758)*(IF($B758="Cardboard Recycling",SUMIFS(Fact_SortedWeights!$E$2:$E$89,Fact_SortedWeights!$C$2:$C$89,$A758,Fact_SortedWeights!$B$2:$B$89,$B758),SUMIFS(Fact_PreSortWeights!$E$2:$E$186,Fact_PreSortWeights!$C$2:$C$186,$A758,Fact_PreSortWeights!$B$2:$B$186,$B758))))</f>
        <v>0</v>
      </c>
      <c r="G758" s="0" t="n">
        <f aca="false">IF(AND(IF($B758="Trash",INDEX('Materials Master'!$F$2:$F$27,MATCH($C758,'Materials Master'!$A$2:$A$27,0)),IF($B758="GMPC Recycling",INDEX('Materials Master'!$G$2:$G$27,MATCH($C758,'Materials Master'!$A$2:$A$27,0)),IF($B758="Organics Recycling",INDEX('Materials Master'!$H$2:$H$27,MATCH($C758,'Materials Master'!$A$2:$A$27,0)),IF($B758="Cardboard Recycling",INDEX('Materials Master'!$I$2:$I$27,MATCH($C758,'Materials Master'!$A$2:$A$27,0)),IF($B758="Paper Recycling",INDEX('Materials Master'!$J$2:$J$27,MATCH($C758,'Materials Master'!$A$2:$A$27,0)),IF($B758="Terracycle",INDEX('Materials Master'!$K$2:$K$27,MATCH($C758,'Materials Master'!$A$2:$A$27,0)),"No"))))))="Yes",INDEX('Materials Master'!$E$2:$E$27,MATCH($C758,'Materials Master'!$A$2:$A$27,0))="Yes",$B758&lt;&gt;"Trash"),1,0)</f>
        <v>0</v>
      </c>
      <c r="H758" s="0" t="str">
        <f aca="false">INDEX('Materials Master'!$E$2:$E$27,MATCH($C758,'Materials Master'!$A$2:$A$27,0))</f>
        <v>No</v>
      </c>
      <c r="I758" s="0" t="str">
        <f aca="false">IFERROR(INDEX(Areas!$C$2:$C$6,MATCH($A758,Areas!$B$2:$B$6,0)),"")</f>
        <v>Rest of Building</v>
      </c>
      <c r="J758" s="0" t="n">
        <f aca="false">IF(IF($B758="Trash",INDEX('Materials Master'!$F$2:$F$27,MATCH($C758,'Materials Master'!$A$2:$A$27,0)),IF($B758="GMPC Recycling",INDEX('Materials Master'!$G$2:$G$27,MATCH($C758,'Materials Master'!$A$2:$A$27,0)),IF($B758="Organics Recycling",INDEX('Materials Master'!$H$2:$H$27,MATCH($C758,'Materials Master'!$A$2:$A$27,0)),IF($B758="Cardboard Recycling",INDEX('Materials Master'!$I$2:$I$27,MATCH($C758,'Materials Master'!$A$2:$A$27,0)),IF($B758="Paper Recycling",INDEX('Materials Master'!$J$2:$J$27,MATCH($C758,'Materials Master'!$A$2:$A$27,0)),IF($B758="Terracycle",INDEX('Materials Master'!$K$2:$K$27,MATCH($C758,'Materials Master'!$A$2:$A$27,0)),"No"))))))="Yes",1,0)</f>
        <v>0</v>
      </c>
    </row>
    <row r="759" customFormat="false" ht="15" hidden="false" customHeight="false" outlineLevel="0" collapsed="false">
      <c r="A759" s="0" t="s">
        <v>101</v>
      </c>
      <c r="B759" s="0" t="s">
        <v>108</v>
      </c>
      <c r="C759" s="0" t="s">
        <v>37</v>
      </c>
      <c r="D759" s="0" t="str">
        <f aca="false">IFERROR(INDEX('Materials Master'!$B$2:$B$27,MATCH($C759,'Materials Master'!$A$2:$A$27,0)),"")</f>
        <v>Mixed Paper</v>
      </c>
      <c r="E759" s="0" t="str">
        <f aca="false">IFERROR(INDEX('Materials Master'!$C$2:$C$27,MATCH($C759,'Materials Master'!$A$2:$A$27,0)),"")</f>
        <v>Fibers</v>
      </c>
      <c r="F759" s="0" t="n">
        <f aca="false">IF(SUMIFS(Fact_SortedWeights!$E$2:$E$89,Fact_SortedWeights!$C$2:$C$89,$A759,Fact_SortedWeights!$B$2:$B$89,$B759)=0,0,SUMIFS(Fact_SortedWeights!$E$2:$E$89,Fact_SortedWeights!$C$2:$C$89,$A759,Fact_SortedWeights!$B$2:$B$89,$B759,Fact_SortedWeights!$D$2:$D$89,$C759)/SUMIFS(Fact_SortedWeights!$E$2:$E$89,Fact_SortedWeights!$C$2:$C$89,$A759,Fact_SortedWeights!$B$2:$B$89,$B759)*(IF($B759="Cardboard Recycling",SUMIFS(Fact_SortedWeights!$E$2:$E$89,Fact_SortedWeights!$C$2:$C$89,$A759,Fact_SortedWeights!$B$2:$B$89,$B759),SUMIFS(Fact_PreSortWeights!$E$2:$E$186,Fact_PreSortWeights!$C$2:$C$186,$A759,Fact_PreSortWeights!$B$2:$B$186,$B759))))</f>
        <v>0</v>
      </c>
      <c r="G759" s="0" t="n">
        <f aca="false">IF(AND(IF($B759="Trash",INDEX('Materials Master'!$F$2:$F$27,MATCH($C759,'Materials Master'!$A$2:$A$27,0)),IF($B759="GMPC Recycling",INDEX('Materials Master'!$G$2:$G$27,MATCH($C759,'Materials Master'!$A$2:$A$27,0)),IF($B759="Organics Recycling",INDEX('Materials Master'!$H$2:$H$27,MATCH($C759,'Materials Master'!$A$2:$A$27,0)),IF($B759="Cardboard Recycling",INDEX('Materials Master'!$I$2:$I$27,MATCH($C759,'Materials Master'!$A$2:$A$27,0)),IF($B759="Paper Recycling",INDEX('Materials Master'!$J$2:$J$27,MATCH($C759,'Materials Master'!$A$2:$A$27,0)),IF($B759="Terracycle",INDEX('Materials Master'!$K$2:$K$27,MATCH($C759,'Materials Master'!$A$2:$A$27,0)),"No"))))))="Yes",INDEX('Materials Master'!$E$2:$E$27,MATCH($C759,'Materials Master'!$A$2:$A$27,0))="Yes",$B759&lt;&gt;"Trash"),1,0)</f>
        <v>0</v>
      </c>
      <c r="H759" s="0" t="str">
        <f aca="false">INDEX('Materials Master'!$E$2:$E$27,MATCH($C759,'Materials Master'!$A$2:$A$27,0))</f>
        <v>Yes</v>
      </c>
      <c r="I759" s="0" t="str">
        <f aca="false">IFERROR(INDEX(Areas!$C$2:$C$6,MATCH($A759,Areas!$B$2:$B$6,0)),"")</f>
        <v>Rest of Building</v>
      </c>
      <c r="J759" s="0" t="n">
        <f aca="false">IF(IF($B759="Trash",INDEX('Materials Master'!$F$2:$F$27,MATCH($C759,'Materials Master'!$A$2:$A$27,0)),IF($B759="GMPC Recycling",INDEX('Materials Master'!$G$2:$G$27,MATCH($C759,'Materials Master'!$A$2:$A$27,0)),IF($B759="Organics Recycling",INDEX('Materials Master'!$H$2:$H$27,MATCH($C759,'Materials Master'!$A$2:$A$27,0)),IF($B759="Cardboard Recycling",INDEX('Materials Master'!$I$2:$I$27,MATCH($C759,'Materials Master'!$A$2:$A$27,0)),IF($B759="Paper Recycling",INDEX('Materials Master'!$J$2:$J$27,MATCH($C759,'Materials Master'!$A$2:$A$27,0)),IF($B759="Terracycle",INDEX('Materials Master'!$K$2:$K$27,MATCH($C759,'Materials Master'!$A$2:$A$27,0)),"No"))))))="Yes",1,0)</f>
        <v>0</v>
      </c>
    </row>
    <row r="760" customFormat="false" ht="15" hidden="false" customHeight="false" outlineLevel="0" collapsed="false">
      <c r="A760" s="0" t="s">
        <v>101</v>
      </c>
      <c r="B760" s="0" t="s">
        <v>108</v>
      </c>
      <c r="C760" s="0" t="s">
        <v>39</v>
      </c>
      <c r="D760" s="0" t="str">
        <f aca="false">IFERROR(INDEX('Materials Master'!$B$2:$B$27,MATCH($C760,'Materials Master'!$A$2:$A$27,0)),"")</f>
        <v>Soiled Paper</v>
      </c>
      <c r="E760" s="0" t="str">
        <f aca="false">IFERROR(INDEX('Materials Master'!$C$2:$C$27,MATCH($C760,'Materials Master'!$A$2:$A$27,0)),"")</f>
        <v>Fibers</v>
      </c>
      <c r="F760" s="0" t="n">
        <f aca="false">IF(SUMIFS(Fact_SortedWeights!$E$2:$E$89,Fact_SortedWeights!$C$2:$C$89,$A760,Fact_SortedWeights!$B$2:$B$89,$B760)=0,0,SUMIFS(Fact_SortedWeights!$E$2:$E$89,Fact_SortedWeights!$C$2:$C$89,$A760,Fact_SortedWeights!$B$2:$B$89,$B760,Fact_SortedWeights!$D$2:$D$89,$C760)/SUMIFS(Fact_SortedWeights!$E$2:$E$89,Fact_SortedWeights!$C$2:$C$89,$A760,Fact_SortedWeights!$B$2:$B$89,$B760)*(IF($B760="Cardboard Recycling",SUMIFS(Fact_SortedWeights!$E$2:$E$89,Fact_SortedWeights!$C$2:$C$89,$A760,Fact_SortedWeights!$B$2:$B$89,$B760),SUMIFS(Fact_PreSortWeights!$E$2:$E$186,Fact_PreSortWeights!$C$2:$C$186,$A760,Fact_PreSortWeights!$B$2:$B$186,$B760))))</f>
        <v>0</v>
      </c>
      <c r="G760" s="0" t="n">
        <f aca="false">IF(AND(IF($B760="Trash",INDEX('Materials Master'!$F$2:$F$27,MATCH($C760,'Materials Master'!$A$2:$A$27,0)),IF($B760="GMPC Recycling",INDEX('Materials Master'!$G$2:$G$27,MATCH($C760,'Materials Master'!$A$2:$A$27,0)),IF($B760="Organics Recycling",INDEX('Materials Master'!$H$2:$H$27,MATCH($C760,'Materials Master'!$A$2:$A$27,0)),IF($B760="Cardboard Recycling",INDEX('Materials Master'!$I$2:$I$27,MATCH($C760,'Materials Master'!$A$2:$A$27,0)),IF($B760="Paper Recycling",INDEX('Materials Master'!$J$2:$J$27,MATCH($C760,'Materials Master'!$A$2:$A$27,0)),IF($B760="Terracycle",INDEX('Materials Master'!$K$2:$K$27,MATCH($C760,'Materials Master'!$A$2:$A$27,0)),"No"))))))="Yes",INDEX('Materials Master'!$E$2:$E$27,MATCH($C760,'Materials Master'!$A$2:$A$27,0))="Yes",$B760&lt;&gt;"Trash"),1,0)</f>
        <v>0</v>
      </c>
      <c r="H760" s="0" t="str">
        <f aca="false">INDEX('Materials Master'!$E$2:$E$27,MATCH($C760,'Materials Master'!$A$2:$A$27,0))</f>
        <v>No</v>
      </c>
      <c r="I760" s="0" t="str">
        <f aca="false">IFERROR(INDEX(Areas!$C$2:$C$6,MATCH($A760,Areas!$B$2:$B$6,0)),"")</f>
        <v>Rest of Building</v>
      </c>
      <c r="J760" s="0" t="n">
        <f aca="false">IF(IF($B760="Trash",INDEX('Materials Master'!$F$2:$F$27,MATCH($C760,'Materials Master'!$A$2:$A$27,0)),IF($B760="GMPC Recycling",INDEX('Materials Master'!$G$2:$G$27,MATCH($C760,'Materials Master'!$A$2:$A$27,0)),IF($B760="Organics Recycling",INDEX('Materials Master'!$H$2:$H$27,MATCH($C760,'Materials Master'!$A$2:$A$27,0)),IF($B760="Cardboard Recycling",INDEX('Materials Master'!$I$2:$I$27,MATCH($C760,'Materials Master'!$A$2:$A$27,0)),IF($B760="Paper Recycling",INDEX('Materials Master'!$J$2:$J$27,MATCH($C760,'Materials Master'!$A$2:$A$27,0)),IF($B760="Terracycle",INDEX('Materials Master'!$K$2:$K$27,MATCH($C760,'Materials Master'!$A$2:$A$27,0)),"No"))))))="Yes",1,0)</f>
        <v>0</v>
      </c>
    </row>
    <row r="761" customFormat="false" ht="15" hidden="false" customHeight="false" outlineLevel="0" collapsed="false">
      <c r="A761" s="0" t="s">
        <v>101</v>
      </c>
      <c r="B761" s="0" t="s">
        <v>108</v>
      </c>
      <c r="C761" s="0" t="s">
        <v>41</v>
      </c>
      <c r="D761" s="0" t="str">
        <f aca="false">IFERROR(INDEX('Materials Master'!$B$2:$B$27,MATCH($C761,'Materials Master'!$A$2:$A$27,0)),"")</f>
        <v>Beverage Cartons</v>
      </c>
      <c r="E761" s="0" t="str">
        <f aca="false">IFERROR(INDEX('Materials Master'!$C$2:$C$27,MATCH($C761,'Materials Master'!$A$2:$A$27,0)),"")</f>
        <v>Fibers</v>
      </c>
      <c r="F761" s="0" t="n">
        <f aca="false">IF(SUMIFS(Fact_SortedWeights!$E$2:$E$89,Fact_SortedWeights!$C$2:$C$89,$A761,Fact_SortedWeights!$B$2:$B$89,$B761)=0,0,SUMIFS(Fact_SortedWeights!$E$2:$E$89,Fact_SortedWeights!$C$2:$C$89,$A761,Fact_SortedWeights!$B$2:$B$89,$B761,Fact_SortedWeights!$D$2:$D$89,$C761)/SUMIFS(Fact_SortedWeights!$E$2:$E$89,Fact_SortedWeights!$C$2:$C$89,$A761,Fact_SortedWeights!$B$2:$B$89,$B761)*(IF($B761="Cardboard Recycling",SUMIFS(Fact_SortedWeights!$E$2:$E$89,Fact_SortedWeights!$C$2:$C$89,$A761,Fact_SortedWeights!$B$2:$B$89,$B761),SUMIFS(Fact_PreSortWeights!$E$2:$E$186,Fact_PreSortWeights!$C$2:$C$186,$A761,Fact_PreSortWeights!$B$2:$B$186,$B761))))</f>
        <v>0</v>
      </c>
      <c r="G761" s="0" t="n">
        <f aca="false">IF(AND(IF($B761="Trash",INDEX('Materials Master'!$F$2:$F$27,MATCH($C761,'Materials Master'!$A$2:$A$27,0)),IF($B761="GMPC Recycling",INDEX('Materials Master'!$G$2:$G$27,MATCH($C761,'Materials Master'!$A$2:$A$27,0)),IF($B761="Organics Recycling",INDEX('Materials Master'!$H$2:$H$27,MATCH($C761,'Materials Master'!$A$2:$A$27,0)),IF($B761="Cardboard Recycling",INDEX('Materials Master'!$I$2:$I$27,MATCH($C761,'Materials Master'!$A$2:$A$27,0)),IF($B761="Paper Recycling",INDEX('Materials Master'!$J$2:$J$27,MATCH($C761,'Materials Master'!$A$2:$A$27,0)),IF($B761="Terracycle",INDEX('Materials Master'!$K$2:$K$27,MATCH($C761,'Materials Master'!$A$2:$A$27,0)),"No"))))))="Yes",INDEX('Materials Master'!$E$2:$E$27,MATCH($C761,'Materials Master'!$A$2:$A$27,0))="Yes",$B761&lt;&gt;"Trash"),1,0)</f>
        <v>0</v>
      </c>
      <c r="H761" s="0" t="str">
        <f aca="false">INDEX('Materials Master'!$E$2:$E$27,MATCH($C761,'Materials Master'!$A$2:$A$27,0))</f>
        <v>Yes</v>
      </c>
      <c r="I761" s="0" t="str">
        <f aca="false">IFERROR(INDEX(Areas!$C$2:$C$6,MATCH($A761,Areas!$B$2:$B$6,0)),"")</f>
        <v>Rest of Building</v>
      </c>
      <c r="J761" s="0" t="n">
        <f aca="false">IF(IF($B761="Trash",INDEX('Materials Master'!$F$2:$F$27,MATCH($C761,'Materials Master'!$A$2:$A$27,0)),IF($B761="GMPC Recycling",INDEX('Materials Master'!$G$2:$G$27,MATCH($C761,'Materials Master'!$A$2:$A$27,0)),IF($B761="Organics Recycling",INDEX('Materials Master'!$H$2:$H$27,MATCH($C761,'Materials Master'!$A$2:$A$27,0)),IF($B761="Cardboard Recycling",INDEX('Materials Master'!$I$2:$I$27,MATCH($C761,'Materials Master'!$A$2:$A$27,0)),IF($B761="Paper Recycling",INDEX('Materials Master'!$J$2:$J$27,MATCH($C761,'Materials Master'!$A$2:$A$27,0)),IF($B761="Terracycle",INDEX('Materials Master'!$K$2:$K$27,MATCH($C761,'Materials Master'!$A$2:$A$27,0)),"No"))))))="Yes",1,0)</f>
        <v>0</v>
      </c>
    </row>
    <row r="762" customFormat="false" ht="15" hidden="false" customHeight="false" outlineLevel="0" collapsed="false">
      <c r="A762" s="0" t="s">
        <v>101</v>
      </c>
      <c r="B762" s="0" t="s">
        <v>108</v>
      </c>
      <c r="C762" s="0" t="s">
        <v>43</v>
      </c>
      <c r="D762" s="0" t="str">
        <f aca="false">IFERROR(INDEX('Materials Master'!$B$2:$B$27,MATCH($C762,'Materials Master'!$A$2:$A$27,0)),"")</f>
        <v>Soiled Beverage Cartons</v>
      </c>
      <c r="E762" s="0" t="str">
        <f aca="false">IFERROR(INDEX('Materials Master'!$C$2:$C$27,MATCH($C762,'Materials Master'!$A$2:$A$27,0)),"")</f>
        <v>Fibers</v>
      </c>
      <c r="F762" s="0" t="n">
        <f aca="false">IF(SUMIFS(Fact_SortedWeights!$E$2:$E$89,Fact_SortedWeights!$C$2:$C$89,$A762,Fact_SortedWeights!$B$2:$B$89,$B762)=0,0,SUMIFS(Fact_SortedWeights!$E$2:$E$89,Fact_SortedWeights!$C$2:$C$89,$A762,Fact_SortedWeights!$B$2:$B$89,$B762,Fact_SortedWeights!$D$2:$D$89,$C762)/SUMIFS(Fact_SortedWeights!$E$2:$E$89,Fact_SortedWeights!$C$2:$C$89,$A762,Fact_SortedWeights!$B$2:$B$89,$B762)*(IF($B762="Cardboard Recycling",SUMIFS(Fact_SortedWeights!$E$2:$E$89,Fact_SortedWeights!$C$2:$C$89,$A762,Fact_SortedWeights!$B$2:$B$89,$B762),SUMIFS(Fact_PreSortWeights!$E$2:$E$186,Fact_PreSortWeights!$C$2:$C$186,$A762,Fact_PreSortWeights!$B$2:$B$186,$B762))))</f>
        <v>0</v>
      </c>
      <c r="G762" s="0" t="n">
        <f aca="false">IF(AND(IF($B762="Trash",INDEX('Materials Master'!$F$2:$F$27,MATCH($C762,'Materials Master'!$A$2:$A$27,0)),IF($B762="GMPC Recycling",INDEX('Materials Master'!$G$2:$G$27,MATCH($C762,'Materials Master'!$A$2:$A$27,0)),IF($B762="Organics Recycling",INDEX('Materials Master'!$H$2:$H$27,MATCH($C762,'Materials Master'!$A$2:$A$27,0)),IF($B762="Cardboard Recycling",INDEX('Materials Master'!$I$2:$I$27,MATCH($C762,'Materials Master'!$A$2:$A$27,0)),IF($B762="Paper Recycling",INDEX('Materials Master'!$J$2:$J$27,MATCH($C762,'Materials Master'!$A$2:$A$27,0)),IF($B762="Terracycle",INDEX('Materials Master'!$K$2:$K$27,MATCH($C762,'Materials Master'!$A$2:$A$27,0)),"No"))))))="Yes",INDEX('Materials Master'!$E$2:$E$27,MATCH($C762,'Materials Master'!$A$2:$A$27,0))="Yes",$B762&lt;&gt;"Trash"),1,0)</f>
        <v>0</v>
      </c>
      <c r="H762" s="0" t="str">
        <f aca="false">INDEX('Materials Master'!$E$2:$E$27,MATCH($C762,'Materials Master'!$A$2:$A$27,0))</f>
        <v>No</v>
      </c>
      <c r="I762" s="0" t="str">
        <f aca="false">IFERROR(INDEX(Areas!$C$2:$C$6,MATCH($A762,Areas!$B$2:$B$6,0)),"")</f>
        <v>Rest of Building</v>
      </c>
      <c r="J762" s="0" t="n">
        <f aca="false">IF(IF($B762="Trash",INDEX('Materials Master'!$F$2:$F$27,MATCH($C762,'Materials Master'!$A$2:$A$27,0)),IF($B762="GMPC Recycling",INDEX('Materials Master'!$G$2:$G$27,MATCH($C762,'Materials Master'!$A$2:$A$27,0)),IF($B762="Organics Recycling",INDEX('Materials Master'!$H$2:$H$27,MATCH($C762,'Materials Master'!$A$2:$A$27,0)),IF($B762="Cardboard Recycling",INDEX('Materials Master'!$I$2:$I$27,MATCH($C762,'Materials Master'!$A$2:$A$27,0)),IF($B762="Paper Recycling",INDEX('Materials Master'!$J$2:$J$27,MATCH($C762,'Materials Master'!$A$2:$A$27,0)),IF($B762="Terracycle",INDEX('Materials Master'!$K$2:$K$27,MATCH($C762,'Materials Master'!$A$2:$A$27,0)),"No"))))))="Yes",1,0)</f>
        <v>0</v>
      </c>
    </row>
    <row r="763" customFormat="false" ht="15" hidden="false" customHeight="false" outlineLevel="0" collapsed="false">
      <c r="A763" s="0" t="s">
        <v>101</v>
      </c>
      <c r="B763" s="0" t="s">
        <v>108</v>
      </c>
      <c r="C763" s="0" t="s">
        <v>45</v>
      </c>
      <c r="D763" s="0" t="str">
        <f aca="false">IFERROR(INDEX('Materials Master'!$B$2:$B$27,MATCH($C763,'Materials Master'!$A$2:$A$27,0)),"")</f>
        <v>Paper Cups / Other Coated Paper Containers</v>
      </c>
      <c r="E763" s="0" t="str">
        <f aca="false">IFERROR(INDEX('Materials Master'!$C$2:$C$27,MATCH($C763,'Materials Master'!$A$2:$A$27,0)),"")</f>
        <v>Fibers</v>
      </c>
      <c r="F763" s="0" t="n">
        <f aca="false">IF(SUMIFS(Fact_SortedWeights!$E$2:$E$89,Fact_SortedWeights!$C$2:$C$89,$A763,Fact_SortedWeights!$B$2:$B$89,$B763)=0,0,SUMIFS(Fact_SortedWeights!$E$2:$E$89,Fact_SortedWeights!$C$2:$C$89,$A763,Fact_SortedWeights!$B$2:$B$89,$B763,Fact_SortedWeights!$D$2:$D$89,$C763)/SUMIFS(Fact_SortedWeights!$E$2:$E$89,Fact_SortedWeights!$C$2:$C$89,$A763,Fact_SortedWeights!$B$2:$B$89,$B763)*(IF($B763="Cardboard Recycling",SUMIFS(Fact_SortedWeights!$E$2:$E$89,Fact_SortedWeights!$C$2:$C$89,$A763,Fact_SortedWeights!$B$2:$B$89,$B763),SUMIFS(Fact_PreSortWeights!$E$2:$E$186,Fact_PreSortWeights!$C$2:$C$186,$A763,Fact_PreSortWeights!$B$2:$B$186,$B763))))</f>
        <v>0</v>
      </c>
      <c r="G763" s="0" t="n">
        <f aca="false">IF(AND(IF($B763="Trash",INDEX('Materials Master'!$F$2:$F$27,MATCH($C763,'Materials Master'!$A$2:$A$27,0)),IF($B763="GMPC Recycling",INDEX('Materials Master'!$G$2:$G$27,MATCH($C763,'Materials Master'!$A$2:$A$27,0)),IF($B763="Organics Recycling",INDEX('Materials Master'!$H$2:$H$27,MATCH($C763,'Materials Master'!$A$2:$A$27,0)),IF($B763="Cardboard Recycling",INDEX('Materials Master'!$I$2:$I$27,MATCH($C763,'Materials Master'!$A$2:$A$27,0)),IF($B763="Paper Recycling",INDEX('Materials Master'!$J$2:$J$27,MATCH($C763,'Materials Master'!$A$2:$A$27,0)),IF($B763="Terracycle",INDEX('Materials Master'!$K$2:$K$27,MATCH($C763,'Materials Master'!$A$2:$A$27,0)),"No"))))))="Yes",INDEX('Materials Master'!$E$2:$E$27,MATCH($C763,'Materials Master'!$A$2:$A$27,0))="Yes",$B763&lt;&gt;"Trash"),1,0)</f>
        <v>0</v>
      </c>
      <c r="H763" s="0" t="str">
        <f aca="false">INDEX('Materials Master'!$E$2:$E$27,MATCH($C763,'Materials Master'!$A$2:$A$27,0))</f>
        <v>No</v>
      </c>
      <c r="I763" s="0" t="str">
        <f aca="false">IFERROR(INDEX(Areas!$C$2:$C$6,MATCH($A763,Areas!$B$2:$B$6,0)),"")</f>
        <v>Rest of Building</v>
      </c>
      <c r="J763" s="0" t="n">
        <f aca="false">IF(IF($B763="Trash",INDEX('Materials Master'!$F$2:$F$27,MATCH($C763,'Materials Master'!$A$2:$A$27,0)),IF($B763="GMPC Recycling",INDEX('Materials Master'!$G$2:$G$27,MATCH($C763,'Materials Master'!$A$2:$A$27,0)),IF($B763="Organics Recycling",INDEX('Materials Master'!$H$2:$H$27,MATCH($C763,'Materials Master'!$A$2:$A$27,0)),IF($B763="Cardboard Recycling",INDEX('Materials Master'!$I$2:$I$27,MATCH($C763,'Materials Master'!$A$2:$A$27,0)),IF($B763="Paper Recycling",INDEX('Materials Master'!$J$2:$J$27,MATCH($C763,'Materials Master'!$A$2:$A$27,0)),IF($B763="Terracycle",INDEX('Materials Master'!$K$2:$K$27,MATCH($C763,'Materials Master'!$A$2:$A$27,0)),"No"))))))="Yes",1,0)</f>
        <v>0</v>
      </c>
    </row>
    <row r="764" customFormat="false" ht="15" hidden="false" customHeight="false" outlineLevel="0" collapsed="false">
      <c r="A764" s="0" t="s">
        <v>101</v>
      </c>
      <c r="B764" s="0" t="s">
        <v>108</v>
      </c>
      <c r="C764" s="0" t="s">
        <v>47</v>
      </c>
      <c r="D764" s="0" t="str">
        <f aca="false">IFERROR(INDEX('Materials Master'!$B$2:$B$27,MATCH($C764,'Materials Master'!$A$2:$A$27,0)),"")</f>
        <v>Glass Bottles &amp; Jars</v>
      </c>
      <c r="E764" s="0" t="str">
        <f aca="false">IFERROR(INDEX('Materials Master'!$C$2:$C$27,MATCH($C764,'Materials Master'!$A$2:$A$27,0)),"")</f>
        <v>Glass</v>
      </c>
      <c r="F764" s="0" t="n">
        <f aca="false">IF(SUMIFS(Fact_SortedWeights!$E$2:$E$89,Fact_SortedWeights!$C$2:$C$89,$A764,Fact_SortedWeights!$B$2:$B$89,$B764)=0,0,SUMIFS(Fact_SortedWeights!$E$2:$E$89,Fact_SortedWeights!$C$2:$C$89,$A764,Fact_SortedWeights!$B$2:$B$89,$B764,Fact_SortedWeights!$D$2:$D$89,$C764)/SUMIFS(Fact_SortedWeights!$E$2:$E$89,Fact_SortedWeights!$C$2:$C$89,$A764,Fact_SortedWeights!$B$2:$B$89,$B764)*(IF($B764="Cardboard Recycling",SUMIFS(Fact_SortedWeights!$E$2:$E$89,Fact_SortedWeights!$C$2:$C$89,$A764,Fact_SortedWeights!$B$2:$B$89,$B764),SUMIFS(Fact_PreSortWeights!$E$2:$E$186,Fact_PreSortWeights!$C$2:$C$186,$A764,Fact_PreSortWeights!$B$2:$B$186,$B764))))</f>
        <v>0</v>
      </c>
      <c r="G764" s="0" t="n">
        <f aca="false">IF(AND(IF($B764="Trash",INDEX('Materials Master'!$F$2:$F$27,MATCH($C764,'Materials Master'!$A$2:$A$27,0)),IF($B764="GMPC Recycling",INDEX('Materials Master'!$G$2:$G$27,MATCH($C764,'Materials Master'!$A$2:$A$27,0)),IF($B764="Organics Recycling",INDEX('Materials Master'!$H$2:$H$27,MATCH($C764,'Materials Master'!$A$2:$A$27,0)),IF($B764="Cardboard Recycling",INDEX('Materials Master'!$I$2:$I$27,MATCH($C764,'Materials Master'!$A$2:$A$27,0)),IF($B764="Paper Recycling",INDEX('Materials Master'!$J$2:$J$27,MATCH($C764,'Materials Master'!$A$2:$A$27,0)),IF($B764="Terracycle",INDEX('Materials Master'!$K$2:$K$27,MATCH($C764,'Materials Master'!$A$2:$A$27,0)),"No"))))))="Yes",INDEX('Materials Master'!$E$2:$E$27,MATCH($C764,'Materials Master'!$A$2:$A$27,0))="Yes",$B764&lt;&gt;"Trash"),1,0)</f>
        <v>0</v>
      </c>
      <c r="H764" s="0" t="str">
        <f aca="false">INDEX('Materials Master'!$E$2:$E$27,MATCH($C764,'Materials Master'!$A$2:$A$27,0))</f>
        <v>Yes</v>
      </c>
      <c r="I764" s="0" t="str">
        <f aca="false">IFERROR(INDEX(Areas!$C$2:$C$6,MATCH($A764,Areas!$B$2:$B$6,0)),"")</f>
        <v>Rest of Building</v>
      </c>
      <c r="J764" s="0" t="n">
        <f aca="false">IF(IF($B764="Trash",INDEX('Materials Master'!$F$2:$F$27,MATCH($C764,'Materials Master'!$A$2:$A$27,0)),IF($B764="GMPC Recycling",INDEX('Materials Master'!$G$2:$G$27,MATCH($C764,'Materials Master'!$A$2:$A$27,0)),IF($B764="Organics Recycling",INDEX('Materials Master'!$H$2:$H$27,MATCH($C764,'Materials Master'!$A$2:$A$27,0)),IF($B764="Cardboard Recycling",INDEX('Materials Master'!$I$2:$I$27,MATCH($C764,'Materials Master'!$A$2:$A$27,0)),IF($B764="Paper Recycling",INDEX('Materials Master'!$J$2:$J$27,MATCH($C764,'Materials Master'!$A$2:$A$27,0)),IF($B764="Terracycle",INDEX('Materials Master'!$K$2:$K$27,MATCH($C764,'Materials Master'!$A$2:$A$27,0)),"No"))))))="Yes",1,0)</f>
        <v>0</v>
      </c>
    </row>
    <row r="765" customFormat="false" ht="15" hidden="false" customHeight="false" outlineLevel="0" collapsed="false">
      <c r="A765" s="0" t="s">
        <v>101</v>
      </c>
      <c r="B765" s="0" t="s">
        <v>108</v>
      </c>
      <c r="C765" s="0" t="s">
        <v>50</v>
      </c>
      <c r="D765" s="0" t="str">
        <f aca="false">IFERROR(INDEX('Materials Master'!$B$2:$B$27,MATCH($C765,'Materials Master'!$A$2:$A$27,0)),"")</f>
        <v>Soiled Glass</v>
      </c>
      <c r="E765" s="0" t="str">
        <f aca="false">IFERROR(INDEX('Materials Master'!$C$2:$C$27,MATCH($C765,'Materials Master'!$A$2:$A$27,0)),"")</f>
        <v>Glass</v>
      </c>
      <c r="F765" s="0" t="n">
        <f aca="false">IF(SUMIFS(Fact_SortedWeights!$E$2:$E$89,Fact_SortedWeights!$C$2:$C$89,$A765,Fact_SortedWeights!$B$2:$B$89,$B765)=0,0,SUMIFS(Fact_SortedWeights!$E$2:$E$89,Fact_SortedWeights!$C$2:$C$89,$A765,Fact_SortedWeights!$B$2:$B$89,$B765,Fact_SortedWeights!$D$2:$D$89,$C765)/SUMIFS(Fact_SortedWeights!$E$2:$E$89,Fact_SortedWeights!$C$2:$C$89,$A765,Fact_SortedWeights!$B$2:$B$89,$B765)*(IF($B765="Cardboard Recycling",SUMIFS(Fact_SortedWeights!$E$2:$E$89,Fact_SortedWeights!$C$2:$C$89,$A765,Fact_SortedWeights!$B$2:$B$89,$B765),SUMIFS(Fact_PreSortWeights!$E$2:$E$186,Fact_PreSortWeights!$C$2:$C$186,$A765,Fact_PreSortWeights!$B$2:$B$186,$B765))))</f>
        <v>0</v>
      </c>
      <c r="G765" s="0" t="n">
        <f aca="false">IF(AND(IF($B765="Trash",INDEX('Materials Master'!$F$2:$F$27,MATCH($C765,'Materials Master'!$A$2:$A$27,0)),IF($B765="GMPC Recycling",INDEX('Materials Master'!$G$2:$G$27,MATCH($C765,'Materials Master'!$A$2:$A$27,0)),IF($B765="Organics Recycling",INDEX('Materials Master'!$H$2:$H$27,MATCH($C765,'Materials Master'!$A$2:$A$27,0)),IF($B765="Cardboard Recycling",INDEX('Materials Master'!$I$2:$I$27,MATCH($C765,'Materials Master'!$A$2:$A$27,0)),IF($B765="Paper Recycling",INDEX('Materials Master'!$J$2:$J$27,MATCH($C765,'Materials Master'!$A$2:$A$27,0)),IF($B765="Terracycle",INDEX('Materials Master'!$K$2:$K$27,MATCH($C765,'Materials Master'!$A$2:$A$27,0)),"No"))))))="Yes",INDEX('Materials Master'!$E$2:$E$27,MATCH($C765,'Materials Master'!$A$2:$A$27,0))="Yes",$B765&lt;&gt;"Trash"),1,0)</f>
        <v>0</v>
      </c>
      <c r="H765" s="0" t="str">
        <f aca="false">INDEX('Materials Master'!$E$2:$E$27,MATCH($C765,'Materials Master'!$A$2:$A$27,0))</f>
        <v>No</v>
      </c>
      <c r="I765" s="0" t="str">
        <f aca="false">IFERROR(INDEX(Areas!$C$2:$C$6,MATCH($A765,Areas!$B$2:$B$6,0)),"")</f>
        <v>Rest of Building</v>
      </c>
      <c r="J765" s="0" t="n">
        <f aca="false">IF(IF($B765="Trash",INDEX('Materials Master'!$F$2:$F$27,MATCH($C765,'Materials Master'!$A$2:$A$27,0)),IF($B765="GMPC Recycling",INDEX('Materials Master'!$G$2:$G$27,MATCH($C765,'Materials Master'!$A$2:$A$27,0)),IF($B765="Organics Recycling",INDEX('Materials Master'!$H$2:$H$27,MATCH($C765,'Materials Master'!$A$2:$A$27,0)),IF($B765="Cardboard Recycling",INDEX('Materials Master'!$I$2:$I$27,MATCH($C765,'Materials Master'!$A$2:$A$27,0)),IF($B765="Paper Recycling",INDEX('Materials Master'!$J$2:$J$27,MATCH($C765,'Materials Master'!$A$2:$A$27,0)),IF($B765="Terracycle",INDEX('Materials Master'!$K$2:$K$27,MATCH($C765,'Materials Master'!$A$2:$A$27,0)),"No"))))))="Yes",1,0)</f>
        <v>0</v>
      </c>
    </row>
    <row r="766" customFormat="false" ht="15" hidden="false" customHeight="false" outlineLevel="0" collapsed="false">
      <c r="A766" s="0" t="s">
        <v>101</v>
      </c>
      <c r="B766" s="0" t="s">
        <v>108</v>
      </c>
      <c r="C766" s="0" t="s">
        <v>52</v>
      </c>
      <c r="D766" s="0" t="str">
        <f aca="false">IFERROR(INDEX('Materials Master'!$B$2:$B$27,MATCH($C766,'Materials Master'!$A$2:$A$27,0)),"")</f>
        <v>Aluminum &amp; Bi-Metal Containers</v>
      </c>
      <c r="E766" s="0" t="str">
        <f aca="false">IFERROR(INDEX('Materials Master'!$C$2:$C$27,MATCH($C766,'Materials Master'!$A$2:$A$27,0)),"")</f>
        <v>Metals</v>
      </c>
      <c r="F766" s="0" t="n">
        <f aca="false">IF(SUMIFS(Fact_SortedWeights!$E$2:$E$89,Fact_SortedWeights!$C$2:$C$89,$A766,Fact_SortedWeights!$B$2:$B$89,$B766)=0,0,SUMIFS(Fact_SortedWeights!$E$2:$E$89,Fact_SortedWeights!$C$2:$C$89,$A766,Fact_SortedWeights!$B$2:$B$89,$B766,Fact_SortedWeights!$D$2:$D$89,$C766)/SUMIFS(Fact_SortedWeights!$E$2:$E$89,Fact_SortedWeights!$C$2:$C$89,$A766,Fact_SortedWeights!$B$2:$B$89,$B766)*(IF($B766="Cardboard Recycling",SUMIFS(Fact_SortedWeights!$E$2:$E$89,Fact_SortedWeights!$C$2:$C$89,$A766,Fact_SortedWeights!$B$2:$B$89,$B766),SUMIFS(Fact_PreSortWeights!$E$2:$E$186,Fact_PreSortWeights!$C$2:$C$186,$A766,Fact_PreSortWeights!$B$2:$B$186,$B766))))</f>
        <v>0</v>
      </c>
      <c r="G766" s="0" t="n">
        <f aca="false">IF(AND(IF($B766="Trash",INDEX('Materials Master'!$F$2:$F$27,MATCH($C766,'Materials Master'!$A$2:$A$27,0)),IF($B766="GMPC Recycling",INDEX('Materials Master'!$G$2:$G$27,MATCH($C766,'Materials Master'!$A$2:$A$27,0)),IF($B766="Organics Recycling",INDEX('Materials Master'!$H$2:$H$27,MATCH($C766,'Materials Master'!$A$2:$A$27,0)),IF($B766="Cardboard Recycling",INDEX('Materials Master'!$I$2:$I$27,MATCH($C766,'Materials Master'!$A$2:$A$27,0)),IF($B766="Paper Recycling",INDEX('Materials Master'!$J$2:$J$27,MATCH($C766,'Materials Master'!$A$2:$A$27,0)),IF($B766="Terracycle",INDEX('Materials Master'!$K$2:$K$27,MATCH($C766,'Materials Master'!$A$2:$A$27,0)),"No"))))))="Yes",INDEX('Materials Master'!$E$2:$E$27,MATCH($C766,'Materials Master'!$A$2:$A$27,0))="Yes",$B766&lt;&gt;"Trash"),1,0)</f>
        <v>0</v>
      </c>
      <c r="H766" s="0" t="str">
        <f aca="false">INDEX('Materials Master'!$E$2:$E$27,MATCH($C766,'Materials Master'!$A$2:$A$27,0))</f>
        <v>Yes</v>
      </c>
      <c r="I766" s="0" t="str">
        <f aca="false">IFERROR(INDEX(Areas!$C$2:$C$6,MATCH($A766,Areas!$B$2:$B$6,0)),"")</f>
        <v>Rest of Building</v>
      </c>
      <c r="J766" s="0" t="n">
        <f aca="false">IF(IF($B766="Trash",INDEX('Materials Master'!$F$2:$F$27,MATCH($C766,'Materials Master'!$A$2:$A$27,0)),IF($B766="GMPC Recycling",INDEX('Materials Master'!$G$2:$G$27,MATCH($C766,'Materials Master'!$A$2:$A$27,0)),IF($B766="Organics Recycling",INDEX('Materials Master'!$H$2:$H$27,MATCH($C766,'Materials Master'!$A$2:$A$27,0)),IF($B766="Cardboard Recycling",INDEX('Materials Master'!$I$2:$I$27,MATCH($C766,'Materials Master'!$A$2:$A$27,0)),IF($B766="Paper Recycling",INDEX('Materials Master'!$J$2:$J$27,MATCH($C766,'Materials Master'!$A$2:$A$27,0)),IF($B766="Terracycle",INDEX('Materials Master'!$K$2:$K$27,MATCH($C766,'Materials Master'!$A$2:$A$27,0)),"No"))))))="Yes",1,0)</f>
        <v>0</v>
      </c>
    </row>
    <row r="767" customFormat="false" ht="15" hidden="false" customHeight="false" outlineLevel="0" collapsed="false">
      <c r="A767" s="0" t="s">
        <v>101</v>
      </c>
      <c r="B767" s="0" t="s">
        <v>108</v>
      </c>
      <c r="C767" s="0" t="s">
        <v>55</v>
      </c>
      <c r="D767" s="0" t="str">
        <f aca="false">IFERROR(INDEX('Materials Master'!$B$2:$B$27,MATCH($C767,'Materials Master'!$A$2:$A$27,0)),"")</f>
        <v>Soiled Metals</v>
      </c>
      <c r="E767" s="0" t="str">
        <f aca="false">IFERROR(INDEX('Materials Master'!$C$2:$C$27,MATCH($C767,'Materials Master'!$A$2:$A$27,0)),"")</f>
        <v>Metals</v>
      </c>
      <c r="F767" s="0" t="n">
        <f aca="false">IF(SUMIFS(Fact_SortedWeights!$E$2:$E$89,Fact_SortedWeights!$C$2:$C$89,$A767,Fact_SortedWeights!$B$2:$B$89,$B767)=0,0,SUMIFS(Fact_SortedWeights!$E$2:$E$89,Fact_SortedWeights!$C$2:$C$89,$A767,Fact_SortedWeights!$B$2:$B$89,$B767,Fact_SortedWeights!$D$2:$D$89,$C767)/SUMIFS(Fact_SortedWeights!$E$2:$E$89,Fact_SortedWeights!$C$2:$C$89,$A767,Fact_SortedWeights!$B$2:$B$89,$B767)*(IF($B767="Cardboard Recycling",SUMIFS(Fact_SortedWeights!$E$2:$E$89,Fact_SortedWeights!$C$2:$C$89,$A767,Fact_SortedWeights!$B$2:$B$89,$B767),SUMIFS(Fact_PreSortWeights!$E$2:$E$186,Fact_PreSortWeights!$C$2:$C$186,$A767,Fact_PreSortWeights!$B$2:$B$186,$B767))))</f>
        <v>0</v>
      </c>
      <c r="G767" s="0" t="n">
        <f aca="false">IF(AND(IF($B767="Trash",INDEX('Materials Master'!$F$2:$F$27,MATCH($C767,'Materials Master'!$A$2:$A$27,0)),IF($B767="GMPC Recycling",INDEX('Materials Master'!$G$2:$G$27,MATCH($C767,'Materials Master'!$A$2:$A$27,0)),IF($B767="Organics Recycling",INDEX('Materials Master'!$H$2:$H$27,MATCH($C767,'Materials Master'!$A$2:$A$27,0)),IF($B767="Cardboard Recycling",INDEX('Materials Master'!$I$2:$I$27,MATCH($C767,'Materials Master'!$A$2:$A$27,0)),IF($B767="Paper Recycling",INDEX('Materials Master'!$J$2:$J$27,MATCH($C767,'Materials Master'!$A$2:$A$27,0)),IF($B767="Terracycle",INDEX('Materials Master'!$K$2:$K$27,MATCH($C767,'Materials Master'!$A$2:$A$27,0)),"No"))))))="Yes",INDEX('Materials Master'!$E$2:$E$27,MATCH($C767,'Materials Master'!$A$2:$A$27,0))="Yes",$B767&lt;&gt;"Trash"),1,0)</f>
        <v>0</v>
      </c>
      <c r="H767" s="0" t="str">
        <f aca="false">INDEX('Materials Master'!$E$2:$E$27,MATCH($C767,'Materials Master'!$A$2:$A$27,0))</f>
        <v>No</v>
      </c>
      <c r="I767" s="0" t="str">
        <f aca="false">IFERROR(INDEX(Areas!$C$2:$C$6,MATCH($A767,Areas!$B$2:$B$6,0)),"")</f>
        <v>Rest of Building</v>
      </c>
      <c r="J767" s="0" t="n">
        <f aca="false">IF(IF($B767="Trash",INDEX('Materials Master'!$F$2:$F$27,MATCH($C767,'Materials Master'!$A$2:$A$27,0)),IF($B767="GMPC Recycling",INDEX('Materials Master'!$G$2:$G$27,MATCH($C767,'Materials Master'!$A$2:$A$27,0)),IF($B767="Organics Recycling",INDEX('Materials Master'!$H$2:$H$27,MATCH($C767,'Materials Master'!$A$2:$A$27,0)),IF($B767="Cardboard Recycling",INDEX('Materials Master'!$I$2:$I$27,MATCH($C767,'Materials Master'!$A$2:$A$27,0)),IF($B767="Paper Recycling",INDEX('Materials Master'!$J$2:$J$27,MATCH($C767,'Materials Master'!$A$2:$A$27,0)),IF($B767="Terracycle",INDEX('Materials Master'!$K$2:$K$27,MATCH($C767,'Materials Master'!$A$2:$A$27,0)),"No"))))))="Yes",1,0)</f>
        <v>0</v>
      </c>
    </row>
    <row r="768" customFormat="false" ht="15" hidden="false" customHeight="false" outlineLevel="0" collapsed="false">
      <c r="A768" s="0" t="s">
        <v>101</v>
      </c>
      <c r="B768" s="0" t="s">
        <v>108</v>
      </c>
      <c r="C768" s="0" t="s">
        <v>57</v>
      </c>
      <c r="D768" s="0" t="str">
        <f aca="false">IFERROR(INDEX('Materials Master'!$B$2:$B$27,MATCH($C768,'Materials Master'!$A$2:$A$27,0)),"")</f>
        <v>Rigid Plastics (1-6)</v>
      </c>
      <c r="E768" s="0" t="str">
        <f aca="false">IFERROR(INDEX('Materials Master'!$C$2:$C$27,MATCH($C768,'Materials Master'!$A$2:$A$27,0)),"")</f>
        <v>Plastics</v>
      </c>
      <c r="F768" s="0" t="n">
        <f aca="false">IF(SUMIFS(Fact_SortedWeights!$E$2:$E$89,Fact_SortedWeights!$C$2:$C$89,$A768,Fact_SortedWeights!$B$2:$B$89,$B768)=0,0,SUMIFS(Fact_SortedWeights!$E$2:$E$89,Fact_SortedWeights!$C$2:$C$89,$A768,Fact_SortedWeights!$B$2:$B$89,$B768,Fact_SortedWeights!$D$2:$D$89,$C768)/SUMIFS(Fact_SortedWeights!$E$2:$E$89,Fact_SortedWeights!$C$2:$C$89,$A768,Fact_SortedWeights!$B$2:$B$89,$B768)*(IF($B768="Cardboard Recycling",SUMIFS(Fact_SortedWeights!$E$2:$E$89,Fact_SortedWeights!$C$2:$C$89,$A768,Fact_SortedWeights!$B$2:$B$89,$B768),SUMIFS(Fact_PreSortWeights!$E$2:$E$186,Fact_PreSortWeights!$C$2:$C$186,$A768,Fact_PreSortWeights!$B$2:$B$186,$B768))))</f>
        <v>0</v>
      </c>
      <c r="G768" s="0" t="n">
        <f aca="false">IF(AND(IF($B768="Trash",INDEX('Materials Master'!$F$2:$F$27,MATCH($C768,'Materials Master'!$A$2:$A$27,0)),IF($B768="GMPC Recycling",INDEX('Materials Master'!$G$2:$G$27,MATCH($C768,'Materials Master'!$A$2:$A$27,0)),IF($B768="Organics Recycling",INDEX('Materials Master'!$H$2:$H$27,MATCH($C768,'Materials Master'!$A$2:$A$27,0)),IF($B768="Cardboard Recycling",INDEX('Materials Master'!$I$2:$I$27,MATCH($C768,'Materials Master'!$A$2:$A$27,0)),IF($B768="Paper Recycling",INDEX('Materials Master'!$J$2:$J$27,MATCH($C768,'Materials Master'!$A$2:$A$27,0)),IF($B768="Terracycle",INDEX('Materials Master'!$K$2:$K$27,MATCH($C768,'Materials Master'!$A$2:$A$27,0)),"No"))))))="Yes",INDEX('Materials Master'!$E$2:$E$27,MATCH($C768,'Materials Master'!$A$2:$A$27,0))="Yes",$B768&lt;&gt;"Trash"),1,0)</f>
        <v>0</v>
      </c>
      <c r="H768" s="0" t="str">
        <f aca="false">INDEX('Materials Master'!$E$2:$E$27,MATCH($C768,'Materials Master'!$A$2:$A$27,0))</f>
        <v>Yes</v>
      </c>
      <c r="I768" s="0" t="str">
        <f aca="false">IFERROR(INDEX(Areas!$C$2:$C$6,MATCH($A768,Areas!$B$2:$B$6,0)),"")</f>
        <v>Rest of Building</v>
      </c>
      <c r="J768" s="0" t="n">
        <f aca="false">IF(IF($B768="Trash",INDEX('Materials Master'!$F$2:$F$27,MATCH($C768,'Materials Master'!$A$2:$A$27,0)),IF($B768="GMPC Recycling",INDEX('Materials Master'!$G$2:$G$27,MATCH($C768,'Materials Master'!$A$2:$A$27,0)),IF($B768="Organics Recycling",INDEX('Materials Master'!$H$2:$H$27,MATCH($C768,'Materials Master'!$A$2:$A$27,0)),IF($B768="Cardboard Recycling",INDEX('Materials Master'!$I$2:$I$27,MATCH($C768,'Materials Master'!$A$2:$A$27,0)),IF($B768="Paper Recycling",INDEX('Materials Master'!$J$2:$J$27,MATCH($C768,'Materials Master'!$A$2:$A$27,0)),IF($B768="Terracycle",INDEX('Materials Master'!$K$2:$K$27,MATCH($C768,'Materials Master'!$A$2:$A$27,0)),"No"))))))="Yes",1,0)</f>
        <v>0</v>
      </c>
    </row>
    <row r="769" customFormat="false" ht="15" hidden="false" customHeight="false" outlineLevel="0" collapsed="false">
      <c r="A769" s="0" t="s">
        <v>101</v>
      </c>
      <c r="B769" s="0" t="s">
        <v>108</v>
      </c>
      <c r="C769" s="0" t="s">
        <v>60</v>
      </c>
      <c r="D769" s="0" t="str">
        <f aca="false">IFERROR(INDEX('Materials Master'!$B$2:$B$27,MATCH($C769,'Materials Master'!$A$2:$A$27,0)),"")</f>
        <v>Soiled Rigid Plastics</v>
      </c>
      <c r="E769" s="0" t="str">
        <f aca="false">IFERROR(INDEX('Materials Master'!$C$2:$C$27,MATCH($C769,'Materials Master'!$A$2:$A$27,0)),"")</f>
        <v>Plastics</v>
      </c>
      <c r="F769" s="0" t="n">
        <f aca="false">IF(SUMIFS(Fact_SortedWeights!$E$2:$E$89,Fact_SortedWeights!$C$2:$C$89,$A769,Fact_SortedWeights!$B$2:$B$89,$B769)=0,0,SUMIFS(Fact_SortedWeights!$E$2:$E$89,Fact_SortedWeights!$C$2:$C$89,$A769,Fact_SortedWeights!$B$2:$B$89,$B769,Fact_SortedWeights!$D$2:$D$89,$C769)/SUMIFS(Fact_SortedWeights!$E$2:$E$89,Fact_SortedWeights!$C$2:$C$89,$A769,Fact_SortedWeights!$B$2:$B$89,$B769)*(IF($B769="Cardboard Recycling",SUMIFS(Fact_SortedWeights!$E$2:$E$89,Fact_SortedWeights!$C$2:$C$89,$A769,Fact_SortedWeights!$B$2:$B$89,$B769),SUMIFS(Fact_PreSortWeights!$E$2:$E$186,Fact_PreSortWeights!$C$2:$C$186,$A769,Fact_PreSortWeights!$B$2:$B$186,$B769))))</f>
        <v>0</v>
      </c>
      <c r="G769" s="0" t="n">
        <f aca="false">IF(AND(IF($B769="Trash",INDEX('Materials Master'!$F$2:$F$27,MATCH($C769,'Materials Master'!$A$2:$A$27,0)),IF($B769="GMPC Recycling",INDEX('Materials Master'!$G$2:$G$27,MATCH($C769,'Materials Master'!$A$2:$A$27,0)),IF($B769="Organics Recycling",INDEX('Materials Master'!$H$2:$H$27,MATCH($C769,'Materials Master'!$A$2:$A$27,0)),IF($B769="Cardboard Recycling",INDEX('Materials Master'!$I$2:$I$27,MATCH($C769,'Materials Master'!$A$2:$A$27,0)),IF($B769="Paper Recycling",INDEX('Materials Master'!$J$2:$J$27,MATCH($C769,'Materials Master'!$A$2:$A$27,0)),IF($B769="Terracycle",INDEX('Materials Master'!$K$2:$K$27,MATCH($C769,'Materials Master'!$A$2:$A$27,0)),"No"))))))="Yes",INDEX('Materials Master'!$E$2:$E$27,MATCH($C769,'Materials Master'!$A$2:$A$27,0))="Yes",$B769&lt;&gt;"Trash"),1,0)</f>
        <v>0</v>
      </c>
      <c r="H769" s="0" t="str">
        <f aca="false">INDEX('Materials Master'!$E$2:$E$27,MATCH($C769,'Materials Master'!$A$2:$A$27,0))</f>
        <v>No</v>
      </c>
      <c r="I769" s="0" t="str">
        <f aca="false">IFERROR(INDEX(Areas!$C$2:$C$6,MATCH($A769,Areas!$B$2:$B$6,0)),"")</f>
        <v>Rest of Building</v>
      </c>
      <c r="J769" s="0" t="n">
        <f aca="false">IF(IF($B769="Trash",INDEX('Materials Master'!$F$2:$F$27,MATCH($C769,'Materials Master'!$A$2:$A$27,0)),IF($B769="GMPC Recycling",INDEX('Materials Master'!$G$2:$G$27,MATCH($C769,'Materials Master'!$A$2:$A$27,0)),IF($B769="Organics Recycling",INDEX('Materials Master'!$H$2:$H$27,MATCH($C769,'Materials Master'!$A$2:$A$27,0)),IF($B769="Cardboard Recycling",INDEX('Materials Master'!$I$2:$I$27,MATCH($C769,'Materials Master'!$A$2:$A$27,0)),IF($B769="Paper Recycling",INDEX('Materials Master'!$J$2:$J$27,MATCH($C769,'Materials Master'!$A$2:$A$27,0)),IF($B769="Terracycle",INDEX('Materials Master'!$K$2:$K$27,MATCH($C769,'Materials Master'!$A$2:$A$27,0)),"No"))))))="Yes",1,0)</f>
        <v>0</v>
      </c>
    </row>
    <row r="770" customFormat="false" ht="15" hidden="false" customHeight="false" outlineLevel="0" collapsed="false">
      <c r="A770" s="0" t="s">
        <v>101</v>
      </c>
      <c r="B770" s="0" t="s">
        <v>108</v>
      </c>
      <c r="C770" s="0" t="s">
        <v>62</v>
      </c>
      <c r="D770" s="0" t="str">
        <f aca="false">IFERROR(INDEX('Materials Master'!$B$2:$B$27,MATCH($C770,'Materials Master'!$A$2:$A$27,0)),"")</f>
        <v>Film Plastics</v>
      </c>
      <c r="E770" s="0" t="str">
        <f aca="false">IFERROR(INDEX('Materials Master'!$C$2:$C$27,MATCH($C770,'Materials Master'!$A$2:$A$27,0)),"")</f>
        <v>Plastics</v>
      </c>
      <c r="F770" s="0" t="n">
        <f aca="false">IF(SUMIFS(Fact_SortedWeights!$E$2:$E$89,Fact_SortedWeights!$C$2:$C$89,$A770,Fact_SortedWeights!$B$2:$B$89,$B770)=0,0,SUMIFS(Fact_SortedWeights!$E$2:$E$89,Fact_SortedWeights!$C$2:$C$89,$A770,Fact_SortedWeights!$B$2:$B$89,$B770,Fact_SortedWeights!$D$2:$D$89,$C770)/SUMIFS(Fact_SortedWeights!$E$2:$E$89,Fact_SortedWeights!$C$2:$C$89,$A770,Fact_SortedWeights!$B$2:$B$89,$B770)*(IF($B770="Cardboard Recycling",SUMIFS(Fact_SortedWeights!$E$2:$E$89,Fact_SortedWeights!$C$2:$C$89,$A770,Fact_SortedWeights!$B$2:$B$89,$B770),SUMIFS(Fact_PreSortWeights!$E$2:$E$186,Fact_PreSortWeights!$C$2:$C$186,$A770,Fact_PreSortWeights!$B$2:$B$186,$B770))))</f>
        <v>0</v>
      </c>
      <c r="G770" s="0" t="n">
        <f aca="false">IF(AND(IF($B770="Trash",INDEX('Materials Master'!$F$2:$F$27,MATCH($C770,'Materials Master'!$A$2:$A$27,0)),IF($B770="GMPC Recycling",INDEX('Materials Master'!$G$2:$G$27,MATCH($C770,'Materials Master'!$A$2:$A$27,0)),IF($B770="Organics Recycling",INDEX('Materials Master'!$H$2:$H$27,MATCH($C770,'Materials Master'!$A$2:$A$27,0)),IF($B770="Cardboard Recycling",INDEX('Materials Master'!$I$2:$I$27,MATCH($C770,'Materials Master'!$A$2:$A$27,0)),IF($B770="Paper Recycling",INDEX('Materials Master'!$J$2:$J$27,MATCH($C770,'Materials Master'!$A$2:$A$27,0)),IF($B770="Terracycle",INDEX('Materials Master'!$K$2:$K$27,MATCH($C770,'Materials Master'!$A$2:$A$27,0)),"No"))))))="Yes",INDEX('Materials Master'!$E$2:$E$27,MATCH($C770,'Materials Master'!$A$2:$A$27,0))="Yes",$B770&lt;&gt;"Trash"),1,0)</f>
        <v>0</v>
      </c>
      <c r="H770" s="0" t="str">
        <f aca="false">INDEX('Materials Master'!$E$2:$E$27,MATCH($C770,'Materials Master'!$A$2:$A$27,0))</f>
        <v>No</v>
      </c>
      <c r="I770" s="0" t="str">
        <f aca="false">IFERROR(INDEX(Areas!$C$2:$C$6,MATCH($A770,Areas!$B$2:$B$6,0)),"")</f>
        <v>Rest of Building</v>
      </c>
      <c r="J770" s="0" t="n">
        <f aca="false">IF(IF($B770="Trash",INDEX('Materials Master'!$F$2:$F$27,MATCH($C770,'Materials Master'!$A$2:$A$27,0)),IF($B770="GMPC Recycling",INDEX('Materials Master'!$G$2:$G$27,MATCH($C770,'Materials Master'!$A$2:$A$27,0)),IF($B770="Organics Recycling",INDEX('Materials Master'!$H$2:$H$27,MATCH($C770,'Materials Master'!$A$2:$A$27,0)),IF($B770="Cardboard Recycling",INDEX('Materials Master'!$I$2:$I$27,MATCH($C770,'Materials Master'!$A$2:$A$27,0)),IF($B770="Paper Recycling",INDEX('Materials Master'!$J$2:$J$27,MATCH($C770,'Materials Master'!$A$2:$A$27,0)),IF($B770="Terracycle",INDEX('Materials Master'!$K$2:$K$27,MATCH($C770,'Materials Master'!$A$2:$A$27,0)),"No"))))))="Yes",1,0)</f>
        <v>0</v>
      </c>
    </row>
    <row r="771" customFormat="false" ht="15" hidden="false" customHeight="false" outlineLevel="0" collapsed="false">
      <c r="A771" s="0" t="s">
        <v>101</v>
      </c>
      <c r="B771" s="0" t="s">
        <v>108</v>
      </c>
      <c r="C771" s="0" t="s">
        <v>64</v>
      </c>
      <c r="D771" s="0" t="str">
        <f aca="false">IFERROR(INDEX('Materials Master'!$B$2:$B$27,MATCH($C771,'Materials Master'!$A$2:$A$27,0)),"")</f>
        <v>Foams</v>
      </c>
      <c r="E771" s="0" t="str">
        <f aca="false">IFERROR(INDEX('Materials Master'!$C$2:$C$27,MATCH($C771,'Materials Master'!$A$2:$A$27,0)),"")</f>
        <v>Plastics</v>
      </c>
      <c r="F771" s="0" t="n">
        <f aca="false">IF(SUMIFS(Fact_SortedWeights!$E$2:$E$89,Fact_SortedWeights!$C$2:$C$89,$A771,Fact_SortedWeights!$B$2:$B$89,$B771)=0,0,SUMIFS(Fact_SortedWeights!$E$2:$E$89,Fact_SortedWeights!$C$2:$C$89,$A771,Fact_SortedWeights!$B$2:$B$89,$B771,Fact_SortedWeights!$D$2:$D$89,$C771)/SUMIFS(Fact_SortedWeights!$E$2:$E$89,Fact_SortedWeights!$C$2:$C$89,$A771,Fact_SortedWeights!$B$2:$B$89,$B771)*(IF($B771="Cardboard Recycling",SUMIFS(Fact_SortedWeights!$E$2:$E$89,Fact_SortedWeights!$C$2:$C$89,$A771,Fact_SortedWeights!$B$2:$B$89,$B771),SUMIFS(Fact_PreSortWeights!$E$2:$E$186,Fact_PreSortWeights!$C$2:$C$186,$A771,Fact_PreSortWeights!$B$2:$B$186,$B771))))</f>
        <v>0</v>
      </c>
      <c r="G771" s="0" t="n">
        <f aca="false">IF(AND(IF($B771="Trash",INDEX('Materials Master'!$F$2:$F$27,MATCH($C771,'Materials Master'!$A$2:$A$27,0)),IF($B771="GMPC Recycling",INDEX('Materials Master'!$G$2:$G$27,MATCH($C771,'Materials Master'!$A$2:$A$27,0)),IF($B771="Organics Recycling",INDEX('Materials Master'!$H$2:$H$27,MATCH($C771,'Materials Master'!$A$2:$A$27,0)),IF($B771="Cardboard Recycling",INDEX('Materials Master'!$I$2:$I$27,MATCH($C771,'Materials Master'!$A$2:$A$27,0)),IF($B771="Paper Recycling",INDEX('Materials Master'!$J$2:$J$27,MATCH($C771,'Materials Master'!$A$2:$A$27,0)),IF($B771="Terracycle",INDEX('Materials Master'!$K$2:$K$27,MATCH($C771,'Materials Master'!$A$2:$A$27,0)),"No"))))))="Yes",INDEX('Materials Master'!$E$2:$E$27,MATCH($C771,'Materials Master'!$A$2:$A$27,0))="Yes",$B771&lt;&gt;"Trash"),1,0)</f>
        <v>0</v>
      </c>
      <c r="H771" s="0" t="str">
        <f aca="false">INDEX('Materials Master'!$E$2:$E$27,MATCH($C771,'Materials Master'!$A$2:$A$27,0))</f>
        <v>No</v>
      </c>
      <c r="I771" s="0" t="str">
        <f aca="false">IFERROR(INDEX(Areas!$C$2:$C$6,MATCH($A771,Areas!$B$2:$B$6,0)),"")</f>
        <v>Rest of Building</v>
      </c>
      <c r="J771" s="0" t="n">
        <f aca="false">IF(IF($B771="Trash",INDEX('Materials Master'!$F$2:$F$27,MATCH($C771,'Materials Master'!$A$2:$A$27,0)),IF($B771="GMPC Recycling",INDEX('Materials Master'!$G$2:$G$27,MATCH($C771,'Materials Master'!$A$2:$A$27,0)),IF($B771="Organics Recycling",INDEX('Materials Master'!$H$2:$H$27,MATCH($C771,'Materials Master'!$A$2:$A$27,0)),IF($B771="Cardboard Recycling",INDEX('Materials Master'!$I$2:$I$27,MATCH($C771,'Materials Master'!$A$2:$A$27,0)),IF($B771="Paper Recycling",INDEX('Materials Master'!$J$2:$J$27,MATCH($C771,'Materials Master'!$A$2:$A$27,0)),IF($B771="Terracycle",INDEX('Materials Master'!$K$2:$K$27,MATCH($C771,'Materials Master'!$A$2:$A$27,0)),"No"))))))="Yes",1,0)</f>
        <v>0</v>
      </c>
    </row>
    <row r="772" customFormat="false" ht="15" hidden="false" customHeight="false" outlineLevel="0" collapsed="false">
      <c r="A772" s="0" t="s">
        <v>101</v>
      </c>
      <c r="B772" s="0" t="s">
        <v>108</v>
      </c>
      <c r="C772" s="0" t="s">
        <v>66</v>
      </c>
      <c r="D772" s="0" t="str">
        <f aca="false">IFERROR(INDEX('Materials Master'!$B$2:$B$27,MATCH($C772,'Materials Master'!$A$2:$A$27,0)),"")</f>
        <v>Food Waste</v>
      </c>
      <c r="E772" s="0" t="str">
        <f aca="false">IFERROR(INDEX('Materials Master'!$C$2:$C$27,MATCH($C772,'Materials Master'!$A$2:$A$27,0)),"")</f>
        <v>Organics</v>
      </c>
      <c r="F772" s="0" t="n">
        <f aca="false">IF(SUMIFS(Fact_SortedWeights!$E$2:$E$89,Fact_SortedWeights!$C$2:$C$89,$A772,Fact_SortedWeights!$B$2:$B$89,$B772)=0,0,SUMIFS(Fact_SortedWeights!$E$2:$E$89,Fact_SortedWeights!$C$2:$C$89,$A772,Fact_SortedWeights!$B$2:$B$89,$B772,Fact_SortedWeights!$D$2:$D$89,$C772)/SUMIFS(Fact_SortedWeights!$E$2:$E$89,Fact_SortedWeights!$C$2:$C$89,$A772,Fact_SortedWeights!$B$2:$B$89,$B772)*(IF($B772="Cardboard Recycling",SUMIFS(Fact_SortedWeights!$E$2:$E$89,Fact_SortedWeights!$C$2:$C$89,$A772,Fact_SortedWeights!$B$2:$B$89,$B772),SUMIFS(Fact_PreSortWeights!$E$2:$E$186,Fact_PreSortWeights!$C$2:$C$186,$A772,Fact_PreSortWeights!$B$2:$B$186,$B772))))</f>
        <v>0</v>
      </c>
      <c r="G772" s="0" t="n">
        <f aca="false">IF(AND(IF($B772="Trash",INDEX('Materials Master'!$F$2:$F$27,MATCH($C772,'Materials Master'!$A$2:$A$27,0)),IF($B772="GMPC Recycling",INDEX('Materials Master'!$G$2:$G$27,MATCH($C772,'Materials Master'!$A$2:$A$27,0)),IF($B772="Organics Recycling",INDEX('Materials Master'!$H$2:$H$27,MATCH($C772,'Materials Master'!$A$2:$A$27,0)),IF($B772="Cardboard Recycling",INDEX('Materials Master'!$I$2:$I$27,MATCH($C772,'Materials Master'!$A$2:$A$27,0)),IF($B772="Paper Recycling",INDEX('Materials Master'!$J$2:$J$27,MATCH($C772,'Materials Master'!$A$2:$A$27,0)),IF($B772="Terracycle",INDEX('Materials Master'!$K$2:$K$27,MATCH($C772,'Materials Master'!$A$2:$A$27,0)),"No"))))))="Yes",INDEX('Materials Master'!$E$2:$E$27,MATCH($C772,'Materials Master'!$A$2:$A$27,0))="Yes",$B772&lt;&gt;"Trash"),1,0)</f>
        <v>0</v>
      </c>
      <c r="H772" s="0" t="str">
        <f aca="false">INDEX('Materials Master'!$E$2:$E$27,MATCH($C772,'Materials Master'!$A$2:$A$27,0))</f>
        <v>Yes</v>
      </c>
      <c r="I772" s="0" t="str">
        <f aca="false">IFERROR(INDEX(Areas!$C$2:$C$6,MATCH($A772,Areas!$B$2:$B$6,0)),"")</f>
        <v>Rest of Building</v>
      </c>
      <c r="J772" s="0" t="n">
        <f aca="false">IF(IF($B772="Trash",INDEX('Materials Master'!$F$2:$F$27,MATCH($C772,'Materials Master'!$A$2:$A$27,0)),IF($B772="GMPC Recycling",INDEX('Materials Master'!$G$2:$G$27,MATCH($C772,'Materials Master'!$A$2:$A$27,0)),IF($B772="Organics Recycling",INDEX('Materials Master'!$H$2:$H$27,MATCH($C772,'Materials Master'!$A$2:$A$27,0)),IF($B772="Cardboard Recycling",INDEX('Materials Master'!$I$2:$I$27,MATCH($C772,'Materials Master'!$A$2:$A$27,0)),IF($B772="Paper Recycling",INDEX('Materials Master'!$J$2:$J$27,MATCH($C772,'Materials Master'!$A$2:$A$27,0)),IF($B772="Terracycle",INDEX('Materials Master'!$K$2:$K$27,MATCH($C772,'Materials Master'!$A$2:$A$27,0)),"No"))))))="Yes",1,0)</f>
        <v>0</v>
      </c>
    </row>
    <row r="773" customFormat="false" ht="15" hidden="false" customHeight="false" outlineLevel="0" collapsed="false">
      <c r="A773" s="0" t="s">
        <v>101</v>
      </c>
      <c r="B773" s="0" t="s">
        <v>108</v>
      </c>
      <c r="C773" s="0" t="s">
        <v>69</v>
      </c>
      <c r="D773" s="0" t="str">
        <f aca="false">IFERROR(INDEX('Materials Master'!$B$2:$B$27,MATCH($C773,'Materials Master'!$A$2:$A$27,0)),"")</f>
        <v>Paper Fibers and Food-Soiled Paper (FSP)</v>
      </c>
      <c r="E773" s="0" t="str">
        <f aca="false">IFERROR(INDEX('Materials Master'!$C$2:$C$27,MATCH($C773,'Materials Master'!$A$2:$A$27,0)),"")</f>
        <v>Organics</v>
      </c>
      <c r="F773" s="0" t="n">
        <f aca="false">IF(SUMIFS(Fact_SortedWeights!$E$2:$E$89,Fact_SortedWeights!$C$2:$C$89,$A773,Fact_SortedWeights!$B$2:$B$89,$B773)=0,0,SUMIFS(Fact_SortedWeights!$E$2:$E$89,Fact_SortedWeights!$C$2:$C$89,$A773,Fact_SortedWeights!$B$2:$B$89,$B773,Fact_SortedWeights!$D$2:$D$89,$C773)/SUMIFS(Fact_SortedWeights!$E$2:$E$89,Fact_SortedWeights!$C$2:$C$89,$A773,Fact_SortedWeights!$B$2:$B$89,$B773)*(IF($B773="Cardboard Recycling",SUMIFS(Fact_SortedWeights!$E$2:$E$89,Fact_SortedWeights!$C$2:$C$89,$A773,Fact_SortedWeights!$B$2:$B$89,$B773),SUMIFS(Fact_PreSortWeights!$E$2:$E$186,Fact_PreSortWeights!$C$2:$C$186,$A773,Fact_PreSortWeights!$B$2:$B$186,$B773))))</f>
        <v>0</v>
      </c>
      <c r="G773" s="0" t="n">
        <f aca="false">IF(AND(IF($B773="Trash",INDEX('Materials Master'!$F$2:$F$27,MATCH($C773,'Materials Master'!$A$2:$A$27,0)),IF($B773="GMPC Recycling",INDEX('Materials Master'!$G$2:$G$27,MATCH($C773,'Materials Master'!$A$2:$A$27,0)),IF($B773="Organics Recycling",INDEX('Materials Master'!$H$2:$H$27,MATCH($C773,'Materials Master'!$A$2:$A$27,0)),IF($B773="Cardboard Recycling",INDEX('Materials Master'!$I$2:$I$27,MATCH($C773,'Materials Master'!$A$2:$A$27,0)),IF($B773="Paper Recycling",INDEX('Materials Master'!$J$2:$J$27,MATCH($C773,'Materials Master'!$A$2:$A$27,0)),IF($B773="Terracycle",INDEX('Materials Master'!$K$2:$K$27,MATCH($C773,'Materials Master'!$A$2:$A$27,0)),"No"))))))="Yes",INDEX('Materials Master'!$E$2:$E$27,MATCH($C773,'Materials Master'!$A$2:$A$27,0))="Yes",$B773&lt;&gt;"Trash"),1,0)</f>
        <v>0</v>
      </c>
      <c r="H773" s="0" t="str">
        <f aca="false">INDEX('Materials Master'!$E$2:$E$27,MATCH($C773,'Materials Master'!$A$2:$A$27,0))</f>
        <v>No</v>
      </c>
      <c r="I773" s="0" t="str">
        <f aca="false">IFERROR(INDEX(Areas!$C$2:$C$6,MATCH($A773,Areas!$B$2:$B$6,0)),"")</f>
        <v>Rest of Building</v>
      </c>
      <c r="J773" s="0" t="n">
        <f aca="false">IF(IF($B773="Trash",INDEX('Materials Master'!$F$2:$F$27,MATCH($C773,'Materials Master'!$A$2:$A$27,0)),IF($B773="GMPC Recycling",INDEX('Materials Master'!$G$2:$G$27,MATCH($C773,'Materials Master'!$A$2:$A$27,0)),IF($B773="Organics Recycling",INDEX('Materials Master'!$H$2:$H$27,MATCH($C773,'Materials Master'!$A$2:$A$27,0)),IF($B773="Cardboard Recycling",INDEX('Materials Master'!$I$2:$I$27,MATCH($C773,'Materials Master'!$A$2:$A$27,0)),IF($B773="Paper Recycling",INDEX('Materials Master'!$J$2:$J$27,MATCH($C773,'Materials Master'!$A$2:$A$27,0)),IF($B773="Terracycle",INDEX('Materials Master'!$K$2:$K$27,MATCH($C773,'Materials Master'!$A$2:$A$27,0)),"No"))))))="Yes",1,0)</f>
        <v>0</v>
      </c>
    </row>
    <row r="774" customFormat="false" ht="15" hidden="false" customHeight="false" outlineLevel="0" collapsed="false">
      <c r="A774" s="0" t="s">
        <v>101</v>
      </c>
      <c r="B774" s="0" t="s">
        <v>108</v>
      </c>
      <c r="C774" s="0" t="s">
        <v>71</v>
      </c>
      <c r="D774" s="0" t="str">
        <f aca="false">IFERROR(INDEX('Materials Master'!$B$2:$B$27,MATCH($C774,'Materials Master'!$A$2:$A$27,0)),"")</f>
        <v>Fiber-based Compostable Serviceware</v>
      </c>
      <c r="E774" s="0" t="str">
        <f aca="false">IFERROR(INDEX('Materials Master'!$C$2:$C$27,MATCH($C774,'Materials Master'!$A$2:$A$27,0)),"")</f>
        <v>Organics</v>
      </c>
      <c r="F774" s="0" t="n">
        <f aca="false">IF(SUMIFS(Fact_SortedWeights!$E$2:$E$89,Fact_SortedWeights!$C$2:$C$89,$A774,Fact_SortedWeights!$B$2:$B$89,$B774)=0,0,SUMIFS(Fact_SortedWeights!$E$2:$E$89,Fact_SortedWeights!$C$2:$C$89,$A774,Fact_SortedWeights!$B$2:$B$89,$B774,Fact_SortedWeights!$D$2:$D$89,$C774)/SUMIFS(Fact_SortedWeights!$E$2:$E$89,Fact_SortedWeights!$C$2:$C$89,$A774,Fact_SortedWeights!$B$2:$B$89,$B774)*(IF($B774="Cardboard Recycling",SUMIFS(Fact_SortedWeights!$E$2:$E$89,Fact_SortedWeights!$C$2:$C$89,$A774,Fact_SortedWeights!$B$2:$B$89,$B774),SUMIFS(Fact_PreSortWeights!$E$2:$E$186,Fact_PreSortWeights!$C$2:$C$186,$A774,Fact_PreSortWeights!$B$2:$B$186,$B774))))</f>
        <v>0</v>
      </c>
      <c r="G774" s="0" t="n">
        <f aca="false">IF(AND(IF($B774="Trash",INDEX('Materials Master'!$F$2:$F$27,MATCH($C774,'Materials Master'!$A$2:$A$27,0)),IF($B774="GMPC Recycling",INDEX('Materials Master'!$G$2:$G$27,MATCH($C774,'Materials Master'!$A$2:$A$27,0)),IF($B774="Organics Recycling",INDEX('Materials Master'!$H$2:$H$27,MATCH($C774,'Materials Master'!$A$2:$A$27,0)),IF($B774="Cardboard Recycling",INDEX('Materials Master'!$I$2:$I$27,MATCH($C774,'Materials Master'!$A$2:$A$27,0)),IF($B774="Paper Recycling",INDEX('Materials Master'!$J$2:$J$27,MATCH($C774,'Materials Master'!$A$2:$A$27,0)),IF($B774="Terracycle",INDEX('Materials Master'!$K$2:$K$27,MATCH($C774,'Materials Master'!$A$2:$A$27,0)),"No"))))))="Yes",INDEX('Materials Master'!$E$2:$E$27,MATCH($C774,'Materials Master'!$A$2:$A$27,0))="Yes",$B774&lt;&gt;"Trash"),1,0)</f>
        <v>0</v>
      </c>
      <c r="H774" s="0" t="str">
        <f aca="false">INDEX('Materials Master'!$E$2:$E$27,MATCH($C774,'Materials Master'!$A$2:$A$27,0))</f>
        <v>No</v>
      </c>
      <c r="I774" s="0" t="str">
        <f aca="false">IFERROR(INDEX(Areas!$C$2:$C$6,MATCH($A774,Areas!$B$2:$B$6,0)),"")</f>
        <v>Rest of Building</v>
      </c>
      <c r="J774" s="0" t="n">
        <f aca="false">IF(IF($B774="Trash",INDEX('Materials Master'!$F$2:$F$27,MATCH($C774,'Materials Master'!$A$2:$A$27,0)),IF($B774="GMPC Recycling",INDEX('Materials Master'!$G$2:$G$27,MATCH($C774,'Materials Master'!$A$2:$A$27,0)),IF($B774="Organics Recycling",INDEX('Materials Master'!$H$2:$H$27,MATCH($C774,'Materials Master'!$A$2:$A$27,0)),IF($B774="Cardboard Recycling",INDEX('Materials Master'!$I$2:$I$27,MATCH($C774,'Materials Master'!$A$2:$A$27,0)),IF($B774="Paper Recycling",INDEX('Materials Master'!$J$2:$J$27,MATCH($C774,'Materials Master'!$A$2:$A$27,0)),IF($B774="Terracycle",INDEX('Materials Master'!$K$2:$K$27,MATCH($C774,'Materials Master'!$A$2:$A$27,0)),"No"))))))="Yes",1,0)</f>
        <v>0</v>
      </c>
    </row>
    <row r="775" customFormat="false" ht="15" hidden="false" customHeight="false" outlineLevel="0" collapsed="false">
      <c r="A775" s="0" t="s">
        <v>101</v>
      </c>
      <c r="B775" s="0" t="s">
        <v>108</v>
      </c>
      <c r="C775" s="0" t="s">
        <v>73</v>
      </c>
      <c r="D775" s="0" t="str">
        <f aca="false">IFERROR(INDEX('Materials Master'!$B$2:$B$27,MATCH($C775,'Materials Master'!$A$2:$A$27,0)),"")</f>
        <v>PLA Compostable Serviceware</v>
      </c>
      <c r="E775" s="0" t="str">
        <f aca="false">IFERROR(INDEX('Materials Master'!$C$2:$C$27,MATCH($C775,'Materials Master'!$A$2:$A$27,0)),"")</f>
        <v>Organics</v>
      </c>
      <c r="F775" s="0" t="n">
        <f aca="false">IF(SUMIFS(Fact_SortedWeights!$E$2:$E$89,Fact_SortedWeights!$C$2:$C$89,$A775,Fact_SortedWeights!$B$2:$B$89,$B775)=0,0,SUMIFS(Fact_SortedWeights!$E$2:$E$89,Fact_SortedWeights!$C$2:$C$89,$A775,Fact_SortedWeights!$B$2:$B$89,$B775,Fact_SortedWeights!$D$2:$D$89,$C775)/SUMIFS(Fact_SortedWeights!$E$2:$E$89,Fact_SortedWeights!$C$2:$C$89,$A775,Fact_SortedWeights!$B$2:$B$89,$B775)*(IF($B775="Cardboard Recycling",SUMIFS(Fact_SortedWeights!$E$2:$E$89,Fact_SortedWeights!$C$2:$C$89,$A775,Fact_SortedWeights!$B$2:$B$89,$B775),SUMIFS(Fact_PreSortWeights!$E$2:$E$186,Fact_PreSortWeights!$C$2:$C$186,$A775,Fact_PreSortWeights!$B$2:$B$186,$B775))))</f>
        <v>0</v>
      </c>
      <c r="G775" s="0" t="n">
        <f aca="false">IF(AND(IF($B775="Trash",INDEX('Materials Master'!$F$2:$F$27,MATCH($C775,'Materials Master'!$A$2:$A$27,0)),IF($B775="GMPC Recycling",INDEX('Materials Master'!$G$2:$G$27,MATCH($C775,'Materials Master'!$A$2:$A$27,0)),IF($B775="Organics Recycling",INDEX('Materials Master'!$H$2:$H$27,MATCH($C775,'Materials Master'!$A$2:$A$27,0)),IF($B775="Cardboard Recycling",INDEX('Materials Master'!$I$2:$I$27,MATCH($C775,'Materials Master'!$A$2:$A$27,0)),IF($B775="Paper Recycling",INDEX('Materials Master'!$J$2:$J$27,MATCH($C775,'Materials Master'!$A$2:$A$27,0)),IF($B775="Terracycle",INDEX('Materials Master'!$K$2:$K$27,MATCH($C775,'Materials Master'!$A$2:$A$27,0)),"No"))))))="Yes",INDEX('Materials Master'!$E$2:$E$27,MATCH($C775,'Materials Master'!$A$2:$A$27,0))="Yes",$B775&lt;&gt;"Trash"),1,0)</f>
        <v>0</v>
      </c>
      <c r="H775" s="0" t="str">
        <f aca="false">INDEX('Materials Master'!$E$2:$E$27,MATCH($C775,'Materials Master'!$A$2:$A$27,0))</f>
        <v>No</v>
      </c>
      <c r="I775" s="0" t="str">
        <f aca="false">IFERROR(INDEX(Areas!$C$2:$C$6,MATCH($A775,Areas!$B$2:$B$6,0)),"")</f>
        <v>Rest of Building</v>
      </c>
      <c r="J775" s="0" t="n">
        <f aca="false">IF(IF($B775="Trash",INDEX('Materials Master'!$F$2:$F$27,MATCH($C775,'Materials Master'!$A$2:$A$27,0)),IF($B775="GMPC Recycling",INDEX('Materials Master'!$G$2:$G$27,MATCH($C775,'Materials Master'!$A$2:$A$27,0)),IF($B775="Organics Recycling",INDEX('Materials Master'!$H$2:$H$27,MATCH($C775,'Materials Master'!$A$2:$A$27,0)),IF($B775="Cardboard Recycling",INDEX('Materials Master'!$I$2:$I$27,MATCH($C775,'Materials Master'!$A$2:$A$27,0)),IF($B775="Paper Recycling",INDEX('Materials Master'!$J$2:$J$27,MATCH($C775,'Materials Master'!$A$2:$A$27,0)),IF($B775="Terracycle",INDEX('Materials Master'!$K$2:$K$27,MATCH($C775,'Materials Master'!$A$2:$A$27,0)),"No"))))))="Yes",1,0)</f>
        <v>0</v>
      </c>
    </row>
    <row r="776" customFormat="false" ht="15" hidden="false" customHeight="false" outlineLevel="0" collapsed="false">
      <c r="A776" s="0" t="s">
        <v>101</v>
      </c>
      <c r="B776" s="0" t="s">
        <v>108</v>
      </c>
      <c r="C776" s="0" t="s">
        <v>75</v>
      </c>
      <c r="D776" s="0" t="str">
        <f aca="false">IFERROR(INDEX('Materials Master'!$B$2:$B$27,MATCH($C776,'Materials Master'!$A$2:$A$27,0)),"")</f>
        <v>E/U Waste</v>
      </c>
      <c r="E776" s="0" t="str">
        <f aca="false">IFERROR(INDEX('Materials Master'!$C$2:$C$27,MATCH($C776,'Materials Master'!$A$2:$A$27,0)),"")</f>
        <v>Unacceptable</v>
      </c>
      <c r="F776" s="0" t="n">
        <f aca="false">IF(SUMIFS(Fact_SortedWeights!$E$2:$E$89,Fact_SortedWeights!$C$2:$C$89,$A776,Fact_SortedWeights!$B$2:$B$89,$B776)=0,0,SUMIFS(Fact_SortedWeights!$E$2:$E$89,Fact_SortedWeights!$C$2:$C$89,$A776,Fact_SortedWeights!$B$2:$B$89,$B776,Fact_SortedWeights!$D$2:$D$89,$C776)/SUMIFS(Fact_SortedWeights!$E$2:$E$89,Fact_SortedWeights!$C$2:$C$89,$A776,Fact_SortedWeights!$B$2:$B$89,$B776)*(IF($B776="Cardboard Recycling",SUMIFS(Fact_SortedWeights!$E$2:$E$89,Fact_SortedWeights!$C$2:$C$89,$A776,Fact_SortedWeights!$B$2:$B$89,$B776),SUMIFS(Fact_PreSortWeights!$E$2:$E$186,Fact_PreSortWeights!$C$2:$C$186,$A776,Fact_PreSortWeights!$B$2:$B$186,$B776))))</f>
        <v>0</v>
      </c>
      <c r="G776" s="0" t="n">
        <f aca="false">IF(AND(IF($B776="Trash",INDEX('Materials Master'!$F$2:$F$27,MATCH($C776,'Materials Master'!$A$2:$A$27,0)),IF($B776="GMPC Recycling",INDEX('Materials Master'!$G$2:$G$27,MATCH($C776,'Materials Master'!$A$2:$A$27,0)),IF($B776="Organics Recycling",INDEX('Materials Master'!$H$2:$H$27,MATCH($C776,'Materials Master'!$A$2:$A$27,0)),IF($B776="Cardboard Recycling",INDEX('Materials Master'!$I$2:$I$27,MATCH($C776,'Materials Master'!$A$2:$A$27,0)),IF($B776="Paper Recycling",INDEX('Materials Master'!$J$2:$J$27,MATCH($C776,'Materials Master'!$A$2:$A$27,0)),IF($B776="Terracycle",INDEX('Materials Master'!$K$2:$K$27,MATCH($C776,'Materials Master'!$A$2:$A$27,0)),"No"))))))="Yes",INDEX('Materials Master'!$E$2:$E$27,MATCH($C776,'Materials Master'!$A$2:$A$27,0))="Yes",$B776&lt;&gt;"Trash"),1,0)</f>
        <v>0</v>
      </c>
      <c r="H776" s="0" t="str">
        <f aca="false">INDEX('Materials Master'!$E$2:$E$27,MATCH($C776,'Materials Master'!$A$2:$A$27,0))</f>
        <v>No</v>
      </c>
      <c r="I776" s="0" t="str">
        <f aca="false">IFERROR(INDEX(Areas!$C$2:$C$6,MATCH($A776,Areas!$B$2:$B$6,0)),"")</f>
        <v>Rest of Building</v>
      </c>
      <c r="J776" s="0" t="n">
        <f aca="false">IF(IF($B776="Trash",INDEX('Materials Master'!$F$2:$F$27,MATCH($C776,'Materials Master'!$A$2:$A$27,0)),IF($B776="GMPC Recycling",INDEX('Materials Master'!$G$2:$G$27,MATCH($C776,'Materials Master'!$A$2:$A$27,0)),IF($B776="Organics Recycling",INDEX('Materials Master'!$H$2:$H$27,MATCH($C776,'Materials Master'!$A$2:$A$27,0)),IF($B776="Cardboard Recycling",INDEX('Materials Master'!$I$2:$I$27,MATCH($C776,'Materials Master'!$A$2:$A$27,0)),IF($B776="Paper Recycling",INDEX('Materials Master'!$J$2:$J$27,MATCH($C776,'Materials Master'!$A$2:$A$27,0)),IF($B776="Terracycle",INDEX('Materials Master'!$K$2:$K$27,MATCH($C776,'Materials Master'!$A$2:$A$27,0)),"No"))))))="Yes",1,0)</f>
        <v>0</v>
      </c>
    </row>
    <row r="777" customFormat="false" ht="15" hidden="false" customHeight="false" outlineLevel="0" collapsed="false">
      <c r="A777" s="0" t="s">
        <v>101</v>
      </c>
      <c r="B777" s="0" t="s">
        <v>108</v>
      </c>
      <c r="C777" s="0" t="s">
        <v>78</v>
      </c>
      <c r="D777" s="0" t="str">
        <f aca="false">IFERROR(INDEX('Materials Master'!$B$2:$B$27,MATCH($C777,'Materials Master'!$A$2:$A$27,0)),"")</f>
        <v>Textiles</v>
      </c>
      <c r="E777" s="0" t="str">
        <f aca="false">IFERROR(INDEX('Materials Master'!$C$2:$C$27,MATCH($C777,'Materials Master'!$A$2:$A$27,0)),"")</f>
        <v>Unacceptable</v>
      </c>
      <c r="F777" s="0" t="n">
        <f aca="false">IF(SUMIFS(Fact_SortedWeights!$E$2:$E$89,Fact_SortedWeights!$C$2:$C$89,$A777,Fact_SortedWeights!$B$2:$B$89,$B777)=0,0,SUMIFS(Fact_SortedWeights!$E$2:$E$89,Fact_SortedWeights!$C$2:$C$89,$A777,Fact_SortedWeights!$B$2:$B$89,$B777,Fact_SortedWeights!$D$2:$D$89,$C777)/SUMIFS(Fact_SortedWeights!$E$2:$E$89,Fact_SortedWeights!$C$2:$C$89,$A777,Fact_SortedWeights!$B$2:$B$89,$B777)*(IF($B777="Cardboard Recycling",SUMIFS(Fact_SortedWeights!$E$2:$E$89,Fact_SortedWeights!$C$2:$C$89,$A777,Fact_SortedWeights!$B$2:$B$89,$B777),SUMIFS(Fact_PreSortWeights!$E$2:$E$186,Fact_PreSortWeights!$C$2:$C$186,$A777,Fact_PreSortWeights!$B$2:$B$186,$B777))))</f>
        <v>0</v>
      </c>
      <c r="G777" s="0" t="n">
        <f aca="false">IF(AND(IF($B777="Trash",INDEX('Materials Master'!$F$2:$F$27,MATCH($C777,'Materials Master'!$A$2:$A$27,0)),IF($B777="GMPC Recycling",INDEX('Materials Master'!$G$2:$G$27,MATCH($C777,'Materials Master'!$A$2:$A$27,0)),IF($B777="Organics Recycling",INDEX('Materials Master'!$H$2:$H$27,MATCH($C777,'Materials Master'!$A$2:$A$27,0)),IF($B777="Cardboard Recycling",INDEX('Materials Master'!$I$2:$I$27,MATCH($C777,'Materials Master'!$A$2:$A$27,0)),IF($B777="Paper Recycling",INDEX('Materials Master'!$J$2:$J$27,MATCH($C777,'Materials Master'!$A$2:$A$27,0)),IF($B777="Terracycle",INDEX('Materials Master'!$K$2:$K$27,MATCH($C777,'Materials Master'!$A$2:$A$27,0)),"No"))))))="Yes",INDEX('Materials Master'!$E$2:$E$27,MATCH($C777,'Materials Master'!$A$2:$A$27,0))="Yes",$B777&lt;&gt;"Trash"),1,0)</f>
        <v>0</v>
      </c>
      <c r="H777" s="0" t="str">
        <f aca="false">INDEX('Materials Master'!$E$2:$E$27,MATCH($C777,'Materials Master'!$A$2:$A$27,0))</f>
        <v>No</v>
      </c>
      <c r="I777" s="0" t="str">
        <f aca="false">IFERROR(INDEX(Areas!$C$2:$C$6,MATCH($A777,Areas!$B$2:$B$6,0)),"")</f>
        <v>Rest of Building</v>
      </c>
      <c r="J777" s="0" t="n">
        <f aca="false">IF(IF($B777="Trash",INDEX('Materials Master'!$F$2:$F$27,MATCH($C777,'Materials Master'!$A$2:$A$27,0)),IF($B777="GMPC Recycling",INDEX('Materials Master'!$G$2:$G$27,MATCH($C777,'Materials Master'!$A$2:$A$27,0)),IF($B777="Organics Recycling",INDEX('Materials Master'!$H$2:$H$27,MATCH($C777,'Materials Master'!$A$2:$A$27,0)),IF($B777="Cardboard Recycling",INDEX('Materials Master'!$I$2:$I$27,MATCH($C777,'Materials Master'!$A$2:$A$27,0)),IF($B777="Paper Recycling",INDEX('Materials Master'!$J$2:$J$27,MATCH($C777,'Materials Master'!$A$2:$A$27,0)),IF($B777="Terracycle",INDEX('Materials Master'!$K$2:$K$27,MATCH($C777,'Materials Master'!$A$2:$A$27,0)),"No"))))))="Yes",1,0)</f>
        <v>0</v>
      </c>
    </row>
    <row r="778" customFormat="false" ht="15" hidden="false" customHeight="false" outlineLevel="0" collapsed="false">
      <c r="A778" s="0" t="s">
        <v>101</v>
      </c>
      <c r="B778" s="0" t="s">
        <v>108</v>
      </c>
      <c r="C778" s="0" t="s">
        <v>80</v>
      </c>
      <c r="D778" s="0" t="str">
        <f aca="false">IFERROR(INDEX('Materials Master'!$B$2:$B$27,MATCH($C778,'Materials Master'!$A$2:$A$27,0)),"")</f>
        <v>Other Unacceptable (specify)</v>
      </c>
      <c r="E778" s="0" t="str">
        <f aca="false">IFERROR(INDEX('Materials Master'!$C$2:$C$27,MATCH($C778,'Materials Master'!$A$2:$A$27,0)),"")</f>
        <v>Unacceptable</v>
      </c>
      <c r="F778" s="0" t="n">
        <f aca="false">IF(SUMIFS(Fact_SortedWeights!$E$2:$E$89,Fact_SortedWeights!$C$2:$C$89,$A778,Fact_SortedWeights!$B$2:$B$89,$B778)=0,0,SUMIFS(Fact_SortedWeights!$E$2:$E$89,Fact_SortedWeights!$C$2:$C$89,$A778,Fact_SortedWeights!$B$2:$B$89,$B778,Fact_SortedWeights!$D$2:$D$89,$C778)/SUMIFS(Fact_SortedWeights!$E$2:$E$89,Fact_SortedWeights!$C$2:$C$89,$A778,Fact_SortedWeights!$B$2:$B$89,$B778)*(IF($B778="Cardboard Recycling",SUMIFS(Fact_SortedWeights!$E$2:$E$89,Fact_SortedWeights!$C$2:$C$89,$A778,Fact_SortedWeights!$B$2:$B$89,$B778),SUMIFS(Fact_PreSortWeights!$E$2:$E$186,Fact_PreSortWeights!$C$2:$C$186,$A778,Fact_PreSortWeights!$B$2:$B$186,$B778))))</f>
        <v>0</v>
      </c>
      <c r="G778" s="0" t="n">
        <f aca="false">IF(AND(IF($B778="Trash",INDEX('Materials Master'!$F$2:$F$27,MATCH($C778,'Materials Master'!$A$2:$A$27,0)),IF($B778="GMPC Recycling",INDEX('Materials Master'!$G$2:$G$27,MATCH($C778,'Materials Master'!$A$2:$A$27,0)),IF($B778="Organics Recycling",INDEX('Materials Master'!$H$2:$H$27,MATCH($C778,'Materials Master'!$A$2:$A$27,0)),IF($B778="Cardboard Recycling",INDEX('Materials Master'!$I$2:$I$27,MATCH($C778,'Materials Master'!$A$2:$A$27,0)),IF($B778="Paper Recycling",INDEX('Materials Master'!$J$2:$J$27,MATCH($C778,'Materials Master'!$A$2:$A$27,0)),IF($B778="Terracycle",INDEX('Materials Master'!$K$2:$K$27,MATCH($C778,'Materials Master'!$A$2:$A$27,0)),"No"))))))="Yes",INDEX('Materials Master'!$E$2:$E$27,MATCH($C778,'Materials Master'!$A$2:$A$27,0))="Yes",$B778&lt;&gt;"Trash"),1,0)</f>
        <v>0</v>
      </c>
      <c r="H778" s="0" t="str">
        <f aca="false">INDEX('Materials Master'!$E$2:$E$27,MATCH($C778,'Materials Master'!$A$2:$A$27,0))</f>
        <v>No</v>
      </c>
      <c r="I778" s="0" t="str">
        <f aca="false">IFERROR(INDEX(Areas!$C$2:$C$6,MATCH($A778,Areas!$B$2:$B$6,0)),"")</f>
        <v>Rest of Building</v>
      </c>
      <c r="J778" s="0" t="n">
        <f aca="false">IF(IF($B778="Trash",INDEX('Materials Master'!$F$2:$F$27,MATCH($C778,'Materials Master'!$A$2:$A$27,0)),IF($B778="GMPC Recycling",INDEX('Materials Master'!$G$2:$G$27,MATCH($C778,'Materials Master'!$A$2:$A$27,0)),IF($B778="Organics Recycling",INDEX('Materials Master'!$H$2:$H$27,MATCH($C778,'Materials Master'!$A$2:$A$27,0)),IF($B778="Cardboard Recycling",INDEX('Materials Master'!$I$2:$I$27,MATCH($C778,'Materials Master'!$A$2:$A$27,0)),IF($B778="Paper Recycling",INDEX('Materials Master'!$J$2:$J$27,MATCH($C778,'Materials Master'!$A$2:$A$27,0)),IF($B778="Terracycle",INDEX('Materials Master'!$K$2:$K$27,MATCH($C778,'Materials Master'!$A$2:$A$27,0)),"No"))))))="Yes",1,0)</f>
        <v>0</v>
      </c>
    </row>
    <row r="779" customFormat="false" ht="15" hidden="false" customHeight="false" outlineLevel="0" collapsed="false">
      <c r="A779" s="0" t="s">
        <v>101</v>
      </c>
      <c r="B779" s="0" t="s">
        <v>108</v>
      </c>
      <c r="C779" s="0" t="s">
        <v>82</v>
      </c>
      <c r="D779" s="0" t="str">
        <f aca="false">IFERROR(INDEX('Materials Master'!$B$2:$B$27,MATCH($C779,'Materials Master'!$A$2:$A$27,0)),"")</f>
        <v>Liquids</v>
      </c>
      <c r="E779" s="0" t="str">
        <f aca="false">IFERROR(INDEX('Materials Master'!$C$2:$C$27,MATCH($C779,'Materials Master'!$A$2:$A$27,0)),"")</f>
        <v>Unacceptable</v>
      </c>
      <c r="F779" s="0" t="n">
        <f aca="false">IF(SUMIFS(Fact_SortedWeights!$E$2:$E$89,Fact_SortedWeights!$C$2:$C$89,$A779,Fact_SortedWeights!$B$2:$B$89,$B779)=0,0,SUMIFS(Fact_SortedWeights!$E$2:$E$89,Fact_SortedWeights!$C$2:$C$89,$A779,Fact_SortedWeights!$B$2:$B$89,$B779,Fact_SortedWeights!$D$2:$D$89,$C779)/SUMIFS(Fact_SortedWeights!$E$2:$E$89,Fact_SortedWeights!$C$2:$C$89,$A779,Fact_SortedWeights!$B$2:$B$89,$B779)*(IF($B779="Cardboard Recycling",SUMIFS(Fact_SortedWeights!$E$2:$E$89,Fact_SortedWeights!$C$2:$C$89,$A779,Fact_SortedWeights!$B$2:$B$89,$B779),SUMIFS(Fact_PreSortWeights!$E$2:$E$186,Fact_PreSortWeights!$C$2:$C$186,$A779,Fact_PreSortWeights!$B$2:$B$186,$B779))))</f>
        <v>0</v>
      </c>
      <c r="G779" s="0" t="n">
        <f aca="false">IF(AND(IF($B779="Trash",INDEX('Materials Master'!$F$2:$F$27,MATCH($C779,'Materials Master'!$A$2:$A$27,0)),IF($B779="GMPC Recycling",INDEX('Materials Master'!$G$2:$G$27,MATCH($C779,'Materials Master'!$A$2:$A$27,0)),IF($B779="Organics Recycling",INDEX('Materials Master'!$H$2:$H$27,MATCH($C779,'Materials Master'!$A$2:$A$27,0)),IF($B779="Cardboard Recycling",INDEX('Materials Master'!$I$2:$I$27,MATCH($C779,'Materials Master'!$A$2:$A$27,0)),IF($B779="Paper Recycling",INDEX('Materials Master'!$J$2:$J$27,MATCH($C779,'Materials Master'!$A$2:$A$27,0)),IF($B779="Terracycle",INDEX('Materials Master'!$K$2:$K$27,MATCH($C779,'Materials Master'!$A$2:$A$27,0)),"No"))))))="Yes",INDEX('Materials Master'!$E$2:$E$27,MATCH($C779,'Materials Master'!$A$2:$A$27,0))="Yes",$B779&lt;&gt;"Trash"),1,0)</f>
        <v>0</v>
      </c>
      <c r="H779" s="0" t="str">
        <f aca="false">INDEX('Materials Master'!$E$2:$E$27,MATCH($C779,'Materials Master'!$A$2:$A$27,0))</f>
        <v>No</v>
      </c>
      <c r="I779" s="0" t="str">
        <f aca="false">IFERROR(INDEX(Areas!$C$2:$C$6,MATCH($A779,Areas!$B$2:$B$6,0)),"")</f>
        <v>Rest of Building</v>
      </c>
      <c r="J779" s="0" t="n">
        <f aca="false">IF(IF($B779="Trash",INDEX('Materials Master'!$F$2:$F$27,MATCH($C779,'Materials Master'!$A$2:$A$27,0)),IF($B779="GMPC Recycling",INDEX('Materials Master'!$G$2:$G$27,MATCH($C779,'Materials Master'!$A$2:$A$27,0)),IF($B779="Organics Recycling",INDEX('Materials Master'!$H$2:$H$27,MATCH($C779,'Materials Master'!$A$2:$A$27,0)),IF($B779="Cardboard Recycling",INDEX('Materials Master'!$I$2:$I$27,MATCH($C779,'Materials Master'!$A$2:$A$27,0)),IF($B779="Paper Recycling",INDEX('Materials Master'!$J$2:$J$27,MATCH($C779,'Materials Master'!$A$2:$A$27,0)),IF($B779="Terracycle",INDEX('Materials Master'!$K$2:$K$27,MATCH($C779,'Materials Master'!$A$2:$A$27,0)),"No"))))))="Yes",1,0)</f>
        <v>0</v>
      </c>
    </row>
    <row r="780" customFormat="false" ht="15" hidden="false" customHeight="false" outlineLevel="0" collapsed="false">
      <c r="A780" s="0" t="s">
        <v>101</v>
      </c>
      <c r="B780" s="0" t="s">
        <v>108</v>
      </c>
      <c r="C780" s="0" t="s">
        <v>84</v>
      </c>
      <c r="D780" s="0" t="str">
        <f aca="false">IFERROR(INDEX('Materials Master'!$B$2:$B$27,MATCH($C780,'Materials Master'!$A$2:$A$27,0)),"")</f>
        <v>Snack Wrappers (Composites)</v>
      </c>
      <c r="E780" s="0" t="str">
        <f aca="false">IFERROR(INDEX('Materials Master'!$C$2:$C$27,MATCH($C780,'Materials Master'!$A$2:$A$27,0)),"")</f>
        <v>Other</v>
      </c>
      <c r="F780" s="0" t="n">
        <f aca="false">IF(SUMIFS(Fact_SortedWeights!$E$2:$E$89,Fact_SortedWeights!$C$2:$C$89,$A780,Fact_SortedWeights!$B$2:$B$89,$B780)=0,0,SUMIFS(Fact_SortedWeights!$E$2:$E$89,Fact_SortedWeights!$C$2:$C$89,$A780,Fact_SortedWeights!$B$2:$B$89,$B780,Fact_SortedWeights!$D$2:$D$89,$C780)/SUMIFS(Fact_SortedWeights!$E$2:$E$89,Fact_SortedWeights!$C$2:$C$89,$A780,Fact_SortedWeights!$B$2:$B$89,$B780)*(IF($B780="Cardboard Recycling",SUMIFS(Fact_SortedWeights!$E$2:$E$89,Fact_SortedWeights!$C$2:$C$89,$A780,Fact_SortedWeights!$B$2:$B$89,$B780),SUMIFS(Fact_PreSortWeights!$E$2:$E$186,Fact_PreSortWeights!$C$2:$C$186,$A780,Fact_PreSortWeights!$B$2:$B$186,$B780))))</f>
        <v>0</v>
      </c>
      <c r="G780" s="0" t="n">
        <f aca="false">IF(AND(IF($B780="Trash",INDEX('Materials Master'!$F$2:$F$27,MATCH($C780,'Materials Master'!$A$2:$A$27,0)),IF($B780="GMPC Recycling",INDEX('Materials Master'!$G$2:$G$27,MATCH($C780,'Materials Master'!$A$2:$A$27,0)),IF($B780="Organics Recycling",INDEX('Materials Master'!$H$2:$H$27,MATCH($C780,'Materials Master'!$A$2:$A$27,0)),IF($B780="Cardboard Recycling",INDEX('Materials Master'!$I$2:$I$27,MATCH($C780,'Materials Master'!$A$2:$A$27,0)),IF($B780="Paper Recycling",INDEX('Materials Master'!$J$2:$J$27,MATCH($C780,'Materials Master'!$A$2:$A$27,0)),IF($B780="Terracycle",INDEX('Materials Master'!$K$2:$K$27,MATCH($C780,'Materials Master'!$A$2:$A$27,0)),"No"))))))="Yes",INDEX('Materials Master'!$E$2:$E$27,MATCH($C780,'Materials Master'!$A$2:$A$27,0))="Yes",$B780&lt;&gt;"Trash"),1,0)</f>
        <v>1</v>
      </c>
      <c r="H780" s="0" t="str">
        <f aca="false">INDEX('Materials Master'!$E$2:$E$27,MATCH($C780,'Materials Master'!$A$2:$A$27,0))</f>
        <v>Yes</v>
      </c>
      <c r="I780" s="0" t="str">
        <f aca="false">IFERROR(INDEX(Areas!$C$2:$C$6,MATCH($A780,Areas!$B$2:$B$6,0)),"")</f>
        <v>Rest of Building</v>
      </c>
      <c r="J780" s="0" t="n">
        <f aca="false">IF(IF($B780="Trash",INDEX('Materials Master'!$F$2:$F$27,MATCH($C780,'Materials Master'!$A$2:$A$27,0)),IF($B780="GMPC Recycling",INDEX('Materials Master'!$G$2:$G$27,MATCH($C780,'Materials Master'!$A$2:$A$27,0)),IF($B780="Organics Recycling",INDEX('Materials Master'!$H$2:$H$27,MATCH($C780,'Materials Master'!$A$2:$A$27,0)),IF($B780="Cardboard Recycling",INDEX('Materials Master'!$I$2:$I$27,MATCH($C780,'Materials Master'!$A$2:$A$27,0)),IF($B780="Paper Recycling",INDEX('Materials Master'!$J$2:$J$27,MATCH($C780,'Materials Master'!$A$2:$A$27,0)),IF($B780="Terracycle",INDEX('Materials Master'!$K$2:$K$27,MATCH($C780,'Materials Master'!$A$2:$A$27,0)),"No"))))))="Yes",1,0)</f>
        <v>1</v>
      </c>
    </row>
    <row r="781" customFormat="false" ht="15" hidden="false" customHeight="false" outlineLevel="0" collapsed="false">
      <c r="A781" s="0" t="s">
        <v>101</v>
      </c>
      <c r="B781" s="0" t="s">
        <v>108</v>
      </c>
      <c r="C781" s="0" t="s">
        <v>87</v>
      </c>
      <c r="D781" s="0" t="str">
        <f aca="false">IFERROR(INDEX('Materials Master'!$B$2:$B$27,MATCH($C781,'Materials Master'!$A$2:$A$27,0)),"")</f>
        <v>Other/Residual Materials</v>
      </c>
      <c r="E781" s="0" t="str">
        <f aca="false">IFERROR(INDEX('Materials Master'!$C$2:$C$27,MATCH($C781,'Materials Master'!$A$2:$A$27,0)),"")</f>
        <v>Other</v>
      </c>
      <c r="F781" s="0" t="n">
        <f aca="false">IF(SUMIFS(Fact_SortedWeights!$E$2:$E$89,Fact_SortedWeights!$C$2:$C$89,$A781,Fact_SortedWeights!$B$2:$B$89,$B781)=0,0,SUMIFS(Fact_SortedWeights!$E$2:$E$89,Fact_SortedWeights!$C$2:$C$89,$A781,Fact_SortedWeights!$B$2:$B$89,$B781,Fact_SortedWeights!$D$2:$D$89,$C781)/SUMIFS(Fact_SortedWeights!$E$2:$E$89,Fact_SortedWeights!$C$2:$C$89,$A781,Fact_SortedWeights!$B$2:$B$89,$B781)*(IF($B781="Cardboard Recycling",SUMIFS(Fact_SortedWeights!$E$2:$E$89,Fact_SortedWeights!$C$2:$C$89,$A781,Fact_SortedWeights!$B$2:$B$89,$B781),SUMIFS(Fact_PreSortWeights!$E$2:$E$186,Fact_PreSortWeights!$C$2:$C$186,$A781,Fact_PreSortWeights!$B$2:$B$186,$B781))))</f>
        <v>0</v>
      </c>
      <c r="G781" s="0" t="n">
        <f aca="false">IF(AND(IF($B781="Trash",INDEX('Materials Master'!$F$2:$F$27,MATCH($C781,'Materials Master'!$A$2:$A$27,0)),IF($B781="GMPC Recycling",INDEX('Materials Master'!$G$2:$G$27,MATCH($C781,'Materials Master'!$A$2:$A$27,0)),IF($B781="Organics Recycling",INDEX('Materials Master'!$H$2:$H$27,MATCH($C781,'Materials Master'!$A$2:$A$27,0)),IF($B781="Cardboard Recycling",INDEX('Materials Master'!$I$2:$I$27,MATCH($C781,'Materials Master'!$A$2:$A$27,0)),IF($B781="Paper Recycling",INDEX('Materials Master'!$J$2:$J$27,MATCH($C781,'Materials Master'!$A$2:$A$27,0)),IF($B781="Terracycle",INDEX('Materials Master'!$K$2:$K$27,MATCH($C781,'Materials Master'!$A$2:$A$27,0)),"No"))))))="Yes",INDEX('Materials Master'!$E$2:$E$27,MATCH($C781,'Materials Master'!$A$2:$A$27,0))="Yes",$B781&lt;&gt;"Trash"),1,0)</f>
        <v>0</v>
      </c>
      <c r="H781" s="0" t="str">
        <f aca="false">INDEX('Materials Master'!$E$2:$E$27,MATCH($C781,'Materials Master'!$A$2:$A$27,0))</f>
        <v>No</v>
      </c>
      <c r="I781" s="0" t="str">
        <f aca="false">IFERROR(INDEX(Areas!$C$2:$C$6,MATCH($A781,Areas!$B$2:$B$6,0)),"")</f>
        <v>Rest of Building</v>
      </c>
      <c r="J781" s="0" t="n">
        <f aca="false">IF(IF($B781="Trash",INDEX('Materials Master'!$F$2:$F$27,MATCH($C781,'Materials Master'!$A$2:$A$27,0)),IF($B781="GMPC Recycling",INDEX('Materials Master'!$G$2:$G$27,MATCH($C781,'Materials Master'!$A$2:$A$27,0)),IF($B781="Organics Recycling",INDEX('Materials Master'!$H$2:$H$27,MATCH($C781,'Materials Master'!$A$2:$A$27,0)),IF($B781="Cardboard Recycling",INDEX('Materials Master'!$I$2:$I$27,MATCH($C781,'Materials Master'!$A$2:$A$27,0)),IF($B781="Paper Recycling",INDEX('Materials Master'!$J$2:$J$27,MATCH($C781,'Materials Master'!$A$2:$A$27,0)),IF($B781="Terracycle",INDEX('Materials Master'!$K$2:$K$27,MATCH($C781,'Materials Master'!$A$2:$A$27,0)),"No"))))))="Yes",1,0)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119</v>
      </c>
    </row>
    <row r="2" customFormat="false" ht="15" hidden="false" customHeight="false" outlineLevel="0" collapsed="false">
      <c r="A2" s="0" t="s">
        <v>120</v>
      </c>
      <c r="B2" s="0" t="s">
        <v>121</v>
      </c>
      <c r="C2" s="0" t="s">
        <v>122</v>
      </c>
      <c r="D2" s="0" t="s">
        <v>123</v>
      </c>
      <c r="E2" s="0" t="s">
        <v>124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SUMIFS(Fact_PreSortWeights!$E$2:$E$186,Fact_PreSortWeights!$C$2:$C$186,"OFFICES",Fact_PreSortWeights!$B$2:$B$186,"Trash")+SUMIFS(Fact_PreSortWeights!$E$2:$E$186,Fact_PreSortWeights!$C$2:$C$186,"CAFÉ BOH",Fact_PreSortWeights!$B$2:$B$186,"Trash")+SUMIFS(Fact_PreSortWeights!$E$2:$E$186,Fact_PreSortWeights!$C$2:$C$186,"LOCATION C",Fact_PreSortWeights!$B$2:$B$186,"Trash")+SUMIFS(Fact_PreSortWeights!$E$2:$E$186,Fact_PreSortWeights!$C$2:$C$186,"LOCATION D",Fact_PreSortWeights!$B$2:$B$186,"Trash")</f>
        <v>1823.3</v>
      </c>
      <c r="C3" s="0" t="n">
        <f aca="false">IF($B$10=0,0,B3/$B$10)</f>
        <v>0.5917832183791</v>
      </c>
      <c r="D3" s="0" t="n">
        <f aca="false">SUMIFS(Fact_Extrapolated!$F$2:$F$781,Fact_Extrapolated!$B$2:$B$781,A3,Fact_Extrapolated!$G$2:$G$781,1)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SUMIFS(Fact_PreSortWeights!$E$2:$E$186,Fact_PreSortWeights!$C$2:$C$186,"OFFICES",Fact_PreSortWeights!$B$2:$B$186,"GMPC Recycling")+SUMIFS(Fact_PreSortWeights!$E$2:$E$186,Fact_PreSortWeights!$C$2:$C$186,"CAFÉ BOH",Fact_PreSortWeights!$B$2:$B$186,"GMPC Recycling")+SUMIFS(Fact_PreSortWeights!$E$2:$E$186,Fact_PreSortWeights!$C$2:$C$186,"LOCATION C",Fact_PreSortWeights!$B$2:$B$186,"GMPC Recycling")+SUMIFS(Fact_PreSortWeights!$E$2:$E$186,Fact_PreSortWeights!$C$2:$C$186,"LOCATION D",Fact_PreSortWeights!$B$2:$B$186,"GMPC Recycling")</f>
        <v>45.2</v>
      </c>
      <c r="C4" s="0" t="n">
        <f aca="false">IF($B$10=0,0,B4/$B$10)</f>
        <v>0.0146704335384936</v>
      </c>
      <c r="D4" s="0" t="n">
        <f aca="false">SUMIFS(Fact_Extrapolated!$F$2:$F$781,Fact_Extrapolated!$B$2:$B$781,A4,Fact_Extrapolated!$G$2:$G$781,1)</f>
        <v>9.43354745027436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SUMIFS(Fact_PreSortWeights!$E$2:$E$186,Fact_PreSortWeights!$C$2:$C$186,"OFFICES",Fact_PreSortWeights!$B$2:$B$186,"Organics Recycling")+SUMIFS(Fact_PreSortWeights!$E$2:$E$186,Fact_PreSortWeights!$C$2:$C$186,"CAFÉ BOH",Fact_PreSortWeights!$B$2:$B$186,"Organics Recycling")+SUMIFS(Fact_PreSortWeights!$E$2:$E$186,Fact_PreSortWeights!$C$2:$C$186,"LOCATION C",Fact_PreSortWeights!$B$2:$B$186,"Organics Recycling")+SUMIFS(Fact_PreSortWeights!$E$2:$E$186,Fact_PreSortWeights!$C$2:$C$186,"LOCATION D",Fact_PreSortWeights!$B$2:$B$186,"Organics Recycling")</f>
        <v>635.5</v>
      </c>
      <c r="C5" s="0" t="n">
        <f aca="false">IF($B$10=0,0,B5/$B$10)</f>
        <v>0.206262400745855</v>
      </c>
      <c r="D5" s="0" t="n">
        <f aca="false">SUMIFS(Fact_Extrapolated!$F$2:$F$781,Fact_Extrapolated!$B$2:$B$781,A5,Fact_Extrapolated!$G$2:$G$781,1)</f>
        <v>247.30752583974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SUMIFS(Fact_SortedWeights!$E$2:$E$89,Fact_SortedWeights!$C$2:$C$89,"OFFICES",Fact_SortedWeights!$B$2:$B$89,"Cardboard Recycling")+SUMIFS(Fact_SortedWeights!$E$2:$E$89,Fact_SortedWeights!$C$2:$C$89,"CAFÉ BOH",Fact_SortedWeights!$B$2:$B$89,"Cardboard Recycling")+SUMIFS(Fact_SortedWeights!$E$2:$E$89,Fact_SortedWeights!$C$2:$C$89,"LOCATION C",Fact_SortedWeights!$B$2:$B$89,"Cardboard Recycling")+SUMIFS(Fact_SortedWeights!$E$2:$E$89,Fact_SortedWeights!$C$2:$C$89,"LOCATION D",Fact_SortedWeights!$B$2:$B$89,"Cardboard Recycling")</f>
        <v>349.826875</v>
      </c>
      <c r="C6" s="0" t="n">
        <f aca="false">IF($B$10=0,0,B6/$B$10)</f>
        <v>0.113542299107664</v>
      </c>
      <c r="D6" s="0" t="n">
        <f aca="false">SUMIFS(Fact_Extrapolated!$F$2:$F$781,Fact_Extrapolated!$B$2:$B$781,A6,Fact_Extrapolated!$G$2:$G$781,1)</f>
        <v>335.143125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SUMIFS(Fact_PreSortWeights!$E$2:$E$186,Fact_PreSortWeights!$C$2:$C$186,"OFFICES",Fact_PreSortWeights!$B$2:$B$186,"Paper Recycling")+SUMIFS(Fact_PreSortWeights!$E$2:$E$186,Fact_PreSortWeights!$C$2:$C$186,"CAFÉ BOH",Fact_PreSortWeights!$B$2:$B$186,"Paper Recycling")+SUMIFS(Fact_PreSortWeights!$E$2:$E$186,Fact_PreSortWeights!$C$2:$C$186,"LOCATION C",Fact_PreSortWeights!$B$2:$B$186,"Paper Recycling")+SUMIFS(Fact_PreSortWeights!$E$2:$E$186,Fact_PreSortWeights!$C$2:$C$186,"LOCATION D",Fact_PreSortWeights!$B$2:$B$186,"Paper Recycling")</f>
        <v>16.7</v>
      </c>
      <c r="C7" s="0" t="n">
        <f aca="false">IF($B$10=0,0,B7/$B$10)</f>
        <v>0.00542027079851421</v>
      </c>
      <c r="D7" s="0" t="n">
        <f aca="false">SUMIFS(Fact_Extrapolated!$F$2:$F$781,Fact_Extrapolated!$B$2:$B$781,A7,Fact_Extrapolated!$G$2:$G$781,1)</f>
        <v>16.6235473647142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SUMIFS(Fact_PreSortWeights!$E$2:$E$186,Fact_PreSortWeights!$C$2:$C$186,"OFFICES",Fact_PreSortWeights!$B$2:$B$186,"Terracycle")+SUMIFS(Fact_PreSortWeights!$E$2:$E$186,Fact_PreSortWeights!$C$2:$C$186,"CAFÉ BOH",Fact_PreSortWeights!$B$2:$B$186,"Terracycle")+SUMIFS(Fact_PreSortWeights!$E$2:$E$186,Fact_PreSortWeights!$C$2:$C$186,"LOCATION C",Fact_PreSortWeights!$B$2:$B$186,"Terracycle")+SUMIFS(Fact_PreSortWeights!$E$2:$E$186,Fact_PreSortWeights!$C$2:$C$186,"LOCATION D",Fact_PreSortWeights!$B$2:$B$186,"Terracycle")</f>
        <v>3.2</v>
      </c>
      <c r="C8" s="0" t="n">
        <f aca="false">IF($B$10=0,0,B8/$B$10)</f>
        <v>0.00103861476378715</v>
      </c>
      <c r="D8" s="0" t="n">
        <f aca="false">SUMIFS(Fact_Extrapolated!$F$2:$F$781,Fact_Extrapolated!$B$2:$B$781,A8,Fact_Extrapolated!$G$2:$G$781,1)</f>
        <v>3.0717998827438</v>
      </c>
    </row>
    <row r="9" customFormat="false" ht="15" hidden="false" customHeight="false" outlineLevel="0" collapsed="false">
      <c r="A9" s="0" t="s">
        <v>125</v>
      </c>
      <c r="B9" s="0" t="n">
        <f aca="false">SUMIFS(Fact_PreSortWeights!$E$2:$E$186,Fact_PreSortWeights!$C$2:$C$186,"BATHROOM")+SUMIFS(Fact_SortedWeights!$E$2:$E$89,Fact_SortedWeights!$C$2:$C$89,"BATHROOM",Fact_SortedWeights!$B$2:$B$89,"Cardboard Recycling")</f>
        <v>207.3</v>
      </c>
      <c r="C9" s="0" t="n">
        <f aca="false">IF($B$10=0,0,B9/$B$10)</f>
        <v>0.0672827626665866</v>
      </c>
      <c r="D9" s="0" t="n">
        <v>0</v>
      </c>
    </row>
    <row r="10" customFormat="false" ht="15" hidden="false" customHeight="false" outlineLevel="0" collapsed="false">
      <c r="A10" s="0" t="s">
        <v>126</v>
      </c>
      <c r="B10" s="0" t="n">
        <f aca="false">SUM(B3:B9)</f>
        <v>3081.026875</v>
      </c>
      <c r="C10" s="0" t="n">
        <f aca="false">IF($B$10=0,0,B10/$B$10)</f>
        <v>1</v>
      </c>
      <c r="D10" s="0" t="n">
        <f aca="false">SUM(D3:D9)</f>
        <v>611.579545537473</v>
      </c>
      <c r="E10" s="0" t="n">
        <f aca="false">IF(B10=0,0,D10/B10)</f>
        <v>0.198498607882955</v>
      </c>
    </row>
    <row r="11" customFormat="false" ht="15" hidden="false" customHeight="false" outlineLevel="0" collapsed="false"/>
    <row r="12" customFormat="false" ht="15" hidden="false" customHeight="false" outlineLevel="0" collapsed="false">
      <c r="A12" s="0" t="s">
        <v>127</v>
      </c>
    </row>
    <row r="13" customFormat="false" ht="15" hidden="false" customHeight="false" outlineLevel="0" collapsed="false">
      <c r="A13" s="0" t="s">
        <v>128</v>
      </c>
      <c r="B13" s="0" t="s">
        <v>129</v>
      </c>
      <c r="C13" s="0" t="s">
        <v>130</v>
      </c>
      <c r="D13" s="0" t="s">
        <v>122</v>
      </c>
      <c r="E13" s="0" t="s">
        <v>123</v>
      </c>
      <c r="F13" s="0" t="s">
        <v>124</v>
      </c>
      <c r="G13" s="0" t="s">
        <v>131</v>
      </c>
    </row>
    <row r="14" customFormat="false" ht="15" hidden="false" customHeight="false" outlineLevel="0" collapsed="false">
      <c r="A14" s="0" t="s">
        <v>30</v>
      </c>
      <c r="B14" s="0" t="s">
        <v>29</v>
      </c>
      <c r="C14" s="0" t="n">
        <f aca="false">SUMIFS(Fact_Extrapolated!$F$2:$F$781,Fact_Extrapolated!$C$2:$C$781,"FIB01")</f>
        <v>301.78</v>
      </c>
      <c r="D14" s="0" t="n">
        <f aca="false">IF($B$10=0,0,C14/$B$10)</f>
        <v>0.0979478635674023</v>
      </c>
      <c r="E14" s="0" t="n">
        <f aca="false">SUMIFS(Fact_Extrapolated!$F$2:$F$781,Fact_Extrapolated!$C$2:$C$781,"FIB01",Fact_Extrapolated!$G$2:$G$781,1)</f>
        <v>301.78</v>
      </c>
      <c r="F14" s="0" t="n">
        <f aca="false">IF(C14=0,0,E14/C14)</f>
        <v>1</v>
      </c>
      <c r="G14" s="0" t="str">
        <f aca="false">INDEX('Materials Master'!$D$2:$D$27,MATCH(B14,'Materials Master'!$B$2:$B$27,0))</f>
        <v>Yes</v>
      </c>
    </row>
    <row r="15" customFormat="false" ht="15" hidden="false" customHeight="false" outlineLevel="0" collapsed="false">
      <c r="B15" s="0" t="s">
        <v>34</v>
      </c>
      <c r="C15" s="0" t="n">
        <f aca="false">SUMIFS(Fact_Extrapolated!$F$2:$F$781,Fact_Extrapolated!$C$2:$C$781,"FIB02")</f>
        <v>0</v>
      </c>
      <c r="D15" s="0" t="n">
        <f aca="false">IF($B$10=0,0,C15/$B$10)</f>
        <v>0</v>
      </c>
      <c r="E15" s="0" t="n">
        <f aca="false">SUMIFS(Fact_Extrapolated!$F$2:$F$781,Fact_Extrapolated!$C$2:$C$781,"FIB02",Fact_Extrapolated!$G$2:$G$781,1)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36</v>
      </c>
      <c r="C16" s="0" t="n">
        <f aca="false">SUMIFS(Fact_Extrapolated!$F$2:$F$781,Fact_Extrapolated!$C$2:$C$781,"FIB03")</f>
        <v>4.4</v>
      </c>
      <c r="D16" s="0" t="n">
        <f aca="false">IF($B$10=0,0,C16/$B$10)</f>
        <v>0.00142809530020734</v>
      </c>
      <c r="E16" s="0" t="n">
        <f aca="false">SUMIFS(Fact_Extrapolated!$F$2:$F$781,Fact_Extrapolated!$C$2:$C$781,"FIB03",Fact_Extrapolated!$G$2:$G$781,1)</f>
        <v>0</v>
      </c>
      <c r="F16" s="0" t="n">
        <f aca="false">IF(C16=0,0,E16/C16)</f>
        <v>0</v>
      </c>
      <c r="G16" s="0" t="str">
        <f aca="false">INDEX('Materials Master'!$D$2:$D$27,MATCH(B16,'Materials Master'!$B$2:$B$27,0))</f>
        <v>No</v>
      </c>
    </row>
    <row r="17" customFormat="false" ht="15" hidden="false" customHeight="false" outlineLevel="0" collapsed="false">
      <c r="B17" s="0" t="s">
        <v>38</v>
      </c>
      <c r="C17" s="0" t="n">
        <f aca="false">SUMIFS(Fact_Extrapolated!$F$2:$F$781,Fact_Extrapolated!$C$2:$C$781,"FIB04")</f>
        <v>156.827128604652</v>
      </c>
      <c r="D17" s="0" t="n">
        <f aca="false">IF($B$10=0,0,C17/$B$10)</f>
        <v>0.0509009284784808</v>
      </c>
      <c r="E17" s="0" t="n">
        <f aca="false">SUMIFS(Fact_Extrapolated!$F$2:$F$781,Fact_Extrapolated!$C$2:$C$781,"FIB04",Fact_Extrapolated!$G$2:$G$781,1)</f>
        <v>52.6512577911537</v>
      </c>
      <c r="F17" s="0" t="n">
        <f aca="false">IF(C17=0,0,E17/C17)</f>
        <v>0.335727997187802</v>
      </c>
      <c r="G17" s="0" t="str">
        <f aca="false">INDEX('Materials Master'!$D$2:$D$27,MATCH(B17,'Materials Master'!$B$2:$B$27,0))</f>
        <v>Yes</v>
      </c>
    </row>
    <row r="18" customFormat="false" ht="15" hidden="false" customHeight="false" outlineLevel="0" collapsed="false">
      <c r="B18" s="0" t="s">
        <v>40</v>
      </c>
      <c r="C18" s="0" t="n">
        <f aca="false">SUMIFS(Fact_Extrapolated!$F$2:$F$781,Fact_Extrapolated!$C$2:$C$781,"FIB05")</f>
        <v>0</v>
      </c>
      <c r="D18" s="0" t="n">
        <f aca="false">IF($B$10=0,0,C18/$B$10)</f>
        <v>0</v>
      </c>
      <c r="E18" s="0" t="n">
        <f aca="false">SUMIFS(Fact_Extrapolated!$F$2:$F$781,Fact_Extrapolated!$C$2:$C$781,"FIB05",Fact_Extrapolated!$G$2:$G$781,1)</f>
        <v>0</v>
      </c>
      <c r="F18" s="0" t="n">
        <f aca="false">IF(C18=0,0,E18/C18)</f>
        <v>0</v>
      </c>
      <c r="G18" s="0" t="str">
        <f aca="false">INDEX('Materials Master'!$D$2:$D$27,MATCH(B18,'Materials Master'!$B$2:$B$27,0))</f>
        <v>No</v>
      </c>
    </row>
    <row r="19" customFormat="false" ht="15" hidden="false" customHeight="false" outlineLevel="0" collapsed="false">
      <c r="B19" s="0" t="s">
        <v>42</v>
      </c>
      <c r="C19" s="0" t="n">
        <f aca="false">SUMIFS(Fact_Extrapolated!$F$2:$F$781,Fact_Extrapolated!$C$2:$C$781,"FIB06")</f>
        <v>22.7012937011713</v>
      </c>
      <c r="D19" s="0" t="n">
        <f aca="false">IF($B$10=0,0,C19/$B$10)</f>
        <v>0.00736809337347027</v>
      </c>
      <c r="E19" s="0" t="n">
        <f aca="false">SUMIFS(Fact_Extrapolated!$F$2:$F$781,Fact_Extrapolated!$C$2:$C$781,"FIB06",Fact_Extrapolated!$G$2:$G$781,1)</f>
        <v>1.49981793368859</v>
      </c>
      <c r="F19" s="0" t="n">
        <f aca="false">IF(C19=0,0,E19/C19)</f>
        <v>0.066067509342483</v>
      </c>
      <c r="G19" s="0" t="str">
        <f aca="false">INDEX('Materials Master'!$D$2:$D$27,MATCH(B19,'Materials Master'!$B$2:$B$27,0))</f>
        <v>Yes</v>
      </c>
    </row>
    <row r="20" customFormat="false" ht="15" hidden="false" customHeight="false" outlineLevel="0" collapsed="false">
      <c r="B20" s="0" t="s">
        <v>44</v>
      </c>
      <c r="C20" s="0" t="n">
        <f aca="false">SUMIFS(Fact_Extrapolated!$F$2:$F$781,Fact_Extrapolated!$C$2:$C$781,"FIB07")</f>
        <v>0</v>
      </c>
      <c r="D20" s="0" t="n">
        <f aca="false">IF($B$10=0,0,C20/$B$10)</f>
        <v>0</v>
      </c>
      <c r="E20" s="0" t="n">
        <f aca="false">SUMIFS(Fact_Extrapolated!$F$2:$F$781,Fact_Extrapolated!$C$2:$C$781,"FIB07",Fact_Extrapolated!$G$2:$G$781,1)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B21" s="0" t="s">
        <v>46</v>
      </c>
      <c r="C21" s="0" t="n">
        <f aca="false">SUMIFS(Fact_Extrapolated!$F$2:$F$781,Fact_Extrapolated!$C$2:$C$781,"FIB08")</f>
        <v>5.10794536708889</v>
      </c>
      <c r="D21" s="0" t="n">
        <f aca="false">IF($B$10=0,0,C21/$B$10)</f>
        <v>0.00165787108464897</v>
      </c>
      <c r="E21" s="0" t="n">
        <f aca="false">SUMIFS(Fact_Extrapolated!$F$2:$F$781,Fact_Extrapolated!$C$2:$C$781,"FIB08",Fact_Extrapolated!$G$2:$G$781,1)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No</v>
      </c>
    </row>
    <row r="22" customFormat="false" ht="15" hidden="false" customHeight="false" outlineLevel="0" collapsed="false">
      <c r="A22" s="0" t="s">
        <v>49</v>
      </c>
      <c r="B22" s="0" t="s">
        <v>48</v>
      </c>
      <c r="C22" s="0" t="n">
        <f aca="false">SUMIFS(Fact_Extrapolated!$F$2:$F$781,Fact_Extrapolated!$C$2:$C$781,"GLA01")</f>
        <v>3.01363848402887</v>
      </c>
      <c r="D22" s="0" t="n">
        <f aca="false">IF($B$10=0,0,C22/$B$10)</f>
        <v>0.000978127944446724</v>
      </c>
      <c r="E22" s="0" t="n">
        <f aca="false">SUMIFS(Fact_Extrapolated!$F$2:$F$781,Fact_Extrapolated!$C$2:$C$781,"GLA01",Fact_Extrapolated!$G$2:$G$781,1)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Yes</v>
      </c>
    </row>
    <row r="23" customFormat="false" ht="15" hidden="false" customHeight="false" outlineLevel="0" collapsed="false">
      <c r="B23" s="0" t="s">
        <v>51</v>
      </c>
      <c r="C23" s="0" t="n">
        <f aca="false">SUMIFS(Fact_Extrapolated!$F$2:$F$781,Fact_Extrapolated!$C$2:$C$781,"GLA02")</f>
        <v>0</v>
      </c>
      <c r="D23" s="0" t="n">
        <f aca="false">IF($B$10=0,0,C23/$B$10)</f>
        <v>0</v>
      </c>
      <c r="E23" s="0" t="n">
        <f aca="false">SUMIFS(Fact_Extrapolated!$F$2:$F$781,Fact_Extrapolated!$C$2:$C$781,"GLA02",Fact_Extrapolated!$G$2:$G$781,1)</f>
        <v>0</v>
      </c>
      <c r="F23" s="0" t="n">
        <f aca="false">IF(C23=0,0,E23/C23)</f>
        <v>0</v>
      </c>
      <c r="G23" s="0" t="str">
        <f aca="false">INDEX('Materials Master'!$D$2:$D$27,MATCH(B23,'Materials Master'!$B$2:$B$27,0))</f>
        <v>No</v>
      </c>
    </row>
    <row r="24" customFormat="false" ht="15" hidden="false" customHeight="false" outlineLevel="0" collapsed="false">
      <c r="A24" s="0" t="s">
        <v>54</v>
      </c>
      <c r="B24" s="0" t="s">
        <v>53</v>
      </c>
      <c r="C24" s="0" t="n">
        <f aca="false">SUMIFS(Fact_Extrapolated!$F$2:$F$781,Fact_Extrapolated!$C$2:$C$781,"MET01")</f>
        <v>3.94970547460529</v>
      </c>
      <c r="D24" s="0" t="n">
        <f aca="false">IF($B$10=0,0,C24/$B$10)</f>
        <v>0.0012819445057925</v>
      </c>
      <c r="E24" s="0" t="n">
        <f aca="false">SUMIFS(Fact_Extrapolated!$F$2:$F$781,Fact_Extrapolated!$C$2:$C$781,"MET01",Fact_Extrapolated!$G$2:$G$781,1)</f>
        <v>0.619899304723088</v>
      </c>
      <c r="F24" s="0" t="n">
        <f aca="false">IF(C24=0,0,E24/C24)</f>
        <v>0.156948235433944</v>
      </c>
      <c r="G24" s="0" t="str">
        <f aca="false">INDEX('Materials Master'!$D$2:$D$27,MATCH(B24,'Materials Master'!$B$2:$B$27,0))</f>
        <v>Yes</v>
      </c>
    </row>
    <row r="25" customFormat="false" ht="15" hidden="false" customHeight="false" outlineLevel="0" collapsed="false">
      <c r="B25" s="0" t="s">
        <v>56</v>
      </c>
      <c r="C25" s="0" t="n">
        <f aca="false">SUMIFS(Fact_Extrapolated!$F$2:$F$781,Fact_Extrapolated!$C$2:$C$781,"MET02")</f>
        <v>1.23979860944618</v>
      </c>
      <c r="D25" s="0" t="n">
        <f aca="false">IF($B$10=0,0,C25/$B$10)</f>
        <v>0.000402397856216745</v>
      </c>
      <c r="E25" s="0" t="n">
        <f aca="false">SUMIFS(Fact_Extrapolated!$F$2:$F$781,Fact_Extrapolated!$C$2:$C$781,"MET02",Fact_Extrapolated!$G$2:$G$781,1)</f>
        <v>0</v>
      </c>
      <c r="F25" s="0" t="n">
        <f aca="false">IF(C25=0,0,E25/C25)</f>
        <v>0</v>
      </c>
      <c r="G25" s="0" t="str">
        <f aca="false">INDEX('Materials Master'!$D$2:$D$27,MATCH(B25,'Materials Master'!$B$2:$B$27,0))</f>
        <v>No</v>
      </c>
    </row>
    <row r="26" customFormat="false" ht="15" hidden="false" customHeight="false" outlineLevel="0" collapsed="false">
      <c r="A26" s="0" t="s">
        <v>59</v>
      </c>
      <c r="B26" s="0" t="s">
        <v>58</v>
      </c>
      <c r="C26" s="0" t="n">
        <f aca="false">SUMIFS(Fact_Extrapolated!$F$2:$F$781,Fact_Extrapolated!$C$2:$C$781,"PLA01")</f>
        <v>214.946380398774</v>
      </c>
      <c r="D26" s="0" t="n">
        <f aca="false">IF($B$10=0,0,C26/$B$10)</f>
        <v>0.0697645262827425</v>
      </c>
      <c r="E26" s="0" t="n">
        <f aca="false">SUMIFS(Fact_Extrapolated!$F$2:$F$781,Fact_Extrapolated!$C$2:$C$781,"PLA01",Fact_Extrapolated!$G$2:$G$781,1)</f>
        <v>4.64924478542316</v>
      </c>
      <c r="F26" s="0" t="n">
        <f aca="false">IF(C26=0,0,E26/C26)</f>
        <v>0.0216297886793803</v>
      </c>
      <c r="G26" s="0" t="str">
        <f aca="false">INDEX('Materials Master'!$D$2:$D$27,MATCH(B26,'Materials Master'!$B$2:$B$27,0))</f>
        <v>Yes</v>
      </c>
    </row>
    <row r="27" customFormat="false" ht="15" hidden="false" customHeight="false" outlineLevel="0" collapsed="false">
      <c r="B27" s="0" t="s">
        <v>61</v>
      </c>
      <c r="C27" s="0" t="n">
        <f aca="false">SUMIFS(Fact_Extrapolated!$F$2:$F$781,Fact_Extrapolated!$C$2:$C$781,"PLA02")</f>
        <v>0</v>
      </c>
      <c r="D27" s="0" t="n">
        <f aca="false">IF($B$10=0,0,C27/$B$10)</f>
        <v>0</v>
      </c>
      <c r="E27" s="0" t="n">
        <f aca="false">SUMIFS(Fact_Extrapolated!$F$2:$F$781,Fact_Extrapolated!$C$2:$C$781,"PLA02",Fact_Extrapolated!$G$2:$G$781,1)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63</v>
      </c>
      <c r="C28" s="0" t="n">
        <f aca="false">SUMIFS(Fact_Extrapolated!$F$2:$F$781,Fact_Extrapolated!$C$2:$C$781,"PLA03")</f>
        <v>176.38671537144</v>
      </c>
      <c r="D28" s="0" t="n">
        <f aca="false">IF($B$10=0,0,C28/$B$10)</f>
        <v>0.0572493271002189</v>
      </c>
      <c r="E28" s="0" t="n">
        <f aca="false">SUMIFS(Fact_Extrapolated!$F$2:$F$781,Fact_Extrapolated!$C$2:$C$781,"PLA03",Fact_Extrapolated!$G$2:$G$781,1)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B29" s="0" t="s">
        <v>65</v>
      </c>
      <c r="C29" s="0" t="n">
        <f aca="false">SUMIFS(Fact_Extrapolated!$F$2:$F$781,Fact_Extrapolated!$C$2:$C$781,"PLA04")</f>
        <v>3.10647746189352</v>
      </c>
      <c r="D29" s="0" t="n">
        <f aca="false">IF($B$10=0,0,C29/$B$10)</f>
        <v>0.00100826042352958</v>
      </c>
      <c r="E29" s="0" t="n">
        <f aca="false">SUMIFS(Fact_Extrapolated!$F$2:$F$781,Fact_Extrapolated!$C$2:$C$781,"PLA04",Fact_Extrapolated!$G$2:$G$781,1)</f>
        <v>0</v>
      </c>
      <c r="F29" s="0" t="n">
        <f aca="false">IF(C29=0,0,E29/C29)</f>
        <v>0</v>
      </c>
      <c r="G29" s="0" t="str">
        <f aca="false">INDEX('Materials Master'!$D$2:$D$27,MATCH(B29,'Materials Master'!$B$2:$B$27,0))</f>
        <v>No</v>
      </c>
    </row>
    <row r="30" customFormat="false" ht="15" hidden="false" customHeight="false" outlineLevel="0" collapsed="false">
      <c r="A30" s="0" t="s">
        <v>68</v>
      </c>
      <c r="B30" s="0" t="s">
        <v>67</v>
      </c>
      <c r="C30" s="0" t="n">
        <f aca="false">SUMIFS(Fact_Extrapolated!$F$2:$F$781,Fact_Extrapolated!$C$2:$C$781,"ORG01")</f>
        <v>1013.97199970501</v>
      </c>
      <c r="D30" s="0" t="n">
        <f aca="false">IF($B$10=0,0,C30/$B$10)</f>
        <v>0.329101965300128</v>
      </c>
      <c r="E30" s="0" t="n">
        <f aca="false">SUMIFS(Fact_Extrapolated!$F$2:$F$781,Fact_Extrapolated!$C$2:$C$781,"ORG01",Fact_Extrapolated!$G$2:$G$781,1)</f>
        <v>247.30752583974</v>
      </c>
      <c r="F30" s="0" t="n">
        <f aca="false">IF(C30=0,0,E30/C30)</f>
        <v>0.24389975848612</v>
      </c>
      <c r="G30" s="0" t="str">
        <f aca="false">INDEX('Materials Master'!$D$2:$D$27,MATCH(B30,'Materials Master'!$B$2:$B$27,0))</f>
        <v>Yes</v>
      </c>
    </row>
    <row r="31" customFormat="false" ht="15" hidden="false" customHeight="false" outlineLevel="0" collapsed="false">
      <c r="B31" s="0" t="s">
        <v>70</v>
      </c>
      <c r="C31" s="0" t="n">
        <f aca="false">SUMIFS(Fact_Extrapolated!$F$2:$F$781,Fact_Extrapolated!$C$2:$C$781,"ORG02")</f>
        <v>205.974684740138</v>
      </c>
      <c r="D31" s="0" t="n">
        <f aca="false">IF($B$10=0,0,C31/$B$10)</f>
        <v>0.0668526089179724</v>
      </c>
      <c r="E31" s="0" t="n">
        <f aca="false">SUMIFS(Fact_Extrapolated!$F$2:$F$781,Fact_Extrapolated!$C$2:$C$781,"ORG02",Fact_Extrapolated!$G$2:$G$781,1)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72</v>
      </c>
      <c r="C32" s="0" t="n">
        <f aca="false">SUMIFS(Fact_Extrapolated!$F$2:$F$781,Fact_Extrapolated!$C$2:$C$781,"ORG03")</f>
        <v>276.163742161468</v>
      </c>
      <c r="D32" s="0" t="n">
        <f aca="false">IF($B$10=0,0,C32/$B$10)</f>
        <v>0.0896336686973781</v>
      </c>
      <c r="E32" s="0" t="n">
        <f aca="false">SUMIFS(Fact_Extrapolated!$F$2:$F$781,Fact_Extrapolated!$C$2:$C$781,"ORG03",Fact_Extrapolated!$G$2:$G$781,1)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B33" s="0" t="s">
        <v>74</v>
      </c>
      <c r="C33" s="0" t="n">
        <f aca="false">SUMIFS(Fact_Extrapolated!$F$2:$F$781,Fact_Extrapolated!$C$2:$C$781,"ORG04")</f>
        <v>186.812170110737</v>
      </c>
      <c r="D33" s="0" t="n">
        <f aca="false">IF($B$10=0,0,C33/$B$10)</f>
        <v>0.0606330868537902</v>
      </c>
      <c r="E33" s="0" t="n">
        <f aca="false">SUMIFS(Fact_Extrapolated!$F$2:$F$781,Fact_Extrapolated!$C$2:$C$781,"ORG04",Fact_Extrapolated!$G$2:$G$781,1)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No</v>
      </c>
    </row>
    <row r="34" customFormat="false" ht="15" hidden="false" customHeight="false" outlineLevel="0" collapsed="false">
      <c r="A34" s="0" t="s">
        <v>77</v>
      </c>
      <c r="B34" s="0" t="s">
        <v>76</v>
      </c>
      <c r="C34" s="0" t="n">
        <f aca="false">SUMIFS(Fact_Extrapolated!$F$2:$F$781,Fact_Extrapolated!$C$2:$C$781,"UNA01")</f>
        <v>0</v>
      </c>
      <c r="D34" s="0" t="n">
        <f aca="false">IF($B$10=0,0,C34/$B$10)</f>
        <v>0</v>
      </c>
      <c r="E34" s="0" t="n">
        <f aca="false">SUMIFS(Fact_Extrapolated!$F$2:$F$781,Fact_Extrapolated!$C$2:$C$781,"UNA01",Fact_Extrapolated!$G$2:$G$781,1)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79</v>
      </c>
      <c r="C35" s="0" t="n">
        <f aca="false">SUMIFS(Fact_Extrapolated!$F$2:$F$781,Fact_Extrapolated!$C$2:$C$781,"UNA02")</f>
        <v>0.457481192715805</v>
      </c>
      <c r="D35" s="0" t="n">
        <f aca="false">IF($B$10=0,0,C35/$B$10)</f>
        <v>0.000148483350284247</v>
      </c>
      <c r="E35" s="0" t="n">
        <f aca="false">SUMIFS(Fact_Extrapolated!$F$2:$F$781,Fact_Extrapolated!$C$2:$C$781,"UNA02",Fact_Extrapolated!$G$2:$G$781,1)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81</v>
      </c>
      <c r="C36" s="0" t="n">
        <f aca="false">SUMIFS(Fact_Extrapolated!$F$2:$F$781,Fact_Extrapolated!$C$2:$C$781,"UNA03")</f>
        <v>3.28574766037787</v>
      </c>
      <c r="D36" s="0" t="n">
        <f aca="false">IF($B$10=0,0,C36/$B$10)</f>
        <v>0.00106644563442111</v>
      </c>
      <c r="E36" s="0" t="n">
        <f aca="false">SUMIFS(Fact_Extrapolated!$F$2:$F$781,Fact_Extrapolated!$C$2:$C$781,"UNA03",Fact_Extrapolated!$G$2:$G$781,1)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B37" s="0" t="s">
        <v>83</v>
      </c>
      <c r="C37" s="0" t="n">
        <f aca="false">SUMIFS(Fact_Extrapolated!$F$2:$F$781,Fact_Extrapolated!$C$2:$C$781,"UNA04")</f>
        <v>55.9967603934498</v>
      </c>
      <c r="D37" s="0" t="n">
        <f aca="false">IF($B$10=0,0,C37/$B$10)</f>
        <v>0.0181747068965277</v>
      </c>
      <c r="E37" s="0" t="n">
        <f aca="false">SUMIFS(Fact_Extrapolated!$F$2:$F$781,Fact_Extrapolated!$C$2:$C$781,"UNA04",Fact_Extrapolated!$G$2:$G$781,1)</f>
        <v>0</v>
      </c>
      <c r="F37" s="0" t="n">
        <f aca="false">IF(C37=0,0,E37/C37)</f>
        <v>0</v>
      </c>
      <c r="G37" s="0" t="str">
        <f aca="false">INDEX('Materials Master'!$D$2:$D$27,MATCH(B37,'Materials Master'!$B$2:$B$27,0))</f>
        <v>Unacceptable</v>
      </c>
    </row>
    <row r="38" customFormat="false" ht="15" hidden="false" customHeight="false" outlineLevel="0" collapsed="false">
      <c r="A38" s="0" t="s">
        <v>86</v>
      </c>
      <c r="B38" s="0" t="s">
        <v>85</v>
      </c>
      <c r="C38" s="0" t="n">
        <f aca="false">SUMIFS(Fact_Extrapolated!$F$2:$F$781,Fact_Extrapolated!$C$2:$C$781,"OTH01")</f>
        <v>22.9262659002886</v>
      </c>
      <c r="D38" s="0" t="n">
        <f aca="false">IF($B$10=0,0,C38/$B$10)</f>
        <v>0.00744111195079679</v>
      </c>
      <c r="E38" s="0" t="n">
        <f aca="false">SUMIFS(Fact_Extrapolated!$F$2:$F$781,Fact_Extrapolated!$C$2:$C$781,"OTH01",Fact_Extrapolated!$G$2:$G$781,1)</f>
        <v>3.0717998827438</v>
      </c>
      <c r="F38" s="0" t="n">
        <f aca="false">IF(C38=0,0,E38/C38)</f>
        <v>0.133986053206559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>
      <c r="B39" s="0" t="s">
        <v>88</v>
      </c>
      <c r="C39" s="0" t="n">
        <f aca="false">SUMIFS(Fact_Extrapolated!$F$2:$F$781,Fact_Extrapolated!$C$2:$C$781,"OTH02")</f>
        <v>214.678939662714</v>
      </c>
      <c r="D39" s="0" t="n">
        <f aca="false">IF($B$10=0,0,C39/$B$10)</f>
        <v>0.0696777238149583</v>
      </c>
      <c r="E39" s="0" t="n">
        <f aca="false">SUMIFS(Fact_Extrapolated!$F$2:$F$781,Fact_Extrapolated!$C$2:$C$781,"OTH02",Fact_Extrapolated!$G$2:$G$781,1)</f>
        <v>0</v>
      </c>
      <c r="F39" s="0" t="n">
        <f aca="false">IF(C39=0,0,E39/C39)</f>
        <v>0</v>
      </c>
      <c r="G39" s="0" t="str">
        <f aca="false">INDEX('Materials Master'!$D$2:$D$27,MATCH(B39,'Materials Master'!$B$2:$B$27,0))</f>
        <v>No</v>
      </c>
    </row>
    <row r="40" customFormat="false" ht="15" hidden="false" customHeight="false" outlineLevel="0" collapsed="false"/>
    <row r="41" customFormat="false" ht="15" hidden="false" customHeight="false" outlineLevel="0" collapsed="false">
      <c r="A41" s="0" t="s">
        <v>132</v>
      </c>
    </row>
    <row r="42" customFormat="false" ht="15" hidden="false" customHeight="false" outlineLevel="0" collapsed="false">
      <c r="A42" s="0" t="s">
        <v>129</v>
      </c>
      <c r="B42" s="0" t="s">
        <v>130</v>
      </c>
      <c r="C42" s="0" t="s">
        <v>122</v>
      </c>
    </row>
    <row r="43" customFormat="false" ht="15" hidden="false" customHeight="false" outlineLevel="0" collapsed="false">
      <c r="A43" s="0" t="s">
        <v>30</v>
      </c>
      <c r="B43" s="0" t="n">
        <f aca="false">SUM(C14:C21)</f>
        <v>490.816367672912</v>
      </c>
      <c r="C43" s="0" t="n">
        <f aca="false">IF($B$10=0,0,B43/$B$10)</f>
        <v>0.15930285180421</v>
      </c>
    </row>
    <row r="44" customFormat="false" ht="15" hidden="false" customHeight="false" outlineLevel="0" collapsed="false">
      <c r="A44" s="0" t="s">
        <v>49</v>
      </c>
      <c r="B44" s="0" t="n">
        <f aca="false">SUM(C22:C23)</f>
        <v>3.01363848402887</v>
      </c>
      <c r="C44" s="0" t="n">
        <f aca="false">IF($B$10=0,0,B44/$B$10)</f>
        <v>0.000978127944446724</v>
      </c>
    </row>
    <row r="45" customFormat="false" ht="15" hidden="false" customHeight="false" outlineLevel="0" collapsed="false">
      <c r="A45" s="0" t="s">
        <v>54</v>
      </c>
      <c r="B45" s="0" t="n">
        <f aca="false">SUM(C24:C25)</f>
        <v>5.18950408405147</v>
      </c>
      <c r="C45" s="0" t="n">
        <f aca="false">IF($B$10=0,0,B45/$B$10)</f>
        <v>0.00168434236200925</v>
      </c>
    </row>
    <row r="46" customFormat="false" ht="15" hidden="false" customHeight="false" outlineLevel="0" collapsed="false">
      <c r="A46" s="0" t="s">
        <v>59</v>
      </c>
      <c r="B46" s="0" t="n">
        <f aca="false">SUM(C26:C29)</f>
        <v>394.439573232107</v>
      </c>
      <c r="C46" s="0" t="n">
        <f aca="false">IF($B$10=0,0,B46/$B$10)</f>
        <v>0.128022113806491</v>
      </c>
    </row>
    <row r="47" customFormat="false" ht="15" hidden="false" customHeight="false" outlineLevel="0" collapsed="false">
      <c r="A47" s="0" t="s">
        <v>68</v>
      </c>
      <c r="B47" s="0" t="n">
        <f aca="false">SUM(C30:C33)</f>
        <v>1682.92259671735</v>
      </c>
      <c r="C47" s="0" t="n">
        <f aca="false">IF($B$10=0,0,B47/$B$10)</f>
        <v>0.546221329769268</v>
      </c>
    </row>
    <row r="48" customFormat="false" ht="15" hidden="false" customHeight="false" outlineLevel="0" collapsed="false">
      <c r="A48" s="0" t="s">
        <v>77</v>
      </c>
      <c r="B48" s="0" t="n">
        <f aca="false">SUM(C34:C37)</f>
        <v>59.7399892465435</v>
      </c>
      <c r="C48" s="0" t="n">
        <f aca="false">IF($B$10=0,0,B48/$B$10)</f>
        <v>0.0193896358812331</v>
      </c>
    </row>
    <row r="49" customFormat="false" ht="15" hidden="false" customHeight="false" outlineLevel="0" collapsed="false">
      <c r="A49" s="0" t="s">
        <v>86</v>
      </c>
      <c r="B49" s="0" t="n">
        <f aca="false">SUM(C38:C39)</f>
        <v>237.605205563003</v>
      </c>
      <c r="C49" s="0" t="n">
        <f aca="false">IF($B$10=0,0,B49/$B$10)</f>
        <v>0.0771188357657551</v>
      </c>
    </row>
    <row r="50" customFormat="false" ht="15" hidden="false" customHeight="false" outlineLevel="0" collapsed="false">
      <c r="A50" s="0" t="s">
        <v>133</v>
      </c>
      <c r="B50" s="0" t="n">
        <f aca="false">$B$10-SUM(B43:B49)</f>
        <v>207.300000000001</v>
      </c>
      <c r="C50" s="0" t="n">
        <f aca="false">IF($B$10=0,0,B50/$B$10)</f>
        <v>0.0672827626665868</v>
      </c>
    </row>
    <row r="51" customFormat="false" ht="15" hidden="false" customHeight="false" outlineLevel="0" collapsed="false">
      <c r="A51" s="0" t="s">
        <v>126</v>
      </c>
      <c r="B51" s="0" t="n">
        <f aca="false">SUM(B43:B50)</f>
        <v>3081.026875</v>
      </c>
      <c r="C51" s="0" t="n">
        <f aca="false">IF(B51=0,0,B51/$B$10)</f>
        <v>1</v>
      </c>
    </row>
    <row r="52" customFormat="false" ht="15" hidden="false" customHeight="false" outlineLevel="0" collapsed="false"/>
    <row r="53" customFormat="false" ht="15" hidden="false" customHeight="false" outlineLevel="0" collapsed="false">
      <c r="A53" s="0" t="s">
        <v>134</v>
      </c>
    </row>
    <row r="54" customFormat="false" ht="15" hidden="false" customHeight="false" outlineLevel="0" collapsed="false">
      <c r="A54" s="0" t="s">
        <v>135</v>
      </c>
      <c r="B54" s="0" t="s">
        <v>103</v>
      </c>
      <c r="C54" s="0" t="s">
        <v>104</v>
      </c>
      <c r="D54" s="0" t="s">
        <v>105</v>
      </c>
      <c r="E54" s="0" t="s">
        <v>106</v>
      </c>
      <c r="F54" s="0" t="s">
        <v>107</v>
      </c>
      <c r="G54" s="0" t="s">
        <v>108</v>
      </c>
    </row>
    <row r="55" customFormat="false" ht="15" hidden="false" customHeight="false" outlineLevel="0" collapsed="false">
      <c r="A55" s="0" t="s">
        <v>93</v>
      </c>
      <c r="B55" s="0" t="n">
        <f aca="false">IF((SUMIFS(Fact_PreSortWeights!$E$2:$E$186,Fact_PreSortWeights!$C$2:$C$186,"OFFICES",Fact_PreSortWeights!$B$2:$B$186,"Trash")+SUMIFS(Fact_PreSortWeights!$E$2:$E$186,Fact_PreSortWeights!$C$2:$C$186,"LOCATION C",Fact_PreSortWeights!$B$2:$B$186,"Trash")+SUMIFS(Fact_PreSortWeights!$E$2:$E$186,Fact_PreSortWeights!$C$2:$C$186,"LOCATION D",Fact_PreSortWeights!$B$2:$B$186,"Trash"))=0,0,1-SUMIFS(Fact_Extrapolated!$F$2:$F$781,Fact_Extrapolated!$I$2:$I$781,"Rest of Building",Fact_Extrapolated!$B$2:$B$781,"Trash",Fact_Extrapolated!$J$2:$J$781,1)/(SUMIFS(Fact_PreSortWeights!$E$2:$E$186,Fact_PreSortWeights!$C$2:$C$186,"OFFICES",Fact_PreSortWeights!$B$2:$B$186,"Trash")+SUMIFS(Fact_PreSortWeights!$E$2:$E$186,Fact_PreSortWeights!$C$2:$C$186,"LOCATION C",Fact_PreSortWeights!$B$2:$B$186,"Trash")+SUMIFS(Fact_PreSortWeights!$E$2:$E$186,Fact_PreSortWeights!$C$2:$C$186,"LOCATION D",Fact_PreSortWeights!$B$2:$B$186,"Trash")))</f>
        <v>0.419826764928111</v>
      </c>
      <c r="C55" s="0" t="n">
        <f aca="false">IF((SUMIFS(Fact_PreSortWeights!$E$2:$E$186,Fact_PreSortWeights!$C$2:$C$186,"OFFICES",Fact_PreSortWeights!$B$2:$B$186,"GMPC Recycling")+SUMIFS(Fact_PreSortWeights!$E$2:$E$186,Fact_PreSortWeights!$C$2:$C$186,"LOCATION C",Fact_PreSortWeights!$B$2:$B$186,"GMPC Recycling")+SUMIFS(Fact_PreSortWeights!$E$2:$E$186,Fact_PreSortWeights!$C$2:$C$186,"LOCATION D",Fact_PreSortWeights!$B$2:$B$186,"GMPC Recycling"))=0,0,1-SUMIFS(Fact_Extrapolated!$F$2:$F$781,Fact_Extrapolated!$I$2:$I$781,"Rest of Building",Fact_Extrapolated!$B$2:$B$781,"GMPC Recycling",Fact_Extrapolated!$J$2:$J$781,1)/(SUMIFS(Fact_PreSortWeights!$E$2:$E$186,Fact_PreSortWeights!$C$2:$C$186,"OFFICES",Fact_PreSortWeights!$B$2:$B$186,"GMPC Recycling")+SUMIFS(Fact_PreSortWeights!$E$2:$E$186,Fact_PreSortWeights!$C$2:$C$186,"LOCATION C",Fact_PreSortWeights!$B$2:$B$186,"GMPC Recycling")+SUMIFS(Fact_PreSortWeights!$E$2:$E$186,Fact_PreSortWeights!$C$2:$C$186,"LOCATION D",Fact_PreSortWeights!$B$2:$B$186,"GMPC Recycling")))</f>
        <v>0.792136178374491</v>
      </c>
      <c r="D55" s="0" t="n">
        <f aca="false">IF((SUMIFS(Fact_PreSortWeights!$E$2:$E$186,Fact_PreSortWeights!$C$2:$C$186,"OFFICES",Fact_PreSortWeights!$B$2:$B$186,"Organics Recycling")+SUMIFS(Fact_PreSortWeights!$E$2:$E$186,Fact_PreSortWeights!$C$2:$C$186,"LOCATION C",Fact_PreSortWeights!$B$2:$B$186,"Organics Recycling")+SUMIFS(Fact_PreSortWeights!$E$2:$E$186,Fact_PreSortWeights!$C$2:$C$186,"LOCATION D",Fact_PreSortWeights!$B$2:$B$186,"Organics Recycling"))=0,0,1-SUMIFS(Fact_Extrapolated!$F$2:$F$781,Fact_Extrapolated!$I$2:$I$781,"Rest of Building",Fact_Extrapolated!$B$2:$B$781,"Organics Recycling",Fact_Extrapolated!$J$2:$J$781,1)/(SUMIFS(Fact_PreSortWeights!$E$2:$E$186,Fact_PreSortWeights!$C$2:$C$186,"OFFICES",Fact_PreSortWeights!$B$2:$B$186,"Organics Recycling")+SUMIFS(Fact_PreSortWeights!$E$2:$E$186,Fact_PreSortWeights!$C$2:$C$186,"LOCATION C",Fact_PreSortWeights!$B$2:$B$186,"Organics Recycling")+SUMIFS(Fact_PreSortWeights!$E$2:$E$186,Fact_PreSortWeights!$C$2:$C$186,"LOCATION D",Fact_PreSortWeights!$B$2:$B$186,"Organics Recycling")))</f>
        <v>0.671117268607184</v>
      </c>
      <c r="E55" s="0" t="n">
        <f aca="false">IF((SUMIFS(Fact_SortedWeights!$E$2:$E$89,Fact_SortedWeights!$C$2:$C$89,"OFFICES",Fact_SortedWeights!$B$2:$B$89,"Cardboard Recycling")+SUMIFS(Fact_SortedWeights!$E$2:$E$89,Fact_SortedWeights!$C$2:$C$89,"LOCATION C",Fact_SortedWeights!$B$2:$B$89,"Cardboard Recycling")+SUMIFS(Fact_SortedWeights!$E$2:$E$89,Fact_SortedWeights!$C$2:$C$89,"LOCATION D",Fact_SortedWeights!$B$2:$B$89,"Cardboard Recycling"))=0,0,1-SUMIFS(Fact_Extrapolated!$F$2:$F$781,Fact_Extrapolated!$I$2:$I$781,"Rest of Building",Fact_Extrapolated!$B$2:$B$781,"Cardboard Recycling",Fact_Extrapolated!$J$2:$J$781,1)/(SUMIFS(Fact_SortedWeights!$E$2:$E$89,Fact_SortedWeights!$C$2:$C$89,"OFFICES",Fact_SortedWeights!$B$2:$B$89,"Cardboard Recycling")+SUMIFS(Fact_SortedWeights!$E$2:$E$89,Fact_SortedWeights!$C$2:$C$89,"LOCATION C",Fact_SortedWeights!$B$2:$B$89,"Cardboard Recycling")+SUMIFS(Fact_SortedWeights!$E$2:$E$89,Fact_SortedWeights!$C$2:$C$89,"LOCATION D",Fact_SortedWeights!$B$2:$B$89,"Cardboard Recycling")))</f>
        <v>0.0419743337329357</v>
      </c>
      <c r="F55" s="0" t="n">
        <f aca="false">IF((SUMIFS(Fact_PreSortWeights!$E$2:$E$186,Fact_PreSortWeights!$C$2:$C$186,"OFFICES",Fact_PreSortWeights!$B$2:$B$186,"Paper Recycling")+SUMIFS(Fact_PreSortWeights!$E$2:$E$186,Fact_PreSortWeights!$C$2:$C$186,"LOCATION C",Fact_PreSortWeights!$B$2:$B$186,"Paper Recycling")+SUMIFS(Fact_PreSortWeights!$E$2:$E$186,Fact_PreSortWeights!$C$2:$C$186,"LOCATION D",Fact_PreSortWeights!$B$2:$B$186,"Paper Recycling"))=0,0,1-SUMIFS(Fact_Extrapolated!$F$2:$F$781,Fact_Extrapolated!$I$2:$I$781,"Rest of Building",Fact_Extrapolated!$B$2:$B$781,"Paper Recycling",Fact_Extrapolated!$J$2:$J$781,1)/(SUMIFS(Fact_PreSortWeights!$E$2:$E$186,Fact_PreSortWeights!$C$2:$C$186,"OFFICES",Fact_PreSortWeights!$B$2:$B$186,"Paper Recycling")+SUMIFS(Fact_PreSortWeights!$E$2:$E$186,Fact_PreSortWeights!$C$2:$C$186,"LOCATION C",Fact_PreSortWeights!$B$2:$B$186,"Paper Recycling")+SUMIFS(Fact_PreSortWeights!$E$2:$E$186,Fact_PreSortWeights!$C$2:$C$186,"LOCATION D",Fact_PreSortWeights!$B$2:$B$186,"Paper Recycling")))</f>
        <v>0.00457800211292414</v>
      </c>
      <c r="G55" s="0" t="n">
        <f aca="false">IF((SUMIFS(Fact_PreSortWeights!$E$2:$E$186,Fact_PreSortWeights!$C$2:$C$186,"OFFICES",Fact_PreSortWeights!$B$2:$B$186,"Terracycle")+SUMIFS(Fact_PreSortWeights!$E$2:$E$186,Fact_PreSortWeights!$C$2:$C$186,"LOCATION C",Fact_PreSortWeights!$B$2:$B$186,"Terracycle")+SUMIFS(Fact_PreSortWeights!$E$2:$E$186,Fact_PreSortWeights!$C$2:$C$186,"LOCATION D",Fact_PreSortWeights!$B$2:$B$186,"Terracycle"))=0,0,1-SUMIFS(Fact_Extrapolated!$F$2:$F$781,Fact_Extrapolated!$I$2:$I$781,"Rest of Building",Fact_Extrapolated!$B$2:$B$781,"Terracycle",Fact_Extrapolated!$J$2:$J$781,1)/(SUMIFS(Fact_PreSortWeights!$E$2:$E$186,Fact_PreSortWeights!$C$2:$C$186,"OFFICES",Fact_PreSortWeights!$B$2:$B$186,"Terracycle")+SUMIFS(Fact_PreSortWeights!$E$2:$E$186,Fact_PreSortWeights!$C$2:$C$186,"LOCATION C",Fact_PreSortWeights!$B$2:$B$186,"Terracycle")+SUMIFS(Fact_PreSortWeights!$E$2:$E$186,Fact_PreSortWeights!$C$2:$C$186,"LOCATION D",Fact_PreSortWeights!$B$2:$B$186,"Terracycle")))</f>
        <v>0.040062536642564</v>
      </c>
    </row>
    <row r="56" customFormat="false" ht="15" hidden="false" customHeight="false" outlineLevel="0" collapsed="false">
      <c r="A56" s="0" t="s">
        <v>96</v>
      </c>
      <c r="B56" s="0" t="n">
        <f aca="false">IF((SUMIFS(Fact_PreSortWeights!$E$2:$E$186,Fact_PreSortWeights!$C$2:$C$186,"CAFÉ BOH",Fact_PreSortWeights!$B$2:$B$186,"Trash"))=0,0,1-SUMIFS(Fact_Extrapolated!$F$2:$F$781,Fact_Extrapolated!$I$2:$I$781,"BOH",Fact_Extrapolated!$B$2:$B$781,"Trash",Fact_Extrapolated!$J$2:$J$781,1)/(SUMIFS(Fact_PreSortWeights!$E$2:$E$186,Fact_PreSortWeights!$C$2:$C$186,"CAFÉ BOH",Fact_PreSortWeights!$B$2:$B$186,"Trash")))</f>
        <v>0.670562903721932</v>
      </c>
      <c r="C56" s="0" t="n">
        <f aca="false">IF((SUMIFS(Fact_PreSortWeights!$E$2:$E$186,Fact_PreSortWeights!$C$2:$C$186,"CAFÉ BOH",Fact_PreSortWeights!$B$2:$B$186,"GMPC Recycling"))=0,0,1-SUMIFS(Fact_Extrapolated!$F$2:$F$781,Fact_Extrapolated!$I$2:$I$781,"BOH",Fact_Extrapolated!$B$2:$B$781,"GMPC Recycling",Fact_Extrapolated!$J$2:$J$781,1)/(SUMIFS(Fact_PreSortWeights!$E$2:$E$186,Fact_PreSortWeights!$C$2:$C$186,"CAFÉ BOH",Fact_PreSortWeights!$B$2:$B$186,"GMPC Recycling")))</f>
        <v>0.784198113207547</v>
      </c>
      <c r="D56" s="0" t="n">
        <f aca="false">IF((SUMIFS(Fact_PreSortWeights!$E$2:$E$186,Fact_PreSortWeights!$C$2:$C$186,"CAFÉ BOH",Fact_PreSortWeights!$B$2:$B$186,"Organics Recycling"))=0,0,1-SUMIFS(Fact_Extrapolated!$F$2:$F$781,Fact_Extrapolated!$I$2:$I$781,"BOH",Fact_Extrapolated!$B$2:$B$781,"Organics Recycling",Fact_Extrapolated!$J$2:$J$781,1)/(SUMIFS(Fact_PreSortWeights!$E$2:$E$186,Fact_PreSortWeights!$C$2:$C$186,"CAFÉ BOH",Fact_PreSortWeights!$B$2:$B$186,"Organics Recycling")))</f>
        <v>0.236847993781724</v>
      </c>
      <c r="E56" s="0" t="n">
        <f aca="false">IF((SUMIFS(Fact_SortedWeights!$E$2:$E$89,Fact_SortedWeights!$C$2:$C$89,"CAFÉ BOH",Fact_SortedWeights!$B$2:$B$89,"Cardboard Recycling"))=0,0,1-SUMIFS(Fact_Extrapolated!$F$2:$F$781,Fact_Extrapolated!$I$2:$I$781,"BOH",Fact_Extrapolated!$B$2:$B$781,"Cardboard Recycling",Fact_Extrapolated!$J$2:$J$781,1)/(SUMIFS(Fact_SortedWeights!$E$2:$E$89,Fact_SortedWeights!$C$2:$C$89,"CAFÉ BOH",Fact_SortedWeights!$B$2:$B$89,"Cardboard Recycling")))</f>
        <v>0</v>
      </c>
      <c r="F56" s="0" t="n">
        <f aca="false">IF((SUMIFS(Fact_PreSortWeights!$E$2:$E$186,Fact_PreSortWeights!$C$2:$C$186,"CAFÉ BOH",Fact_PreSortWeights!$B$2:$B$186,"Paper Recycling"))=0,0,1-SUMIFS(Fact_Extrapolated!$F$2:$F$781,Fact_Extrapolated!$I$2:$I$781,"BOH",Fact_Extrapolated!$B$2:$B$781,"Paper Recycling",Fact_Extrapolated!$J$2:$J$781,1)/(SUMIFS(Fact_PreSortWeights!$E$2:$E$186,Fact_PreSortWeights!$C$2:$C$186,"CAFÉ BOH",Fact_PreSortWeights!$B$2:$B$186,"Paper Recycling")))</f>
        <v>0</v>
      </c>
      <c r="G56" s="0" t="n">
        <f aca="false">IF((SUMIFS(Fact_PreSortWeights!$E$2:$E$186,Fact_PreSortWeights!$C$2:$C$186,"CAFÉ BOH",Fact_PreSortWeights!$B$2:$B$186,"Terracycle"))=0,0,1-SUMIFS(Fact_Extrapolated!$F$2:$F$781,Fact_Extrapolated!$I$2:$I$781,"BOH",Fact_Extrapolated!$B$2:$B$781,"Terracycle",Fact_Extrapolated!$J$2:$J$781,1)/(SUMIFS(Fact_PreSortWeights!$E$2:$E$186,Fact_PreSortWeights!$C$2:$C$186,"CAFÉ BOH",Fact_PreSortWeights!$B$2:$B$186,"Terracycle")))</f>
        <v>0</v>
      </c>
    </row>
    <row r="57" customFormat="false" ht="15" hidden="false" customHeight="false" outlineLevel="0" collapsed="false">
      <c r="A57" s="0" t="s">
        <v>126</v>
      </c>
      <c r="B57" s="0" t="n">
        <f aca="false">IF((SUMIFS(Fact_PreSortWeights!$E$2:$E$186,Fact_PreSortWeights!$C$2:$C$186,"OFFICES",Fact_PreSortWeights!$B$2:$B$186,"Trash")+SUMIFS(Fact_PreSortWeights!$E$2:$E$186,Fact_PreSortWeights!$C$2:$C$186,"CAFÉ BOH",Fact_PreSortWeights!$B$2:$B$186,"Trash")+SUMIFS(Fact_PreSortWeights!$E$2:$E$186,Fact_PreSortWeights!$C$2:$C$186,"LOCATION C",Fact_PreSortWeights!$B$2:$B$186,"Trash")+SUMIFS(Fact_PreSortWeights!$E$2:$E$186,Fact_PreSortWeights!$C$2:$C$186,"LOCATION D",Fact_PreSortWeights!$B$2:$B$186,"Trash"))=0,0,1-SUMIFS(Fact_Extrapolated!$F$2:$F$781,Fact_Extrapolated!$B$2:$B$781,"Trash",Fact_Extrapolated!$J$2:$J$781,1)/(SUMIFS(Fact_PreSortWeights!$E$2:$E$186,Fact_PreSortWeights!$C$2:$C$186,"OFFICES",Fact_PreSortWeights!$B$2:$B$186,"Trash")+SUMIFS(Fact_PreSortWeights!$E$2:$E$186,Fact_PreSortWeights!$C$2:$C$186,"CAFÉ BOH",Fact_PreSortWeights!$B$2:$B$186,"Trash")+SUMIFS(Fact_PreSortWeights!$E$2:$E$186,Fact_PreSortWeights!$C$2:$C$186,"LOCATION C",Fact_PreSortWeights!$B$2:$B$186,"Trash")+SUMIFS(Fact_PreSortWeights!$E$2:$E$186,Fact_PreSortWeights!$C$2:$C$186,"LOCATION D",Fact_PreSortWeights!$B$2:$B$186,"Trash")))</f>
        <v>0.575758157336553</v>
      </c>
      <c r="C57" s="0" t="n">
        <f aca="false">IF((SUMIFS(Fact_PreSortWeights!$E$2:$E$186,Fact_PreSortWeights!$C$2:$C$186,"OFFICES",Fact_PreSortWeights!$B$2:$B$186,"GMPC Recycling")+SUMIFS(Fact_PreSortWeights!$E$2:$E$186,Fact_PreSortWeights!$C$2:$C$186,"CAFÉ BOH",Fact_PreSortWeights!$B$2:$B$186,"GMPC Recycling")+SUMIFS(Fact_PreSortWeights!$E$2:$E$186,Fact_PreSortWeights!$C$2:$C$186,"LOCATION C",Fact_PreSortWeights!$B$2:$B$186,"GMPC Recycling")+SUMIFS(Fact_PreSortWeights!$E$2:$E$186,Fact_PreSortWeights!$C$2:$C$186,"LOCATION D",Fact_PreSortWeights!$B$2:$B$186,"GMPC Recycling"))=0,0,1-SUMIFS(Fact_Extrapolated!$F$2:$F$781,Fact_Extrapolated!$B$2:$B$781,"GMPC Recycling",Fact_Extrapolated!$J$2:$J$781,1)/(SUMIFS(Fact_PreSortWeights!$E$2:$E$186,Fact_PreSortWeights!$C$2:$C$186,"OFFICES",Fact_PreSortWeights!$B$2:$B$186,"GMPC Recycling")+SUMIFS(Fact_PreSortWeights!$E$2:$E$186,Fact_PreSortWeights!$C$2:$C$186,"CAFÉ BOH",Fact_PreSortWeights!$B$2:$B$186,"GMPC Recycling")+SUMIFS(Fact_PreSortWeights!$E$2:$E$186,Fact_PreSortWeights!$C$2:$C$186,"LOCATION C",Fact_PreSortWeights!$B$2:$B$186,"GMPC Recycling")+SUMIFS(Fact_PreSortWeights!$E$2:$E$186,Fact_PreSortWeights!$C$2:$C$186,"LOCATION D",Fact_PreSortWeights!$B$2:$B$186,"GMPC Recycling")))</f>
        <v>0.79129319800278</v>
      </c>
      <c r="D57" s="0" t="n">
        <f aca="false">IF((SUMIFS(Fact_PreSortWeights!$E$2:$E$186,Fact_PreSortWeights!$C$2:$C$186,"OFFICES",Fact_PreSortWeights!$B$2:$B$186,"Organics Recycling")+SUMIFS(Fact_PreSortWeights!$E$2:$E$186,Fact_PreSortWeights!$C$2:$C$186,"CAFÉ BOH",Fact_PreSortWeights!$B$2:$B$186,"Organics Recycling")+SUMIFS(Fact_PreSortWeights!$E$2:$E$186,Fact_PreSortWeights!$C$2:$C$186,"LOCATION C",Fact_PreSortWeights!$B$2:$B$186,"Organics Recycling")+SUMIFS(Fact_PreSortWeights!$E$2:$E$186,Fact_PreSortWeights!$C$2:$C$186,"LOCATION D",Fact_PreSortWeights!$B$2:$B$186,"Organics Recycling"))=0,0,1-SUMIFS(Fact_Extrapolated!$F$2:$F$781,Fact_Extrapolated!$B$2:$B$781,"Organics Recycling",Fact_Extrapolated!$J$2:$J$781,1)/(SUMIFS(Fact_PreSortWeights!$E$2:$E$186,Fact_PreSortWeights!$C$2:$C$186,"OFFICES",Fact_PreSortWeights!$B$2:$B$186,"Organics Recycling")+SUMIFS(Fact_PreSortWeights!$E$2:$E$186,Fact_PreSortWeights!$C$2:$C$186,"CAFÉ BOH",Fact_PreSortWeights!$B$2:$B$186,"Organics Recycling")+SUMIFS(Fact_PreSortWeights!$E$2:$E$186,Fact_PreSortWeights!$C$2:$C$186,"LOCATION C",Fact_PreSortWeights!$B$2:$B$186,"Organics Recycling")+SUMIFS(Fact_PreSortWeights!$E$2:$E$186,Fact_PreSortWeights!$C$2:$C$186,"LOCATION D",Fact_PreSortWeights!$B$2:$B$186,"Organics Recycling")))</f>
        <v>0.610845750055483</v>
      </c>
      <c r="E57" s="0" t="n">
        <f aca="false">IF((SUMIFS(Fact_SortedWeights!$E$2:$E$89,Fact_SortedWeights!$C$2:$C$89,"OFFICES",Fact_SortedWeights!$B$2:$B$89,"Cardboard Recycling")+SUMIFS(Fact_SortedWeights!$E$2:$E$89,Fact_SortedWeights!$C$2:$C$89,"CAFÉ BOH",Fact_SortedWeights!$B$2:$B$89,"Cardboard Recycling")+SUMIFS(Fact_SortedWeights!$E$2:$E$89,Fact_SortedWeights!$C$2:$C$89,"LOCATION C",Fact_SortedWeights!$B$2:$B$89,"Cardboard Recycling")+SUMIFS(Fact_SortedWeights!$E$2:$E$89,Fact_SortedWeights!$C$2:$C$89,"LOCATION D",Fact_SortedWeights!$B$2:$B$89,"Cardboard Recycling"))=0,0,1-SUMIFS(Fact_Extrapolated!$F$2:$F$781,Fact_Extrapolated!$B$2:$B$781,"Cardboard Recycling",Fact_Extrapolated!$J$2:$J$781,1)/(SUMIFS(Fact_SortedWeights!$E$2:$E$89,Fact_SortedWeights!$C$2:$C$89,"OFFICES",Fact_SortedWeights!$B$2:$B$89,"Cardboard Recycling")+SUMIFS(Fact_SortedWeights!$E$2:$E$89,Fact_SortedWeights!$C$2:$C$89,"CAFÉ BOH",Fact_SortedWeights!$B$2:$B$89,"Cardboard Recycling")+SUMIFS(Fact_SortedWeights!$E$2:$E$89,Fact_SortedWeights!$C$2:$C$89,"LOCATION C",Fact_SortedWeights!$B$2:$B$89,"Cardboard Recycling")+SUMIFS(Fact_SortedWeights!$E$2:$E$89,Fact_SortedWeights!$C$2:$C$89,"LOCATION D",Fact_SortedWeights!$B$2:$B$89,"Cardboard Recycling")))</f>
        <v>0.0419743337329357</v>
      </c>
      <c r="F57" s="0" t="n">
        <f aca="false">IF((SUMIFS(Fact_PreSortWeights!$E$2:$E$186,Fact_PreSortWeights!$C$2:$C$186,"OFFICES",Fact_PreSortWeights!$B$2:$B$186,"Paper Recycling")+SUMIFS(Fact_PreSortWeights!$E$2:$E$186,Fact_PreSortWeights!$C$2:$C$186,"CAFÉ BOH",Fact_PreSortWeights!$B$2:$B$186,"Paper Recycling")+SUMIFS(Fact_PreSortWeights!$E$2:$E$186,Fact_PreSortWeights!$C$2:$C$186,"LOCATION C",Fact_PreSortWeights!$B$2:$B$186,"Paper Recycling")+SUMIFS(Fact_PreSortWeights!$E$2:$E$186,Fact_PreSortWeights!$C$2:$C$186,"LOCATION D",Fact_PreSortWeights!$B$2:$B$186,"Paper Recycling"))=0,0,1-SUMIFS(Fact_Extrapolated!$F$2:$F$781,Fact_Extrapolated!$B$2:$B$781,"Paper Recycling",Fact_Extrapolated!$J$2:$J$781,1)/(SUMIFS(Fact_PreSortWeights!$E$2:$E$186,Fact_PreSortWeights!$C$2:$C$186,"OFFICES",Fact_PreSortWeights!$B$2:$B$186,"Paper Recycling")+SUMIFS(Fact_PreSortWeights!$E$2:$E$186,Fact_PreSortWeights!$C$2:$C$186,"CAFÉ BOH",Fact_PreSortWeights!$B$2:$B$186,"Paper Recycling")+SUMIFS(Fact_PreSortWeights!$E$2:$E$186,Fact_PreSortWeights!$C$2:$C$186,"LOCATION C",Fact_PreSortWeights!$B$2:$B$186,"Paper Recycling")+SUMIFS(Fact_PreSortWeights!$E$2:$E$186,Fact_PreSortWeights!$C$2:$C$186,"LOCATION D",Fact_PreSortWeights!$B$2:$B$186,"Paper Recycling")))</f>
        <v>0.00457800211292414</v>
      </c>
      <c r="G57" s="0" t="n">
        <f aca="false">IF((SUMIFS(Fact_PreSortWeights!$E$2:$E$186,Fact_PreSortWeights!$C$2:$C$186,"OFFICES",Fact_PreSortWeights!$B$2:$B$186,"Terracycle")+SUMIFS(Fact_PreSortWeights!$E$2:$E$186,Fact_PreSortWeights!$C$2:$C$186,"CAFÉ BOH",Fact_PreSortWeights!$B$2:$B$186,"Terracycle")+SUMIFS(Fact_PreSortWeights!$E$2:$E$186,Fact_PreSortWeights!$C$2:$C$186,"LOCATION C",Fact_PreSortWeights!$B$2:$B$186,"Terracycle")+SUMIFS(Fact_PreSortWeights!$E$2:$E$186,Fact_PreSortWeights!$C$2:$C$186,"LOCATION D",Fact_PreSortWeights!$B$2:$B$186,"Terracycle"))=0,0,1-SUMIFS(Fact_Extrapolated!$F$2:$F$781,Fact_Extrapolated!$B$2:$B$781,"Terracycle",Fact_Extrapolated!$J$2:$J$781,1)/(SUMIFS(Fact_PreSortWeights!$E$2:$E$186,Fact_PreSortWeights!$C$2:$C$186,"OFFICES",Fact_PreSortWeights!$B$2:$B$186,"Terracycle")+SUMIFS(Fact_PreSortWeights!$E$2:$E$186,Fact_PreSortWeights!$C$2:$C$186,"CAFÉ BOH",Fact_PreSortWeights!$B$2:$B$186,"Terracycle")+SUMIFS(Fact_PreSortWeights!$E$2:$E$186,Fact_PreSortWeights!$C$2:$C$186,"LOCATION C",Fact_PreSortWeights!$B$2:$B$186,"Terracycle")+SUMIFS(Fact_PreSortWeights!$E$2:$E$186,Fact_PreSortWeights!$C$2:$C$186,"LOCATION D",Fact_PreSortWeights!$B$2:$B$186,"Terracycle")))</f>
        <v>0.040062536642564</v>
      </c>
    </row>
    <row r="58" customFormat="false" ht="15" hidden="false" customHeight="false" outlineLevel="0" collapsed="false"/>
    <row r="59" customFormat="false" ht="15" hidden="false" customHeight="false" outlineLevel="0" collapsed="false">
      <c r="A59" s="0" t="s">
        <v>136</v>
      </c>
    </row>
    <row r="60" customFormat="false" ht="15" hidden="false" customHeight="false" outlineLevel="0" collapsed="false">
      <c r="A60" s="0" t="s">
        <v>135</v>
      </c>
      <c r="B60" s="0" t="s">
        <v>137</v>
      </c>
      <c r="C60" s="0" t="s">
        <v>138</v>
      </c>
      <c r="D60" s="0" t="s">
        <v>139</v>
      </c>
    </row>
    <row r="61" customFormat="false" ht="15" hidden="false" customHeight="false" outlineLevel="0" collapsed="false">
      <c r="A61" s="0" t="s">
        <v>93</v>
      </c>
      <c r="B61" s="0" t="n">
        <f aca="false">IF((SUMIFS(Fact_PreSortWeights!$E$2:$E$186,Fact_PreSortWeights!$C$2:$C$186,"OFFICES")+SUMIFS(Fact_SortedWeights!$E$2:$E$89,Fact_SortedWeights!$C$2:$C$89,"OFFICES",Fact_SortedWeights!$B$2:$B$89,"Cardboard Recycling")+SUMIFS(Fact_PreSortWeights!$E$2:$E$186,Fact_PreSortWeights!$C$2:$C$186,"LOCATION C")+SUMIFS(Fact_SortedWeights!$E$2:$E$89,Fact_SortedWeights!$C$2:$C$89,"LOCATION C",Fact_SortedWeights!$B$2:$B$89,"Cardboard Recycling")+SUMIFS(Fact_PreSortWeights!$E$2:$E$186,Fact_PreSortWeights!$C$2:$C$186,"LOCATION D")+SUMIFS(Fact_SortedWeights!$E$2:$E$89,Fact_SortedWeights!$C$2:$C$89,"LOCATION D",Fact_SortedWeights!$B$2:$B$89,"Cardboard Recycling")+SUMIFS(Fact_PreSortWeights!$E$2:$E$186,Fact_PreSortWeights!$C$2:$C$186,"BATHROOM")+SUMIFS(Fact_SortedWeights!$E$2:$E$89,Fact_SortedWeights!$C$2:$C$89,"BATHROOM",Fact_SortedWeights!$B$2:$B$89,"Cardboard Recycling"))=0,0,SUMIFS(Fact_Extrapolated!$F$2:$F$781,Fact_Extrapolated!$I$2:$I$781,"Rest of Building",Fact_Extrapolated!$G$2:$G$781,1)/(SUMIFS(Fact_PreSortWeights!$E$2:$E$186,Fact_PreSortWeights!$C$2:$C$186,"OFFICES")+SUMIFS(Fact_SortedWeights!$E$2:$E$89,Fact_SortedWeights!$C$2:$C$89,"OFFICES",Fact_SortedWeights!$B$2:$B$89,"Cardboard Recycling")+SUMIFS(Fact_PreSortWeights!$E$2:$E$186,Fact_PreSortWeights!$C$2:$C$186,"LOCATION C")+SUMIFS(Fact_SortedWeights!$E$2:$E$89,Fact_SortedWeights!$C$2:$C$89,"LOCATION C",Fact_SortedWeights!$B$2:$B$89,"Cardboard Recycling")+SUMIFS(Fact_PreSortWeights!$E$2:$E$186,Fact_PreSortWeights!$C$2:$C$186,"LOCATION D")+SUMIFS(Fact_SortedWeights!$E$2:$E$89,Fact_SortedWeights!$C$2:$C$89,"LOCATION D",Fact_SortedWeights!$B$2:$B$89,"Cardboard Recycling")+SUMIFS(Fact_PreSortWeights!$E$2:$E$186,Fact_PreSortWeights!$C$2:$C$186,"BATHROOM")+SUMIFS(Fact_SortedWeights!$E$2:$E$89,Fact_SortedWeights!$C$2:$C$89,"BATHROOM",Fact_SortedWeights!$B$2:$B$89,"Cardboard Recycling")))</f>
        <v>0.292986255070823</v>
      </c>
      <c r="C61" s="0" t="n">
        <f aca="false">IF((SUMIFS(Fact_PreSortWeights!$E$2:$E$186,Fact_PreSortWeights!$C$2:$C$186,"OFFICES")+SUMIFS(Fact_SortedWeights!$E$2:$E$89,Fact_SortedWeights!$C$2:$C$89,"OFFICES",Fact_SortedWeights!$B$2:$B$89,"Cardboard Recycling")+SUMIFS(Fact_PreSortWeights!$E$2:$E$186,Fact_PreSortWeights!$C$2:$C$186,"LOCATION C")+SUMIFS(Fact_SortedWeights!$E$2:$E$89,Fact_SortedWeights!$C$2:$C$89,"LOCATION C",Fact_SortedWeights!$B$2:$B$89,"Cardboard Recycling")+SUMIFS(Fact_PreSortWeights!$E$2:$E$186,Fact_PreSortWeights!$C$2:$C$186,"LOCATION D")+SUMIFS(Fact_SortedWeights!$E$2:$E$89,Fact_SortedWeights!$C$2:$C$89,"LOCATION D",Fact_SortedWeights!$B$2:$B$89,"Cardboard Recycling")+SUMIFS(Fact_PreSortWeights!$E$2:$E$186,Fact_PreSortWeights!$C$2:$C$186,"BATHROOM")+SUMIFS(Fact_SortedWeights!$E$2:$E$89,Fact_SortedWeights!$C$2:$C$89,"BATHROOM",Fact_SortedWeights!$B$2:$B$89,"Cardboard Recycling"))=0,0,SUMIFS(Fact_Extrapolated!$F$2:$F$781,Fact_Extrapolated!$I$2:$I$781,"Rest of Building",Fact_Extrapolated!$H$2:$H$781,"Yes")/(SUMIFS(Fact_PreSortWeights!$E$2:$E$186,Fact_PreSortWeights!$C$2:$C$186,"OFFICES")+SUMIFS(Fact_SortedWeights!$E$2:$E$89,Fact_SortedWeights!$C$2:$C$89,"OFFICES",Fact_SortedWeights!$B$2:$B$89,"Cardboard Recycling")+SUMIFS(Fact_PreSortWeights!$E$2:$E$186,Fact_PreSortWeights!$C$2:$C$186,"LOCATION C")+SUMIFS(Fact_SortedWeights!$E$2:$E$89,Fact_SortedWeights!$C$2:$C$89,"LOCATION C",Fact_SortedWeights!$B$2:$B$89,"Cardboard Recycling")+SUMIFS(Fact_PreSortWeights!$E$2:$E$186,Fact_PreSortWeights!$C$2:$C$186,"LOCATION D")+SUMIFS(Fact_SortedWeights!$E$2:$E$89,Fact_SortedWeights!$C$2:$C$89,"LOCATION D",Fact_SortedWeights!$B$2:$B$89,"Cardboard Recycling")+SUMIFS(Fact_PreSortWeights!$E$2:$E$186,Fact_PreSortWeights!$C$2:$C$186,"BATHROOM")+SUMIFS(Fact_SortedWeights!$E$2:$E$89,Fact_SortedWeights!$C$2:$C$89,"BATHROOM",Fact_SortedWeights!$B$2:$B$89,"Cardboard Recycling")))</f>
        <v>0.486253508848135</v>
      </c>
      <c r="D61" s="0" t="n">
        <f aca="false">C61-B61</f>
        <v>0.193267253777312</v>
      </c>
    </row>
    <row r="62" customFormat="false" ht="15" hidden="false" customHeight="false" outlineLevel="0" collapsed="false">
      <c r="A62" s="0" t="s">
        <v>96</v>
      </c>
      <c r="B62" s="0" t="n">
        <f aca="false">IF((SUMIFS(Fact_PreSortWeights!$E$2:$E$186,Fact_PreSortWeights!$C$2:$C$186,"CAFÉ BOH")+SUMIFS(Fact_SortedWeights!$E$2:$E$89,Fact_SortedWeights!$C$2:$C$89,"CAFÉ BOH",Fact_SortedWeights!$B$2:$B$89,"Cardboard Recycling"))=0,0,SUMIFS(Fact_Extrapolated!$F$2:$F$781,Fact_Extrapolated!$I$2:$I$781,"BOH",Fact_Extrapolated!$G$2:$G$781,1)/(SUMIFS(Fact_PreSortWeights!$E$2:$E$186,Fact_PreSortWeights!$C$2:$C$186,"CAFÉ BOH")+SUMIFS(Fact_SortedWeights!$E$2:$E$89,Fact_SortedWeights!$C$2:$C$89,"CAFÉ BOH",Fact_SortedWeights!$B$2:$B$89,"Cardboard Recycling")))</f>
        <v>0.0557061341633839</v>
      </c>
      <c r="C62" s="0" t="n">
        <f aca="false">IF((SUMIFS(Fact_PreSortWeights!$E$2:$E$186,Fact_PreSortWeights!$C$2:$C$186,"CAFÉ BOH")+SUMIFS(Fact_SortedWeights!$E$2:$E$89,Fact_SortedWeights!$C$2:$C$89,"CAFÉ BOH",Fact_SortedWeights!$B$2:$B$89,"Cardboard Recycling"))=0,0,SUMIFS(Fact_Extrapolated!$F$2:$F$781,Fact_Extrapolated!$I$2:$I$781,"BOH",Fact_Extrapolated!$H$2:$H$781,"Yes")/(SUMIFS(Fact_PreSortWeights!$E$2:$E$186,Fact_PreSortWeights!$C$2:$C$186,"CAFÉ BOH")+SUMIFS(Fact_SortedWeights!$E$2:$E$89,Fact_SortedWeights!$C$2:$C$89,"CAFÉ BOH",Fact_SortedWeights!$B$2:$B$89,"Cardboard Recycling")))</f>
        <v>0.683462966378804</v>
      </c>
      <c r="D62" s="0" t="n">
        <f aca="false">C62-B62</f>
        <v>0.62775683221542</v>
      </c>
    </row>
    <row r="63" customFormat="false" ht="15" hidden="false" customHeight="false" outlineLevel="0" collapsed="false">
      <c r="A63" s="0" t="s">
        <v>126</v>
      </c>
      <c r="B63" s="0" t="n">
        <f aca="false">IF((SUMIFS(Fact_PreSortWeights!$E$2:$E$186,Fact_PreSortWeights!$C$2:$C$186,"OFFICES")+SUMIFS(Fact_SortedWeights!$E$2:$E$89,Fact_SortedWeights!$C$2:$C$89,"OFFICES",Fact_SortedWeights!$B$2:$B$89,"Cardboard Recycling")+SUMIFS(Fact_PreSortWeights!$E$2:$E$186,Fact_PreSortWeights!$C$2:$C$186,"CAFÉ BOH")+SUMIFS(Fact_SortedWeights!$E$2:$E$89,Fact_SortedWeights!$C$2:$C$89,"CAFÉ BOH",Fact_SortedWeights!$B$2:$B$89,"Cardboard Recycling")+SUMIFS(Fact_PreSortWeights!$E$2:$E$186,Fact_PreSortWeights!$C$2:$C$186,"LOCATION C")+SUMIFS(Fact_SortedWeights!$E$2:$E$89,Fact_SortedWeights!$C$2:$C$89,"LOCATION C",Fact_SortedWeights!$B$2:$B$89,"Cardboard Recycling")+SUMIFS(Fact_PreSortWeights!$E$2:$E$186,Fact_PreSortWeights!$C$2:$C$186,"LOCATION D")+SUMIFS(Fact_SortedWeights!$E$2:$E$89,Fact_SortedWeights!$C$2:$C$89,"LOCATION D",Fact_SortedWeights!$B$2:$B$89,"Cardboard Recycling")+SUMIFS(Fact_PreSortWeights!$E$2:$E$186,Fact_PreSortWeights!$C$2:$C$186,"BATHROOM")+SUMIFS(Fact_SortedWeights!$E$2:$E$89,Fact_SortedWeights!$C$2:$C$89,"BATHROOM",Fact_SortedWeights!$B$2:$B$89,"Cardboard Recycling"))=0,0,SUMIFS(Fact_Extrapolated!$F$2:$F$781,Fact_Extrapolated!$G$2:$G$781,1)/(SUMIFS(Fact_PreSortWeights!$E$2:$E$186,Fact_PreSortWeights!$C$2:$C$186,"OFFICES")+SUMIFS(Fact_SortedWeights!$E$2:$E$89,Fact_SortedWeights!$C$2:$C$89,"OFFICES",Fact_SortedWeights!$B$2:$B$89,"Cardboard Recycling")+SUMIFS(Fact_PreSortWeights!$E$2:$E$186,Fact_PreSortWeights!$C$2:$C$186,"CAFÉ BOH")+SUMIFS(Fact_SortedWeights!$E$2:$E$89,Fact_SortedWeights!$C$2:$C$89,"CAFÉ BOH",Fact_SortedWeights!$B$2:$B$89,"Cardboard Recycling")+SUMIFS(Fact_PreSortWeights!$E$2:$E$186,Fact_PreSortWeights!$C$2:$C$186,"LOCATION C")+SUMIFS(Fact_SortedWeights!$E$2:$E$89,Fact_SortedWeights!$C$2:$C$89,"LOCATION C",Fact_SortedWeights!$B$2:$B$89,"Cardboard Recycling")+SUMIFS(Fact_PreSortWeights!$E$2:$E$186,Fact_PreSortWeights!$C$2:$C$186,"LOCATION D")+SUMIFS(Fact_SortedWeights!$E$2:$E$89,Fact_SortedWeights!$C$2:$C$89,"LOCATION D",Fact_SortedWeights!$B$2:$B$89,"Cardboard Recycling")+SUMIFS(Fact_PreSortWeights!$E$2:$E$186,Fact_PreSortWeights!$C$2:$C$186,"BATHROOM")+SUMIFS(Fact_SortedWeights!$E$2:$E$89,Fact_SortedWeights!$C$2:$C$89,"BATHROOM",Fact_SortedWeights!$B$2:$B$89,"Cardboard Recycling")))</f>
        <v>0.198498607882955</v>
      </c>
      <c r="C63" s="0" t="n">
        <f aca="false">IF((SUMIFS(Fact_PreSortWeights!$E$2:$E$186,Fact_PreSortWeights!$C$2:$C$186,"OFFICES")+SUMIFS(Fact_SortedWeights!$E$2:$E$89,Fact_SortedWeights!$C$2:$C$89,"OFFICES",Fact_SortedWeights!$B$2:$B$89,"Cardboard Recycling")+SUMIFS(Fact_PreSortWeights!$E$2:$E$186,Fact_PreSortWeights!$C$2:$C$186,"CAFÉ BOH")+SUMIFS(Fact_SortedWeights!$E$2:$E$89,Fact_SortedWeights!$C$2:$C$89,"CAFÉ BOH",Fact_SortedWeights!$B$2:$B$89,"Cardboard Recycling")+SUMIFS(Fact_PreSortWeights!$E$2:$E$186,Fact_PreSortWeights!$C$2:$C$186,"LOCATION C")+SUMIFS(Fact_SortedWeights!$E$2:$E$89,Fact_SortedWeights!$C$2:$C$89,"LOCATION C",Fact_SortedWeights!$B$2:$B$89,"Cardboard Recycling")+SUMIFS(Fact_PreSortWeights!$E$2:$E$186,Fact_PreSortWeights!$C$2:$C$186,"LOCATION D")+SUMIFS(Fact_SortedWeights!$E$2:$E$89,Fact_SortedWeights!$C$2:$C$89,"LOCATION D",Fact_SortedWeights!$B$2:$B$89,"Cardboard Recycling")+SUMIFS(Fact_PreSortWeights!$E$2:$E$186,Fact_PreSortWeights!$C$2:$C$186,"BATHROOM")+SUMIFS(Fact_SortedWeights!$E$2:$E$89,Fact_SortedWeights!$C$2:$C$89,"BATHROOM",Fact_SortedWeights!$B$2:$B$89,"Cardboard Recycling"))=0,0,SUMIFS(Fact_Extrapolated!$F$2:$F$781,Fact_Extrapolated!$H$2:$H$781,"Yes")/(SUMIFS(Fact_PreSortWeights!$E$2:$E$186,Fact_PreSortWeights!$C$2:$C$186,"OFFICES")+SUMIFS(Fact_SortedWeights!$E$2:$E$89,Fact_SortedWeights!$C$2:$C$89,"OFFICES",Fact_SortedWeights!$B$2:$B$89,"Cardboard Recycling")+SUMIFS(Fact_PreSortWeights!$E$2:$E$186,Fact_PreSortWeights!$C$2:$C$186,"CAFÉ BOH")+SUMIFS(Fact_SortedWeights!$E$2:$E$89,Fact_SortedWeights!$C$2:$C$89,"CAFÉ BOH",Fact_SortedWeights!$B$2:$B$89,"Cardboard Recycling")+SUMIFS(Fact_PreSortWeights!$E$2:$E$186,Fact_PreSortWeights!$C$2:$C$186,"LOCATION C")+SUMIFS(Fact_SortedWeights!$E$2:$E$89,Fact_SortedWeights!$C$2:$C$89,"LOCATION C",Fact_SortedWeights!$B$2:$B$89,"Cardboard Recycling")+SUMIFS(Fact_PreSortWeights!$E$2:$E$186,Fact_PreSortWeights!$C$2:$C$186,"LOCATION D")+SUMIFS(Fact_SortedWeights!$E$2:$E$89,Fact_SortedWeights!$C$2:$C$89,"LOCATION D",Fact_SortedWeights!$B$2:$B$89,"Cardboard Recycling")+SUMIFS(Fact_PreSortWeights!$E$2:$E$186,Fact_PreSortWeights!$C$2:$C$186,"BATHROOM")+SUMIFS(Fact_SortedWeights!$E$2:$E$89,Fact_SortedWeights!$C$2:$C$89,"BATHROOM",Fact_SortedWeights!$B$2:$B$89,"Cardboard Recycling")))</f>
        <v>0.56478456140326</v>
      </c>
      <c r="D63" s="0" t="n">
        <f aca="false">C63-B63</f>
        <v>0.366285953520304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119</v>
      </c>
    </row>
    <row r="2" customFormat="false" ht="15" hidden="false" customHeight="false" outlineLevel="0" collapsed="false">
      <c r="A2" s="0" t="s">
        <v>120</v>
      </c>
      <c r="B2" s="0" t="s">
        <v>121</v>
      </c>
      <c r="C2" s="0" t="s">
        <v>122</v>
      </c>
      <c r="D2" s="0" t="s">
        <v>123</v>
      </c>
      <c r="E2" s="0" t="s">
        <v>124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SUMIFS(Fact_PreSortWeights!$E$2:$E$186,Fact_PreSortWeights!$C$2:$C$186,"OFFICES",Fact_PreSortWeights!$B$2:$B$186,"Trash")</f>
        <v>689.4</v>
      </c>
      <c r="C3" s="0" t="n">
        <f aca="false">IF($B$9=0,0,B3/$B$9)</f>
        <v>0.418623238705647</v>
      </c>
      <c r="D3" s="0" t="n">
        <f aca="false">SUMIFS(Fact_Extrapolated!$F$2:$F$781,Fact_Extrapolated!$B$2:$B$781,A3,Fact_Extrapolated!$A$2:$A$781,"OFFICES",Fact_Extrapolated!$G$2:$G$781,1)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SUMIFS(Fact_PreSortWeights!$E$2:$E$186,Fact_PreSortWeights!$C$2:$C$186,"OFFICES",Fact_PreSortWeights!$B$2:$B$186,"GMPC Recycling")</f>
        <v>40.4</v>
      </c>
      <c r="C4" s="0" t="n">
        <f aca="false">IF($B$9=0,0,B4/$B$9)</f>
        <v>0.0245320261730608</v>
      </c>
      <c r="D4" s="0" t="n">
        <f aca="false">SUMIFS(Fact_Extrapolated!$F$2:$F$781,Fact_Extrapolated!$B$2:$B$781,A4,Fact_Extrapolated!$A$2:$A$781,"OFFICES",Fact_Extrapolated!$G$2:$G$781,1)</f>
        <v>8.39769839367058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SUMIFS(Fact_PreSortWeights!$E$2:$E$186,Fact_PreSortWeights!$C$2:$C$186,"OFFICES",Fact_PreSortWeights!$B$2:$B$186,"Organics Recycling")</f>
        <v>547.3</v>
      </c>
      <c r="C5" s="0" t="n">
        <f aca="false">IF($B$9=0,0,B5/$B$9)</f>
        <v>0.3323360872405</v>
      </c>
      <c r="D5" s="0" t="n">
        <f aca="false">SUMIFS(Fact_Extrapolated!$F$2:$F$781,Fact_Extrapolated!$B$2:$B$781,A5,Fact_Extrapolated!$A$2:$A$781,"OFFICES",Fact_Extrapolated!$G$2:$G$781,1)</f>
        <v>179.997518891288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SUMIFS(Fact_SortedWeights!$E$2:$E$89,Fact_SortedWeights!$C$2:$C$89,"OFFICES",Fact_SortedWeights!$B$2:$B$89,"Cardboard Recycling")</f>
        <v>349.826875</v>
      </c>
      <c r="C6" s="0" t="n">
        <f aca="false">IF($B$9=0,0,B6/$B$9)</f>
        <v>0.212424803305448</v>
      </c>
      <c r="D6" s="0" t="n">
        <f aca="false">SUMIFS(Fact_Extrapolated!$F$2:$F$781,Fact_Extrapolated!$B$2:$B$781,A6,Fact_Extrapolated!$A$2:$A$781,"OFFICES",Fact_Extrapolated!$G$2:$G$781,1)</f>
        <v>335.143125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SUMIFS(Fact_PreSortWeights!$E$2:$E$186,Fact_PreSortWeights!$C$2:$C$186,"OFFICES",Fact_PreSortWeights!$B$2:$B$186,"Paper Recycling")</f>
        <v>16.7</v>
      </c>
      <c r="C7" s="0" t="n">
        <f aca="false">IF($B$9=0,0,B7/$B$9)</f>
        <v>0.0101407137893593</v>
      </c>
      <c r="D7" s="0" t="n">
        <f aca="false">SUMIFS(Fact_Extrapolated!$F$2:$F$781,Fact_Extrapolated!$B$2:$B$781,A7,Fact_Extrapolated!$A$2:$A$781,"OFFICES",Fact_Extrapolated!$G$2:$G$781,1)</f>
        <v>16.6235473647142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SUMIFS(Fact_PreSortWeights!$E$2:$E$186,Fact_PreSortWeights!$C$2:$C$186,"OFFICES",Fact_PreSortWeights!$B$2:$B$186,"Terracycle")</f>
        <v>3.2</v>
      </c>
      <c r="C8" s="0" t="n">
        <f aca="false">IF($B$9=0,0,B8/$B$9)</f>
        <v>0.00194313078598502</v>
      </c>
      <c r="D8" s="0" t="n">
        <f aca="false">SUMIFS(Fact_Extrapolated!$F$2:$F$781,Fact_Extrapolated!$B$2:$B$781,A8,Fact_Extrapolated!$A$2:$A$781,"OFFICES",Fact_Extrapolated!$G$2:$G$781,1)</f>
        <v>3.0717998827438</v>
      </c>
    </row>
    <row r="9" customFormat="false" ht="15" hidden="false" customHeight="false" outlineLevel="0" collapsed="false">
      <c r="A9" s="0" t="s">
        <v>126</v>
      </c>
      <c r="B9" s="0" t="n">
        <f aca="false">SUM(B3:B8)</f>
        <v>1646.826875</v>
      </c>
      <c r="C9" s="0" t="n">
        <f aca="false">IF($B$9=0,0,B9/$B$9)</f>
        <v>1</v>
      </c>
      <c r="D9" s="0" t="n">
        <f aca="false">SUM(D3:D8)</f>
        <v>543.233689532417</v>
      </c>
      <c r="E9" s="0" t="n">
        <f aca="false">IF(B9=0,0,D9/B9)</f>
        <v>0.329866908160833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127</v>
      </c>
    </row>
    <row r="12" customFormat="false" ht="15" hidden="false" customHeight="false" outlineLevel="0" collapsed="false">
      <c r="A12" s="0" t="s">
        <v>128</v>
      </c>
      <c r="B12" s="0" t="s">
        <v>129</v>
      </c>
      <c r="C12" s="0" t="s">
        <v>130</v>
      </c>
      <c r="D12" s="0" t="s">
        <v>122</v>
      </c>
      <c r="E12" s="0" t="s">
        <v>123</v>
      </c>
      <c r="F12" s="0" t="s">
        <v>124</v>
      </c>
      <c r="G12" s="0" t="s">
        <v>131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SUMIFS(Fact_Extrapolated!$F$2:$F$781,Fact_Extrapolated!$C$2:$C$781,"FIB01",Fact_Extrapolated!$A$2:$A$781,"OFFICES")</f>
        <v>301.78</v>
      </c>
      <c r="D13" s="0" t="n">
        <f aca="false">IF($B$9=0,0,C13/$B$9)</f>
        <v>0.1832493776858</v>
      </c>
      <c r="E13" s="0" t="n">
        <f aca="false">SUMIFS(Fact_Extrapolated!$F$2:$F$781,Fact_Extrapolated!$C$2:$C$781,"FIB01",Fact_Extrapolated!$A$2:$A$781,"OFFICES",Fact_Extrapolated!$G$2:$G$781,1)</f>
        <v>301.78</v>
      </c>
      <c r="F13" s="0" t="n">
        <f aca="false">IF(C13=0,0,E13/C13)</f>
        <v>1</v>
      </c>
      <c r="G13" s="0" t="str">
        <f aca="false">INDEX('Materials Master'!$D$2:$D$27,MATCH(B13,'Materials Master'!$B$2:$B$27,0))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SUMIFS(Fact_Extrapolated!$F$2:$F$781,Fact_Extrapolated!$C$2:$C$781,"FIB02",Fact_Extrapolated!$A$2:$A$781,"OFFICES")</f>
        <v>0</v>
      </c>
      <c r="D14" s="0" t="n">
        <f aca="false">IF($B$9=0,0,C14/$B$9)</f>
        <v>0</v>
      </c>
      <c r="E14" s="0" t="n">
        <f aca="false">SUMIFS(Fact_Extrapolated!$F$2:$F$781,Fact_Extrapolated!$C$2:$C$781,"FIB02",Fact_Extrapolated!$A$2:$A$781,"OFFICES",Fact_Extrapolated!$G$2:$G$781,1)</f>
        <v>0</v>
      </c>
      <c r="F14" s="0" t="n">
        <f aca="false">IF(C14=0,0,E14/C14)</f>
        <v>0</v>
      </c>
      <c r="G14" s="0" t="str">
        <f aca="false">INDEX('Materials Master'!$D$2:$D$27,MATCH(B14,'Materials Master'!$B$2:$B$27,0))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SUMIFS(Fact_Extrapolated!$F$2:$F$781,Fact_Extrapolated!$C$2:$C$781,"FIB03",Fact_Extrapolated!$A$2:$A$781,"OFFICES")</f>
        <v>4.4</v>
      </c>
      <c r="D15" s="0" t="n">
        <f aca="false">IF($B$9=0,0,C15/$B$9)</f>
        <v>0.0026718048307294</v>
      </c>
      <c r="E15" s="0" t="n">
        <f aca="false">SUMIFS(Fact_Extrapolated!$F$2:$F$781,Fact_Extrapolated!$C$2:$C$781,"FIB03",Fact_Extrapolated!$A$2:$A$781,"OFFICES",Fact_Extrapolated!$G$2:$G$781,1)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SUMIFS(Fact_Extrapolated!$F$2:$F$781,Fact_Extrapolated!$C$2:$C$781,"FIB04",Fact_Extrapolated!$A$2:$A$781,"OFFICES")</f>
        <v>93.3707632036392</v>
      </c>
      <c r="D16" s="0" t="n">
        <f aca="false">IF($B$9=0,0,C16/$B$9)</f>
        <v>0.0566973764037213</v>
      </c>
      <c r="E16" s="0" t="n">
        <f aca="false">SUMIFS(Fact_Extrapolated!$F$2:$F$781,Fact_Extrapolated!$C$2:$C$781,"FIB04",Fact_Extrapolated!$A$2:$A$781,"OFFICES",Fact_Extrapolated!$G$2:$G$781,1)</f>
        <v>52.3031445836065</v>
      </c>
      <c r="F16" s="0" t="n">
        <f aca="false">IF(C16=0,0,E16/C16)</f>
        <v>0.560166188955045</v>
      </c>
      <c r="G16" s="0" t="str">
        <f aca="false">INDEX('Materials Master'!$D$2:$D$27,MATCH(B16,'Materials Master'!$B$2:$B$27,0))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SUMIFS(Fact_Extrapolated!$F$2:$F$781,Fact_Extrapolated!$C$2:$C$781,"FIB05",Fact_Extrapolated!$A$2:$A$781,"OFFICES")</f>
        <v>0</v>
      </c>
      <c r="D17" s="0" t="n">
        <f aca="false">IF($B$9=0,0,C17/$B$9)</f>
        <v>0</v>
      </c>
      <c r="E17" s="0" t="n">
        <f aca="false">SUMIFS(Fact_Extrapolated!$F$2:$F$781,Fact_Extrapolated!$C$2:$C$781,"FIB05",Fact_Extrapolated!$A$2:$A$781,"OFFICES",Fact_Extrapolated!$G$2:$G$781,1)</f>
        <v>0</v>
      </c>
      <c r="F17" s="0" t="n">
        <f aca="false">IF(C17=0,0,E17/C17)</f>
        <v>0</v>
      </c>
      <c r="G17" s="0" t="str">
        <f aca="false">INDEX('Materials Master'!$D$2:$D$27,MATCH(B17,'Materials Master'!$B$2:$B$27,0))</f>
        <v>No</v>
      </c>
    </row>
    <row r="18" customFormat="false" ht="15" hidden="false" customHeight="false" outlineLevel="0" collapsed="false">
      <c r="B18" s="0" t="s">
        <v>42</v>
      </c>
      <c r="C18" s="0" t="n">
        <f aca="false">SUMIFS(Fact_Extrapolated!$F$2:$F$781,Fact_Extrapolated!$C$2:$C$781,"FIB06",Fact_Extrapolated!$A$2:$A$781,"OFFICES")</f>
        <v>11.7232470042293</v>
      </c>
      <c r="D18" s="0" t="n">
        <f aca="false">IF($B$9=0,0,C18/$B$9)</f>
        <v>0.00711868817675767</v>
      </c>
      <c r="E18" s="0" t="n">
        <f aca="false">SUMIFS(Fact_Extrapolated!$F$2:$F$781,Fact_Extrapolated!$C$2:$C$781,"FIB06",Fact_Extrapolated!$A$2:$A$781,"OFFICES",Fact_Extrapolated!$G$2:$G$781,1)</f>
        <v>0.812082084631983</v>
      </c>
      <c r="F18" s="0" t="n">
        <f aca="false">IF(C18=0,0,E18/C18)</f>
        <v>0.0692710888322165</v>
      </c>
      <c r="G18" s="0" t="str">
        <f aca="false">INDEX('Materials Master'!$D$2:$D$27,MATCH(B18,'Materials Master'!$B$2:$B$27,0))</f>
        <v>Yes</v>
      </c>
    </row>
    <row r="19" customFormat="false" ht="15" hidden="false" customHeight="false" outlineLevel="0" collapsed="false">
      <c r="B19" s="0" t="s">
        <v>44</v>
      </c>
      <c r="C19" s="0" t="n">
        <f aca="false">SUMIFS(Fact_Extrapolated!$F$2:$F$781,Fact_Extrapolated!$C$2:$C$781,"FIB07",Fact_Extrapolated!$A$2:$A$781,"OFFICES")</f>
        <v>0</v>
      </c>
      <c r="D19" s="0" t="n">
        <f aca="false">IF($B$9=0,0,C19/$B$9)</f>
        <v>0</v>
      </c>
      <c r="E19" s="0" t="n">
        <f aca="false">SUMIFS(Fact_Extrapolated!$F$2:$F$781,Fact_Extrapolated!$C$2:$C$781,"FIB07",Fact_Extrapolated!$A$2:$A$781,"OFFICES",Fact_Extrapolated!$G$2:$G$781,1)</f>
        <v>0</v>
      </c>
      <c r="F19" s="0" t="n">
        <f aca="false">IF(C19=0,0,E19/C19)</f>
        <v>0</v>
      </c>
      <c r="G19" s="0" t="str">
        <f aca="false">INDEX('Materials Master'!$D$2:$D$27,MATCH(B19,'Materials Master'!$B$2:$B$27,0))</f>
        <v>No</v>
      </c>
    </row>
    <row r="20" customFormat="false" ht="15" hidden="false" customHeight="false" outlineLevel="0" collapsed="false">
      <c r="B20" s="0" t="s">
        <v>46</v>
      </c>
      <c r="C20" s="0" t="n">
        <f aca="false">SUMIFS(Fact_Extrapolated!$F$2:$F$781,Fact_Extrapolated!$C$2:$C$781,"FIB08",Fact_Extrapolated!$A$2:$A$781,"OFFICES")</f>
        <v>4.29851140482474</v>
      </c>
      <c r="D20" s="0" t="n">
        <f aca="false">IF($B$9=0,0,C20/$B$9)</f>
        <v>0.00261017807644458</v>
      </c>
      <c r="E20" s="0" t="n">
        <f aca="false">SUMIFS(Fact_Extrapolated!$F$2:$F$781,Fact_Extrapolated!$C$2:$C$781,"FIB08",Fact_Extrapolated!$A$2:$A$781,"OFFICES",Fact_Extrapolated!$G$2:$G$781,1)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A21" s="0" t="s">
        <v>49</v>
      </c>
      <c r="B21" s="0" t="s">
        <v>48</v>
      </c>
      <c r="C21" s="0" t="n">
        <f aca="false">SUMIFS(Fact_Extrapolated!$F$2:$F$781,Fact_Extrapolated!$C$2:$C$781,"GLA01",Fact_Extrapolated!$A$2:$A$781,"OFFICES")</f>
        <v>3.01363848402887</v>
      </c>
      <c r="D21" s="0" t="n">
        <f aca="false">IF($B$9=0,0,C21/$B$9)</f>
        <v>0.00182996678629553</v>
      </c>
      <c r="E21" s="0" t="n">
        <f aca="false">SUMIFS(Fact_Extrapolated!$F$2:$F$781,Fact_Extrapolated!$C$2:$C$781,"GLA01",Fact_Extrapolated!$A$2:$A$781,"OFFICES",Fact_Extrapolated!$G$2:$G$781,1)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Yes</v>
      </c>
    </row>
    <row r="22" customFormat="false" ht="15" hidden="false" customHeight="false" outlineLevel="0" collapsed="false">
      <c r="B22" s="0" t="s">
        <v>51</v>
      </c>
      <c r="C22" s="0" t="n">
        <f aca="false">SUMIFS(Fact_Extrapolated!$F$2:$F$781,Fact_Extrapolated!$C$2:$C$781,"GLA02",Fact_Extrapolated!$A$2:$A$781,"OFFICES")</f>
        <v>0</v>
      </c>
      <c r="D22" s="0" t="n">
        <f aca="false">IF($B$9=0,0,C22/$B$9)</f>
        <v>0</v>
      </c>
      <c r="E22" s="0" t="n">
        <f aca="false">SUMIFS(Fact_Extrapolated!$F$2:$F$781,Fact_Extrapolated!$C$2:$C$781,"GLA02",Fact_Extrapolated!$A$2:$A$781,"OFFICES",Fact_Extrapolated!$G$2:$G$781,1)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No</v>
      </c>
    </row>
    <row r="23" customFormat="false" ht="15" hidden="false" customHeight="false" outlineLevel="0" collapsed="false">
      <c r="A23" s="0" t="s">
        <v>54</v>
      </c>
      <c r="B23" s="0" t="s">
        <v>53</v>
      </c>
      <c r="C23" s="0" t="n">
        <f aca="false">SUMIFS(Fact_Extrapolated!$F$2:$F$781,Fact_Extrapolated!$C$2:$C$781,"MET01",Fact_Extrapolated!$A$2:$A$781,"OFFICES")</f>
        <v>2.20578052843488</v>
      </c>
      <c r="D23" s="0" t="n">
        <f aca="false">IF($B$9=0,0,C23/$B$9)</f>
        <v>0.00133941251622754</v>
      </c>
      <c r="E23" s="0" t="n">
        <f aca="false">SUMIFS(Fact_Extrapolated!$F$2:$F$781,Fact_Extrapolated!$C$2:$C$781,"MET01",Fact_Extrapolated!$A$2:$A$781,"OFFICES",Fact_Extrapolated!$G$2:$G$781,1)</f>
        <v>0.619899304723088</v>
      </c>
      <c r="F23" s="0" t="n">
        <f aca="false">IF(C23=0,0,E23/C23)</f>
        <v>0.281033990794605</v>
      </c>
      <c r="G23" s="0" t="str">
        <f aca="false">INDEX('Materials Master'!$D$2:$D$27,MATCH(B23,'Materials Master'!$B$2:$B$27,0))</f>
        <v>Yes</v>
      </c>
    </row>
    <row r="24" customFormat="false" ht="15" hidden="false" customHeight="false" outlineLevel="0" collapsed="false">
      <c r="B24" s="0" t="s">
        <v>56</v>
      </c>
      <c r="C24" s="0" t="n">
        <f aca="false">SUMIFS(Fact_Extrapolated!$F$2:$F$781,Fact_Extrapolated!$C$2:$C$781,"MET02",Fact_Extrapolated!$A$2:$A$781,"OFFICES")</f>
        <v>1.23979860944618</v>
      </c>
      <c r="D24" s="0" t="n">
        <f aca="false">IF($B$9=0,0,C24/$B$9)</f>
        <v>0.000752840889511338</v>
      </c>
      <c r="E24" s="0" t="n">
        <f aca="false">SUMIFS(Fact_Extrapolated!$F$2:$F$781,Fact_Extrapolated!$C$2:$C$781,"MET02",Fact_Extrapolated!$A$2:$A$781,"OFFICES",Fact_Extrapolated!$G$2:$G$781,1)</f>
        <v>0</v>
      </c>
      <c r="F24" s="0" t="n">
        <f aca="false">IF(C24=0,0,E24/C24)</f>
        <v>0</v>
      </c>
      <c r="G24" s="0" t="str">
        <f aca="false">INDEX('Materials Master'!$D$2:$D$27,MATCH(B24,'Materials Master'!$B$2:$B$27,0))</f>
        <v>No</v>
      </c>
    </row>
    <row r="25" customFormat="false" ht="15" hidden="false" customHeight="false" outlineLevel="0" collapsed="false">
      <c r="A25" s="0" t="s">
        <v>59</v>
      </c>
      <c r="B25" s="0" t="s">
        <v>58</v>
      </c>
      <c r="C25" s="0" t="n">
        <f aca="false">SUMIFS(Fact_Extrapolated!$F$2:$F$781,Fact_Extrapolated!$C$2:$C$781,"PLA01",Fact_Extrapolated!$A$2:$A$781,"OFFICES")</f>
        <v>109.379257913193</v>
      </c>
      <c r="D25" s="0" t="n">
        <f aca="false">IF($B$9=0,0,C25/$B$9)</f>
        <v>0.0664181885622878</v>
      </c>
      <c r="E25" s="0" t="n">
        <f aca="false">SUMIFS(Fact_Extrapolated!$F$2:$F$781,Fact_Extrapolated!$C$2:$C$781,"PLA01",Fact_Extrapolated!$A$2:$A$781,"OFFICES",Fact_Extrapolated!$G$2:$G$781,1)</f>
        <v>4.64924478542316</v>
      </c>
      <c r="F25" s="0" t="n">
        <f aca="false">IF(C25=0,0,E25/C25)</f>
        <v>0.0425057261689684</v>
      </c>
      <c r="G25" s="0" t="str">
        <f aca="false">INDEX('Materials Master'!$D$2:$D$27,MATCH(B25,'Materials Master'!$B$2:$B$27,0))</f>
        <v>Yes</v>
      </c>
    </row>
    <row r="26" customFormat="false" ht="15" hidden="false" customHeight="false" outlineLevel="0" collapsed="false">
      <c r="B26" s="0" t="s">
        <v>61</v>
      </c>
      <c r="C26" s="0" t="n">
        <f aca="false">SUMIFS(Fact_Extrapolated!$F$2:$F$781,Fact_Extrapolated!$C$2:$C$781,"PLA02",Fact_Extrapolated!$A$2:$A$781,"OFFICES")</f>
        <v>0</v>
      </c>
      <c r="D26" s="0" t="n">
        <f aca="false">IF($B$9=0,0,C26/$B$9)</f>
        <v>0</v>
      </c>
      <c r="E26" s="0" t="n">
        <f aca="false">SUMIFS(Fact_Extrapolated!$F$2:$F$781,Fact_Extrapolated!$C$2:$C$781,"PLA02",Fact_Extrapolated!$A$2:$A$781,"OFFICES",Fact_Extrapolated!$G$2:$G$781,1)</f>
        <v>0</v>
      </c>
      <c r="F26" s="0" t="n">
        <f aca="false">IF(C26=0,0,E26/C26)</f>
        <v>0</v>
      </c>
      <c r="G26" s="0" t="str">
        <f aca="false">INDEX('Materials Master'!$D$2:$D$27,MATCH(B26,'Materials Master'!$B$2:$B$27,0))</f>
        <v>No</v>
      </c>
    </row>
    <row r="27" customFormat="false" ht="15" hidden="false" customHeight="false" outlineLevel="0" collapsed="false">
      <c r="B27" s="0" t="s">
        <v>63</v>
      </c>
      <c r="C27" s="0" t="n">
        <f aca="false">SUMIFS(Fact_Extrapolated!$F$2:$F$781,Fact_Extrapolated!$C$2:$C$781,"PLA03",Fact_Extrapolated!$A$2:$A$781,"OFFICES")</f>
        <v>81.0841652284766</v>
      </c>
      <c r="D27" s="0" t="n">
        <f aca="false">IF($B$9=0,0,C27/$B$9)</f>
        <v>0.0492366055347965</v>
      </c>
      <c r="E27" s="0" t="n">
        <f aca="false">SUMIFS(Fact_Extrapolated!$F$2:$F$781,Fact_Extrapolated!$C$2:$C$781,"PLA03",Fact_Extrapolated!$A$2:$A$781,"OFFICES",Fact_Extrapolated!$G$2:$G$781,1)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65</v>
      </c>
      <c r="C28" s="0" t="n">
        <f aca="false">SUMIFS(Fact_Extrapolated!$F$2:$F$781,Fact_Extrapolated!$C$2:$C$781,"PLA04",Fact_Extrapolated!$A$2:$A$781,"OFFICES")</f>
        <v>0.15</v>
      </c>
      <c r="D28" s="0" t="n">
        <f aca="false">IF($B$9=0,0,C28/$B$9)</f>
        <v>9.10842555930477E-005</v>
      </c>
      <c r="E28" s="0" t="n">
        <f aca="false">SUMIFS(Fact_Extrapolated!$F$2:$F$781,Fact_Extrapolated!$C$2:$C$781,"PLA04",Fact_Extrapolated!$A$2:$A$781,"OFFICES",Fact_Extrapolated!$G$2:$G$781,1)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A29" s="0" t="s">
        <v>68</v>
      </c>
      <c r="B29" s="0" t="s">
        <v>67</v>
      </c>
      <c r="C29" s="0" t="n">
        <f aca="false">SUMIFS(Fact_Extrapolated!$F$2:$F$781,Fact_Extrapolated!$C$2:$C$781,"ORG01",Fact_Extrapolated!$A$2:$A$781,"OFFICES")</f>
        <v>362.68405679491</v>
      </c>
      <c r="D29" s="0" t="n">
        <f aca="false">IF($B$9=0,0,C29/$B$9)</f>
        <v>0.22023204885754</v>
      </c>
      <c r="E29" s="0" t="n">
        <f aca="false">SUMIFS(Fact_Extrapolated!$F$2:$F$781,Fact_Extrapolated!$C$2:$C$781,"ORG01",Fact_Extrapolated!$A$2:$A$781,"OFFICES",Fact_Extrapolated!$G$2:$G$781,1)</f>
        <v>179.997518891288</v>
      </c>
      <c r="F29" s="0" t="n">
        <f aca="false">IF(C29=0,0,E29/C29)</f>
        <v>0.496292890517305</v>
      </c>
      <c r="G29" s="0" t="str">
        <f aca="false">INDEX('Materials Master'!$D$2:$D$27,MATCH(B29,'Materials Master'!$B$2:$B$27,0))</f>
        <v>Yes</v>
      </c>
    </row>
    <row r="30" customFormat="false" ht="15" hidden="false" customHeight="false" outlineLevel="0" collapsed="false">
      <c r="B30" s="0" t="s">
        <v>70</v>
      </c>
      <c r="C30" s="0" t="n">
        <f aca="false">SUMIFS(Fact_Extrapolated!$F$2:$F$781,Fact_Extrapolated!$C$2:$C$781,"ORG02",Fact_Extrapolated!$A$2:$A$781,"OFFICES")</f>
        <v>143.691902599569</v>
      </c>
      <c r="D30" s="0" t="n">
        <f aca="false">IF($B$9=0,0,C30/$B$9)</f>
        <v>0.0872537998868697</v>
      </c>
      <c r="E30" s="0" t="n">
        <f aca="false">SUMIFS(Fact_Extrapolated!$F$2:$F$781,Fact_Extrapolated!$C$2:$C$781,"ORG02",Fact_Extrapolated!$A$2:$A$781,"OFFICES",Fact_Extrapolated!$G$2:$G$781,1)</f>
        <v>0</v>
      </c>
      <c r="F30" s="0" t="n">
        <f aca="false">IF(C30=0,0,E30/C30)</f>
        <v>0</v>
      </c>
      <c r="G30" s="0" t="str">
        <f aca="false">INDEX('Materials Master'!$D$2:$D$27,MATCH(B30,'Materials Master'!$B$2:$B$27,0))</f>
        <v>No</v>
      </c>
    </row>
    <row r="31" customFormat="false" ht="15" hidden="false" customHeight="false" outlineLevel="0" collapsed="false">
      <c r="B31" s="0" t="s">
        <v>72</v>
      </c>
      <c r="C31" s="0" t="n">
        <f aca="false">SUMIFS(Fact_Extrapolated!$F$2:$F$781,Fact_Extrapolated!$C$2:$C$781,"ORG03",Fact_Extrapolated!$A$2:$A$781,"OFFICES")</f>
        <v>228.896783421634</v>
      </c>
      <c r="D31" s="0" t="n">
        <f aca="false">IF($B$9=0,0,C31/$B$9)</f>
        <v>0.138992620837351</v>
      </c>
      <c r="E31" s="0" t="n">
        <f aca="false">SUMIFS(Fact_Extrapolated!$F$2:$F$781,Fact_Extrapolated!$C$2:$C$781,"ORG03",Fact_Extrapolated!$A$2:$A$781,"OFFICES",Fact_Extrapolated!$G$2:$G$781,1)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74</v>
      </c>
      <c r="C32" s="0" t="n">
        <f aca="false">SUMIFS(Fact_Extrapolated!$F$2:$F$781,Fact_Extrapolated!$C$2:$C$781,"ORG04",Fact_Extrapolated!$A$2:$A$781,"OFFICES")</f>
        <v>163.827652445444</v>
      </c>
      <c r="D32" s="0" t="n">
        <f aca="false">IF($B$9=0,0,C32/$B$9)</f>
        <v>0.0994807984569985</v>
      </c>
      <c r="E32" s="0" t="n">
        <f aca="false">SUMIFS(Fact_Extrapolated!$F$2:$F$781,Fact_Extrapolated!$C$2:$C$781,"ORG04",Fact_Extrapolated!$A$2:$A$781,"OFFICES",Fact_Extrapolated!$G$2:$G$781,1)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A33" s="0" t="s">
        <v>77</v>
      </c>
      <c r="B33" s="0" t="s">
        <v>76</v>
      </c>
      <c r="C33" s="0" t="n">
        <f aca="false">SUMIFS(Fact_Extrapolated!$F$2:$F$781,Fact_Extrapolated!$C$2:$C$781,"UNA01",Fact_Extrapolated!$A$2:$A$781,"OFFICES")</f>
        <v>0</v>
      </c>
      <c r="D33" s="0" t="n">
        <f aca="false">IF($B$9=0,0,C33/$B$9)</f>
        <v>0</v>
      </c>
      <c r="E33" s="0" t="n">
        <f aca="false">SUMIFS(Fact_Extrapolated!$F$2:$F$781,Fact_Extrapolated!$C$2:$C$781,"UNA01",Fact_Extrapolated!$A$2:$A$781,"OFFICES",Fact_Extrapolated!$G$2:$G$781,1)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Unacceptable</v>
      </c>
    </row>
    <row r="34" customFormat="false" ht="15" hidden="false" customHeight="false" outlineLevel="0" collapsed="false">
      <c r="B34" s="0" t="s">
        <v>79</v>
      </c>
      <c r="C34" s="0" t="n">
        <f aca="false">SUMIFS(Fact_Extrapolated!$F$2:$F$781,Fact_Extrapolated!$C$2:$C$781,"UNA02",Fact_Extrapolated!$A$2:$A$781,"OFFICES")</f>
        <v>0.457481192715805</v>
      </c>
      <c r="D34" s="0" t="n">
        <f aca="false">IF($B$9=0,0,C34/$B$9)</f>
        <v>0.000277795559242258</v>
      </c>
      <c r="E34" s="0" t="n">
        <f aca="false">SUMIFS(Fact_Extrapolated!$F$2:$F$781,Fact_Extrapolated!$C$2:$C$781,"UNA02",Fact_Extrapolated!$A$2:$A$781,"OFFICES",Fact_Extrapolated!$G$2:$G$781,1)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81</v>
      </c>
      <c r="C35" s="0" t="n">
        <f aca="false">SUMIFS(Fact_Extrapolated!$F$2:$F$781,Fact_Extrapolated!$C$2:$C$781,"UNA03",Fact_Extrapolated!$A$2:$A$781,"OFFICES")</f>
        <v>3.28574766037787</v>
      </c>
      <c r="D35" s="0" t="n">
        <f aca="false">IF($B$9=0,0,C35/$B$9)</f>
        <v>0.00199519919808078</v>
      </c>
      <c r="E35" s="0" t="n">
        <f aca="false">SUMIFS(Fact_Extrapolated!$F$2:$F$781,Fact_Extrapolated!$C$2:$C$781,"UNA03",Fact_Extrapolated!$A$2:$A$781,"OFFICES",Fact_Extrapolated!$G$2:$G$781,1)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83</v>
      </c>
      <c r="C36" s="0" t="n">
        <f aca="false">SUMIFS(Fact_Extrapolated!$F$2:$F$781,Fact_Extrapolated!$C$2:$C$781,"UNA04",Fact_Extrapolated!$A$2:$A$781,"OFFICES")</f>
        <v>40.6502208671502</v>
      </c>
      <c r="D36" s="0" t="n">
        <f aca="false">IF($B$9=0,0,C36/$B$9)</f>
        <v>0.0246839673825157</v>
      </c>
      <c r="E36" s="0" t="n">
        <f aca="false">SUMIFS(Fact_Extrapolated!$F$2:$F$781,Fact_Extrapolated!$C$2:$C$781,"UNA04",Fact_Extrapolated!$A$2:$A$781,"OFFICES",Fact_Extrapolated!$G$2:$G$781,1)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A37" s="0" t="s">
        <v>86</v>
      </c>
      <c r="B37" s="0" t="s">
        <v>85</v>
      </c>
      <c r="C37" s="0" t="n">
        <f aca="false">SUMIFS(Fact_Extrapolated!$F$2:$F$781,Fact_Extrapolated!$C$2:$C$781,"OTH01",Fact_Extrapolated!$A$2:$A$781,"OFFICES")</f>
        <v>17.418954889941</v>
      </c>
      <c r="D37" s="0" t="n">
        <f aca="false">IF($B$9=0,0,C37/$B$9)</f>
        <v>0.0105772835957277</v>
      </c>
      <c r="E37" s="0" t="n">
        <f aca="false">SUMIFS(Fact_Extrapolated!$F$2:$F$781,Fact_Extrapolated!$C$2:$C$781,"OTH01",Fact_Extrapolated!$A$2:$A$781,"OFFICES",Fact_Extrapolated!$G$2:$G$781,1)</f>
        <v>3.0717998827438</v>
      </c>
      <c r="F37" s="0" t="n">
        <f aca="false">IF(C37=0,0,E37/C37)</f>
        <v>0.176348116299312</v>
      </c>
      <c r="G37" s="0" t="str">
        <f aca="false">INDEX('Materials Master'!$D$2:$D$27,MATCH(B37,'Materials Master'!$B$2:$B$27,0))</f>
        <v>No</v>
      </c>
    </row>
    <row r="38" customFormat="false" ht="15" hidden="false" customHeight="false" outlineLevel="0" collapsed="false">
      <c r="B38" s="0" t="s">
        <v>88</v>
      </c>
      <c r="C38" s="0" t="n">
        <f aca="false">SUMIFS(Fact_Extrapolated!$F$2:$F$781,Fact_Extrapolated!$C$2:$C$781,"OTH02",Fact_Extrapolated!$A$2:$A$781,"OFFICES")</f>
        <v>73.268912751985</v>
      </c>
      <c r="D38" s="0" t="n">
        <f aca="false">IF($B$9=0,0,C38/$B$9)</f>
        <v>0.0444909625075101</v>
      </c>
      <c r="E38" s="0" t="n">
        <f aca="false">SUMIFS(Fact_Extrapolated!$F$2:$F$781,Fact_Extrapolated!$C$2:$C$781,"OTH02",Fact_Extrapolated!$A$2:$A$781,"OFFICES",Fact_Extrapolated!$G$2:$G$781,1)</f>
        <v>0</v>
      </c>
      <c r="F38" s="0" t="n">
        <f aca="false">IF(C38=0,0,E38/C38)</f>
        <v>0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0" t="s">
        <v>132</v>
      </c>
    </row>
    <row r="41" customFormat="false" ht="15" hidden="false" customHeight="false" outlineLevel="0" collapsed="false">
      <c r="A41" s="0" t="s">
        <v>129</v>
      </c>
      <c r="B41" s="0" t="s">
        <v>130</v>
      </c>
      <c r="C41" s="0" t="s">
        <v>122</v>
      </c>
    </row>
    <row r="42" customFormat="false" ht="15" hidden="false" customHeight="false" outlineLevel="0" collapsed="false">
      <c r="A42" s="0" t="s">
        <v>30</v>
      </c>
      <c r="B42" s="0" t="n">
        <f aca="false">SUM(C13:C20)</f>
        <v>415.572521612693</v>
      </c>
      <c r="C42" s="0" t="n">
        <f aca="false">IF($B$9=0,0,B42/$B$9)</f>
        <v>0.252347425173453</v>
      </c>
    </row>
    <row r="43" customFormat="false" ht="15" hidden="false" customHeight="false" outlineLevel="0" collapsed="false">
      <c r="A43" s="0" t="s">
        <v>49</v>
      </c>
      <c r="B43" s="0" t="n">
        <f aca="false">SUM(C21:C22)</f>
        <v>3.01363848402887</v>
      </c>
      <c r="C43" s="0" t="n">
        <f aca="false">IF($B$9=0,0,B43/$B$9)</f>
        <v>0.00182996678629553</v>
      </c>
    </row>
    <row r="44" customFormat="false" ht="15" hidden="false" customHeight="false" outlineLevel="0" collapsed="false">
      <c r="A44" s="0" t="s">
        <v>54</v>
      </c>
      <c r="B44" s="0" t="n">
        <f aca="false">SUM(C23:C24)</f>
        <v>3.44557913788106</v>
      </c>
      <c r="C44" s="0" t="n">
        <f aca="false">IF($B$9=0,0,B44/$B$9)</f>
        <v>0.00209225340573887</v>
      </c>
    </row>
    <row r="45" customFormat="false" ht="15" hidden="false" customHeight="false" outlineLevel="0" collapsed="false">
      <c r="A45" s="0" t="s">
        <v>59</v>
      </c>
      <c r="B45" s="0" t="n">
        <f aca="false">SUM(C25:C28)</f>
        <v>190.61342314167</v>
      </c>
      <c r="C45" s="0" t="n">
        <f aca="false">IF($B$9=0,0,B45/$B$9)</f>
        <v>0.115745878352677</v>
      </c>
    </row>
    <row r="46" customFormat="false" ht="15" hidden="false" customHeight="false" outlineLevel="0" collapsed="false">
      <c r="A46" s="0" t="s">
        <v>68</v>
      </c>
      <c r="B46" s="0" t="n">
        <f aca="false">SUM(C29:C32)</f>
        <v>899.100395261557</v>
      </c>
      <c r="C46" s="0" t="n">
        <f aca="false">IF($B$9=0,0,B46/$B$9)</f>
        <v>0.545959268038759</v>
      </c>
    </row>
    <row r="47" customFormat="false" ht="15" hidden="false" customHeight="false" outlineLevel="0" collapsed="false">
      <c r="A47" s="0" t="s">
        <v>77</v>
      </c>
      <c r="B47" s="0" t="n">
        <f aca="false">SUM(C33:C36)</f>
        <v>44.3934497202439</v>
      </c>
      <c r="C47" s="0" t="n">
        <f aca="false">IF($B$9=0,0,B47/$B$9)</f>
        <v>0.0269569621398387</v>
      </c>
    </row>
    <row r="48" customFormat="false" ht="15" hidden="false" customHeight="false" outlineLevel="0" collapsed="false">
      <c r="A48" s="0" t="s">
        <v>86</v>
      </c>
      <c r="B48" s="0" t="n">
        <f aca="false">SUM(C37:C38)</f>
        <v>90.6878676419261</v>
      </c>
      <c r="C48" s="0" t="n">
        <f aca="false">IF($B$9=0,0,B48/$B$9)</f>
        <v>0.0550682461032378</v>
      </c>
    </row>
    <row r="49" customFormat="false" ht="15" hidden="false" customHeight="false" outlineLevel="0" collapsed="false">
      <c r="A49" s="0" t="s">
        <v>133</v>
      </c>
      <c r="B49" s="0" t="n">
        <f aca="false">$B$9-SUM(B42:B48)</f>
        <v>0</v>
      </c>
      <c r="C49" s="0" t="n">
        <f aca="false">IF($B$9=0,0,B49/$B$9)</f>
        <v>0</v>
      </c>
    </row>
    <row r="50" customFormat="false" ht="15" hidden="false" customHeight="false" outlineLevel="0" collapsed="false">
      <c r="A50" s="0" t="s">
        <v>126</v>
      </c>
      <c r="B50" s="0" t="n">
        <f aca="false">SUM(B42:B49)</f>
        <v>1646.826875</v>
      </c>
      <c r="C50" s="0" t="n">
        <f aca="false">IF(B50=0,0,B50/$B$9)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119</v>
      </c>
    </row>
    <row r="2" customFormat="false" ht="15" hidden="false" customHeight="false" outlineLevel="0" collapsed="false">
      <c r="A2" s="0" t="s">
        <v>120</v>
      </c>
      <c r="B2" s="0" t="s">
        <v>121</v>
      </c>
      <c r="C2" s="0" t="s">
        <v>122</v>
      </c>
      <c r="D2" s="0" t="s">
        <v>123</v>
      </c>
      <c r="E2" s="0" t="s">
        <v>124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SUMIFS(Fact_PreSortWeights!$E$2:$E$186,Fact_PreSortWeights!$C$2:$C$186,"CAFÉ BOH",Fact_PreSortWeights!$B$2:$B$186,"Trash")</f>
        <v>1133.9</v>
      </c>
      <c r="C3" s="0" t="n">
        <f aca="false">IF($B$9=0,0,B3/$B$9)</f>
        <v>0.924199201238895</v>
      </c>
      <c r="D3" s="0" t="n">
        <f aca="false">SUMIFS(Fact_Extrapolated!$F$2:$F$781,Fact_Extrapolated!$B$2:$B$781,A3,Fact_Extrapolated!$A$2:$A$781,"CAFÉ BOH",Fact_Extrapolated!$G$2:$G$781,1)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SUMIFS(Fact_PreSortWeights!$E$2:$E$186,Fact_PreSortWeights!$C$2:$C$186,"CAFÉ BOH",Fact_PreSortWeights!$B$2:$B$186,"GMPC Recycling")</f>
        <v>4.8</v>
      </c>
      <c r="C4" s="0" t="n">
        <f aca="false">IF($B$9=0,0,B4/$B$9)</f>
        <v>0.00391229929089575</v>
      </c>
      <c r="D4" s="0" t="n">
        <f aca="false">SUMIFS(Fact_Extrapolated!$F$2:$F$781,Fact_Extrapolated!$B$2:$B$781,A4,Fact_Extrapolated!$A$2:$A$781,"CAFÉ BOH",Fact_Extrapolated!$G$2:$G$781,1)</f>
        <v>1.03584905660377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SUMIFS(Fact_PreSortWeights!$E$2:$E$186,Fact_PreSortWeights!$C$2:$C$186,"CAFÉ BOH",Fact_PreSortWeights!$B$2:$B$186,"Organics Recycling")</f>
        <v>88.2</v>
      </c>
      <c r="C5" s="0" t="n">
        <f aca="false">IF($B$9=0,0,B5/$B$9)</f>
        <v>0.0718884994702095</v>
      </c>
      <c r="D5" s="0" t="n">
        <f aca="false">SUMIFS(Fact_Extrapolated!$F$2:$F$781,Fact_Extrapolated!$B$2:$B$781,A5,Fact_Extrapolated!$A$2:$A$781,"CAFÉ BOH",Fact_Extrapolated!$G$2:$G$781,1)</f>
        <v>67.3100069484519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SUMIFS(Fact_SortedWeights!$E$2:$E$89,Fact_SortedWeights!$C$2:$C$89,"CAFÉ BOH",Fact_SortedWeights!$B$2:$B$89,"Cardboard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SUMIFS(Fact_Extrapolated!$F$2:$F$781,Fact_Extrapolated!$B$2:$B$781,A6,Fact_Extrapolated!$A$2:$A$781,"CAFÉ BOH",Fact_Extrapolated!$G$2:$G$781,1)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SUMIFS(Fact_PreSortWeights!$E$2:$E$186,Fact_PreSortWeights!$C$2:$C$186,"CAFÉ BOH",Fact_PreSortWeights!$B$2:$B$186,"Paper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SUMIFS(Fact_Extrapolated!$F$2:$F$781,Fact_Extrapolated!$B$2:$B$781,A7,Fact_Extrapolated!$A$2:$A$781,"CAFÉ BOH",Fact_Extrapolated!$G$2:$G$781,1)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SUMIFS(Fact_PreSortWeights!$E$2:$E$186,Fact_PreSortWeights!$C$2:$C$186,"CAFÉ BOH",Fact_PreSortWeights!$B$2:$B$186,"Terracycle")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SUMIFS(Fact_Extrapolated!$F$2:$F$781,Fact_Extrapolated!$B$2:$B$781,A8,Fact_Extrapolated!$A$2:$A$781,"CAFÉ BOH",Fact_Extrapolated!$G$2:$G$781,1)</f>
        <v>0</v>
      </c>
    </row>
    <row r="9" customFormat="false" ht="15" hidden="false" customHeight="false" outlineLevel="0" collapsed="false">
      <c r="A9" s="0" t="s">
        <v>126</v>
      </c>
      <c r="B9" s="0" t="n">
        <f aca="false">SUM(B3:B8)</f>
        <v>1226.9</v>
      </c>
      <c r="C9" s="0" t="n">
        <f aca="false">IF($B$9=0,0,B9/$B$9)</f>
        <v>1</v>
      </c>
      <c r="D9" s="0" t="n">
        <f aca="false">SUM(D3:D8)</f>
        <v>68.3458560050557</v>
      </c>
      <c r="E9" s="0" t="n">
        <f aca="false">IF(B9=0,0,D9/B9)</f>
        <v>0.0557061341633839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127</v>
      </c>
    </row>
    <row r="12" customFormat="false" ht="15" hidden="false" customHeight="false" outlineLevel="0" collapsed="false">
      <c r="A12" s="0" t="s">
        <v>128</v>
      </c>
      <c r="B12" s="0" t="s">
        <v>129</v>
      </c>
      <c r="C12" s="0" t="s">
        <v>130</v>
      </c>
      <c r="D12" s="0" t="s">
        <v>122</v>
      </c>
      <c r="E12" s="0" t="s">
        <v>123</v>
      </c>
      <c r="F12" s="0" t="s">
        <v>124</v>
      </c>
      <c r="G12" s="0" t="s">
        <v>131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SUMIFS(Fact_Extrapolated!$F$2:$F$781,Fact_Extrapolated!$C$2:$C$781,"FIB01",Fact_Extrapolated!$A$2:$A$781,"CAFÉ BOH")</f>
        <v>0</v>
      </c>
      <c r="D13" s="0" t="n">
        <f aca="false">IF($B$9=0,0,C13/$B$9)</f>
        <v>0</v>
      </c>
      <c r="E13" s="0" t="n">
        <f aca="false">SUMIFS(Fact_Extrapolated!$F$2:$F$781,Fact_Extrapolated!$C$2:$C$781,"FIB01",Fact_Extrapolated!$A$2:$A$781,"CAFÉ BOH",Fact_Extrapolated!$G$2:$G$781,1)</f>
        <v>0</v>
      </c>
      <c r="F13" s="0" t="n">
        <f aca="false">IF(C13=0,0,E13/C13)</f>
        <v>0</v>
      </c>
      <c r="G13" s="0" t="str">
        <f aca="false">INDEX('Materials Master'!$D$2:$D$27,MATCH(B13,'Materials Master'!$B$2:$B$27,0))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SUMIFS(Fact_Extrapolated!$F$2:$F$781,Fact_Extrapolated!$C$2:$C$781,"FIB02",Fact_Extrapolated!$A$2:$A$781,"CAFÉ BOH")</f>
        <v>0</v>
      </c>
      <c r="D14" s="0" t="n">
        <f aca="false">IF($B$9=0,0,C14/$B$9)</f>
        <v>0</v>
      </c>
      <c r="E14" s="0" t="n">
        <f aca="false">SUMIFS(Fact_Extrapolated!$F$2:$F$781,Fact_Extrapolated!$C$2:$C$781,"FIB02",Fact_Extrapolated!$A$2:$A$781,"CAFÉ BOH",Fact_Extrapolated!$G$2:$G$781,1)</f>
        <v>0</v>
      </c>
      <c r="F14" s="0" t="n">
        <f aca="false">IF(C14=0,0,E14/C14)</f>
        <v>0</v>
      </c>
      <c r="G14" s="0" t="str">
        <f aca="false">INDEX('Materials Master'!$D$2:$D$27,MATCH(B14,'Materials Master'!$B$2:$B$27,0))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SUMIFS(Fact_Extrapolated!$F$2:$F$781,Fact_Extrapolated!$C$2:$C$781,"FIB03",Fact_Extrapolated!$A$2:$A$781,"CAFÉ BOH")</f>
        <v>0</v>
      </c>
      <c r="D15" s="0" t="n">
        <f aca="false">IF($B$9=0,0,C15/$B$9)</f>
        <v>0</v>
      </c>
      <c r="E15" s="0" t="n">
        <f aca="false">SUMIFS(Fact_Extrapolated!$F$2:$F$781,Fact_Extrapolated!$C$2:$C$781,"FIB03",Fact_Extrapolated!$A$2:$A$781,"CAFÉ BOH",Fact_Extrapolated!$G$2:$G$781,1)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SUMIFS(Fact_Extrapolated!$F$2:$F$781,Fact_Extrapolated!$C$2:$C$781,"FIB04",Fact_Extrapolated!$A$2:$A$781,"CAFÉ BOH")</f>
        <v>63.4563654010131</v>
      </c>
      <c r="D16" s="0" t="n">
        <f aca="false">IF($B$9=0,0,C16/$B$9)</f>
        <v>0.0517208944502511</v>
      </c>
      <c r="E16" s="0" t="n">
        <f aca="false">SUMIFS(Fact_Extrapolated!$F$2:$F$781,Fact_Extrapolated!$C$2:$C$781,"FIB04",Fact_Extrapolated!$A$2:$A$781,"CAFÉ BOH",Fact_Extrapolated!$G$2:$G$781,1)</f>
        <v>0.34811320754717</v>
      </c>
      <c r="F16" s="0" t="n">
        <f aca="false">IF(C16=0,0,E16/C16)</f>
        <v>0.00548586742003367</v>
      </c>
      <c r="G16" s="0" t="str">
        <f aca="false">INDEX('Materials Master'!$D$2:$D$27,MATCH(B16,'Materials Master'!$B$2:$B$27,0))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SUMIFS(Fact_Extrapolated!$F$2:$F$781,Fact_Extrapolated!$C$2:$C$781,"FIB05",Fact_Extrapolated!$A$2:$A$781,"CAFÉ BOH")</f>
        <v>0</v>
      </c>
      <c r="D17" s="0" t="n">
        <f aca="false">IF($B$9=0,0,C17/$B$9)</f>
        <v>0</v>
      </c>
      <c r="E17" s="0" t="n">
        <f aca="false">SUMIFS(Fact_Extrapolated!$F$2:$F$781,Fact_Extrapolated!$C$2:$C$781,"FIB05",Fact_Extrapolated!$A$2:$A$781,"CAFÉ BOH",Fact_Extrapolated!$G$2:$G$781,1)</f>
        <v>0</v>
      </c>
      <c r="F17" s="0" t="n">
        <f aca="false">IF(C17=0,0,E17/C17)</f>
        <v>0</v>
      </c>
      <c r="G17" s="0" t="str">
        <f aca="false">INDEX('Materials Master'!$D$2:$D$27,MATCH(B17,'Materials Master'!$B$2:$B$27,0))</f>
        <v>No</v>
      </c>
    </row>
    <row r="18" customFormat="false" ht="15" hidden="false" customHeight="false" outlineLevel="0" collapsed="false">
      <c r="B18" s="0" t="s">
        <v>42</v>
      </c>
      <c r="C18" s="0" t="n">
        <f aca="false">SUMIFS(Fact_Extrapolated!$F$2:$F$781,Fact_Extrapolated!$C$2:$C$781,"FIB06",Fact_Extrapolated!$A$2:$A$781,"CAFÉ BOH")</f>
        <v>10.978046696942</v>
      </c>
      <c r="D18" s="0" t="n">
        <f aca="false">IF($B$9=0,0,C18/$B$9)</f>
        <v>0.0089477925641389</v>
      </c>
      <c r="E18" s="0" t="n">
        <f aca="false">SUMIFS(Fact_Extrapolated!$F$2:$F$781,Fact_Extrapolated!$C$2:$C$781,"FIB06",Fact_Extrapolated!$A$2:$A$781,"CAFÉ BOH",Fact_Extrapolated!$G$2:$G$781,1)</f>
        <v>0.687735849056604</v>
      </c>
      <c r="F18" s="0" t="n">
        <f aca="false">IF(C18=0,0,E18/C18)</f>
        <v>0.062646467813639</v>
      </c>
      <c r="G18" s="0" t="str">
        <f aca="false">INDEX('Materials Master'!$D$2:$D$27,MATCH(B18,'Materials Master'!$B$2:$B$27,0))</f>
        <v>Yes</v>
      </c>
    </row>
    <row r="19" customFormat="false" ht="15" hidden="false" customHeight="false" outlineLevel="0" collapsed="false">
      <c r="B19" s="0" t="s">
        <v>44</v>
      </c>
      <c r="C19" s="0" t="n">
        <f aca="false">SUMIFS(Fact_Extrapolated!$F$2:$F$781,Fact_Extrapolated!$C$2:$C$781,"FIB07",Fact_Extrapolated!$A$2:$A$781,"CAFÉ BOH")</f>
        <v>0</v>
      </c>
      <c r="D19" s="0" t="n">
        <f aca="false">IF($B$9=0,0,C19/$B$9)</f>
        <v>0</v>
      </c>
      <c r="E19" s="0" t="n">
        <f aca="false">SUMIFS(Fact_Extrapolated!$F$2:$F$781,Fact_Extrapolated!$C$2:$C$781,"FIB07",Fact_Extrapolated!$A$2:$A$781,"CAFÉ BOH",Fact_Extrapolated!$G$2:$G$781,1)</f>
        <v>0</v>
      </c>
      <c r="F19" s="0" t="n">
        <f aca="false">IF(C19=0,0,E19/C19)</f>
        <v>0</v>
      </c>
      <c r="G19" s="0" t="str">
        <f aca="false">INDEX('Materials Master'!$D$2:$D$27,MATCH(B19,'Materials Master'!$B$2:$B$27,0))</f>
        <v>No</v>
      </c>
    </row>
    <row r="20" customFormat="false" ht="15" hidden="false" customHeight="false" outlineLevel="0" collapsed="false">
      <c r="B20" s="0" t="s">
        <v>46</v>
      </c>
      <c r="C20" s="0" t="n">
        <f aca="false">SUMIFS(Fact_Extrapolated!$F$2:$F$781,Fact_Extrapolated!$C$2:$C$781,"FIB08",Fact_Extrapolated!$A$2:$A$781,"CAFÉ BOH")</f>
        <v>0.809433962264151</v>
      </c>
      <c r="D20" s="0" t="n">
        <f aca="false">IF($B$9=0,0,C20/$B$9)</f>
        <v>0.000659739149290204</v>
      </c>
      <c r="E20" s="0" t="n">
        <f aca="false">SUMIFS(Fact_Extrapolated!$F$2:$F$781,Fact_Extrapolated!$C$2:$C$781,"FIB08",Fact_Extrapolated!$A$2:$A$781,"CAFÉ BOH",Fact_Extrapolated!$G$2:$G$781,1)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A21" s="0" t="s">
        <v>49</v>
      </c>
      <c r="B21" s="0" t="s">
        <v>48</v>
      </c>
      <c r="C21" s="0" t="n">
        <f aca="false">SUMIFS(Fact_Extrapolated!$F$2:$F$781,Fact_Extrapolated!$C$2:$C$781,"GLA01",Fact_Extrapolated!$A$2:$A$781,"CAFÉ BOH")</f>
        <v>0</v>
      </c>
      <c r="D21" s="0" t="n">
        <f aca="false">IF($B$9=0,0,C21/$B$9)</f>
        <v>0</v>
      </c>
      <c r="E21" s="0" t="n">
        <f aca="false">SUMIFS(Fact_Extrapolated!$F$2:$F$781,Fact_Extrapolated!$C$2:$C$781,"GLA01",Fact_Extrapolated!$A$2:$A$781,"CAFÉ BOH",Fact_Extrapolated!$G$2:$G$781,1)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Yes</v>
      </c>
    </row>
    <row r="22" customFormat="false" ht="15" hidden="false" customHeight="false" outlineLevel="0" collapsed="false">
      <c r="B22" s="0" t="s">
        <v>51</v>
      </c>
      <c r="C22" s="0" t="n">
        <f aca="false">SUMIFS(Fact_Extrapolated!$F$2:$F$781,Fact_Extrapolated!$C$2:$C$781,"GLA02",Fact_Extrapolated!$A$2:$A$781,"CAFÉ BOH")</f>
        <v>0</v>
      </c>
      <c r="D22" s="0" t="n">
        <f aca="false">IF($B$9=0,0,C22/$B$9)</f>
        <v>0</v>
      </c>
      <c r="E22" s="0" t="n">
        <f aca="false">SUMIFS(Fact_Extrapolated!$F$2:$F$781,Fact_Extrapolated!$C$2:$C$781,"GLA02",Fact_Extrapolated!$A$2:$A$781,"CAFÉ BOH",Fact_Extrapolated!$G$2:$G$781,1)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No</v>
      </c>
    </row>
    <row r="23" customFormat="false" ht="15" hidden="false" customHeight="false" outlineLevel="0" collapsed="false">
      <c r="A23" s="0" t="s">
        <v>54</v>
      </c>
      <c r="B23" s="0" t="s">
        <v>53</v>
      </c>
      <c r="C23" s="0" t="n">
        <f aca="false">SUMIFS(Fact_Extrapolated!$F$2:$F$781,Fact_Extrapolated!$C$2:$C$781,"MET01",Fact_Extrapolated!$A$2:$A$781,"CAFÉ BOH")</f>
        <v>1.74392494617041</v>
      </c>
      <c r="D23" s="0" t="n">
        <f aca="false">IF($B$9=0,0,C23/$B$9)</f>
        <v>0.0014214075688079</v>
      </c>
      <c r="E23" s="0" t="n">
        <f aca="false">SUMIFS(Fact_Extrapolated!$F$2:$F$781,Fact_Extrapolated!$C$2:$C$781,"MET01",Fact_Extrapolated!$A$2:$A$781,"CAFÉ BOH",Fact_Extrapolated!$G$2:$G$781,1)</f>
        <v>0</v>
      </c>
      <c r="F23" s="0" t="n">
        <f aca="false">IF(C23=0,0,E23/C23)</f>
        <v>0</v>
      </c>
      <c r="G23" s="0" t="str">
        <f aca="false">INDEX('Materials Master'!$D$2:$D$27,MATCH(B23,'Materials Master'!$B$2:$B$27,0))</f>
        <v>Yes</v>
      </c>
    </row>
    <row r="24" customFormat="false" ht="15" hidden="false" customHeight="false" outlineLevel="0" collapsed="false">
      <c r="B24" s="0" t="s">
        <v>56</v>
      </c>
      <c r="C24" s="0" t="n">
        <f aca="false">SUMIFS(Fact_Extrapolated!$F$2:$F$781,Fact_Extrapolated!$C$2:$C$781,"MET02",Fact_Extrapolated!$A$2:$A$781,"CAFÉ BOH")</f>
        <v>0</v>
      </c>
      <c r="D24" s="0" t="n">
        <f aca="false">IF($B$9=0,0,C24/$B$9)</f>
        <v>0</v>
      </c>
      <c r="E24" s="0" t="n">
        <f aca="false">SUMIFS(Fact_Extrapolated!$F$2:$F$781,Fact_Extrapolated!$C$2:$C$781,"MET02",Fact_Extrapolated!$A$2:$A$781,"CAFÉ BOH",Fact_Extrapolated!$G$2:$G$781,1)</f>
        <v>0</v>
      </c>
      <c r="F24" s="0" t="n">
        <f aca="false">IF(C24=0,0,E24/C24)</f>
        <v>0</v>
      </c>
      <c r="G24" s="0" t="str">
        <f aca="false">INDEX('Materials Master'!$D$2:$D$27,MATCH(B24,'Materials Master'!$B$2:$B$27,0))</f>
        <v>No</v>
      </c>
    </row>
    <row r="25" customFormat="false" ht="15" hidden="false" customHeight="false" outlineLevel="0" collapsed="false">
      <c r="A25" s="0" t="s">
        <v>59</v>
      </c>
      <c r="B25" s="0" t="s">
        <v>58</v>
      </c>
      <c r="C25" s="0" t="n">
        <f aca="false">SUMIFS(Fact_Extrapolated!$F$2:$F$781,Fact_Extrapolated!$C$2:$C$781,"PLA01",Fact_Extrapolated!$A$2:$A$781,"CAFÉ BOH")</f>
        <v>105.56712248558</v>
      </c>
      <c r="D25" s="0" t="n">
        <f aca="false">IF($B$9=0,0,C25/$B$9)</f>
        <v>0.086043787175467</v>
      </c>
      <c r="E25" s="0" t="n">
        <f aca="false">SUMIFS(Fact_Extrapolated!$F$2:$F$781,Fact_Extrapolated!$C$2:$C$781,"PLA01",Fact_Extrapolated!$A$2:$A$781,"CAFÉ BOH",Fact_Extrapolated!$G$2:$G$781,1)</f>
        <v>0</v>
      </c>
      <c r="F25" s="0" t="n">
        <f aca="false">IF(C25=0,0,E25/C25)</f>
        <v>0</v>
      </c>
      <c r="G25" s="0" t="str">
        <f aca="false">INDEX('Materials Master'!$D$2:$D$27,MATCH(B25,'Materials Master'!$B$2:$B$27,0))</f>
        <v>Yes</v>
      </c>
    </row>
    <row r="26" customFormat="false" ht="15" hidden="false" customHeight="false" outlineLevel="0" collapsed="false">
      <c r="B26" s="0" t="s">
        <v>61</v>
      </c>
      <c r="C26" s="0" t="n">
        <f aca="false">SUMIFS(Fact_Extrapolated!$F$2:$F$781,Fact_Extrapolated!$C$2:$C$781,"PLA02",Fact_Extrapolated!$A$2:$A$781,"CAFÉ BOH")</f>
        <v>0</v>
      </c>
      <c r="D26" s="0" t="n">
        <f aca="false">IF($B$9=0,0,C26/$B$9)</f>
        <v>0</v>
      </c>
      <c r="E26" s="0" t="n">
        <f aca="false">SUMIFS(Fact_Extrapolated!$F$2:$F$781,Fact_Extrapolated!$C$2:$C$781,"PLA02",Fact_Extrapolated!$A$2:$A$781,"CAFÉ BOH",Fact_Extrapolated!$G$2:$G$781,1)</f>
        <v>0</v>
      </c>
      <c r="F26" s="0" t="n">
        <f aca="false">IF(C26=0,0,E26/C26)</f>
        <v>0</v>
      </c>
      <c r="G26" s="0" t="str">
        <f aca="false">INDEX('Materials Master'!$D$2:$D$27,MATCH(B26,'Materials Master'!$B$2:$B$27,0))</f>
        <v>No</v>
      </c>
    </row>
    <row r="27" customFormat="false" ht="15" hidden="false" customHeight="false" outlineLevel="0" collapsed="false">
      <c r="B27" s="0" t="s">
        <v>63</v>
      </c>
      <c r="C27" s="0" t="n">
        <f aca="false">SUMIFS(Fact_Extrapolated!$F$2:$F$781,Fact_Extrapolated!$C$2:$C$781,"PLA03",Fact_Extrapolated!$A$2:$A$781,"CAFÉ BOH")</f>
        <v>95.3025501429635</v>
      </c>
      <c r="D27" s="0" t="n">
        <f aca="false">IF($B$9=0,0,C27/$B$9)</f>
        <v>0.0776775206968486</v>
      </c>
      <c r="E27" s="0" t="n">
        <f aca="false">SUMIFS(Fact_Extrapolated!$F$2:$F$781,Fact_Extrapolated!$C$2:$C$781,"PLA03",Fact_Extrapolated!$A$2:$A$781,"CAFÉ BOH",Fact_Extrapolated!$G$2:$G$781,1)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65</v>
      </c>
      <c r="C28" s="0" t="n">
        <f aca="false">SUMIFS(Fact_Extrapolated!$F$2:$F$781,Fact_Extrapolated!$C$2:$C$781,"PLA04",Fact_Extrapolated!$A$2:$A$781,"CAFÉ BOH")</f>
        <v>2.95647746189352</v>
      </c>
      <c r="D28" s="0" t="n">
        <f aca="false">IF($B$9=0,0,C28/$B$9)</f>
        <v>0.00240971347452402</v>
      </c>
      <c r="E28" s="0" t="n">
        <f aca="false">SUMIFS(Fact_Extrapolated!$F$2:$F$781,Fact_Extrapolated!$C$2:$C$781,"PLA04",Fact_Extrapolated!$A$2:$A$781,"CAFÉ BOH",Fact_Extrapolated!$G$2:$G$781,1)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A29" s="0" t="s">
        <v>68</v>
      </c>
      <c r="B29" s="0" t="s">
        <v>67</v>
      </c>
      <c r="C29" s="0" t="n">
        <f aca="false">SUMIFS(Fact_Extrapolated!$F$2:$F$781,Fact_Extrapolated!$C$2:$C$781,"ORG01",Fact_Extrapolated!$A$2:$A$781,"CAFÉ BOH")</f>
        <v>651.287942910101</v>
      </c>
      <c r="D29" s="0" t="n">
        <f aca="false">IF($B$9=0,0,C29/$B$9)</f>
        <v>0.530840282753363</v>
      </c>
      <c r="E29" s="0" t="n">
        <f aca="false">SUMIFS(Fact_Extrapolated!$F$2:$F$781,Fact_Extrapolated!$C$2:$C$781,"ORG01",Fact_Extrapolated!$A$2:$A$781,"CAFÉ BOH",Fact_Extrapolated!$G$2:$G$781,1)</f>
        <v>67.3100069484519</v>
      </c>
      <c r="F29" s="0" t="n">
        <f aca="false">IF(C29=0,0,E29/C29)</f>
        <v>0.103349075752417</v>
      </c>
      <c r="G29" s="0" t="str">
        <f aca="false">INDEX('Materials Master'!$D$2:$D$27,MATCH(B29,'Materials Master'!$B$2:$B$27,0))</f>
        <v>Yes</v>
      </c>
    </row>
    <row r="30" customFormat="false" ht="15" hidden="false" customHeight="false" outlineLevel="0" collapsed="false">
      <c r="B30" s="0" t="s">
        <v>70</v>
      </c>
      <c r="C30" s="0" t="n">
        <f aca="false">SUMIFS(Fact_Extrapolated!$F$2:$F$781,Fact_Extrapolated!$C$2:$C$781,"ORG02",Fact_Extrapolated!$A$2:$A$781,"CAFÉ BOH")</f>
        <v>62.2827821405687</v>
      </c>
      <c r="D30" s="0" t="n">
        <f aca="false">IF($B$9=0,0,C30/$B$9)</f>
        <v>0.0507643509174086</v>
      </c>
      <c r="E30" s="0" t="n">
        <f aca="false">SUMIFS(Fact_Extrapolated!$F$2:$F$781,Fact_Extrapolated!$C$2:$C$781,"ORG02",Fact_Extrapolated!$A$2:$A$781,"CAFÉ BOH",Fact_Extrapolated!$G$2:$G$781,1)</f>
        <v>0</v>
      </c>
      <c r="F30" s="0" t="n">
        <f aca="false">IF(C30=0,0,E30/C30)</f>
        <v>0</v>
      </c>
      <c r="G30" s="0" t="str">
        <f aca="false">INDEX('Materials Master'!$D$2:$D$27,MATCH(B30,'Materials Master'!$B$2:$B$27,0))</f>
        <v>No</v>
      </c>
    </row>
    <row r="31" customFormat="false" ht="15" hidden="false" customHeight="false" outlineLevel="0" collapsed="false">
      <c r="B31" s="0" t="s">
        <v>72</v>
      </c>
      <c r="C31" s="0" t="n">
        <f aca="false">SUMIFS(Fact_Extrapolated!$F$2:$F$781,Fact_Extrapolated!$C$2:$C$781,"ORG03",Fact_Extrapolated!$A$2:$A$781,"CAFÉ BOH")</f>
        <v>47.2669587398339</v>
      </c>
      <c r="D31" s="0" t="n">
        <f aca="false">IF($B$9=0,0,C31/$B$9)</f>
        <v>0.0385255185751356</v>
      </c>
      <c r="E31" s="0" t="n">
        <f aca="false">SUMIFS(Fact_Extrapolated!$F$2:$F$781,Fact_Extrapolated!$C$2:$C$781,"ORG03",Fact_Extrapolated!$A$2:$A$781,"CAFÉ BOH",Fact_Extrapolated!$G$2:$G$781,1)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74</v>
      </c>
      <c r="C32" s="0" t="n">
        <f aca="false">SUMIFS(Fact_Extrapolated!$F$2:$F$781,Fact_Extrapolated!$C$2:$C$781,"ORG04",Fact_Extrapolated!$A$2:$A$781,"CAFÉ BOH")</f>
        <v>22.9845176652933</v>
      </c>
      <c r="D32" s="0" t="n">
        <f aca="false">IF($B$9=0,0,C32/$B$9)</f>
        <v>0.0187338150340642</v>
      </c>
      <c r="E32" s="0" t="n">
        <f aca="false">SUMIFS(Fact_Extrapolated!$F$2:$F$781,Fact_Extrapolated!$C$2:$C$781,"ORG04",Fact_Extrapolated!$A$2:$A$781,"CAFÉ BOH",Fact_Extrapolated!$G$2:$G$781,1)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A33" s="0" t="s">
        <v>77</v>
      </c>
      <c r="B33" s="0" t="s">
        <v>76</v>
      </c>
      <c r="C33" s="0" t="n">
        <f aca="false">SUMIFS(Fact_Extrapolated!$F$2:$F$781,Fact_Extrapolated!$C$2:$C$781,"UNA01",Fact_Extrapolated!$A$2:$A$781,"CAFÉ BOH")</f>
        <v>0</v>
      </c>
      <c r="D33" s="0" t="n">
        <f aca="false">IF($B$9=0,0,C33/$B$9)</f>
        <v>0</v>
      </c>
      <c r="E33" s="0" t="n">
        <f aca="false">SUMIFS(Fact_Extrapolated!$F$2:$F$781,Fact_Extrapolated!$C$2:$C$781,"UNA01",Fact_Extrapolated!$A$2:$A$781,"CAFÉ BOH",Fact_Extrapolated!$G$2:$G$781,1)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Unacceptable</v>
      </c>
    </row>
    <row r="34" customFormat="false" ht="15" hidden="false" customHeight="false" outlineLevel="0" collapsed="false">
      <c r="B34" s="0" t="s">
        <v>79</v>
      </c>
      <c r="C34" s="0" t="n">
        <f aca="false">SUMIFS(Fact_Extrapolated!$F$2:$F$781,Fact_Extrapolated!$C$2:$C$781,"UNA02",Fact_Extrapolated!$A$2:$A$781,"CAFÉ BOH")</f>
        <v>0</v>
      </c>
      <c r="D34" s="0" t="n">
        <f aca="false">IF($B$9=0,0,C34/$B$9)</f>
        <v>0</v>
      </c>
      <c r="E34" s="0" t="n">
        <f aca="false">SUMIFS(Fact_Extrapolated!$F$2:$F$781,Fact_Extrapolated!$C$2:$C$781,"UNA02",Fact_Extrapolated!$A$2:$A$781,"CAFÉ BOH",Fact_Extrapolated!$G$2:$G$781,1)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81</v>
      </c>
      <c r="C35" s="0" t="n">
        <f aca="false">SUMIFS(Fact_Extrapolated!$F$2:$F$781,Fact_Extrapolated!$C$2:$C$781,"UNA03",Fact_Extrapolated!$A$2:$A$781,"CAFÉ BOH")</f>
        <v>0</v>
      </c>
      <c r="D35" s="0" t="n">
        <f aca="false">IF($B$9=0,0,C35/$B$9)</f>
        <v>0</v>
      </c>
      <c r="E35" s="0" t="n">
        <f aca="false">SUMIFS(Fact_Extrapolated!$F$2:$F$781,Fact_Extrapolated!$C$2:$C$781,"UNA03",Fact_Extrapolated!$A$2:$A$781,"CAFÉ BOH",Fact_Extrapolated!$G$2:$G$781,1)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83</v>
      </c>
      <c r="C36" s="0" t="n">
        <f aca="false">SUMIFS(Fact_Extrapolated!$F$2:$F$781,Fact_Extrapolated!$C$2:$C$781,"UNA04",Fact_Extrapolated!$A$2:$A$781,"CAFÉ BOH")</f>
        <v>15.3465395262996</v>
      </c>
      <c r="D36" s="0" t="n">
        <f aca="false">IF($B$9=0,0,C36/$B$9)</f>
        <v>0.0125083866055095</v>
      </c>
      <c r="E36" s="0" t="n">
        <f aca="false">SUMIFS(Fact_Extrapolated!$F$2:$F$781,Fact_Extrapolated!$C$2:$C$781,"UNA04",Fact_Extrapolated!$A$2:$A$781,"CAFÉ BOH",Fact_Extrapolated!$G$2:$G$781,1)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A37" s="0" t="s">
        <v>86</v>
      </c>
      <c r="B37" s="0" t="s">
        <v>85</v>
      </c>
      <c r="C37" s="0" t="n">
        <f aca="false">SUMIFS(Fact_Extrapolated!$F$2:$F$781,Fact_Extrapolated!$C$2:$C$781,"OTH01",Fact_Extrapolated!$A$2:$A$781,"CAFÉ BOH")</f>
        <v>5.50731101034753</v>
      </c>
      <c r="D37" s="0" t="n">
        <f aca="false">IF($B$9=0,0,C37/$B$9)</f>
        <v>0.00448880186677605</v>
      </c>
      <c r="E37" s="0" t="n">
        <f aca="false">SUMIFS(Fact_Extrapolated!$F$2:$F$781,Fact_Extrapolated!$C$2:$C$781,"OTH01",Fact_Extrapolated!$A$2:$A$781,"CAFÉ BOH",Fact_Extrapolated!$G$2:$G$781,1)</f>
        <v>0</v>
      </c>
      <c r="F37" s="0" t="n">
        <f aca="false">IF(C37=0,0,E37/C37)</f>
        <v>0</v>
      </c>
      <c r="G37" s="0" t="str">
        <f aca="false">INDEX('Materials Master'!$D$2:$D$27,MATCH(B37,'Materials Master'!$B$2:$B$27,0))</f>
        <v>No</v>
      </c>
    </row>
    <row r="38" customFormat="false" ht="15" hidden="false" customHeight="false" outlineLevel="0" collapsed="false">
      <c r="B38" s="0" t="s">
        <v>88</v>
      </c>
      <c r="C38" s="0" t="n">
        <f aca="false">SUMIFS(Fact_Extrapolated!$F$2:$F$781,Fact_Extrapolated!$C$2:$C$781,"OTH02",Fact_Extrapolated!$A$2:$A$781,"CAFÉ BOH")</f>
        <v>141.410026910729</v>
      </c>
      <c r="D38" s="0" t="n">
        <f aca="false">IF($B$9=0,0,C38/$B$9)</f>
        <v>0.115257989168416</v>
      </c>
      <c r="E38" s="0" t="n">
        <f aca="false">SUMIFS(Fact_Extrapolated!$F$2:$F$781,Fact_Extrapolated!$C$2:$C$781,"OTH02",Fact_Extrapolated!$A$2:$A$781,"CAFÉ BOH",Fact_Extrapolated!$G$2:$G$781,1)</f>
        <v>0</v>
      </c>
      <c r="F38" s="0" t="n">
        <f aca="false">IF(C38=0,0,E38/C38)</f>
        <v>0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0" t="s">
        <v>132</v>
      </c>
    </row>
    <row r="41" customFormat="false" ht="15" hidden="false" customHeight="false" outlineLevel="0" collapsed="false">
      <c r="A41" s="0" t="s">
        <v>129</v>
      </c>
      <c r="B41" s="0" t="s">
        <v>130</v>
      </c>
      <c r="C41" s="0" t="s">
        <v>122</v>
      </c>
    </row>
    <row r="42" customFormat="false" ht="15" hidden="false" customHeight="false" outlineLevel="0" collapsed="false">
      <c r="A42" s="0" t="s">
        <v>30</v>
      </c>
      <c r="B42" s="0" t="n">
        <f aca="false">SUM(C13:C20)</f>
        <v>75.2438460602193</v>
      </c>
      <c r="C42" s="0" t="n">
        <f aca="false">IF($B$9=0,0,B42/$B$9)</f>
        <v>0.0613284261636802</v>
      </c>
    </row>
    <row r="43" customFormat="false" ht="15" hidden="false" customHeight="false" outlineLevel="0" collapsed="false">
      <c r="A43" s="0" t="s">
        <v>49</v>
      </c>
      <c r="B43" s="0" t="n">
        <f aca="false">SUM(C21:C22)</f>
        <v>0</v>
      </c>
      <c r="C43" s="0" t="n">
        <f aca="false">IF($B$9=0,0,B43/$B$9)</f>
        <v>0</v>
      </c>
    </row>
    <row r="44" customFormat="false" ht="15" hidden="false" customHeight="false" outlineLevel="0" collapsed="false">
      <c r="A44" s="0" t="s">
        <v>54</v>
      </c>
      <c r="B44" s="0" t="n">
        <f aca="false">SUM(C23:C24)</f>
        <v>1.74392494617041</v>
      </c>
      <c r="C44" s="0" t="n">
        <f aca="false">IF($B$9=0,0,B44/$B$9)</f>
        <v>0.0014214075688079</v>
      </c>
    </row>
    <row r="45" customFormat="false" ht="15" hidden="false" customHeight="false" outlineLevel="0" collapsed="false">
      <c r="A45" s="0" t="s">
        <v>59</v>
      </c>
      <c r="B45" s="0" t="n">
        <f aca="false">SUM(C25:C28)</f>
        <v>203.826150090437</v>
      </c>
      <c r="C45" s="0" t="n">
        <f aca="false">IF($B$9=0,0,B45/$B$9)</f>
        <v>0.16613102134684</v>
      </c>
    </row>
    <row r="46" customFormat="false" ht="15" hidden="false" customHeight="false" outlineLevel="0" collapsed="false">
      <c r="A46" s="0" t="s">
        <v>68</v>
      </c>
      <c r="B46" s="0" t="n">
        <f aca="false">SUM(C29:C32)</f>
        <v>783.822201455797</v>
      </c>
      <c r="C46" s="0" t="n">
        <f aca="false">IF($B$9=0,0,B46/$B$9)</f>
        <v>0.638863967279971</v>
      </c>
    </row>
    <row r="47" customFormat="false" ht="15" hidden="false" customHeight="false" outlineLevel="0" collapsed="false">
      <c r="A47" s="0" t="s">
        <v>77</v>
      </c>
      <c r="B47" s="0" t="n">
        <f aca="false">SUM(C33:C36)</f>
        <v>15.3465395262996</v>
      </c>
      <c r="C47" s="0" t="n">
        <f aca="false">IF($B$9=0,0,B47/$B$9)</f>
        <v>0.0125083866055095</v>
      </c>
    </row>
    <row r="48" customFormat="false" ht="15" hidden="false" customHeight="false" outlineLevel="0" collapsed="false">
      <c r="A48" s="0" t="s">
        <v>86</v>
      </c>
      <c r="B48" s="0" t="n">
        <f aca="false">SUM(C37:C38)</f>
        <v>146.917337921077</v>
      </c>
      <c r="C48" s="0" t="n">
        <f aca="false">IF($B$9=0,0,B48/$B$9)</f>
        <v>0.119746791035192</v>
      </c>
    </row>
    <row r="49" customFormat="false" ht="15" hidden="false" customHeight="false" outlineLevel="0" collapsed="false">
      <c r="A49" s="0" t="s">
        <v>133</v>
      </c>
      <c r="B49" s="0" t="n">
        <f aca="false">$B$9-SUM(B42:B48)</f>
        <v>0</v>
      </c>
      <c r="C49" s="0" t="n">
        <f aca="false">IF($B$9=0,0,B49/$B$9)</f>
        <v>0</v>
      </c>
    </row>
    <row r="50" customFormat="false" ht="15" hidden="false" customHeight="false" outlineLevel="0" collapsed="false">
      <c r="A50" s="0" t="s">
        <v>126</v>
      </c>
      <c r="B50" s="0" t="n">
        <f aca="false">SUM(B42:B49)</f>
        <v>1226.9</v>
      </c>
      <c r="C50" s="0" t="n">
        <f aca="false">IF(B50=0,0,B50/$B$9)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119</v>
      </c>
    </row>
    <row r="2" customFormat="false" ht="15" hidden="false" customHeight="false" outlineLevel="0" collapsed="false">
      <c r="A2" s="0" t="s">
        <v>120</v>
      </c>
      <c r="B2" s="0" t="s">
        <v>121</v>
      </c>
      <c r="C2" s="0" t="s">
        <v>122</v>
      </c>
      <c r="D2" s="0" t="s">
        <v>123</v>
      </c>
      <c r="E2" s="0" t="s">
        <v>124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SUMIFS(Fact_PreSortWeights!$E$2:$E$186,Fact_PreSortWeights!$C$2:$C$186,"LOCATION C",Fact_PreSortWeights!$B$2:$B$186,"Trash")</f>
        <v>0</v>
      </c>
      <c r="C3" s="0" t="n">
        <f aca="false">IF($B$9=0,0,B3/$B$9)</f>
        <v>0</v>
      </c>
      <c r="D3" s="0" t="n">
        <f aca="false">SUMIFS(Fact_Extrapolated!$F$2:$F$781,Fact_Extrapolated!$B$2:$B$781,A3,Fact_Extrapolated!$A$2:$A$781,"LOCATION C",Fact_Extrapolated!$G$2:$G$781,1)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SUMIFS(Fact_PreSortWeights!$E$2:$E$186,Fact_PreSortWeights!$C$2:$C$186,"LOCATION C",Fact_PreSortWeights!$B$2:$B$186,"GMPC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SUMIFS(Fact_Extrapolated!$F$2:$F$781,Fact_Extrapolated!$B$2:$B$781,A4,Fact_Extrapolated!$A$2:$A$781,"LOCATION C",Fact_Extrapolated!$G$2:$G$781,1)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SUMIFS(Fact_PreSortWeights!$E$2:$E$186,Fact_PreSortWeights!$C$2:$C$186,"LOCATION C",Fact_PreSortWeights!$B$2:$B$186,"Organics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SUMIFS(Fact_Extrapolated!$F$2:$F$781,Fact_Extrapolated!$B$2:$B$781,A5,Fact_Extrapolated!$A$2:$A$781,"LOCATION C",Fact_Extrapolated!$G$2:$G$781,1)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SUMIFS(Fact_SortedWeights!$E$2:$E$89,Fact_SortedWeights!$C$2:$C$89,"LOCATION C",Fact_SortedWeights!$B$2:$B$89,"Cardboard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SUMIFS(Fact_Extrapolated!$F$2:$F$781,Fact_Extrapolated!$B$2:$B$781,A6,Fact_Extrapolated!$A$2:$A$781,"LOCATION C",Fact_Extrapolated!$G$2:$G$781,1)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SUMIFS(Fact_PreSortWeights!$E$2:$E$186,Fact_PreSortWeights!$C$2:$C$186,"LOCATION C",Fact_PreSortWeights!$B$2:$B$186,"Paper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SUMIFS(Fact_Extrapolated!$F$2:$F$781,Fact_Extrapolated!$B$2:$B$781,A7,Fact_Extrapolated!$A$2:$A$781,"LOCATION C",Fact_Extrapolated!$G$2:$G$781,1)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SUMIFS(Fact_PreSortWeights!$E$2:$E$186,Fact_PreSortWeights!$C$2:$C$186,"LOCATION C",Fact_PreSortWeights!$B$2:$B$186,"Terracycle")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SUMIFS(Fact_Extrapolated!$F$2:$F$781,Fact_Extrapolated!$B$2:$B$781,A8,Fact_Extrapolated!$A$2:$A$781,"LOCATION C",Fact_Extrapolated!$G$2:$G$781,1)</f>
        <v>0</v>
      </c>
    </row>
    <row r="9" customFormat="false" ht="15" hidden="false" customHeight="false" outlineLevel="0" collapsed="false">
      <c r="A9" s="0" t="s">
        <v>126</v>
      </c>
      <c r="B9" s="0" t="n">
        <f aca="false">SUM(B3:B8)</f>
        <v>0</v>
      </c>
      <c r="C9" s="0" t="n">
        <f aca="false">IF($B$9=0,0,B9/$B$9)</f>
        <v>0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127</v>
      </c>
    </row>
    <row r="12" customFormat="false" ht="15" hidden="false" customHeight="false" outlineLevel="0" collapsed="false">
      <c r="A12" s="0" t="s">
        <v>128</v>
      </c>
      <c r="B12" s="0" t="s">
        <v>129</v>
      </c>
      <c r="C12" s="0" t="s">
        <v>130</v>
      </c>
      <c r="D12" s="0" t="s">
        <v>122</v>
      </c>
      <c r="E12" s="0" t="s">
        <v>123</v>
      </c>
      <c r="F12" s="0" t="s">
        <v>124</v>
      </c>
      <c r="G12" s="0" t="s">
        <v>131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SUMIFS(Fact_Extrapolated!$F$2:$F$781,Fact_Extrapolated!$C$2:$C$781,"FIB01",Fact_Extrapolated!$A$2:$A$781,"LOCATION C")</f>
        <v>0</v>
      </c>
      <c r="D13" s="0" t="n">
        <f aca="false">IF($B$9=0,0,C13/$B$9)</f>
        <v>0</v>
      </c>
      <c r="E13" s="0" t="n">
        <f aca="false">SUMIFS(Fact_Extrapolated!$F$2:$F$781,Fact_Extrapolated!$C$2:$C$781,"FIB01",Fact_Extrapolated!$A$2:$A$781,"LOCATION C",Fact_Extrapolated!$G$2:$G$781,1)</f>
        <v>0</v>
      </c>
      <c r="F13" s="0" t="n">
        <f aca="false">IF(C13=0,0,E13/C13)</f>
        <v>0</v>
      </c>
      <c r="G13" s="0" t="str">
        <f aca="false">INDEX('Materials Master'!$D$2:$D$27,MATCH(B13,'Materials Master'!$B$2:$B$27,0))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SUMIFS(Fact_Extrapolated!$F$2:$F$781,Fact_Extrapolated!$C$2:$C$781,"FIB02",Fact_Extrapolated!$A$2:$A$781,"LOCATION C")</f>
        <v>0</v>
      </c>
      <c r="D14" s="0" t="n">
        <f aca="false">IF($B$9=0,0,C14/$B$9)</f>
        <v>0</v>
      </c>
      <c r="E14" s="0" t="n">
        <f aca="false">SUMIFS(Fact_Extrapolated!$F$2:$F$781,Fact_Extrapolated!$C$2:$C$781,"FIB02",Fact_Extrapolated!$A$2:$A$781,"LOCATION C",Fact_Extrapolated!$G$2:$G$781,1)</f>
        <v>0</v>
      </c>
      <c r="F14" s="0" t="n">
        <f aca="false">IF(C14=0,0,E14/C14)</f>
        <v>0</v>
      </c>
      <c r="G14" s="0" t="str">
        <f aca="false">INDEX('Materials Master'!$D$2:$D$27,MATCH(B14,'Materials Master'!$B$2:$B$27,0))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SUMIFS(Fact_Extrapolated!$F$2:$F$781,Fact_Extrapolated!$C$2:$C$781,"FIB03",Fact_Extrapolated!$A$2:$A$781,"LOCATION C")</f>
        <v>0</v>
      </c>
      <c r="D15" s="0" t="n">
        <f aca="false">IF($B$9=0,0,C15/$B$9)</f>
        <v>0</v>
      </c>
      <c r="E15" s="0" t="n">
        <f aca="false">SUMIFS(Fact_Extrapolated!$F$2:$F$781,Fact_Extrapolated!$C$2:$C$781,"FIB03",Fact_Extrapolated!$A$2:$A$781,"LOCATION C",Fact_Extrapolated!$G$2:$G$781,1)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SUMIFS(Fact_Extrapolated!$F$2:$F$781,Fact_Extrapolated!$C$2:$C$781,"FIB04",Fact_Extrapolated!$A$2:$A$781,"LOCATION C")</f>
        <v>0</v>
      </c>
      <c r="D16" s="0" t="n">
        <f aca="false">IF($B$9=0,0,C16/$B$9)</f>
        <v>0</v>
      </c>
      <c r="E16" s="0" t="n">
        <f aca="false">SUMIFS(Fact_Extrapolated!$F$2:$F$781,Fact_Extrapolated!$C$2:$C$781,"FIB04",Fact_Extrapolated!$A$2:$A$781,"LOCATION C",Fact_Extrapolated!$G$2:$G$781,1)</f>
        <v>0</v>
      </c>
      <c r="F16" s="0" t="n">
        <f aca="false">IF(C16=0,0,E16/C16)</f>
        <v>0</v>
      </c>
      <c r="G16" s="0" t="str">
        <f aca="false">INDEX('Materials Master'!$D$2:$D$27,MATCH(B16,'Materials Master'!$B$2:$B$27,0))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SUMIFS(Fact_Extrapolated!$F$2:$F$781,Fact_Extrapolated!$C$2:$C$781,"FIB05",Fact_Extrapolated!$A$2:$A$781,"LOCATION C")</f>
        <v>0</v>
      </c>
      <c r="D17" s="0" t="n">
        <f aca="false">IF($B$9=0,0,C17/$B$9)</f>
        <v>0</v>
      </c>
      <c r="E17" s="0" t="n">
        <f aca="false">SUMIFS(Fact_Extrapolated!$F$2:$F$781,Fact_Extrapolated!$C$2:$C$781,"FIB05",Fact_Extrapolated!$A$2:$A$781,"LOCATION C",Fact_Extrapolated!$G$2:$G$781,1)</f>
        <v>0</v>
      </c>
      <c r="F17" s="0" t="n">
        <f aca="false">IF(C17=0,0,E17/C17)</f>
        <v>0</v>
      </c>
      <c r="G17" s="0" t="str">
        <f aca="false">INDEX('Materials Master'!$D$2:$D$27,MATCH(B17,'Materials Master'!$B$2:$B$27,0))</f>
        <v>No</v>
      </c>
    </row>
    <row r="18" customFormat="false" ht="15" hidden="false" customHeight="false" outlineLevel="0" collapsed="false">
      <c r="B18" s="0" t="s">
        <v>42</v>
      </c>
      <c r="C18" s="0" t="n">
        <f aca="false">SUMIFS(Fact_Extrapolated!$F$2:$F$781,Fact_Extrapolated!$C$2:$C$781,"FIB06",Fact_Extrapolated!$A$2:$A$781,"LOCATION C")</f>
        <v>0</v>
      </c>
      <c r="D18" s="0" t="n">
        <f aca="false">IF($B$9=0,0,C18/$B$9)</f>
        <v>0</v>
      </c>
      <c r="E18" s="0" t="n">
        <f aca="false">SUMIFS(Fact_Extrapolated!$F$2:$F$781,Fact_Extrapolated!$C$2:$C$781,"FIB06",Fact_Extrapolated!$A$2:$A$781,"LOCATION C",Fact_Extrapolated!$G$2:$G$781,1)</f>
        <v>0</v>
      </c>
      <c r="F18" s="0" t="n">
        <f aca="false">IF(C18=0,0,E18/C18)</f>
        <v>0</v>
      </c>
      <c r="G18" s="0" t="str">
        <f aca="false">INDEX('Materials Master'!$D$2:$D$27,MATCH(B18,'Materials Master'!$B$2:$B$27,0))</f>
        <v>Yes</v>
      </c>
    </row>
    <row r="19" customFormat="false" ht="15" hidden="false" customHeight="false" outlineLevel="0" collapsed="false">
      <c r="B19" s="0" t="s">
        <v>44</v>
      </c>
      <c r="C19" s="0" t="n">
        <f aca="false">SUMIFS(Fact_Extrapolated!$F$2:$F$781,Fact_Extrapolated!$C$2:$C$781,"FIB07",Fact_Extrapolated!$A$2:$A$781,"LOCATION C")</f>
        <v>0</v>
      </c>
      <c r="D19" s="0" t="n">
        <f aca="false">IF($B$9=0,0,C19/$B$9)</f>
        <v>0</v>
      </c>
      <c r="E19" s="0" t="n">
        <f aca="false">SUMIFS(Fact_Extrapolated!$F$2:$F$781,Fact_Extrapolated!$C$2:$C$781,"FIB07",Fact_Extrapolated!$A$2:$A$781,"LOCATION C",Fact_Extrapolated!$G$2:$G$781,1)</f>
        <v>0</v>
      </c>
      <c r="F19" s="0" t="n">
        <f aca="false">IF(C19=0,0,E19/C19)</f>
        <v>0</v>
      </c>
      <c r="G19" s="0" t="str">
        <f aca="false">INDEX('Materials Master'!$D$2:$D$27,MATCH(B19,'Materials Master'!$B$2:$B$27,0))</f>
        <v>No</v>
      </c>
    </row>
    <row r="20" customFormat="false" ht="15" hidden="false" customHeight="false" outlineLevel="0" collapsed="false">
      <c r="B20" s="0" t="s">
        <v>46</v>
      </c>
      <c r="C20" s="0" t="n">
        <f aca="false">SUMIFS(Fact_Extrapolated!$F$2:$F$781,Fact_Extrapolated!$C$2:$C$781,"FIB08",Fact_Extrapolated!$A$2:$A$781,"LOCATION C")</f>
        <v>0</v>
      </c>
      <c r="D20" s="0" t="n">
        <f aca="false">IF($B$9=0,0,C20/$B$9)</f>
        <v>0</v>
      </c>
      <c r="E20" s="0" t="n">
        <f aca="false">SUMIFS(Fact_Extrapolated!$F$2:$F$781,Fact_Extrapolated!$C$2:$C$781,"FIB08",Fact_Extrapolated!$A$2:$A$781,"LOCATION C",Fact_Extrapolated!$G$2:$G$781,1)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A21" s="0" t="s">
        <v>49</v>
      </c>
      <c r="B21" s="0" t="s">
        <v>48</v>
      </c>
      <c r="C21" s="0" t="n">
        <f aca="false">SUMIFS(Fact_Extrapolated!$F$2:$F$781,Fact_Extrapolated!$C$2:$C$781,"GLA01",Fact_Extrapolated!$A$2:$A$781,"LOCATION C")</f>
        <v>0</v>
      </c>
      <c r="D21" s="0" t="n">
        <f aca="false">IF($B$9=0,0,C21/$B$9)</f>
        <v>0</v>
      </c>
      <c r="E21" s="0" t="n">
        <f aca="false">SUMIFS(Fact_Extrapolated!$F$2:$F$781,Fact_Extrapolated!$C$2:$C$781,"GLA01",Fact_Extrapolated!$A$2:$A$781,"LOCATION C",Fact_Extrapolated!$G$2:$G$781,1)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Yes</v>
      </c>
    </row>
    <row r="22" customFormat="false" ht="15" hidden="false" customHeight="false" outlineLevel="0" collapsed="false">
      <c r="B22" s="0" t="s">
        <v>51</v>
      </c>
      <c r="C22" s="0" t="n">
        <f aca="false">SUMIFS(Fact_Extrapolated!$F$2:$F$781,Fact_Extrapolated!$C$2:$C$781,"GLA02",Fact_Extrapolated!$A$2:$A$781,"LOCATION C")</f>
        <v>0</v>
      </c>
      <c r="D22" s="0" t="n">
        <f aca="false">IF($B$9=0,0,C22/$B$9)</f>
        <v>0</v>
      </c>
      <c r="E22" s="0" t="n">
        <f aca="false">SUMIFS(Fact_Extrapolated!$F$2:$F$781,Fact_Extrapolated!$C$2:$C$781,"GLA02",Fact_Extrapolated!$A$2:$A$781,"LOCATION C",Fact_Extrapolated!$G$2:$G$781,1)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No</v>
      </c>
    </row>
    <row r="23" customFormat="false" ht="15" hidden="false" customHeight="false" outlineLevel="0" collapsed="false">
      <c r="A23" s="0" t="s">
        <v>54</v>
      </c>
      <c r="B23" s="0" t="s">
        <v>53</v>
      </c>
      <c r="C23" s="0" t="n">
        <f aca="false">SUMIFS(Fact_Extrapolated!$F$2:$F$781,Fact_Extrapolated!$C$2:$C$781,"MET01",Fact_Extrapolated!$A$2:$A$781,"LOCATION C")</f>
        <v>0</v>
      </c>
      <c r="D23" s="0" t="n">
        <f aca="false">IF($B$9=0,0,C23/$B$9)</f>
        <v>0</v>
      </c>
      <c r="E23" s="0" t="n">
        <f aca="false">SUMIFS(Fact_Extrapolated!$F$2:$F$781,Fact_Extrapolated!$C$2:$C$781,"MET01",Fact_Extrapolated!$A$2:$A$781,"LOCATION C",Fact_Extrapolated!$G$2:$G$781,1)</f>
        <v>0</v>
      </c>
      <c r="F23" s="0" t="n">
        <f aca="false">IF(C23=0,0,E23/C23)</f>
        <v>0</v>
      </c>
      <c r="G23" s="0" t="str">
        <f aca="false">INDEX('Materials Master'!$D$2:$D$27,MATCH(B23,'Materials Master'!$B$2:$B$27,0))</f>
        <v>Yes</v>
      </c>
    </row>
    <row r="24" customFormat="false" ht="15" hidden="false" customHeight="false" outlineLevel="0" collapsed="false">
      <c r="B24" s="0" t="s">
        <v>56</v>
      </c>
      <c r="C24" s="0" t="n">
        <f aca="false">SUMIFS(Fact_Extrapolated!$F$2:$F$781,Fact_Extrapolated!$C$2:$C$781,"MET02",Fact_Extrapolated!$A$2:$A$781,"LOCATION C")</f>
        <v>0</v>
      </c>
      <c r="D24" s="0" t="n">
        <f aca="false">IF($B$9=0,0,C24/$B$9)</f>
        <v>0</v>
      </c>
      <c r="E24" s="0" t="n">
        <f aca="false">SUMIFS(Fact_Extrapolated!$F$2:$F$781,Fact_Extrapolated!$C$2:$C$781,"MET02",Fact_Extrapolated!$A$2:$A$781,"LOCATION C",Fact_Extrapolated!$G$2:$G$781,1)</f>
        <v>0</v>
      </c>
      <c r="F24" s="0" t="n">
        <f aca="false">IF(C24=0,0,E24/C24)</f>
        <v>0</v>
      </c>
      <c r="G24" s="0" t="str">
        <f aca="false">INDEX('Materials Master'!$D$2:$D$27,MATCH(B24,'Materials Master'!$B$2:$B$27,0))</f>
        <v>No</v>
      </c>
    </row>
    <row r="25" customFormat="false" ht="15" hidden="false" customHeight="false" outlineLevel="0" collapsed="false">
      <c r="A25" s="0" t="s">
        <v>59</v>
      </c>
      <c r="B25" s="0" t="s">
        <v>58</v>
      </c>
      <c r="C25" s="0" t="n">
        <f aca="false">SUMIFS(Fact_Extrapolated!$F$2:$F$781,Fact_Extrapolated!$C$2:$C$781,"PLA01",Fact_Extrapolated!$A$2:$A$781,"LOCATION C")</f>
        <v>0</v>
      </c>
      <c r="D25" s="0" t="n">
        <f aca="false">IF($B$9=0,0,C25/$B$9)</f>
        <v>0</v>
      </c>
      <c r="E25" s="0" t="n">
        <f aca="false">SUMIFS(Fact_Extrapolated!$F$2:$F$781,Fact_Extrapolated!$C$2:$C$781,"PLA01",Fact_Extrapolated!$A$2:$A$781,"LOCATION C",Fact_Extrapolated!$G$2:$G$781,1)</f>
        <v>0</v>
      </c>
      <c r="F25" s="0" t="n">
        <f aca="false">IF(C25=0,0,E25/C25)</f>
        <v>0</v>
      </c>
      <c r="G25" s="0" t="str">
        <f aca="false">INDEX('Materials Master'!$D$2:$D$27,MATCH(B25,'Materials Master'!$B$2:$B$27,0))</f>
        <v>Yes</v>
      </c>
    </row>
    <row r="26" customFormat="false" ht="15" hidden="false" customHeight="false" outlineLevel="0" collapsed="false">
      <c r="B26" s="0" t="s">
        <v>61</v>
      </c>
      <c r="C26" s="0" t="n">
        <f aca="false">SUMIFS(Fact_Extrapolated!$F$2:$F$781,Fact_Extrapolated!$C$2:$C$781,"PLA02",Fact_Extrapolated!$A$2:$A$781,"LOCATION C")</f>
        <v>0</v>
      </c>
      <c r="D26" s="0" t="n">
        <f aca="false">IF($B$9=0,0,C26/$B$9)</f>
        <v>0</v>
      </c>
      <c r="E26" s="0" t="n">
        <f aca="false">SUMIFS(Fact_Extrapolated!$F$2:$F$781,Fact_Extrapolated!$C$2:$C$781,"PLA02",Fact_Extrapolated!$A$2:$A$781,"LOCATION C",Fact_Extrapolated!$G$2:$G$781,1)</f>
        <v>0</v>
      </c>
      <c r="F26" s="0" t="n">
        <f aca="false">IF(C26=0,0,E26/C26)</f>
        <v>0</v>
      </c>
      <c r="G26" s="0" t="str">
        <f aca="false">INDEX('Materials Master'!$D$2:$D$27,MATCH(B26,'Materials Master'!$B$2:$B$27,0))</f>
        <v>No</v>
      </c>
    </row>
    <row r="27" customFormat="false" ht="15" hidden="false" customHeight="false" outlineLevel="0" collapsed="false">
      <c r="B27" s="0" t="s">
        <v>63</v>
      </c>
      <c r="C27" s="0" t="n">
        <f aca="false">SUMIFS(Fact_Extrapolated!$F$2:$F$781,Fact_Extrapolated!$C$2:$C$781,"PLA03",Fact_Extrapolated!$A$2:$A$781,"LOCATION C")</f>
        <v>0</v>
      </c>
      <c r="D27" s="0" t="n">
        <f aca="false">IF($B$9=0,0,C27/$B$9)</f>
        <v>0</v>
      </c>
      <c r="E27" s="0" t="n">
        <f aca="false">SUMIFS(Fact_Extrapolated!$F$2:$F$781,Fact_Extrapolated!$C$2:$C$781,"PLA03",Fact_Extrapolated!$A$2:$A$781,"LOCATION C",Fact_Extrapolated!$G$2:$G$781,1)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65</v>
      </c>
      <c r="C28" s="0" t="n">
        <f aca="false">SUMIFS(Fact_Extrapolated!$F$2:$F$781,Fact_Extrapolated!$C$2:$C$781,"PLA04",Fact_Extrapolated!$A$2:$A$781,"LOCATION C")</f>
        <v>0</v>
      </c>
      <c r="D28" s="0" t="n">
        <f aca="false">IF($B$9=0,0,C28/$B$9)</f>
        <v>0</v>
      </c>
      <c r="E28" s="0" t="n">
        <f aca="false">SUMIFS(Fact_Extrapolated!$F$2:$F$781,Fact_Extrapolated!$C$2:$C$781,"PLA04",Fact_Extrapolated!$A$2:$A$781,"LOCATION C",Fact_Extrapolated!$G$2:$G$781,1)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A29" s="0" t="s">
        <v>68</v>
      </c>
      <c r="B29" s="0" t="s">
        <v>67</v>
      </c>
      <c r="C29" s="0" t="n">
        <f aca="false">SUMIFS(Fact_Extrapolated!$F$2:$F$781,Fact_Extrapolated!$C$2:$C$781,"ORG01",Fact_Extrapolated!$A$2:$A$781,"LOCATION C")</f>
        <v>0</v>
      </c>
      <c r="D29" s="0" t="n">
        <f aca="false">IF($B$9=0,0,C29/$B$9)</f>
        <v>0</v>
      </c>
      <c r="E29" s="0" t="n">
        <f aca="false">SUMIFS(Fact_Extrapolated!$F$2:$F$781,Fact_Extrapolated!$C$2:$C$781,"ORG01",Fact_Extrapolated!$A$2:$A$781,"LOCATION C",Fact_Extrapolated!$G$2:$G$781,1)</f>
        <v>0</v>
      </c>
      <c r="F29" s="0" t="n">
        <f aca="false">IF(C29=0,0,E29/C29)</f>
        <v>0</v>
      </c>
      <c r="G29" s="0" t="str">
        <f aca="false">INDEX('Materials Master'!$D$2:$D$27,MATCH(B29,'Materials Master'!$B$2:$B$27,0))</f>
        <v>Yes</v>
      </c>
    </row>
    <row r="30" customFormat="false" ht="15" hidden="false" customHeight="false" outlineLevel="0" collapsed="false">
      <c r="B30" s="0" t="s">
        <v>70</v>
      </c>
      <c r="C30" s="0" t="n">
        <f aca="false">SUMIFS(Fact_Extrapolated!$F$2:$F$781,Fact_Extrapolated!$C$2:$C$781,"ORG02",Fact_Extrapolated!$A$2:$A$781,"LOCATION C")</f>
        <v>0</v>
      </c>
      <c r="D30" s="0" t="n">
        <f aca="false">IF($B$9=0,0,C30/$B$9)</f>
        <v>0</v>
      </c>
      <c r="E30" s="0" t="n">
        <f aca="false">SUMIFS(Fact_Extrapolated!$F$2:$F$781,Fact_Extrapolated!$C$2:$C$781,"ORG02",Fact_Extrapolated!$A$2:$A$781,"LOCATION C",Fact_Extrapolated!$G$2:$G$781,1)</f>
        <v>0</v>
      </c>
      <c r="F30" s="0" t="n">
        <f aca="false">IF(C30=0,0,E30/C30)</f>
        <v>0</v>
      </c>
      <c r="G30" s="0" t="str">
        <f aca="false">INDEX('Materials Master'!$D$2:$D$27,MATCH(B30,'Materials Master'!$B$2:$B$27,0))</f>
        <v>No</v>
      </c>
    </row>
    <row r="31" customFormat="false" ht="15" hidden="false" customHeight="false" outlineLevel="0" collapsed="false">
      <c r="B31" s="0" t="s">
        <v>72</v>
      </c>
      <c r="C31" s="0" t="n">
        <f aca="false">SUMIFS(Fact_Extrapolated!$F$2:$F$781,Fact_Extrapolated!$C$2:$C$781,"ORG03",Fact_Extrapolated!$A$2:$A$781,"LOCATION C")</f>
        <v>0</v>
      </c>
      <c r="D31" s="0" t="n">
        <f aca="false">IF($B$9=0,0,C31/$B$9)</f>
        <v>0</v>
      </c>
      <c r="E31" s="0" t="n">
        <f aca="false">SUMIFS(Fact_Extrapolated!$F$2:$F$781,Fact_Extrapolated!$C$2:$C$781,"ORG03",Fact_Extrapolated!$A$2:$A$781,"LOCATION C",Fact_Extrapolated!$G$2:$G$781,1)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74</v>
      </c>
      <c r="C32" s="0" t="n">
        <f aca="false">SUMIFS(Fact_Extrapolated!$F$2:$F$781,Fact_Extrapolated!$C$2:$C$781,"ORG04",Fact_Extrapolated!$A$2:$A$781,"LOCATION C")</f>
        <v>0</v>
      </c>
      <c r="D32" s="0" t="n">
        <f aca="false">IF($B$9=0,0,C32/$B$9)</f>
        <v>0</v>
      </c>
      <c r="E32" s="0" t="n">
        <f aca="false">SUMIFS(Fact_Extrapolated!$F$2:$F$781,Fact_Extrapolated!$C$2:$C$781,"ORG04",Fact_Extrapolated!$A$2:$A$781,"LOCATION C",Fact_Extrapolated!$G$2:$G$781,1)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A33" s="0" t="s">
        <v>77</v>
      </c>
      <c r="B33" s="0" t="s">
        <v>76</v>
      </c>
      <c r="C33" s="0" t="n">
        <f aca="false">SUMIFS(Fact_Extrapolated!$F$2:$F$781,Fact_Extrapolated!$C$2:$C$781,"UNA01",Fact_Extrapolated!$A$2:$A$781,"LOCATION C")</f>
        <v>0</v>
      </c>
      <c r="D33" s="0" t="n">
        <f aca="false">IF($B$9=0,0,C33/$B$9)</f>
        <v>0</v>
      </c>
      <c r="E33" s="0" t="n">
        <f aca="false">SUMIFS(Fact_Extrapolated!$F$2:$F$781,Fact_Extrapolated!$C$2:$C$781,"UNA01",Fact_Extrapolated!$A$2:$A$781,"LOCATION C",Fact_Extrapolated!$G$2:$G$781,1)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Unacceptable</v>
      </c>
    </row>
    <row r="34" customFormat="false" ht="15" hidden="false" customHeight="false" outlineLevel="0" collapsed="false">
      <c r="B34" s="0" t="s">
        <v>79</v>
      </c>
      <c r="C34" s="0" t="n">
        <f aca="false">SUMIFS(Fact_Extrapolated!$F$2:$F$781,Fact_Extrapolated!$C$2:$C$781,"UNA02",Fact_Extrapolated!$A$2:$A$781,"LOCATION C")</f>
        <v>0</v>
      </c>
      <c r="D34" s="0" t="n">
        <f aca="false">IF($B$9=0,0,C34/$B$9)</f>
        <v>0</v>
      </c>
      <c r="E34" s="0" t="n">
        <f aca="false">SUMIFS(Fact_Extrapolated!$F$2:$F$781,Fact_Extrapolated!$C$2:$C$781,"UNA02",Fact_Extrapolated!$A$2:$A$781,"LOCATION C",Fact_Extrapolated!$G$2:$G$781,1)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81</v>
      </c>
      <c r="C35" s="0" t="n">
        <f aca="false">SUMIFS(Fact_Extrapolated!$F$2:$F$781,Fact_Extrapolated!$C$2:$C$781,"UNA03",Fact_Extrapolated!$A$2:$A$781,"LOCATION C")</f>
        <v>0</v>
      </c>
      <c r="D35" s="0" t="n">
        <f aca="false">IF($B$9=0,0,C35/$B$9)</f>
        <v>0</v>
      </c>
      <c r="E35" s="0" t="n">
        <f aca="false">SUMIFS(Fact_Extrapolated!$F$2:$F$781,Fact_Extrapolated!$C$2:$C$781,"UNA03",Fact_Extrapolated!$A$2:$A$781,"LOCATION C",Fact_Extrapolated!$G$2:$G$781,1)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83</v>
      </c>
      <c r="C36" s="0" t="n">
        <f aca="false">SUMIFS(Fact_Extrapolated!$F$2:$F$781,Fact_Extrapolated!$C$2:$C$781,"UNA04",Fact_Extrapolated!$A$2:$A$781,"LOCATION C")</f>
        <v>0</v>
      </c>
      <c r="D36" s="0" t="n">
        <f aca="false">IF($B$9=0,0,C36/$B$9)</f>
        <v>0</v>
      </c>
      <c r="E36" s="0" t="n">
        <f aca="false">SUMIFS(Fact_Extrapolated!$F$2:$F$781,Fact_Extrapolated!$C$2:$C$781,"UNA04",Fact_Extrapolated!$A$2:$A$781,"LOCATION C",Fact_Extrapolated!$G$2:$G$781,1)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A37" s="0" t="s">
        <v>86</v>
      </c>
      <c r="B37" s="0" t="s">
        <v>85</v>
      </c>
      <c r="C37" s="0" t="n">
        <f aca="false">SUMIFS(Fact_Extrapolated!$F$2:$F$781,Fact_Extrapolated!$C$2:$C$781,"OTH01",Fact_Extrapolated!$A$2:$A$781,"LOCATION C")</f>
        <v>0</v>
      </c>
      <c r="D37" s="0" t="n">
        <f aca="false">IF($B$9=0,0,C37/$B$9)</f>
        <v>0</v>
      </c>
      <c r="E37" s="0" t="n">
        <f aca="false">SUMIFS(Fact_Extrapolated!$F$2:$F$781,Fact_Extrapolated!$C$2:$C$781,"OTH01",Fact_Extrapolated!$A$2:$A$781,"LOCATION C",Fact_Extrapolated!$G$2:$G$781,1)</f>
        <v>0</v>
      </c>
      <c r="F37" s="0" t="n">
        <f aca="false">IF(C37=0,0,E37/C37)</f>
        <v>0</v>
      </c>
      <c r="G37" s="0" t="str">
        <f aca="false">INDEX('Materials Master'!$D$2:$D$27,MATCH(B37,'Materials Master'!$B$2:$B$27,0))</f>
        <v>No</v>
      </c>
    </row>
    <row r="38" customFormat="false" ht="15" hidden="false" customHeight="false" outlineLevel="0" collapsed="false">
      <c r="B38" s="0" t="s">
        <v>88</v>
      </c>
      <c r="C38" s="0" t="n">
        <f aca="false">SUMIFS(Fact_Extrapolated!$F$2:$F$781,Fact_Extrapolated!$C$2:$C$781,"OTH02",Fact_Extrapolated!$A$2:$A$781,"LOCATION C")</f>
        <v>0</v>
      </c>
      <c r="D38" s="0" t="n">
        <f aca="false">IF($B$9=0,0,C38/$B$9)</f>
        <v>0</v>
      </c>
      <c r="E38" s="0" t="n">
        <f aca="false">SUMIFS(Fact_Extrapolated!$F$2:$F$781,Fact_Extrapolated!$C$2:$C$781,"OTH02",Fact_Extrapolated!$A$2:$A$781,"LOCATION C",Fact_Extrapolated!$G$2:$G$781,1)</f>
        <v>0</v>
      </c>
      <c r="F38" s="0" t="n">
        <f aca="false">IF(C38=0,0,E38/C38)</f>
        <v>0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0" t="s">
        <v>132</v>
      </c>
    </row>
    <row r="41" customFormat="false" ht="15" hidden="false" customHeight="false" outlineLevel="0" collapsed="false">
      <c r="A41" s="0" t="s">
        <v>129</v>
      </c>
      <c r="B41" s="0" t="s">
        <v>130</v>
      </c>
      <c r="C41" s="0" t="s">
        <v>122</v>
      </c>
    </row>
    <row r="42" customFormat="false" ht="15" hidden="false" customHeight="false" outlineLevel="0" collapsed="false">
      <c r="A42" s="0" t="s">
        <v>30</v>
      </c>
      <c r="B42" s="0" t="n">
        <f aca="false">SUM(C13:C20)</f>
        <v>0</v>
      </c>
      <c r="C42" s="0" t="n">
        <f aca="false">IF($B$9=0,0,B42/$B$9)</f>
        <v>0</v>
      </c>
    </row>
    <row r="43" customFormat="false" ht="15" hidden="false" customHeight="false" outlineLevel="0" collapsed="false">
      <c r="A43" s="0" t="s">
        <v>49</v>
      </c>
      <c r="B43" s="0" t="n">
        <f aca="false">SUM(C21:C22)</f>
        <v>0</v>
      </c>
      <c r="C43" s="0" t="n">
        <f aca="false">IF($B$9=0,0,B43/$B$9)</f>
        <v>0</v>
      </c>
    </row>
    <row r="44" customFormat="false" ht="15" hidden="false" customHeight="false" outlineLevel="0" collapsed="false">
      <c r="A44" s="0" t="s">
        <v>54</v>
      </c>
      <c r="B44" s="0" t="n">
        <f aca="false">SUM(C23:C24)</f>
        <v>0</v>
      </c>
      <c r="C44" s="0" t="n">
        <f aca="false">IF($B$9=0,0,B44/$B$9)</f>
        <v>0</v>
      </c>
    </row>
    <row r="45" customFormat="false" ht="15" hidden="false" customHeight="false" outlineLevel="0" collapsed="false">
      <c r="A45" s="0" t="s">
        <v>59</v>
      </c>
      <c r="B45" s="0" t="n">
        <f aca="false">SUM(C25:C28)</f>
        <v>0</v>
      </c>
      <c r="C45" s="0" t="n">
        <f aca="false">IF($B$9=0,0,B45/$B$9)</f>
        <v>0</v>
      </c>
    </row>
    <row r="46" customFormat="false" ht="15" hidden="false" customHeight="false" outlineLevel="0" collapsed="false">
      <c r="A46" s="0" t="s">
        <v>68</v>
      </c>
      <c r="B46" s="0" t="n">
        <f aca="false">SUM(C29:C32)</f>
        <v>0</v>
      </c>
      <c r="C46" s="0" t="n">
        <f aca="false">IF($B$9=0,0,B46/$B$9)</f>
        <v>0</v>
      </c>
    </row>
    <row r="47" customFormat="false" ht="15" hidden="false" customHeight="false" outlineLevel="0" collapsed="false">
      <c r="A47" s="0" t="s">
        <v>77</v>
      </c>
      <c r="B47" s="0" t="n">
        <f aca="false">SUM(C33:C36)</f>
        <v>0</v>
      </c>
      <c r="C47" s="0" t="n">
        <f aca="false">IF($B$9=0,0,B47/$B$9)</f>
        <v>0</v>
      </c>
    </row>
    <row r="48" customFormat="false" ht="15" hidden="false" customHeight="false" outlineLevel="0" collapsed="false">
      <c r="A48" s="0" t="s">
        <v>86</v>
      </c>
      <c r="B48" s="0" t="n">
        <f aca="false">SUM(C37:C38)</f>
        <v>0</v>
      </c>
      <c r="C48" s="0" t="n">
        <f aca="false">IF($B$9=0,0,B48/$B$9)</f>
        <v>0</v>
      </c>
    </row>
    <row r="49" customFormat="false" ht="15" hidden="false" customHeight="false" outlineLevel="0" collapsed="false">
      <c r="A49" s="0" t="s">
        <v>133</v>
      </c>
      <c r="B49" s="0" t="n">
        <f aca="false">$B$9-SUM(B42:B48)</f>
        <v>0</v>
      </c>
      <c r="C49" s="0" t="n">
        <f aca="false">IF($B$9=0,0,B49/$B$9)</f>
        <v>0</v>
      </c>
    </row>
    <row r="50" customFormat="false" ht="15" hidden="false" customHeight="false" outlineLevel="0" collapsed="false">
      <c r="A50" s="0" t="s">
        <v>126</v>
      </c>
      <c r="B50" s="0" t="n">
        <f aca="false">SUM(B42:B49)</f>
        <v>0</v>
      </c>
      <c r="C50" s="0" t="n">
        <f aca="false">IF(B50=0,0,B50/$B$9)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119</v>
      </c>
    </row>
    <row r="2" customFormat="false" ht="15" hidden="false" customHeight="false" outlineLevel="0" collapsed="false">
      <c r="A2" s="0" t="s">
        <v>120</v>
      </c>
      <c r="B2" s="0" t="s">
        <v>121</v>
      </c>
      <c r="C2" s="0" t="s">
        <v>122</v>
      </c>
      <c r="D2" s="0" t="s">
        <v>123</v>
      </c>
      <c r="E2" s="0" t="s">
        <v>124</v>
      </c>
    </row>
    <row r="3" customFormat="false" ht="15" hidden="false" customHeight="false" outlineLevel="0" collapsed="false">
      <c r="A3" s="0" t="s">
        <v>103</v>
      </c>
      <c r="B3" s="0" t="n">
        <f aca="false">SUMIFS(Fact_PreSortWeights!$E$2:$E$186,Fact_PreSortWeights!$C$2:$C$186,"LOCATION D",Fact_PreSortWeights!$B$2:$B$186,"Trash")</f>
        <v>0</v>
      </c>
      <c r="C3" s="0" t="n">
        <f aca="false">IF($B$9=0,0,B3/$B$9)</f>
        <v>0</v>
      </c>
      <c r="D3" s="0" t="n">
        <f aca="false">SUMIFS(Fact_Extrapolated!$F$2:$F$781,Fact_Extrapolated!$B$2:$B$781,A3,Fact_Extrapolated!$A$2:$A$781,"LOCATION D",Fact_Extrapolated!$G$2:$G$781,1)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SUMIFS(Fact_PreSortWeights!$E$2:$E$186,Fact_PreSortWeights!$C$2:$C$186,"LOCATION D",Fact_PreSortWeights!$B$2:$B$186,"GMPC Recycling")</f>
        <v>0</v>
      </c>
      <c r="C4" s="0" t="n">
        <f aca="false">IF($B$9=0,0,B4/$B$9)</f>
        <v>0</v>
      </c>
      <c r="D4" s="0" t="n">
        <f aca="false">SUMIFS(Fact_Extrapolated!$F$2:$F$781,Fact_Extrapolated!$B$2:$B$781,A4,Fact_Extrapolated!$A$2:$A$781,"LOCATION D",Fact_Extrapolated!$G$2:$G$781,1)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SUMIFS(Fact_PreSortWeights!$E$2:$E$186,Fact_PreSortWeights!$C$2:$C$186,"LOCATION D",Fact_PreSortWeights!$B$2:$B$186,"Organics Recycling")</f>
        <v>0</v>
      </c>
      <c r="C5" s="0" t="n">
        <f aca="false">IF($B$9=0,0,B5/$B$9)</f>
        <v>0</v>
      </c>
      <c r="D5" s="0" t="n">
        <f aca="false">SUMIFS(Fact_Extrapolated!$F$2:$F$781,Fact_Extrapolated!$B$2:$B$781,A5,Fact_Extrapolated!$A$2:$A$781,"LOCATION D",Fact_Extrapolated!$G$2:$G$781,1)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SUMIFS(Fact_SortedWeights!$E$2:$E$89,Fact_SortedWeights!$C$2:$C$89,"LOCATION D",Fact_SortedWeights!$B$2:$B$89,"Cardboard Recycling")</f>
        <v>0</v>
      </c>
      <c r="C6" s="0" t="n">
        <f aca="false">IF($B$9=0,0,B6/$B$9)</f>
        <v>0</v>
      </c>
      <c r="D6" s="0" t="n">
        <f aca="false">SUMIFS(Fact_Extrapolated!$F$2:$F$781,Fact_Extrapolated!$B$2:$B$781,A6,Fact_Extrapolated!$A$2:$A$781,"LOCATION D",Fact_Extrapolated!$G$2:$G$781,1)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SUMIFS(Fact_PreSortWeights!$E$2:$E$186,Fact_PreSortWeights!$C$2:$C$186,"LOCATION D",Fact_PreSortWeights!$B$2:$B$186,"Paper Recycling")</f>
        <v>0</v>
      </c>
      <c r="C7" s="0" t="n">
        <f aca="false">IF($B$9=0,0,B7/$B$9)</f>
        <v>0</v>
      </c>
      <c r="D7" s="0" t="n">
        <f aca="false">SUMIFS(Fact_Extrapolated!$F$2:$F$781,Fact_Extrapolated!$B$2:$B$781,A7,Fact_Extrapolated!$A$2:$A$781,"LOCATION D",Fact_Extrapolated!$G$2:$G$781,1)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SUMIFS(Fact_PreSortWeights!$E$2:$E$186,Fact_PreSortWeights!$C$2:$C$186,"LOCATION D",Fact_PreSortWeights!$B$2:$B$186,"Terracycle")</f>
        <v>0</v>
      </c>
      <c r="C8" s="0" t="n">
        <f aca="false">IF($B$9=0,0,B8/$B$9)</f>
        <v>0</v>
      </c>
      <c r="D8" s="0" t="n">
        <f aca="false">SUMIFS(Fact_Extrapolated!$F$2:$F$781,Fact_Extrapolated!$B$2:$B$781,A8,Fact_Extrapolated!$A$2:$A$781,"LOCATION D",Fact_Extrapolated!$G$2:$G$781,1)</f>
        <v>0</v>
      </c>
    </row>
    <row r="9" customFormat="false" ht="15" hidden="false" customHeight="false" outlineLevel="0" collapsed="false">
      <c r="A9" s="0" t="s">
        <v>126</v>
      </c>
      <c r="B9" s="0" t="n">
        <f aca="false">SUM(B3:B8)</f>
        <v>0</v>
      </c>
      <c r="C9" s="0" t="n">
        <f aca="false">IF($B$9=0,0,B9/$B$9)</f>
        <v>0</v>
      </c>
      <c r="D9" s="0" t="n">
        <f aca="false">SUM(D3:D8)</f>
        <v>0</v>
      </c>
      <c r="E9" s="0" t="n">
        <f aca="false">IF(B9=0,0,D9/B9)</f>
        <v>0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127</v>
      </c>
    </row>
    <row r="12" customFormat="false" ht="15" hidden="false" customHeight="false" outlineLevel="0" collapsed="false">
      <c r="A12" s="0" t="s">
        <v>128</v>
      </c>
      <c r="B12" s="0" t="s">
        <v>129</v>
      </c>
      <c r="C12" s="0" t="s">
        <v>130</v>
      </c>
      <c r="D12" s="0" t="s">
        <v>122</v>
      </c>
      <c r="E12" s="0" t="s">
        <v>123</v>
      </c>
      <c r="F12" s="0" t="s">
        <v>124</v>
      </c>
      <c r="G12" s="0" t="s">
        <v>131</v>
      </c>
    </row>
    <row r="13" customFormat="false" ht="15" hidden="false" customHeight="false" outlineLevel="0" collapsed="false">
      <c r="A13" s="0" t="s">
        <v>30</v>
      </c>
      <c r="B13" s="0" t="s">
        <v>29</v>
      </c>
      <c r="C13" s="0" t="n">
        <f aca="false">SUMIFS(Fact_Extrapolated!$F$2:$F$781,Fact_Extrapolated!$C$2:$C$781,"FIB01",Fact_Extrapolated!$A$2:$A$781,"LOCATION D")</f>
        <v>0</v>
      </c>
      <c r="D13" s="0" t="n">
        <f aca="false">IF($B$9=0,0,C13/$B$9)</f>
        <v>0</v>
      </c>
      <c r="E13" s="0" t="n">
        <f aca="false">SUMIFS(Fact_Extrapolated!$F$2:$F$781,Fact_Extrapolated!$C$2:$C$781,"FIB01",Fact_Extrapolated!$A$2:$A$781,"LOCATION D",Fact_Extrapolated!$G$2:$G$781,1)</f>
        <v>0</v>
      </c>
      <c r="F13" s="0" t="n">
        <f aca="false">IF(C13=0,0,E13/C13)</f>
        <v>0</v>
      </c>
      <c r="G13" s="0" t="str">
        <f aca="false">INDEX('Materials Master'!$D$2:$D$27,MATCH(B13,'Materials Master'!$B$2:$B$27,0))</f>
        <v>Yes</v>
      </c>
    </row>
    <row r="14" customFormat="false" ht="15" hidden="false" customHeight="false" outlineLevel="0" collapsed="false">
      <c r="B14" s="0" t="s">
        <v>34</v>
      </c>
      <c r="C14" s="0" t="n">
        <f aca="false">SUMIFS(Fact_Extrapolated!$F$2:$F$781,Fact_Extrapolated!$C$2:$C$781,"FIB02",Fact_Extrapolated!$A$2:$A$781,"LOCATION D")</f>
        <v>0</v>
      </c>
      <c r="D14" s="0" t="n">
        <f aca="false">IF($B$9=0,0,C14/$B$9)</f>
        <v>0</v>
      </c>
      <c r="E14" s="0" t="n">
        <f aca="false">SUMIFS(Fact_Extrapolated!$F$2:$F$781,Fact_Extrapolated!$C$2:$C$781,"FIB02",Fact_Extrapolated!$A$2:$A$781,"LOCATION D",Fact_Extrapolated!$G$2:$G$781,1)</f>
        <v>0</v>
      </c>
      <c r="F14" s="0" t="n">
        <f aca="false">IF(C14=0,0,E14/C14)</f>
        <v>0</v>
      </c>
      <c r="G14" s="0" t="str">
        <f aca="false">INDEX('Materials Master'!$D$2:$D$27,MATCH(B14,'Materials Master'!$B$2:$B$27,0))</f>
        <v>No</v>
      </c>
    </row>
    <row r="15" customFormat="false" ht="15" hidden="false" customHeight="false" outlineLevel="0" collapsed="false">
      <c r="B15" s="0" t="s">
        <v>36</v>
      </c>
      <c r="C15" s="0" t="n">
        <f aca="false">SUMIFS(Fact_Extrapolated!$F$2:$F$781,Fact_Extrapolated!$C$2:$C$781,"FIB03",Fact_Extrapolated!$A$2:$A$781,"LOCATION D")</f>
        <v>0</v>
      </c>
      <c r="D15" s="0" t="n">
        <f aca="false">IF($B$9=0,0,C15/$B$9)</f>
        <v>0</v>
      </c>
      <c r="E15" s="0" t="n">
        <f aca="false">SUMIFS(Fact_Extrapolated!$F$2:$F$781,Fact_Extrapolated!$C$2:$C$781,"FIB03",Fact_Extrapolated!$A$2:$A$781,"LOCATION D",Fact_Extrapolated!$G$2:$G$781,1)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38</v>
      </c>
      <c r="C16" s="0" t="n">
        <f aca="false">SUMIFS(Fact_Extrapolated!$F$2:$F$781,Fact_Extrapolated!$C$2:$C$781,"FIB04",Fact_Extrapolated!$A$2:$A$781,"LOCATION D")</f>
        <v>0</v>
      </c>
      <c r="D16" s="0" t="n">
        <f aca="false">IF($B$9=0,0,C16/$B$9)</f>
        <v>0</v>
      </c>
      <c r="E16" s="0" t="n">
        <f aca="false">SUMIFS(Fact_Extrapolated!$F$2:$F$781,Fact_Extrapolated!$C$2:$C$781,"FIB04",Fact_Extrapolated!$A$2:$A$781,"LOCATION D",Fact_Extrapolated!$G$2:$G$781,1)</f>
        <v>0</v>
      </c>
      <c r="F16" s="0" t="n">
        <f aca="false">IF(C16=0,0,E16/C16)</f>
        <v>0</v>
      </c>
      <c r="G16" s="0" t="str">
        <f aca="false">INDEX('Materials Master'!$D$2:$D$27,MATCH(B16,'Materials Master'!$B$2:$B$27,0))</f>
        <v>Yes</v>
      </c>
    </row>
    <row r="17" customFormat="false" ht="15" hidden="false" customHeight="false" outlineLevel="0" collapsed="false">
      <c r="B17" s="0" t="s">
        <v>40</v>
      </c>
      <c r="C17" s="0" t="n">
        <f aca="false">SUMIFS(Fact_Extrapolated!$F$2:$F$781,Fact_Extrapolated!$C$2:$C$781,"FIB05",Fact_Extrapolated!$A$2:$A$781,"LOCATION D")</f>
        <v>0</v>
      </c>
      <c r="D17" s="0" t="n">
        <f aca="false">IF($B$9=0,0,C17/$B$9)</f>
        <v>0</v>
      </c>
      <c r="E17" s="0" t="n">
        <f aca="false">SUMIFS(Fact_Extrapolated!$F$2:$F$781,Fact_Extrapolated!$C$2:$C$781,"FIB05",Fact_Extrapolated!$A$2:$A$781,"LOCATION D",Fact_Extrapolated!$G$2:$G$781,1)</f>
        <v>0</v>
      </c>
      <c r="F17" s="0" t="n">
        <f aca="false">IF(C17=0,0,E17/C17)</f>
        <v>0</v>
      </c>
      <c r="G17" s="0" t="str">
        <f aca="false">INDEX('Materials Master'!$D$2:$D$27,MATCH(B17,'Materials Master'!$B$2:$B$27,0))</f>
        <v>No</v>
      </c>
    </row>
    <row r="18" customFormat="false" ht="15" hidden="false" customHeight="false" outlineLevel="0" collapsed="false">
      <c r="B18" s="0" t="s">
        <v>42</v>
      </c>
      <c r="C18" s="0" t="n">
        <f aca="false">SUMIFS(Fact_Extrapolated!$F$2:$F$781,Fact_Extrapolated!$C$2:$C$781,"FIB06",Fact_Extrapolated!$A$2:$A$781,"LOCATION D")</f>
        <v>0</v>
      </c>
      <c r="D18" s="0" t="n">
        <f aca="false">IF($B$9=0,0,C18/$B$9)</f>
        <v>0</v>
      </c>
      <c r="E18" s="0" t="n">
        <f aca="false">SUMIFS(Fact_Extrapolated!$F$2:$F$781,Fact_Extrapolated!$C$2:$C$781,"FIB06",Fact_Extrapolated!$A$2:$A$781,"LOCATION D",Fact_Extrapolated!$G$2:$G$781,1)</f>
        <v>0</v>
      </c>
      <c r="F18" s="0" t="n">
        <f aca="false">IF(C18=0,0,E18/C18)</f>
        <v>0</v>
      </c>
      <c r="G18" s="0" t="str">
        <f aca="false">INDEX('Materials Master'!$D$2:$D$27,MATCH(B18,'Materials Master'!$B$2:$B$27,0))</f>
        <v>Yes</v>
      </c>
    </row>
    <row r="19" customFormat="false" ht="15" hidden="false" customHeight="false" outlineLevel="0" collapsed="false">
      <c r="B19" s="0" t="s">
        <v>44</v>
      </c>
      <c r="C19" s="0" t="n">
        <f aca="false">SUMIFS(Fact_Extrapolated!$F$2:$F$781,Fact_Extrapolated!$C$2:$C$781,"FIB07",Fact_Extrapolated!$A$2:$A$781,"LOCATION D")</f>
        <v>0</v>
      </c>
      <c r="D19" s="0" t="n">
        <f aca="false">IF($B$9=0,0,C19/$B$9)</f>
        <v>0</v>
      </c>
      <c r="E19" s="0" t="n">
        <f aca="false">SUMIFS(Fact_Extrapolated!$F$2:$F$781,Fact_Extrapolated!$C$2:$C$781,"FIB07",Fact_Extrapolated!$A$2:$A$781,"LOCATION D",Fact_Extrapolated!$G$2:$G$781,1)</f>
        <v>0</v>
      </c>
      <c r="F19" s="0" t="n">
        <f aca="false">IF(C19=0,0,E19/C19)</f>
        <v>0</v>
      </c>
      <c r="G19" s="0" t="str">
        <f aca="false">INDEX('Materials Master'!$D$2:$D$27,MATCH(B19,'Materials Master'!$B$2:$B$27,0))</f>
        <v>No</v>
      </c>
    </row>
    <row r="20" customFormat="false" ht="15" hidden="false" customHeight="false" outlineLevel="0" collapsed="false">
      <c r="B20" s="0" t="s">
        <v>46</v>
      </c>
      <c r="C20" s="0" t="n">
        <f aca="false">SUMIFS(Fact_Extrapolated!$F$2:$F$781,Fact_Extrapolated!$C$2:$C$781,"FIB08",Fact_Extrapolated!$A$2:$A$781,"LOCATION D")</f>
        <v>0</v>
      </c>
      <c r="D20" s="0" t="n">
        <f aca="false">IF($B$9=0,0,C20/$B$9)</f>
        <v>0</v>
      </c>
      <c r="E20" s="0" t="n">
        <f aca="false">SUMIFS(Fact_Extrapolated!$F$2:$F$781,Fact_Extrapolated!$C$2:$C$781,"FIB08",Fact_Extrapolated!$A$2:$A$781,"LOCATION D",Fact_Extrapolated!$G$2:$G$781,1)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A21" s="0" t="s">
        <v>49</v>
      </c>
      <c r="B21" s="0" t="s">
        <v>48</v>
      </c>
      <c r="C21" s="0" t="n">
        <f aca="false">SUMIFS(Fact_Extrapolated!$F$2:$F$781,Fact_Extrapolated!$C$2:$C$781,"GLA01",Fact_Extrapolated!$A$2:$A$781,"LOCATION D")</f>
        <v>0</v>
      </c>
      <c r="D21" s="0" t="n">
        <f aca="false">IF($B$9=0,0,C21/$B$9)</f>
        <v>0</v>
      </c>
      <c r="E21" s="0" t="n">
        <f aca="false">SUMIFS(Fact_Extrapolated!$F$2:$F$781,Fact_Extrapolated!$C$2:$C$781,"GLA01",Fact_Extrapolated!$A$2:$A$781,"LOCATION D",Fact_Extrapolated!$G$2:$G$781,1)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Yes</v>
      </c>
    </row>
    <row r="22" customFormat="false" ht="15" hidden="false" customHeight="false" outlineLevel="0" collapsed="false">
      <c r="B22" s="0" t="s">
        <v>51</v>
      </c>
      <c r="C22" s="0" t="n">
        <f aca="false">SUMIFS(Fact_Extrapolated!$F$2:$F$781,Fact_Extrapolated!$C$2:$C$781,"GLA02",Fact_Extrapolated!$A$2:$A$781,"LOCATION D")</f>
        <v>0</v>
      </c>
      <c r="D22" s="0" t="n">
        <f aca="false">IF($B$9=0,0,C22/$B$9)</f>
        <v>0</v>
      </c>
      <c r="E22" s="0" t="n">
        <f aca="false">SUMIFS(Fact_Extrapolated!$F$2:$F$781,Fact_Extrapolated!$C$2:$C$781,"GLA02",Fact_Extrapolated!$A$2:$A$781,"LOCATION D",Fact_Extrapolated!$G$2:$G$781,1)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No</v>
      </c>
    </row>
    <row r="23" customFormat="false" ht="15" hidden="false" customHeight="false" outlineLevel="0" collapsed="false">
      <c r="A23" s="0" t="s">
        <v>54</v>
      </c>
      <c r="B23" s="0" t="s">
        <v>53</v>
      </c>
      <c r="C23" s="0" t="n">
        <f aca="false">SUMIFS(Fact_Extrapolated!$F$2:$F$781,Fact_Extrapolated!$C$2:$C$781,"MET01",Fact_Extrapolated!$A$2:$A$781,"LOCATION D")</f>
        <v>0</v>
      </c>
      <c r="D23" s="0" t="n">
        <f aca="false">IF($B$9=0,0,C23/$B$9)</f>
        <v>0</v>
      </c>
      <c r="E23" s="0" t="n">
        <f aca="false">SUMIFS(Fact_Extrapolated!$F$2:$F$781,Fact_Extrapolated!$C$2:$C$781,"MET01",Fact_Extrapolated!$A$2:$A$781,"LOCATION D",Fact_Extrapolated!$G$2:$G$781,1)</f>
        <v>0</v>
      </c>
      <c r="F23" s="0" t="n">
        <f aca="false">IF(C23=0,0,E23/C23)</f>
        <v>0</v>
      </c>
      <c r="G23" s="0" t="str">
        <f aca="false">INDEX('Materials Master'!$D$2:$D$27,MATCH(B23,'Materials Master'!$B$2:$B$27,0))</f>
        <v>Yes</v>
      </c>
    </row>
    <row r="24" customFormat="false" ht="15" hidden="false" customHeight="false" outlineLevel="0" collapsed="false">
      <c r="B24" s="0" t="s">
        <v>56</v>
      </c>
      <c r="C24" s="0" t="n">
        <f aca="false">SUMIFS(Fact_Extrapolated!$F$2:$F$781,Fact_Extrapolated!$C$2:$C$781,"MET02",Fact_Extrapolated!$A$2:$A$781,"LOCATION D")</f>
        <v>0</v>
      </c>
      <c r="D24" s="0" t="n">
        <f aca="false">IF($B$9=0,0,C24/$B$9)</f>
        <v>0</v>
      </c>
      <c r="E24" s="0" t="n">
        <f aca="false">SUMIFS(Fact_Extrapolated!$F$2:$F$781,Fact_Extrapolated!$C$2:$C$781,"MET02",Fact_Extrapolated!$A$2:$A$781,"LOCATION D",Fact_Extrapolated!$G$2:$G$781,1)</f>
        <v>0</v>
      </c>
      <c r="F24" s="0" t="n">
        <f aca="false">IF(C24=0,0,E24/C24)</f>
        <v>0</v>
      </c>
      <c r="G24" s="0" t="str">
        <f aca="false">INDEX('Materials Master'!$D$2:$D$27,MATCH(B24,'Materials Master'!$B$2:$B$27,0))</f>
        <v>No</v>
      </c>
    </row>
    <row r="25" customFormat="false" ht="15" hidden="false" customHeight="false" outlineLevel="0" collapsed="false">
      <c r="A25" s="0" t="s">
        <v>59</v>
      </c>
      <c r="B25" s="0" t="s">
        <v>58</v>
      </c>
      <c r="C25" s="0" t="n">
        <f aca="false">SUMIFS(Fact_Extrapolated!$F$2:$F$781,Fact_Extrapolated!$C$2:$C$781,"PLA01",Fact_Extrapolated!$A$2:$A$781,"LOCATION D")</f>
        <v>0</v>
      </c>
      <c r="D25" s="0" t="n">
        <f aca="false">IF($B$9=0,0,C25/$B$9)</f>
        <v>0</v>
      </c>
      <c r="E25" s="0" t="n">
        <f aca="false">SUMIFS(Fact_Extrapolated!$F$2:$F$781,Fact_Extrapolated!$C$2:$C$781,"PLA01",Fact_Extrapolated!$A$2:$A$781,"LOCATION D",Fact_Extrapolated!$G$2:$G$781,1)</f>
        <v>0</v>
      </c>
      <c r="F25" s="0" t="n">
        <f aca="false">IF(C25=0,0,E25/C25)</f>
        <v>0</v>
      </c>
      <c r="G25" s="0" t="str">
        <f aca="false">INDEX('Materials Master'!$D$2:$D$27,MATCH(B25,'Materials Master'!$B$2:$B$27,0))</f>
        <v>Yes</v>
      </c>
    </row>
    <row r="26" customFormat="false" ht="15" hidden="false" customHeight="false" outlineLevel="0" collapsed="false">
      <c r="B26" s="0" t="s">
        <v>61</v>
      </c>
      <c r="C26" s="0" t="n">
        <f aca="false">SUMIFS(Fact_Extrapolated!$F$2:$F$781,Fact_Extrapolated!$C$2:$C$781,"PLA02",Fact_Extrapolated!$A$2:$A$781,"LOCATION D")</f>
        <v>0</v>
      </c>
      <c r="D26" s="0" t="n">
        <f aca="false">IF($B$9=0,0,C26/$B$9)</f>
        <v>0</v>
      </c>
      <c r="E26" s="0" t="n">
        <f aca="false">SUMIFS(Fact_Extrapolated!$F$2:$F$781,Fact_Extrapolated!$C$2:$C$781,"PLA02",Fact_Extrapolated!$A$2:$A$781,"LOCATION D",Fact_Extrapolated!$G$2:$G$781,1)</f>
        <v>0</v>
      </c>
      <c r="F26" s="0" t="n">
        <f aca="false">IF(C26=0,0,E26/C26)</f>
        <v>0</v>
      </c>
      <c r="G26" s="0" t="str">
        <f aca="false">INDEX('Materials Master'!$D$2:$D$27,MATCH(B26,'Materials Master'!$B$2:$B$27,0))</f>
        <v>No</v>
      </c>
    </row>
    <row r="27" customFormat="false" ht="15" hidden="false" customHeight="false" outlineLevel="0" collapsed="false">
      <c r="B27" s="0" t="s">
        <v>63</v>
      </c>
      <c r="C27" s="0" t="n">
        <f aca="false">SUMIFS(Fact_Extrapolated!$F$2:$F$781,Fact_Extrapolated!$C$2:$C$781,"PLA03",Fact_Extrapolated!$A$2:$A$781,"LOCATION D")</f>
        <v>0</v>
      </c>
      <c r="D27" s="0" t="n">
        <f aca="false">IF($B$9=0,0,C27/$B$9)</f>
        <v>0</v>
      </c>
      <c r="E27" s="0" t="n">
        <f aca="false">SUMIFS(Fact_Extrapolated!$F$2:$F$781,Fact_Extrapolated!$C$2:$C$781,"PLA03",Fact_Extrapolated!$A$2:$A$781,"LOCATION D",Fact_Extrapolated!$G$2:$G$781,1)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65</v>
      </c>
      <c r="C28" s="0" t="n">
        <f aca="false">SUMIFS(Fact_Extrapolated!$F$2:$F$781,Fact_Extrapolated!$C$2:$C$781,"PLA04",Fact_Extrapolated!$A$2:$A$781,"LOCATION D")</f>
        <v>0</v>
      </c>
      <c r="D28" s="0" t="n">
        <f aca="false">IF($B$9=0,0,C28/$B$9)</f>
        <v>0</v>
      </c>
      <c r="E28" s="0" t="n">
        <f aca="false">SUMIFS(Fact_Extrapolated!$F$2:$F$781,Fact_Extrapolated!$C$2:$C$781,"PLA04",Fact_Extrapolated!$A$2:$A$781,"LOCATION D",Fact_Extrapolated!$G$2:$G$781,1)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A29" s="0" t="s">
        <v>68</v>
      </c>
      <c r="B29" s="0" t="s">
        <v>67</v>
      </c>
      <c r="C29" s="0" t="n">
        <f aca="false">SUMIFS(Fact_Extrapolated!$F$2:$F$781,Fact_Extrapolated!$C$2:$C$781,"ORG01",Fact_Extrapolated!$A$2:$A$781,"LOCATION D")</f>
        <v>0</v>
      </c>
      <c r="D29" s="0" t="n">
        <f aca="false">IF($B$9=0,0,C29/$B$9)</f>
        <v>0</v>
      </c>
      <c r="E29" s="0" t="n">
        <f aca="false">SUMIFS(Fact_Extrapolated!$F$2:$F$781,Fact_Extrapolated!$C$2:$C$781,"ORG01",Fact_Extrapolated!$A$2:$A$781,"LOCATION D",Fact_Extrapolated!$G$2:$G$781,1)</f>
        <v>0</v>
      </c>
      <c r="F29" s="0" t="n">
        <f aca="false">IF(C29=0,0,E29/C29)</f>
        <v>0</v>
      </c>
      <c r="G29" s="0" t="str">
        <f aca="false">INDEX('Materials Master'!$D$2:$D$27,MATCH(B29,'Materials Master'!$B$2:$B$27,0))</f>
        <v>Yes</v>
      </c>
    </row>
    <row r="30" customFormat="false" ht="15" hidden="false" customHeight="false" outlineLevel="0" collapsed="false">
      <c r="B30" s="0" t="s">
        <v>70</v>
      </c>
      <c r="C30" s="0" t="n">
        <f aca="false">SUMIFS(Fact_Extrapolated!$F$2:$F$781,Fact_Extrapolated!$C$2:$C$781,"ORG02",Fact_Extrapolated!$A$2:$A$781,"LOCATION D")</f>
        <v>0</v>
      </c>
      <c r="D30" s="0" t="n">
        <f aca="false">IF($B$9=0,0,C30/$B$9)</f>
        <v>0</v>
      </c>
      <c r="E30" s="0" t="n">
        <f aca="false">SUMIFS(Fact_Extrapolated!$F$2:$F$781,Fact_Extrapolated!$C$2:$C$781,"ORG02",Fact_Extrapolated!$A$2:$A$781,"LOCATION D",Fact_Extrapolated!$G$2:$G$781,1)</f>
        <v>0</v>
      </c>
      <c r="F30" s="0" t="n">
        <f aca="false">IF(C30=0,0,E30/C30)</f>
        <v>0</v>
      </c>
      <c r="G30" s="0" t="str">
        <f aca="false">INDEX('Materials Master'!$D$2:$D$27,MATCH(B30,'Materials Master'!$B$2:$B$27,0))</f>
        <v>No</v>
      </c>
    </row>
    <row r="31" customFormat="false" ht="15" hidden="false" customHeight="false" outlineLevel="0" collapsed="false">
      <c r="B31" s="0" t="s">
        <v>72</v>
      </c>
      <c r="C31" s="0" t="n">
        <f aca="false">SUMIFS(Fact_Extrapolated!$F$2:$F$781,Fact_Extrapolated!$C$2:$C$781,"ORG03",Fact_Extrapolated!$A$2:$A$781,"LOCATION D")</f>
        <v>0</v>
      </c>
      <c r="D31" s="0" t="n">
        <f aca="false">IF($B$9=0,0,C31/$B$9)</f>
        <v>0</v>
      </c>
      <c r="E31" s="0" t="n">
        <f aca="false">SUMIFS(Fact_Extrapolated!$F$2:$F$781,Fact_Extrapolated!$C$2:$C$781,"ORG03",Fact_Extrapolated!$A$2:$A$781,"LOCATION D",Fact_Extrapolated!$G$2:$G$781,1)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74</v>
      </c>
      <c r="C32" s="0" t="n">
        <f aca="false">SUMIFS(Fact_Extrapolated!$F$2:$F$781,Fact_Extrapolated!$C$2:$C$781,"ORG04",Fact_Extrapolated!$A$2:$A$781,"LOCATION D")</f>
        <v>0</v>
      </c>
      <c r="D32" s="0" t="n">
        <f aca="false">IF($B$9=0,0,C32/$B$9)</f>
        <v>0</v>
      </c>
      <c r="E32" s="0" t="n">
        <f aca="false">SUMIFS(Fact_Extrapolated!$F$2:$F$781,Fact_Extrapolated!$C$2:$C$781,"ORG04",Fact_Extrapolated!$A$2:$A$781,"LOCATION D",Fact_Extrapolated!$G$2:$G$781,1)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A33" s="0" t="s">
        <v>77</v>
      </c>
      <c r="B33" s="0" t="s">
        <v>76</v>
      </c>
      <c r="C33" s="0" t="n">
        <f aca="false">SUMIFS(Fact_Extrapolated!$F$2:$F$781,Fact_Extrapolated!$C$2:$C$781,"UNA01",Fact_Extrapolated!$A$2:$A$781,"LOCATION D")</f>
        <v>0</v>
      </c>
      <c r="D33" s="0" t="n">
        <f aca="false">IF($B$9=0,0,C33/$B$9)</f>
        <v>0</v>
      </c>
      <c r="E33" s="0" t="n">
        <f aca="false">SUMIFS(Fact_Extrapolated!$F$2:$F$781,Fact_Extrapolated!$C$2:$C$781,"UNA01",Fact_Extrapolated!$A$2:$A$781,"LOCATION D",Fact_Extrapolated!$G$2:$G$781,1)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Unacceptable</v>
      </c>
    </row>
    <row r="34" customFormat="false" ht="15" hidden="false" customHeight="false" outlineLevel="0" collapsed="false">
      <c r="B34" s="0" t="s">
        <v>79</v>
      </c>
      <c r="C34" s="0" t="n">
        <f aca="false">SUMIFS(Fact_Extrapolated!$F$2:$F$781,Fact_Extrapolated!$C$2:$C$781,"UNA02",Fact_Extrapolated!$A$2:$A$781,"LOCATION D")</f>
        <v>0</v>
      </c>
      <c r="D34" s="0" t="n">
        <f aca="false">IF($B$9=0,0,C34/$B$9)</f>
        <v>0</v>
      </c>
      <c r="E34" s="0" t="n">
        <f aca="false">SUMIFS(Fact_Extrapolated!$F$2:$F$781,Fact_Extrapolated!$C$2:$C$781,"UNA02",Fact_Extrapolated!$A$2:$A$781,"LOCATION D",Fact_Extrapolated!$G$2:$G$781,1)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81</v>
      </c>
      <c r="C35" s="0" t="n">
        <f aca="false">SUMIFS(Fact_Extrapolated!$F$2:$F$781,Fact_Extrapolated!$C$2:$C$781,"UNA03",Fact_Extrapolated!$A$2:$A$781,"LOCATION D")</f>
        <v>0</v>
      </c>
      <c r="D35" s="0" t="n">
        <f aca="false">IF($B$9=0,0,C35/$B$9)</f>
        <v>0</v>
      </c>
      <c r="E35" s="0" t="n">
        <f aca="false">SUMIFS(Fact_Extrapolated!$F$2:$F$781,Fact_Extrapolated!$C$2:$C$781,"UNA03",Fact_Extrapolated!$A$2:$A$781,"LOCATION D",Fact_Extrapolated!$G$2:$G$781,1)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83</v>
      </c>
      <c r="C36" s="0" t="n">
        <f aca="false">SUMIFS(Fact_Extrapolated!$F$2:$F$781,Fact_Extrapolated!$C$2:$C$781,"UNA04",Fact_Extrapolated!$A$2:$A$781,"LOCATION D")</f>
        <v>0</v>
      </c>
      <c r="D36" s="0" t="n">
        <f aca="false">IF($B$9=0,0,C36/$B$9)</f>
        <v>0</v>
      </c>
      <c r="E36" s="0" t="n">
        <f aca="false">SUMIFS(Fact_Extrapolated!$F$2:$F$781,Fact_Extrapolated!$C$2:$C$781,"UNA04",Fact_Extrapolated!$A$2:$A$781,"LOCATION D",Fact_Extrapolated!$G$2:$G$781,1)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A37" s="0" t="s">
        <v>86</v>
      </c>
      <c r="B37" s="0" t="s">
        <v>85</v>
      </c>
      <c r="C37" s="0" t="n">
        <f aca="false">SUMIFS(Fact_Extrapolated!$F$2:$F$781,Fact_Extrapolated!$C$2:$C$781,"OTH01",Fact_Extrapolated!$A$2:$A$781,"LOCATION D")</f>
        <v>0</v>
      </c>
      <c r="D37" s="0" t="n">
        <f aca="false">IF($B$9=0,0,C37/$B$9)</f>
        <v>0</v>
      </c>
      <c r="E37" s="0" t="n">
        <f aca="false">SUMIFS(Fact_Extrapolated!$F$2:$F$781,Fact_Extrapolated!$C$2:$C$781,"OTH01",Fact_Extrapolated!$A$2:$A$781,"LOCATION D",Fact_Extrapolated!$G$2:$G$781,1)</f>
        <v>0</v>
      </c>
      <c r="F37" s="0" t="n">
        <f aca="false">IF(C37=0,0,E37/C37)</f>
        <v>0</v>
      </c>
      <c r="G37" s="0" t="str">
        <f aca="false">INDEX('Materials Master'!$D$2:$D$27,MATCH(B37,'Materials Master'!$B$2:$B$27,0))</f>
        <v>No</v>
      </c>
    </row>
    <row r="38" customFormat="false" ht="15" hidden="false" customHeight="false" outlineLevel="0" collapsed="false">
      <c r="B38" s="0" t="s">
        <v>88</v>
      </c>
      <c r="C38" s="0" t="n">
        <f aca="false">SUMIFS(Fact_Extrapolated!$F$2:$F$781,Fact_Extrapolated!$C$2:$C$781,"OTH02",Fact_Extrapolated!$A$2:$A$781,"LOCATION D")</f>
        <v>0</v>
      </c>
      <c r="D38" s="0" t="n">
        <f aca="false">IF($B$9=0,0,C38/$B$9)</f>
        <v>0</v>
      </c>
      <c r="E38" s="0" t="n">
        <f aca="false">SUMIFS(Fact_Extrapolated!$F$2:$F$781,Fact_Extrapolated!$C$2:$C$781,"OTH02",Fact_Extrapolated!$A$2:$A$781,"LOCATION D",Fact_Extrapolated!$G$2:$G$781,1)</f>
        <v>0</v>
      </c>
      <c r="F38" s="0" t="n">
        <f aca="false">IF(C38=0,0,E38/C38)</f>
        <v>0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/>
    <row r="40" customFormat="false" ht="15" hidden="false" customHeight="false" outlineLevel="0" collapsed="false">
      <c r="A40" s="0" t="s">
        <v>132</v>
      </c>
    </row>
    <row r="41" customFormat="false" ht="15" hidden="false" customHeight="false" outlineLevel="0" collapsed="false">
      <c r="A41" s="0" t="s">
        <v>129</v>
      </c>
      <c r="B41" s="0" t="s">
        <v>130</v>
      </c>
      <c r="C41" s="0" t="s">
        <v>122</v>
      </c>
    </row>
    <row r="42" customFormat="false" ht="15" hidden="false" customHeight="false" outlineLevel="0" collapsed="false">
      <c r="A42" s="0" t="s">
        <v>30</v>
      </c>
      <c r="B42" s="0" t="n">
        <f aca="false">SUM(C13:C20)</f>
        <v>0</v>
      </c>
      <c r="C42" s="0" t="n">
        <f aca="false">IF($B$9=0,0,B42/$B$9)</f>
        <v>0</v>
      </c>
    </row>
    <row r="43" customFormat="false" ht="15" hidden="false" customHeight="false" outlineLevel="0" collapsed="false">
      <c r="A43" s="0" t="s">
        <v>49</v>
      </c>
      <c r="B43" s="0" t="n">
        <f aca="false">SUM(C21:C22)</f>
        <v>0</v>
      </c>
      <c r="C43" s="0" t="n">
        <f aca="false">IF($B$9=0,0,B43/$B$9)</f>
        <v>0</v>
      </c>
    </row>
    <row r="44" customFormat="false" ht="15" hidden="false" customHeight="false" outlineLevel="0" collapsed="false">
      <c r="A44" s="0" t="s">
        <v>54</v>
      </c>
      <c r="B44" s="0" t="n">
        <f aca="false">SUM(C23:C24)</f>
        <v>0</v>
      </c>
      <c r="C44" s="0" t="n">
        <f aca="false">IF($B$9=0,0,B44/$B$9)</f>
        <v>0</v>
      </c>
    </row>
    <row r="45" customFormat="false" ht="15" hidden="false" customHeight="false" outlineLevel="0" collapsed="false">
      <c r="A45" s="0" t="s">
        <v>59</v>
      </c>
      <c r="B45" s="0" t="n">
        <f aca="false">SUM(C25:C28)</f>
        <v>0</v>
      </c>
      <c r="C45" s="0" t="n">
        <f aca="false">IF($B$9=0,0,B45/$B$9)</f>
        <v>0</v>
      </c>
    </row>
    <row r="46" customFormat="false" ht="15" hidden="false" customHeight="false" outlineLevel="0" collapsed="false">
      <c r="A46" s="0" t="s">
        <v>68</v>
      </c>
      <c r="B46" s="0" t="n">
        <f aca="false">SUM(C29:C32)</f>
        <v>0</v>
      </c>
      <c r="C46" s="0" t="n">
        <f aca="false">IF($B$9=0,0,B46/$B$9)</f>
        <v>0</v>
      </c>
    </row>
    <row r="47" customFormat="false" ht="15" hidden="false" customHeight="false" outlineLevel="0" collapsed="false">
      <c r="A47" s="0" t="s">
        <v>77</v>
      </c>
      <c r="B47" s="0" t="n">
        <f aca="false">SUM(C33:C36)</f>
        <v>0</v>
      </c>
      <c r="C47" s="0" t="n">
        <f aca="false">IF($B$9=0,0,B47/$B$9)</f>
        <v>0</v>
      </c>
    </row>
    <row r="48" customFormat="false" ht="15" hidden="false" customHeight="false" outlineLevel="0" collapsed="false">
      <c r="A48" s="0" t="s">
        <v>86</v>
      </c>
      <c r="B48" s="0" t="n">
        <f aca="false">SUM(C37:C38)</f>
        <v>0</v>
      </c>
      <c r="C48" s="0" t="n">
        <f aca="false">IF($B$9=0,0,B48/$B$9)</f>
        <v>0</v>
      </c>
    </row>
    <row r="49" customFormat="false" ht="15" hidden="false" customHeight="false" outlineLevel="0" collapsed="false">
      <c r="A49" s="0" t="s">
        <v>133</v>
      </c>
      <c r="B49" s="0" t="n">
        <f aca="false">$B$9-SUM(B42:B48)</f>
        <v>0</v>
      </c>
      <c r="C49" s="0" t="n">
        <f aca="false">IF($B$9=0,0,B49/$B$9)</f>
        <v>0</v>
      </c>
    </row>
    <row r="50" customFormat="false" ht="15" hidden="false" customHeight="false" outlineLevel="0" collapsed="false">
      <c r="A50" s="0" t="s">
        <v>126</v>
      </c>
      <c r="B50" s="0" t="n">
        <f aca="false">SUM(B42:B49)</f>
        <v>0</v>
      </c>
      <c r="C50" s="0" t="n">
        <f aca="false">IF(B50=0,0,B50/$B$9)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119</v>
      </c>
    </row>
    <row r="2" customFormat="false" ht="15" hidden="false" customHeight="false" outlineLevel="0" collapsed="false">
      <c r="A2" s="0" t="s">
        <v>120</v>
      </c>
      <c r="B2" s="0" t="s">
        <v>121</v>
      </c>
      <c r="C2" s="0" t="s">
        <v>122</v>
      </c>
      <c r="D2" s="0" t="s">
        <v>123</v>
      </c>
      <c r="E2" s="0" t="s">
        <v>124</v>
      </c>
    </row>
    <row r="3" customFormat="false" ht="15" hidden="false" customHeight="false" outlineLevel="0" collapsed="false">
      <c r="A3" s="0" t="s">
        <v>103</v>
      </c>
      <c r="B3" s="0" t="n">
        <f aca="false">0</f>
        <v>0</v>
      </c>
      <c r="C3" s="0" t="n">
        <f aca="false">IF($B$10=0,0,B3/$B$10)</f>
        <v>0</v>
      </c>
      <c r="D3" s="0" t="n">
        <f aca="false">SUMIFS(Fact_Extrapolated!$F$2:$F$781,Fact_Extrapolated!$B$2:$B$781,A3,Fact_Extrapolated!$A$2:$A$781,"BATHROOM",Fact_Extrapolated!$G$2:$G$781,1)</f>
        <v>0</v>
      </c>
    </row>
    <row r="4" customFormat="false" ht="15" hidden="false" customHeight="false" outlineLevel="0" collapsed="false">
      <c r="A4" s="0" t="s">
        <v>104</v>
      </c>
      <c r="B4" s="0" t="n">
        <f aca="false">0</f>
        <v>0</v>
      </c>
      <c r="C4" s="0" t="n">
        <f aca="false">IF($B$10=0,0,B4/$B$10)</f>
        <v>0</v>
      </c>
      <c r="D4" s="0" t="n">
        <f aca="false">SUMIFS(Fact_Extrapolated!$F$2:$F$781,Fact_Extrapolated!$B$2:$B$781,A4,Fact_Extrapolated!$A$2:$A$781,"BATHROOM",Fact_Extrapolated!$G$2:$G$781,1)</f>
        <v>0</v>
      </c>
    </row>
    <row r="5" customFormat="false" ht="15" hidden="false" customHeight="false" outlineLevel="0" collapsed="false">
      <c r="A5" s="0" t="s">
        <v>105</v>
      </c>
      <c r="B5" s="0" t="n">
        <f aca="false">0</f>
        <v>0</v>
      </c>
      <c r="C5" s="0" t="n">
        <f aca="false">IF($B$10=0,0,B5/$B$10)</f>
        <v>0</v>
      </c>
      <c r="D5" s="0" t="n">
        <f aca="false">SUMIFS(Fact_Extrapolated!$F$2:$F$781,Fact_Extrapolated!$B$2:$B$781,A5,Fact_Extrapolated!$A$2:$A$781,"BATHROOM",Fact_Extrapolated!$G$2:$G$781,1)</f>
        <v>0</v>
      </c>
    </row>
    <row r="6" customFormat="false" ht="15" hidden="false" customHeight="false" outlineLevel="0" collapsed="false">
      <c r="A6" s="0" t="s">
        <v>106</v>
      </c>
      <c r="B6" s="0" t="n">
        <f aca="false">0</f>
        <v>0</v>
      </c>
      <c r="C6" s="0" t="n">
        <f aca="false">IF($B$10=0,0,B6/$B$10)</f>
        <v>0</v>
      </c>
      <c r="D6" s="0" t="n">
        <f aca="false">SUMIFS(Fact_Extrapolated!$F$2:$F$781,Fact_Extrapolated!$B$2:$B$781,A6,Fact_Extrapolated!$A$2:$A$781,"BATHROOM",Fact_Extrapolated!$G$2:$G$781,1)</f>
        <v>0</v>
      </c>
    </row>
    <row r="7" customFormat="false" ht="15" hidden="false" customHeight="false" outlineLevel="0" collapsed="false">
      <c r="A7" s="0" t="s">
        <v>107</v>
      </c>
      <c r="B7" s="0" t="n">
        <f aca="false">0</f>
        <v>0</v>
      </c>
      <c r="C7" s="0" t="n">
        <f aca="false">IF($B$10=0,0,B7/$B$10)</f>
        <v>0</v>
      </c>
      <c r="D7" s="0" t="n">
        <f aca="false">SUMIFS(Fact_Extrapolated!$F$2:$F$781,Fact_Extrapolated!$B$2:$B$781,A7,Fact_Extrapolated!$A$2:$A$781,"BATHROOM",Fact_Extrapolated!$G$2:$G$781,1)</f>
        <v>0</v>
      </c>
    </row>
    <row r="8" customFormat="false" ht="15" hidden="false" customHeight="false" outlineLevel="0" collapsed="false">
      <c r="A8" s="0" t="s">
        <v>108</v>
      </c>
      <c r="B8" s="0" t="n">
        <f aca="false">0</f>
        <v>0</v>
      </c>
      <c r="C8" s="0" t="n">
        <f aca="false">IF($B$10=0,0,B8/$B$10)</f>
        <v>0</v>
      </c>
      <c r="D8" s="0" t="n">
        <f aca="false">SUMIFS(Fact_Extrapolated!$F$2:$F$781,Fact_Extrapolated!$B$2:$B$781,A8,Fact_Extrapolated!$A$2:$A$781,"BATHROOM",Fact_Extrapolated!$G$2:$G$781,1)</f>
        <v>0</v>
      </c>
    </row>
    <row r="9" customFormat="false" ht="15" hidden="false" customHeight="false" outlineLevel="0" collapsed="false">
      <c r="A9" s="0" t="s">
        <v>125</v>
      </c>
      <c r="B9" s="0" t="n">
        <f aca="false">SUMIFS(Fact_PreSortWeights!$E$2:$E$186,Fact_PreSortWeights!$C$2:$C$186,"BATHROOM")+SUMIFS(Fact_SortedWeights!$E$2:$E$89,Fact_SortedWeights!$C$2:$C$89,"BATHROOM",Fact_SortedWeights!$B$2:$B$89,"Cardboard Recycling")</f>
        <v>207.3</v>
      </c>
      <c r="C9" s="0" t="n">
        <f aca="false">IF($B$10=0,0,B9/$B$10)</f>
        <v>1</v>
      </c>
      <c r="D9" s="0" t="n">
        <v>0</v>
      </c>
    </row>
    <row r="10" customFormat="false" ht="15" hidden="false" customHeight="false" outlineLevel="0" collapsed="false">
      <c r="A10" s="0" t="s">
        <v>126</v>
      </c>
      <c r="B10" s="0" t="n">
        <f aca="false">SUM(B3:B9)</f>
        <v>207.3</v>
      </c>
      <c r="C10" s="0" t="n">
        <f aca="false">IF($B$10=0,0,B10/$B$10)</f>
        <v>1</v>
      </c>
      <c r="D10" s="0" t="n">
        <f aca="false">SUM(D3:D9)</f>
        <v>0</v>
      </c>
      <c r="E10" s="0" t="n">
        <f aca="false">IF(B10=0,0,D10/B10)</f>
        <v>0</v>
      </c>
    </row>
    <row r="11" customFormat="false" ht="15" hidden="false" customHeight="false" outlineLevel="0" collapsed="false"/>
    <row r="12" customFormat="false" ht="15" hidden="false" customHeight="false" outlineLevel="0" collapsed="false">
      <c r="A12" s="0" t="s">
        <v>127</v>
      </c>
    </row>
    <row r="13" customFormat="false" ht="15" hidden="false" customHeight="false" outlineLevel="0" collapsed="false">
      <c r="A13" s="0" t="s">
        <v>128</v>
      </c>
      <c r="B13" s="0" t="s">
        <v>129</v>
      </c>
      <c r="C13" s="0" t="s">
        <v>130</v>
      </c>
      <c r="D13" s="0" t="s">
        <v>122</v>
      </c>
      <c r="E13" s="0" t="s">
        <v>123</v>
      </c>
      <c r="F13" s="0" t="s">
        <v>124</v>
      </c>
      <c r="G13" s="0" t="s">
        <v>131</v>
      </c>
    </row>
    <row r="14" customFormat="false" ht="15" hidden="false" customHeight="false" outlineLevel="0" collapsed="false">
      <c r="A14" s="0" t="s">
        <v>30</v>
      </c>
      <c r="B14" s="0" t="s">
        <v>29</v>
      </c>
      <c r="C14" s="0" t="n">
        <f aca="false">SUMIFS(Fact_Extrapolated!$F$2:$F$781,Fact_Extrapolated!$C$2:$C$781,"FIB01",Fact_Extrapolated!$A$2:$A$781,"BATHROOM")</f>
        <v>0</v>
      </c>
      <c r="D14" s="0" t="n">
        <f aca="false">IF($B$10=0,0,C14/$B$10)</f>
        <v>0</v>
      </c>
      <c r="E14" s="0" t="n">
        <f aca="false">SUMIFS(Fact_Extrapolated!$F$2:$F$781,Fact_Extrapolated!$C$2:$C$781,"FIB01",Fact_Extrapolated!$A$2:$A$781,"BATHROOM",Fact_Extrapolated!$G$2:$G$781,1)</f>
        <v>0</v>
      </c>
      <c r="F14" s="0" t="n">
        <f aca="false">IF(C14=0,0,E14/C14)</f>
        <v>0</v>
      </c>
      <c r="G14" s="0" t="str">
        <f aca="false">INDEX('Materials Master'!$D$2:$D$27,MATCH(B14,'Materials Master'!$B$2:$B$27,0))</f>
        <v>Yes</v>
      </c>
    </row>
    <row r="15" customFormat="false" ht="15" hidden="false" customHeight="false" outlineLevel="0" collapsed="false">
      <c r="B15" s="0" t="s">
        <v>34</v>
      </c>
      <c r="C15" s="0" t="n">
        <f aca="false">SUMIFS(Fact_Extrapolated!$F$2:$F$781,Fact_Extrapolated!$C$2:$C$781,"FIB02",Fact_Extrapolated!$A$2:$A$781,"BATHROOM")</f>
        <v>0</v>
      </c>
      <c r="D15" s="0" t="n">
        <f aca="false">IF($B$10=0,0,C15/$B$10)</f>
        <v>0</v>
      </c>
      <c r="E15" s="0" t="n">
        <f aca="false">SUMIFS(Fact_Extrapolated!$F$2:$F$781,Fact_Extrapolated!$C$2:$C$781,"FIB02",Fact_Extrapolated!$A$2:$A$781,"BATHROOM",Fact_Extrapolated!$G$2:$G$781,1)</f>
        <v>0</v>
      </c>
      <c r="F15" s="0" t="n">
        <f aca="false">IF(C15=0,0,E15/C15)</f>
        <v>0</v>
      </c>
      <c r="G15" s="0" t="str">
        <f aca="false">INDEX('Materials Master'!$D$2:$D$27,MATCH(B15,'Materials Master'!$B$2:$B$27,0))</f>
        <v>No</v>
      </c>
    </row>
    <row r="16" customFormat="false" ht="15" hidden="false" customHeight="false" outlineLevel="0" collapsed="false">
      <c r="B16" s="0" t="s">
        <v>36</v>
      </c>
      <c r="C16" s="0" t="n">
        <f aca="false">SUMIFS(Fact_Extrapolated!$F$2:$F$781,Fact_Extrapolated!$C$2:$C$781,"FIB03",Fact_Extrapolated!$A$2:$A$781,"BATHROOM")</f>
        <v>0</v>
      </c>
      <c r="D16" s="0" t="n">
        <f aca="false">IF($B$10=0,0,C16/$B$10)</f>
        <v>0</v>
      </c>
      <c r="E16" s="0" t="n">
        <f aca="false">SUMIFS(Fact_Extrapolated!$F$2:$F$781,Fact_Extrapolated!$C$2:$C$781,"FIB03",Fact_Extrapolated!$A$2:$A$781,"BATHROOM",Fact_Extrapolated!$G$2:$G$781,1)</f>
        <v>0</v>
      </c>
      <c r="F16" s="0" t="n">
        <f aca="false">IF(C16=0,0,E16/C16)</f>
        <v>0</v>
      </c>
      <c r="G16" s="0" t="str">
        <f aca="false">INDEX('Materials Master'!$D$2:$D$27,MATCH(B16,'Materials Master'!$B$2:$B$27,0))</f>
        <v>No</v>
      </c>
    </row>
    <row r="17" customFormat="false" ht="15" hidden="false" customHeight="false" outlineLevel="0" collapsed="false">
      <c r="B17" s="0" t="s">
        <v>38</v>
      </c>
      <c r="C17" s="0" t="n">
        <f aca="false">SUMIFS(Fact_Extrapolated!$F$2:$F$781,Fact_Extrapolated!$C$2:$C$781,"FIB04",Fact_Extrapolated!$A$2:$A$781,"BATHROOM")</f>
        <v>0</v>
      </c>
      <c r="D17" s="0" t="n">
        <f aca="false">IF($B$10=0,0,C17/$B$10)</f>
        <v>0</v>
      </c>
      <c r="E17" s="0" t="n">
        <f aca="false">SUMIFS(Fact_Extrapolated!$F$2:$F$781,Fact_Extrapolated!$C$2:$C$781,"FIB04",Fact_Extrapolated!$A$2:$A$781,"BATHROOM",Fact_Extrapolated!$G$2:$G$781,1)</f>
        <v>0</v>
      </c>
      <c r="F17" s="0" t="n">
        <f aca="false">IF(C17=0,0,E17/C17)</f>
        <v>0</v>
      </c>
      <c r="G17" s="0" t="str">
        <f aca="false">INDEX('Materials Master'!$D$2:$D$27,MATCH(B17,'Materials Master'!$B$2:$B$27,0))</f>
        <v>Yes</v>
      </c>
    </row>
    <row r="18" customFormat="false" ht="15" hidden="false" customHeight="false" outlineLevel="0" collapsed="false">
      <c r="B18" s="0" t="s">
        <v>40</v>
      </c>
      <c r="C18" s="0" t="n">
        <f aca="false">SUMIFS(Fact_Extrapolated!$F$2:$F$781,Fact_Extrapolated!$C$2:$C$781,"FIB05",Fact_Extrapolated!$A$2:$A$781,"BATHROOM")</f>
        <v>0</v>
      </c>
      <c r="D18" s="0" t="n">
        <f aca="false">IF($B$10=0,0,C18/$B$10)</f>
        <v>0</v>
      </c>
      <c r="E18" s="0" t="n">
        <f aca="false">SUMIFS(Fact_Extrapolated!$F$2:$F$781,Fact_Extrapolated!$C$2:$C$781,"FIB05",Fact_Extrapolated!$A$2:$A$781,"BATHROOM",Fact_Extrapolated!$G$2:$G$781,1)</f>
        <v>0</v>
      </c>
      <c r="F18" s="0" t="n">
        <f aca="false">IF(C18=0,0,E18/C18)</f>
        <v>0</v>
      </c>
      <c r="G18" s="0" t="str">
        <f aca="false">INDEX('Materials Master'!$D$2:$D$27,MATCH(B18,'Materials Master'!$B$2:$B$27,0))</f>
        <v>No</v>
      </c>
    </row>
    <row r="19" customFormat="false" ht="15" hidden="false" customHeight="false" outlineLevel="0" collapsed="false">
      <c r="B19" s="0" t="s">
        <v>42</v>
      </c>
      <c r="C19" s="0" t="n">
        <f aca="false">SUMIFS(Fact_Extrapolated!$F$2:$F$781,Fact_Extrapolated!$C$2:$C$781,"FIB06",Fact_Extrapolated!$A$2:$A$781,"BATHROOM")</f>
        <v>0</v>
      </c>
      <c r="D19" s="0" t="n">
        <f aca="false">IF($B$10=0,0,C19/$B$10)</f>
        <v>0</v>
      </c>
      <c r="E19" s="0" t="n">
        <f aca="false">SUMIFS(Fact_Extrapolated!$F$2:$F$781,Fact_Extrapolated!$C$2:$C$781,"FIB06",Fact_Extrapolated!$A$2:$A$781,"BATHROOM",Fact_Extrapolated!$G$2:$G$781,1)</f>
        <v>0</v>
      </c>
      <c r="F19" s="0" t="n">
        <f aca="false">IF(C19=0,0,E19/C19)</f>
        <v>0</v>
      </c>
      <c r="G19" s="0" t="str">
        <f aca="false">INDEX('Materials Master'!$D$2:$D$27,MATCH(B19,'Materials Master'!$B$2:$B$27,0))</f>
        <v>Yes</v>
      </c>
    </row>
    <row r="20" customFormat="false" ht="15" hidden="false" customHeight="false" outlineLevel="0" collapsed="false">
      <c r="B20" s="0" t="s">
        <v>44</v>
      </c>
      <c r="C20" s="0" t="n">
        <f aca="false">SUMIFS(Fact_Extrapolated!$F$2:$F$781,Fact_Extrapolated!$C$2:$C$781,"FIB07",Fact_Extrapolated!$A$2:$A$781,"BATHROOM")</f>
        <v>0</v>
      </c>
      <c r="D20" s="0" t="n">
        <f aca="false">IF($B$10=0,0,C20/$B$10)</f>
        <v>0</v>
      </c>
      <c r="E20" s="0" t="n">
        <f aca="false">SUMIFS(Fact_Extrapolated!$F$2:$F$781,Fact_Extrapolated!$C$2:$C$781,"FIB07",Fact_Extrapolated!$A$2:$A$781,"BATHROOM",Fact_Extrapolated!$G$2:$G$781,1)</f>
        <v>0</v>
      </c>
      <c r="F20" s="0" t="n">
        <f aca="false">IF(C20=0,0,E20/C20)</f>
        <v>0</v>
      </c>
      <c r="G20" s="0" t="str">
        <f aca="false">INDEX('Materials Master'!$D$2:$D$27,MATCH(B20,'Materials Master'!$B$2:$B$27,0))</f>
        <v>No</v>
      </c>
    </row>
    <row r="21" customFormat="false" ht="15" hidden="false" customHeight="false" outlineLevel="0" collapsed="false">
      <c r="B21" s="0" t="s">
        <v>46</v>
      </c>
      <c r="C21" s="0" t="n">
        <f aca="false">SUMIFS(Fact_Extrapolated!$F$2:$F$781,Fact_Extrapolated!$C$2:$C$781,"FIB08",Fact_Extrapolated!$A$2:$A$781,"BATHROOM")</f>
        <v>0</v>
      </c>
      <c r="D21" s="0" t="n">
        <f aca="false">IF($B$10=0,0,C21/$B$10)</f>
        <v>0</v>
      </c>
      <c r="E21" s="0" t="n">
        <f aca="false">SUMIFS(Fact_Extrapolated!$F$2:$F$781,Fact_Extrapolated!$C$2:$C$781,"FIB08",Fact_Extrapolated!$A$2:$A$781,"BATHROOM",Fact_Extrapolated!$G$2:$G$781,1)</f>
        <v>0</v>
      </c>
      <c r="F21" s="0" t="n">
        <f aca="false">IF(C21=0,0,E21/C21)</f>
        <v>0</v>
      </c>
      <c r="G21" s="0" t="str">
        <f aca="false">INDEX('Materials Master'!$D$2:$D$27,MATCH(B21,'Materials Master'!$B$2:$B$27,0))</f>
        <v>No</v>
      </c>
    </row>
    <row r="22" customFormat="false" ht="15" hidden="false" customHeight="false" outlineLevel="0" collapsed="false">
      <c r="A22" s="0" t="s">
        <v>49</v>
      </c>
      <c r="B22" s="0" t="s">
        <v>48</v>
      </c>
      <c r="C22" s="0" t="n">
        <f aca="false">SUMIFS(Fact_Extrapolated!$F$2:$F$781,Fact_Extrapolated!$C$2:$C$781,"GLA01",Fact_Extrapolated!$A$2:$A$781,"BATHROOM")</f>
        <v>0</v>
      </c>
      <c r="D22" s="0" t="n">
        <f aca="false">IF($B$10=0,0,C22/$B$10)</f>
        <v>0</v>
      </c>
      <c r="E22" s="0" t="n">
        <f aca="false">SUMIFS(Fact_Extrapolated!$F$2:$F$781,Fact_Extrapolated!$C$2:$C$781,"GLA01",Fact_Extrapolated!$A$2:$A$781,"BATHROOM",Fact_Extrapolated!$G$2:$G$781,1)</f>
        <v>0</v>
      </c>
      <c r="F22" s="0" t="n">
        <f aca="false">IF(C22=0,0,E22/C22)</f>
        <v>0</v>
      </c>
      <c r="G22" s="0" t="str">
        <f aca="false">INDEX('Materials Master'!$D$2:$D$27,MATCH(B22,'Materials Master'!$B$2:$B$27,0))</f>
        <v>Yes</v>
      </c>
    </row>
    <row r="23" customFormat="false" ht="15" hidden="false" customHeight="false" outlineLevel="0" collapsed="false">
      <c r="B23" s="0" t="s">
        <v>51</v>
      </c>
      <c r="C23" s="0" t="n">
        <f aca="false">SUMIFS(Fact_Extrapolated!$F$2:$F$781,Fact_Extrapolated!$C$2:$C$781,"GLA02",Fact_Extrapolated!$A$2:$A$781,"BATHROOM")</f>
        <v>0</v>
      </c>
      <c r="D23" s="0" t="n">
        <f aca="false">IF($B$10=0,0,C23/$B$10)</f>
        <v>0</v>
      </c>
      <c r="E23" s="0" t="n">
        <f aca="false">SUMIFS(Fact_Extrapolated!$F$2:$F$781,Fact_Extrapolated!$C$2:$C$781,"GLA02",Fact_Extrapolated!$A$2:$A$781,"BATHROOM",Fact_Extrapolated!$G$2:$G$781,1)</f>
        <v>0</v>
      </c>
      <c r="F23" s="0" t="n">
        <f aca="false">IF(C23=0,0,E23/C23)</f>
        <v>0</v>
      </c>
      <c r="G23" s="0" t="str">
        <f aca="false">INDEX('Materials Master'!$D$2:$D$27,MATCH(B23,'Materials Master'!$B$2:$B$27,0))</f>
        <v>No</v>
      </c>
    </row>
    <row r="24" customFormat="false" ht="15" hidden="false" customHeight="false" outlineLevel="0" collapsed="false">
      <c r="A24" s="0" t="s">
        <v>54</v>
      </c>
      <c r="B24" s="0" t="s">
        <v>53</v>
      </c>
      <c r="C24" s="0" t="n">
        <f aca="false">SUMIFS(Fact_Extrapolated!$F$2:$F$781,Fact_Extrapolated!$C$2:$C$781,"MET01",Fact_Extrapolated!$A$2:$A$781,"BATHROOM")</f>
        <v>0</v>
      </c>
      <c r="D24" s="0" t="n">
        <f aca="false">IF($B$10=0,0,C24/$B$10)</f>
        <v>0</v>
      </c>
      <c r="E24" s="0" t="n">
        <f aca="false">SUMIFS(Fact_Extrapolated!$F$2:$F$781,Fact_Extrapolated!$C$2:$C$781,"MET01",Fact_Extrapolated!$A$2:$A$781,"BATHROOM",Fact_Extrapolated!$G$2:$G$781,1)</f>
        <v>0</v>
      </c>
      <c r="F24" s="0" t="n">
        <f aca="false">IF(C24=0,0,E24/C24)</f>
        <v>0</v>
      </c>
      <c r="G24" s="0" t="str">
        <f aca="false">INDEX('Materials Master'!$D$2:$D$27,MATCH(B24,'Materials Master'!$B$2:$B$27,0))</f>
        <v>Yes</v>
      </c>
    </row>
    <row r="25" customFormat="false" ht="15" hidden="false" customHeight="false" outlineLevel="0" collapsed="false">
      <c r="B25" s="0" t="s">
        <v>56</v>
      </c>
      <c r="C25" s="0" t="n">
        <f aca="false">SUMIFS(Fact_Extrapolated!$F$2:$F$781,Fact_Extrapolated!$C$2:$C$781,"MET02",Fact_Extrapolated!$A$2:$A$781,"BATHROOM")</f>
        <v>0</v>
      </c>
      <c r="D25" s="0" t="n">
        <f aca="false">IF($B$10=0,0,C25/$B$10)</f>
        <v>0</v>
      </c>
      <c r="E25" s="0" t="n">
        <f aca="false">SUMIFS(Fact_Extrapolated!$F$2:$F$781,Fact_Extrapolated!$C$2:$C$781,"MET02",Fact_Extrapolated!$A$2:$A$781,"BATHROOM",Fact_Extrapolated!$G$2:$G$781,1)</f>
        <v>0</v>
      </c>
      <c r="F25" s="0" t="n">
        <f aca="false">IF(C25=0,0,E25/C25)</f>
        <v>0</v>
      </c>
      <c r="G25" s="0" t="str">
        <f aca="false">INDEX('Materials Master'!$D$2:$D$27,MATCH(B25,'Materials Master'!$B$2:$B$27,0))</f>
        <v>No</v>
      </c>
    </row>
    <row r="26" customFormat="false" ht="15" hidden="false" customHeight="false" outlineLevel="0" collapsed="false">
      <c r="A26" s="0" t="s">
        <v>59</v>
      </c>
      <c r="B26" s="0" t="s">
        <v>58</v>
      </c>
      <c r="C26" s="0" t="n">
        <f aca="false">SUMIFS(Fact_Extrapolated!$F$2:$F$781,Fact_Extrapolated!$C$2:$C$781,"PLA01",Fact_Extrapolated!$A$2:$A$781,"BATHROOM")</f>
        <v>0</v>
      </c>
      <c r="D26" s="0" t="n">
        <f aca="false">IF($B$10=0,0,C26/$B$10)</f>
        <v>0</v>
      </c>
      <c r="E26" s="0" t="n">
        <f aca="false">SUMIFS(Fact_Extrapolated!$F$2:$F$781,Fact_Extrapolated!$C$2:$C$781,"PLA01",Fact_Extrapolated!$A$2:$A$781,"BATHROOM",Fact_Extrapolated!$G$2:$G$781,1)</f>
        <v>0</v>
      </c>
      <c r="F26" s="0" t="n">
        <f aca="false">IF(C26=0,0,E26/C26)</f>
        <v>0</v>
      </c>
      <c r="G26" s="0" t="str">
        <f aca="false">INDEX('Materials Master'!$D$2:$D$27,MATCH(B26,'Materials Master'!$B$2:$B$27,0))</f>
        <v>Yes</v>
      </c>
    </row>
    <row r="27" customFormat="false" ht="15" hidden="false" customHeight="false" outlineLevel="0" collapsed="false">
      <c r="B27" s="0" t="s">
        <v>61</v>
      </c>
      <c r="C27" s="0" t="n">
        <f aca="false">SUMIFS(Fact_Extrapolated!$F$2:$F$781,Fact_Extrapolated!$C$2:$C$781,"PLA02",Fact_Extrapolated!$A$2:$A$781,"BATHROOM")</f>
        <v>0</v>
      </c>
      <c r="D27" s="0" t="n">
        <f aca="false">IF($B$10=0,0,C27/$B$10)</f>
        <v>0</v>
      </c>
      <c r="E27" s="0" t="n">
        <f aca="false">SUMIFS(Fact_Extrapolated!$F$2:$F$781,Fact_Extrapolated!$C$2:$C$781,"PLA02",Fact_Extrapolated!$A$2:$A$781,"BATHROOM",Fact_Extrapolated!$G$2:$G$781,1)</f>
        <v>0</v>
      </c>
      <c r="F27" s="0" t="n">
        <f aca="false">IF(C27=0,0,E27/C27)</f>
        <v>0</v>
      </c>
      <c r="G27" s="0" t="str">
        <f aca="false">INDEX('Materials Master'!$D$2:$D$27,MATCH(B27,'Materials Master'!$B$2:$B$27,0))</f>
        <v>No</v>
      </c>
    </row>
    <row r="28" customFormat="false" ht="15" hidden="false" customHeight="false" outlineLevel="0" collapsed="false">
      <c r="B28" s="0" t="s">
        <v>63</v>
      </c>
      <c r="C28" s="0" t="n">
        <f aca="false">SUMIFS(Fact_Extrapolated!$F$2:$F$781,Fact_Extrapolated!$C$2:$C$781,"PLA03",Fact_Extrapolated!$A$2:$A$781,"BATHROOM")</f>
        <v>0</v>
      </c>
      <c r="D28" s="0" t="n">
        <f aca="false">IF($B$10=0,0,C28/$B$10)</f>
        <v>0</v>
      </c>
      <c r="E28" s="0" t="n">
        <f aca="false">SUMIFS(Fact_Extrapolated!$F$2:$F$781,Fact_Extrapolated!$C$2:$C$781,"PLA03",Fact_Extrapolated!$A$2:$A$781,"BATHROOM",Fact_Extrapolated!$G$2:$G$781,1)</f>
        <v>0</v>
      </c>
      <c r="F28" s="0" t="n">
        <f aca="false">IF(C28=0,0,E28/C28)</f>
        <v>0</v>
      </c>
      <c r="G28" s="0" t="str">
        <f aca="false">INDEX('Materials Master'!$D$2:$D$27,MATCH(B28,'Materials Master'!$B$2:$B$27,0))</f>
        <v>No</v>
      </c>
    </row>
    <row r="29" customFormat="false" ht="15" hidden="false" customHeight="false" outlineLevel="0" collapsed="false">
      <c r="B29" s="0" t="s">
        <v>65</v>
      </c>
      <c r="C29" s="0" t="n">
        <f aca="false">SUMIFS(Fact_Extrapolated!$F$2:$F$781,Fact_Extrapolated!$C$2:$C$781,"PLA04",Fact_Extrapolated!$A$2:$A$781,"BATHROOM")</f>
        <v>0</v>
      </c>
      <c r="D29" s="0" t="n">
        <f aca="false">IF($B$10=0,0,C29/$B$10)</f>
        <v>0</v>
      </c>
      <c r="E29" s="0" t="n">
        <f aca="false">SUMIFS(Fact_Extrapolated!$F$2:$F$781,Fact_Extrapolated!$C$2:$C$781,"PLA04",Fact_Extrapolated!$A$2:$A$781,"BATHROOM",Fact_Extrapolated!$G$2:$G$781,1)</f>
        <v>0</v>
      </c>
      <c r="F29" s="0" t="n">
        <f aca="false">IF(C29=0,0,E29/C29)</f>
        <v>0</v>
      </c>
      <c r="G29" s="0" t="str">
        <f aca="false">INDEX('Materials Master'!$D$2:$D$27,MATCH(B29,'Materials Master'!$B$2:$B$27,0))</f>
        <v>No</v>
      </c>
    </row>
    <row r="30" customFormat="false" ht="15" hidden="false" customHeight="false" outlineLevel="0" collapsed="false">
      <c r="A30" s="0" t="s">
        <v>68</v>
      </c>
      <c r="B30" s="0" t="s">
        <v>67</v>
      </c>
      <c r="C30" s="0" t="n">
        <f aca="false">SUMIFS(Fact_Extrapolated!$F$2:$F$781,Fact_Extrapolated!$C$2:$C$781,"ORG01",Fact_Extrapolated!$A$2:$A$781,"BATHROOM")</f>
        <v>0</v>
      </c>
      <c r="D30" s="0" t="n">
        <f aca="false">IF($B$10=0,0,C30/$B$10)</f>
        <v>0</v>
      </c>
      <c r="E30" s="0" t="n">
        <f aca="false">SUMIFS(Fact_Extrapolated!$F$2:$F$781,Fact_Extrapolated!$C$2:$C$781,"ORG01",Fact_Extrapolated!$A$2:$A$781,"BATHROOM",Fact_Extrapolated!$G$2:$G$781,1)</f>
        <v>0</v>
      </c>
      <c r="F30" s="0" t="n">
        <f aca="false">IF(C30=0,0,E30/C30)</f>
        <v>0</v>
      </c>
      <c r="G30" s="0" t="str">
        <f aca="false">INDEX('Materials Master'!$D$2:$D$27,MATCH(B30,'Materials Master'!$B$2:$B$27,0))</f>
        <v>Yes</v>
      </c>
    </row>
    <row r="31" customFormat="false" ht="15" hidden="false" customHeight="false" outlineLevel="0" collapsed="false">
      <c r="B31" s="0" t="s">
        <v>70</v>
      </c>
      <c r="C31" s="0" t="n">
        <f aca="false">SUMIFS(Fact_Extrapolated!$F$2:$F$781,Fact_Extrapolated!$C$2:$C$781,"ORG02",Fact_Extrapolated!$A$2:$A$781,"BATHROOM")</f>
        <v>0</v>
      </c>
      <c r="D31" s="0" t="n">
        <f aca="false">IF($B$10=0,0,C31/$B$10)</f>
        <v>0</v>
      </c>
      <c r="E31" s="0" t="n">
        <f aca="false">SUMIFS(Fact_Extrapolated!$F$2:$F$781,Fact_Extrapolated!$C$2:$C$781,"ORG02",Fact_Extrapolated!$A$2:$A$781,"BATHROOM",Fact_Extrapolated!$G$2:$G$781,1)</f>
        <v>0</v>
      </c>
      <c r="F31" s="0" t="n">
        <f aca="false">IF(C31=0,0,E31/C31)</f>
        <v>0</v>
      </c>
      <c r="G31" s="0" t="str">
        <f aca="false">INDEX('Materials Master'!$D$2:$D$27,MATCH(B31,'Materials Master'!$B$2:$B$27,0))</f>
        <v>No</v>
      </c>
    </row>
    <row r="32" customFormat="false" ht="15" hidden="false" customHeight="false" outlineLevel="0" collapsed="false">
      <c r="B32" s="0" t="s">
        <v>72</v>
      </c>
      <c r="C32" s="0" t="n">
        <f aca="false">SUMIFS(Fact_Extrapolated!$F$2:$F$781,Fact_Extrapolated!$C$2:$C$781,"ORG03",Fact_Extrapolated!$A$2:$A$781,"BATHROOM")</f>
        <v>0</v>
      </c>
      <c r="D32" s="0" t="n">
        <f aca="false">IF($B$10=0,0,C32/$B$10)</f>
        <v>0</v>
      </c>
      <c r="E32" s="0" t="n">
        <f aca="false">SUMIFS(Fact_Extrapolated!$F$2:$F$781,Fact_Extrapolated!$C$2:$C$781,"ORG03",Fact_Extrapolated!$A$2:$A$781,"BATHROOM",Fact_Extrapolated!$G$2:$G$781,1)</f>
        <v>0</v>
      </c>
      <c r="F32" s="0" t="n">
        <f aca="false">IF(C32=0,0,E32/C32)</f>
        <v>0</v>
      </c>
      <c r="G32" s="0" t="str">
        <f aca="false">INDEX('Materials Master'!$D$2:$D$27,MATCH(B32,'Materials Master'!$B$2:$B$27,0))</f>
        <v>No</v>
      </c>
    </row>
    <row r="33" customFormat="false" ht="15" hidden="false" customHeight="false" outlineLevel="0" collapsed="false">
      <c r="B33" s="0" t="s">
        <v>74</v>
      </c>
      <c r="C33" s="0" t="n">
        <f aca="false">SUMIFS(Fact_Extrapolated!$F$2:$F$781,Fact_Extrapolated!$C$2:$C$781,"ORG04",Fact_Extrapolated!$A$2:$A$781,"BATHROOM")</f>
        <v>0</v>
      </c>
      <c r="D33" s="0" t="n">
        <f aca="false">IF($B$10=0,0,C33/$B$10)</f>
        <v>0</v>
      </c>
      <c r="E33" s="0" t="n">
        <f aca="false">SUMIFS(Fact_Extrapolated!$F$2:$F$781,Fact_Extrapolated!$C$2:$C$781,"ORG04",Fact_Extrapolated!$A$2:$A$781,"BATHROOM",Fact_Extrapolated!$G$2:$G$781,1)</f>
        <v>0</v>
      </c>
      <c r="F33" s="0" t="n">
        <f aca="false">IF(C33=0,0,E33/C33)</f>
        <v>0</v>
      </c>
      <c r="G33" s="0" t="str">
        <f aca="false">INDEX('Materials Master'!$D$2:$D$27,MATCH(B33,'Materials Master'!$B$2:$B$27,0))</f>
        <v>No</v>
      </c>
    </row>
    <row r="34" customFormat="false" ht="15" hidden="false" customHeight="false" outlineLevel="0" collapsed="false">
      <c r="A34" s="0" t="s">
        <v>77</v>
      </c>
      <c r="B34" s="0" t="s">
        <v>76</v>
      </c>
      <c r="C34" s="0" t="n">
        <f aca="false">SUMIFS(Fact_Extrapolated!$F$2:$F$781,Fact_Extrapolated!$C$2:$C$781,"UNA01",Fact_Extrapolated!$A$2:$A$781,"BATHROOM")</f>
        <v>0</v>
      </c>
      <c r="D34" s="0" t="n">
        <f aca="false">IF($B$10=0,0,C34/$B$10)</f>
        <v>0</v>
      </c>
      <c r="E34" s="0" t="n">
        <f aca="false">SUMIFS(Fact_Extrapolated!$F$2:$F$781,Fact_Extrapolated!$C$2:$C$781,"UNA01",Fact_Extrapolated!$A$2:$A$781,"BATHROOM",Fact_Extrapolated!$G$2:$G$781,1)</f>
        <v>0</v>
      </c>
      <c r="F34" s="0" t="n">
        <f aca="false">IF(C34=0,0,E34/C34)</f>
        <v>0</v>
      </c>
      <c r="G34" s="0" t="str">
        <f aca="false">INDEX('Materials Master'!$D$2:$D$27,MATCH(B34,'Materials Master'!$B$2:$B$27,0))</f>
        <v>Unacceptable</v>
      </c>
    </row>
    <row r="35" customFormat="false" ht="15" hidden="false" customHeight="false" outlineLevel="0" collapsed="false">
      <c r="B35" s="0" t="s">
        <v>79</v>
      </c>
      <c r="C35" s="0" t="n">
        <f aca="false">SUMIFS(Fact_Extrapolated!$F$2:$F$781,Fact_Extrapolated!$C$2:$C$781,"UNA02",Fact_Extrapolated!$A$2:$A$781,"BATHROOM")</f>
        <v>0</v>
      </c>
      <c r="D35" s="0" t="n">
        <f aca="false">IF($B$10=0,0,C35/$B$10)</f>
        <v>0</v>
      </c>
      <c r="E35" s="0" t="n">
        <f aca="false">SUMIFS(Fact_Extrapolated!$F$2:$F$781,Fact_Extrapolated!$C$2:$C$781,"UNA02",Fact_Extrapolated!$A$2:$A$781,"BATHROOM",Fact_Extrapolated!$G$2:$G$781,1)</f>
        <v>0</v>
      </c>
      <c r="F35" s="0" t="n">
        <f aca="false">IF(C35=0,0,E35/C35)</f>
        <v>0</v>
      </c>
      <c r="G35" s="0" t="str">
        <f aca="false">INDEX('Materials Master'!$D$2:$D$27,MATCH(B35,'Materials Master'!$B$2:$B$27,0))</f>
        <v>Unacceptable</v>
      </c>
    </row>
    <row r="36" customFormat="false" ht="15" hidden="false" customHeight="false" outlineLevel="0" collapsed="false">
      <c r="B36" s="0" t="s">
        <v>81</v>
      </c>
      <c r="C36" s="0" t="n">
        <f aca="false">SUMIFS(Fact_Extrapolated!$F$2:$F$781,Fact_Extrapolated!$C$2:$C$781,"UNA03",Fact_Extrapolated!$A$2:$A$781,"BATHROOM")</f>
        <v>0</v>
      </c>
      <c r="D36" s="0" t="n">
        <f aca="false">IF($B$10=0,0,C36/$B$10)</f>
        <v>0</v>
      </c>
      <c r="E36" s="0" t="n">
        <f aca="false">SUMIFS(Fact_Extrapolated!$F$2:$F$781,Fact_Extrapolated!$C$2:$C$781,"UNA03",Fact_Extrapolated!$A$2:$A$781,"BATHROOM",Fact_Extrapolated!$G$2:$G$781,1)</f>
        <v>0</v>
      </c>
      <c r="F36" s="0" t="n">
        <f aca="false">IF(C36=0,0,E36/C36)</f>
        <v>0</v>
      </c>
      <c r="G36" s="0" t="str">
        <f aca="false">INDEX('Materials Master'!$D$2:$D$27,MATCH(B36,'Materials Master'!$B$2:$B$27,0))</f>
        <v>Unacceptable</v>
      </c>
    </row>
    <row r="37" customFormat="false" ht="15" hidden="false" customHeight="false" outlineLevel="0" collapsed="false">
      <c r="B37" s="0" t="s">
        <v>83</v>
      </c>
      <c r="C37" s="0" t="n">
        <f aca="false">SUMIFS(Fact_Extrapolated!$F$2:$F$781,Fact_Extrapolated!$C$2:$C$781,"UNA04",Fact_Extrapolated!$A$2:$A$781,"BATHROOM")</f>
        <v>0</v>
      </c>
      <c r="D37" s="0" t="n">
        <f aca="false">IF($B$10=0,0,C37/$B$10)</f>
        <v>0</v>
      </c>
      <c r="E37" s="0" t="n">
        <f aca="false">SUMIFS(Fact_Extrapolated!$F$2:$F$781,Fact_Extrapolated!$C$2:$C$781,"UNA04",Fact_Extrapolated!$A$2:$A$781,"BATHROOM",Fact_Extrapolated!$G$2:$G$781,1)</f>
        <v>0</v>
      </c>
      <c r="F37" s="0" t="n">
        <f aca="false">IF(C37=0,0,E37/C37)</f>
        <v>0</v>
      </c>
      <c r="G37" s="0" t="str">
        <f aca="false">INDEX('Materials Master'!$D$2:$D$27,MATCH(B37,'Materials Master'!$B$2:$B$27,0))</f>
        <v>Unacceptable</v>
      </c>
    </row>
    <row r="38" customFormat="false" ht="15" hidden="false" customHeight="false" outlineLevel="0" collapsed="false">
      <c r="A38" s="0" t="s">
        <v>86</v>
      </c>
      <c r="B38" s="0" t="s">
        <v>85</v>
      </c>
      <c r="C38" s="0" t="n">
        <f aca="false">SUMIFS(Fact_Extrapolated!$F$2:$F$781,Fact_Extrapolated!$C$2:$C$781,"OTH01",Fact_Extrapolated!$A$2:$A$781,"BATHROOM")</f>
        <v>0</v>
      </c>
      <c r="D38" s="0" t="n">
        <f aca="false">IF($B$10=0,0,C38/$B$10)</f>
        <v>0</v>
      </c>
      <c r="E38" s="0" t="n">
        <f aca="false">SUMIFS(Fact_Extrapolated!$F$2:$F$781,Fact_Extrapolated!$C$2:$C$781,"OTH01",Fact_Extrapolated!$A$2:$A$781,"BATHROOM",Fact_Extrapolated!$G$2:$G$781,1)</f>
        <v>0</v>
      </c>
      <c r="F38" s="0" t="n">
        <f aca="false">IF(C38=0,0,E38/C38)</f>
        <v>0</v>
      </c>
      <c r="G38" s="0" t="str">
        <f aca="false">INDEX('Materials Master'!$D$2:$D$27,MATCH(B38,'Materials Master'!$B$2:$B$27,0))</f>
        <v>No</v>
      </c>
    </row>
    <row r="39" customFormat="false" ht="15" hidden="false" customHeight="false" outlineLevel="0" collapsed="false">
      <c r="B39" s="0" t="s">
        <v>88</v>
      </c>
      <c r="C39" s="0" t="n">
        <f aca="false">SUMIFS(Fact_Extrapolated!$F$2:$F$781,Fact_Extrapolated!$C$2:$C$781,"OTH02",Fact_Extrapolated!$A$2:$A$781,"BATHROOM")</f>
        <v>0</v>
      </c>
      <c r="D39" s="0" t="n">
        <f aca="false">IF($B$10=0,0,C39/$B$10)</f>
        <v>0</v>
      </c>
      <c r="E39" s="0" t="n">
        <f aca="false">SUMIFS(Fact_Extrapolated!$F$2:$F$781,Fact_Extrapolated!$C$2:$C$781,"OTH02",Fact_Extrapolated!$A$2:$A$781,"BATHROOM",Fact_Extrapolated!$G$2:$G$781,1)</f>
        <v>0</v>
      </c>
      <c r="F39" s="0" t="n">
        <f aca="false">IF(C39=0,0,E39/C39)</f>
        <v>0</v>
      </c>
      <c r="G39" s="0" t="str">
        <f aca="false">INDEX('Materials Master'!$D$2:$D$27,MATCH(B39,'Materials Master'!$B$2:$B$27,0))</f>
        <v>No</v>
      </c>
    </row>
    <row r="40" customFormat="false" ht="15" hidden="false" customHeight="false" outlineLevel="0" collapsed="false"/>
    <row r="41" customFormat="false" ht="15" hidden="false" customHeight="false" outlineLevel="0" collapsed="false">
      <c r="A41" s="0" t="s">
        <v>132</v>
      </c>
    </row>
    <row r="42" customFormat="false" ht="15" hidden="false" customHeight="false" outlineLevel="0" collapsed="false">
      <c r="A42" s="0" t="s">
        <v>129</v>
      </c>
      <c r="B42" s="0" t="s">
        <v>130</v>
      </c>
      <c r="C42" s="0" t="s">
        <v>122</v>
      </c>
    </row>
    <row r="43" customFormat="false" ht="15" hidden="false" customHeight="false" outlineLevel="0" collapsed="false">
      <c r="A43" s="0" t="s">
        <v>30</v>
      </c>
      <c r="B43" s="0" t="n">
        <f aca="false">SUM(C14:C21)</f>
        <v>0</v>
      </c>
      <c r="C43" s="0" t="n">
        <f aca="false">IF($B$10=0,0,B43/$B$10)</f>
        <v>0</v>
      </c>
    </row>
    <row r="44" customFormat="false" ht="15" hidden="false" customHeight="false" outlineLevel="0" collapsed="false">
      <c r="A44" s="0" t="s">
        <v>49</v>
      </c>
      <c r="B44" s="0" t="n">
        <f aca="false">SUM(C22:C23)</f>
        <v>0</v>
      </c>
      <c r="C44" s="0" t="n">
        <f aca="false">IF($B$10=0,0,B44/$B$10)</f>
        <v>0</v>
      </c>
    </row>
    <row r="45" customFormat="false" ht="15" hidden="false" customHeight="false" outlineLevel="0" collapsed="false">
      <c r="A45" s="0" t="s">
        <v>54</v>
      </c>
      <c r="B45" s="0" t="n">
        <f aca="false">SUM(C24:C25)</f>
        <v>0</v>
      </c>
      <c r="C45" s="0" t="n">
        <f aca="false">IF($B$10=0,0,B45/$B$10)</f>
        <v>0</v>
      </c>
    </row>
    <row r="46" customFormat="false" ht="15" hidden="false" customHeight="false" outlineLevel="0" collapsed="false">
      <c r="A46" s="0" t="s">
        <v>59</v>
      </c>
      <c r="B46" s="0" t="n">
        <f aca="false">SUM(C26:C29)</f>
        <v>0</v>
      </c>
      <c r="C46" s="0" t="n">
        <f aca="false">IF($B$10=0,0,B46/$B$10)</f>
        <v>0</v>
      </c>
    </row>
    <row r="47" customFormat="false" ht="15" hidden="false" customHeight="false" outlineLevel="0" collapsed="false">
      <c r="A47" s="0" t="s">
        <v>68</v>
      </c>
      <c r="B47" s="0" t="n">
        <f aca="false">SUM(C30:C33)</f>
        <v>0</v>
      </c>
      <c r="C47" s="0" t="n">
        <f aca="false">IF($B$10=0,0,B47/$B$10)</f>
        <v>0</v>
      </c>
    </row>
    <row r="48" customFormat="false" ht="15" hidden="false" customHeight="false" outlineLevel="0" collapsed="false">
      <c r="A48" s="0" t="s">
        <v>77</v>
      </c>
      <c r="B48" s="0" t="n">
        <f aca="false">SUM(C34:C37)</f>
        <v>0</v>
      </c>
      <c r="C48" s="0" t="n">
        <f aca="false">IF($B$10=0,0,B48/$B$10)</f>
        <v>0</v>
      </c>
    </row>
    <row r="49" customFormat="false" ht="15" hidden="false" customHeight="false" outlineLevel="0" collapsed="false">
      <c r="A49" s="0" t="s">
        <v>86</v>
      </c>
      <c r="B49" s="0" t="n">
        <f aca="false">SUM(C38:C39)</f>
        <v>0</v>
      </c>
      <c r="C49" s="0" t="n">
        <f aca="false">IF($B$10=0,0,B49/$B$10)</f>
        <v>0</v>
      </c>
    </row>
    <row r="50" customFormat="false" ht="15" hidden="false" customHeight="false" outlineLevel="0" collapsed="false">
      <c r="A50" s="0" t="s">
        <v>133</v>
      </c>
      <c r="B50" s="0" t="n">
        <f aca="false">$B$10-SUM(B43:B49)</f>
        <v>207.3</v>
      </c>
      <c r="C50" s="0" t="n">
        <f aca="false">IF($B$10=0,0,B50/$B$10)</f>
        <v>1</v>
      </c>
    </row>
    <row r="51" customFormat="false" ht="15" hidden="false" customHeight="false" outlineLevel="0" collapsed="false">
      <c r="A51" s="0" t="s">
        <v>126</v>
      </c>
      <c r="B51" s="0" t="n">
        <f aca="false">SUM(B43:B50)</f>
        <v>207.3</v>
      </c>
      <c r="C51" s="0" t="n">
        <f aca="false">IF(B51=0,0,B51/$B$10)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140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141</v>
      </c>
    </row>
    <row r="4" customFormat="false" ht="15" hidden="false" customHeight="false" outlineLevel="0" collapsed="false"/>
    <row r="5" customFormat="false" ht="15" hidden="false" customHeight="false" outlineLevel="0" collapsed="false">
      <c r="A5" s="0" t="s">
        <v>142</v>
      </c>
    </row>
    <row r="6" customFormat="false" ht="15" hidden="false" customHeight="false" outlineLevel="0" collapsed="false"/>
    <row r="7" customFormat="false" ht="15" hidden="false" customHeight="false" outlineLevel="0" collapsed="false">
      <c r="A7" s="0" t="s">
        <v>143</v>
      </c>
    </row>
    <row r="8" customFormat="false" ht="15" hidden="false" customHeight="false" outlineLevel="0" collapsed="false"/>
    <row r="9" customFormat="false" ht="15" hidden="false" customHeight="false" outlineLevel="0" collapsed="false">
      <c r="A9" s="0" t="s">
        <v>144</v>
      </c>
    </row>
    <row r="10" customFormat="false" ht="15" hidden="false" customHeight="false" outlineLevel="0" collapsed="false"/>
    <row r="11" customFormat="false" ht="15" hidden="false" customHeight="false" outlineLevel="0" collapsed="false">
      <c r="A11" s="0" t="s">
        <v>145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146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111</v>
      </c>
      <c r="B3" s="0" t="s">
        <v>110</v>
      </c>
      <c r="C3" s="0" t="s">
        <v>147</v>
      </c>
      <c r="D3" s="0" t="s">
        <v>148</v>
      </c>
      <c r="E3" s="0" t="s">
        <v>149</v>
      </c>
      <c r="F3" s="0" t="s">
        <v>150</v>
      </c>
      <c r="G3" s="0" t="s">
        <v>151</v>
      </c>
    </row>
    <row r="4" customFormat="false" ht="15" hidden="false" customHeight="false" outlineLevel="0" collapsed="false">
      <c r="A4" s="0" t="s">
        <v>92</v>
      </c>
      <c r="B4" s="0" t="s">
        <v>103</v>
      </c>
      <c r="C4" s="0" t="n">
        <f aca="false">SUMIFS(Fact_PreSortWeights!$E$2:$E$186,Fact_PreSortWeights!$C$2:$C$186,A4,Fact_PreSortWeights!$B$2:$B$186,B4)</f>
        <v>689.4</v>
      </c>
      <c r="D4" s="0" t="n">
        <f aca="false">SUMIFS(Fact_SortedWeights!$E$2:$E$89,Fact_SortedWeights!$C$2:$C$89,A4,Fact_SortedWeights!$B$2:$B$89,B4)</f>
        <v>285.378125</v>
      </c>
      <c r="E4" s="0" t="n">
        <f aca="false">D4-C4</f>
        <v>-404.021875</v>
      </c>
      <c r="F4" s="0" t="n">
        <f aca="false">IF(C4=0,"n/a",E4/C4)</f>
        <v>-0.586048556715985</v>
      </c>
      <c r="G4" s="0" t="str">
        <f aca="false">IF(AND(C4=0,D4=0),"no data yet",IF(C4=0,"no presort data",IF(D4=0,"NOT YET SORTED",IF(ABS(F4)&gt;0.15,"CHECK &gt;15% variance","OK"))))</f>
        <v>CHECK &gt;15% variance</v>
      </c>
    </row>
    <row r="5" customFormat="false" ht="15" hidden="false" customHeight="false" outlineLevel="0" collapsed="false">
      <c r="A5" s="0" t="s">
        <v>92</v>
      </c>
      <c r="B5" s="0" t="s">
        <v>104</v>
      </c>
      <c r="C5" s="0" t="n">
        <f aca="false">SUMIFS(Fact_PreSortWeights!$E$2:$E$186,Fact_PreSortWeights!$C$2:$C$186,A5,Fact_PreSortWeights!$B$2:$B$186,B5)</f>
        <v>40.4</v>
      </c>
      <c r="D5" s="0" t="n">
        <f aca="false">SUMIFS(Fact_SortedWeights!$E$2:$E$89,Fact_SortedWeights!$C$2:$C$89,A5,Fact_SortedWeights!$B$2:$B$89,B5)</f>
        <v>13.034375</v>
      </c>
      <c r="E5" s="0" t="n">
        <f aca="false">D5-C5</f>
        <v>-27.365625</v>
      </c>
      <c r="F5" s="0" t="n">
        <f aca="false">IF(C5=0,"n/a",E5/C5)</f>
        <v>-0.677366955445545</v>
      </c>
      <c r="G5" s="0" t="str">
        <f aca="false">IF(AND(C5=0,D5=0),"no data yet",IF(C5=0,"no presort data",IF(D5=0,"NOT YET SORTED",IF(ABS(F5)&gt;0.15,"CHECK &gt;15% variance","OK"))))</f>
        <v>CHECK &gt;15% variance</v>
      </c>
    </row>
    <row r="6" customFormat="false" ht="15" hidden="false" customHeight="false" outlineLevel="0" collapsed="false">
      <c r="A6" s="0" t="s">
        <v>92</v>
      </c>
      <c r="B6" s="0" t="s">
        <v>105</v>
      </c>
      <c r="C6" s="0" t="n">
        <f aca="false">SUMIFS(Fact_PreSortWeights!$E$2:$E$186,Fact_PreSortWeights!$C$2:$C$186,A6,Fact_PreSortWeights!$B$2:$B$186,B6)</f>
        <v>547.3</v>
      </c>
      <c r="D6" s="0" t="n">
        <f aca="false">SUMIFS(Fact_SortedWeights!$E$2:$E$89,Fact_SortedWeights!$C$2:$C$89,A6,Fact_SortedWeights!$B$2:$B$89,B6)</f>
        <v>138.043125</v>
      </c>
      <c r="E6" s="0" t="n">
        <f aca="false">D6-C6</f>
        <v>-409.256875</v>
      </c>
      <c r="F6" s="0" t="n">
        <f aca="false">IF(C6=0,"n/a",E6/C6)</f>
        <v>-0.747774301114562</v>
      </c>
      <c r="G6" s="0" t="str">
        <f aca="false">IF(AND(C6=0,D6=0),"no data yet",IF(C6=0,"no presort data",IF(D6=0,"NOT YET SORTED",IF(ABS(F6)&gt;0.15,"CHECK &gt;15% variance","OK"))))</f>
        <v>CHECK &gt;15% variance</v>
      </c>
    </row>
    <row r="7" customFormat="false" ht="15" hidden="false" customHeight="false" outlineLevel="0" collapsed="false">
      <c r="A7" s="0" t="s">
        <v>92</v>
      </c>
      <c r="B7" s="0" t="s">
        <v>106</v>
      </c>
      <c r="C7" s="0" t="n">
        <f aca="false">SUMIFS(Fact_PreSortWeights!$E$2:$E$186,Fact_PreSortWeights!$C$2:$C$186,A7,Fact_PreSortWeights!$B$2:$B$186,B7)</f>
        <v>0</v>
      </c>
      <c r="D7" s="0" t="n">
        <f aca="false">SUMIFS(Fact_SortedWeights!$E$2:$E$89,Fact_SortedWeights!$C$2:$C$89,A7,Fact_SortedWeights!$B$2:$B$89,B7)</f>
        <v>349.826875</v>
      </c>
      <c r="E7" s="0" t="n">
        <f aca="false">D7-C7</f>
        <v>349.826875</v>
      </c>
      <c r="F7" s="0" t="str">
        <f aca="false">IF(C7=0,"n/a",E7/C7)</f>
        <v>n/a</v>
      </c>
      <c r="G7" s="0" t="str">
        <f aca="false">IF(AND(C7=0,D7=0),"no data yet",IF(C7=0,"no presort data",IF(D7=0,"NOT YET SORTED",IF(ABS(F7)&gt;0.15,"CHECK &gt;15% variance","OK"))))</f>
        <v>no presort data</v>
      </c>
    </row>
    <row r="8" customFormat="false" ht="15" hidden="false" customHeight="false" outlineLevel="0" collapsed="false">
      <c r="A8" s="0" t="s">
        <v>92</v>
      </c>
      <c r="B8" s="0" t="s">
        <v>107</v>
      </c>
      <c r="C8" s="0" t="n">
        <f aca="false">SUMIFS(Fact_PreSortWeights!$E$2:$E$186,Fact_PreSortWeights!$C$2:$C$186,A8,Fact_PreSortWeights!$B$2:$B$186,B8)</f>
        <v>16.7</v>
      </c>
      <c r="D8" s="0" t="n">
        <f aca="false">SUMIFS(Fact_SortedWeights!$E$2:$E$89,Fact_SortedWeights!$C$2:$C$89,A8,Fact_SortedWeights!$B$2:$B$89,B8)</f>
        <v>5.324375</v>
      </c>
      <c r="E8" s="0" t="n">
        <f aca="false">D8-C8</f>
        <v>-11.375625</v>
      </c>
      <c r="F8" s="0" t="n">
        <f aca="false">IF(C8=0,"n/a",E8/C8)</f>
        <v>-0.681175149700599</v>
      </c>
      <c r="G8" s="0" t="str">
        <f aca="false">IF(AND(C8=0,D8=0),"no data yet",IF(C8=0,"no presort data",IF(D8=0,"NOT YET SORTED",IF(ABS(F8)&gt;0.15,"CHECK &gt;15% variance","OK"))))</f>
        <v>CHECK &gt;15% variance</v>
      </c>
    </row>
    <row r="9" customFormat="false" ht="15" hidden="false" customHeight="false" outlineLevel="0" collapsed="false">
      <c r="A9" s="0" t="s">
        <v>92</v>
      </c>
      <c r="B9" s="0" t="s">
        <v>108</v>
      </c>
      <c r="C9" s="0" t="n">
        <f aca="false">SUMIFS(Fact_PreSortWeights!$E$2:$E$186,Fact_PreSortWeights!$C$2:$C$186,A9,Fact_PreSortWeights!$B$2:$B$186,B9)</f>
        <v>3.2</v>
      </c>
      <c r="D9" s="0" t="n">
        <f aca="false">SUMIFS(Fact_SortedWeights!$E$2:$E$89,Fact_SortedWeights!$C$2:$C$89,A9,Fact_SortedWeights!$B$2:$B$89,B9)</f>
        <v>3.198125</v>
      </c>
      <c r="E9" s="0" t="n">
        <f aca="false">D9-C9</f>
        <v>-0.00187500000000052</v>
      </c>
      <c r="F9" s="0" t="n">
        <f aca="false">IF(C9=0,"n/a",E9/C9)</f>
        <v>-0.000585937500000161</v>
      </c>
      <c r="G9" s="0" t="str">
        <f aca="false">IF(AND(C9=0,D9=0),"no data yet",IF(C9=0,"no presort data",IF(D9=0,"NOT YET SORTED",IF(ABS(F9)&gt;0.15,"CHECK &gt;15% variance","OK"))))</f>
        <v>OK</v>
      </c>
    </row>
    <row r="10" customFormat="false" ht="15" hidden="false" customHeight="false" outlineLevel="0" collapsed="false">
      <c r="A10" s="0" t="s">
        <v>95</v>
      </c>
      <c r="B10" s="0" t="s">
        <v>103</v>
      </c>
      <c r="C10" s="0" t="n">
        <f aca="false">SUMIFS(Fact_PreSortWeights!$E$2:$E$186,Fact_PreSortWeights!$C$2:$C$186,A10,Fact_PreSortWeights!$B$2:$B$186,B10)</f>
        <v>1133.9</v>
      </c>
      <c r="D10" s="0" t="n">
        <f aca="false">SUMIFS(Fact_SortedWeights!$E$2:$E$89,Fact_SortedWeights!$C$2:$C$89,A10,Fact_SortedWeights!$B$2:$B$89,B10)</f>
        <v>325.1</v>
      </c>
      <c r="E10" s="0" t="n">
        <f aca="false">D10-C10</f>
        <v>-808.8</v>
      </c>
      <c r="F10" s="0" t="n">
        <f aca="false">IF(C10=0,"n/a",E10/C10)</f>
        <v>-0.713290413616721</v>
      </c>
      <c r="G10" s="0" t="str">
        <f aca="false">IF(AND(C10=0,D10=0),"no data yet",IF(C10=0,"no presort data",IF(D10=0,"NOT YET SORTED",IF(ABS(F10)&gt;0.15,"CHECK &gt;15% variance","OK"))))</f>
        <v>CHECK &gt;15% variance</v>
      </c>
    </row>
    <row r="11" customFormat="false" ht="15" hidden="false" customHeight="false" outlineLevel="0" collapsed="false">
      <c r="A11" s="0" t="s">
        <v>95</v>
      </c>
      <c r="B11" s="0" t="s">
        <v>104</v>
      </c>
      <c r="C11" s="0" t="n">
        <f aca="false">SUMIFS(Fact_PreSortWeights!$E$2:$E$186,Fact_PreSortWeights!$C$2:$C$186,A11,Fact_PreSortWeights!$B$2:$B$186,B11)</f>
        <v>4.8</v>
      </c>
      <c r="D11" s="0" t="n">
        <f aca="false">SUMIFS(Fact_SortedWeights!$E$2:$E$89,Fact_SortedWeights!$C$2:$C$89,A11,Fact_SortedWeights!$B$2:$B$89,B11)</f>
        <v>1.06</v>
      </c>
      <c r="E11" s="0" t="n">
        <f aca="false">D11-C11</f>
        <v>-3.74</v>
      </c>
      <c r="F11" s="0" t="n">
        <f aca="false">IF(C11=0,"n/a",E11/C11)</f>
        <v>-0.779166666666667</v>
      </c>
      <c r="G11" s="0" t="str">
        <f aca="false">IF(AND(C11=0,D11=0),"no data yet",IF(C11=0,"no presort data",IF(D11=0,"NOT YET SORTED",IF(ABS(F11)&gt;0.15,"CHECK &gt;15% variance","OK"))))</f>
        <v>CHECK &gt;15% variance</v>
      </c>
    </row>
    <row r="12" customFormat="false" ht="15" hidden="false" customHeight="false" outlineLevel="0" collapsed="false">
      <c r="A12" s="0" t="s">
        <v>95</v>
      </c>
      <c r="B12" s="0" t="s">
        <v>105</v>
      </c>
      <c r="C12" s="0" t="n">
        <f aca="false">SUMIFS(Fact_PreSortWeights!$E$2:$E$186,Fact_PreSortWeights!$C$2:$C$186,A12,Fact_PreSortWeights!$B$2:$B$186,B12)</f>
        <v>88.2</v>
      </c>
      <c r="D12" s="0" t="n">
        <f aca="false">SUMIFS(Fact_SortedWeights!$E$2:$E$89,Fact_SortedWeights!$C$2:$C$89,A12,Fact_SortedWeights!$B$2:$B$89,B12)</f>
        <v>53.069375</v>
      </c>
      <c r="E12" s="0" t="n">
        <f aca="false">D12-C12</f>
        <v>-35.130625</v>
      </c>
      <c r="F12" s="0" t="n">
        <f aca="false">IF(C12=0,"n/a",E12/C12)</f>
        <v>-0.398306405895692</v>
      </c>
      <c r="G12" s="0" t="str">
        <f aca="false">IF(AND(C12=0,D12=0),"no data yet",IF(C12=0,"no presort data",IF(D12=0,"NOT YET SORTED",IF(ABS(F12)&gt;0.15,"CHECK &gt;15% variance","OK"))))</f>
        <v>CHECK &gt;15% variance</v>
      </c>
    </row>
    <row r="13" customFormat="false" ht="15" hidden="false" customHeight="false" outlineLevel="0" collapsed="false">
      <c r="A13" s="0" t="s">
        <v>95</v>
      </c>
      <c r="B13" s="0" t="s">
        <v>106</v>
      </c>
      <c r="C13" s="0" t="n">
        <f aca="false">SUMIFS(Fact_PreSortWeights!$E$2:$E$186,Fact_PreSortWeights!$C$2:$C$186,A13,Fact_PreSortWeights!$B$2:$B$186,B13)</f>
        <v>0</v>
      </c>
      <c r="D13" s="0" t="n">
        <f aca="false">SUMIFS(Fact_SortedWeights!$E$2:$E$89,Fact_SortedWeights!$C$2:$C$89,A13,Fact_SortedWeights!$B$2:$B$89,B13)</f>
        <v>0</v>
      </c>
      <c r="E13" s="0" t="n">
        <f aca="false">D13-C13</f>
        <v>0</v>
      </c>
      <c r="F13" s="0" t="str">
        <f aca="false">IF(C13=0,"n/a",E13/C13)</f>
        <v>n/a</v>
      </c>
      <c r="G13" s="0" t="str">
        <f aca="false">IF(AND(C13=0,D13=0),"no data yet",IF(C13=0,"no presort data",IF(D13=0,"NOT YET SORTED",IF(ABS(F13)&gt;0.15,"CHECK &gt;15% variance","OK"))))</f>
        <v>no data yet</v>
      </c>
    </row>
    <row r="14" customFormat="false" ht="15" hidden="false" customHeight="false" outlineLevel="0" collapsed="false">
      <c r="A14" s="0" t="s">
        <v>95</v>
      </c>
      <c r="B14" s="0" t="s">
        <v>107</v>
      </c>
      <c r="C14" s="0" t="n">
        <f aca="false">SUMIFS(Fact_PreSortWeights!$E$2:$E$186,Fact_PreSortWeights!$C$2:$C$186,A14,Fact_PreSortWeights!$B$2:$B$186,B14)</f>
        <v>0</v>
      </c>
      <c r="D14" s="0" t="n">
        <f aca="false">SUMIFS(Fact_SortedWeights!$E$2:$E$89,Fact_SortedWeights!$C$2:$C$89,A14,Fact_SortedWeights!$B$2:$B$89,B14)</f>
        <v>0</v>
      </c>
      <c r="E14" s="0" t="n">
        <f aca="false">D14-C14</f>
        <v>0</v>
      </c>
      <c r="F14" s="0" t="str">
        <f aca="false">IF(C14=0,"n/a",E14/C14)</f>
        <v>n/a</v>
      </c>
      <c r="G14" s="0" t="str">
        <f aca="false">IF(AND(C14=0,D14=0),"no data yet",IF(C14=0,"no presort data",IF(D14=0,"NOT YET SORTED",IF(ABS(F14)&gt;0.15,"CHECK &gt;15% variance","OK"))))</f>
        <v>no data yet</v>
      </c>
    </row>
    <row r="15" customFormat="false" ht="15" hidden="false" customHeight="false" outlineLevel="0" collapsed="false">
      <c r="A15" s="0" t="s">
        <v>95</v>
      </c>
      <c r="B15" s="0" t="s">
        <v>108</v>
      </c>
      <c r="C15" s="0" t="n">
        <f aca="false">SUMIFS(Fact_PreSortWeights!$E$2:$E$186,Fact_PreSortWeights!$C$2:$C$186,A15,Fact_PreSortWeights!$B$2:$B$186,B15)</f>
        <v>0</v>
      </c>
      <c r="D15" s="0" t="n">
        <f aca="false">SUMIFS(Fact_SortedWeights!$E$2:$E$89,Fact_SortedWeights!$C$2:$C$89,A15,Fact_SortedWeights!$B$2:$B$89,B15)</f>
        <v>0</v>
      </c>
      <c r="E15" s="0" t="n">
        <f aca="false">D15-C15</f>
        <v>0</v>
      </c>
      <c r="F15" s="0" t="str">
        <f aca="false">IF(C15=0,"n/a",E15/C15)</f>
        <v>n/a</v>
      </c>
      <c r="G15" s="0" t="str">
        <f aca="false">IF(AND(C15=0,D15=0),"no data yet",IF(C15=0,"no presort data",IF(D15=0,"NOT YET SORTED",IF(ABS(F15)&gt;0.15,"CHECK &gt;15% variance","OK"))))</f>
        <v>no data yet</v>
      </c>
    </row>
    <row r="16" customFormat="false" ht="15" hidden="false" customHeight="false" outlineLevel="0" collapsed="false">
      <c r="A16" s="0" t="s">
        <v>98</v>
      </c>
      <c r="B16" s="0" t="s">
        <v>103</v>
      </c>
      <c r="C16" s="0" t="n">
        <f aca="false">SUMIFS(Fact_PreSortWeights!$E$2:$E$186,Fact_PreSortWeights!$C$2:$C$186,A16,Fact_PreSortWeights!$B$2:$B$186,B16)</f>
        <v>0</v>
      </c>
      <c r="D16" s="0" t="n">
        <f aca="false">SUMIFS(Fact_SortedWeights!$E$2:$E$89,Fact_SortedWeights!$C$2:$C$89,A16,Fact_SortedWeights!$B$2:$B$89,B16)</f>
        <v>0</v>
      </c>
      <c r="E16" s="0" t="n">
        <f aca="false">D16-C16</f>
        <v>0</v>
      </c>
      <c r="F16" s="0" t="str">
        <f aca="false">IF(C16=0,"n/a",E16/C16)</f>
        <v>n/a</v>
      </c>
      <c r="G16" s="0" t="str">
        <f aca="false">IF(AND(C16=0,D16=0),"no data yet",IF(C16=0,"no presort data",IF(D16=0,"NOT YET SORTED",IF(ABS(F16)&gt;0.15,"CHECK &gt;15% variance","OK"))))</f>
        <v>no data yet</v>
      </c>
    </row>
    <row r="17" customFormat="false" ht="15" hidden="false" customHeight="false" outlineLevel="0" collapsed="false">
      <c r="A17" s="0" t="s">
        <v>98</v>
      </c>
      <c r="B17" s="0" t="s">
        <v>104</v>
      </c>
      <c r="C17" s="0" t="n">
        <f aca="false">SUMIFS(Fact_PreSortWeights!$E$2:$E$186,Fact_PreSortWeights!$C$2:$C$186,A17,Fact_PreSortWeights!$B$2:$B$186,B17)</f>
        <v>0</v>
      </c>
      <c r="D17" s="0" t="n">
        <f aca="false">SUMIFS(Fact_SortedWeights!$E$2:$E$89,Fact_SortedWeights!$C$2:$C$89,A17,Fact_SortedWeights!$B$2:$B$89,B17)</f>
        <v>0</v>
      </c>
      <c r="E17" s="0" t="n">
        <f aca="false">D17-C17</f>
        <v>0</v>
      </c>
      <c r="F17" s="0" t="str">
        <f aca="false">IF(C17=0,"n/a",E17/C17)</f>
        <v>n/a</v>
      </c>
      <c r="G17" s="0" t="str">
        <f aca="false">IF(AND(C17=0,D17=0),"no data yet",IF(C17=0,"no presort data",IF(D17=0,"NOT YET SORTED",IF(ABS(F17)&gt;0.15,"CHECK &gt;15% variance","OK"))))</f>
        <v>no data yet</v>
      </c>
    </row>
    <row r="18" customFormat="false" ht="15" hidden="false" customHeight="false" outlineLevel="0" collapsed="false">
      <c r="A18" s="0" t="s">
        <v>98</v>
      </c>
      <c r="B18" s="0" t="s">
        <v>105</v>
      </c>
      <c r="C18" s="0" t="n">
        <f aca="false">SUMIFS(Fact_PreSortWeights!$E$2:$E$186,Fact_PreSortWeights!$C$2:$C$186,A18,Fact_PreSortWeights!$B$2:$B$186,B18)</f>
        <v>0</v>
      </c>
      <c r="D18" s="0" t="n">
        <f aca="false">SUMIFS(Fact_SortedWeights!$E$2:$E$89,Fact_SortedWeights!$C$2:$C$89,A18,Fact_SortedWeights!$B$2:$B$89,B18)</f>
        <v>0</v>
      </c>
      <c r="E18" s="0" t="n">
        <f aca="false">D18-C18</f>
        <v>0</v>
      </c>
      <c r="F18" s="0" t="str">
        <f aca="false">IF(C18=0,"n/a",E18/C18)</f>
        <v>n/a</v>
      </c>
      <c r="G18" s="0" t="str">
        <f aca="false">IF(AND(C18=0,D18=0),"no data yet",IF(C18=0,"no presort data",IF(D18=0,"NOT YET SORTED",IF(ABS(F18)&gt;0.15,"CHECK &gt;15% variance","OK"))))</f>
        <v>no data yet</v>
      </c>
    </row>
    <row r="19" customFormat="false" ht="15" hidden="false" customHeight="false" outlineLevel="0" collapsed="false">
      <c r="A19" s="0" t="s">
        <v>98</v>
      </c>
      <c r="B19" s="0" t="s">
        <v>106</v>
      </c>
      <c r="C19" s="0" t="n">
        <f aca="false">SUMIFS(Fact_PreSortWeights!$E$2:$E$186,Fact_PreSortWeights!$C$2:$C$186,A19,Fact_PreSortWeights!$B$2:$B$186,B19)</f>
        <v>0</v>
      </c>
      <c r="D19" s="0" t="n">
        <f aca="false">SUMIFS(Fact_SortedWeights!$E$2:$E$89,Fact_SortedWeights!$C$2:$C$89,A19,Fact_SortedWeights!$B$2:$B$89,B19)</f>
        <v>0</v>
      </c>
      <c r="E19" s="0" t="n">
        <f aca="false">D19-C19</f>
        <v>0</v>
      </c>
      <c r="F19" s="0" t="str">
        <f aca="false">IF(C19=0,"n/a",E19/C19)</f>
        <v>n/a</v>
      </c>
      <c r="G19" s="0" t="str">
        <f aca="false">IF(AND(C19=0,D19=0),"no data yet",IF(C19=0,"no presort data",IF(D19=0,"NOT YET SORTED",IF(ABS(F19)&gt;0.15,"CHECK &gt;15% variance","OK"))))</f>
        <v>no data yet</v>
      </c>
    </row>
    <row r="20" customFormat="false" ht="15" hidden="false" customHeight="false" outlineLevel="0" collapsed="false">
      <c r="A20" s="0" t="s">
        <v>98</v>
      </c>
      <c r="B20" s="0" t="s">
        <v>107</v>
      </c>
      <c r="C20" s="0" t="n">
        <f aca="false">SUMIFS(Fact_PreSortWeights!$E$2:$E$186,Fact_PreSortWeights!$C$2:$C$186,A20,Fact_PreSortWeights!$B$2:$B$186,B20)</f>
        <v>0</v>
      </c>
      <c r="D20" s="0" t="n">
        <f aca="false">SUMIFS(Fact_SortedWeights!$E$2:$E$89,Fact_SortedWeights!$C$2:$C$89,A20,Fact_SortedWeights!$B$2:$B$89,B20)</f>
        <v>0</v>
      </c>
      <c r="E20" s="0" t="n">
        <f aca="false">D20-C20</f>
        <v>0</v>
      </c>
      <c r="F20" s="0" t="str">
        <f aca="false">IF(C20=0,"n/a",E20/C20)</f>
        <v>n/a</v>
      </c>
      <c r="G20" s="0" t="str">
        <f aca="false">IF(AND(C20=0,D20=0),"no data yet",IF(C20=0,"no presort data",IF(D20=0,"NOT YET SORTED",IF(ABS(F20)&gt;0.15,"CHECK &gt;15% variance","OK"))))</f>
        <v>no data yet</v>
      </c>
    </row>
    <row r="21" customFormat="false" ht="15" hidden="false" customHeight="false" outlineLevel="0" collapsed="false">
      <c r="A21" s="0" t="s">
        <v>98</v>
      </c>
      <c r="B21" s="0" t="s">
        <v>108</v>
      </c>
      <c r="C21" s="0" t="n">
        <f aca="false">SUMIFS(Fact_PreSortWeights!$E$2:$E$186,Fact_PreSortWeights!$C$2:$C$186,A21,Fact_PreSortWeights!$B$2:$B$186,B21)</f>
        <v>0</v>
      </c>
      <c r="D21" s="0" t="n">
        <f aca="false">SUMIFS(Fact_SortedWeights!$E$2:$E$89,Fact_SortedWeights!$C$2:$C$89,A21,Fact_SortedWeights!$B$2:$B$89,B21)</f>
        <v>0</v>
      </c>
      <c r="E21" s="0" t="n">
        <f aca="false">D21-C21</f>
        <v>0</v>
      </c>
      <c r="F21" s="0" t="str">
        <f aca="false">IF(C21=0,"n/a",E21/C21)</f>
        <v>n/a</v>
      </c>
      <c r="G21" s="0" t="str">
        <f aca="false">IF(AND(C21=0,D21=0),"no data yet",IF(C21=0,"no presort data",IF(D21=0,"NOT YET SORTED",IF(ABS(F21)&gt;0.15,"CHECK &gt;15% variance","OK"))))</f>
        <v>no data yet</v>
      </c>
    </row>
    <row r="22" customFormat="false" ht="15" hidden="false" customHeight="false" outlineLevel="0" collapsed="false">
      <c r="A22" s="0" t="s">
        <v>100</v>
      </c>
      <c r="B22" s="0" t="s">
        <v>103</v>
      </c>
      <c r="C22" s="0" t="n">
        <f aca="false">SUMIFS(Fact_PreSortWeights!$E$2:$E$186,Fact_PreSortWeights!$C$2:$C$186,A22,Fact_PreSortWeights!$B$2:$B$186,B22)</f>
        <v>0</v>
      </c>
      <c r="D22" s="0" t="n">
        <f aca="false">SUMIFS(Fact_SortedWeights!$E$2:$E$89,Fact_SortedWeights!$C$2:$C$89,A22,Fact_SortedWeights!$B$2:$B$89,B22)</f>
        <v>0</v>
      </c>
      <c r="E22" s="0" t="n">
        <f aca="false">D22-C22</f>
        <v>0</v>
      </c>
      <c r="F22" s="0" t="str">
        <f aca="false">IF(C22=0,"n/a",E22/C22)</f>
        <v>n/a</v>
      </c>
      <c r="G22" s="0" t="str">
        <f aca="false">IF(AND(C22=0,D22=0),"no data yet",IF(C22=0,"no presort data",IF(D22=0,"NOT YET SORTED",IF(ABS(F22)&gt;0.15,"CHECK &gt;15% variance","OK"))))</f>
        <v>no data yet</v>
      </c>
    </row>
    <row r="23" customFormat="false" ht="15" hidden="false" customHeight="false" outlineLevel="0" collapsed="false">
      <c r="A23" s="0" t="s">
        <v>100</v>
      </c>
      <c r="B23" s="0" t="s">
        <v>104</v>
      </c>
      <c r="C23" s="0" t="n">
        <f aca="false">SUMIFS(Fact_PreSortWeights!$E$2:$E$186,Fact_PreSortWeights!$C$2:$C$186,A23,Fact_PreSortWeights!$B$2:$B$186,B23)</f>
        <v>0</v>
      </c>
      <c r="D23" s="0" t="n">
        <f aca="false">SUMIFS(Fact_SortedWeights!$E$2:$E$89,Fact_SortedWeights!$C$2:$C$89,A23,Fact_SortedWeights!$B$2:$B$89,B23)</f>
        <v>0</v>
      </c>
      <c r="E23" s="0" t="n">
        <f aca="false">D23-C23</f>
        <v>0</v>
      </c>
      <c r="F23" s="0" t="str">
        <f aca="false">IF(C23=0,"n/a",E23/C23)</f>
        <v>n/a</v>
      </c>
      <c r="G23" s="0" t="str">
        <f aca="false">IF(AND(C23=0,D23=0),"no data yet",IF(C23=0,"no presort data",IF(D23=0,"NOT YET SORTED",IF(ABS(F23)&gt;0.15,"CHECK &gt;15% variance","OK"))))</f>
        <v>no data yet</v>
      </c>
    </row>
    <row r="24" customFormat="false" ht="15" hidden="false" customHeight="false" outlineLevel="0" collapsed="false">
      <c r="A24" s="0" t="s">
        <v>100</v>
      </c>
      <c r="B24" s="0" t="s">
        <v>105</v>
      </c>
      <c r="C24" s="0" t="n">
        <f aca="false">SUMIFS(Fact_PreSortWeights!$E$2:$E$186,Fact_PreSortWeights!$C$2:$C$186,A24,Fact_PreSortWeights!$B$2:$B$186,B24)</f>
        <v>0</v>
      </c>
      <c r="D24" s="0" t="n">
        <f aca="false">SUMIFS(Fact_SortedWeights!$E$2:$E$89,Fact_SortedWeights!$C$2:$C$89,A24,Fact_SortedWeights!$B$2:$B$89,B24)</f>
        <v>0</v>
      </c>
      <c r="E24" s="0" t="n">
        <f aca="false">D24-C24</f>
        <v>0</v>
      </c>
      <c r="F24" s="0" t="str">
        <f aca="false">IF(C24=0,"n/a",E24/C24)</f>
        <v>n/a</v>
      </c>
      <c r="G24" s="0" t="str">
        <f aca="false">IF(AND(C24=0,D24=0),"no data yet",IF(C24=0,"no presort data",IF(D24=0,"NOT YET SORTED",IF(ABS(F24)&gt;0.15,"CHECK &gt;15% variance","OK"))))</f>
        <v>no data yet</v>
      </c>
    </row>
    <row r="25" customFormat="false" ht="15" hidden="false" customHeight="false" outlineLevel="0" collapsed="false">
      <c r="A25" s="0" t="s">
        <v>100</v>
      </c>
      <c r="B25" s="0" t="s">
        <v>106</v>
      </c>
      <c r="C25" s="0" t="n">
        <f aca="false">SUMIFS(Fact_PreSortWeights!$E$2:$E$186,Fact_PreSortWeights!$C$2:$C$186,A25,Fact_PreSortWeights!$B$2:$B$186,B25)</f>
        <v>0</v>
      </c>
      <c r="D25" s="0" t="n">
        <f aca="false">SUMIFS(Fact_SortedWeights!$E$2:$E$89,Fact_SortedWeights!$C$2:$C$89,A25,Fact_SortedWeights!$B$2:$B$89,B25)</f>
        <v>0</v>
      </c>
      <c r="E25" s="0" t="n">
        <f aca="false">D25-C25</f>
        <v>0</v>
      </c>
      <c r="F25" s="0" t="str">
        <f aca="false">IF(C25=0,"n/a",E25/C25)</f>
        <v>n/a</v>
      </c>
      <c r="G25" s="0" t="str">
        <f aca="false">IF(AND(C25=0,D25=0),"no data yet",IF(C25=0,"no presort data",IF(D25=0,"NOT YET SORTED",IF(ABS(F25)&gt;0.15,"CHECK &gt;15% variance","OK"))))</f>
        <v>no data yet</v>
      </c>
    </row>
    <row r="26" customFormat="false" ht="15" hidden="false" customHeight="false" outlineLevel="0" collapsed="false">
      <c r="A26" s="0" t="s">
        <v>100</v>
      </c>
      <c r="B26" s="0" t="s">
        <v>107</v>
      </c>
      <c r="C26" s="0" t="n">
        <f aca="false">SUMIFS(Fact_PreSortWeights!$E$2:$E$186,Fact_PreSortWeights!$C$2:$C$186,A26,Fact_PreSortWeights!$B$2:$B$186,B26)</f>
        <v>0</v>
      </c>
      <c r="D26" s="0" t="n">
        <f aca="false">SUMIFS(Fact_SortedWeights!$E$2:$E$89,Fact_SortedWeights!$C$2:$C$89,A26,Fact_SortedWeights!$B$2:$B$89,B26)</f>
        <v>0</v>
      </c>
      <c r="E26" s="0" t="n">
        <f aca="false">D26-C26</f>
        <v>0</v>
      </c>
      <c r="F26" s="0" t="str">
        <f aca="false">IF(C26=0,"n/a",E26/C26)</f>
        <v>n/a</v>
      </c>
      <c r="G26" s="0" t="str">
        <f aca="false">IF(AND(C26=0,D26=0),"no data yet",IF(C26=0,"no presort data",IF(D26=0,"NOT YET SORTED",IF(ABS(F26)&gt;0.15,"CHECK &gt;15% variance","OK"))))</f>
        <v>no data yet</v>
      </c>
    </row>
    <row r="27" customFormat="false" ht="15" hidden="false" customHeight="false" outlineLevel="0" collapsed="false">
      <c r="A27" s="0" t="s">
        <v>100</v>
      </c>
      <c r="B27" s="0" t="s">
        <v>108</v>
      </c>
      <c r="C27" s="0" t="n">
        <f aca="false">SUMIFS(Fact_PreSortWeights!$E$2:$E$186,Fact_PreSortWeights!$C$2:$C$186,A27,Fact_PreSortWeights!$B$2:$B$186,B27)</f>
        <v>0</v>
      </c>
      <c r="D27" s="0" t="n">
        <f aca="false">SUMIFS(Fact_SortedWeights!$E$2:$E$89,Fact_SortedWeights!$C$2:$C$89,A27,Fact_SortedWeights!$B$2:$B$89,B27)</f>
        <v>0</v>
      </c>
      <c r="E27" s="0" t="n">
        <f aca="false">D27-C27</f>
        <v>0</v>
      </c>
      <c r="F27" s="0" t="str">
        <f aca="false">IF(C27=0,"n/a",E27/C27)</f>
        <v>n/a</v>
      </c>
      <c r="G27" s="0" t="str">
        <f aca="false">IF(AND(C27=0,D27=0),"no data yet",IF(C27=0,"no presort data",IF(D27=0,"NOT YET SORTED",IF(ABS(F27)&gt;0.15,"CHECK &gt;15% variance","OK"))))</f>
        <v>no data yet</v>
      </c>
    </row>
    <row r="28" customFormat="false" ht="15" hidden="false" customHeight="false" outlineLevel="0" collapsed="false">
      <c r="A28" s="0" t="s">
        <v>101</v>
      </c>
      <c r="B28" s="0" t="s">
        <v>103</v>
      </c>
      <c r="C28" s="0" t="n">
        <f aca="false">SUMIFS(Fact_PreSortWeights!$E$2:$E$186,Fact_PreSortWeights!$C$2:$C$186,A28,Fact_PreSortWeights!$B$2:$B$186,B28)</f>
        <v>0</v>
      </c>
      <c r="D28" s="0" t="n">
        <f aca="false">SUMIFS(Fact_SortedWeights!$E$2:$E$89,Fact_SortedWeights!$C$2:$C$89,A28,Fact_SortedWeights!$B$2:$B$89,B28)</f>
        <v>0</v>
      </c>
      <c r="E28" s="0" t="n">
        <f aca="false">D28-C28</f>
        <v>0</v>
      </c>
      <c r="F28" s="0" t="str">
        <f aca="false">IF(C28=0,"n/a",E28/C28)</f>
        <v>n/a</v>
      </c>
      <c r="G28" s="0" t="str">
        <f aca="false">IF(AND(C28=0,D28=0),"no data yet",IF(C28=0,"no presort data",IF(D28=0,"NOT YET SORTED",IF(ABS(F28)&gt;0.15,"CHECK &gt;15% variance","OK"))))</f>
        <v>no data yet</v>
      </c>
    </row>
    <row r="29" customFormat="false" ht="15" hidden="false" customHeight="false" outlineLevel="0" collapsed="false">
      <c r="A29" s="0" t="s">
        <v>101</v>
      </c>
      <c r="B29" s="0" t="s">
        <v>104</v>
      </c>
      <c r="C29" s="0" t="n">
        <f aca="false">SUMIFS(Fact_PreSortWeights!$E$2:$E$186,Fact_PreSortWeights!$C$2:$C$186,A29,Fact_PreSortWeights!$B$2:$B$186,B29)</f>
        <v>0</v>
      </c>
      <c r="D29" s="0" t="n">
        <f aca="false">SUMIFS(Fact_SortedWeights!$E$2:$E$89,Fact_SortedWeights!$C$2:$C$89,A29,Fact_SortedWeights!$B$2:$B$89,B29)</f>
        <v>0</v>
      </c>
      <c r="E29" s="0" t="n">
        <f aca="false">D29-C29</f>
        <v>0</v>
      </c>
      <c r="F29" s="0" t="str">
        <f aca="false">IF(C29=0,"n/a",E29/C29)</f>
        <v>n/a</v>
      </c>
      <c r="G29" s="0" t="str">
        <f aca="false">IF(AND(C29=0,D29=0),"no data yet",IF(C29=0,"no presort data",IF(D29=0,"NOT YET SORTED",IF(ABS(F29)&gt;0.15,"CHECK &gt;15% variance","OK"))))</f>
        <v>no data yet</v>
      </c>
    </row>
    <row r="30" customFormat="false" ht="15" hidden="false" customHeight="false" outlineLevel="0" collapsed="false">
      <c r="A30" s="0" t="s">
        <v>101</v>
      </c>
      <c r="B30" s="0" t="s">
        <v>105</v>
      </c>
      <c r="C30" s="0" t="n">
        <f aca="false">SUMIFS(Fact_PreSortWeights!$E$2:$E$186,Fact_PreSortWeights!$C$2:$C$186,A30,Fact_PreSortWeights!$B$2:$B$186,B30)</f>
        <v>207.3</v>
      </c>
      <c r="D30" s="0" t="n">
        <f aca="false">SUMIFS(Fact_SortedWeights!$E$2:$E$89,Fact_SortedWeights!$C$2:$C$89,A30,Fact_SortedWeights!$B$2:$B$89,B30)</f>
        <v>0</v>
      </c>
      <c r="E30" s="0" t="n">
        <f aca="false">D30-C30</f>
        <v>-207.3</v>
      </c>
      <c r="F30" s="0" t="n">
        <f aca="false">IF(C30=0,"n/a",E30/C30)</f>
        <v>-1</v>
      </c>
      <c r="G30" s="0" t="str">
        <f aca="false">IF(AND(C30=0,D30=0),"no data yet",IF(C30=0,"no presort data",IF(D30=0,"NOT YET SORTED",IF(ABS(F30)&gt;0.15,"CHECK &gt;15% variance","OK"))))</f>
        <v>NOT YET SORTED</v>
      </c>
    </row>
    <row r="31" customFormat="false" ht="15" hidden="false" customHeight="false" outlineLevel="0" collapsed="false">
      <c r="A31" s="0" t="s">
        <v>101</v>
      </c>
      <c r="B31" s="0" t="s">
        <v>106</v>
      </c>
      <c r="C31" s="0" t="n">
        <f aca="false">SUMIFS(Fact_PreSortWeights!$E$2:$E$186,Fact_PreSortWeights!$C$2:$C$186,A31,Fact_PreSortWeights!$B$2:$B$186,B31)</f>
        <v>0</v>
      </c>
      <c r="D31" s="0" t="n">
        <f aca="false">SUMIFS(Fact_SortedWeights!$E$2:$E$89,Fact_SortedWeights!$C$2:$C$89,A31,Fact_SortedWeights!$B$2:$B$89,B31)</f>
        <v>0</v>
      </c>
      <c r="E31" s="0" t="n">
        <f aca="false">D31-C31</f>
        <v>0</v>
      </c>
      <c r="F31" s="0" t="str">
        <f aca="false">IF(C31=0,"n/a",E31/C31)</f>
        <v>n/a</v>
      </c>
      <c r="G31" s="0" t="str">
        <f aca="false">IF(AND(C31=0,D31=0),"no data yet",IF(C31=0,"no presort data",IF(D31=0,"NOT YET SORTED",IF(ABS(F31)&gt;0.15,"CHECK &gt;15% variance","OK"))))</f>
        <v>no data yet</v>
      </c>
    </row>
    <row r="32" customFormat="false" ht="15" hidden="false" customHeight="false" outlineLevel="0" collapsed="false">
      <c r="A32" s="0" t="s">
        <v>101</v>
      </c>
      <c r="B32" s="0" t="s">
        <v>107</v>
      </c>
      <c r="C32" s="0" t="n">
        <f aca="false">SUMIFS(Fact_PreSortWeights!$E$2:$E$186,Fact_PreSortWeights!$C$2:$C$186,A32,Fact_PreSortWeights!$B$2:$B$186,B32)</f>
        <v>0</v>
      </c>
      <c r="D32" s="0" t="n">
        <f aca="false">SUMIFS(Fact_SortedWeights!$E$2:$E$89,Fact_SortedWeights!$C$2:$C$89,A32,Fact_SortedWeights!$B$2:$B$89,B32)</f>
        <v>0</v>
      </c>
      <c r="E32" s="0" t="n">
        <f aca="false">D32-C32</f>
        <v>0</v>
      </c>
      <c r="F32" s="0" t="str">
        <f aca="false">IF(C32=0,"n/a",E32/C32)</f>
        <v>n/a</v>
      </c>
      <c r="G32" s="0" t="str">
        <f aca="false">IF(AND(C32=0,D32=0),"no data yet",IF(C32=0,"no presort data",IF(D32=0,"NOT YET SORTED",IF(ABS(F32)&gt;0.15,"CHECK &gt;15% variance","OK"))))</f>
        <v>no data yet</v>
      </c>
    </row>
    <row r="33" customFormat="false" ht="15" hidden="false" customHeight="false" outlineLevel="0" collapsed="false">
      <c r="A33" s="0" t="s">
        <v>101</v>
      </c>
      <c r="B33" s="0" t="s">
        <v>108</v>
      </c>
      <c r="C33" s="0" t="n">
        <f aca="false">SUMIFS(Fact_PreSortWeights!$E$2:$E$186,Fact_PreSortWeights!$C$2:$C$186,A33,Fact_PreSortWeights!$B$2:$B$186,B33)</f>
        <v>0</v>
      </c>
      <c r="D33" s="0" t="n">
        <f aca="false">SUMIFS(Fact_SortedWeights!$E$2:$E$89,Fact_SortedWeights!$C$2:$C$89,A33,Fact_SortedWeights!$B$2:$B$89,B33)</f>
        <v>0</v>
      </c>
      <c r="E33" s="0" t="n">
        <f aca="false">D33-C33</f>
        <v>0</v>
      </c>
      <c r="F33" s="0" t="str">
        <f aca="false">IF(C33=0,"n/a",E33/C33)</f>
        <v>n/a</v>
      </c>
      <c r="G33" s="0" t="str">
        <f aca="false">IF(AND(C33=0,D33=0),"no data yet",IF(C33=0,"no presort data",IF(D33=0,"NOT YET SORTED",IF(ABS(F33)&gt;0.15,"CHECK &gt;15% variance","OK"))))</f>
        <v>no data yet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