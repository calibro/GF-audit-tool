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Info" sheetId="1" state="visible" r:id="rId3"/>
    <sheet name="Materials Master" sheetId="2" state="visible" r:id="rId4"/>
    <sheet name="Areas" sheetId="3" state="visible" r:id="rId5"/>
    <sheet name="Streams" sheetId="4" state="visible" r:id="rId6"/>
    <sheet name="Fact_SortedWeights" sheetId="5" state="visible" r:id="rId7"/>
    <sheet name="Fact_PreSortWeights" sheetId="6" state="visible" r:id="rId8"/>
    <sheet name="Fact_Extrapolated" sheetId="7" state="visible" r:id="rId9"/>
    <sheet name="Overall Summary" sheetId="8" state="visible" r:id="rId10"/>
    <sheet name="OFFICES Summary" sheetId="9" state="visible" r:id="rId11"/>
    <sheet name="CAFÉ BOH Summary" sheetId="10" state="visible" r:id="rId12"/>
    <sheet name="LOCATION C Summary" sheetId="11" state="visible" r:id="rId13"/>
    <sheet name="LOCATION D Summary" sheetId="12" state="visible" r:id="rId14"/>
    <sheet name="BATHROOM Summary" sheetId="13" state="visible" r:id="rId15"/>
    <sheet name="Notes &amp; Assumptions" sheetId="14" state="visible" r:id="rId16"/>
    <sheet name="QA_Reconciliation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<sst xmlns="http://schemas.openxmlformats.org/spreadsheetml/2006/main" count="3160" uniqueCount="173">
  <si>
    <t xml:space="preserve">Audit Info</t>
  </si>
  <si>
    <t xml:space="preserve">Client Name</t>
  </si>
  <si>
    <t xml:space="preserve">[Client Name]</t>
  </si>
  <si>
    <t xml:space="preserve">Site Name</t>
  </si>
  <si>
    <t xml:space="preserve">Scenarios Demo Site</t>
  </si>
  <si>
    <t xml:space="preserve">Site Address</t>
  </si>
  <si>
    <t xml:space="preserve">Hauler</t>
  </si>
  <si>
    <t xml:space="preserve">Tenant/Area Breakouts</t>
  </si>
  <si>
    <t xml:space="preserve">Auditors</t>
  </si>
  <si>
    <t xml:space="preserve">Prototype walkthrough</t>
  </si>
  <si>
    <t xml:space="preserve">Audit Date</t>
  </si>
  <si>
    <t xml:space="preserve">2026-07-23</t>
  </si>
  <si>
    <t xml:space="preserve">Site Occupancy</t>
  </si>
  <si>
    <t xml:space="preserve">Source</t>
  </si>
  <si>
    <t xml:space="preserve">Collected via tablet field form</t>
  </si>
  <si>
    <t xml:space="preserve">material_id</t>
  </si>
  <si>
    <t xml:space="preserve">material_name</t>
  </si>
  <si>
    <t xml:space="preserve">material_category</t>
  </si>
  <si>
    <t xml:space="preserve">currently_divertible</t>
  </si>
  <si>
    <t xml:space="preserve">accepted_in_program</t>
  </si>
  <si>
    <t xml:space="preserve">target: Trash</t>
  </si>
  <si>
    <t xml:space="preserve">target: GMPC Recycling</t>
  </si>
  <si>
    <t xml:space="preserve">target: Organics Recycling</t>
  </si>
  <si>
    <t xml:space="preserve">target: Cardboard Recycling</t>
  </si>
  <si>
    <t xml:space="preserve">target: Paper Recycling</t>
  </si>
  <si>
    <t xml:space="preserve">target: Terracycle</t>
  </si>
  <si>
    <t xml:space="preserve">FIB01</t>
  </si>
  <si>
    <t xml:space="preserve">Corrugated Cardboard</t>
  </si>
  <si>
    <t xml:space="preserve">Fibers</t>
  </si>
  <si>
    <t xml:space="preserve">Yes</t>
  </si>
  <si>
    <t xml:space="preserve">No</t>
  </si>
  <si>
    <t xml:space="preserve">FIB02</t>
  </si>
  <si>
    <t xml:space="preserve">Soiled Cardboard</t>
  </si>
  <si>
    <t xml:space="preserve">FIB03</t>
  </si>
  <si>
    <t xml:space="preserve">Waxed Cardboard</t>
  </si>
  <si>
    <t xml:space="preserve">FIB04</t>
  </si>
  <si>
    <t xml:space="preserve">Mixed Paper</t>
  </si>
  <si>
    <t xml:space="preserve">FIB05</t>
  </si>
  <si>
    <t xml:space="preserve">Soiled Paper</t>
  </si>
  <si>
    <t xml:space="preserve">FIB06</t>
  </si>
  <si>
    <t xml:space="preserve">Beverage Cartons</t>
  </si>
  <si>
    <t xml:space="preserve">FIB07</t>
  </si>
  <si>
    <t xml:space="preserve">Soiled Beverage Cartons</t>
  </si>
  <si>
    <t xml:space="preserve">FIB08</t>
  </si>
  <si>
    <t xml:space="preserve">Paper Cups / Other Coated Paper Containers</t>
  </si>
  <si>
    <t xml:space="preserve">GLA01</t>
  </si>
  <si>
    <t xml:space="preserve">Glass Bottles &amp; Jars</t>
  </si>
  <si>
    <t xml:space="preserve">Glass</t>
  </si>
  <si>
    <t xml:space="preserve">GLA02</t>
  </si>
  <si>
    <t xml:space="preserve">Soiled Glass</t>
  </si>
  <si>
    <t xml:space="preserve">MET01</t>
  </si>
  <si>
    <t xml:space="preserve">Aluminum &amp; Bi-Metal Containers</t>
  </si>
  <si>
    <t xml:space="preserve">Metals</t>
  </si>
  <si>
    <t xml:space="preserve">MET02</t>
  </si>
  <si>
    <t xml:space="preserve">Soiled Metals</t>
  </si>
  <si>
    <t xml:space="preserve">PLA01</t>
  </si>
  <si>
    <t xml:space="preserve">Rigid Plastics (1-6)</t>
  </si>
  <si>
    <t xml:space="preserve">Plastics</t>
  </si>
  <si>
    <t xml:space="preserve">PLA02</t>
  </si>
  <si>
    <t xml:space="preserve">Soiled Rigid Plastics</t>
  </si>
  <si>
    <t xml:space="preserve">PLA03</t>
  </si>
  <si>
    <t xml:space="preserve">Film Plastics</t>
  </si>
  <si>
    <t xml:space="preserve">PLA04</t>
  </si>
  <si>
    <t xml:space="preserve">Foams</t>
  </si>
  <si>
    <t xml:space="preserve">ORG01</t>
  </si>
  <si>
    <t xml:space="preserve">Food Waste</t>
  </si>
  <si>
    <t xml:space="preserve">Organics</t>
  </si>
  <si>
    <t xml:space="preserve">ORG02</t>
  </si>
  <si>
    <t xml:space="preserve">Paper Fibers and Food-Soiled Paper (FSP)</t>
  </si>
  <si>
    <t xml:space="preserve">ORG03</t>
  </si>
  <si>
    <t xml:space="preserve">Fiber-based Compostable Serviceware</t>
  </si>
  <si>
    <t xml:space="preserve">ORG04</t>
  </si>
  <si>
    <t xml:space="preserve">PLA Compostable Serviceware</t>
  </si>
  <si>
    <t xml:space="preserve">UNA01</t>
  </si>
  <si>
    <t xml:space="preserve">E/U Waste</t>
  </si>
  <si>
    <t xml:space="preserve">Unacceptable</t>
  </si>
  <si>
    <t xml:space="preserve">UNA02</t>
  </si>
  <si>
    <t xml:space="preserve">Textiles</t>
  </si>
  <si>
    <t xml:space="preserve">UNA03</t>
  </si>
  <si>
    <t xml:space="preserve">Other Unacceptable (specify)</t>
  </si>
  <si>
    <t xml:space="preserve">UNA04</t>
  </si>
  <si>
    <t xml:space="preserve">Liquids</t>
  </si>
  <si>
    <t xml:space="preserve">OTH01</t>
  </si>
  <si>
    <t xml:space="preserve">Snack Wrappers (Composites)</t>
  </si>
  <si>
    <t xml:space="preserve">Other</t>
  </si>
  <si>
    <t xml:space="preserve">OTH02</t>
  </si>
  <si>
    <t xml:space="preserve">Other/Residual Materials</t>
  </si>
  <si>
    <t xml:space="preserve">area_id</t>
  </si>
  <si>
    <t xml:space="preserve">area_name</t>
  </si>
  <si>
    <t xml:space="preserve">rollup_group</t>
  </si>
  <si>
    <t xml:space="preserve">default_material_id</t>
  </si>
  <si>
    <t xml:space="preserve">OFFICES</t>
  </si>
  <si>
    <t xml:space="preserve">Rest of Building</t>
  </si>
  <si>
    <t xml:space="preserve">CAFE_BOH</t>
  </si>
  <si>
    <t xml:space="preserve">CAFÉ BOH</t>
  </si>
  <si>
    <t xml:space="preserve">BOH</t>
  </si>
  <si>
    <t xml:space="preserve">LOC_C</t>
  </si>
  <si>
    <t xml:space="preserve">LOCATION C</t>
  </si>
  <si>
    <t xml:space="preserve">LOC_D</t>
  </si>
  <si>
    <t xml:space="preserve">LOCATION D</t>
  </si>
  <si>
    <t xml:space="preserve">BATHROOM</t>
  </si>
  <si>
    <t xml:space="preserve">stream_name</t>
  </si>
  <si>
    <t xml:space="preserve">combined_weigh_sort</t>
  </si>
  <si>
    <t xml:space="preserve">Trash</t>
  </si>
  <si>
    <t xml:space="preserve">GMPC Recycling</t>
  </si>
  <si>
    <t xml:space="preserve">Organics Recycling</t>
  </si>
  <si>
    <t xml:space="preserve">Cardboard Recycling</t>
  </si>
  <si>
    <t xml:space="preserve">Paper Recycling</t>
  </si>
  <si>
    <t xml:space="preserve">Terracycle</t>
  </si>
  <si>
    <t xml:space="preserve">audit_id</t>
  </si>
  <si>
    <t xml:space="preserve">stream</t>
  </si>
  <si>
    <t xml:space="preserve">area</t>
  </si>
  <si>
    <t xml:space="preserve">weight_lbs</t>
  </si>
  <si>
    <t xml:space="preserve">belongs_here</t>
  </si>
  <si>
    <t xml:space="preserve">non_representative</t>
  </si>
  <si>
    <t xml:space="preserve">notes</t>
  </si>
  <si>
    <t xml:space="preserve">120PARK-2025</t>
  </si>
  <si>
    <t xml:space="preserve">Typical sample</t>
  </si>
  <si>
    <t xml:space="preserve">One broken bottle found in the sample bag</t>
  </si>
  <si>
    <t xml:space="preserve">Weighed and sorted directly, no bagging step</t>
  </si>
  <si>
    <t xml:space="preserve">Also accepted here at this site</t>
  </si>
  <si>
    <t xml:space="preserve">bag_number</t>
  </si>
  <si>
    <t xml:space="preserve">known_material_id</t>
  </si>
  <si>
    <t xml:space="preserve">Regular bag 1</t>
  </si>
  <si>
    <t xml:space="preserve">Regular bag 2</t>
  </si>
  <si>
    <t xml:space="preserve">Regular bag 3</t>
  </si>
  <si>
    <t xml:space="preserve">Regular bag 4</t>
  </si>
  <si>
    <t xml:space="preserve">Regular bag 5</t>
  </si>
  <si>
    <t xml:space="preserve">Regular bag 6</t>
  </si>
  <si>
    <t xml:space="preserve">Regular bag 7</t>
  </si>
  <si>
    <t xml:space="preserve">Regular bag 8</t>
  </si>
  <si>
    <t xml:space="preserve">Regular bag 9</t>
  </si>
  <si>
    <t xml:space="preserve">Regular bag 10</t>
  </si>
  <si>
    <t xml:space="preserve">Known to be all cardboard</t>
  </si>
  <si>
    <t xml:space="preserve">Not sorted for sanitary reasons</t>
  </si>
  <si>
    <t xml:space="preserve">extrapolated_weight_lbs</t>
  </si>
  <si>
    <t xml:space="preserve">correctly_placed</t>
  </si>
  <si>
    <t xml:space="preserve">Total Waste Generation — Day of Audit</t>
  </si>
  <si>
    <t xml:space="preserve">Waste Stream</t>
  </si>
  <si>
    <t xml:space="preserve">Waste Stream Weight (lbs.)</t>
  </si>
  <si>
    <t xml:space="preserve">% of Total Waste Stream</t>
  </si>
  <si>
    <t xml:space="preserve">Weight of Material Diverted (lbs.)</t>
  </si>
  <si>
    <t xml:space="preserve">% of Material Diverted</t>
  </si>
  <si>
    <t xml:space="preserve">Total</t>
  </si>
  <si>
    <t xml:space="preserve">Waste Characterization</t>
  </si>
  <si>
    <t xml:space="preserve">Material Type Category</t>
  </si>
  <si>
    <t xml:space="preserve">Material Type</t>
  </si>
  <si>
    <t xml:space="preserve">Total Material Type Weight (lbs.)</t>
  </si>
  <si>
    <t xml:space="preserve">Currently Divertible?</t>
  </si>
  <si>
    <t xml:space="preserve">Total Waste Consumption</t>
  </si>
  <si>
    <t xml:space="preserve">Unsorted (not broken down by material)</t>
  </si>
  <si>
    <t xml:space="preserve">Waste Stream Contamination</t>
  </si>
  <si>
    <t xml:space="preserve">Generation Area</t>
  </si>
  <si>
    <t xml:space="preserve">Current v Potential Diversion</t>
  </si>
  <si>
    <t xml:space="preserve">Current Diversion Rate</t>
  </si>
  <si>
    <t xml:space="preserve">Potential Diversion Rate</t>
  </si>
  <si>
    <t xml:space="preserve">Current v Potential (Percentage Point) Gap</t>
  </si>
  <si>
    <t xml:space="preserve">Notes &amp; Assumptions</t>
  </si>
  <si>
    <t xml:space="preserve">Total Waste Generation reflects the full pre-sort weight for each stream — everything that went on the scale — not just the portion that was hand-sorted into materials. The material breakdown is extrapolated: whatever percentage each material represented in the sorted sample is applied to the full pre-sort weight for that area/stream.</t>
  </si>
  <si>
    <t xml:space="preserve">Cardboard Recycling is weighed loose rather than bagged, so its "pre-sort total" is the same as its sorted total (100% sorted by definition, no extrapolation needed).</t>
  </si>
  <si>
    <t xml:space="preserve">GMPC Recycling, Cardboard Recycling, and Paper Recycling are treated as the same underlying dry-recyclables program for contamination purposes (collected differently — bagged vs. loose — but processed together) — a recyclable found in any of the three is not counted as contamination. Terracycle is a separate specialty program with its own accepted materials.</t>
  </si>
  <si>
    <t xml:space="preserve">Any area with pre-sort weight but zero sorted-material rows (nothing was hand-sorted there) is reported as its own "[Area] Waste" line rather than folded into a stream it was never actually sorted into.</t>
  </si>
  <si>
    <t xml:space="preserve">"Currently Divertible?" is pulled live from the Materials Master tab for this site’s specific recycling program, so it stays consistent across every summary sheet automatically.</t>
  </si>
  <si>
    <t xml:space="preserve">QA — Pre-sort pool weight vs. representative sorted sample</t>
  </si>
  <si>
    <t xml:space="preserve">presort_pool_lbs</t>
  </si>
  <si>
    <t xml:space="preserve">known_composition_lbs</t>
  </si>
  <si>
    <t xml:space="preserve">sorted_representative_lbs</t>
  </si>
  <si>
    <t xml:space="preserve">non_representative_lbs</t>
  </si>
  <si>
    <t xml:space="preserve">variance_lbs</t>
  </si>
  <si>
    <t xml:space="preserve">variance_pct</t>
  </si>
  <si>
    <t xml:space="preserve">flag</t>
  </si>
  <si>
    <t xml:space="preserve">n/a</t>
  </si>
  <si>
    <t xml:space="preserve">combined weigh-and-sort — no separate pre-sort step to compare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</si>
</sst>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</v>
      </c>
      <c r="B3" s="0" t="s">
        <v>2</v>
      </c>
    </row>
    <row r="4" customFormat="false" ht="15" hidden="false" customHeight="false" outlineLevel="0" collapsed="false">
      <c r="A4" s="0" t="s">
        <v>3</v>
      </c>
      <c r="B4" s="0" t="s">
        <v>4</v>
      </c>
    </row>
    <row r="5" customFormat="false" ht="15" hidden="false" customHeight="false" outlineLevel="0" collapsed="false">
      <c r="A5" s="0" t="s">
        <v>5</v>
      </c>
    </row>
    <row r="6" customFormat="false" ht="15" hidden="false" customHeight="false" outlineLevel="0" collapsed="false">
      <c r="A6" s="0" t="s">
        <v>6</v>
      </c>
    </row>
    <row r="7" customFormat="false" ht="15" hidden="false" customHeight="false" outlineLevel="0" collapsed="false">
      <c r="A7" s="0" t="s">
        <v>7</v>
      </c>
    </row>
    <row r="8" customFormat="false" ht="15" hidden="false" customHeight="false" outlineLevel="0" collapsed="false">
      <c r="A8" s="0" t="s">
        <v>8</v>
      </c>
      <c r="B8" s="0" t="s">
        <v>9</v>
      </c>
    </row>
    <row r="9" customFormat="false" ht="15" hidden="false" customHeight="false" outlineLevel="0" collapsed="false">
      <c r="A9" s="0" t="s">
        <v>10</v>
      </c>
      <c r="B9" s="0" t="s">
        <v>11</v>
      </c>
    </row>
    <row r="10" customFormat="false" ht="15" hidden="false" customHeight="false" outlineLevel="0" collapsed="false">
      <c r="A10" s="0" t="s">
        <v>12</v>
      </c>
    </row>
    <row r="11" customFormat="false" ht="15" hidden="false" customHeight="false" outlineLevel="0" collapsed="false">
      <c r="A11" s="0" t="s">
        <v>13</v>
      </c>
      <c r="B11" s="0" t="s">
        <v>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</row>
    <row r="2" customFormat="false" ht="15" hidden="false" customHeight="false" outlineLevel="0" collapsed="false">
      <c r="A2" s="0" t="s">
        <v>26</v>
      </c>
      <c r="B2" s="0" t="s">
        <v>27</v>
      </c>
      <c r="C2" s="0" t="s">
        <v>28</v>
      </c>
      <c r="D2" s="0" t="s">
        <v>29</v>
      </c>
      <c r="E2" s="0" t="s">
        <v>29</v>
      </c>
      <c r="F2" s="0" t="s">
        <v>30</v>
      </c>
      <c r="G2" s="0" t="s">
        <v>29</v>
      </c>
      <c r="H2" s="0" t="s">
        <v>30</v>
      </c>
      <c r="I2" s="0" t="s">
        <v>29</v>
      </c>
      <c r="J2" s="0" t="s">
        <v>29</v>
      </c>
      <c r="K2" s="0" t="s">
        <v>30</v>
      </c>
    </row>
    <row r="3" customFormat="false" ht="15" hidden="false" customHeight="false" outlineLevel="0" collapsed="false">
      <c r="A3" s="0" t="s">
        <v>31</v>
      </c>
      <c r="B3" s="0" t="s">
        <v>32</v>
      </c>
      <c r="C3" s="0" t="s">
        <v>28</v>
      </c>
      <c r="D3" s="0" t="s">
        <v>30</v>
      </c>
      <c r="E3" s="0" t="s">
        <v>30</v>
      </c>
      <c r="F3" s="0" t="s">
        <v>29</v>
      </c>
      <c r="G3" s="0" t="s">
        <v>30</v>
      </c>
      <c r="H3" s="0" t="s">
        <v>30</v>
      </c>
      <c r="I3" s="0" t="s">
        <v>30</v>
      </c>
      <c r="J3" s="0" t="s">
        <v>30</v>
      </c>
      <c r="K3" s="0" t="s">
        <v>30</v>
      </c>
    </row>
    <row r="4" customFormat="false" ht="15" hidden="false" customHeight="false" outlineLevel="0" collapsed="false">
      <c r="A4" s="0" t="s">
        <v>33</v>
      </c>
      <c r="B4" s="0" t="s">
        <v>34</v>
      </c>
      <c r="C4" s="0" t="s">
        <v>28</v>
      </c>
      <c r="D4" s="0" t="s">
        <v>30</v>
      </c>
      <c r="E4" s="0" t="s">
        <v>30</v>
      </c>
      <c r="F4" s="0" t="s">
        <v>29</v>
      </c>
      <c r="G4" s="0" t="s">
        <v>30</v>
      </c>
      <c r="H4" s="0" t="s">
        <v>30</v>
      </c>
      <c r="I4" s="0" t="s">
        <v>30</v>
      </c>
      <c r="J4" s="0" t="s">
        <v>30</v>
      </c>
      <c r="K4" s="0" t="s">
        <v>30</v>
      </c>
    </row>
    <row r="5" customFormat="false" ht="15" hidden="false" customHeight="false" outlineLevel="0" collapsed="false">
      <c r="A5" s="0" t="s">
        <v>35</v>
      </c>
      <c r="B5" s="0" t="s">
        <v>36</v>
      </c>
      <c r="C5" s="0" t="s">
        <v>28</v>
      </c>
      <c r="D5" s="0" t="s">
        <v>29</v>
      </c>
      <c r="E5" s="0" t="s">
        <v>29</v>
      </c>
      <c r="F5" s="0" t="s">
        <v>30</v>
      </c>
      <c r="G5" s="0" t="s">
        <v>29</v>
      </c>
      <c r="H5" s="0" t="s">
        <v>29</v>
      </c>
      <c r="I5" s="0" t="s">
        <v>30</v>
      </c>
      <c r="J5" s="0" t="s">
        <v>30</v>
      </c>
      <c r="K5" s="0" t="s">
        <v>30</v>
      </c>
    </row>
    <row r="6" customFormat="false" ht="15" hidden="false" customHeight="false" outlineLevel="0" collapsed="false">
      <c r="A6" s="0" t="s">
        <v>37</v>
      </c>
      <c r="B6" s="0" t="s">
        <v>38</v>
      </c>
      <c r="C6" s="0" t="s">
        <v>28</v>
      </c>
      <c r="D6" s="0" t="s">
        <v>30</v>
      </c>
      <c r="E6" s="0" t="s">
        <v>30</v>
      </c>
      <c r="F6" s="0" t="s">
        <v>29</v>
      </c>
      <c r="G6" s="0" t="s">
        <v>30</v>
      </c>
      <c r="H6" s="0" t="s">
        <v>30</v>
      </c>
      <c r="I6" s="0" t="s">
        <v>30</v>
      </c>
      <c r="J6" s="0" t="s">
        <v>30</v>
      </c>
      <c r="K6" s="0" t="s">
        <v>30</v>
      </c>
    </row>
    <row r="7" customFormat="false" ht="15" hidden="false" customHeight="false" outlineLevel="0" collapsed="false">
      <c r="A7" s="0" t="s">
        <v>39</v>
      </c>
      <c r="B7" s="0" t="s">
        <v>40</v>
      </c>
      <c r="C7" s="0" t="s">
        <v>28</v>
      </c>
      <c r="D7" s="0" t="s">
        <v>29</v>
      </c>
      <c r="E7" s="0" t="s">
        <v>29</v>
      </c>
      <c r="F7" s="0" t="s">
        <v>30</v>
      </c>
      <c r="G7" s="0" t="s">
        <v>29</v>
      </c>
      <c r="H7" s="0" t="s">
        <v>30</v>
      </c>
      <c r="I7" s="0" t="s">
        <v>29</v>
      </c>
      <c r="J7" s="0" t="s">
        <v>29</v>
      </c>
      <c r="K7" s="0" t="s">
        <v>30</v>
      </c>
    </row>
    <row r="8" customFormat="false" ht="15" hidden="false" customHeight="false" outlineLevel="0" collapsed="false">
      <c r="A8" s="0" t="s">
        <v>41</v>
      </c>
      <c r="B8" s="0" t="s">
        <v>42</v>
      </c>
      <c r="C8" s="0" t="s">
        <v>28</v>
      </c>
      <c r="D8" s="0" t="s">
        <v>30</v>
      </c>
      <c r="E8" s="0" t="s">
        <v>30</v>
      </c>
      <c r="F8" s="0" t="s">
        <v>29</v>
      </c>
      <c r="G8" s="0" t="s">
        <v>30</v>
      </c>
      <c r="H8" s="0" t="s">
        <v>30</v>
      </c>
      <c r="I8" s="0" t="s">
        <v>30</v>
      </c>
      <c r="J8" s="0" t="s">
        <v>30</v>
      </c>
      <c r="K8" s="0" t="s">
        <v>30</v>
      </c>
    </row>
    <row r="9" customFormat="false" ht="15" hidden="false" customHeight="false" outlineLevel="0" collapsed="false">
      <c r="A9" s="0" t="s">
        <v>43</v>
      </c>
      <c r="B9" s="0" t="s">
        <v>44</v>
      </c>
      <c r="C9" s="0" t="s">
        <v>28</v>
      </c>
      <c r="D9" s="0" t="s">
        <v>30</v>
      </c>
      <c r="E9" s="0" t="s">
        <v>30</v>
      </c>
      <c r="F9" s="0" t="s">
        <v>29</v>
      </c>
      <c r="G9" s="0" t="s">
        <v>30</v>
      </c>
      <c r="H9" s="0" t="s">
        <v>30</v>
      </c>
      <c r="I9" s="0" t="s">
        <v>30</v>
      </c>
      <c r="J9" s="0" t="s">
        <v>30</v>
      </c>
      <c r="K9" s="0" t="s">
        <v>30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s">
        <v>47</v>
      </c>
      <c r="D10" s="0" t="s">
        <v>29</v>
      </c>
      <c r="E10" s="0" t="s">
        <v>29</v>
      </c>
      <c r="F10" s="0" t="s">
        <v>30</v>
      </c>
      <c r="G10" s="0" t="s">
        <v>29</v>
      </c>
      <c r="H10" s="0" t="s">
        <v>30</v>
      </c>
      <c r="I10" s="0" t="s">
        <v>29</v>
      </c>
      <c r="J10" s="0" t="s">
        <v>29</v>
      </c>
      <c r="K10" s="0" t="s">
        <v>30</v>
      </c>
    </row>
    <row r="11" customFormat="false" ht="15" hidden="false" customHeight="false" outlineLevel="0" collapsed="false">
      <c r="A11" s="0" t="s">
        <v>48</v>
      </c>
      <c r="B11" s="0" t="s">
        <v>49</v>
      </c>
      <c r="C11" s="0" t="s">
        <v>47</v>
      </c>
      <c r="D11" s="0" t="s">
        <v>30</v>
      </c>
      <c r="E11" s="0" t="s">
        <v>30</v>
      </c>
      <c r="F11" s="0" t="s">
        <v>29</v>
      </c>
      <c r="G11" s="0" t="s">
        <v>30</v>
      </c>
      <c r="H11" s="0" t="s">
        <v>30</v>
      </c>
      <c r="I11" s="0" t="s">
        <v>30</v>
      </c>
      <c r="J11" s="0" t="s">
        <v>30</v>
      </c>
      <c r="K11" s="0" t="s">
        <v>30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0" t="s">
        <v>52</v>
      </c>
      <c r="D12" s="0" t="s">
        <v>29</v>
      </c>
      <c r="E12" s="0" t="s">
        <v>29</v>
      </c>
      <c r="F12" s="0" t="s">
        <v>30</v>
      </c>
      <c r="G12" s="0" t="s">
        <v>29</v>
      </c>
      <c r="H12" s="0" t="s">
        <v>30</v>
      </c>
      <c r="I12" s="0" t="s">
        <v>29</v>
      </c>
      <c r="J12" s="0" t="s">
        <v>29</v>
      </c>
      <c r="K12" s="0" t="s">
        <v>30</v>
      </c>
    </row>
    <row r="13" customFormat="false" ht="15" hidden="false" customHeight="false" outlineLevel="0" collapsed="false">
      <c r="A13" s="0" t="s">
        <v>53</v>
      </c>
      <c r="B13" s="0" t="s">
        <v>54</v>
      </c>
      <c r="C13" s="0" t="s">
        <v>52</v>
      </c>
      <c r="D13" s="0" t="s">
        <v>30</v>
      </c>
      <c r="E13" s="0" t="s">
        <v>30</v>
      </c>
      <c r="F13" s="0" t="s">
        <v>29</v>
      </c>
      <c r="G13" s="0" t="s">
        <v>30</v>
      </c>
      <c r="H13" s="0" t="s">
        <v>30</v>
      </c>
      <c r="I13" s="0" t="s">
        <v>30</v>
      </c>
      <c r="J13" s="0" t="s">
        <v>30</v>
      </c>
      <c r="K13" s="0" t="s">
        <v>30</v>
      </c>
    </row>
    <row r="14" customFormat="false" ht="15" hidden="false" customHeight="false" outlineLevel="0" collapsed="false">
      <c r="A14" s="0" t="s">
        <v>55</v>
      </c>
      <c r="B14" s="0" t="s">
        <v>56</v>
      </c>
      <c r="C14" s="0" t="s">
        <v>57</v>
      </c>
      <c r="D14" s="0" t="s">
        <v>29</v>
      </c>
      <c r="E14" s="0" t="s">
        <v>29</v>
      </c>
      <c r="F14" s="0" t="s">
        <v>30</v>
      </c>
      <c r="G14" s="0" t="s">
        <v>29</v>
      </c>
      <c r="H14" s="0" t="s">
        <v>30</v>
      </c>
      <c r="I14" s="0" t="s">
        <v>29</v>
      </c>
      <c r="J14" s="0" t="s">
        <v>29</v>
      </c>
      <c r="K14" s="0" t="s">
        <v>30</v>
      </c>
    </row>
    <row r="15" customFormat="false" ht="15" hidden="false" customHeight="false" outlineLevel="0" collapsed="false">
      <c r="A15" s="0" t="s">
        <v>58</v>
      </c>
      <c r="B15" s="0" t="s">
        <v>59</v>
      </c>
      <c r="C15" s="0" t="s">
        <v>57</v>
      </c>
      <c r="D15" s="0" t="s">
        <v>30</v>
      </c>
      <c r="E15" s="0" t="s">
        <v>30</v>
      </c>
      <c r="F15" s="0" t="s">
        <v>29</v>
      </c>
      <c r="G15" s="0" t="s">
        <v>30</v>
      </c>
      <c r="H15" s="0" t="s">
        <v>30</v>
      </c>
      <c r="I15" s="0" t="s">
        <v>30</v>
      </c>
      <c r="J15" s="0" t="s">
        <v>30</v>
      </c>
      <c r="K15" s="0" t="s">
        <v>30</v>
      </c>
    </row>
    <row r="16" customFormat="false" ht="15" hidden="false" customHeight="false" outlineLevel="0" collapsed="false">
      <c r="A16" s="0" t="s">
        <v>60</v>
      </c>
      <c r="B16" s="0" t="s">
        <v>61</v>
      </c>
      <c r="C16" s="0" t="s">
        <v>57</v>
      </c>
      <c r="D16" s="0" t="s">
        <v>30</v>
      </c>
      <c r="E16" s="0" t="s">
        <v>30</v>
      </c>
      <c r="F16" s="0" t="s">
        <v>29</v>
      </c>
      <c r="G16" s="0" t="s">
        <v>30</v>
      </c>
      <c r="H16" s="0" t="s">
        <v>30</v>
      </c>
      <c r="I16" s="0" t="s">
        <v>30</v>
      </c>
      <c r="J16" s="0" t="s">
        <v>30</v>
      </c>
      <c r="K16" s="0" t="s">
        <v>30</v>
      </c>
    </row>
    <row r="17" customFormat="false" ht="15" hidden="false" customHeight="false" outlineLevel="0" collapsed="false">
      <c r="A17" s="0" t="s">
        <v>62</v>
      </c>
      <c r="B17" s="0" t="s">
        <v>63</v>
      </c>
      <c r="C17" s="0" t="s">
        <v>57</v>
      </c>
      <c r="D17" s="0" t="s">
        <v>30</v>
      </c>
      <c r="E17" s="0" t="s">
        <v>30</v>
      </c>
      <c r="F17" s="0" t="s">
        <v>29</v>
      </c>
      <c r="G17" s="0" t="s">
        <v>30</v>
      </c>
      <c r="H17" s="0" t="s">
        <v>30</v>
      </c>
      <c r="I17" s="0" t="s">
        <v>30</v>
      </c>
      <c r="J17" s="0" t="s">
        <v>30</v>
      </c>
      <c r="K17" s="0" t="s">
        <v>30</v>
      </c>
    </row>
    <row r="18" customFormat="false" ht="15" hidden="false" customHeight="false" outlineLevel="0" collapsed="false">
      <c r="A18" s="0" t="s">
        <v>64</v>
      </c>
      <c r="B18" s="0" t="s">
        <v>65</v>
      </c>
      <c r="C18" s="0" t="s">
        <v>66</v>
      </c>
      <c r="D18" s="0" t="s">
        <v>29</v>
      </c>
      <c r="E18" s="0" t="s">
        <v>29</v>
      </c>
      <c r="F18" s="0" t="s">
        <v>30</v>
      </c>
      <c r="G18" s="0" t="s">
        <v>30</v>
      </c>
      <c r="H18" s="0" t="s">
        <v>29</v>
      </c>
      <c r="I18" s="0" t="s">
        <v>30</v>
      </c>
      <c r="J18" s="0" t="s">
        <v>30</v>
      </c>
      <c r="K18" s="0" t="s">
        <v>30</v>
      </c>
    </row>
    <row r="19" customFormat="false" ht="15" hidden="false" customHeight="false" outlineLevel="0" collapsed="false">
      <c r="A19" s="0" t="s">
        <v>67</v>
      </c>
      <c r="B19" s="0" t="s">
        <v>68</v>
      </c>
      <c r="C19" s="0" t="s">
        <v>66</v>
      </c>
      <c r="D19" s="0" t="s">
        <v>30</v>
      </c>
      <c r="E19" s="0" t="s">
        <v>30</v>
      </c>
      <c r="F19" s="0" t="s">
        <v>29</v>
      </c>
      <c r="G19" s="0" t="s">
        <v>30</v>
      </c>
      <c r="H19" s="0" t="s">
        <v>30</v>
      </c>
      <c r="I19" s="0" t="s">
        <v>30</v>
      </c>
      <c r="J19" s="0" t="s">
        <v>30</v>
      </c>
      <c r="K19" s="0" t="s">
        <v>30</v>
      </c>
    </row>
    <row r="20" customFormat="false" ht="15" hidden="false" customHeight="false" outlineLevel="0" collapsed="false">
      <c r="A20" s="0" t="s">
        <v>69</v>
      </c>
      <c r="B20" s="0" t="s">
        <v>70</v>
      </c>
      <c r="C20" s="0" t="s">
        <v>66</v>
      </c>
      <c r="D20" s="0" t="s">
        <v>30</v>
      </c>
      <c r="E20" s="0" t="s">
        <v>30</v>
      </c>
      <c r="F20" s="0" t="s">
        <v>29</v>
      </c>
      <c r="G20" s="0" t="s">
        <v>30</v>
      </c>
      <c r="H20" s="0" t="s">
        <v>30</v>
      </c>
      <c r="I20" s="0" t="s">
        <v>30</v>
      </c>
      <c r="J20" s="0" t="s">
        <v>30</v>
      </c>
      <c r="K20" s="0" t="s">
        <v>30</v>
      </c>
    </row>
    <row r="21" customFormat="false" ht="15" hidden="false" customHeight="false" outlineLevel="0" collapsed="false">
      <c r="A21" s="0" t="s">
        <v>71</v>
      </c>
      <c r="B21" s="0" t="s">
        <v>72</v>
      </c>
      <c r="C21" s="0" t="s">
        <v>66</v>
      </c>
      <c r="D21" s="0" t="s">
        <v>30</v>
      </c>
      <c r="E21" s="0" t="s">
        <v>30</v>
      </c>
      <c r="F21" s="0" t="s">
        <v>29</v>
      </c>
      <c r="G21" s="0" t="s">
        <v>30</v>
      </c>
      <c r="H21" s="0" t="s">
        <v>30</v>
      </c>
      <c r="I21" s="0" t="s">
        <v>30</v>
      </c>
      <c r="J21" s="0" t="s">
        <v>30</v>
      </c>
      <c r="K21" s="0" t="s">
        <v>30</v>
      </c>
    </row>
    <row r="22" customFormat="false" ht="15" hidden="false" customHeight="false" outlineLevel="0" collapsed="false">
      <c r="A22" s="0" t="s">
        <v>73</v>
      </c>
      <c r="B22" s="0" t="s">
        <v>74</v>
      </c>
      <c r="C22" s="0" t="s">
        <v>75</v>
      </c>
      <c r="D22" s="0" t="s">
        <v>75</v>
      </c>
      <c r="E22" s="0" t="s">
        <v>30</v>
      </c>
      <c r="F22" s="0" t="s">
        <v>29</v>
      </c>
      <c r="G22" s="0" t="s">
        <v>30</v>
      </c>
      <c r="H22" s="0" t="s">
        <v>30</v>
      </c>
      <c r="I22" s="0" t="s">
        <v>30</v>
      </c>
      <c r="J22" s="0" t="s">
        <v>30</v>
      </c>
      <c r="K22" s="0" t="s">
        <v>30</v>
      </c>
    </row>
    <row r="23" customFormat="false" ht="15" hidden="false" customHeight="false" outlineLevel="0" collapsed="false">
      <c r="A23" s="0" t="s">
        <v>76</v>
      </c>
      <c r="B23" s="0" t="s">
        <v>77</v>
      </c>
      <c r="C23" s="0" t="s">
        <v>75</v>
      </c>
      <c r="D23" s="0" t="s">
        <v>75</v>
      </c>
      <c r="E23" s="0" t="s">
        <v>30</v>
      </c>
      <c r="F23" s="0" t="s">
        <v>29</v>
      </c>
      <c r="G23" s="0" t="s">
        <v>30</v>
      </c>
      <c r="H23" s="0" t="s">
        <v>30</v>
      </c>
      <c r="I23" s="0" t="s">
        <v>30</v>
      </c>
      <c r="J23" s="0" t="s">
        <v>30</v>
      </c>
      <c r="K23" s="0" t="s">
        <v>30</v>
      </c>
    </row>
    <row r="24" customFormat="false" ht="15" hidden="false" customHeight="false" outlineLevel="0" collapsed="false">
      <c r="A24" s="0" t="s">
        <v>78</v>
      </c>
      <c r="B24" s="0" t="s">
        <v>79</v>
      </c>
      <c r="C24" s="0" t="s">
        <v>75</v>
      </c>
      <c r="D24" s="0" t="s">
        <v>75</v>
      </c>
      <c r="E24" s="0" t="s">
        <v>30</v>
      </c>
      <c r="F24" s="0" t="s">
        <v>29</v>
      </c>
      <c r="G24" s="0" t="s">
        <v>30</v>
      </c>
      <c r="H24" s="0" t="s">
        <v>30</v>
      </c>
      <c r="I24" s="0" t="s">
        <v>30</v>
      </c>
      <c r="J24" s="0" t="s">
        <v>30</v>
      </c>
      <c r="K24" s="0" t="s">
        <v>30</v>
      </c>
    </row>
    <row r="25" customFormat="false" ht="15" hidden="false" customHeight="false" outlineLevel="0" collapsed="false">
      <c r="A25" s="0" t="s">
        <v>80</v>
      </c>
      <c r="B25" s="0" t="s">
        <v>81</v>
      </c>
      <c r="C25" s="0" t="s">
        <v>75</v>
      </c>
      <c r="D25" s="0" t="s">
        <v>75</v>
      </c>
      <c r="E25" s="0" t="s">
        <v>30</v>
      </c>
      <c r="F25" s="0" t="s">
        <v>29</v>
      </c>
      <c r="G25" s="0" t="s">
        <v>30</v>
      </c>
      <c r="H25" s="0" t="s">
        <v>30</v>
      </c>
      <c r="I25" s="0" t="s">
        <v>30</v>
      </c>
      <c r="J25" s="0" t="s">
        <v>30</v>
      </c>
      <c r="K25" s="0" t="s">
        <v>30</v>
      </c>
    </row>
    <row r="26" customFormat="false" ht="15" hidden="false" customHeight="false" outlineLevel="0" collapsed="false">
      <c r="A26" s="0" t="s">
        <v>82</v>
      </c>
      <c r="B26" s="0" t="s">
        <v>83</v>
      </c>
      <c r="C26" s="0" t="s">
        <v>84</v>
      </c>
      <c r="D26" s="0" t="s">
        <v>30</v>
      </c>
      <c r="E26" s="0" t="s">
        <v>29</v>
      </c>
      <c r="F26" s="0" t="s">
        <v>30</v>
      </c>
      <c r="G26" s="0" t="s">
        <v>30</v>
      </c>
      <c r="H26" s="0" t="s">
        <v>30</v>
      </c>
      <c r="I26" s="0" t="s">
        <v>30</v>
      </c>
      <c r="J26" s="0" t="s">
        <v>30</v>
      </c>
      <c r="K26" s="0" t="s">
        <v>29</v>
      </c>
    </row>
    <row r="27" customFormat="false" ht="15" hidden="false" customHeight="false" outlineLevel="0" collapsed="false">
      <c r="A27" s="0" t="s">
        <v>85</v>
      </c>
      <c r="B27" s="0" t="s">
        <v>86</v>
      </c>
      <c r="C27" s="0" t="s">
        <v>84</v>
      </c>
      <c r="D27" s="0" t="s">
        <v>30</v>
      </c>
      <c r="E27" s="0" t="s">
        <v>30</v>
      </c>
      <c r="F27" s="0" t="s">
        <v>29</v>
      </c>
      <c r="G27" s="0" t="s">
        <v>30</v>
      </c>
      <c r="H27" s="0" t="s">
        <v>30</v>
      </c>
      <c r="I27" s="0" t="s">
        <v>30</v>
      </c>
      <c r="J27" s="0" t="s">
        <v>30</v>
      </c>
      <c r="K27" s="0" t="s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87</v>
      </c>
      <c r="B1" s="0" t="s">
        <v>88</v>
      </c>
      <c r="C1" s="0" t="s">
        <v>89</v>
      </c>
      <c r="D1" s="0" t="s">
        <v>90</v>
      </c>
    </row>
    <row r="2" customFormat="false" ht="15" hidden="false" customHeight="false" outlineLevel="0" collapsed="false">
      <c r="A2" s="0" t="s">
        <v>91</v>
      </c>
      <c r="B2" s="0" t="s">
        <v>91</v>
      </c>
      <c r="C2" s="0" t="s">
        <v>92</v>
      </c>
    </row>
    <row r="3" customFormat="false" ht="15" hidden="false" customHeight="false" outlineLevel="0" collapsed="false">
      <c r="A3" s="0" t="s">
        <v>93</v>
      </c>
      <c r="B3" s="0" t="s">
        <v>94</v>
      </c>
      <c r="C3" s="0" t="s">
        <v>95</v>
      </c>
    </row>
    <row r="4" customFormat="false" ht="15" hidden="false" customHeight="false" outlineLevel="0" collapsed="false">
      <c r="A4" s="0" t="s">
        <v>96</v>
      </c>
      <c r="B4" s="0" t="s">
        <v>97</v>
      </c>
      <c r="C4" s="0" t="s">
        <v>92</v>
      </c>
    </row>
    <row r="5" customFormat="false" ht="15" hidden="false" customHeight="false" outlineLevel="0" collapsed="false">
      <c r="A5" s="0" t="s">
        <v>98</v>
      </c>
      <c r="B5" s="0" t="s">
        <v>99</v>
      </c>
      <c r="C5" s="0" t="s">
        <v>92</v>
      </c>
    </row>
    <row r="6" customFormat="false" ht="15" hidden="false" customHeight="false" outlineLevel="0" collapsed="false">
      <c r="A6" s="0" t="s">
        <v>100</v>
      </c>
      <c r="B6" s="0" t="s">
        <v>100</v>
      </c>
      <c r="C6" s="0" t="s">
        <v>92</v>
      </c>
      <c r="D6" s="0" t="s">
        <v>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101</v>
      </c>
      <c r="B1" s="0" t="s">
        <v>102</v>
      </c>
    </row>
    <row r="2" customFormat="false" ht="15" hidden="false" customHeight="false" outlineLevel="0" collapsed="false">
      <c r="A2" s="0" t="s">
        <v>103</v>
      </c>
      <c r="B2" s="0" t="s">
        <v>30</v>
      </c>
    </row>
    <row r="3" customFormat="false" ht="15" hidden="false" customHeight="false" outlineLevel="0" collapsed="false">
      <c r="A3" s="0" t="s">
        <v>104</v>
      </c>
      <c r="B3" s="0" t="s">
        <v>30</v>
      </c>
    </row>
    <row r="4" customFormat="false" ht="15" hidden="false" customHeight="false" outlineLevel="0" collapsed="false">
      <c r="A4" s="0" t="s">
        <v>105</v>
      </c>
      <c r="B4" s="0" t="s">
        <v>30</v>
      </c>
    </row>
    <row r="5" customFormat="false" ht="15" hidden="false" customHeight="false" outlineLevel="0" collapsed="false">
      <c r="A5" s="0" t="s">
        <v>106</v>
      </c>
      <c r="B5" s="0" t="s">
        <v>29</v>
      </c>
    </row>
    <row r="6" customFormat="false" ht="15" hidden="false" customHeight="false" outlineLevel="0" collapsed="false">
      <c r="A6" s="0" t="s">
        <v>107</v>
      </c>
      <c r="B6" s="0" t="s">
        <v>30</v>
      </c>
    </row>
    <row r="7" customFormat="false" ht="15" hidden="false" customHeight="false" outlineLevel="0" collapsed="false">
      <c r="A7" s="0" t="s">
        <v>108</v>
      </c>
      <c r="B7" s="0" t="s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109</v>
      </c>
      <c r="B1" s="0" t="s">
        <v>110</v>
      </c>
      <c r="C1" s="0" t="s">
        <v>111</v>
      </c>
      <c r="D1" s="0" t="s">
        <v>15</v>
      </c>
      <c r="E1" s="0" t="s">
        <v>112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113</v>
      </c>
      <c r="K1" s="0" t="s">
        <v>89</v>
      </c>
      <c r="L1" s="0" t="s">
        <v>114</v>
      </c>
      <c r="M1" s="0" t="s">
        <v>115</v>
      </c>
    </row>
    <row r="2" customFormat="false" ht="15" hidden="false" customHeight="false" outlineLevel="0" collapsed="false">
      <c r="A2" s="0" t="s">
        <v>116</v>
      </c>
      <c r="B2" s="0" t="s">
        <v>103</v>
      </c>
      <c r="C2" s="0" t="s">
        <v>91</v>
      </c>
      <c r="D2" s="0" t="s">
        <v>35</v>
      </c>
      <c r="E2" s="0" t="n">
        <v>35</v>
      </c>
      <c r="F2" s="0" t="str">
        <f aca="false">IFERROR(INDEX('Materials Master'!$B$2:$B$27,MATCH(D2,'Materials Master'!$A$2:$A$27,0)),"")</f>
        <v>Mixed Paper</v>
      </c>
      <c r="G2" s="0" t="str">
        <f aca="false">IFERROR(INDEX('Materials Master'!$C$2:$C$27,MATCH(D2,'Materials Master'!$A$2:$A$27,0)),"")</f>
        <v>Fibers</v>
      </c>
      <c r="H2" s="0" t="str">
        <f aca="false">IFERROR(INDEX('Materials Master'!$D$2:$D$27,MATCH(D2,'Materials Master'!$A$2:$A$27,0)),"")</f>
        <v>Yes</v>
      </c>
      <c r="I2" s="0" t="str">
        <f aca="false">IFERROR(INDEX('Materials Master'!$E$2:$E$27,MATCH(D2,'Materials Master'!$A$2:$A$27,0)),"")</f>
        <v>Yes</v>
      </c>
      <c r="J2" s="0" t="str">
        <f aca="false">IFERROR(IF(B2="Trash",INDEX('Materials Master'!$F$2:$F$27,MATCH(D2,'Materials Master'!$A$2:$A$27,0)),IF(B2="GMPC Recycling",INDEX('Materials Master'!$G$2:$G$27,MATCH(D2,'Materials Master'!$A$2:$A$27,0)),IF(B2="Organics Recycling",INDEX('Materials Master'!$H$2:$H$27,MATCH(D2,'Materials Master'!$A$2:$A$27,0)),IF(B2="Cardboard Recycling",INDEX('Materials Master'!$I$2:$I$27,MATCH(D2,'Materials Master'!$A$2:$A$27,0)),IF(B2="Paper Recycling",INDEX('Materials Master'!$J$2:$J$27,MATCH(D2,'Materials Master'!$A$2:$A$27,0)),IF(B2="Terracycle",INDEX('Materials Master'!$K$2:$K$27,MATCH(D2,'Materials Master'!$A$2:$A$27,0)),"No")))))),"")</f>
        <v>No</v>
      </c>
      <c r="K2" s="0" t="str">
        <f aca="false">IFERROR(INDEX(Areas!$C$2:$C$6,MATCH(C2,Areas!$B$2:$B$6,0)),"")</f>
        <v>Rest of Building</v>
      </c>
      <c r="L2" s="0" t="s">
        <v>30</v>
      </c>
      <c r="M2" s="0" t="s">
        <v>117</v>
      </c>
    </row>
    <row r="3" customFormat="false" ht="15" hidden="false" customHeight="false" outlineLevel="0" collapsed="false">
      <c r="A3" s="0" t="s">
        <v>116</v>
      </c>
      <c r="B3" s="0" t="s">
        <v>103</v>
      </c>
      <c r="C3" s="0" t="s">
        <v>91</v>
      </c>
      <c r="D3" s="0" t="s">
        <v>48</v>
      </c>
      <c r="E3" s="0" t="n">
        <v>5</v>
      </c>
      <c r="F3" s="0" t="str">
        <f aca="false">IFERROR(INDEX('Materials Master'!$B$2:$B$27,MATCH(D3,'Materials Master'!$A$2:$A$27,0)),"")</f>
        <v>Soiled Glass</v>
      </c>
      <c r="G3" s="0" t="str">
        <f aca="false">IFERROR(INDEX('Materials Master'!$C$2:$C$27,MATCH(D3,'Materials Master'!$A$2:$A$27,0)),"")</f>
        <v>Glass</v>
      </c>
      <c r="H3" s="0" t="str">
        <f aca="false">IFERROR(INDEX('Materials Master'!$D$2:$D$27,MATCH(D3,'Materials Master'!$A$2:$A$27,0)),"")</f>
        <v>No</v>
      </c>
      <c r="I3" s="0" t="str">
        <f aca="false">IFERROR(INDEX('Materials Master'!$E$2:$E$27,MATCH(D3,'Materials Master'!$A$2:$A$27,0)),"")</f>
        <v>No</v>
      </c>
      <c r="J3" s="0" t="str">
        <f aca="false">IFERROR(IF(B3="Trash",INDEX('Materials Master'!$F$2:$F$27,MATCH(D3,'Materials Master'!$A$2:$A$27,0)),IF(B3="GMPC Recycling",INDEX('Materials Master'!$G$2:$G$27,MATCH(D3,'Materials Master'!$A$2:$A$27,0)),IF(B3="Organics Recycling",INDEX('Materials Master'!$H$2:$H$27,MATCH(D3,'Materials Master'!$A$2:$A$27,0)),IF(B3="Cardboard Recycling",INDEX('Materials Master'!$I$2:$I$27,MATCH(D3,'Materials Master'!$A$2:$A$27,0)),IF(B3="Paper Recycling",INDEX('Materials Master'!$J$2:$J$27,MATCH(D3,'Materials Master'!$A$2:$A$27,0)),IF(B3="Terracycle",INDEX('Materials Master'!$K$2:$K$27,MATCH(D3,'Materials Master'!$A$2:$A$27,0)),"No")))))),"")</f>
        <v>Yes</v>
      </c>
      <c r="K3" s="0" t="str">
        <f aca="false">IFERROR(INDEX(Areas!$C$2:$C$6,MATCH(C3,Areas!$B$2:$B$6,0)),"")</f>
        <v>Rest of Building</v>
      </c>
      <c r="L3" s="0" t="s">
        <v>29</v>
      </c>
      <c r="M3" s="0" t="s">
        <v>118</v>
      </c>
    </row>
    <row r="4" customFormat="false" ht="15" hidden="false" customHeight="false" outlineLevel="0" collapsed="false">
      <c r="A4" s="0" t="s">
        <v>116</v>
      </c>
      <c r="B4" s="0" t="s">
        <v>106</v>
      </c>
      <c r="C4" s="0" t="s">
        <v>91</v>
      </c>
      <c r="D4" s="0" t="s">
        <v>26</v>
      </c>
      <c r="E4" s="0" t="n">
        <v>50</v>
      </c>
      <c r="F4" s="0" t="str">
        <f aca="false">IFERROR(INDEX('Materials Master'!$B$2:$B$27,MATCH(D4,'Materials Master'!$A$2:$A$27,0)),"")</f>
        <v>Corrugated Cardboard</v>
      </c>
      <c r="G4" s="0" t="str">
        <f aca="false">IFERROR(INDEX('Materials Master'!$C$2:$C$27,MATCH(D4,'Materials Master'!$A$2:$A$27,0)),"")</f>
        <v>Fibers</v>
      </c>
      <c r="H4" s="0" t="str">
        <f aca="false">IFERROR(INDEX('Materials Master'!$D$2:$D$27,MATCH(D4,'Materials Master'!$A$2:$A$27,0)),"")</f>
        <v>Yes</v>
      </c>
      <c r="I4" s="0" t="str">
        <f aca="false">IFERROR(INDEX('Materials Master'!$E$2:$E$27,MATCH(D4,'Materials Master'!$A$2:$A$27,0)),"")</f>
        <v>Yes</v>
      </c>
      <c r="J4" s="0" t="str">
        <f aca="false">IFERROR(IF(B4="Trash",INDEX('Materials Master'!$F$2:$F$27,MATCH(D4,'Materials Master'!$A$2:$A$27,0)),IF(B4="GMPC Recycling",INDEX('Materials Master'!$G$2:$G$27,MATCH(D4,'Materials Master'!$A$2:$A$27,0)),IF(B4="Organics Recycling",INDEX('Materials Master'!$H$2:$H$27,MATCH(D4,'Materials Master'!$A$2:$A$27,0)),IF(B4="Cardboard Recycling",INDEX('Materials Master'!$I$2:$I$27,MATCH(D4,'Materials Master'!$A$2:$A$27,0)),IF(B4="Paper Recycling",INDEX('Materials Master'!$J$2:$J$27,MATCH(D4,'Materials Master'!$A$2:$A$27,0)),IF(B4="Terracycle",INDEX('Materials Master'!$K$2:$K$27,MATCH(D4,'Materials Master'!$A$2:$A$27,0)),"No")))))),"")</f>
        <v>Yes</v>
      </c>
      <c r="K4" s="0" t="str">
        <f aca="false">IFERROR(INDEX(Areas!$C$2:$C$6,MATCH(C4,Areas!$B$2:$B$6,0)),"")</f>
        <v>Rest of Building</v>
      </c>
      <c r="L4" s="0" t="s">
        <v>30</v>
      </c>
      <c r="M4" s="0" t="s">
        <v>119</v>
      </c>
    </row>
    <row r="5" customFormat="false" ht="15" hidden="false" customHeight="false" outlineLevel="0" collapsed="false">
      <c r="A5" s="0" t="s">
        <v>116</v>
      </c>
      <c r="B5" s="0" t="s">
        <v>104</v>
      </c>
      <c r="C5" s="0" t="s">
        <v>91</v>
      </c>
      <c r="D5" s="0" t="s">
        <v>35</v>
      </c>
      <c r="E5" s="0" t="n">
        <v>30</v>
      </c>
      <c r="F5" s="0" t="str">
        <f aca="false">IFERROR(INDEX('Materials Master'!$B$2:$B$27,MATCH(D5,'Materials Master'!$A$2:$A$27,0)),"")</f>
        <v>Mixed Paper</v>
      </c>
      <c r="G5" s="0" t="str">
        <f aca="false">IFERROR(INDEX('Materials Master'!$C$2:$C$27,MATCH(D5,'Materials Master'!$A$2:$A$27,0)),"")</f>
        <v>Fibers</v>
      </c>
      <c r="H5" s="0" t="str">
        <f aca="false">IFERROR(INDEX('Materials Master'!$D$2:$D$27,MATCH(D5,'Materials Master'!$A$2:$A$27,0)),"")</f>
        <v>Yes</v>
      </c>
      <c r="I5" s="0" t="str">
        <f aca="false">IFERROR(INDEX('Materials Master'!$E$2:$E$27,MATCH(D5,'Materials Master'!$A$2:$A$27,0)),"")</f>
        <v>Yes</v>
      </c>
      <c r="J5" s="0" t="str">
        <f aca="false">IFERROR(IF(B5="Trash",INDEX('Materials Master'!$F$2:$F$27,MATCH(D5,'Materials Master'!$A$2:$A$27,0)),IF(B5="GMPC Recycling",INDEX('Materials Master'!$G$2:$G$27,MATCH(D5,'Materials Master'!$A$2:$A$27,0)),IF(B5="Organics Recycling",INDEX('Materials Master'!$H$2:$H$27,MATCH(D5,'Materials Master'!$A$2:$A$27,0)),IF(B5="Cardboard Recycling",INDEX('Materials Master'!$I$2:$I$27,MATCH(D5,'Materials Master'!$A$2:$A$27,0)),IF(B5="Paper Recycling",INDEX('Materials Master'!$J$2:$J$27,MATCH(D5,'Materials Master'!$A$2:$A$27,0)),IF(B5="Terracycle",INDEX('Materials Master'!$K$2:$K$27,MATCH(D5,'Materials Master'!$A$2:$A$27,0)),"No")))))),"")</f>
        <v>Yes</v>
      </c>
      <c r="K5" s="0" t="str">
        <f aca="false">IFERROR(INDEX(Areas!$C$2:$C$6,MATCH(C5,Areas!$B$2:$B$6,0)),"")</f>
        <v>Rest of Building</v>
      </c>
      <c r="L5" s="0" t="s">
        <v>30</v>
      </c>
    </row>
    <row r="6" customFormat="false" ht="15" hidden="false" customHeight="false" outlineLevel="0" collapsed="false">
      <c r="A6" s="0" t="s">
        <v>116</v>
      </c>
      <c r="B6" s="0" t="s">
        <v>105</v>
      </c>
      <c r="C6" s="0" t="s">
        <v>91</v>
      </c>
      <c r="D6" s="0" t="s">
        <v>35</v>
      </c>
      <c r="E6" s="0" t="n">
        <v>20</v>
      </c>
      <c r="F6" s="0" t="str">
        <f aca="false">IFERROR(INDEX('Materials Master'!$B$2:$B$27,MATCH(D6,'Materials Master'!$A$2:$A$27,0)),"")</f>
        <v>Mixed Paper</v>
      </c>
      <c r="G6" s="0" t="str">
        <f aca="false">IFERROR(INDEX('Materials Master'!$C$2:$C$27,MATCH(D6,'Materials Master'!$A$2:$A$27,0)),"")</f>
        <v>Fibers</v>
      </c>
      <c r="H6" s="0" t="str">
        <f aca="false">IFERROR(INDEX('Materials Master'!$D$2:$D$27,MATCH(D6,'Materials Master'!$A$2:$A$27,0)),"")</f>
        <v>Yes</v>
      </c>
      <c r="I6" s="0" t="str">
        <f aca="false">IFERROR(INDEX('Materials Master'!$E$2:$E$27,MATCH(D6,'Materials Master'!$A$2:$A$27,0)),"")</f>
        <v>Yes</v>
      </c>
      <c r="J6" s="0" t="str">
        <f aca="false">IFERROR(IF(B6="Trash",INDEX('Materials Master'!$F$2:$F$27,MATCH(D6,'Materials Master'!$A$2:$A$27,0)),IF(B6="GMPC Recycling",INDEX('Materials Master'!$G$2:$G$27,MATCH(D6,'Materials Master'!$A$2:$A$27,0)),IF(B6="Organics Recycling",INDEX('Materials Master'!$H$2:$H$27,MATCH(D6,'Materials Master'!$A$2:$A$27,0)),IF(B6="Cardboard Recycling",INDEX('Materials Master'!$I$2:$I$27,MATCH(D6,'Materials Master'!$A$2:$A$27,0)),IF(B6="Paper Recycling",INDEX('Materials Master'!$J$2:$J$27,MATCH(D6,'Materials Master'!$A$2:$A$27,0)),IF(B6="Terracycle",INDEX('Materials Master'!$K$2:$K$27,MATCH(D6,'Materials Master'!$A$2:$A$27,0)),"No")))))),"")</f>
        <v>Yes</v>
      </c>
      <c r="K6" s="0" t="str">
        <f aca="false">IFERROR(INDEX(Areas!$C$2:$C$6,MATCH(C6,Areas!$B$2:$B$6,0)),"")</f>
        <v>Rest of Building</v>
      </c>
      <c r="L6" s="0" t="s">
        <v>30</v>
      </c>
      <c r="M6" s="0" t="s">
        <v>120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109</v>
      </c>
      <c r="B1" s="0" t="s">
        <v>110</v>
      </c>
      <c r="C1" s="0" t="s">
        <v>111</v>
      </c>
      <c r="D1" s="0" t="s">
        <v>121</v>
      </c>
      <c r="E1" s="0" t="s">
        <v>112</v>
      </c>
      <c r="F1" s="0" t="s">
        <v>122</v>
      </c>
      <c r="G1" s="0" t="s">
        <v>115</v>
      </c>
    </row>
    <row r="2" customFormat="false" ht="15" hidden="false" customHeight="false" outlineLevel="0" collapsed="false">
      <c r="A2" s="0" t="s">
        <v>116</v>
      </c>
      <c r="B2" s="0" t="s">
        <v>103</v>
      </c>
      <c r="C2" s="0" t="s">
        <v>91</v>
      </c>
      <c r="D2" s="0" t="n">
        <v>1</v>
      </c>
      <c r="E2" s="0" t="n">
        <v>40</v>
      </c>
      <c r="G2" s="0" t="s">
        <v>123</v>
      </c>
    </row>
    <row r="3" customFormat="false" ht="15" hidden="false" customHeight="false" outlineLevel="0" collapsed="false">
      <c r="A3" s="0" t="s">
        <v>116</v>
      </c>
      <c r="B3" s="0" t="s">
        <v>103</v>
      </c>
      <c r="C3" s="0" t="s">
        <v>91</v>
      </c>
      <c r="D3" s="0" t="n">
        <v>2</v>
      </c>
      <c r="E3" s="0" t="n">
        <v>40</v>
      </c>
      <c r="G3" s="0" t="s">
        <v>124</v>
      </c>
    </row>
    <row r="4" customFormat="false" ht="15" hidden="false" customHeight="false" outlineLevel="0" collapsed="false">
      <c r="A4" s="0" t="s">
        <v>116</v>
      </c>
      <c r="B4" s="0" t="s">
        <v>103</v>
      </c>
      <c r="C4" s="0" t="s">
        <v>91</v>
      </c>
      <c r="D4" s="0" t="n">
        <v>3</v>
      </c>
      <c r="E4" s="0" t="n">
        <v>40</v>
      </c>
      <c r="G4" s="0" t="s">
        <v>125</v>
      </c>
    </row>
    <row r="5" customFormat="false" ht="15" hidden="false" customHeight="false" outlineLevel="0" collapsed="false">
      <c r="A5" s="0" t="s">
        <v>116</v>
      </c>
      <c r="B5" s="0" t="s">
        <v>103</v>
      </c>
      <c r="C5" s="0" t="s">
        <v>91</v>
      </c>
      <c r="D5" s="0" t="n">
        <v>4</v>
      </c>
      <c r="E5" s="0" t="n">
        <v>40</v>
      </c>
      <c r="G5" s="0" t="s">
        <v>126</v>
      </c>
    </row>
    <row r="6" customFormat="false" ht="15" hidden="false" customHeight="false" outlineLevel="0" collapsed="false">
      <c r="A6" s="0" t="s">
        <v>116</v>
      </c>
      <c r="B6" s="0" t="s">
        <v>103</v>
      </c>
      <c r="C6" s="0" t="s">
        <v>91</v>
      </c>
      <c r="D6" s="0" t="n">
        <v>5</v>
      </c>
      <c r="E6" s="0" t="n">
        <v>40</v>
      </c>
      <c r="G6" s="0" t="s">
        <v>127</v>
      </c>
    </row>
    <row r="7" customFormat="false" ht="15" hidden="false" customHeight="false" outlineLevel="0" collapsed="false">
      <c r="A7" s="0" t="s">
        <v>116</v>
      </c>
      <c r="B7" s="0" t="s">
        <v>103</v>
      </c>
      <c r="C7" s="0" t="s">
        <v>91</v>
      </c>
      <c r="D7" s="0" t="n">
        <v>6</v>
      </c>
      <c r="E7" s="0" t="n">
        <v>40</v>
      </c>
      <c r="G7" s="0" t="s">
        <v>128</v>
      </c>
    </row>
    <row r="8" customFormat="false" ht="15" hidden="false" customHeight="false" outlineLevel="0" collapsed="false">
      <c r="A8" s="0" t="s">
        <v>116</v>
      </c>
      <c r="B8" s="0" t="s">
        <v>103</v>
      </c>
      <c r="C8" s="0" t="s">
        <v>91</v>
      </c>
      <c r="D8" s="0" t="n">
        <v>7</v>
      </c>
      <c r="E8" s="0" t="n">
        <v>40</v>
      </c>
      <c r="G8" s="0" t="s">
        <v>129</v>
      </c>
    </row>
    <row r="9" customFormat="false" ht="15" hidden="false" customHeight="false" outlineLevel="0" collapsed="false">
      <c r="A9" s="0" t="s">
        <v>116</v>
      </c>
      <c r="B9" s="0" t="s">
        <v>103</v>
      </c>
      <c r="C9" s="0" t="s">
        <v>91</v>
      </c>
      <c r="D9" s="0" t="n">
        <v>8</v>
      </c>
      <c r="E9" s="0" t="n">
        <v>40</v>
      </c>
      <c r="G9" s="0" t="s">
        <v>130</v>
      </c>
    </row>
    <row r="10" customFormat="false" ht="15" hidden="false" customHeight="false" outlineLevel="0" collapsed="false">
      <c r="A10" s="0" t="s">
        <v>116</v>
      </c>
      <c r="B10" s="0" t="s">
        <v>103</v>
      </c>
      <c r="C10" s="0" t="s">
        <v>91</v>
      </c>
      <c r="D10" s="0" t="n">
        <v>9</v>
      </c>
      <c r="E10" s="0" t="n">
        <v>40</v>
      </c>
      <c r="G10" s="0" t="s">
        <v>131</v>
      </c>
    </row>
    <row r="11" customFormat="false" ht="15" hidden="false" customHeight="false" outlineLevel="0" collapsed="false">
      <c r="A11" s="0" t="s">
        <v>116</v>
      </c>
      <c r="B11" s="0" t="s">
        <v>103</v>
      </c>
      <c r="C11" s="0" t="s">
        <v>91</v>
      </c>
      <c r="D11" s="0" t="n">
        <v>10</v>
      </c>
      <c r="E11" s="0" t="n">
        <v>40</v>
      </c>
      <c r="G11" s="0" t="s">
        <v>132</v>
      </c>
    </row>
    <row r="12" customFormat="false" ht="15" hidden="false" customHeight="false" outlineLevel="0" collapsed="false">
      <c r="A12" s="0" t="s">
        <v>116</v>
      </c>
      <c r="B12" s="0" t="s">
        <v>103</v>
      </c>
      <c r="C12" s="0" t="s">
        <v>91</v>
      </c>
      <c r="D12" s="0" t="n">
        <v>11</v>
      </c>
      <c r="E12" s="0" t="n">
        <v>20</v>
      </c>
      <c r="F12" s="0" t="s">
        <v>26</v>
      </c>
      <c r="G12" s="0" t="s">
        <v>133</v>
      </c>
    </row>
    <row r="13" customFormat="false" ht="15" hidden="false" customHeight="false" outlineLevel="0" collapsed="false">
      <c r="A13" s="0" t="s">
        <v>116</v>
      </c>
      <c r="B13" s="0" t="s">
        <v>104</v>
      </c>
      <c r="C13" s="0" t="s">
        <v>91</v>
      </c>
      <c r="D13" s="0" t="n">
        <v>1</v>
      </c>
      <c r="E13" s="0" t="n">
        <v>30</v>
      </c>
    </row>
    <row r="14" customFormat="false" ht="15" hidden="false" customHeight="false" outlineLevel="0" collapsed="false">
      <c r="A14" s="0" t="s">
        <v>116</v>
      </c>
      <c r="B14" s="0" t="s">
        <v>105</v>
      </c>
      <c r="C14" s="0" t="s">
        <v>91</v>
      </c>
      <c r="D14" s="0" t="n">
        <v>1</v>
      </c>
      <c r="E14" s="0" t="n">
        <v>20</v>
      </c>
    </row>
    <row r="15" customFormat="false" ht="15" hidden="false" customHeight="false" outlineLevel="0" collapsed="false">
      <c r="A15" s="0" t="s">
        <v>116</v>
      </c>
      <c r="B15" s="0" t="s">
        <v>103</v>
      </c>
      <c r="C15" s="0" t="s">
        <v>100</v>
      </c>
      <c r="D15" s="0" t="n">
        <v>1</v>
      </c>
      <c r="E15" s="0" t="n">
        <v>30</v>
      </c>
      <c r="G15" s="0" t="s">
        <v>134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111</v>
      </c>
      <c r="B1" s="0" t="s">
        <v>110</v>
      </c>
      <c r="C1" s="0" t="s">
        <v>15</v>
      </c>
      <c r="D1" s="0" t="s">
        <v>16</v>
      </c>
      <c r="E1" s="0" t="s">
        <v>17</v>
      </c>
      <c r="F1" s="0" t="s">
        <v>135</v>
      </c>
      <c r="G1" s="0" t="s">
        <v>136</v>
      </c>
      <c r="H1" s="0" t="s">
        <v>19</v>
      </c>
      <c r="I1" s="0" t="s">
        <v>89</v>
      </c>
      <c r="J1" s="0" t="s">
        <v>113</v>
      </c>
    </row>
    <row r="2" customFormat="false" ht="15" hidden="false" customHeight="false" outlineLevel="0" collapsed="false">
      <c r="A2" s="0" t="s">
        <v>91</v>
      </c>
      <c r="B2" s="0" t="s">
        <v>103</v>
      </c>
      <c r="C2" s="0" t="s">
        <v>26</v>
      </c>
      <c r="D2" s="0" t="str">
        <f aca="false">IFERROR(INDEX('Materials Master'!$B$2:$B$27,MATCH($C2,'Materials Master'!$A$2:$A$27,0)),"")</f>
        <v>Corrugated Cardboard</v>
      </c>
      <c r="E2" s="0" t="str">
        <f aca="false">IFERROR(INDEX('Materials Master'!$C$2:$C$27,MATCH($C2,'Materials Master'!$A$2:$A$27,0)),"")</f>
        <v>Fibers</v>
      </c>
      <c r="F2" s="0" t="n">
        <f aca="false">(SUMIFS(Fact_PreSortWeights!$E$2:$E$15,Fact_PreSortWeights!$C$2:$C$15,$A2,Fact_PreSortWeights!$B$2:$B$15,$B2,Fact_PreSortWeights!$F$2:$F$15,$C2))+(SUMIFS(Fact_SortedWeights!$E$2:$E$6,Fact_SortedWeights!$C$2:$C$6,$A2,Fact_SortedWeights!$B$2:$B$6,$B2,Fact_SortedWeights!$D$2:$D$6,$C2,Fact_SortedWeights!$L$2:$L$6,"Yes"))+IF((SUMIFS(Fact_SortedWeights!$E$2:$E$6,Fact_SortedWeights!$C$2:$C$6,$A2,Fact_SortedWeights!$B$2:$B$6,$B2,Fact_SortedWeights!$L$2:$L$6,"No"))=0,0,(SUMIFS(Fact_SortedWeights!$E$2:$E$6,Fact_SortedWeights!$C$2:$C$6,$A2,Fact_SortedWeights!$B$2:$B$6,$B2,Fact_SortedWeights!$D$2:$D$6,$C2,Fact_SortedWeights!$L$2:$L$6,"No"))/(SUMIFS(Fact_SortedWeights!$E$2:$E$6,Fact_SortedWeights!$C$2:$C$6,$A2,Fact_SortedWeights!$B$2:$B$6,$B2,Fact_SortedWeights!$L$2:$L$6,"No"))*((SUMIFS(Fact_PreSortWeights!$E$2:$E$15,Fact_PreSortWeights!$C$2:$C$15,$A2,Fact_PreSortWeights!$B$2:$B$15,$B2,Fact_PreSortWeights!$F$2:$F$15,""))-(SUMIFS(Fact_SortedWeights!$E$2:$E$6,Fact_SortedWeights!$C$2:$C$6,$A2,Fact_SortedWeights!$B$2:$B$6,$B2,Fact_SortedWeights!$L$2:$L$6,"Yes"))))</f>
        <v>20</v>
      </c>
      <c r="G2" s="0" t="n">
        <f aca="false">IF(AND(IF($B2="Trash",INDEX('Materials Master'!$F$2:$F$27,MATCH($C2,'Materials Master'!$A$2:$A$27,0)),IF($B2="GMPC Recycling",INDEX('Materials Master'!$G$2:$G$27,MATCH($C2,'Materials Master'!$A$2:$A$27,0)),IF($B2="Organics Recycling",INDEX('Materials Master'!$H$2:$H$27,MATCH($C2,'Materials Master'!$A$2:$A$27,0)),IF($B2="Cardboard Recycling",INDEX('Materials Master'!$I$2:$I$27,MATCH($C2,'Materials Master'!$A$2:$A$27,0)),IF($B2="Paper Recycling",INDEX('Materials Master'!$J$2:$J$27,MATCH($C2,'Materials Master'!$A$2:$A$27,0)),IF($B2="Terracycle",INDEX('Materials Master'!$K$2:$K$27,MATCH($C2,'Materials Master'!$A$2:$A$27,0)),"No"))))))="Yes",INDEX('Materials Master'!$E$2:$E$27,MATCH($C2,'Materials Master'!$A$2:$A$27,0))="Yes",$B2&lt;&gt;"Trash"),1,0)</f>
        <v>0</v>
      </c>
      <c r="H2" s="0" t="str">
        <f aca="false">INDEX('Materials Master'!$E$2:$E$27,MATCH($C2,'Materials Master'!$A$2:$A$27,0))</f>
        <v>Yes</v>
      </c>
      <c r="I2" s="0" t="str">
        <f aca="false">IFERROR(INDEX(Areas!$C$2:$C$6,MATCH($A2,Areas!$B$2:$B$6,0)),"")</f>
        <v>Rest of Building</v>
      </c>
      <c r="J2" s="0" t="n">
        <f aca="false">IF(IF($B2="Trash",INDEX('Materials Master'!$F$2:$F$27,MATCH($C2,'Materials Master'!$A$2:$A$27,0)),IF($B2="GMPC Recycling",INDEX('Materials Master'!$G$2:$G$27,MATCH($C2,'Materials Master'!$A$2:$A$27,0)),IF($B2="Organics Recycling",INDEX('Materials Master'!$H$2:$H$27,MATCH($C2,'Materials Master'!$A$2:$A$27,0)),IF($B2="Cardboard Recycling",INDEX('Materials Master'!$I$2:$I$27,MATCH($C2,'Materials Master'!$A$2:$A$27,0)),IF($B2="Paper Recycling",INDEX('Materials Master'!$J$2:$J$27,MATCH($C2,'Materials Master'!$A$2:$A$27,0)),IF($B2="Terracycle",INDEX('Materials Master'!$K$2:$K$27,MATCH($C2,'Materials Master'!$A$2:$A$27,0)),"No"))))))="Yes",1,0)</f>
        <v>0</v>
      </c>
    </row>
    <row r="3" customFormat="false" ht="15" hidden="false" customHeight="false" outlineLevel="0" collapsed="false">
      <c r="A3" s="0" t="s">
        <v>91</v>
      </c>
      <c r="B3" s="0" t="s">
        <v>103</v>
      </c>
      <c r="C3" s="0" t="s">
        <v>31</v>
      </c>
      <c r="D3" s="0" t="str">
        <f aca="false">IFERROR(INDEX('Materials Master'!$B$2:$B$27,MATCH($C3,'Materials Master'!$A$2:$A$27,0)),"")</f>
        <v>Soiled Cardboard</v>
      </c>
      <c r="E3" s="0" t="str">
        <f aca="false">IFERROR(INDEX('Materials Master'!$C$2:$C$27,MATCH($C3,'Materials Master'!$A$2:$A$27,0)),"")</f>
        <v>Fibers</v>
      </c>
      <c r="F3" s="0" t="n">
        <f aca="false">(SUMIFS(Fact_PreSortWeights!$E$2:$E$15,Fact_PreSortWeights!$C$2:$C$15,$A3,Fact_PreSortWeights!$B$2:$B$15,$B3,Fact_PreSortWeights!$F$2:$F$15,$C3))+(SUMIFS(Fact_SortedWeights!$E$2:$E$6,Fact_SortedWeights!$C$2:$C$6,$A3,Fact_SortedWeights!$B$2:$B$6,$B3,Fact_SortedWeights!$D$2:$D$6,$C3,Fact_SortedWeights!$L$2:$L$6,"Yes"))+IF((SUMIFS(Fact_SortedWeights!$E$2:$E$6,Fact_SortedWeights!$C$2:$C$6,$A3,Fact_SortedWeights!$B$2:$B$6,$B3,Fact_SortedWeights!$L$2:$L$6,"No"))=0,0,(SUMIFS(Fact_SortedWeights!$E$2:$E$6,Fact_SortedWeights!$C$2:$C$6,$A3,Fact_SortedWeights!$B$2:$B$6,$B3,Fact_SortedWeights!$D$2:$D$6,$C3,Fact_SortedWeights!$L$2:$L$6,"No"))/(SUMIFS(Fact_SortedWeights!$E$2:$E$6,Fact_SortedWeights!$C$2:$C$6,$A3,Fact_SortedWeights!$B$2:$B$6,$B3,Fact_SortedWeights!$L$2:$L$6,"No"))*((SUMIFS(Fact_PreSortWeights!$E$2:$E$15,Fact_PreSortWeights!$C$2:$C$15,$A3,Fact_PreSortWeights!$B$2:$B$15,$B3,Fact_PreSortWeights!$F$2:$F$15,""))-(SUMIFS(Fact_SortedWeights!$E$2:$E$6,Fact_SortedWeights!$C$2:$C$6,$A3,Fact_SortedWeights!$B$2:$B$6,$B3,Fact_SortedWeights!$L$2:$L$6,"Yes"))))</f>
        <v>0</v>
      </c>
      <c r="G3" s="0" t="n">
        <f aca="false">IF(AND(IF($B3="Trash",INDEX('Materials Master'!$F$2:$F$27,MATCH($C3,'Materials Master'!$A$2:$A$27,0)),IF($B3="GMPC Recycling",INDEX('Materials Master'!$G$2:$G$27,MATCH($C3,'Materials Master'!$A$2:$A$27,0)),IF($B3="Organics Recycling",INDEX('Materials Master'!$H$2:$H$27,MATCH($C3,'Materials Master'!$A$2:$A$27,0)),IF($B3="Cardboard Recycling",INDEX('Materials Master'!$I$2:$I$27,MATCH($C3,'Materials Master'!$A$2:$A$27,0)),IF($B3="Paper Recycling",INDEX('Materials Master'!$J$2:$J$27,MATCH($C3,'Materials Master'!$A$2:$A$27,0)),IF($B3="Terracycle",INDEX('Materials Master'!$K$2:$K$27,MATCH($C3,'Materials Master'!$A$2:$A$27,0)),"No"))))))="Yes",INDEX('Materials Master'!$E$2:$E$27,MATCH($C3,'Materials Master'!$A$2:$A$27,0))="Yes",$B3&lt;&gt;"Trash"),1,0)</f>
        <v>0</v>
      </c>
      <c r="H3" s="0" t="str">
        <f aca="false">INDEX('Materials Master'!$E$2:$E$27,MATCH($C3,'Materials Master'!$A$2:$A$27,0))</f>
        <v>No</v>
      </c>
      <c r="I3" s="0" t="str">
        <f aca="false">IFERROR(INDEX(Areas!$C$2:$C$6,MATCH($A3,Areas!$B$2:$B$6,0)),"")</f>
        <v>Rest of Building</v>
      </c>
      <c r="J3" s="0" t="n">
        <f aca="false">IF(IF($B3="Trash",INDEX('Materials Master'!$F$2:$F$27,MATCH($C3,'Materials Master'!$A$2:$A$27,0)),IF($B3="GMPC Recycling",INDEX('Materials Master'!$G$2:$G$27,MATCH($C3,'Materials Master'!$A$2:$A$27,0)),IF($B3="Organics Recycling",INDEX('Materials Master'!$H$2:$H$27,MATCH($C3,'Materials Master'!$A$2:$A$27,0)),IF($B3="Cardboard Recycling",INDEX('Materials Master'!$I$2:$I$27,MATCH($C3,'Materials Master'!$A$2:$A$27,0)),IF($B3="Paper Recycling",INDEX('Materials Master'!$J$2:$J$27,MATCH($C3,'Materials Master'!$A$2:$A$27,0)),IF($B3="Terracycle",INDEX('Materials Master'!$K$2:$K$27,MATCH($C3,'Materials Master'!$A$2:$A$27,0)),"No"))))))="Yes",1,0)</f>
        <v>1</v>
      </c>
    </row>
    <row r="4" customFormat="false" ht="15" hidden="false" customHeight="false" outlineLevel="0" collapsed="false">
      <c r="A4" s="0" t="s">
        <v>91</v>
      </c>
      <c r="B4" s="0" t="s">
        <v>103</v>
      </c>
      <c r="C4" s="0" t="s">
        <v>33</v>
      </c>
      <c r="D4" s="0" t="str">
        <f aca="false">IFERROR(INDEX('Materials Master'!$B$2:$B$27,MATCH($C4,'Materials Master'!$A$2:$A$27,0)),"")</f>
        <v>Waxed Cardboard</v>
      </c>
      <c r="E4" s="0" t="str">
        <f aca="false">IFERROR(INDEX('Materials Master'!$C$2:$C$27,MATCH($C4,'Materials Master'!$A$2:$A$27,0)),"")</f>
        <v>Fibers</v>
      </c>
      <c r="F4" s="0" t="n">
        <f aca="false">(SUMIFS(Fact_PreSortWeights!$E$2:$E$15,Fact_PreSortWeights!$C$2:$C$15,$A4,Fact_PreSortWeights!$B$2:$B$15,$B4,Fact_PreSortWeights!$F$2:$F$15,$C4))+(SUMIFS(Fact_SortedWeights!$E$2:$E$6,Fact_SortedWeights!$C$2:$C$6,$A4,Fact_SortedWeights!$B$2:$B$6,$B4,Fact_SortedWeights!$D$2:$D$6,$C4,Fact_SortedWeights!$L$2:$L$6,"Yes"))+IF((SUMIFS(Fact_SortedWeights!$E$2:$E$6,Fact_SortedWeights!$C$2:$C$6,$A4,Fact_SortedWeights!$B$2:$B$6,$B4,Fact_SortedWeights!$L$2:$L$6,"No"))=0,0,(SUMIFS(Fact_SortedWeights!$E$2:$E$6,Fact_SortedWeights!$C$2:$C$6,$A4,Fact_SortedWeights!$B$2:$B$6,$B4,Fact_SortedWeights!$D$2:$D$6,$C4,Fact_SortedWeights!$L$2:$L$6,"No"))/(SUMIFS(Fact_SortedWeights!$E$2:$E$6,Fact_SortedWeights!$C$2:$C$6,$A4,Fact_SortedWeights!$B$2:$B$6,$B4,Fact_SortedWeights!$L$2:$L$6,"No"))*((SUMIFS(Fact_PreSortWeights!$E$2:$E$15,Fact_PreSortWeights!$C$2:$C$15,$A4,Fact_PreSortWeights!$B$2:$B$15,$B4,Fact_PreSortWeights!$F$2:$F$15,""))-(SUMIFS(Fact_SortedWeights!$E$2:$E$6,Fact_SortedWeights!$C$2:$C$6,$A4,Fact_SortedWeights!$B$2:$B$6,$B4,Fact_SortedWeights!$L$2:$L$6,"Yes"))))</f>
        <v>0</v>
      </c>
      <c r="G4" s="0" t="n">
        <f aca="false">IF(AND(IF($B4="Trash",INDEX('Materials Master'!$F$2:$F$27,MATCH($C4,'Materials Master'!$A$2:$A$27,0)),IF($B4="GMPC Recycling",INDEX('Materials Master'!$G$2:$G$27,MATCH($C4,'Materials Master'!$A$2:$A$27,0)),IF($B4="Organics Recycling",INDEX('Materials Master'!$H$2:$H$27,MATCH($C4,'Materials Master'!$A$2:$A$27,0)),IF($B4="Cardboard Recycling",INDEX('Materials Master'!$I$2:$I$27,MATCH($C4,'Materials Master'!$A$2:$A$27,0)),IF($B4="Paper Recycling",INDEX('Materials Master'!$J$2:$J$27,MATCH($C4,'Materials Master'!$A$2:$A$27,0)),IF($B4="Terracycle",INDEX('Materials Master'!$K$2:$K$27,MATCH($C4,'Materials Master'!$A$2:$A$27,0)),"No"))))))="Yes",INDEX('Materials Master'!$E$2:$E$27,MATCH($C4,'Materials Master'!$A$2:$A$27,0))="Yes",$B4&lt;&gt;"Trash"),1,0)</f>
        <v>0</v>
      </c>
      <c r="H4" s="0" t="str">
        <f aca="false">INDEX('Materials Master'!$E$2:$E$27,MATCH($C4,'Materials Master'!$A$2:$A$27,0))</f>
        <v>No</v>
      </c>
      <c r="I4" s="0" t="str">
        <f aca="false">IFERROR(INDEX(Areas!$C$2:$C$6,MATCH($A4,Areas!$B$2:$B$6,0)),"")</f>
        <v>Rest of Building</v>
      </c>
      <c r="J4" s="0" t="n">
        <f aca="false">IF(IF($B4="Trash",INDEX('Materials Master'!$F$2:$F$27,MATCH($C4,'Materials Master'!$A$2:$A$27,0)),IF($B4="GMPC Recycling",INDEX('Materials Master'!$G$2:$G$27,MATCH($C4,'Materials Master'!$A$2:$A$27,0)),IF($B4="Organics Recycling",INDEX('Materials Master'!$H$2:$H$27,MATCH($C4,'Materials Master'!$A$2:$A$27,0)),IF($B4="Cardboard Recycling",INDEX('Materials Master'!$I$2:$I$27,MATCH($C4,'Materials Master'!$A$2:$A$27,0)),IF($B4="Paper Recycling",INDEX('Materials Master'!$J$2:$J$27,MATCH($C4,'Materials Master'!$A$2:$A$27,0)),IF($B4="Terracycle",INDEX('Materials Master'!$K$2:$K$27,MATCH($C4,'Materials Master'!$A$2:$A$27,0)),"No"))))))="Yes",1,0)</f>
        <v>1</v>
      </c>
    </row>
    <row r="5" customFormat="false" ht="15" hidden="false" customHeight="false" outlineLevel="0" collapsed="false">
      <c r="A5" s="0" t="s">
        <v>91</v>
      </c>
      <c r="B5" s="0" t="s">
        <v>103</v>
      </c>
      <c r="C5" s="0" t="s">
        <v>35</v>
      </c>
      <c r="D5" s="0" t="str">
        <f aca="false">IFERROR(INDEX('Materials Master'!$B$2:$B$27,MATCH($C5,'Materials Master'!$A$2:$A$27,0)),"")</f>
        <v>Mixed Paper</v>
      </c>
      <c r="E5" s="0" t="str">
        <f aca="false">IFERROR(INDEX('Materials Master'!$C$2:$C$27,MATCH($C5,'Materials Master'!$A$2:$A$27,0)),"")</f>
        <v>Fibers</v>
      </c>
      <c r="F5" s="0" t="n">
        <f aca="false">(SUMIFS(Fact_PreSortWeights!$E$2:$E$15,Fact_PreSortWeights!$C$2:$C$15,$A5,Fact_PreSortWeights!$B$2:$B$15,$B5,Fact_PreSortWeights!$F$2:$F$15,$C5))+(SUMIFS(Fact_SortedWeights!$E$2:$E$6,Fact_SortedWeights!$C$2:$C$6,$A5,Fact_SortedWeights!$B$2:$B$6,$B5,Fact_SortedWeights!$D$2:$D$6,$C5,Fact_SortedWeights!$L$2:$L$6,"Yes"))+IF((SUMIFS(Fact_SortedWeights!$E$2:$E$6,Fact_SortedWeights!$C$2:$C$6,$A5,Fact_SortedWeights!$B$2:$B$6,$B5,Fact_SortedWeights!$L$2:$L$6,"No"))=0,0,(SUMIFS(Fact_SortedWeights!$E$2:$E$6,Fact_SortedWeights!$C$2:$C$6,$A5,Fact_SortedWeights!$B$2:$B$6,$B5,Fact_SortedWeights!$D$2:$D$6,$C5,Fact_SortedWeights!$L$2:$L$6,"No"))/(SUMIFS(Fact_SortedWeights!$E$2:$E$6,Fact_SortedWeights!$C$2:$C$6,$A5,Fact_SortedWeights!$B$2:$B$6,$B5,Fact_SortedWeights!$L$2:$L$6,"No"))*((SUMIFS(Fact_PreSortWeights!$E$2:$E$15,Fact_PreSortWeights!$C$2:$C$15,$A5,Fact_PreSortWeights!$B$2:$B$15,$B5,Fact_PreSortWeights!$F$2:$F$15,""))-(SUMIFS(Fact_SortedWeights!$E$2:$E$6,Fact_SortedWeights!$C$2:$C$6,$A5,Fact_SortedWeights!$B$2:$B$6,$B5,Fact_SortedWeights!$L$2:$L$6,"Yes"))))</f>
        <v>395</v>
      </c>
      <c r="G5" s="0" t="n">
        <f aca="false">IF(AND(IF($B5="Trash",INDEX('Materials Master'!$F$2:$F$27,MATCH($C5,'Materials Master'!$A$2:$A$27,0)),IF($B5="GMPC Recycling",INDEX('Materials Master'!$G$2:$G$27,MATCH($C5,'Materials Master'!$A$2:$A$27,0)),IF($B5="Organics Recycling",INDEX('Materials Master'!$H$2:$H$27,MATCH($C5,'Materials Master'!$A$2:$A$27,0)),IF($B5="Cardboard Recycling",INDEX('Materials Master'!$I$2:$I$27,MATCH($C5,'Materials Master'!$A$2:$A$27,0)),IF($B5="Paper Recycling",INDEX('Materials Master'!$J$2:$J$27,MATCH($C5,'Materials Master'!$A$2:$A$27,0)),IF($B5="Terracycle",INDEX('Materials Master'!$K$2:$K$27,MATCH($C5,'Materials Master'!$A$2:$A$27,0)),"No"))))))="Yes",INDEX('Materials Master'!$E$2:$E$27,MATCH($C5,'Materials Master'!$A$2:$A$27,0))="Yes",$B5&lt;&gt;"Trash"),1,0)</f>
        <v>0</v>
      </c>
      <c r="H5" s="0" t="str">
        <f aca="false">INDEX('Materials Master'!$E$2:$E$27,MATCH($C5,'Materials Master'!$A$2:$A$27,0))</f>
        <v>Yes</v>
      </c>
      <c r="I5" s="0" t="str">
        <f aca="false">IFERROR(INDEX(Areas!$C$2:$C$6,MATCH($A5,Areas!$B$2:$B$6,0)),"")</f>
        <v>Rest of Building</v>
      </c>
      <c r="J5" s="0" t="n">
        <f aca="false">IF(IF($B5="Trash",INDEX('Materials Master'!$F$2:$F$27,MATCH($C5,'Materials Master'!$A$2:$A$27,0)),IF($B5="GMPC Recycling",INDEX('Materials Master'!$G$2:$G$27,MATCH($C5,'Materials Master'!$A$2:$A$27,0)),IF($B5="Organics Recycling",INDEX('Materials Master'!$H$2:$H$27,MATCH($C5,'Materials Master'!$A$2:$A$27,0)),IF($B5="Cardboard Recycling",INDEX('Materials Master'!$I$2:$I$27,MATCH($C5,'Materials Master'!$A$2:$A$27,0)),IF($B5="Paper Recycling",INDEX('Materials Master'!$J$2:$J$27,MATCH($C5,'Materials Master'!$A$2:$A$27,0)),IF($B5="Terracycle",INDEX('Materials Master'!$K$2:$K$27,MATCH($C5,'Materials Master'!$A$2:$A$27,0)),"No"))))))="Yes",1,0)</f>
        <v>0</v>
      </c>
    </row>
    <row r="6" customFormat="false" ht="15" hidden="false" customHeight="false" outlineLevel="0" collapsed="false">
      <c r="A6" s="0" t="s">
        <v>91</v>
      </c>
      <c r="B6" s="0" t="s">
        <v>103</v>
      </c>
      <c r="C6" s="0" t="s">
        <v>37</v>
      </c>
      <c r="D6" s="0" t="str">
        <f aca="false">IFERROR(INDEX('Materials Master'!$B$2:$B$27,MATCH($C6,'Materials Master'!$A$2:$A$27,0)),"")</f>
        <v>Soiled Paper</v>
      </c>
      <c r="E6" s="0" t="str">
        <f aca="false">IFERROR(INDEX('Materials Master'!$C$2:$C$27,MATCH($C6,'Materials Master'!$A$2:$A$27,0)),"")</f>
        <v>Fibers</v>
      </c>
      <c r="F6" s="0" t="n">
        <f aca="false">(SUMIFS(Fact_PreSortWeights!$E$2:$E$15,Fact_PreSortWeights!$C$2:$C$15,$A6,Fact_PreSortWeights!$B$2:$B$15,$B6,Fact_PreSortWeights!$F$2:$F$15,$C6))+(SUMIFS(Fact_SortedWeights!$E$2:$E$6,Fact_SortedWeights!$C$2:$C$6,$A6,Fact_SortedWeights!$B$2:$B$6,$B6,Fact_SortedWeights!$D$2:$D$6,$C6,Fact_SortedWeights!$L$2:$L$6,"Yes"))+IF((SUMIFS(Fact_SortedWeights!$E$2:$E$6,Fact_SortedWeights!$C$2:$C$6,$A6,Fact_SortedWeights!$B$2:$B$6,$B6,Fact_SortedWeights!$L$2:$L$6,"No"))=0,0,(SUMIFS(Fact_SortedWeights!$E$2:$E$6,Fact_SortedWeights!$C$2:$C$6,$A6,Fact_SortedWeights!$B$2:$B$6,$B6,Fact_SortedWeights!$D$2:$D$6,$C6,Fact_SortedWeights!$L$2:$L$6,"No"))/(SUMIFS(Fact_SortedWeights!$E$2:$E$6,Fact_SortedWeights!$C$2:$C$6,$A6,Fact_SortedWeights!$B$2:$B$6,$B6,Fact_SortedWeights!$L$2:$L$6,"No"))*((SUMIFS(Fact_PreSortWeights!$E$2:$E$15,Fact_PreSortWeights!$C$2:$C$15,$A6,Fact_PreSortWeights!$B$2:$B$15,$B6,Fact_PreSortWeights!$F$2:$F$15,""))-(SUMIFS(Fact_SortedWeights!$E$2:$E$6,Fact_SortedWeights!$C$2:$C$6,$A6,Fact_SortedWeights!$B$2:$B$6,$B6,Fact_SortedWeights!$L$2:$L$6,"Yes"))))</f>
        <v>0</v>
      </c>
      <c r="G6" s="0" t="n">
        <f aca="false">IF(AND(IF($B6="Trash",INDEX('Materials Master'!$F$2:$F$27,MATCH($C6,'Materials Master'!$A$2:$A$27,0)),IF($B6="GMPC Recycling",INDEX('Materials Master'!$G$2:$G$27,MATCH($C6,'Materials Master'!$A$2:$A$27,0)),IF($B6="Organics Recycling",INDEX('Materials Master'!$H$2:$H$27,MATCH($C6,'Materials Master'!$A$2:$A$27,0)),IF($B6="Cardboard Recycling",INDEX('Materials Master'!$I$2:$I$27,MATCH($C6,'Materials Master'!$A$2:$A$27,0)),IF($B6="Paper Recycling",INDEX('Materials Master'!$J$2:$J$27,MATCH($C6,'Materials Master'!$A$2:$A$27,0)),IF($B6="Terracycle",INDEX('Materials Master'!$K$2:$K$27,MATCH($C6,'Materials Master'!$A$2:$A$27,0)),"No"))))))="Yes",INDEX('Materials Master'!$E$2:$E$27,MATCH($C6,'Materials Master'!$A$2:$A$27,0))="Yes",$B6&lt;&gt;"Trash"),1,0)</f>
        <v>0</v>
      </c>
      <c r="H6" s="0" t="str">
        <f aca="false">INDEX('Materials Master'!$E$2:$E$27,MATCH($C6,'Materials Master'!$A$2:$A$27,0))</f>
        <v>No</v>
      </c>
      <c r="I6" s="0" t="str">
        <f aca="false">IFERROR(INDEX(Areas!$C$2:$C$6,MATCH($A6,Areas!$B$2:$B$6,0)),"")</f>
        <v>Rest of Building</v>
      </c>
      <c r="J6" s="0" t="n">
        <f aca="false">IF(IF($B6="Trash",INDEX('Materials Master'!$F$2:$F$27,MATCH($C6,'Materials Master'!$A$2:$A$27,0)),IF($B6="GMPC Recycling",INDEX('Materials Master'!$G$2:$G$27,MATCH($C6,'Materials Master'!$A$2:$A$27,0)),IF($B6="Organics Recycling",INDEX('Materials Master'!$H$2:$H$27,MATCH($C6,'Materials Master'!$A$2:$A$27,0)),IF($B6="Cardboard Recycling",INDEX('Materials Master'!$I$2:$I$27,MATCH($C6,'Materials Master'!$A$2:$A$27,0)),IF($B6="Paper Recycling",INDEX('Materials Master'!$J$2:$J$27,MATCH($C6,'Materials Master'!$A$2:$A$27,0)),IF($B6="Terracycle",INDEX('Materials Master'!$K$2:$K$27,MATCH($C6,'Materials Master'!$A$2:$A$27,0)),"No"))))))="Yes",1,0)</f>
        <v>1</v>
      </c>
    </row>
    <row r="7" customFormat="false" ht="15" hidden="false" customHeight="false" outlineLevel="0" collapsed="false">
      <c r="A7" s="0" t="s">
        <v>91</v>
      </c>
      <c r="B7" s="0" t="s">
        <v>103</v>
      </c>
      <c r="C7" s="0" t="s">
        <v>39</v>
      </c>
      <c r="D7" s="0" t="str">
        <f aca="false">IFERROR(INDEX('Materials Master'!$B$2:$B$27,MATCH($C7,'Materials Master'!$A$2:$A$27,0)),"")</f>
        <v>Beverage Cartons</v>
      </c>
      <c r="E7" s="0" t="str">
        <f aca="false">IFERROR(INDEX('Materials Master'!$C$2:$C$27,MATCH($C7,'Materials Master'!$A$2:$A$27,0)),"")</f>
        <v>Fibers</v>
      </c>
      <c r="F7" s="0" t="n">
        <f aca="false">(SUMIFS(Fact_PreSortWeights!$E$2:$E$15,Fact_PreSortWeights!$C$2:$C$15,$A7,Fact_PreSortWeights!$B$2:$B$15,$B7,Fact_PreSortWeights!$F$2:$F$15,$C7))+(SUMIFS(Fact_SortedWeights!$E$2:$E$6,Fact_SortedWeights!$C$2:$C$6,$A7,Fact_SortedWeights!$B$2:$B$6,$B7,Fact_SortedWeights!$D$2:$D$6,$C7,Fact_SortedWeights!$L$2:$L$6,"Yes"))+IF((SUMIFS(Fact_SortedWeights!$E$2:$E$6,Fact_SortedWeights!$C$2:$C$6,$A7,Fact_SortedWeights!$B$2:$B$6,$B7,Fact_SortedWeights!$L$2:$L$6,"No"))=0,0,(SUMIFS(Fact_SortedWeights!$E$2:$E$6,Fact_SortedWeights!$C$2:$C$6,$A7,Fact_SortedWeights!$B$2:$B$6,$B7,Fact_SortedWeights!$D$2:$D$6,$C7,Fact_SortedWeights!$L$2:$L$6,"No"))/(SUMIFS(Fact_SortedWeights!$E$2:$E$6,Fact_SortedWeights!$C$2:$C$6,$A7,Fact_SortedWeights!$B$2:$B$6,$B7,Fact_SortedWeights!$L$2:$L$6,"No"))*((SUMIFS(Fact_PreSortWeights!$E$2:$E$15,Fact_PreSortWeights!$C$2:$C$15,$A7,Fact_PreSortWeights!$B$2:$B$15,$B7,Fact_PreSortWeights!$F$2:$F$15,""))-(SUMIFS(Fact_SortedWeights!$E$2:$E$6,Fact_SortedWeights!$C$2:$C$6,$A7,Fact_SortedWeights!$B$2:$B$6,$B7,Fact_SortedWeights!$L$2:$L$6,"Yes"))))</f>
        <v>0</v>
      </c>
      <c r="G7" s="0" t="n">
        <f aca="false">IF(AND(IF($B7="Trash",INDEX('Materials Master'!$F$2:$F$27,MATCH($C7,'Materials Master'!$A$2:$A$27,0)),IF($B7="GMPC Recycling",INDEX('Materials Master'!$G$2:$G$27,MATCH($C7,'Materials Master'!$A$2:$A$27,0)),IF($B7="Organics Recycling",INDEX('Materials Master'!$H$2:$H$27,MATCH($C7,'Materials Master'!$A$2:$A$27,0)),IF($B7="Cardboard Recycling",INDEX('Materials Master'!$I$2:$I$27,MATCH($C7,'Materials Master'!$A$2:$A$27,0)),IF($B7="Paper Recycling",INDEX('Materials Master'!$J$2:$J$27,MATCH($C7,'Materials Master'!$A$2:$A$27,0)),IF($B7="Terracycle",INDEX('Materials Master'!$K$2:$K$27,MATCH($C7,'Materials Master'!$A$2:$A$27,0)),"No"))))))="Yes",INDEX('Materials Master'!$E$2:$E$27,MATCH($C7,'Materials Master'!$A$2:$A$27,0))="Yes",$B7&lt;&gt;"Trash"),1,0)</f>
        <v>0</v>
      </c>
      <c r="H7" s="0" t="str">
        <f aca="false">INDEX('Materials Master'!$E$2:$E$27,MATCH($C7,'Materials Master'!$A$2:$A$27,0))</f>
        <v>Yes</v>
      </c>
      <c r="I7" s="0" t="str">
        <f aca="false">IFERROR(INDEX(Areas!$C$2:$C$6,MATCH($A7,Areas!$B$2:$B$6,0)),"")</f>
        <v>Rest of Building</v>
      </c>
      <c r="J7" s="0" t="n">
        <f aca="false">IF(IF($B7="Trash",INDEX('Materials Master'!$F$2:$F$27,MATCH($C7,'Materials Master'!$A$2:$A$27,0)),IF($B7="GMPC Recycling",INDEX('Materials Master'!$G$2:$G$27,MATCH($C7,'Materials Master'!$A$2:$A$27,0)),IF($B7="Organics Recycling",INDEX('Materials Master'!$H$2:$H$27,MATCH($C7,'Materials Master'!$A$2:$A$27,0)),IF($B7="Cardboard Recycling",INDEX('Materials Master'!$I$2:$I$27,MATCH($C7,'Materials Master'!$A$2:$A$27,0)),IF($B7="Paper Recycling",INDEX('Materials Master'!$J$2:$J$27,MATCH($C7,'Materials Master'!$A$2:$A$27,0)),IF($B7="Terracycle",INDEX('Materials Master'!$K$2:$K$27,MATCH($C7,'Materials Master'!$A$2:$A$27,0)),"No"))))))="Yes",1,0)</f>
        <v>0</v>
      </c>
    </row>
    <row r="8" customFormat="false" ht="15" hidden="false" customHeight="false" outlineLevel="0" collapsed="false">
      <c r="A8" s="0" t="s">
        <v>91</v>
      </c>
      <c r="B8" s="0" t="s">
        <v>103</v>
      </c>
      <c r="C8" s="0" t="s">
        <v>41</v>
      </c>
      <c r="D8" s="0" t="str">
        <f aca="false">IFERROR(INDEX('Materials Master'!$B$2:$B$27,MATCH($C8,'Materials Master'!$A$2:$A$27,0)),"")</f>
        <v>Soiled Beverage Cartons</v>
      </c>
      <c r="E8" s="0" t="str">
        <f aca="false">IFERROR(INDEX('Materials Master'!$C$2:$C$27,MATCH($C8,'Materials Master'!$A$2:$A$27,0)),"")</f>
        <v>Fibers</v>
      </c>
      <c r="F8" s="0" t="n">
        <f aca="false">(SUMIFS(Fact_PreSortWeights!$E$2:$E$15,Fact_PreSortWeights!$C$2:$C$15,$A8,Fact_PreSortWeights!$B$2:$B$15,$B8,Fact_PreSortWeights!$F$2:$F$15,$C8))+(SUMIFS(Fact_SortedWeights!$E$2:$E$6,Fact_SortedWeights!$C$2:$C$6,$A8,Fact_SortedWeights!$B$2:$B$6,$B8,Fact_SortedWeights!$D$2:$D$6,$C8,Fact_SortedWeights!$L$2:$L$6,"Yes"))+IF((SUMIFS(Fact_SortedWeights!$E$2:$E$6,Fact_SortedWeights!$C$2:$C$6,$A8,Fact_SortedWeights!$B$2:$B$6,$B8,Fact_SortedWeights!$L$2:$L$6,"No"))=0,0,(SUMIFS(Fact_SortedWeights!$E$2:$E$6,Fact_SortedWeights!$C$2:$C$6,$A8,Fact_SortedWeights!$B$2:$B$6,$B8,Fact_SortedWeights!$D$2:$D$6,$C8,Fact_SortedWeights!$L$2:$L$6,"No"))/(SUMIFS(Fact_SortedWeights!$E$2:$E$6,Fact_SortedWeights!$C$2:$C$6,$A8,Fact_SortedWeights!$B$2:$B$6,$B8,Fact_SortedWeights!$L$2:$L$6,"No"))*((SUMIFS(Fact_PreSortWeights!$E$2:$E$15,Fact_PreSortWeights!$C$2:$C$15,$A8,Fact_PreSortWeights!$B$2:$B$15,$B8,Fact_PreSortWeights!$F$2:$F$15,""))-(SUMIFS(Fact_SortedWeights!$E$2:$E$6,Fact_SortedWeights!$C$2:$C$6,$A8,Fact_SortedWeights!$B$2:$B$6,$B8,Fact_SortedWeights!$L$2:$L$6,"Yes"))))</f>
        <v>0</v>
      </c>
      <c r="G8" s="0" t="n">
        <f aca="false">IF(AND(IF($B8="Trash",INDEX('Materials Master'!$F$2:$F$27,MATCH($C8,'Materials Master'!$A$2:$A$27,0)),IF($B8="GMPC Recycling",INDEX('Materials Master'!$G$2:$G$27,MATCH($C8,'Materials Master'!$A$2:$A$27,0)),IF($B8="Organics Recycling",INDEX('Materials Master'!$H$2:$H$27,MATCH($C8,'Materials Master'!$A$2:$A$27,0)),IF($B8="Cardboard Recycling",INDEX('Materials Master'!$I$2:$I$27,MATCH($C8,'Materials Master'!$A$2:$A$27,0)),IF($B8="Paper Recycling",INDEX('Materials Master'!$J$2:$J$27,MATCH($C8,'Materials Master'!$A$2:$A$27,0)),IF($B8="Terracycle",INDEX('Materials Master'!$K$2:$K$27,MATCH($C8,'Materials Master'!$A$2:$A$27,0)),"No"))))))="Yes",INDEX('Materials Master'!$E$2:$E$27,MATCH($C8,'Materials Master'!$A$2:$A$27,0))="Yes",$B8&lt;&gt;"Trash"),1,0)</f>
        <v>0</v>
      </c>
      <c r="H8" s="0" t="str">
        <f aca="false">INDEX('Materials Master'!$E$2:$E$27,MATCH($C8,'Materials Master'!$A$2:$A$27,0))</f>
        <v>No</v>
      </c>
      <c r="I8" s="0" t="str">
        <f aca="false">IFERROR(INDEX(Areas!$C$2:$C$6,MATCH($A8,Areas!$B$2:$B$6,0)),"")</f>
        <v>Rest of Building</v>
      </c>
      <c r="J8" s="0" t="n">
        <f aca="false">IF(IF($B8="Trash",INDEX('Materials Master'!$F$2:$F$27,MATCH($C8,'Materials Master'!$A$2:$A$27,0)),IF($B8="GMPC Recycling",INDEX('Materials Master'!$G$2:$G$27,MATCH($C8,'Materials Master'!$A$2:$A$27,0)),IF($B8="Organics Recycling",INDEX('Materials Master'!$H$2:$H$27,MATCH($C8,'Materials Master'!$A$2:$A$27,0)),IF($B8="Cardboard Recycling",INDEX('Materials Master'!$I$2:$I$27,MATCH($C8,'Materials Master'!$A$2:$A$27,0)),IF($B8="Paper Recycling",INDEX('Materials Master'!$J$2:$J$27,MATCH($C8,'Materials Master'!$A$2:$A$27,0)),IF($B8="Terracycle",INDEX('Materials Master'!$K$2:$K$27,MATCH($C8,'Materials Master'!$A$2:$A$27,0)),"No"))))))="Yes",1,0)</f>
        <v>1</v>
      </c>
    </row>
    <row r="9" customFormat="false" ht="15" hidden="false" customHeight="false" outlineLevel="0" collapsed="false">
      <c r="A9" s="0" t="s">
        <v>91</v>
      </c>
      <c r="B9" s="0" t="s">
        <v>103</v>
      </c>
      <c r="C9" s="0" t="s">
        <v>43</v>
      </c>
      <c r="D9" s="0" t="str">
        <f aca="false">IFERROR(INDEX('Materials Master'!$B$2:$B$27,MATCH($C9,'Materials Master'!$A$2:$A$27,0)),"")</f>
        <v>Paper Cups / Other Coated Paper Containers</v>
      </c>
      <c r="E9" s="0" t="str">
        <f aca="false">IFERROR(INDEX('Materials Master'!$C$2:$C$27,MATCH($C9,'Materials Master'!$A$2:$A$27,0)),"")</f>
        <v>Fibers</v>
      </c>
      <c r="F9" s="0" t="n">
        <f aca="false">(SUMIFS(Fact_PreSortWeights!$E$2:$E$15,Fact_PreSortWeights!$C$2:$C$15,$A9,Fact_PreSortWeights!$B$2:$B$15,$B9,Fact_PreSortWeights!$F$2:$F$15,$C9))+(SUMIFS(Fact_SortedWeights!$E$2:$E$6,Fact_SortedWeights!$C$2:$C$6,$A9,Fact_SortedWeights!$B$2:$B$6,$B9,Fact_SortedWeights!$D$2:$D$6,$C9,Fact_SortedWeights!$L$2:$L$6,"Yes"))+IF((SUMIFS(Fact_SortedWeights!$E$2:$E$6,Fact_SortedWeights!$C$2:$C$6,$A9,Fact_SortedWeights!$B$2:$B$6,$B9,Fact_SortedWeights!$L$2:$L$6,"No"))=0,0,(SUMIFS(Fact_SortedWeights!$E$2:$E$6,Fact_SortedWeights!$C$2:$C$6,$A9,Fact_SortedWeights!$B$2:$B$6,$B9,Fact_SortedWeights!$D$2:$D$6,$C9,Fact_SortedWeights!$L$2:$L$6,"No"))/(SUMIFS(Fact_SortedWeights!$E$2:$E$6,Fact_SortedWeights!$C$2:$C$6,$A9,Fact_SortedWeights!$B$2:$B$6,$B9,Fact_SortedWeights!$L$2:$L$6,"No"))*((SUMIFS(Fact_PreSortWeights!$E$2:$E$15,Fact_PreSortWeights!$C$2:$C$15,$A9,Fact_PreSortWeights!$B$2:$B$15,$B9,Fact_PreSortWeights!$F$2:$F$15,""))-(SUMIFS(Fact_SortedWeights!$E$2:$E$6,Fact_SortedWeights!$C$2:$C$6,$A9,Fact_SortedWeights!$B$2:$B$6,$B9,Fact_SortedWeights!$L$2:$L$6,"Yes"))))</f>
        <v>0</v>
      </c>
      <c r="G9" s="0" t="n">
        <f aca="false">IF(AND(IF($B9="Trash",INDEX('Materials Master'!$F$2:$F$27,MATCH($C9,'Materials Master'!$A$2:$A$27,0)),IF($B9="GMPC Recycling",INDEX('Materials Master'!$G$2:$G$27,MATCH($C9,'Materials Master'!$A$2:$A$27,0)),IF($B9="Organics Recycling",INDEX('Materials Master'!$H$2:$H$27,MATCH($C9,'Materials Master'!$A$2:$A$27,0)),IF($B9="Cardboard Recycling",INDEX('Materials Master'!$I$2:$I$27,MATCH($C9,'Materials Master'!$A$2:$A$27,0)),IF($B9="Paper Recycling",INDEX('Materials Master'!$J$2:$J$27,MATCH($C9,'Materials Master'!$A$2:$A$27,0)),IF($B9="Terracycle",INDEX('Materials Master'!$K$2:$K$27,MATCH($C9,'Materials Master'!$A$2:$A$27,0)),"No"))))))="Yes",INDEX('Materials Master'!$E$2:$E$27,MATCH($C9,'Materials Master'!$A$2:$A$27,0))="Yes",$B9&lt;&gt;"Trash"),1,0)</f>
        <v>0</v>
      </c>
      <c r="H9" s="0" t="str">
        <f aca="false">INDEX('Materials Master'!$E$2:$E$27,MATCH($C9,'Materials Master'!$A$2:$A$27,0))</f>
        <v>No</v>
      </c>
      <c r="I9" s="0" t="str">
        <f aca="false">IFERROR(INDEX(Areas!$C$2:$C$6,MATCH($A9,Areas!$B$2:$B$6,0)),"")</f>
        <v>Rest of Building</v>
      </c>
      <c r="J9" s="0" t="n">
        <f aca="false">IF(IF($B9="Trash",INDEX('Materials Master'!$F$2:$F$27,MATCH($C9,'Materials Master'!$A$2:$A$27,0)),IF($B9="GMPC Recycling",INDEX('Materials Master'!$G$2:$G$27,MATCH($C9,'Materials Master'!$A$2:$A$27,0)),IF($B9="Organics Recycling",INDEX('Materials Master'!$H$2:$H$27,MATCH($C9,'Materials Master'!$A$2:$A$27,0)),IF($B9="Cardboard Recycling",INDEX('Materials Master'!$I$2:$I$27,MATCH($C9,'Materials Master'!$A$2:$A$27,0)),IF($B9="Paper Recycling",INDEX('Materials Master'!$J$2:$J$27,MATCH($C9,'Materials Master'!$A$2:$A$27,0)),IF($B9="Terracycle",INDEX('Materials Master'!$K$2:$K$27,MATCH($C9,'Materials Master'!$A$2:$A$27,0)),"No"))))))="Yes",1,0)</f>
        <v>1</v>
      </c>
    </row>
    <row r="10" customFormat="false" ht="15" hidden="false" customHeight="false" outlineLevel="0" collapsed="false">
      <c r="A10" s="0" t="s">
        <v>91</v>
      </c>
      <c r="B10" s="0" t="s">
        <v>103</v>
      </c>
      <c r="C10" s="0" t="s">
        <v>45</v>
      </c>
      <c r="D10" s="0" t="str">
        <f aca="false">IFERROR(INDEX('Materials Master'!$B$2:$B$27,MATCH($C10,'Materials Master'!$A$2:$A$27,0)),"")</f>
        <v>Glass Bottles &amp; Jars</v>
      </c>
      <c r="E10" s="0" t="str">
        <f aca="false">IFERROR(INDEX('Materials Master'!$C$2:$C$27,MATCH($C10,'Materials Master'!$A$2:$A$27,0)),"")</f>
        <v>Glass</v>
      </c>
      <c r="F10" s="0" t="n">
        <f aca="false">(SUMIFS(Fact_PreSortWeights!$E$2:$E$15,Fact_PreSortWeights!$C$2:$C$15,$A10,Fact_PreSortWeights!$B$2:$B$15,$B10,Fact_PreSortWeights!$F$2:$F$15,$C10))+(SUMIFS(Fact_SortedWeights!$E$2:$E$6,Fact_SortedWeights!$C$2:$C$6,$A10,Fact_SortedWeights!$B$2:$B$6,$B10,Fact_SortedWeights!$D$2:$D$6,$C10,Fact_SortedWeights!$L$2:$L$6,"Yes"))+IF((SUMIFS(Fact_SortedWeights!$E$2:$E$6,Fact_SortedWeights!$C$2:$C$6,$A10,Fact_SortedWeights!$B$2:$B$6,$B10,Fact_SortedWeights!$L$2:$L$6,"No"))=0,0,(SUMIFS(Fact_SortedWeights!$E$2:$E$6,Fact_SortedWeights!$C$2:$C$6,$A10,Fact_SortedWeights!$B$2:$B$6,$B10,Fact_SortedWeights!$D$2:$D$6,$C10,Fact_SortedWeights!$L$2:$L$6,"No"))/(SUMIFS(Fact_SortedWeights!$E$2:$E$6,Fact_SortedWeights!$C$2:$C$6,$A10,Fact_SortedWeights!$B$2:$B$6,$B10,Fact_SortedWeights!$L$2:$L$6,"No"))*((SUMIFS(Fact_PreSortWeights!$E$2:$E$15,Fact_PreSortWeights!$C$2:$C$15,$A10,Fact_PreSortWeights!$B$2:$B$15,$B10,Fact_PreSortWeights!$F$2:$F$15,""))-(SUMIFS(Fact_SortedWeights!$E$2:$E$6,Fact_SortedWeights!$C$2:$C$6,$A10,Fact_SortedWeights!$B$2:$B$6,$B10,Fact_SortedWeights!$L$2:$L$6,"Yes"))))</f>
        <v>0</v>
      </c>
      <c r="G10" s="0" t="n">
        <f aca="false">IF(AND(IF($B10="Trash",INDEX('Materials Master'!$F$2:$F$27,MATCH($C10,'Materials Master'!$A$2:$A$27,0)),IF($B10="GMPC Recycling",INDEX('Materials Master'!$G$2:$G$27,MATCH($C10,'Materials Master'!$A$2:$A$27,0)),IF($B10="Organics Recycling",INDEX('Materials Master'!$H$2:$H$27,MATCH($C10,'Materials Master'!$A$2:$A$27,0)),IF($B10="Cardboard Recycling",INDEX('Materials Master'!$I$2:$I$27,MATCH($C10,'Materials Master'!$A$2:$A$27,0)),IF($B10="Paper Recycling",INDEX('Materials Master'!$J$2:$J$27,MATCH($C10,'Materials Master'!$A$2:$A$27,0)),IF($B10="Terracycle",INDEX('Materials Master'!$K$2:$K$27,MATCH($C10,'Materials Master'!$A$2:$A$27,0)),"No"))))))="Yes",INDEX('Materials Master'!$E$2:$E$27,MATCH($C10,'Materials Master'!$A$2:$A$27,0))="Yes",$B10&lt;&gt;"Trash"),1,0)</f>
        <v>0</v>
      </c>
      <c r="H10" s="0" t="str">
        <f aca="false">INDEX('Materials Master'!$E$2:$E$27,MATCH($C10,'Materials Master'!$A$2:$A$27,0))</f>
        <v>Yes</v>
      </c>
      <c r="I10" s="0" t="str">
        <f aca="false">IFERROR(INDEX(Areas!$C$2:$C$6,MATCH($A10,Areas!$B$2:$B$6,0)),"")</f>
        <v>Rest of Building</v>
      </c>
      <c r="J10" s="0" t="n">
        <f aca="false">IF(IF($B10="Trash",INDEX('Materials Master'!$F$2:$F$27,MATCH($C10,'Materials Master'!$A$2:$A$27,0)),IF($B10="GMPC Recycling",INDEX('Materials Master'!$G$2:$G$27,MATCH($C10,'Materials Master'!$A$2:$A$27,0)),IF($B10="Organics Recycling",INDEX('Materials Master'!$H$2:$H$27,MATCH($C10,'Materials Master'!$A$2:$A$27,0)),IF($B10="Cardboard Recycling",INDEX('Materials Master'!$I$2:$I$27,MATCH($C10,'Materials Master'!$A$2:$A$27,0)),IF($B10="Paper Recycling",INDEX('Materials Master'!$J$2:$J$27,MATCH($C10,'Materials Master'!$A$2:$A$27,0)),IF($B10="Terracycle",INDEX('Materials Master'!$K$2:$K$27,MATCH($C10,'Materials Master'!$A$2:$A$27,0)),"No"))))))="Yes",1,0)</f>
        <v>0</v>
      </c>
    </row>
    <row r="11" customFormat="false" ht="15" hidden="false" customHeight="false" outlineLevel="0" collapsed="false">
      <c r="A11" s="0" t="s">
        <v>91</v>
      </c>
      <c r="B11" s="0" t="s">
        <v>103</v>
      </c>
      <c r="C11" s="0" t="s">
        <v>48</v>
      </c>
      <c r="D11" s="0" t="str">
        <f aca="false">IFERROR(INDEX('Materials Master'!$B$2:$B$27,MATCH($C11,'Materials Master'!$A$2:$A$27,0)),"")</f>
        <v>Soiled Glass</v>
      </c>
      <c r="E11" s="0" t="str">
        <f aca="false">IFERROR(INDEX('Materials Master'!$C$2:$C$27,MATCH($C11,'Materials Master'!$A$2:$A$27,0)),"")</f>
        <v>Glass</v>
      </c>
      <c r="F11" s="0" t="n">
        <f aca="false">(SUMIFS(Fact_PreSortWeights!$E$2:$E$15,Fact_PreSortWeights!$C$2:$C$15,$A11,Fact_PreSortWeights!$B$2:$B$15,$B11,Fact_PreSortWeights!$F$2:$F$15,$C11))+(SUMIFS(Fact_SortedWeights!$E$2:$E$6,Fact_SortedWeights!$C$2:$C$6,$A11,Fact_SortedWeights!$B$2:$B$6,$B11,Fact_SortedWeights!$D$2:$D$6,$C11,Fact_SortedWeights!$L$2:$L$6,"Yes"))+IF((SUMIFS(Fact_SortedWeights!$E$2:$E$6,Fact_SortedWeights!$C$2:$C$6,$A11,Fact_SortedWeights!$B$2:$B$6,$B11,Fact_SortedWeights!$L$2:$L$6,"No"))=0,0,(SUMIFS(Fact_SortedWeights!$E$2:$E$6,Fact_SortedWeights!$C$2:$C$6,$A11,Fact_SortedWeights!$B$2:$B$6,$B11,Fact_SortedWeights!$D$2:$D$6,$C11,Fact_SortedWeights!$L$2:$L$6,"No"))/(SUMIFS(Fact_SortedWeights!$E$2:$E$6,Fact_SortedWeights!$C$2:$C$6,$A11,Fact_SortedWeights!$B$2:$B$6,$B11,Fact_SortedWeights!$L$2:$L$6,"No"))*((SUMIFS(Fact_PreSortWeights!$E$2:$E$15,Fact_PreSortWeights!$C$2:$C$15,$A11,Fact_PreSortWeights!$B$2:$B$15,$B11,Fact_PreSortWeights!$F$2:$F$15,""))-(SUMIFS(Fact_SortedWeights!$E$2:$E$6,Fact_SortedWeights!$C$2:$C$6,$A11,Fact_SortedWeights!$B$2:$B$6,$B11,Fact_SortedWeights!$L$2:$L$6,"Yes"))))</f>
        <v>5</v>
      </c>
      <c r="G11" s="0" t="n">
        <f aca="false">IF(AND(IF($B11="Trash",INDEX('Materials Master'!$F$2:$F$27,MATCH($C11,'Materials Master'!$A$2:$A$27,0)),IF($B11="GMPC Recycling",INDEX('Materials Master'!$G$2:$G$27,MATCH($C11,'Materials Master'!$A$2:$A$27,0)),IF($B11="Organics Recycling",INDEX('Materials Master'!$H$2:$H$27,MATCH($C11,'Materials Master'!$A$2:$A$27,0)),IF($B11="Cardboard Recycling",INDEX('Materials Master'!$I$2:$I$27,MATCH($C11,'Materials Master'!$A$2:$A$27,0)),IF($B11="Paper Recycling",INDEX('Materials Master'!$J$2:$J$27,MATCH($C11,'Materials Master'!$A$2:$A$27,0)),IF($B11="Terracycle",INDEX('Materials Master'!$K$2:$K$27,MATCH($C11,'Materials Master'!$A$2:$A$27,0)),"No"))))))="Yes",INDEX('Materials Master'!$E$2:$E$27,MATCH($C11,'Materials Master'!$A$2:$A$27,0))="Yes",$B11&lt;&gt;"Trash"),1,0)</f>
        <v>0</v>
      </c>
      <c r="H11" s="0" t="str">
        <f aca="false">INDEX('Materials Master'!$E$2:$E$27,MATCH($C11,'Materials Master'!$A$2:$A$27,0))</f>
        <v>No</v>
      </c>
      <c r="I11" s="0" t="str">
        <f aca="false">IFERROR(INDEX(Areas!$C$2:$C$6,MATCH($A11,Areas!$B$2:$B$6,0)),"")</f>
        <v>Rest of Building</v>
      </c>
      <c r="J11" s="0" t="n">
        <f aca="false">IF(IF($B11="Trash",INDEX('Materials Master'!$F$2:$F$27,MATCH($C11,'Materials Master'!$A$2:$A$27,0)),IF($B11="GMPC Recycling",INDEX('Materials Master'!$G$2:$G$27,MATCH($C11,'Materials Master'!$A$2:$A$27,0)),IF($B11="Organics Recycling",INDEX('Materials Master'!$H$2:$H$27,MATCH($C11,'Materials Master'!$A$2:$A$27,0)),IF($B11="Cardboard Recycling",INDEX('Materials Master'!$I$2:$I$27,MATCH($C11,'Materials Master'!$A$2:$A$27,0)),IF($B11="Paper Recycling",INDEX('Materials Master'!$J$2:$J$27,MATCH($C11,'Materials Master'!$A$2:$A$27,0)),IF($B11="Terracycle",INDEX('Materials Master'!$K$2:$K$27,MATCH($C11,'Materials Master'!$A$2:$A$27,0)),"No"))))))="Yes",1,0)</f>
        <v>1</v>
      </c>
    </row>
    <row r="12" customFormat="false" ht="15" hidden="false" customHeight="false" outlineLevel="0" collapsed="false">
      <c r="A12" s="0" t="s">
        <v>91</v>
      </c>
      <c r="B12" s="0" t="s">
        <v>103</v>
      </c>
      <c r="C12" s="0" t="s">
        <v>50</v>
      </c>
      <c r="D12" s="0" t="str">
        <f aca="false">IFERROR(INDEX('Materials Master'!$B$2:$B$27,MATCH($C12,'Materials Master'!$A$2:$A$27,0)),"")</f>
        <v>Aluminum &amp; Bi-Metal Containers</v>
      </c>
      <c r="E12" s="0" t="str">
        <f aca="false">IFERROR(INDEX('Materials Master'!$C$2:$C$27,MATCH($C12,'Materials Master'!$A$2:$A$27,0)),"")</f>
        <v>Metals</v>
      </c>
      <c r="F12" s="0" t="n">
        <f aca="false">(SUMIFS(Fact_PreSortWeights!$E$2:$E$15,Fact_PreSortWeights!$C$2:$C$15,$A12,Fact_PreSortWeights!$B$2:$B$15,$B12,Fact_PreSortWeights!$F$2:$F$15,$C12))+(SUMIFS(Fact_SortedWeights!$E$2:$E$6,Fact_SortedWeights!$C$2:$C$6,$A12,Fact_SortedWeights!$B$2:$B$6,$B12,Fact_SortedWeights!$D$2:$D$6,$C12,Fact_SortedWeights!$L$2:$L$6,"Yes"))+IF((SUMIFS(Fact_SortedWeights!$E$2:$E$6,Fact_SortedWeights!$C$2:$C$6,$A12,Fact_SortedWeights!$B$2:$B$6,$B12,Fact_SortedWeights!$L$2:$L$6,"No"))=0,0,(SUMIFS(Fact_SortedWeights!$E$2:$E$6,Fact_SortedWeights!$C$2:$C$6,$A12,Fact_SortedWeights!$B$2:$B$6,$B12,Fact_SortedWeights!$D$2:$D$6,$C12,Fact_SortedWeights!$L$2:$L$6,"No"))/(SUMIFS(Fact_SortedWeights!$E$2:$E$6,Fact_SortedWeights!$C$2:$C$6,$A12,Fact_SortedWeights!$B$2:$B$6,$B12,Fact_SortedWeights!$L$2:$L$6,"No"))*((SUMIFS(Fact_PreSortWeights!$E$2:$E$15,Fact_PreSortWeights!$C$2:$C$15,$A12,Fact_PreSortWeights!$B$2:$B$15,$B12,Fact_PreSortWeights!$F$2:$F$15,""))-(SUMIFS(Fact_SortedWeights!$E$2:$E$6,Fact_SortedWeights!$C$2:$C$6,$A12,Fact_SortedWeights!$B$2:$B$6,$B12,Fact_SortedWeights!$L$2:$L$6,"Yes"))))</f>
        <v>0</v>
      </c>
      <c r="G12" s="0" t="n">
        <f aca="false">IF(AND(IF($B12="Trash",INDEX('Materials Master'!$F$2:$F$27,MATCH($C12,'Materials Master'!$A$2:$A$27,0)),IF($B12="GMPC Recycling",INDEX('Materials Master'!$G$2:$G$27,MATCH($C12,'Materials Master'!$A$2:$A$27,0)),IF($B12="Organics Recycling",INDEX('Materials Master'!$H$2:$H$27,MATCH($C12,'Materials Master'!$A$2:$A$27,0)),IF($B12="Cardboard Recycling",INDEX('Materials Master'!$I$2:$I$27,MATCH($C12,'Materials Master'!$A$2:$A$27,0)),IF($B12="Paper Recycling",INDEX('Materials Master'!$J$2:$J$27,MATCH($C12,'Materials Master'!$A$2:$A$27,0)),IF($B12="Terracycle",INDEX('Materials Master'!$K$2:$K$27,MATCH($C12,'Materials Master'!$A$2:$A$27,0)),"No"))))))="Yes",INDEX('Materials Master'!$E$2:$E$27,MATCH($C12,'Materials Master'!$A$2:$A$27,0))="Yes",$B12&lt;&gt;"Trash"),1,0)</f>
        <v>0</v>
      </c>
      <c r="H12" s="0" t="str">
        <f aca="false">INDEX('Materials Master'!$E$2:$E$27,MATCH($C12,'Materials Master'!$A$2:$A$27,0))</f>
        <v>Yes</v>
      </c>
      <c r="I12" s="0" t="str">
        <f aca="false">IFERROR(INDEX(Areas!$C$2:$C$6,MATCH($A12,Areas!$B$2:$B$6,0)),"")</f>
        <v>Rest of Building</v>
      </c>
      <c r="J12" s="0" t="n">
        <f aca="false">IF(IF($B12="Trash",INDEX('Materials Master'!$F$2:$F$27,MATCH($C12,'Materials Master'!$A$2:$A$27,0)),IF($B12="GMPC Recycling",INDEX('Materials Master'!$G$2:$G$27,MATCH($C12,'Materials Master'!$A$2:$A$27,0)),IF($B12="Organics Recycling",INDEX('Materials Master'!$H$2:$H$27,MATCH($C12,'Materials Master'!$A$2:$A$27,0)),IF($B12="Cardboard Recycling",INDEX('Materials Master'!$I$2:$I$27,MATCH($C12,'Materials Master'!$A$2:$A$27,0)),IF($B12="Paper Recycling",INDEX('Materials Master'!$J$2:$J$27,MATCH($C12,'Materials Master'!$A$2:$A$27,0)),IF($B12="Terracycle",INDEX('Materials Master'!$K$2:$K$27,MATCH($C12,'Materials Master'!$A$2:$A$27,0)),"No"))))))="Yes",1,0)</f>
        <v>0</v>
      </c>
    </row>
    <row r="13" customFormat="false" ht="15" hidden="false" customHeight="false" outlineLevel="0" collapsed="false">
      <c r="A13" s="0" t="s">
        <v>91</v>
      </c>
      <c r="B13" s="0" t="s">
        <v>103</v>
      </c>
      <c r="C13" s="0" t="s">
        <v>53</v>
      </c>
      <c r="D13" s="0" t="str">
        <f aca="false">IFERROR(INDEX('Materials Master'!$B$2:$B$27,MATCH($C13,'Materials Master'!$A$2:$A$27,0)),"")</f>
        <v>Soiled Metals</v>
      </c>
      <c r="E13" s="0" t="str">
        <f aca="false">IFERROR(INDEX('Materials Master'!$C$2:$C$27,MATCH($C13,'Materials Master'!$A$2:$A$27,0)),"")</f>
        <v>Metals</v>
      </c>
      <c r="F13" s="0" t="n">
        <f aca="false">(SUMIFS(Fact_PreSortWeights!$E$2:$E$15,Fact_PreSortWeights!$C$2:$C$15,$A13,Fact_PreSortWeights!$B$2:$B$15,$B13,Fact_PreSortWeights!$F$2:$F$15,$C13))+(SUMIFS(Fact_SortedWeights!$E$2:$E$6,Fact_SortedWeights!$C$2:$C$6,$A13,Fact_SortedWeights!$B$2:$B$6,$B13,Fact_SortedWeights!$D$2:$D$6,$C13,Fact_SortedWeights!$L$2:$L$6,"Yes"))+IF((SUMIFS(Fact_SortedWeights!$E$2:$E$6,Fact_SortedWeights!$C$2:$C$6,$A13,Fact_SortedWeights!$B$2:$B$6,$B13,Fact_SortedWeights!$L$2:$L$6,"No"))=0,0,(SUMIFS(Fact_SortedWeights!$E$2:$E$6,Fact_SortedWeights!$C$2:$C$6,$A13,Fact_SortedWeights!$B$2:$B$6,$B13,Fact_SortedWeights!$D$2:$D$6,$C13,Fact_SortedWeights!$L$2:$L$6,"No"))/(SUMIFS(Fact_SortedWeights!$E$2:$E$6,Fact_SortedWeights!$C$2:$C$6,$A13,Fact_SortedWeights!$B$2:$B$6,$B13,Fact_SortedWeights!$L$2:$L$6,"No"))*((SUMIFS(Fact_PreSortWeights!$E$2:$E$15,Fact_PreSortWeights!$C$2:$C$15,$A13,Fact_PreSortWeights!$B$2:$B$15,$B13,Fact_PreSortWeights!$F$2:$F$15,""))-(SUMIFS(Fact_SortedWeights!$E$2:$E$6,Fact_SortedWeights!$C$2:$C$6,$A13,Fact_SortedWeights!$B$2:$B$6,$B13,Fact_SortedWeights!$L$2:$L$6,"Yes"))))</f>
        <v>0</v>
      </c>
      <c r="G13" s="0" t="n">
        <f aca="false">IF(AND(IF($B13="Trash",INDEX('Materials Master'!$F$2:$F$27,MATCH($C13,'Materials Master'!$A$2:$A$27,0)),IF($B13="GMPC Recycling",INDEX('Materials Master'!$G$2:$G$27,MATCH($C13,'Materials Master'!$A$2:$A$27,0)),IF($B13="Organics Recycling",INDEX('Materials Master'!$H$2:$H$27,MATCH($C13,'Materials Master'!$A$2:$A$27,0)),IF($B13="Cardboard Recycling",INDEX('Materials Master'!$I$2:$I$27,MATCH($C13,'Materials Master'!$A$2:$A$27,0)),IF($B13="Paper Recycling",INDEX('Materials Master'!$J$2:$J$27,MATCH($C13,'Materials Master'!$A$2:$A$27,0)),IF($B13="Terracycle",INDEX('Materials Master'!$K$2:$K$27,MATCH($C13,'Materials Master'!$A$2:$A$27,0)),"No"))))))="Yes",INDEX('Materials Master'!$E$2:$E$27,MATCH($C13,'Materials Master'!$A$2:$A$27,0))="Yes",$B13&lt;&gt;"Trash"),1,0)</f>
        <v>0</v>
      </c>
      <c r="H13" s="0" t="str">
        <f aca="false">INDEX('Materials Master'!$E$2:$E$27,MATCH($C13,'Materials Master'!$A$2:$A$27,0))</f>
        <v>No</v>
      </c>
      <c r="I13" s="0" t="str">
        <f aca="false">IFERROR(INDEX(Areas!$C$2:$C$6,MATCH($A13,Areas!$B$2:$B$6,0)),"")</f>
        <v>Rest of Building</v>
      </c>
      <c r="J13" s="0" t="n">
        <f aca="false">IF(IF($B13="Trash",INDEX('Materials Master'!$F$2:$F$27,MATCH($C13,'Materials Master'!$A$2:$A$27,0)),IF($B13="GMPC Recycling",INDEX('Materials Master'!$G$2:$G$27,MATCH($C13,'Materials Master'!$A$2:$A$27,0)),IF($B13="Organics Recycling",INDEX('Materials Master'!$H$2:$H$27,MATCH($C13,'Materials Master'!$A$2:$A$27,0)),IF($B13="Cardboard Recycling",INDEX('Materials Master'!$I$2:$I$27,MATCH($C13,'Materials Master'!$A$2:$A$27,0)),IF($B13="Paper Recycling",INDEX('Materials Master'!$J$2:$J$27,MATCH($C13,'Materials Master'!$A$2:$A$27,0)),IF($B13="Terracycle",INDEX('Materials Master'!$K$2:$K$27,MATCH($C13,'Materials Master'!$A$2:$A$27,0)),"No"))))))="Yes",1,0)</f>
        <v>1</v>
      </c>
    </row>
    <row r="14" customFormat="false" ht="15" hidden="false" customHeight="false" outlineLevel="0" collapsed="false">
      <c r="A14" s="0" t="s">
        <v>91</v>
      </c>
      <c r="B14" s="0" t="s">
        <v>103</v>
      </c>
      <c r="C14" s="0" t="s">
        <v>55</v>
      </c>
      <c r="D14" s="0" t="str">
        <f aca="false">IFERROR(INDEX('Materials Master'!$B$2:$B$27,MATCH($C14,'Materials Master'!$A$2:$A$27,0)),"")</f>
        <v>Rigid Plastics (1-6)</v>
      </c>
      <c r="E14" s="0" t="str">
        <f aca="false">IFERROR(INDEX('Materials Master'!$C$2:$C$27,MATCH($C14,'Materials Master'!$A$2:$A$27,0)),"")</f>
        <v>Plastics</v>
      </c>
      <c r="F14" s="0" t="n">
        <f aca="false">(SUMIFS(Fact_PreSortWeights!$E$2:$E$15,Fact_PreSortWeights!$C$2:$C$15,$A14,Fact_PreSortWeights!$B$2:$B$15,$B14,Fact_PreSortWeights!$F$2:$F$15,$C14))+(SUMIFS(Fact_SortedWeights!$E$2:$E$6,Fact_SortedWeights!$C$2:$C$6,$A14,Fact_SortedWeights!$B$2:$B$6,$B14,Fact_SortedWeights!$D$2:$D$6,$C14,Fact_SortedWeights!$L$2:$L$6,"Yes"))+IF((SUMIFS(Fact_SortedWeights!$E$2:$E$6,Fact_SortedWeights!$C$2:$C$6,$A14,Fact_SortedWeights!$B$2:$B$6,$B14,Fact_SortedWeights!$L$2:$L$6,"No"))=0,0,(SUMIFS(Fact_SortedWeights!$E$2:$E$6,Fact_SortedWeights!$C$2:$C$6,$A14,Fact_SortedWeights!$B$2:$B$6,$B14,Fact_SortedWeights!$D$2:$D$6,$C14,Fact_SortedWeights!$L$2:$L$6,"No"))/(SUMIFS(Fact_SortedWeights!$E$2:$E$6,Fact_SortedWeights!$C$2:$C$6,$A14,Fact_SortedWeights!$B$2:$B$6,$B14,Fact_SortedWeights!$L$2:$L$6,"No"))*((SUMIFS(Fact_PreSortWeights!$E$2:$E$15,Fact_PreSortWeights!$C$2:$C$15,$A14,Fact_PreSortWeights!$B$2:$B$15,$B14,Fact_PreSortWeights!$F$2:$F$15,""))-(SUMIFS(Fact_SortedWeights!$E$2:$E$6,Fact_SortedWeights!$C$2:$C$6,$A14,Fact_SortedWeights!$B$2:$B$6,$B14,Fact_SortedWeights!$L$2:$L$6,"Yes"))))</f>
        <v>0</v>
      </c>
      <c r="G14" s="0" t="n">
        <f aca="false">IF(AND(IF($B14="Trash",INDEX('Materials Master'!$F$2:$F$27,MATCH($C14,'Materials Master'!$A$2:$A$27,0)),IF($B14="GMPC Recycling",INDEX('Materials Master'!$G$2:$G$27,MATCH($C14,'Materials Master'!$A$2:$A$27,0)),IF($B14="Organics Recycling",INDEX('Materials Master'!$H$2:$H$27,MATCH($C14,'Materials Master'!$A$2:$A$27,0)),IF($B14="Cardboard Recycling",INDEX('Materials Master'!$I$2:$I$27,MATCH($C14,'Materials Master'!$A$2:$A$27,0)),IF($B14="Paper Recycling",INDEX('Materials Master'!$J$2:$J$27,MATCH($C14,'Materials Master'!$A$2:$A$27,0)),IF($B14="Terracycle",INDEX('Materials Master'!$K$2:$K$27,MATCH($C14,'Materials Master'!$A$2:$A$27,0)),"No"))))))="Yes",INDEX('Materials Master'!$E$2:$E$27,MATCH($C14,'Materials Master'!$A$2:$A$27,0))="Yes",$B14&lt;&gt;"Trash"),1,0)</f>
        <v>0</v>
      </c>
      <c r="H14" s="0" t="str">
        <f aca="false">INDEX('Materials Master'!$E$2:$E$27,MATCH($C14,'Materials Master'!$A$2:$A$27,0))</f>
        <v>Yes</v>
      </c>
      <c r="I14" s="0" t="str">
        <f aca="false">IFERROR(INDEX(Areas!$C$2:$C$6,MATCH($A14,Areas!$B$2:$B$6,0)),"")</f>
        <v>Rest of Building</v>
      </c>
      <c r="J14" s="0" t="n">
        <f aca="false">IF(IF($B14="Trash",INDEX('Materials Master'!$F$2:$F$27,MATCH($C14,'Materials Master'!$A$2:$A$27,0)),IF($B14="GMPC Recycling",INDEX('Materials Master'!$G$2:$G$27,MATCH($C14,'Materials Master'!$A$2:$A$27,0)),IF($B14="Organics Recycling",INDEX('Materials Master'!$H$2:$H$27,MATCH($C14,'Materials Master'!$A$2:$A$27,0)),IF($B14="Cardboard Recycling",INDEX('Materials Master'!$I$2:$I$27,MATCH($C14,'Materials Master'!$A$2:$A$27,0)),IF($B14="Paper Recycling",INDEX('Materials Master'!$J$2:$J$27,MATCH($C14,'Materials Master'!$A$2:$A$27,0)),IF($B14="Terracycle",INDEX('Materials Master'!$K$2:$K$27,MATCH($C14,'Materials Master'!$A$2:$A$27,0)),"No"))))))="Yes",1,0)</f>
        <v>0</v>
      </c>
    </row>
    <row r="15" customFormat="false" ht="15" hidden="false" customHeight="false" outlineLevel="0" collapsed="false">
      <c r="A15" s="0" t="s">
        <v>91</v>
      </c>
      <c r="B15" s="0" t="s">
        <v>103</v>
      </c>
      <c r="C15" s="0" t="s">
        <v>58</v>
      </c>
      <c r="D15" s="0" t="str">
        <f aca="false">IFERROR(INDEX('Materials Master'!$B$2:$B$27,MATCH($C15,'Materials Master'!$A$2:$A$27,0)),"")</f>
        <v>Soiled Rigid Plastics</v>
      </c>
      <c r="E15" s="0" t="str">
        <f aca="false">IFERROR(INDEX('Materials Master'!$C$2:$C$27,MATCH($C15,'Materials Master'!$A$2:$A$27,0)),"")</f>
        <v>Plastics</v>
      </c>
      <c r="F15" s="0" t="n">
        <f aca="false">(SUMIFS(Fact_PreSortWeights!$E$2:$E$15,Fact_PreSortWeights!$C$2:$C$15,$A15,Fact_PreSortWeights!$B$2:$B$15,$B15,Fact_PreSortWeights!$F$2:$F$15,$C15))+(SUMIFS(Fact_SortedWeights!$E$2:$E$6,Fact_SortedWeights!$C$2:$C$6,$A15,Fact_SortedWeights!$B$2:$B$6,$B15,Fact_SortedWeights!$D$2:$D$6,$C15,Fact_SortedWeights!$L$2:$L$6,"Yes"))+IF((SUMIFS(Fact_SortedWeights!$E$2:$E$6,Fact_SortedWeights!$C$2:$C$6,$A15,Fact_SortedWeights!$B$2:$B$6,$B15,Fact_SortedWeights!$L$2:$L$6,"No"))=0,0,(SUMIFS(Fact_SortedWeights!$E$2:$E$6,Fact_SortedWeights!$C$2:$C$6,$A15,Fact_SortedWeights!$B$2:$B$6,$B15,Fact_SortedWeights!$D$2:$D$6,$C15,Fact_SortedWeights!$L$2:$L$6,"No"))/(SUMIFS(Fact_SortedWeights!$E$2:$E$6,Fact_SortedWeights!$C$2:$C$6,$A15,Fact_SortedWeights!$B$2:$B$6,$B15,Fact_SortedWeights!$L$2:$L$6,"No"))*((SUMIFS(Fact_PreSortWeights!$E$2:$E$15,Fact_PreSortWeights!$C$2:$C$15,$A15,Fact_PreSortWeights!$B$2:$B$15,$B15,Fact_PreSortWeights!$F$2:$F$15,""))-(SUMIFS(Fact_SortedWeights!$E$2:$E$6,Fact_SortedWeights!$C$2:$C$6,$A15,Fact_SortedWeights!$B$2:$B$6,$B15,Fact_SortedWeights!$L$2:$L$6,"Yes"))))</f>
        <v>0</v>
      </c>
      <c r="G15" s="0" t="n">
        <f aca="false">IF(AND(IF($B15="Trash",INDEX('Materials Master'!$F$2:$F$27,MATCH($C15,'Materials Master'!$A$2:$A$27,0)),IF($B15="GMPC Recycling",INDEX('Materials Master'!$G$2:$G$27,MATCH($C15,'Materials Master'!$A$2:$A$27,0)),IF($B15="Organics Recycling",INDEX('Materials Master'!$H$2:$H$27,MATCH($C15,'Materials Master'!$A$2:$A$27,0)),IF($B15="Cardboard Recycling",INDEX('Materials Master'!$I$2:$I$27,MATCH($C15,'Materials Master'!$A$2:$A$27,0)),IF($B15="Paper Recycling",INDEX('Materials Master'!$J$2:$J$27,MATCH($C15,'Materials Master'!$A$2:$A$27,0)),IF($B15="Terracycle",INDEX('Materials Master'!$K$2:$K$27,MATCH($C15,'Materials Master'!$A$2:$A$27,0)),"No"))))))="Yes",INDEX('Materials Master'!$E$2:$E$27,MATCH($C15,'Materials Master'!$A$2:$A$27,0))="Yes",$B15&lt;&gt;"Trash"),1,0)</f>
        <v>0</v>
      </c>
      <c r="H15" s="0" t="str">
        <f aca="false">INDEX('Materials Master'!$E$2:$E$27,MATCH($C15,'Materials Master'!$A$2:$A$27,0))</f>
        <v>No</v>
      </c>
      <c r="I15" s="0" t="str">
        <f aca="false">IFERROR(INDEX(Areas!$C$2:$C$6,MATCH($A15,Areas!$B$2:$B$6,0)),"")</f>
        <v>Rest of Building</v>
      </c>
      <c r="J15" s="0" t="n">
        <f aca="false">IF(IF($B15="Trash",INDEX('Materials Master'!$F$2:$F$27,MATCH($C15,'Materials Master'!$A$2:$A$27,0)),IF($B15="GMPC Recycling",INDEX('Materials Master'!$G$2:$G$27,MATCH($C15,'Materials Master'!$A$2:$A$27,0)),IF($B15="Organics Recycling",INDEX('Materials Master'!$H$2:$H$27,MATCH($C15,'Materials Master'!$A$2:$A$27,0)),IF($B15="Cardboard Recycling",INDEX('Materials Master'!$I$2:$I$27,MATCH($C15,'Materials Master'!$A$2:$A$27,0)),IF($B15="Paper Recycling",INDEX('Materials Master'!$J$2:$J$27,MATCH($C15,'Materials Master'!$A$2:$A$27,0)),IF($B15="Terracycle",INDEX('Materials Master'!$K$2:$K$27,MATCH($C15,'Materials Master'!$A$2:$A$27,0)),"No"))))))="Yes",1,0)</f>
        <v>1</v>
      </c>
    </row>
    <row r="16" customFormat="false" ht="15" hidden="false" customHeight="false" outlineLevel="0" collapsed="false">
      <c r="A16" s="0" t="s">
        <v>91</v>
      </c>
      <c r="B16" s="0" t="s">
        <v>103</v>
      </c>
      <c r="C16" s="0" t="s">
        <v>60</v>
      </c>
      <c r="D16" s="0" t="str">
        <f aca="false">IFERROR(INDEX('Materials Master'!$B$2:$B$27,MATCH($C16,'Materials Master'!$A$2:$A$27,0)),"")</f>
        <v>Film Plastics</v>
      </c>
      <c r="E16" s="0" t="str">
        <f aca="false">IFERROR(INDEX('Materials Master'!$C$2:$C$27,MATCH($C16,'Materials Master'!$A$2:$A$27,0)),"")</f>
        <v>Plastics</v>
      </c>
      <c r="F16" s="0" t="n">
        <f aca="false">(SUMIFS(Fact_PreSortWeights!$E$2:$E$15,Fact_PreSortWeights!$C$2:$C$15,$A16,Fact_PreSortWeights!$B$2:$B$15,$B16,Fact_PreSortWeights!$F$2:$F$15,$C16))+(SUMIFS(Fact_SortedWeights!$E$2:$E$6,Fact_SortedWeights!$C$2:$C$6,$A16,Fact_SortedWeights!$B$2:$B$6,$B16,Fact_SortedWeights!$D$2:$D$6,$C16,Fact_SortedWeights!$L$2:$L$6,"Yes"))+IF((SUMIFS(Fact_SortedWeights!$E$2:$E$6,Fact_SortedWeights!$C$2:$C$6,$A16,Fact_SortedWeights!$B$2:$B$6,$B16,Fact_SortedWeights!$L$2:$L$6,"No"))=0,0,(SUMIFS(Fact_SortedWeights!$E$2:$E$6,Fact_SortedWeights!$C$2:$C$6,$A16,Fact_SortedWeights!$B$2:$B$6,$B16,Fact_SortedWeights!$D$2:$D$6,$C16,Fact_SortedWeights!$L$2:$L$6,"No"))/(SUMIFS(Fact_SortedWeights!$E$2:$E$6,Fact_SortedWeights!$C$2:$C$6,$A16,Fact_SortedWeights!$B$2:$B$6,$B16,Fact_SortedWeights!$L$2:$L$6,"No"))*((SUMIFS(Fact_PreSortWeights!$E$2:$E$15,Fact_PreSortWeights!$C$2:$C$15,$A16,Fact_PreSortWeights!$B$2:$B$15,$B16,Fact_PreSortWeights!$F$2:$F$15,""))-(SUMIFS(Fact_SortedWeights!$E$2:$E$6,Fact_SortedWeights!$C$2:$C$6,$A16,Fact_SortedWeights!$B$2:$B$6,$B16,Fact_SortedWeights!$L$2:$L$6,"Yes"))))</f>
        <v>0</v>
      </c>
      <c r="G16" s="0" t="n">
        <f aca="false">IF(AND(IF($B16="Trash",INDEX('Materials Master'!$F$2:$F$27,MATCH($C16,'Materials Master'!$A$2:$A$27,0)),IF($B16="GMPC Recycling",INDEX('Materials Master'!$G$2:$G$27,MATCH($C16,'Materials Master'!$A$2:$A$27,0)),IF($B16="Organics Recycling",INDEX('Materials Master'!$H$2:$H$27,MATCH($C16,'Materials Master'!$A$2:$A$27,0)),IF($B16="Cardboard Recycling",INDEX('Materials Master'!$I$2:$I$27,MATCH($C16,'Materials Master'!$A$2:$A$27,0)),IF($B16="Paper Recycling",INDEX('Materials Master'!$J$2:$J$27,MATCH($C16,'Materials Master'!$A$2:$A$27,0)),IF($B16="Terracycle",INDEX('Materials Master'!$K$2:$K$27,MATCH($C16,'Materials Master'!$A$2:$A$27,0)),"No"))))))="Yes",INDEX('Materials Master'!$E$2:$E$27,MATCH($C16,'Materials Master'!$A$2:$A$27,0))="Yes",$B16&lt;&gt;"Trash"),1,0)</f>
        <v>0</v>
      </c>
      <c r="H16" s="0" t="str">
        <f aca="false">INDEX('Materials Master'!$E$2:$E$27,MATCH($C16,'Materials Master'!$A$2:$A$27,0))</f>
        <v>No</v>
      </c>
      <c r="I16" s="0" t="str">
        <f aca="false">IFERROR(INDEX(Areas!$C$2:$C$6,MATCH($A16,Areas!$B$2:$B$6,0)),"")</f>
        <v>Rest of Building</v>
      </c>
      <c r="J16" s="0" t="n">
        <f aca="false">IF(IF($B16="Trash",INDEX('Materials Master'!$F$2:$F$27,MATCH($C16,'Materials Master'!$A$2:$A$27,0)),IF($B16="GMPC Recycling",INDEX('Materials Master'!$G$2:$G$27,MATCH($C16,'Materials Master'!$A$2:$A$27,0)),IF($B16="Organics Recycling",INDEX('Materials Master'!$H$2:$H$27,MATCH($C16,'Materials Master'!$A$2:$A$27,0)),IF($B16="Cardboard Recycling",INDEX('Materials Master'!$I$2:$I$27,MATCH($C16,'Materials Master'!$A$2:$A$27,0)),IF($B16="Paper Recycling",INDEX('Materials Master'!$J$2:$J$27,MATCH($C16,'Materials Master'!$A$2:$A$27,0)),IF($B16="Terracycle",INDEX('Materials Master'!$K$2:$K$27,MATCH($C16,'Materials Master'!$A$2:$A$27,0)),"No"))))))="Yes",1,0)</f>
        <v>1</v>
      </c>
    </row>
    <row r="17" customFormat="false" ht="15" hidden="false" customHeight="false" outlineLevel="0" collapsed="false">
      <c r="A17" s="0" t="s">
        <v>91</v>
      </c>
      <c r="B17" s="0" t="s">
        <v>103</v>
      </c>
      <c r="C17" s="0" t="s">
        <v>62</v>
      </c>
      <c r="D17" s="0" t="str">
        <f aca="false">IFERROR(INDEX('Materials Master'!$B$2:$B$27,MATCH($C17,'Materials Master'!$A$2:$A$27,0)),"")</f>
        <v>Foams</v>
      </c>
      <c r="E17" s="0" t="str">
        <f aca="false">IFERROR(INDEX('Materials Master'!$C$2:$C$27,MATCH($C17,'Materials Master'!$A$2:$A$27,0)),"")</f>
        <v>Plastics</v>
      </c>
      <c r="F17" s="0" t="n">
        <f aca="false">(SUMIFS(Fact_PreSortWeights!$E$2:$E$15,Fact_PreSortWeights!$C$2:$C$15,$A17,Fact_PreSortWeights!$B$2:$B$15,$B17,Fact_PreSortWeights!$F$2:$F$15,$C17))+(SUMIFS(Fact_SortedWeights!$E$2:$E$6,Fact_SortedWeights!$C$2:$C$6,$A17,Fact_SortedWeights!$B$2:$B$6,$B17,Fact_SortedWeights!$D$2:$D$6,$C17,Fact_SortedWeights!$L$2:$L$6,"Yes"))+IF((SUMIFS(Fact_SortedWeights!$E$2:$E$6,Fact_SortedWeights!$C$2:$C$6,$A17,Fact_SortedWeights!$B$2:$B$6,$B17,Fact_SortedWeights!$L$2:$L$6,"No"))=0,0,(SUMIFS(Fact_SortedWeights!$E$2:$E$6,Fact_SortedWeights!$C$2:$C$6,$A17,Fact_SortedWeights!$B$2:$B$6,$B17,Fact_SortedWeights!$D$2:$D$6,$C17,Fact_SortedWeights!$L$2:$L$6,"No"))/(SUMIFS(Fact_SortedWeights!$E$2:$E$6,Fact_SortedWeights!$C$2:$C$6,$A17,Fact_SortedWeights!$B$2:$B$6,$B17,Fact_SortedWeights!$L$2:$L$6,"No"))*((SUMIFS(Fact_PreSortWeights!$E$2:$E$15,Fact_PreSortWeights!$C$2:$C$15,$A17,Fact_PreSortWeights!$B$2:$B$15,$B17,Fact_PreSortWeights!$F$2:$F$15,""))-(SUMIFS(Fact_SortedWeights!$E$2:$E$6,Fact_SortedWeights!$C$2:$C$6,$A17,Fact_SortedWeights!$B$2:$B$6,$B17,Fact_SortedWeights!$L$2:$L$6,"Yes"))))</f>
        <v>0</v>
      </c>
      <c r="G17" s="0" t="n">
        <f aca="false">IF(AND(IF($B17="Trash",INDEX('Materials Master'!$F$2:$F$27,MATCH($C17,'Materials Master'!$A$2:$A$27,0)),IF($B17="GMPC Recycling",INDEX('Materials Master'!$G$2:$G$27,MATCH($C17,'Materials Master'!$A$2:$A$27,0)),IF($B17="Organics Recycling",INDEX('Materials Master'!$H$2:$H$27,MATCH($C17,'Materials Master'!$A$2:$A$27,0)),IF($B17="Cardboard Recycling",INDEX('Materials Master'!$I$2:$I$27,MATCH($C17,'Materials Master'!$A$2:$A$27,0)),IF($B17="Paper Recycling",INDEX('Materials Master'!$J$2:$J$27,MATCH($C17,'Materials Master'!$A$2:$A$27,0)),IF($B17="Terracycle",INDEX('Materials Master'!$K$2:$K$27,MATCH($C17,'Materials Master'!$A$2:$A$27,0)),"No"))))))="Yes",INDEX('Materials Master'!$E$2:$E$27,MATCH($C17,'Materials Master'!$A$2:$A$27,0))="Yes",$B17&lt;&gt;"Trash"),1,0)</f>
        <v>0</v>
      </c>
      <c r="H17" s="0" t="str">
        <f aca="false">INDEX('Materials Master'!$E$2:$E$27,MATCH($C17,'Materials Master'!$A$2:$A$27,0))</f>
        <v>No</v>
      </c>
      <c r="I17" s="0" t="str">
        <f aca="false">IFERROR(INDEX(Areas!$C$2:$C$6,MATCH($A17,Areas!$B$2:$B$6,0)),"")</f>
        <v>Rest of Building</v>
      </c>
      <c r="J17" s="0" t="n">
        <f aca="false">IF(IF($B17="Trash",INDEX('Materials Master'!$F$2:$F$27,MATCH($C17,'Materials Master'!$A$2:$A$27,0)),IF($B17="GMPC Recycling",INDEX('Materials Master'!$G$2:$G$27,MATCH($C17,'Materials Master'!$A$2:$A$27,0)),IF($B17="Organics Recycling",INDEX('Materials Master'!$H$2:$H$27,MATCH($C17,'Materials Master'!$A$2:$A$27,0)),IF($B17="Cardboard Recycling",INDEX('Materials Master'!$I$2:$I$27,MATCH($C17,'Materials Master'!$A$2:$A$27,0)),IF($B17="Paper Recycling",INDEX('Materials Master'!$J$2:$J$27,MATCH($C17,'Materials Master'!$A$2:$A$27,0)),IF($B17="Terracycle",INDEX('Materials Master'!$K$2:$K$27,MATCH($C17,'Materials Master'!$A$2:$A$27,0)),"No"))))))="Yes",1,0)</f>
        <v>1</v>
      </c>
    </row>
    <row r="18" customFormat="false" ht="15" hidden="false" customHeight="false" outlineLevel="0" collapsed="false">
      <c r="A18" s="0" t="s">
        <v>91</v>
      </c>
      <c r="B18" s="0" t="s">
        <v>103</v>
      </c>
      <c r="C18" s="0" t="s">
        <v>64</v>
      </c>
      <c r="D18" s="0" t="str">
        <f aca="false">IFERROR(INDEX('Materials Master'!$B$2:$B$27,MATCH($C18,'Materials Master'!$A$2:$A$27,0)),"")</f>
        <v>Food Waste</v>
      </c>
      <c r="E18" s="0" t="str">
        <f aca="false">IFERROR(INDEX('Materials Master'!$C$2:$C$27,MATCH($C18,'Materials Master'!$A$2:$A$27,0)),"")</f>
        <v>Organics</v>
      </c>
      <c r="F18" s="0" t="n">
        <f aca="false">(SUMIFS(Fact_PreSortWeights!$E$2:$E$15,Fact_PreSortWeights!$C$2:$C$15,$A18,Fact_PreSortWeights!$B$2:$B$15,$B18,Fact_PreSortWeights!$F$2:$F$15,$C18))+(SUMIFS(Fact_SortedWeights!$E$2:$E$6,Fact_SortedWeights!$C$2:$C$6,$A18,Fact_SortedWeights!$B$2:$B$6,$B18,Fact_SortedWeights!$D$2:$D$6,$C18,Fact_SortedWeights!$L$2:$L$6,"Yes"))+IF((SUMIFS(Fact_SortedWeights!$E$2:$E$6,Fact_SortedWeights!$C$2:$C$6,$A18,Fact_SortedWeights!$B$2:$B$6,$B18,Fact_SortedWeights!$L$2:$L$6,"No"))=0,0,(SUMIFS(Fact_SortedWeights!$E$2:$E$6,Fact_SortedWeights!$C$2:$C$6,$A18,Fact_SortedWeights!$B$2:$B$6,$B18,Fact_SortedWeights!$D$2:$D$6,$C18,Fact_SortedWeights!$L$2:$L$6,"No"))/(SUMIFS(Fact_SortedWeights!$E$2:$E$6,Fact_SortedWeights!$C$2:$C$6,$A18,Fact_SortedWeights!$B$2:$B$6,$B18,Fact_SortedWeights!$L$2:$L$6,"No"))*((SUMIFS(Fact_PreSortWeights!$E$2:$E$15,Fact_PreSortWeights!$C$2:$C$15,$A18,Fact_PreSortWeights!$B$2:$B$15,$B18,Fact_PreSortWeights!$F$2:$F$15,""))-(SUMIFS(Fact_SortedWeights!$E$2:$E$6,Fact_SortedWeights!$C$2:$C$6,$A18,Fact_SortedWeights!$B$2:$B$6,$B18,Fact_SortedWeights!$L$2:$L$6,"Yes"))))</f>
        <v>0</v>
      </c>
      <c r="G18" s="0" t="n">
        <f aca="false">IF(AND(IF($B18="Trash",INDEX('Materials Master'!$F$2:$F$27,MATCH($C18,'Materials Master'!$A$2:$A$27,0)),IF($B18="GMPC Recycling",INDEX('Materials Master'!$G$2:$G$27,MATCH($C18,'Materials Master'!$A$2:$A$27,0)),IF($B18="Organics Recycling",INDEX('Materials Master'!$H$2:$H$27,MATCH($C18,'Materials Master'!$A$2:$A$27,0)),IF($B18="Cardboard Recycling",INDEX('Materials Master'!$I$2:$I$27,MATCH($C18,'Materials Master'!$A$2:$A$27,0)),IF($B18="Paper Recycling",INDEX('Materials Master'!$J$2:$J$27,MATCH($C18,'Materials Master'!$A$2:$A$27,0)),IF($B18="Terracycle",INDEX('Materials Master'!$K$2:$K$27,MATCH($C18,'Materials Master'!$A$2:$A$27,0)),"No"))))))="Yes",INDEX('Materials Master'!$E$2:$E$27,MATCH($C18,'Materials Master'!$A$2:$A$27,0))="Yes",$B18&lt;&gt;"Trash"),1,0)</f>
        <v>0</v>
      </c>
      <c r="H18" s="0" t="str">
        <f aca="false">INDEX('Materials Master'!$E$2:$E$27,MATCH($C18,'Materials Master'!$A$2:$A$27,0))</f>
        <v>Yes</v>
      </c>
      <c r="I18" s="0" t="str">
        <f aca="false">IFERROR(INDEX(Areas!$C$2:$C$6,MATCH($A18,Areas!$B$2:$B$6,0)),"")</f>
        <v>Rest of Building</v>
      </c>
      <c r="J18" s="0" t="n">
        <f aca="false">IF(IF($B18="Trash",INDEX('Materials Master'!$F$2:$F$27,MATCH($C18,'Materials Master'!$A$2:$A$27,0)),IF($B18="GMPC Recycling",INDEX('Materials Master'!$G$2:$G$27,MATCH($C18,'Materials Master'!$A$2:$A$27,0)),IF($B18="Organics Recycling",INDEX('Materials Master'!$H$2:$H$27,MATCH($C18,'Materials Master'!$A$2:$A$27,0)),IF($B18="Cardboard Recycling",INDEX('Materials Master'!$I$2:$I$27,MATCH($C18,'Materials Master'!$A$2:$A$27,0)),IF($B18="Paper Recycling",INDEX('Materials Master'!$J$2:$J$27,MATCH($C18,'Materials Master'!$A$2:$A$27,0)),IF($B18="Terracycle",INDEX('Materials Master'!$K$2:$K$27,MATCH($C18,'Materials Master'!$A$2:$A$27,0)),"No"))))))="Yes",1,0)</f>
        <v>0</v>
      </c>
    </row>
    <row r="19" customFormat="false" ht="15" hidden="false" customHeight="false" outlineLevel="0" collapsed="false">
      <c r="A19" s="0" t="s">
        <v>91</v>
      </c>
      <c r="B19" s="0" t="s">
        <v>103</v>
      </c>
      <c r="C19" s="0" t="s">
        <v>67</v>
      </c>
      <c r="D19" s="0" t="str">
        <f aca="false">IFERROR(INDEX('Materials Master'!$B$2:$B$27,MATCH($C19,'Materials Master'!$A$2:$A$27,0)),"")</f>
        <v>Paper Fibers and Food-Soiled Paper (FSP)</v>
      </c>
      <c r="E19" s="0" t="str">
        <f aca="false">IFERROR(INDEX('Materials Master'!$C$2:$C$27,MATCH($C19,'Materials Master'!$A$2:$A$27,0)),"")</f>
        <v>Organics</v>
      </c>
      <c r="F19" s="0" t="n">
        <f aca="false">(SUMIFS(Fact_PreSortWeights!$E$2:$E$15,Fact_PreSortWeights!$C$2:$C$15,$A19,Fact_PreSortWeights!$B$2:$B$15,$B19,Fact_PreSortWeights!$F$2:$F$15,$C19))+(SUMIFS(Fact_SortedWeights!$E$2:$E$6,Fact_SortedWeights!$C$2:$C$6,$A19,Fact_SortedWeights!$B$2:$B$6,$B19,Fact_SortedWeights!$D$2:$D$6,$C19,Fact_SortedWeights!$L$2:$L$6,"Yes"))+IF((SUMIFS(Fact_SortedWeights!$E$2:$E$6,Fact_SortedWeights!$C$2:$C$6,$A19,Fact_SortedWeights!$B$2:$B$6,$B19,Fact_SortedWeights!$L$2:$L$6,"No"))=0,0,(SUMIFS(Fact_SortedWeights!$E$2:$E$6,Fact_SortedWeights!$C$2:$C$6,$A19,Fact_SortedWeights!$B$2:$B$6,$B19,Fact_SortedWeights!$D$2:$D$6,$C19,Fact_SortedWeights!$L$2:$L$6,"No"))/(SUMIFS(Fact_SortedWeights!$E$2:$E$6,Fact_SortedWeights!$C$2:$C$6,$A19,Fact_SortedWeights!$B$2:$B$6,$B19,Fact_SortedWeights!$L$2:$L$6,"No"))*((SUMIFS(Fact_PreSortWeights!$E$2:$E$15,Fact_PreSortWeights!$C$2:$C$15,$A19,Fact_PreSortWeights!$B$2:$B$15,$B19,Fact_PreSortWeights!$F$2:$F$15,""))-(SUMIFS(Fact_SortedWeights!$E$2:$E$6,Fact_SortedWeights!$C$2:$C$6,$A19,Fact_SortedWeights!$B$2:$B$6,$B19,Fact_SortedWeights!$L$2:$L$6,"Yes"))))</f>
        <v>0</v>
      </c>
      <c r="G19" s="0" t="n">
        <f aca="false">IF(AND(IF($B19="Trash",INDEX('Materials Master'!$F$2:$F$27,MATCH($C19,'Materials Master'!$A$2:$A$27,0)),IF($B19="GMPC Recycling",INDEX('Materials Master'!$G$2:$G$27,MATCH($C19,'Materials Master'!$A$2:$A$27,0)),IF($B19="Organics Recycling",INDEX('Materials Master'!$H$2:$H$27,MATCH($C19,'Materials Master'!$A$2:$A$27,0)),IF($B19="Cardboard Recycling",INDEX('Materials Master'!$I$2:$I$27,MATCH($C19,'Materials Master'!$A$2:$A$27,0)),IF($B19="Paper Recycling",INDEX('Materials Master'!$J$2:$J$27,MATCH($C19,'Materials Master'!$A$2:$A$27,0)),IF($B19="Terracycle",INDEX('Materials Master'!$K$2:$K$27,MATCH($C19,'Materials Master'!$A$2:$A$27,0)),"No"))))))="Yes",INDEX('Materials Master'!$E$2:$E$27,MATCH($C19,'Materials Master'!$A$2:$A$27,0))="Yes",$B19&lt;&gt;"Trash"),1,0)</f>
        <v>0</v>
      </c>
      <c r="H19" s="0" t="str">
        <f aca="false">INDEX('Materials Master'!$E$2:$E$27,MATCH($C19,'Materials Master'!$A$2:$A$27,0))</f>
        <v>No</v>
      </c>
      <c r="I19" s="0" t="str">
        <f aca="false">IFERROR(INDEX(Areas!$C$2:$C$6,MATCH($A19,Areas!$B$2:$B$6,0)),"")</f>
        <v>Rest of Building</v>
      </c>
      <c r="J19" s="0" t="n">
        <f aca="false">IF(IF($B19="Trash",INDEX('Materials Master'!$F$2:$F$27,MATCH($C19,'Materials Master'!$A$2:$A$27,0)),IF($B19="GMPC Recycling",INDEX('Materials Master'!$G$2:$G$27,MATCH($C19,'Materials Master'!$A$2:$A$27,0)),IF($B19="Organics Recycling",INDEX('Materials Master'!$H$2:$H$27,MATCH($C19,'Materials Master'!$A$2:$A$27,0)),IF($B19="Cardboard Recycling",INDEX('Materials Master'!$I$2:$I$27,MATCH($C19,'Materials Master'!$A$2:$A$27,0)),IF($B19="Paper Recycling",INDEX('Materials Master'!$J$2:$J$27,MATCH($C19,'Materials Master'!$A$2:$A$27,0)),IF($B19="Terracycle",INDEX('Materials Master'!$K$2:$K$27,MATCH($C19,'Materials Master'!$A$2:$A$27,0)),"No"))))))="Yes",1,0)</f>
        <v>1</v>
      </c>
    </row>
    <row r="20" customFormat="false" ht="15" hidden="false" customHeight="false" outlineLevel="0" collapsed="false">
      <c r="A20" s="0" t="s">
        <v>91</v>
      </c>
      <c r="B20" s="0" t="s">
        <v>103</v>
      </c>
      <c r="C20" s="0" t="s">
        <v>69</v>
      </c>
      <c r="D20" s="0" t="str">
        <f aca="false">IFERROR(INDEX('Materials Master'!$B$2:$B$27,MATCH($C20,'Materials Master'!$A$2:$A$27,0)),"")</f>
        <v>Fiber-based Compostable Serviceware</v>
      </c>
      <c r="E20" s="0" t="str">
        <f aca="false">IFERROR(INDEX('Materials Master'!$C$2:$C$27,MATCH($C20,'Materials Master'!$A$2:$A$27,0)),"")</f>
        <v>Organics</v>
      </c>
      <c r="F20" s="0" t="n">
        <f aca="false">(SUMIFS(Fact_PreSortWeights!$E$2:$E$15,Fact_PreSortWeights!$C$2:$C$15,$A20,Fact_PreSortWeights!$B$2:$B$15,$B20,Fact_PreSortWeights!$F$2:$F$15,$C20))+(SUMIFS(Fact_SortedWeights!$E$2:$E$6,Fact_SortedWeights!$C$2:$C$6,$A20,Fact_SortedWeights!$B$2:$B$6,$B20,Fact_SortedWeights!$D$2:$D$6,$C20,Fact_SortedWeights!$L$2:$L$6,"Yes"))+IF((SUMIFS(Fact_SortedWeights!$E$2:$E$6,Fact_SortedWeights!$C$2:$C$6,$A20,Fact_SortedWeights!$B$2:$B$6,$B20,Fact_SortedWeights!$L$2:$L$6,"No"))=0,0,(SUMIFS(Fact_SortedWeights!$E$2:$E$6,Fact_SortedWeights!$C$2:$C$6,$A20,Fact_SortedWeights!$B$2:$B$6,$B20,Fact_SortedWeights!$D$2:$D$6,$C20,Fact_SortedWeights!$L$2:$L$6,"No"))/(SUMIFS(Fact_SortedWeights!$E$2:$E$6,Fact_SortedWeights!$C$2:$C$6,$A20,Fact_SortedWeights!$B$2:$B$6,$B20,Fact_SortedWeights!$L$2:$L$6,"No"))*((SUMIFS(Fact_PreSortWeights!$E$2:$E$15,Fact_PreSortWeights!$C$2:$C$15,$A20,Fact_PreSortWeights!$B$2:$B$15,$B20,Fact_PreSortWeights!$F$2:$F$15,""))-(SUMIFS(Fact_SortedWeights!$E$2:$E$6,Fact_SortedWeights!$C$2:$C$6,$A20,Fact_SortedWeights!$B$2:$B$6,$B20,Fact_SortedWeights!$L$2:$L$6,"Yes"))))</f>
        <v>0</v>
      </c>
      <c r="G20" s="0" t="n">
        <f aca="false">IF(AND(IF($B20="Trash",INDEX('Materials Master'!$F$2:$F$27,MATCH($C20,'Materials Master'!$A$2:$A$27,0)),IF($B20="GMPC Recycling",INDEX('Materials Master'!$G$2:$G$27,MATCH($C20,'Materials Master'!$A$2:$A$27,0)),IF($B20="Organics Recycling",INDEX('Materials Master'!$H$2:$H$27,MATCH($C20,'Materials Master'!$A$2:$A$27,0)),IF($B20="Cardboard Recycling",INDEX('Materials Master'!$I$2:$I$27,MATCH($C20,'Materials Master'!$A$2:$A$27,0)),IF($B20="Paper Recycling",INDEX('Materials Master'!$J$2:$J$27,MATCH($C20,'Materials Master'!$A$2:$A$27,0)),IF($B20="Terracycle",INDEX('Materials Master'!$K$2:$K$27,MATCH($C20,'Materials Master'!$A$2:$A$27,0)),"No"))))))="Yes",INDEX('Materials Master'!$E$2:$E$27,MATCH($C20,'Materials Master'!$A$2:$A$27,0))="Yes",$B20&lt;&gt;"Trash"),1,0)</f>
        <v>0</v>
      </c>
      <c r="H20" s="0" t="str">
        <f aca="false">INDEX('Materials Master'!$E$2:$E$27,MATCH($C20,'Materials Master'!$A$2:$A$27,0))</f>
        <v>No</v>
      </c>
      <c r="I20" s="0" t="str">
        <f aca="false">IFERROR(INDEX(Areas!$C$2:$C$6,MATCH($A20,Areas!$B$2:$B$6,0)),"")</f>
        <v>Rest of Building</v>
      </c>
      <c r="J20" s="0" t="n">
        <f aca="false">IF(IF($B20="Trash",INDEX('Materials Master'!$F$2:$F$27,MATCH($C20,'Materials Master'!$A$2:$A$27,0)),IF($B20="GMPC Recycling",INDEX('Materials Master'!$G$2:$G$27,MATCH($C20,'Materials Master'!$A$2:$A$27,0)),IF($B20="Organics Recycling",INDEX('Materials Master'!$H$2:$H$27,MATCH($C20,'Materials Master'!$A$2:$A$27,0)),IF($B20="Cardboard Recycling",INDEX('Materials Master'!$I$2:$I$27,MATCH($C20,'Materials Master'!$A$2:$A$27,0)),IF($B20="Paper Recycling",INDEX('Materials Master'!$J$2:$J$27,MATCH($C20,'Materials Master'!$A$2:$A$27,0)),IF($B20="Terracycle",INDEX('Materials Master'!$K$2:$K$27,MATCH($C20,'Materials Master'!$A$2:$A$27,0)),"No"))))))="Yes",1,0)</f>
        <v>1</v>
      </c>
    </row>
    <row r="21" customFormat="false" ht="15" hidden="false" customHeight="false" outlineLevel="0" collapsed="false">
      <c r="A21" s="0" t="s">
        <v>91</v>
      </c>
      <c r="B21" s="0" t="s">
        <v>103</v>
      </c>
      <c r="C21" s="0" t="s">
        <v>71</v>
      </c>
      <c r="D21" s="0" t="str">
        <f aca="false">IFERROR(INDEX('Materials Master'!$B$2:$B$27,MATCH($C21,'Materials Master'!$A$2:$A$27,0)),"")</f>
        <v>PLA Compostable Serviceware</v>
      </c>
      <c r="E21" s="0" t="str">
        <f aca="false">IFERROR(INDEX('Materials Master'!$C$2:$C$27,MATCH($C21,'Materials Master'!$A$2:$A$27,0)),"")</f>
        <v>Organics</v>
      </c>
      <c r="F21" s="0" t="n">
        <f aca="false">(SUMIFS(Fact_PreSortWeights!$E$2:$E$15,Fact_PreSortWeights!$C$2:$C$15,$A21,Fact_PreSortWeights!$B$2:$B$15,$B21,Fact_PreSortWeights!$F$2:$F$15,$C21))+(SUMIFS(Fact_SortedWeights!$E$2:$E$6,Fact_SortedWeights!$C$2:$C$6,$A21,Fact_SortedWeights!$B$2:$B$6,$B21,Fact_SortedWeights!$D$2:$D$6,$C21,Fact_SortedWeights!$L$2:$L$6,"Yes"))+IF((SUMIFS(Fact_SortedWeights!$E$2:$E$6,Fact_SortedWeights!$C$2:$C$6,$A21,Fact_SortedWeights!$B$2:$B$6,$B21,Fact_SortedWeights!$L$2:$L$6,"No"))=0,0,(SUMIFS(Fact_SortedWeights!$E$2:$E$6,Fact_SortedWeights!$C$2:$C$6,$A21,Fact_SortedWeights!$B$2:$B$6,$B21,Fact_SortedWeights!$D$2:$D$6,$C21,Fact_SortedWeights!$L$2:$L$6,"No"))/(SUMIFS(Fact_SortedWeights!$E$2:$E$6,Fact_SortedWeights!$C$2:$C$6,$A21,Fact_SortedWeights!$B$2:$B$6,$B21,Fact_SortedWeights!$L$2:$L$6,"No"))*((SUMIFS(Fact_PreSortWeights!$E$2:$E$15,Fact_PreSortWeights!$C$2:$C$15,$A21,Fact_PreSortWeights!$B$2:$B$15,$B21,Fact_PreSortWeights!$F$2:$F$15,""))-(SUMIFS(Fact_SortedWeights!$E$2:$E$6,Fact_SortedWeights!$C$2:$C$6,$A21,Fact_SortedWeights!$B$2:$B$6,$B21,Fact_SortedWeights!$L$2:$L$6,"Yes"))))</f>
        <v>0</v>
      </c>
      <c r="G21" s="0" t="n">
        <f aca="false">IF(AND(IF($B21="Trash",INDEX('Materials Master'!$F$2:$F$27,MATCH($C21,'Materials Master'!$A$2:$A$27,0)),IF($B21="GMPC Recycling",INDEX('Materials Master'!$G$2:$G$27,MATCH($C21,'Materials Master'!$A$2:$A$27,0)),IF($B21="Organics Recycling",INDEX('Materials Master'!$H$2:$H$27,MATCH($C21,'Materials Master'!$A$2:$A$27,0)),IF($B21="Cardboard Recycling",INDEX('Materials Master'!$I$2:$I$27,MATCH($C21,'Materials Master'!$A$2:$A$27,0)),IF($B21="Paper Recycling",INDEX('Materials Master'!$J$2:$J$27,MATCH($C21,'Materials Master'!$A$2:$A$27,0)),IF($B21="Terracycle",INDEX('Materials Master'!$K$2:$K$27,MATCH($C21,'Materials Master'!$A$2:$A$27,0)),"No"))))))="Yes",INDEX('Materials Master'!$E$2:$E$27,MATCH($C21,'Materials Master'!$A$2:$A$27,0))="Yes",$B21&lt;&gt;"Trash"),1,0)</f>
        <v>0</v>
      </c>
      <c r="H21" s="0" t="str">
        <f aca="false">INDEX('Materials Master'!$E$2:$E$27,MATCH($C21,'Materials Master'!$A$2:$A$27,0))</f>
        <v>No</v>
      </c>
      <c r="I21" s="0" t="str">
        <f aca="false">IFERROR(INDEX(Areas!$C$2:$C$6,MATCH($A21,Areas!$B$2:$B$6,0)),"")</f>
        <v>Rest of Building</v>
      </c>
      <c r="J21" s="0" t="n">
        <f aca="false">IF(IF($B21="Trash",INDEX('Materials Master'!$F$2:$F$27,MATCH($C21,'Materials Master'!$A$2:$A$27,0)),IF($B21="GMPC Recycling",INDEX('Materials Master'!$G$2:$G$27,MATCH($C21,'Materials Master'!$A$2:$A$27,0)),IF($B21="Organics Recycling",INDEX('Materials Master'!$H$2:$H$27,MATCH($C21,'Materials Master'!$A$2:$A$27,0)),IF($B21="Cardboard Recycling",INDEX('Materials Master'!$I$2:$I$27,MATCH($C21,'Materials Master'!$A$2:$A$27,0)),IF($B21="Paper Recycling",INDEX('Materials Master'!$J$2:$J$27,MATCH($C21,'Materials Master'!$A$2:$A$27,0)),IF($B21="Terracycle",INDEX('Materials Master'!$K$2:$K$27,MATCH($C21,'Materials Master'!$A$2:$A$27,0)),"No"))))))="Yes",1,0)</f>
        <v>1</v>
      </c>
    </row>
    <row r="22" customFormat="false" ht="15" hidden="false" customHeight="false" outlineLevel="0" collapsed="false">
      <c r="A22" s="0" t="s">
        <v>91</v>
      </c>
      <c r="B22" s="0" t="s">
        <v>103</v>
      </c>
      <c r="C22" s="0" t="s">
        <v>73</v>
      </c>
      <c r="D22" s="0" t="str">
        <f aca="false">IFERROR(INDEX('Materials Master'!$B$2:$B$27,MATCH($C22,'Materials Master'!$A$2:$A$27,0)),"")</f>
        <v>E/U Waste</v>
      </c>
      <c r="E22" s="0" t="str">
        <f aca="false">IFERROR(INDEX('Materials Master'!$C$2:$C$27,MATCH($C22,'Materials Master'!$A$2:$A$27,0)),"")</f>
        <v>Unacceptable</v>
      </c>
      <c r="F22" s="0" t="n">
        <f aca="false">(SUMIFS(Fact_PreSortWeights!$E$2:$E$15,Fact_PreSortWeights!$C$2:$C$15,$A22,Fact_PreSortWeights!$B$2:$B$15,$B22,Fact_PreSortWeights!$F$2:$F$15,$C22))+(SUMIFS(Fact_SortedWeights!$E$2:$E$6,Fact_SortedWeights!$C$2:$C$6,$A22,Fact_SortedWeights!$B$2:$B$6,$B22,Fact_SortedWeights!$D$2:$D$6,$C22,Fact_SortedWeights!$L$2:$L$6,"Yes"))+IF((SUMIFS(Fact_SortedWeights!$E$2:$E$6,Fact_SortedWeights!$C$2:$C$6,$A22,Fact_SortedWeights!$B$2:$B$6,$B22,Fact_SortedWeights!$L$2:$L$6,"No"))=0,0,(SUMIFS(Fact_SortedWeights!$E$2:$E$6,Fact_SortedWeights!$C$2:$C$6,$A22,Fact_SortedWeights!$B$2:$B$6,$B22,Fact_SortedWeights!$D$2:$D$6,$C22,Fact_SortedWeights!$L$2:$L$6,"No"))/(SUMIFS(Fact_SortedWeights!$E$2:$E$6,Fact_SortedWeights!$C$2:$C$6,$A22,Fact_SortedWeights!$B$2:$B$6,$B22,Fact_SortedWeights!$L$2:$L$6,"No"))*((SUMIFS(Fact_PreSortWeights!$E$2:$E$15,Fact_PreSortWeights!$C$2:$C$15,$A22,Fact_PreSortWeights!$B$2:$B$15,$B22,Fact_PreSortWeights!$F$2:$F$15,""))-(SUMIFS(Fact_SortedWeights!$E$2:$E$6,Fact_SortedWeights!$C$2:$C$6,$A22,Fact_SortedWeights!$B$2:$B$6,$B22,Fact_SortedWeights!$L$2:$L$6,"Yes"))))</f>
        <v>0</v>
      </c>
      <c r="G22" s="0" t="n">
        <f aca="false">IF(AND(IF($B22="Trash",INDEX('Materials Master'!$F$2:$F$27,MATCH($C22,'Materials Master'!$A$2:$A$27,0)),IF($B22="GMPC Recycling",INDEX('Materials Master'!$G$2:$G$27,MATCH($C22,'Materials Master'!$A$2:$A$27,0)),IF($B22="Organics Recycling",INDEX('Materials Master'!$H$2:$H$27,MATCH($C22,'Materials Master'!$A$2:$A$27,0)),IF($B22="Cardboard Recycling",INDEX('Materials Master'!$I$2:$I$27,MATCH($C22,'Materials Master'!$A$2:$A$27,0)),IF($B22="Paper Recycling",INDEX('Materials Master'!$J$2:$J$27,MATCH($C22,'Materials Master'!$A$2:$A$27,0)),IF($B22="Terracycle",INDEX('Materials Master'!$K$2:$K$27,MATCH($C22,'Materials Master'!$A$2:$A$27,0)),"No"))))))="Yes",INDEX('Materials Master'!$E$2:$E$27,MATCH($C22,'Materials Master'!$A$2:$A$27,0))="Yes",$B22&lt;&gt;"Trash"),1,0)</f>
        <v>0</v>
      </c>
      <c r="H22" s="0" t="str">
        <f aca="false">INDEX('Materials Master'!$E$2:$E$27,MATCH($C22,'Materials Master'!$A$2:$A$27,0))</f>
        <v>No</v>
      </c>
      <c r="I22" s="0" t="str">
        <f aca="false">IFERROR(INDEX(Areas!$C$2:$C$6,MATCH($A22,Areas!$B$2:$B$6,0)),"")</f>
        <v>Rest of Building</v>
      </c>
      <c r="J22" s="0" t="n">
        <f aca="false">IF(IF($B22="Trash",INDEX('Materials Master'!$F$2:$F$27,MATCH($C22,'Materials Master'!$A$2:$A$27,0)),IF($B22="GMPC Recycling",INDEX('Materials Master'!$G$2:$G$27,MATCH($C22,'Materials Master'!$A$2:$A$27,0)),IF($B22="Organics Recycling",INDEX('Materials Master'!$H$2:$H$27,MATCH($C22,'Materials Master'!$A$2:$A$27,0)),IF($B22="Cardboard Recycling",INDEX('Materials Master'!$I$2:$I$27,MATCH($C22,'Materials Master'!$A$2:$A$27,0)),IF($B22="Paper Recycling",INDEX('Materials Master'!$J$2:$J$27,MATCH($C22,'Materials Master'!$A$2:$A$27,0)),IF($B22="Terracycle",INDEX('Materials Master'!$K$2:$K$27,MATCH($C22,'Materials Master'!$A$2:$A$27,0)),"No"))))))="Yes",1,0)</f>
        <v>1</v>
      </c>
    </row>
    <row r="23" customFormat="false" ht="15" hidden="false" customHeight="false" outlineLevel="0" collapsed="false">
      <c r="A23" s="0" t="s">
        <v>91</v>
      </c>
      <c r="B23" s="0" t="s">
        <v>103</v>
      </c>
      <c r="C23" s="0" t="s">
        <v>76</v>
      </c>
      <c r="D23" s="0" t="str">
        <f aca="false">IFERROR(INDEX('Materials Master'!$B$2:$B$27,MATCH($C23,'Materials Master'!$A$2:$A$27,0)),"")</f>
        <v>Textiles</v>
      </c>
      <c r="E23" s="0" t="str">
        <f aca="false">IFERROR(INDEX('Materials Master'!$C$2:$C$27,MATCH($C23,'Materials Master'!$A$2:$A$27,0)),"")</f>
        <v>Unacceptable</v>
      </c>
      <c r="F23" s="0" t="n">
        <f aca="false">(SUMIFS(Fact_PreSortWeights!$E$2:$E$15,Fact_PreSortWeights!$C$2:$C$15,$A23,Fact_PreSortWeights!$B$2:$B$15,$B23,Fact_PreSortWeights!$F$2:$F$15,$C23))+(SUMIFS(Fact_SortedWeights!$E$2:$E$6,Fact_SortedWeights!$C$2:$C$6,$A23,Fact_SortedWeights!$B$2:$B$6,$B23,Fact_SortedWeights!$D$2:$D$6,$C23,Fact_SortedWeights!$L$2:$L$6,"Yes"))+IF((SUMIFS(Fact_SortedWeights!$E$2:$E$6,Fact_SortedWeights!$C$2:$C$6,$A23,Fact_SortedWeights!$B$2:$B$6,$B23,Fact_SortedWeights!$L$2:$L$6,"No"))=0,0,(SUMIFS(Fact_SortedWeights!$E$2:$E$6,Fact_SortedWeights!$C$2:$C$6,$A23,Fact_SortedWeights!$B$2:$B$6,$B23,Fact_SortedWeights!$D$2:$D$6,$C23,Fact_SortedWeights!$L$2:$L$6,"No"))/(SUMIFS(Fact_SortedWeights!$E$2:$E$6,Fact_SortedWeights!$C$2:$C$6,$A23,Fact_SortedWeights!$B$2:$B$6,$B23,Fact_SortedWeights!$L$2:$L$6,"No"))*((SUMIFS(Fact_PreSortWeights!$E$2:$E$15,Fact_PreSortWeights!$C$2:$C$15,$A23,Fact_PreSortWeights!$B$2:$B$15,$B23,Fact_PreSortWeights!$F$2:$F$15,""))-(SUMIFS(Fact_SortedWeights!$E$2:$E$6,Fact_SortedWeights!$C$2:$C$6,$A23,Fact_SortedWeights!$B$2:$B$6,$B23,Fact_SortedWeights!$L$2:$L$6,"Yes"))))</f>
        <v>0</v>
      </c>
      <c r="G23" s="0" t="n">
        <f aca="false">IF(AND(IF($B23="Trash",INDEX('Materials Master'!$F$2:$F$27,MATCH($C23,'Materials Master'!$A$2:$A$27,0)),IF($B23="GMPC Recycling",INDEX('Materials Master'!$G$2:$G$27,MATCH($C23,'Materials Master'!$A$2:$A$27,0)),IF($B23="Organics Recycling",INDEX('Materials Master'!$H$2:$H$27,MATCH($C23,'Materials Master'!$A$2:$A$27,0)),IF($B23="Cardboard Recycling",INDEX('Materials Master'!$I$2:$I$27,MATCH($C23,'Materials Master'!$A$2:$A$27,0)),IF($B23="Paper Recycling",INDEX('Materials Master'!$J$2:$J$27,MATCH($C23,'Materials Master'!$A$2:$A$27,0)),IF($B23="Terracycle",INDEX('Materials Master'!$K$2:$K$27,MATCH($C23,'Materials Master'!$A$2:$A$27,0)),"No"))))))="Yes",INDEX('Materials Master'!$E$2:$E$27,MATCH($C23,'Materials Master'!$A$2:$A$27,0))="Yes",$B23&lt;&gt;"Trash"),1,0)</f>
        <v>0</v>
      </c>
      <c r="H23" s="0" t="str">
        <f aca="false">INDEX('Materials Master'!$E$2:$E$27,MATCH($C23,'Materials Master'!$A$2:$A$27,0))</f>
        <v>No</v>
      </c>
      <c r="I23" s="0" t="str">
        <f aca="false">IFERROR(INDEX(Areas!$C$2:$C$6,MATCH($A23,Areas!$B$2:$B$6,0)),"")</f>
        <v>Rest of Building</v>
      </c>
      <c r="J23" s="0" t="n">
        <f aca="false">IF(IF($B23="Trash",INDEX('Materials Master'!$F$2:$F$27,MATCH($C23,'Materials Master'!$A$2:$A$27,0)),IF($B23="GMPC Recycling",INDEX('Materials Master'!$G$2:$G$27,MATCH($C23,'Materials Master'!$A$2:$A$27,0)),IF($B23="Organics Recycling",INDEX('Materials Master'!$H$2:$H$27,MATCH($C23,'Materials Master'!$A$2:$A$27,0)),IF($B23="Cardboard Recycling",INDEX('Materials Master'!$I$2:$I$27,MATCH($C23,'Materials Master'!$A$2:$A$27,0)),IF($B23="Paper Recycling",INDEX('Materials Master'!$J$2:$J$27,MATCH($C23,'Materials Master'!$A$2:$A$27,0)),IF($B23="Terracycle",INDEX('Materials Master'!$K$2:$K$27,MATCH($C23,'Materials Master'!$A$2:$A$27,0)),"No"))))))="Yes",1,0)</f>
        <v>1</v>
      </c>
    </row>
    <row r="24" customFormat="false" ht="15" hidden="false" customHeight="false" outlineLevel="0" collapsed="false">
      <c r="A24" s="0" t="s">
        <v>91</v>
      </c>
      <c r="B24" s="0" t="s">
        <v>103</v>
      </c>
      <c r="C24" s="0" t="s">
        <v>78</v>
      </c>
      <c r="D24" s="0" t="str">
        <f aca="false">IFERROR(INDEX('Materials Master'!$B$2:$B$27,MATCH($C24,'Materials Master'!$A$2:$A$27,0)),"")</f>
        <v>Other Unacceptable (specify)</v>
      </c>
      <c r="E24" s="0" t="str">
        <f aca="false">IFERROR(INDEX('Materials Master'!$C$2:$C$27,MATCH($C24,'Materials Master'!$A$2:$A$27,0)),"")</f>
        <v>Unacceptable</v>
      </c>
      <c r="F24" s="0" t="n">
        <f aca="false">(SUMIFS(Fact_PreSortWeights!$E$2:$E$15,Fact_PreSortWeights!$C$2:$C$15,$A24,Fact_PreSortWeights!$B$2:$B$15,$B24,Fact_PreSortWeights!$F$2:$F$15,$C24))+(SUMIFS(Fact_SortedWeights!$E$2:$E$6,Fact_SortedWeights!$C$2:$C$6,$A24,Fact_SortedWeights!$B$2:$B$6,$B24,Fact_SortedWeights!$D$2:$D$6,$C24,Fact_SortedWeights!$L$2:$L$6,"Yes"))+IF((SUMIFS(Fact_SortedWeights!$E$2:$E$6,Fact_SortedWeights!$C$2:$C$6,$A24,Fact_SortedWeights!$B$2:$B$6,$B24,Fact_SortedWeights!$L$2:$L$6,"No"))=0,0,(SUMIFS(Fact_SortedWeights!$E$2:$E$6,Fact_SortedWeights!$C$2:$C$6,$A24,Fact_SortedWeights!$B$2:$B$6,$B24,Fact_SortedWeights!$D$2:$D$6,$C24,Fact_SortedWeights!$L$2:$L$6,"No"))/(SUMIFS(Fact_SortedWeights!$E$2:$E$6,Fact_SortedWeights!$C$2:$C$6,$A24,Fact_SortedWeights!$B$2:$B$6,$B24,Fact_SortedWeights!$L$2:$L$6,"No"))*((SUMIFS(Fact_PreSortWeights!$E$2:$E$15,Fact_PreSortWeights!$C$2:$C$15,$A24,Fact_PreSortWeights!$B$2:$B$15,$B24,Fact_PreSortWeights!$F$2:$F$15,""))-(SUMIFS(Fact_SortedWeights!$E$2:$E$6,Fact_SortedWeights!$C$2:$C$6,$A24,Fact_SortedWeights!$B$2:$B$6,$B24,Fact_SortedWeights!$L$2:$L$6,"Yes"))))</f>
        <v>0</v>
      </c>
      <c r="G24" s="0" t="n">
        <f aca="false">IF(AND(IF($B24="Trash",INDEX('Materials Master'!$F$2:$F$27,MATCH($C24,'Materials Master'!$A$2:$A$27,0)),IF($B24="GMPC Recycling",INDEX('Materials Master'!$G$2:$G$27,MATCH($C24,'Materials Master'!$A$2:$A$27,0)),IF($B24="Organics Recycling",INDEX('Materials Master'!$H$2:$H$27,MATCH($C24,'Materials Master'!$A$2:$A$27,0)),IF($B24="Cardboard Recycling",INDEX('Materials Master'!$I$2:$I$27,MATCH($C24,'Materials Master'!$A$2:$A$27,0)),IF($B24="Paper Recycling",INDEX('Materials Master'!$J$2:$J$27,MATCH($C24,'Materials Master'!$A$2:$A$27,0)),IF($B24="Terracycle",INDEX('Materials Master'!$K$2:$K$27,MATCH($C24,'Materials Master'!$A$2:$A$27,0)),"No"))))))="Yes",INDEX('Materials Master'!$E$2:$E$27,MATCH($C24,'Materials Master'!$A$2:$A$27,0))="Yes",$B24&lt;&gt;"Trash"),1,0)</f>
        <v>0</v>
      </c>
      <c r="H24" s="0" t="str">
        <f aca="false">INDEX('Materials Master'!$E$2:$E$27,MATCH($C24,'Materials Master'!$A$2:$A$27,0))</f>
        <v>No</v>
      </c>
      <c r="I24" s="0" t="str">
        <f aca="false">IFERROR(INDEX(Areas!$C$2:$C$6,MATCH($A24,Areas!$B$2:$B$6,0)),"")</f>
        <v>Rest of Building</v>
      </c>
      <c r="J24" s="0" t="n">
        <f aca="false">IF(IF($B24="Trash",INDEX('Materials Master'!$F$2:$F$27,MATCH($C24,'Materials Master'!$A$2:$A$27,0)),IF($B24="GMPC Recycling",INDEX('Materials Master'!$G$2:$G$27,MATCH($C24,'Materials Master'!$A$2:$A$27,0)),IF($B24="Organics Recycling",INDEX('Materials Master'!$H$2:$H$27,MATCH($C24,'Materials Master'!$A$2:$A$27,0)),IF($B24="Cardboard Recycling",INDEX('Materials Master'!$I$2:$I$27,MATCH($C24,'Materials Master'!$A$2:$A$27,0)),IF($B24="Paper Recycling",INDEX('Materials Master'!$J$2:$J$27,MATCH($C24,'Materials Master'!$A$2:$A$27,0)),IF($B24="Terracycle",INDEX('Materials Master'!$K$2:$K$27,MATCH($C24,'Materials Master'!$A$2:$A$27,0)),"No"))))))="Yes",1,0)</f>
        <v>1</v>
      </c>
    </row>
    <row r="25" customFormat="false" ht="15" hidden="false" customHeight="false" outlineLevel="0" collapsed="false">
      <c r="A25" s="0" t="s">
        <v>91</v>
      </c>
      <c r="B25" s="0" t="s">
        <v>103</v>
      </c>
      <c r="C25" s="0" t="s">
        <v>80</v>
      </c>
      <c r="D25" s="0" t="str">
        <f aca="false">IFERROR(INDEX('Materials Master'!$B$2:$B$27,MATCH($C25,'Materials Master'!$A$2:$A$27,0)),"")</f>
        <v>Liquids</v>
      </c>
      <c r="E25" s="0" t="str">
        <f aca="false">IFERROR(INDEX('Materials Master'!$C$2:$C$27,MATCH($C25,'Materials Master'!$A$2:$A$27,0)),"")</f>
        <v>Unacceptable</v>
      </c>
      <c r="F25" s="0" t="n">
        <f aca="false">(SUMIFS(Fact_PreSortWeights!$E$2:$E$15,Fact_PreSortWeights!$C$2:$C$15,$A25,Fact_PreSortWeights!$B$2:$B$15,$B25,Fact_PreSortWeights!$F$2:$F$15,$C25))+(SUMIFS(Fact_SortedWeights!$E$2:$E$6,Fact_SortedWeights!$C$2:$C$6,$A25,Fact_SortedWeights!$B$2:$B$6,$B25,Fact_SortedWeights!$D$2:$D$6,$C25,Fact_SortedWeights!$L$2:$L$6,"Yes"))+IF((SUMIFS(Fact_SortedWeights!$E$2:$E$6,Fact_SortedWeights!$C$2:$C$6,$A25,Fact_SortedWeights!$B$2:$B$6,$B25,Fact_SortedWeights!$L$2:$L$6,"No"))=0,0,(SUMIFS(Fact_SortedWeights!$E$2:$E$6,Fact_SortedWeights!$C$2:$C$6,$A25,Fact_SortedWeights!$B$2:$B$6,$B25,Fact_SortedWeights!$D$2:$D$6,$C25,Fact_SortedWeights!$L$2:$L$6,"No"))/(SUMIFS(Fact_SortedWeights!$E$2:$E$6,Fact_SortedWeights!$C$2:$C$6,$A25,Fact_SortedWeights!$B$2:$B$6,$B25,Fact_SortedWeights!$L$2:$L$6,"No"))*((SUMIFS(Fact_PreSortWeights!$E$2:$E$15,Fact_PreSortWeights!$C$2:$C$15,$A25,Fact_PreSortWeights!$B$2:$B$15,$B25,Fact_PreSortWeights!$F$2:$F$15,""))-(SUMIFS(Fact_SortedWeights!$E$2:$E$6,Fact_SortedWeights!$C$2:$C$6,$A25,Fact_SortedWeights!$B$2:$B$6,$B25,Fact_SortedWeights!$L$2:$L$6,"Yes"))))</f>
        <v>0</v>
      </c>
      <c r="G25" s="0" t="n">
        <f aca="false">IF(AND(IF($B25="Trash",INDEX('Materials Master'!$F$2:$F$27,MATCH($C25,'Materials Master'!$A$2:$A$27,0)),IF($B25="GMPC Recycling",INDEX('Materials Master'!$G$2:$G$27,MATCH($C25,'Materials Master'!$A$2:$A$27,0)),IF($B25="Organics Recycling",INDEX('Materials Master'!$H$2:$H$27,MATCH($C25,'Materials Master'!$A$2:$A$27,0)),IF($B25="Cardboard Recycling",INDEX('Materials Master'!$I$2:$I$27,MATCH($C25,'Materials Master'!$A$2:$A$27,0)),IF($B25="Paper Recycling",INDEX('Materials Master'!$J$2:$J$27,MATCH($C25,'Materials Master'!$A$2:$A$27,0)),IF($B25="Terracycle",INDEX('Materials Master'!$K$2:$K$27,MATCH($C25,'Materials Master'!$A$2:$A$27,0)),"No"))))))="Yes",INDEX('Materials Master'!$E$2:$E$27,MATCH($C25,'Materials Master'!$A$2:$A$27,0))="Yes",$B25&lt;&gt;"Trash"),1,0)</f>
        <v>0</v>
      </c>
      <c r="H25" s="0" t="str">
        <f aca="false">INDEX('Materials Master'!$E$2:$E$27,MATCH($C25,'Materials Master'!$A$2:$A$27,0))</f>
        <v>No</v>
      </c>
      <c r="I25" s="0" t="str">
        <f aca="false">IFERROR(INDEX(Areas!$C$2:$C$6,MATCH($A25,Areas!$B$2:$B$6,0)),"")</f>
        <v>Rest of Building</v>
      </c>
      <c r="J25" s="0" t="n">
        <f aca="false">IF(IF($B25="Trash",INDEX('Materials Master'!$F$2:$F$27,MATCH($C25,'Materials Master'!$A$2:$A$27,0)),IF($B25="GMPC Recycling",INDEX('Materials Master'!$G$2:$G$27,MATCH($C25,'Materials Master'!$A$2:$A$27,0)),IF($B25="Organics Recycling",INDEX('Materials Master'!$H$2:$H$27,MATCH($C25,'Materials Master'!$A$2:$A$27,0)),IF($B25="Cardboard Recycling",INDEX('Materials Master'!$I$2:$I$27,MATCH($C25,'Materials Master'!$A$2:$A$27,0)),IF($B25="Paper Recycling",INDEX('Materials Master'!$J$2:$J$27,MATCH($C25,'Materials Master'!$A$2:$A$27,0)),IF($B25="Terracycle",INDEX('Materials Master'!$K$2:$K$27,MATCH($C25,'Materials Master'!$A$2:$A$27,0)),"No"))))))="Yes",1,0)</f>
        <v>1</v>
      </c>
    </row>
    <row r="26" customFormat="false" ht="15" hidden="false" customHeight="false" outlineLevel="0" collapsed="false">
      <c r="A26" s="0" t="s">
        <v>91</v>
      </c>
      <c r="B26" s="0" t="s">
        <v>103</v>
      </c>
      <c r="C26" s="0" t="s">
        <v>82</v>
      </c>
      <c r="D26" s="0" t="str">
        <f aca="false">IFERROR(INDEX('Materials Master'!$B$2:$B$27,MATCH($C26,'Materials Master'!$A$2:$A$27,0)),"")</f>
        <v>Snack Wrappers (Composites)</v>
      </c>
      <c r="E26" s="0" t="str">
        <f aca="false">IFERROR(INDEX('Materials Master'!$C$2:$C$27,MATCH($C26,'Materials Master'!$A$2:$A$27,0)),"")</f>
        <v>Other</v>
      </c>
      <c r="F26" s="0" t="n">
        <f aca="false">(SUMIFS(Fact_PreSortWeights!$E$2:$E$15,Fact_PreSortWeights!$C$2:$C$15,$A26,Fact_PreSortWeights!$B$2:$B$15,$B26,Fact_PreSortWeights!$F$2:$F$15,$C26))+(SUMIFS(Fact_SortedWeights!$E$2:$E$6,Fact_SortedWeights!$C$2:$C$6,$A26,Fact_SortedWeights!$B$2:$B$6,$B26,Fact_SortedWeights!$D$2:$D$6,$C26,Fact_SortedWeights!$L$2:$L$6,"Yes"))+IF((SUMIFS(Fact_SortedWeights!$E$2:$E$6,Fact_SortedWeights!$C$2:$C$6,$A26,Fact_SortedWeights!$B$2:$B$6,$B26,Fact_SortedWeights!$L$2:$L$6,"No"))=0,0,(SUMIFS(Fact_SortedWeights!$E$2:$E$6,Fact_SortedWeights!$C$2:$C$6,$A26,Fact_SortedWeights!$B$2:$B$6,$B26,Fact_SortedWeights!$D$2:$D$6,$C26,Fact_SortedWeights!$L$2:$L$6,"No"))/(SUMIFS(Fact_SortedWeights!$E$2:$E$6,Fact_SortedWeights!$C$2:$C$6,$A26,Fact_SortedWeights!$B$2:$B$6,$B26,Fact_SortedWeights!$L$2:$L$6,"No"))*((SUMIFS(Fact_PreSortWeights!$E$2:$E$15,Fact_PreSortWeights!$C$2:$C$15,$A26,Fact_PreSortWeights!$B$2:$B$15,$B26,Fact_PreSortWeights!$F$2:$F$15,""))-(SUMIFS(Fact_SortedWeights!$E$2:$E$6,Fact_SortedWeights!$C$2:$C$6,$A26,Fact_SortedWeights!$B$2:$B$6,$B26,Fact_SortedWeights!$L$2:$L$6,"Yes"))))</f>
        <v>0</v>
      </c>
      <c r="G26" s="0" t="n">
        <f aca="false">IF(AND(IF($B26="Trash",INDEX('Materials Master'!$F$2:$F$27,MATCH($C26,'Materials Master'!$A$2:$A$27,0)),IF($B26="GMPC Recycling",INDEX('Materials Master'!$G$2:$G$27,MATCH($C26,'Materials Master'!$A$2:$A$27,0)),IF($B26="Organics Recycling",INDEX('Materials Master'!$H$2:$H$27,MATCH($C26,'Materials Master'!$A$2:$A$27,0)),IF($B26="Cardboard Recycling",INDEX('Materials Master'!$I$2:$I$27,MATCH($C26,'Materials Master'!$A$2:$A$27,0)),IF($B26="Paper Recycling",INDEX('Materials Master'!$J$2:$J$27,MATCH($C26,'Materials Master'!$A$2:$A$27,0)),IF($B26="Terracycle",INDEX('Materials Master'!$K$2:$K$27,MATCH($C26,'Materials Master'!$A$2:$A$27,0)),"No"))))))="Yes",INDEX('Materials Master'!$E$2:$E$27,MATCH($C26,'Materials Master'!$A$2:$A$27,0))="Yes",$B26&lt;&gt;"Trash"),1,0)</f>
        <v>0</v>
      </c>
      <c r="H26" s="0" t="str">
        <f aca="false">INDEX('Materials Master'!$E$2:$E$27,MATCH($C26,'Materials Master'!$A$2:$A$27,0))</f>
        <v>Yes</v>
      </c>
      <c r="I26" s="0" t="str">
        <f aca="false">IFERROR(INDEX(Areas!$C$2:$C$6,MATCH($A26,Areas!$B$2:$B$6,0)),"")</f>
        <v>Rest of Building</v>
      </c>
      <c r="J26" s="0" t="n">
        <f aca="false">IF(IF($B26="Trash",INDEX('Materials Master'!$F$2:$F$27,MATCH($C26,'Materials Master'!$A$2:$A$27,0)),IF($B26="GMPC Recycling",INDEX('Materials Master'!$G$2:$G$27,MATCH($C26,'Materials Master'!$A$2:$A$27,0)),IF($B26="Organics Recycling",INDEX('Materials Master'!$H$2:$H$27,MATCH($C26,'Materials Master'!$A$2:$A$27,0)),IF($B26="Cardboard Recycling",INDEX('Materials Master'!$I$2:$I$27,MATCH($C26,'Materials Master'!$A$2:$A$27,0)),IF($B26="Paper Recycling",INDEX('Materials Master'!$J$2:$J$27,MATCH($C26,'Materials Master'!$A$2:$A$27,0)),IF($B26="Terracycle",INDEX('Materials Master'!$K$2:$K$27,MATCH($C26,'Materials Master'!$A$2:$A$27,0)),"No"))))))="Yes",1,0)</f>
        <v>0</v>
      </c>
    </row>
    <row r="27" customFormat="false" ht="15" hidden="false" customHeight="false" outlineLevel="0" collapsed="false">
      <c r="A27" s="0" t="s">
        <v>91</v>
      </c>
      <c r="B27" s="0" t="s">
        <v>103</v>
      </c>
      <c r="C27" s="0" t="s">
        <v>85</v>
      </c>
      <c r="D27" s="0" t="str">
        <f aca="false">IFERROR(INDEX('Materials Master'!$B$2:$B$27,MATCH($C27,'Materials Master'!$A$2:$A$27,0)),"")</f>
        <v>Other/Residual Materials</v>
      </c>
      <c r="E27" s="0" t="str">
        <f aca="false">IFERROR(INDEX('Materials Master'!$C$2:$C$27,MATCH($C27,'Materials Master'!$A$2:$A$27,0)),"")</f>
        <v>Other</v>
      </c>
      <c r="F27" s="0" t="n">
        <f aca="false">(SUMIFS(Fact_PreSortWeights!$E$2:$E$15,Fact_PreSortWeights!$C$2:$C$15,$A27,Fact_PreSortWeights!$B$2:$B$15,$B27,Fact_PreSortWeights!$F$2:$F$15,$C27))+(SUMIFS(Fact_SortedWeights!$E$2:$E$6,Fact_SortedWeights!$C$2:$C$6,$A27,Fact_SortedWeights!$B$2:$B$6,$B27,Fact_SortedWeights!$D$2:$D$6,$C27,Fact_SortedWeights!$L$2:$L$6,"Yes"))+IF((SUMIFS(Fact_SortedWeights!$E$2:$E$6,Fact_SortedWeights!$C$2:$C$6,$A27,Fact_SortedWeights!$B$2:$B$6,$B27,Fact_SortedWeights!$L$2:$L$6,"No"))=0,0,(SUMIFS(Fact_SortedWeights!$E$2:$E$6,Fact_SortedWeights!$C$2:$C$6,$A27,Fact_SortedWeights!$B$2:$B$6,$B27,Fact_SortedWeights!$D$2:$D$6,$C27,Fact_SortedWeights!$L$2:$L$6,"No"))/(SUMIFS(Fact_SortedWeights!$E$2:$E$6,Fact_SortedWeights!$C$2:$C$6,$A27,Fact_SortedWeights!$B$2:$B$6,$B27,Fact_SortedWeights!$L$2:$L$6,"No"))*((SUMIFS(Fact_PreSortWeights!$E$2:$E$15,Fact_PreSortWeights!$C$2:$C$15,$A27,Fact_PreSortWeights!$B$2:$B$15,$B27,Fact_PreSortWeights!$F$2:$F$15,""))-(SUMIFS(Fact_SortedWeights!$E$2:$E$6,Fact_SortedWeights!$C$2:$C$6,$A27,Fact_SortedWeights!$B$2:$B$6,$B27,Fact_SortedWeights!$L$2:$L$6,"Yes"))))</f>
        <v>0</v>
      </c>
      <c r="G27" s="0" t="n">
        <f aca="false">IF(AND(IF($B27="Trash",INDEX('Materials Master'!$F$2:$F$27,MATCH($C27,'Materials Master'!$A$2:$A$27,0)),IF($B27="GMPC Recycling",INDEX('Materials Master'!$G$2:$G$27,MATCH($C27,'Materials Master'!$A$2:$A$27,0)),IF($B27="Organics Recycling",INDEX('Materials Master'!$H$2:$H$27,MATCH($C27,'Materials Master'!$A$2:$A$27,0)),IF($B27="Cardboard Recycling",INDEX('Materials Master'!$I$2:$I$27,MATCH($C27,'Materials Master'!$A$2:$A$27,0)),IF($B27="Paper Recycling",INDEX('Materials Master'!$J$2:$J$27,MATCH($C27,'Materials Master'!$A$2:$A$27,0)),IF($B27="Terracycle",INDEX('Materials Master'!$K$2:$K$27,MATCH($C27,'Materials Master'!$A$2:$A$27,0)),"No"))))))="Yes",INDEX('Materials Master'!$E$2:$E$27,MATCH($C27,'Materials Master'!$A$2:$A$27,0))="Yes",$B27&lt;&gt;"Trash"),1,0)</f>
        <v>0</v>
      </c>
      <c r="H27" s="0" t="str">
        <f aca="false">INDEX('Materials Master'!$E$2:$E$27,MATCH($C27,'Materials Master'!$A$2:$A$27,0))</f>
        <v>No</v>
      </c>
      <c r="I27" s="0" t="str">
        <f aca="false">IFERROR(INDEX(Areas!$C$2:$C$6,MATCH($A27,Areas!$B$2:$B$6,0)),"")</f>
        <v>Rest of Building</v>
      </c>
      <c r="J27" s="0" t="n">
        <f aca="false">IF(IF($B27="Trash",INDEX('Materials Master'!$F$2:$F$27,MATCH($C27,'Materials Master'!$A$2:$A$27,0)),IF($B27="GMPC Recycling",INDEX('Materials Master'!$G$2:$G$27,MATCH($C27,'Materials Master'!$A$2:$A$27,0)),IF($B27="Organics Recycling",INDEX('Materials Master'!$H$2:$H$27,MATCH($C27,'Materials Master'!$A$2:$A$27,0)),IF($B27="Cardboard Recycling",INDEX('Materials Master'!$I$2:$I$27,MATCH($C27,'Materials Master'!$A$2:$A$27,0)),IF($B27="Paper Recycling",INDEX('Materials Master'!$J$2:$J$27,MATCH($C27,'Materials Master'!$A$2:$A$27,0)),IF($B27="Terracycle",INDEX('Materials Master'!$K$2:$K$27,MATCH($C27,'Materials Master'!$A$2:$A$27,0)),"No"))))))="Yes",1,0)</f>
        <v>1</v>
      </c>
    </row>
    <row r="28" customFormat="false" ht="15" hidden="false" customHeight="false" outlineLevel="0" collapsed="false">
      <c r="A28" s="0" t="s">
        <v>91</v>
      </c>
      <c r="B28" s="0" t="s">
        <v>104</v>
      </c>
      <c r="C28" s="0" t="s">
        <v>26</v>
      </c>
      <c r="D28" s="0" t="str">
        <f aca="false">IFERROR(INDEX('Materials Master'!$B$2:$B$27,MATCH($C28,'Materials Master'!$A$2:$A$27,0)),"")</f>
        <v>Corrugated Cardboard</v>
      </c>
      <c r="E28" s="0" t="str">
        <f aca="false">IFERROR(INDEX('Materials Master'!$C$2:$C$27,MATCH($C28,'Materials Master'!$A$2:$A$27,0)),"")</f>
        <v>Fibers</v>
      </c>
      <c r="F28" s="0" t="n">
        <f aca="false">(SUMIFS(Fact_PreSortWeights!$E$2:$E$15,Fact_PreSortWeights!$C$2:$C$15,$A28,Fact_PreSortWeights!$B$2:$B$15,$B28,Fact_PreSortWeights!$F$2:$F$15,$C28))+(SUMIFS(Fact_SortedWeights!$E$2:$E$6,Fact_SortedWeights!$C$2:$C$6,$A28,Fact_SortedWeights!$B$2:$B$6,$B28,Fact_SortedWeights!$D$2:$D$6,$C28,Fact_SortedWeights!$L$2:$L$6,"Yes"))+IF((SUMIFS(Fact_SortedWeights!$E$2:$E$6,Fact_SortedWeights!$C$2:$C$6,$A28,Fact_SortedWeights!$B$2:$B$6,$B28,Fact_SortedWeights!$L$2:$L$6,"No"))=0,0,(SUMIFS(Fact_SortedWeights!$E$2:$E$6,Fact_SortedWeights!$C$2:$C$6,$A28,Fact_SortedWeights!$B$2:$B$6,$B28,Fact_SortedWeights!$D$2:$D$6,$C28,Fact_SortedWeights!$L$2:$L$6,"No"))/(SUMIFS(Fact_SortedWeights!$E$2:$E$6,Fact_SortedWeights!$C$2:$C$6,$A28,Fact_SortedWeights!$B$2:$B$6,$B28,Fact_SortedWeights!$L$2:$L$6,"No"))*((SUMIFS(Fact_PreSortWeights!$E$2:$E$15,Fact_PreSortWeights!$C$2:$C$15,$A28,Fact_PreSortWeights!$B$2:$B$15,$B28,Fact_PreSortWeights!$F$2:$F$15,""))-(SUMIFS(Fact_SortedWeights!$E$2:$E$6,Fact_SortedWeights!$C$2:$C$6,$A28,Fact_SortedWeights!$B$2:$B$6,$B28,Fact_SortedWeights!$L$2:$L$6,"Yes"))))</f>
        <v>0</v>
      </c>
      <c r="G28" s="0" t="n">
        <f aca="false">IF(AND(IF($B28="Trash",INDEX('Materials Master'!$F$2:$F$27,MATCH($C28,'Materials Master'!$A$2:$A$27,0)),IF($B28="GMPC Recycling",INDEX('Materials Master'!$G$2:$G$27,MATCH($C28,'Materials Master'!$A$2:$A$27,0)),IF($B28="Organics Recycling",INDEX('Materials Master'!$H$2:$H$27,MATCH($C28,'Materials Master'!$A$2:$A$27,0)),IF($B28="Cardboard Recycling",INDEX('Materials Master'!$I$2:$I$27,MATCH($C28,'Materials Master'!$A$2:$A$27,0)),IF($B28="Paper Recycling",INDEX('Materials Master'!$J$2:$J$27,MATCH($C28,'Materials Master'!$A$2:$A$27,0)),IF($B28="Terracycle",INDEX('Materials Master'!$K$2:$K$27,MATCH($C28,'Materials Master'!$A$2:$A$27,0)),"No"))))))="Yes",INDEX('Materials Master'!$E$2:$E$27,MATCH($C28,'Materials Master'!$A$2:$A$27,0))="Yes",$B28&lt;&gt;"Trash"),1,0)</f>
        <v>1</v>
      </c>
      <c r="H28" s="0" t="str">
        <f aca="false">INDEX('Materials Master'!$E$2:$E$27,MATCH($C28,'Materials Master'!$A$2:$A$27,0))</f>
        <v>Yes</v>
      </c>
      <c r="I28" s="0" t="str">
        <f aca="false">IFERROR(INDEX(Areas!$C$2:$C$6,MATCH($A28,Areas!$B$2:$B$6,0)),"")</f>
        <v>Rest of Building</v>
      </c>
      <c r="J28" s="0" t="n">
        <f aca="false">IF(IF($B28="Trash",INDEX('Materials Master'!$F$2:$F$27,MATCH($C28,'Materials Master'!$A$2:$A$27,0)),IF($B28="GMPC Recycling",INDEX('Materials Master'!$G$2:$G$27,MATCH($C28,'Materials Master'!$A$2:$A$27,0)),IF($B28="Organics Recycling",INDEX('Materials Master'!$H$2:$H$27,MATCH($C28,'Materials Master'!$A$2:$A$27,0)),IF($B28="Cardboard Recycling",INDEX('Materials Master'!$I$2:$I$27,MATCH($C28,'Materials Master'!$A$2:$A$27,0)),IF($B28="Paper Recycling",INDEX('Materials Master'!$J$2:$J$27,MATCH($C28,'Materials Master'!$A$2:$A$27,0)),IF($B28="Terracycle",INDEX('Materials Master'!$K$2:$K$27,MATCH($C28,'Materials Master'!$A$2:$A$27,0)),"No"))))))="Yes",1,0)</f>
        <v>1</v>
      </c>
    </row>
    <row r="29" customFormat="false" ht="15" hidden="false" customHeight="false" outlineLevel="0" collapsed="false">
      <c r="A29" s="0" t="s">
        <v>91</v>
      </c>
      <c r="B29" s="0" t="s">
        <v>104</v>
      </c>
      <c r="C29" s="0" t="s">
        <v>31</v>
      </c>
      <c r="D29" s="0" t="str">
        <f aca="false">IFERROR(INDEX('Materials Master'!$B$2:$B$27,MATCH($C29,'Materials Master'!$A$2:$A$27,0)),"")</f>
        <v>Soiled Cardboard</v>
      </c>
      <c r="E29" s="0" t="str">
        <f aca="false">IFERROR(INDEX('Materials Master'!$C$2:$C$27,MATCH($C29,'Materials Master'!$A$2:$A$27,0)),"")</f>
        <v>Fibers</v>
      </c>
      <c r="F29" s="0" t="n">
        <f aca="false">(SUMIFS(Fact_PreSortWeights!$E$2:$E$15,Fact_PreSortWeights!$C$2:$C$15,$A29,Fact_PreSortWeights!$B$2:$B$15,$B29,Fact_PreSortWeights!$F$2:$F$15,$C29))+(SUMIFS(Fact_SortedWeights!$E$2:$E$6,Fact_SortedWeights!$C$2:$C$6,$A29,Fact_SortedWeights!$B$2:$B$6,$B29,Fact_SortedWeights!$D$2:$D$6,$C29,Fact_SortedWeights!$L$2:$L$6,"Yes"))+IF((SUMIFS(Fact_SortedWeights!$E$2:$E$6,Fact_SortedWeights!$C$2:$C$6,$A29,Fact_SortedWeights!$B$2:$B$6,$B29,Fact_SortedWeights!$L$2:$L$6,"No"))=0,0,(SUMIFS(Fact_SortedWeights!$E$2:$E$6,Fact_SortedWeights!$C$2:$C$6,$A29,Fact_SortedWeights!$B$2:$B$6,$B29,Fact_SortedWeights!$D$2:$D$6,$C29,Fact_SortedWeights!$L$2:$L$6,"No"))/(SUMIFS(Fact_SortedWeights!$E$2:$E$6,Fact_SortedWeights!$C$2:$C$6,$A29,Fact_SortedWeights!$B$2:$B$6,$B29,Fact_SortedWeights!$L$2:$L$6,"No"))*((SUMIFS(Fact_PreSortWeights!$E$2:$E$15,Fact_PreSortWeights!$C$2:$C$15,$A29,Fact_PreSortWeights!$B$2:$B$15,$B29,Fact_PreSortWeights!$F$2:$F$15,""))-(SUMIFS(Fact_SortedWeights!$E$2:$E$6,Fact_SortedWeights!$C$2:$C$6,$A29,Fact_SortedWeights!$B$2:$B$6,$B29,Fact_SortedWeights!$L$2:$L$6,"Yes"))))</f>
        <v>0</v>
      </c>
      <c r="G29" s="0" t="n">
        <f aca="false">IF(AND(IF($B29="Trash",INDEX('Materials Master'!$F$2:$F$27,MATCH($C29,'Materials Master'!$A$2:$A$27,0)),IF($B29="GMPC Recycling",INDEX('Materials Master'!$G$2:$G$27,MATCH($C29,'Materials Master'!$A$2:$A$27,0)),IF($B29="Organics Recycling",INDEX('Materials Master'!$H$2:$H$27,MATCH($C29,'Materials Master'!$A$2:$A$27,0)),IF($B29="Cardboard Recycling",INDEX('Materials Master'!$I$2:$I$27,MATCH($C29,'Materials Master'!$A$2:$A$27,0)),IF($B29="Paper Recycling",INDEX('Materials Master'!$J$2:$J$27,MATCH($C29,'Materials Master'!$A$2:$A$27,0)),IF($B29="Terracycle",INDEX('Materials Master'!$K$2:$K$27,MATCH($C29,'Materials Master'!$A$2:$A$27,0)),"No"))))))="Yes",INDEX('Materials Master'!$E$2:$E$27,MATCH($C29,'Materials Master'!$A$2:$A$27,0))="Yes",$B29&lt;&gt;"Trash"),1,0)</f>
        <v>0</v>
      </c>
      <c r="H29" s="0" t="str">
        <f aca="false">INDEX('Materials Master'!$E$2:$E$27,MATCH($C29,'Materials Master'!$A$2:$A$27,0))</f>
        <v>No</v>
      </c>
      <c r="I29" s="0" t="str">
        <f aca="false">IFERROR(INDEX(Areas!$C$2:$C$6,MATCH($A29,Areas!$B$2:$B$6,0)),"")</f>
        <v>Rest of Building</v>
      </c>
      <c r="J29" s="0" t="n">
        <f aca="false">IF(IF($B29="Trash",INDEX('Materials Master'!$F$2:$F$27,MATCH($C29,'Materials Master'!$A$2:$A$27,0)),IF($B29="GMPC Recycling",INDEX('Materials Master'!$G$2:$G$27,MATCH($C29,'Materials Master'!$A$2:$A$27,0)),IF($B29="Organics Recycling",INDEX('Materials Master'!$H$2:$H$27,MATCH($C29,'Materials Master'!$A$2:$A$27,0)),IF($B29="Cardboard Recycling",INDEX('Materials Master'!$I$2:$I$27,MATCH($C29,'Materials Master'!$A$2:$A$27,0)),IF($B29="Paper Recycling",INDEX('Materials Master'!$J$2:$J$27,MATCH($C29,'Materials Master'!$A$2:$A$27,0)),IF($B29="Terracycle",INDEX('Materials Master'!$K$2:$K$27,MATCH($C29,'Materials Master'!$A$2:$A$27,0)),"No"))))))="Yes",1,0)</f>
        <v>0</v>
      </c>
    </row>
    <row r="30" customFormat="false" ht="15" hidden="false" customHeight="false" outlineLevel="0" collapsed="false">
      <c r="A30" s="0" t="s">
        <v>91</v>
      </c>
      <c r="B30" s="0" t="s">
        <v>104</v>
      </c>
      <c r="C30" s="0" t="s">
        <v>33</v>
      </c>
      <c r="D30" s="0" t="str">
        <f aca="false">IFERROR(INDEX('Materials Master'!$B$2:$B$27,MATCH($C30,'Materials Master'!$A$2:$A$27,0)),"")</f>
        <v>Waxed Cardboard</v>
      </c>
      <c r="E30" s="0" t="str">
        <f aca="false">IFERROR(INDEX('Materials Master'!$C$2:$C$27,MATCH($C30,'Materials Master'!$A$2:$A$27,0)),"")</f>
        <v>Fibers</v>
      </c>
      <c r="F30" s="0" t="n">
        <f aca="false">(SUMIFS(Fact_PreSortWeights!$E$2:$E$15,Fact_PreSortWeights!$C$2:$C$15,$A30,Fact_PreSortWeights!$B$2:$B$15,$B30,Fact_PreSortWeights!$F$2:$F$15,$C30))+(SUMIFS(Fact_SortedWeights!$E$2:$E$6,Fact_SortedWeights!$C$2:$C$6,$A30,Fact_SortedWeights!$B$2:$B$6,$B30,Fact_SortedWeights!$D$2:$D$6,$C30,Fact_SortedWeights!$L$2:$L$6,"Yes"))+IF((SUMIFS(Fact_SortedWeights!$E$2:$E$6,Fact_SortedWeights!$C$2:$C$6,$A30,Fact_SortedWeights!$B$2:$B$6,$B30,Fact_SortedWeights!$L$2:$L$6,"No"))=0,0,(SUMIFS(Fact_SortedWeights!$E$2:$E$6,Fact_SortedWeights!$C$2:$C$6,$A30,Fact_SortedWeights!$B$2:$B$6,$B30,Fact_SortedWeights!$D$2:$D$6,$C30,Fact_SortedWeights!$L$2:$L$6,"No"))/(SUMIFS(Fact_SortedWeights!$E$2:$E$6,Fact_SortedWeights!$C$2:$C$6,$A30,Fact_SortedWeights!$B$2:$B$6,$B30,Fact_SortedWeights!$L$2:$L$6,"No"))*((SUMIFS(Fact_PreSortWeights!$E$2:$E$15,Fact_PreSortWeights!$C$2:$C$15,$A30,Fact_PreSortWeights!$B$2:$B$15,$B30,Fact_PreSortWeights!$F$2:$F$15,""))-(SUMIFS(Fact_SortedWeights!$E$2:$E$6,Fact_SortedWeights!$C$2:$C$6,$A30,Fact_SortedWeights!$B$2:$B$6,$B30,Fact_SortedWeights!$L$2:$L$6,"Yes"))))</f>
        <v>0</v>
      </c>
      <c r="G30" s="0" t="n">
        <f aca="false">IF(AND(IF($B30="Trash",INDEX('Materials Master'!$F$2:$F$27,MATCH($C30,'Materials Master'!$A$2:$A$27,0)),IF($B30="GMPC Recycling",INDEX('Materials Master'!$G$2:$G$27,MATCH($C30,'Materials Master'!$A$2:$A$27,0)),IF($B30="Organics Recycling",INDEX('Materials Master'!$H$2:$H$27,MATCH($C30,'Materials Master'!$A$2:$A$27,0)),IF($B30="Cardboard Recycling",INDEX('Materials Master'!$I$2:$I$27,MATCH($C30,'Materials Master'!$A$2:$A$27,0)),IF($B30="Paper Recycling",INDEX('Materials Master'!$J$2:$J$27,MATCH($C30,'Materials Master'!$A$2:$A$27,0)),IF($B30="Terracycle",INDEX('Materials Master'!$K$2:$K$27,MATCH($C30,'Materials Master'!$A$2:$A$27,0)),"No"))))))="Yes",INDEX('Materials Master'!$E$2:$E$27,MATCH($C30,'Materials Master'!$A$2:$A$27,0))="Yes",$B30&lt;&gt;"Trash"),1,0)</f>
        <v>0</v>
      </c>
      <c r="H30" s="0" t="str">
        <f aca="false">INDEX('Materials Master'!$E$2:$E$27,MATCH($C30,'Materials Master'!$A$2:$A$27,0))</f>
        <v>No</v>
      </c>
      <c r="I30" s="0" t="str">
        <f aca="false">IFERROR(INDEX(Areas!$C$2:$C$6,MATCH($A30,Areas!$B$2:$B$6,0)),"")</f>
        <v>Rest of Building</v>
      </c>
      <c r="J30" s="0" t="n">
        <f aca="false">IF(IF($B30="Trash",INDEX('Materials Master'!$F$2:$F$27,MATCH($C30,'Materials Master'!$A$2:$A$27,0)),IF($B30="GMPC Recycling",INDEX('Materials Master'!$G$2:$G$27,MATCH($C30,'Materials Master'!$A$2:$A$27,0)),IF($B30="Organics Recycling",INDEX('Materials Master'!$H$2:$H$27,MATCH($C30,'Materials Master'!$A$2:$A$27,0)),IF($B30="Cardboard Recycling",INDEX('Materials Master'!$I$2:$I$27,MATCH($C30,'Materials Master'!$A$2:$A$27,0)),IF($B30="Paper Recycling",INDEX('Materials Master'!$J$2:$J$27,MATCH($C30,'Materials Master'!$A$2:$A$27,0)),IF($B30="Terracycle",INDEX('Materials Master'!$K$2:$K$27,MATCH($C30,'Materials Master'!$A$2:$A$27,0)),"No"))))))="Yes",1,0)</f>
        <v>0</v>
      </c>
    </row>
    <row r="31" customFormat="false" ht="15" hidden="false" customHeight="false" outlineLevel="0" collapsed="false">
      <c r="A31" s="0" t="s">
        <v>91</v>
      </c>
      <c r="B31" s="0" t="s">
        <v>104</v>
      </c>
      <c r="C31" s="0" t="s">
        <v>35</v>
      </c>
      <c r="D31" s="0" t="str">
        <f aca="false">IFERROR(INDEX('Materials Master'!$B$2:$B$27,MATCH($C31,'Materials Master'!$A$2:$A$27,0)),"")</f>
        <v>Mixed Paper</v>
      </c>
      <c r="E31" s="0" t="str">
        <f aca="false">IFERROR(INDEX('Materials Master'!$C$2:$C$27,MATCH($C31,'Materials Master'!$A$2:$A$27,0)),"")</f>
        <v>Fibers</v>
      </c>
      <c r="F31" s="0" t="n">
        <f aca="false">(SUMIFS(Fact_PreSortWeights!$E$2:$E$15,Fact_PreSortWeights!$C$2:$C$15,$A31,Fact_PreSortWeights!$B$2:$B$15,$B31,Fact_PreSortWeights!$F$2:$F$15,$C31))+(SUMIFS(Fact_SortedWeights!$E$2:$E$6,Fact_SortedWeights!$C$2:$C$6,$A31,Fact_SortedWeights!$B$2:$B$6,$B31,Fact_SortedWeights!$D$2:$D$6,$C31,Fact_SortedWeights!$L$2:$L$6,"Yes"))+IF((SUMIFS(Fact_SortedWeights!$E$2:$E$6,Fact_SortedWeights!$C$2:$C$6,$A31,Fact_SortedWeights!$B$2:$B$6,$B31,Fact_SortedWeights!$L$2:$L$6,"No"))=0,0,(SUMIFS(Fact_SortedWeights!$E$2:$E$6,Fact_SortedWeights!$C$2:$C$6,$A31,Fact_SortedWeights!$B$2:$B$6,$B31,Fact_SortedWeights!$D$2:$D$6,$C31,Fact_SortedWeights!$L$2:$L$6,"No"))/(SUMIFS(Fact_SortedWeights!$E$2:$E$6,Fact_SortedWeights!$C$2:$C$6,$A31,Fact_SortedWeights!$B$2:$B$6,$B31,Fact_SortedWeights!$L$2:$L$6,"No"))*((SUMIFS(Fact_PreSortWeights!$E$2:$E$15,Fact_PreSortWeights!$C$2:$C$15,$A31,Fact_PreSortWeights!$B$2:$B$15,$B31,Fact_PreSortWeights!$F$2:$F$15,""))-(SUMIFS(Fact_SortedWeights!$E$2:$E$6,Fact_SortedWeights!$C$2:$C$6,$A31,Fact_SortedWeights!$B$2:$B$6,$B31,Fact_SortedWeights!$L$2:$L$6,"Yes"))))</f>
        <v>30</v>
      </c>
      <c r="G31" s="0" t="n">
        <f aca="false">IF(AND(IF($B31="Trash",INDEX('Materials Master'!$F$2:$F$27,MATCH($C31,'Materials Master'!$A$2:$A$27,0)),IF($B31="GMPC Recycling",INDEX('Materials Master'!$G$2:$G$27,MATCH($C31,'Materials Master'!$A$2:$A$27,0)),IF($B31="Organics Recycling",INDEX('Materials Master'!$H$2:$H$27,MATCH($C31,'Materials Master'!$A$2:$A$27,0)),IF($B31="Cardboard Recycling",INDEX('Materials Master'!$I$2:$I$27,MATCH($C31,'Materials Master'!$A$2:$A$27,0)),IF($B31="Paper Recycling",INDEX('Materials Master'!$J$2:$J$27,MATCH($C31,'Materials Master'!$A$2:$A$27,0)),IF($B31="Terracycle",INDEX('Materials Master'!$K$2:$K$27,MATCH($C31,'Materials Master'!$A$2:$A$27,0)),"No"))))))="Yes",INDEX('Materials Master'!$E$2:$E$27,MATCH($C31,'Materials Master'!$A$2:$A$27,0))="Yes",$B31&lt;&gt;"Trash"),1,0)</f>
        <v>1</v>
      </c>
      <c r="H31" s="0" t="str">
        <f aca="false">INDEX('Materials Master'!$E$2:$E$27,MATCH($C31,'Materials Master'!$A$2:$A$27,0))</f>
        <v>Yes</v>
      </c>
      <c r="I31" s="0" t="str">
        <f aca="false">IFERROR(INDEX(Areas!$C$2:$C$6,MATCH($A31,Areas!$B$2:$B$6,0)),"")</f>
        <v>Rest of Building</v>
      </c>
      <c r="J31" s="0" t="n">
        <f aca="false">IF(IF($B31="Trash",INDEX('Materials Master'!$F$2:$F$27,MATCH($C31,'Materials Master'!$A$2:$A$27,0)),IF($B31="GMPC Recycling",INDEX('Materials Master'!$G$2:$G$27,MATCH($C31,'Materials Master'!$A$2:$A$27,0)),IF($B31="Organics Recycling",INDEX('Materials Master'!$H$2:$H$27,MATCH($C31,'Materials Master'!$A$2:$A$27,0)),IF($B31="Cardboard Recycling",INDEX('Materials Master'!$I$2:$I$27,MATCH($C31,'Materials Master'!$A$2:$A$27,0)),IF($B31="Paper Recycling",INDEX('Materials Master'!$J$2:$J$27,MATCH($C31,'Materials Master'!$A$2:$A$27,0)),IF($B31="Terracycle",INDEX('Materials Master'!$K$2:$K$27,MATCH($C31,'Materials Master'!$A$2:$A$27,0)),"No"))))))="Yes",1,0)</f>
        <v>1</v>
      </c>
    </row>
    <row r="32" customFormat="false" ht="15" hidden="false" customHeight="false" outlineLevel="0" collapsed="false">
      <c r="A32" s="0" t="s">
        <v>91</v>
      </c>
      <c r="B32" s="0" t="s">
        <v>104</v>
      </c>
      <c r="C32" s="0" t="s">
        <v>37</v>
      </c>
      <c r="D32" s="0" t="str">
        <f aca="false">IFERROR(INDEX('Materials Master'!$B$2:$B$27,MATCH($C32,'Materials Master'!$A$2:$A$27,0)),"")</f>
        <v>Soiled Paper</v>
      </c>
      <c r="E32" s="0" t="str">
        <f aca="false">IFERROR(INDEX('Materials Master'!$C$2:$C$27,MATCH($C32,'Materials Master'!$A$2:$A$27,0)),"")</f>
        <v>Fibers</v>
      </c>
      <c r="F32" s="0" t="n">
        <f aca="false">(SUMIFS(Fact_PreSortWeights!$E$2:$E$15,Fact_PreSortWeights!$C$2:$C$15,$A32,Fact_PreSortWeights!$B$2:$B$15,$B32,Fact_PreSortWeights!$F$2:$F$15,$C32))+(SUMIFS(Fact_SortedWeights!$E$2:$E$6,Fact_SortedWeights!$C$2:$C$6,$A32,Fact_SortedWeights!$B$2:$B$6,$B32,Fact_SortedWeights!$D$2:$D$6,$C32,Fact_SortedWeights!$L$2:$L$6,"Yes"))+IF((SUMIFS(Fact_SortedWeights!$E$2:$E$6,Fact_SortedWeights!$C$2:$C$6,$A32,Fact_SortedWeights!$B$2:$B$6,$B32,Fact_SortedWeights!$L$2:$L$6,"No"))=0,0,(SUMIFS(Fact_SortedWeights!$E$2:$E$6,Fact_SortedWeights!$C$2:$C$6,$A32,Fact_SortedWeights!$B$2:$B$6,$B32,Fact_SortedWeights!$D$2:$D$6,$C32,Fact_SortedWeights!$L$2:$L$6,"No"))/(SUMIFS(Fact_SortedWeights!$E$2:$E$6,Fact_SortedWeights!$C$2:$C$6,$A32,Fact_SortedWeights!$B$2:$B$6,$B32,Fact_SortedWeights!$L$2:$L$6,"No"))*((SUMIFS(Fact_PreSortWeights!$E$2:$E$15,Fact_PreSortWeights!$C$2:$C$15,$A32,Fact_PreSortWeights!$B$2:$B$15,$B32,Fact_PreSortWeights!$F$2:$F$15,""))-(SUMIFS(Fact_SortedWeights!$E$2:$E$6,Fact_SortedWeights!$C$2:$C$6,$A32,Fact_SortedWeights!$B$2:$B$6,$B32,Fact_SortedWeights!$L$2:$L$6,"Yes"))))</f>
        <v>0</v>
      </c>
      <c r="G32" s="0" t="n">
        <f aca="false">IF(AND(IF($B32="Trash",INDEX('Materials Master'!$F$2:$F$27,MATCH($C32,'Materials Master'!$A$2:$A$27,0)),IF($B32="GMPC Recycling",INDEX('Materials Master'!$G$2:$G$27,MATCH($C32,'Materials Master'!$A$2:$A$27,0)),IF($B32="Organics Recycling",INDEX('Materials Master'!$H$2:$H$27,MATCH($C32,'Materials Master'!$A$2:$A$27,0)),IF($B32="Cardboard Recycling",INDEX('Materials Master'!$I$2:$I$27,MATCH($C32,'Materials Master'!$A$2:$A$27,0)),IF($B32="Paper Recycling",INDEX('Materials Master'!$J$2:$J$27,MATCH($C32,'Materials Master'!$A$2:$A$27,0)),IF($B32="Terracycle",INDEX('Materials Master'!$K$2:$K$27,MATCH($C32,'Materials Master'!$A$2:$A$27,0)),"No"))))))="Yes",INDEX('Materials Master'!$E$2:$E$27,MATCH($C32,'Materials Master'!$A$2:$A$27,0))="Yes",$B32&lt;&gt;"Trash"),1,0)</f>
        <v>0</v>
      </c>
      <c r="H32" s="0" t="str">
        <f aca="false">INDEX('Materials Master'!$E$2:$E$27,MATCH($C32,'Materials Master'!$A$2:$A$27,0))</f>
        <v>No</v>
      </c>
      <c r="I32" s="0" t="str">
        <f aca="false">IFERROR(INDEX(Areas!$C$2:$C$6,MATCH($A32,Areas!$B$2:$B$6,0)),"")</f>
        <v>Rest of Building</v>
      </c>
      <c r="J32" s="0" t="n">
        <f aca="false">IF(IF($B32="Trash",INDEX('Materials Master'!$F$2:$F$27,MATCH($C32,'Materials Master'!$A$2:$A$27,0)),IF($B32="GMPC Recycling",INDEX('Materials Master'!$G$2:$G$27,MATCH($C32,'Materials Master'!$A$2:$A$27,0)),IF($B32="Organics Recycling",INDEX('Materials Master'!$H$2:$H$27,MATCH($C32,'Materials Master'!$A$2:$A$27,0)),IF($B32="Cardboard Recycling",INDEX('Materials Master'!$I$2:$I$27,MATCH($C32,'Materials Master'!$A$2:$A$27,0)),IF($B32="Paper Recycling",INDEX('Materials Master'!$J$2:$J$27,MATCH($C32,'Materials Master'!$A$2:$A$27,0)),IF($B32="Terracycle",INDEX('Materials Master'!$K$2:$K$27,MATCH($C32,'Materials Master'!$A$2:$A$27,0)),"No"))))))="Yes",1,0)</f>
        <v>0</v>
      </c>
    </row>
    <row r="33" customFormat="false" ht="15" hidden="false" customHeight="false" outlineLevel="0" collapsed="false">
      <c r="A33" s="0" t="s">
        <v>91</v>
      </c>
      <c r="B33" s="0" t="s">
        <v>104</v>
      </c>
      <c r="C33" s="0" t="s">
        <v>39</v>
      </c>
      <c r="D33" s="0" t="str">
        <f aca="false">IFERROR(INDEX('Materials Master'!$B$2:$B$27,MATCH($C33,'Materials Master'!$A$2:$A$27,0)),"")</f>
        <v>Beverage Cartons</v>
      </c>
      <c r="E33" s="0" t="str">
        <f aca="false">IFERROR(INDEX('Materials Master'!$C$2:$C$27,MATCH($C33,'Materials Master'!$A$2:$A$27,0)),"")</f>
        <v>Fibers</v>
      </c>
      <c r="F33" s="0" t="n">
        <f aca="false">(SUMIFS(Fact_PreSortWeights!$E$2:$E$15,Fact_PreSortWeights!$C$2:$C$15,$A33,Fact_PreSortWeights!$B$2:$B$15,$B33,Fact_PreSortWeights!$F$2:$F$15,$C33))+(SUMIFS(Fact_SortedWeights!$E$2:$E$6,Fact_SortedWeights!$C$2:$C$6,$A33,Fact_SortedWeights!$B$2:$B$6,$B33,Fact_SortedWeights!$D$2:$D$6,$C33,Fact_SortedWeights!$L$2:$L$6,"Yes"))+IF((SUMIFS(Fact_SortedWeights!$E$2:$E$6,Fact_SortedWeights!$C$2:$C$6,$A33,Fact_SortedWeights!$B$2:$B$6,$B33,Fact_SortedWeights!$L$2:$L$6,"No"))=0,0,(SUMIFS(Fact_SortedWeights!$E$2:$E$6,Fact_SortedWeights!$C$2:$C$6,$A33,Fact_SortedWeights!$B$2:$B$6,$B33,Fact_SortedWeights!$D$2:$D$6,$C33,Fact_SortedWeights!$L$2:$L$6,"No"))/(SUMIFS(Fact_SortedWeights!$E$2:$E$6,Fact_SortedWeights!$C$2:$C$6,$A33,Fact_SortedWeights!$B$2:$B$6,$B33,Fact_SortedWeights!$L$2:$L$6,"No"))*((SUMIFS(Fact_PreSortWeights!$E$2:$E$15,Fact_PreSortWeights!$C$2:$C$15,$A33,Fact_PreSortWeights!$B$2:$B$15,$B33,Fact_PreSortWeights!$F$2:$F$15,""))-(SUMIFS(Fact_SortedWeights!$E$2:$E$6,Fact_SortedWeights!$C$2:$C$6,$A33,Fact_SortedWeights!$B$2:$B$6,$B33,Fact_SortedWeights!$L$2:$L$6,"Yes"))))</f>
        <v>0</v>
      </c>
      <c r="G33" s="0" t="n">
        <f aca="false">IF(AND(IF($B33="Trash",INDEX('Materials Master'!$F$2:$F$27,MATCH($C33,'Materials Master'!$A$2:$A$27,0)),IF($B33="GMPC Recycling",INDEX('Materials Master'!$G$2:$G$27,MATCH($C33,'Materials Master'!$A$2:$A$27,0)),IF($B33="Organics Recycling",INDEX('Materials Master'!$H$2:$H$27,MATCH($C33,'Materials Master'!$A$2:$A$27,0)),IF($B33="Cardboard Recycling",INDEX('Materials Master'!$I$2:$I$27,MATCH($C33,'Materials Master'!$A$2:$A$27,0)),IF($B33="Paper Recycling",INDEX('Materials Master'!$J$2:$J$27,MATCH($C33,'Materials Master'!$A$2:$A$27,0)),IF($B33="Terracycle",INDEX('Materials Master'!$K$2:$K$27,MATCH($C33,'Materials Master'!$A$2:$A$27,0)),"No"))))))="Yes",INDEX('Materials Master'!$E$2:$E$27,MATCH($C33,'Materials Master'!$A$2:$A$27,0))="Yes",$B33&lt;&gt;"Trash"),1,0)</f>
        <v>1</v>
      </c>
      <c r="H33" s="0" t="str">
        <f aca="false">INDEX('Materials Master'!$E$2:$E$27,MATCH($C33,'Materials Master'!$A$2:$A$27,0))</f>
        <v>Yes</v>
      </c>
      <c r="I33" s="0" t="str">
        <f aca="false">IFERROR(INDEX(Areas!$C$2:$C$6,MATCH($A33,Areas!$B$2:$B$6,0)),"")</f>
        <v>Rest of Building</v>
      </c>
      <c r="J33" s="0" t="n">
        <f aca="false">IF(IF($B33="Trash",INDEX('Materials Master'!$F$2:$F$27,MATCH($C33,'Materials Master'!$A$2:$A$27,0)),IF($B33="GMPC Recycling",INDEX('Materials Master'!$G$2:$G$27,MATCH($C33,'Materials Master'!$A$2:$A$27,0)),IF($B33="Organics Recycling",INDEX('Materials Master'!$H$2:$H$27,MATCH($C33,'Materials Master'!$A$2:$A$27,0)),IF($B33="Cardboard Recycling",INDEX('Materials Master'!$I$2:$I$27,MATCH($C33,'Materials Master'!$A$2:$A$27,0)),IF($B33="Paper Recycling",INDEX('Materials Master'!$J$2:$J$27,MATCH($C33,'Materials Master'!$A$2:$A$27,0)),IF($B33="Terracycle",INDEX('Materials Master'!$K$2:$K$27,MATCH($C33,'Materials Master'!$A$2:$A$27,0)),"No"))))))="Yes",1,0)</f>
        <v>1</v>
      </c>
    </row>
    <row r="34" customFormat="false" ht="15" hidden="false" customHeight="false" outlineLevel="0" collapsed="false">
      <c r="A34" s="0" t="s">
        <v>91</v>
      </c>
      <c r="B34" s="0" t="s">
        <v>104</v>
      </c>
      <c r="C34" s="0" t="s">
        <v>41</v>
      </c>
      <c r="D34" s="0" t="str">
        <f aca="false">IFERROR(INDEX('Materials Master'!$B$2:$B$27,MATCH($C34,'Materials Master'!$A$2:$A$27,0)),"")</f>
        <v>Soiled Beverage Cartons</v>
      </c>
      <c r="E34" s="0" t="str">
        <f aca="false">IFERROR(INDEX('Materials Master'!$C$2:$C$27,MATCH($C34,'Materials Master'!$A$2:$A$27,0)),"")</f>
        <v>Fibers</v>
      </c>
      <c r="F34" s="0" t="n">
        <f aca="false">(SUMIFS(Fact_PreSortWeights!$E$2:$E$15,Fact_PreSortWeights!$C$2:$C$15,$A34,Fact_PreSortWeights!$B$2:$B$15,$B34,Fact_PreSortWeights!$F$2:$F$15,$C34))+(SUMIFS(Fact_SortedWeights!$E$2:$E$6,Fact_SortedWeights!$C$2:$C$6,$A34,Fact_SortedWeights!$B$2:$B$6,$B34,Fact_SortedWeights!$D$2:$D$6,$C34,Fact_SortedWeights!$L$2:$L$6,"Yes"))+IF((SUMIFS(Fact_SortedWeights!$E$2:$E$6,Fact_SortedWeights!$C$2:$C$6,$A34,Fact_SortedWeights!$B$2:$B$6,$B34,Fact_SortedWeights!$L$2:$L$6,"No"))=0,0,(SUMIFS(Fact_SortedWeights!$E$2:$E$6,Fact_SortedWeights!$C$2:$C$6,$A34,Fact_SortedWeights!$B$2:$B$6,$B34,Fact_SortedWeights!$D$2:$D$6,$C34,Fact_SortedWeights!$L$2:$L$6,"No"))/(SUMIFS(Fact_SortedWeights!$E$2:$E$6,Fact_SortedWeights!$C$2:$C$6,$A34,Fact_SortedWeights!$B$2:$B$6,$B34,Fact_SortedWeights!$L$2:$L$6,"No"))*((SUMIFS(Fact_PreSortWeights!$E$2:$E$15,Fact_PreSortWeights!$C$2:$C$15,$A34,Fact_PreSortWeights!$B$2:$B$15,$B34,Fact_PreSortWeights!$F$2:$F$15,""))-(SUMIFS(Fact_SortedWeights!$E$2:$E$6,Fact_SortedWeights!$C$2:$C$6,$A34,Fact_SortedWeights!$B$2:$B$6,$B34,Fact_SortedWeights!$L$2:$L$6,"Yes"))))</f>
        <v>0</v>
      </c>
      <c r="G34" s="0" t="n">
        <f aca="false">IF(AND(IF($B34="Trash",INDEX('Materials Master'!$F$2:$F$27,MATCH($C34,'Materials Master'!$A$2:$A$27,0)),IF($B34="GMPC Recycling",INDEX('Materials Master'!$G$2:$G$27,MATCH($C34,'Materials Master'!$A$2:$A$27,0)),IF($B34="Organics Recycling",INDEX('Materials Master'!$H$2:$H$27,MATCH($C34,'Materials Master'!$A$2:$A$27,0)),IF($B34="Cardboard Recycling",INDEX('Materials Master'!$I$2:$I$27,MATCH($C34,'Materials Master'!$A$2:$A$27,0)),IF($B34="Paper Recycling",INDEX('Materials Master'!$J$2:$J$27,MATCH($C34,'Materials Master'!$A$2:$A$27,0)),IF($B34="Terracycle",INDEX('Materials Master'!$K$2:$K$27,MATCH($C34,'Materials Master'!$A$2:$A$27,0)),"No"))))))="Yes",INDEX('Materials Master'!$E$2:$E$27,MATCH($C34,'Materials Master'!$A$2:$A$27,0))="Yes",$B34&lt;&gt;"Trash"),1,0)</f>
        <v>0</v>
      </c>
      <c r="H34" s="0" t="str">
        <f aca="false">INDEX('Materials Master'!$E$2:$E$27,MATCH($C34,'Materials Master'!$A$2:$A$27,0))</f>
        <v>No</v>
      </c>
      <c r="I34" s="0" t="str">
        <f aca="false">IFERROR(INDEX(Areas!$C$2:$C$6,MATCH($A34,Areas!$B$2:$B$6,0)),"")</f>
        <v>Rest of Building</v>
      </c>
      <c r="J34" s="0" t="n">
        <f aca="false">IF(IF($B34="Trash",INDEX('Materials Master'!$F$2:$F$27,MATCH($C34,'Materials Master'!$A$2:$A$27,0)),IF($B34="GMPC Recycling",INDEX('Materials Master'!$G$2:$G$27,MATCH($C34,'Materials Master'!$A$2:$A$27,0)),IF($B34="Organics Recycling",INDEX('Materials Master'!$H$2:$H$27,MATCH($C34,'Materials Master'!$A$2:$A$27,0)),IF($B34="Cardboard Recycling",INDEX('Materials Master'!$I$2:$I$27,MATCH($C34,'Materials Master'!$A$2:$A$27,0)),IF($B34="Paper Recycling",INDEX('Materials Master'!$J$2:$J$27,MATCH($C34,'Materials Master'!$A$2:$A$27,0)),IF($B34="Terracycle",INDEX('Materials Master'!$K$2:$K$27,MATCH($C34,'Materials Master'!$A$2:$A$27,0)),"No"))))))="Yes",1,0)</f>
        <v>0</v>
      </c>
    </row>
    <row r="35" customFormat="false" ht="15" hidden="false" customHeight="false" outlineLevel="0" collapsed="false">
      <c r="A35" s="0" t="s">
        <v>91</v>
      </c>
      <c r="B35" s="0" t="s">
        <v>104</v>
      </c>
      <c r="C35" s="0" t="s">
        <v>43</v>
      </c>
      <c r="D35" s="0" t="str">
        <f aca="false">IFERROR(INDEX('Materials Master'!$B$2:$B$27,MATCH($C35,'Materials Master'!$A$2:$A$27,0)),"")</f>
        <v>Paper Cups / Other Coated Paper Containers</v>
      </c>
      <c r="E35" s="0" t="str">
        <f aca="false">IFERROR(INDEX('Materials Master'!$C$2:$C$27,MATCH($C35,'Materials Master'!$A$2:$A$27,0)),"")</f>
        <v>Fibers</v>
      </c>
      <c r="F35" s="0" t="n">
        <f aca="false">(SUMIFS(Fact_PreSortWeights!$E$2:$E$15,Fact_PreSortWeights!$C$2:$C$15,$A35,Fact_PreSortWeights!$B$2:$B$15,$B35,Fact_PreSortWeights!$F$2:$F$15,$C35))+(SUMIFS(Fact_SortedWeights!$E$2:$E$6,Fact_SortedWeights!$C$2:$C$6,$A35,Fact_SortedWeights!$B$2:$B$6,$B35,Fact_SortedWeights!$D$2:$D$6,$C35,Fact_SortedWeights!$L$2:$L$6,"Yes"))+IF((SUMIFS(Fact_SortedWeights!$E$2:$E$6,Fact_SortedWeights!$C$2:$C$6,$A35,Fact_SortedWeights!$B$2:$B$6,$B35,Fact_SortedWeights!$L$2:$L$6,"No"))=0,0,(SUMIFS(Fact_SortedWeights!$E$2:$E$6,Fact_SortedWeights!$C$2:$C$6,$A35,Fact_SortedWeights!$B$2:$B$6,$B35,Fact_SortedWeights!$D$2:$D$6,$C35,Fact_SortedWeights!$L$2:$L$6,"No"))/(SUMIFS(Fact_SortedWeights!$E$2:$E$6,Fact_SortedWeights!$C$2:$C$6,$A35,Fact_SortedWeights!$B$2:$B$6,$B35,Fact_SortedWeights!$L$2:$L$6,"No"))*((SUMIFS(Fact_PreSortWeights!$E$2:$E$15,Fact_PreSortWeights!$C$2:$C$15,$A35,Fact_PreSortWeights!$B$2:$B$15,$B35,Fact_PreSortWeights!$F$2:$F$15,""))-(SUMIFS(Fact_SortedWeights!$E$2:$E$6,Fact_SortedWeights!$C$2:$C$6,$A35,Fact_SortedWeights!$B$2:$B$6,$B35,Fact_SortedWeights!$L$2:$L$6,"Yes"))))</f>
        <v>0</v>
      </c>
      <c r="G35" s="0" t="n">
        <f aca="false">IF(AND(IF($B35="Trash",INDEX('Materials Master'!$F$2:$F$27,MATCH($C35,'Materials Master'!$A$2:$A$27,0)),IF($B35="GMPC Recycling",INDEX('Materials Master'!$G$2:$G$27,MATCH($C35,'Materials Master'!$A$2:$A$27,0)),IF($B35="Organics Recycling",INDEX('Materials Master'!$H$2:$H$27,MATCH($C35,'Materials Master'!$A$2:$A$27,0)),IF($B35="Cardboard Recycling",INDEX('Materials Master'!$I$2:$I$27,MATCH($C35,'Materials Master'!$A$2:$A$27,0)),IF($B35="Paper Recycling",INDEX('Materials Master'!$J$2:$J$27,MATCH($C35,'Materials Master'!$A$2:$A$27,0)),IF($B35="Terracycle",INDEX('Materials Master'!$K$2:$K$27,MATCH($C35,'Materials Master'!$A$2:$A$27,0)),"No"))))))="Yes",INDEX('Materials Master'!$E$2:$E$27,MATCH($C35,'Materials Master'!$A$2:$A$27,0))="Yes",$B35&lt;&gt;"Trash"),1,0)</f>
        <v>0</v>
      </c>
      <c r="H35" s="0" t="str">
        <f aca="false">INDEX('Materials Master'!$E$2:$E$27,MATCH($C35,'Materials Master'!$A$2:$A$27,0))</f>
        <v>No</v>
      </c>
      <c r="I35" s="0" t="str">
        <f aca="false">IFERROR(INDEX(Areas!$C$2:$C$6,MATCH($A35,Areas!$B$2:$B$6,0)),"")</f>
        <v>Rest of Building</v>
      </c>
      <c r="J35" s="0" t="n">
        <f aca="false">IF(IF($B35="Trash",INDEX('Materials Master'!$F$2:$F$27,MATCH($C35,'Materials Master'!$A$2:$A$27,0)),IF($B35="GMPC Recycling",INDEX('Materials Master'!$G$2:$G$27,MATCH($C35,'Materials Master'!$A$2:$A$27,0)),IF($B35="Organics Recycling",INDEX('Materials Master'!$H$2:$H$27,MATCH($C35,'Materials Master'!$A$2:$A$27,0)),IF($B35="Cardboard Recycling",INDEX('Materials Master'!$I$2:$I$27,MATCH($C35,'Materials Master'!$A$2:$A$27,0)),IF($B35="Paper Recycling",INDEX('Materials Master'!$J$2:$J$27,MATCH($C35,'Materials Master'!$A$2:$A$27,0)),IF($B35="Terracycle",INDEX('Materials Master'!$K$2:$K$27,MATCH($C35,'Materials Master'!$A$2:$A$27,0)),"No"))))))="Yes",1,0)</f>
        <v>0</v>
      </c>
    </row>
    <row r="36" customFormat="false" ht="15" hidden="false" customHeight="false" outlineLevel="0" collapsed="false">
      <c r="A36" s="0" t="s">
        <v>91</v>
      </c>
      <c r="B36" s="0" t="s">
        <v>104</v>
      </c>
      <c r="C36" s="0" t="s">
        <v>45</v>
      </c>
      <c r="D36" s="0" t="str">
        <f aca="false">IFERROR(INDEX('Materials Master'!$B$2:$B$27,MATCH($C36,'Materials Master'!$A$2:$A$27,0)),"")</f>
        <v>Glass Bottles &amp; Jars</v>
      </c>
      <c r="E36" s="0" t="str">
        <f aca="false">IFERROR(INDEX('Materials Master'!$C$2:$C$27,MATCH($C36,'Materials Master'!$A$2:$A$27,0)),"")</f>
        <v>Glass</v>
      </c>
      <c r="F36" s="0" t="n">
        <f aca="false">(SUMIFS(Fact_PreSortWeights!$E$2:$E$15,Fact_PreSortWeights!$C$2:$C$15,$A36,Fact_PreSortWeights!$B$2:$B$15,$B36,Fact_PreSortWeights!$F$2:$F$15,$C36))+(SUMIFS(Fact_SortedWeights!$E$2:$E$6,Fact_SortedWeights!$C$2:$C$6,$A36,Fact_SortedWeights!$B$2:$B$6,$B36,Fact_SortedWeights!$D$2:$D$6,$C36,Fact_SortedWeights!$L$2:$L$6,"Yes"))+IF((SUMIFS(Fact_SortedWeights!$E$2:$E$6,Fact_SortedWeights!$C$2:$C$6,$A36,Fact_SortedWeights!$B$2:$B$6,$B36,Fact_SortedWeights!$L$2:$L$6,"No"))=0,0,(SUMIFS(Fact_SortedWeights!$E$2:$E$6,Fact_SortedWeights!$C$2:$C$6,$A36,Fact_SortedWeights!$B$2:$B$6,$B36,Fact_SortedWeights!$D$2:$D$6,$C36,Fact_SortedWeights!$L$2:$L$6,"No"))/(SUMIFS(Fact_SortedWeights!$E$2:$E$6,Fact_SortedWeights!$C$2:$C$6,$A36,Fact_SortedWeights!$B$2:$B$6,$B36,Fact_SortedWeights!$L$2:$L$6,"No"))*((SUMIFS(Fact_PreSortWeights!$E$2:$E$15,Fact_PreSortWeights!$C$2:$C$15,$A36,Fact_PreSortWeights!$B$2:$B$15,$B36,Fact_PreSortWeights!$F$2:$F$15,""))-(SUMIFS(Fact_SortedWeights!$E$2:$E$6,Fact_SortedWeights!$C$2:$C$6,$A36,Fact_SortedWeights!$B$2:$B$6,$B36,Fact_SortedWeights!$L$2:$L$6,"Yes"))))</f>
        <v>0</v>
      </c>
      <c r="G36" s="0" t="n">
        <f aca="false">IF(AND(IF($B36="Trash",INDEX('Materials Master'!$F$2:$F$27,MATCH($C36,'Materials Master'!$A$2:$A$27,0)),IF($B36="GMPC Recycling",INDEX('Materials Master'!$G$2:$G$27,MATCH($C36,'Materials Master'!$A$2:$A$27,0)),IF($B36="Organics Recycling",INDEX('Materials Master'!$H$2:$H$27,MATCH($C36,'Materials Master'!$A$2:$A$27,0)),IF($B36="Cardboard Recycling",INDEX('Materials Master'!$I$2:$I$27,MATCH($C36,'Materials Master'!$A$2:$A$27,0)),IF($B36="Paper Recycling",INDEX('Materials Master'!$J$2:$J$27,MATCH($C36,'Materials Master'!$A$2:$A$27,0)),IF($B36="Terracycle",INDEX('Materials Master'!$K$2:$K$27,MATCH($C36,'Materials Master'!$A$2:$A$27,0)),"No"))))))="Yes",INDEX('Materials Master'!$E$2:$E$27,MATCH($C36,'Materials Master'!$A$2:$A$27,0))="Yes",$B36&lt;&gt;"Trash"),1,0)</f>
        <v>1</v>
      </c>
      <c r="H36" s="0" t="str">
        <f aca="false">INDEX('Materials Master'!$E$2:$E$27,MATCH($C36,'Materials Master'!$A$2:$A$27,0))</f>
        <v>Yes</v>
      </c>
      <c r="I36" s="0" t="str">
        <f aca="false">IFERROR(INDEX(Areas!$C$2:$C$6,MATCH($A36,Areas!$B$2:$B$6,0)),"")</f>
        <v>Rest of Building</v>
      </c>
      <c r="J36" s="0" t="n">
        <f aca="false">IF(IF($B36="Trash",INDEX('Materials Master'!$F$2:$F$27,MATCH($C36,'Materials Master'!$A$2:$A$27,0)),IF($B36="GMPC Recycling",INDEX('Materials Master'!$G$2:$G$27,MATCH($C36,'Materials Master'!$A$2:$A$27,0)),IF($B36="Organics Recycling",INDEX('Materials Master'!$H$2:$H$27,MATCH($C36,'Materials Master'!$A$2:$A$27,0)),IF($B36="Cardboard Recycling",INDEX('Materials Master'!$I$2:$I$27,MATCH($C36,'Materials Master'!$A$2:$A$27,0)),IF($B36="Paper Recycling",INDEX('Materials Master'!$J$2:$J$27,MATCH($C36,'Materials Master'!$A$2:$A$27,0)),IF($B36="Terracycle",INDEX('Materials Master'!$K$2:$K$27,MATCH($C36,'Materials Master'!$A$2:$A$27,0)),"No"))))))="Yes",1,0)</f>
        <v>1</v>
      </c>
    </row>
    <row r="37" customFormat="false" ht="15" hidden="false" customHeight="false" outlineLevel="0" collapsed="false">
      <c r="A37" s="0" t="s">
        <v>91</v>
      </c>
      <c r="B37" s="0" t="s">
        <v>104</v>
      </c>
      <c r="C37" s="0" t="s">
        <v>48</v>
      </c>
      <c r="D37" s="0" t="str">
        <f aca="false">IFERROR(INDEX('Materials Master'!$B$2:$B$27,MATCH($C37,'Materials Master'!$A$2:$A$27,0)),"")</f>
        <v>Soiled Glass</v>
      </c>
      <c r="E37" s="0" t="str">
        <f aca="false">IFERROR(INDEX('Materials Master'!$C$2:$C$27,MATCH($C37,'Materials Master'!$A$2:$A$27,0)),"")</f>
        <v>Glass</v>
      </c>
      <c r="F37" s="0" t="n">
        <f aca="false">(SUMIFS(Fact_PreSortWeights!$E$2:$E$15,Fact_PreSortWeights!$C$2:$C$15,$A37,Fact_PreSortWeights!$B$2:$B$15,$B37,Fact_PreSortWeights!$F$2:$F$15,$C37))+(SUMIFS(Fact_SortedWeights!$E$2:$E$6,Fact_SortedWeights!$C$2:$C$6,$A37,Fact_SortedWeights!$B$2:$B$6,$B37,Fact_SortedWeights!$D$2:$D$6,$C37,Fact_SortedWeights!$L$2:$L$6,"Yes"))+IF((SUMIFS(Fact_SortedWeights!$E$2:$E$6,Fact_SortedWeights!$C$2:$C$6,$A37,Fact_SortedWeights!$B$2:$B$6,$B37,Fact_SortedWeights!$L$2:$L$6,"No"))=0,0,(SUMIFS(Fact_SortedWeights!$E$2:$E$6,Fact_SortedWeights!$C$2:$C$6,$A37,Fact_SortedWeights!$B$2:$B$6,$B37,Fact_SortedWeights!$D$2:$D$6,$C37,Fact_SortedWeights!$L$2:$L$6,"No"))/(SUMIFS(Fact_SortedWeights!$E$2:$E$6,Fact_SortedWeights!$C$2:$C$6,$A37,Fact_SortedWeights!$B$2:$B$6,$B37,Fact_SortedWeights!$L$2:$L$6,"No"))*((SUMIFS(Fact_PreSortWeights!$E$2:$E$15,Fact_PreSortWeights!$C$2:$C$15,$A37,Fact_PreSortWeights!$B$2:$B$15,$B37,Fact_PreSortWeights!$F$2:$F$15,""))-(SUMIFS(Fact_SortedWeights!$E$2:$E$6,Fact_SortedWeights!$C$2:$C$6,$A37,Fact_SortedWeights!$B$2:$B$6,$B37,Fact_SortedWeights!$L$2:$L$6,"Yes"))))</f>
        <v>0</v>
      </c>
      <c r="G37" s="0" t="n">
        <f aca="false">IF(AND(IF($B37="Trash",INDEX('Materials Master'!$F$2:$F$27,MATCH($C37,'Materials Master'!$A$2:$A$27,0)),IF($B37="GMPC Recycling",INDEX('Materials Master'!$G$2:$G$27,MATCH($C37,'Materials Master'!$A$2:$A$27,0)),IF($B37="Organics Recycling",INDEX('Materials Master'!$H$2:$H$27,MATCH($C37,'Materials Master'!$A$2:$A$27,0)),IF($B37="Cardboard Recycling",INDEX('Materials Master'!$I$2:$I$27,MATCH($C37,'Materials Master'!$A$2:$A$27,0)),IF($B37="Paper Recycling",INDEX('Materials Master'!$J$2:$J$27,MATCH($C37,'Materials Master'!$A$2:$A$27,0)),IF($B37="Terracycle",INDEX('Materials Master'!$K$2:$K$27,MATCH($C37,'Materials Master'!$A$2:$A$27,0)),"No"))))))="Yes",INDEX('Materials Master'!$E$2:$E$27,MATCH($C37,'Materials Master'!$A$2:$A$27,0))="Yes",$B37&lt;&gt;"Trash"),1,0)</f>
        <v>0</v>
      </c>
      <c r="H37" s="0" t="str">
        <f aca="false">INDEX('Materials Master'!$E$2:$E$27,MATCH($C37,'Materials Master'!$A$2:$A$27,0))</f>
        <v>No</v>
      </c>
      <c r="I37" s="0" t="str">
        <f aca="false">IFERROR(INDEX(Areas!$C$2:$C$6,MATCH($A37,Areas!$B$2:$B$6,0)),"")</f>
        <v>Rest of Building</v>
      </c>
      <c r="J37" s="0" t="n">
        <f aca="false">IF(IF($B37="Trash",INDEX('Materials Master'!$F$2:$F$27,MATCH($C37,'Materials Master'!$A$2:$A$27,0)),IF($B37="GMPC Recycling",INDEX('Materials Master'!$G$2:$G$27,MATCH($C37,'Materials Master'!$A$2:$A$27,0)),IF($B37="Organics Recycling",INDEX('Materials Master'!$H$2:$H$27,MATCH($C37,'Materials Master'!$A$2:$A$27,0)),IF($B37="Cardboard Recycling",INDEX('Materials Master'!$I$2:$I$27,MATCH($C37,'Materials Master'!$A$2:$A$27,0)),IF($B37="Paper Recycling",INDEX('Materials Master'!$J$2:$J$27,MATCH($C37,'Materials Master'!$A$2:$A$27,0)),IF($B37="Terracycle",INDEX('Materials Master'!$K$2:$K$27,MATCH($C37,'Materials Master'!$A$2:$A$27,0)),"No"))))))="Yes",1,0)</f>
        <v>0</v>
      </c>
    </row>
    <row r="38" customFormat="false" ht="15" hidden="false" customHeight="false" outlineLevel="0" collapsed="false">
      <c r="A38" s="0" t="s">
        <v>91</v>
      </c>
      <c r="B38" s="0" t="s">
        <v>104</v>
      </c>
      <c r="C38" s="0" t="s">
        <v>50</v>
      </c>
      <c r="D38" s="0" t="str">
        <f aca="false">IFERROR(INDEX('Materials Master'!$B$2:$B$27,MATCH($C38,'Materials Master'!$A$2:$A$27,0)),"")</f>
        <v>Aluminum &amp; Bi-Metal Containers</v>
      </c>
      <c r="E38" s="0" t="str">
        <f aca="false">IFERROR(INDEX('Materials Master'!$C$2:$C$27,MATCH($C38,'Materials Master'!$A$2:$A$27,0)),"")</f>
        <v>Metals</v>
      </c>
      <c r="F38" s="0" t="n">
        <f aca="false">(SUMIFS(Fact_PreSortWeights!$E$2:$E$15,Fact_PreSortWeights!$C$2:$C$15,$A38,Fact_PreSortWeights!$B$2:$B$15,$B38,Fact_PreSortWeights!$F$2:$F$15,$C38))+(SUMIFS(Fact_SortedWeights!$E$2:$E$6,Fact_SortedWeights!$C$2:$C$6,$A38,Fact_SortedWeights!$B$2:$B$6,$B38,Fact_SortedWeights!$D$2:$D$6,$C38,Fact_SortedWeights!$L$2:$L$6,"Yes"))+IF((SUMIFS(Fact_SortedWeights!$E$2:$E$6,Fact_SortedWeights!$C$2:$C$6,$A38,Fact_SortedWeights!$B$2:$B$6,$B38,Fact_SortedWeights!$L$2:$L$6,"No"))=0,0,(SUMIFS(Fact_SortedWeights!$E$2:$E$6,Fact_SortedWeights!$C$2:$C$6,$A38,Fact_SortedWeights!$B$2:$B$6,$B38,Fact_SortedWeights!$D$2:$D$6,$C38,Fact_SortedWeights!$L$2:$L$6,"No"))/(SUMIFS(Fact_SortedWeights!$E$2:$E$6,Fact_SortedWeights!$C$2:$C$6,$A38,Fact_SortedWeights!$B$2:$B$6,$B38,Fact_SortedWeights!$L$2:$L$6,"No"))*((SUMIFS(Fact_PreSortWeights!$E$2:$E$15,Fact_PreSortWeights!$C$2:$C$15,$A38,Fact_PreSortWeights!$B$2:$B$15,$B38,Fact_PreSortWeights!$F$2:$F$15,""))-(SUMIFS(Fact_SortedWeights!$E$2:$E$6,Fact_SortedWeights!$C$2:$C$6,$A38,Fact_SortedWeights!$B$2:$B$6,$B38,Fact_SortedWeights!$L$2:$L$6,"Yes"))))</f>
        <v>0</v>
      </c>
      <c r="G38" s="0" t="n">
        <f aca="false">IF(AND(IF($B38="Trash",INDEX('Materials Master'!$F$2:$F$27,MATCH($C38,'Materials Master'!$A$2:$A$27,0)),IF($B38="GMPC Recycling",INDEX('Materials Master'!$G$2:$G$27,MATCH($C38,'Materials Master'!$A$2:$A$27,0)),IF($B38="Organics Recycling",INDEX('Materials Master'!$H$2:$H$27,MATCH($C38,'Materials Master'!$A$2:$A$27,0)),IF($B38="Cardboard Recycling",INDEX('Materials Master'!$I$2:$I$27,MATCH($C38,'Materials Master'!$A$2:$A$27,0)),IF($B38="Paper Recycling",INDEX('Materials Master'!$J$2:$J$27,MATCH($C38,'Materials Master'!$A$2:$A$27,0)),IF($B38="Terracycle",INDEX('Materials Master'!$K$2:$K$27,MATCH($C38,'Materials Master'!$A$2:$A$27,0)),"No"))))))="Yes",INDEX('Materials Master'!$E$2:$E$27,MATCH($C38,'Materials Master'!$A$2:$A$27,0))="Yes",$B38&lt;&gt;"Trash"),1,0)</f>
        <v>1</v>
      </c>
      <c r="H38" s="0" t="str">
        <f aca="false">INDEX('Materials Master'!$E$2:$E$27,MATCH($C38,'Materials Master'!$A$2:$A$27,0))</f>
        <v>Yes</v>
      </c>
      <c r="I38" s="0" t="str">
        <f aca="false">IFERROR(INDEX(Areas!$C$2:$C$6,MATCH($A38,Areas!$B$2:$B$6,0)),"")</f>
        <v>Rest of Building</v>
      </c>
      <c r="J38" s="0" t="n">
        <f aca="false">IF(IF($B38="Trash",INDEX('Materials Master'!$F$2:$F$27,MATCH($C38,'Materials Master'!$A$2:$A$27,0)),IF($B38="GMPC Recycling",INDEX('Materials Master'!$G$2:$G$27,MATCH($C38,'Materials Master'!$A$2:$A$27,0)),IF($B38="Organics Recycling",INDEX('Materials Master'!$H$2:$H$27,MATCH($C38,'Materials Master'!$A$2:$A$27,0)),IF($B38="Cardboard Recycling",INDEX('Materials Master'!$I$2:$I$27,MATCH($C38,'Materials Master'!$A$2:$A$27,0)),IF($B38="Paper Recycling",INDEX('Materials Master'!$J$2:$J$27,MATCH($C38,'Materials Master'!$A$2:$A$27,0)),IF($B38="Terracycle",INDEX('Materials Master'!$K$2:$K$27,MATCH($C38,'Materials Master'!$A$2:$A$27,0)),"No"))))))="Yes",1,0)</f>
        <v>1</v>
      </c>
    </row>
    <row r="39" customFormat="false" ht="15" hidden="false" customHeight="false" outlineLevel="0" collapsed="false">
      <c r="A39" s="0" t="s">
        <v>91</v>
      </c>
      <c r="B39" s="0" t="s">
        <v>104</v>
      </c>
      <c r="C39" s="0" t="s">
        <v>53</v>
      </c>
      <c r="D39" s="0" t="str">
        <f aca="false">IFERROR(INDEX('Materials Master'!$B$2:$B$27,MATCH($C39,'Materials Master'!$A$2:$A$27,0)),"")</f>
        <v>Soiled Metals</v>
      </c>
      <c r="E39" s="0" t="str">
        <f aca="false">IFERROR(INDEX('Materials Master'!$C$2:$C$27,MATCH($C39,'Materials Master'!$A$2:$A$27,0)),"")</f>
        <v>Metals</v>
      </c>
      <c r="F39" s="0" t="n">
        <f aca="false">(SUMIFS(Fact_PreSortWeights!$E$2:$E$15,Fact_PreSortWeights!$C$2:$C$15,$A39,Fact_PreSortWeights!$B$2:$B$15,$B39,Fact_PreSortWeights!$F$2:$F$15,$C39))+(SUMIFS(Fact_SortedWeights!$E$2:$E$6,Fact_SortedWeights!$C$2:$C$6,$A39,Fact_SortedWeights!$B$2:$B$6,$B39,Fact_SortedWeights!$D$2:$D$6,$C39,Fact_SortedWeights!$L$2:$L$6,"Yes"))+IF((SUMIFS(Fact_SortedWeights!$E$2:$E$6,Fact_SortedWeights!$C$2:$C$6,$A39,Fact_SortedWeights!$B$2:$B$6,$B39,Fact_SortedWeights!$L$2:$L$6,"No"))=0,0,(SUMIFS(Fact_SortedWeights!$E$2:$E$6,Fact_SortedWeights!$C$2:$C$6,$A39,Fact_SortedWeights!$B$2:$B$6,$B39,Fact_SortedWeights!$D$2:$D$6,$C39,Fact_SortedWeights!$L$2:$L$6,"No"))/(SUMIFS(Fact_SortedWeights!$E$2:$E$6,Fact_SortedWeights!$C$2:$C$6,$A39,Fact_SortedWeights!$B$2:$B$6,$B39,Fact_SortedWeights!$L$2:$L$6,"No"))*((SUMIFS(Fact_PreSortWeights!$E$2:$E$15,Fact_PreSortWeights!$C$2:$C$15,$A39,Fact_PreSortWeights!$B$2:$B$15,$B39,Fact_PreSortWeights!$F$2:$F$15,""))-(SUMIFS(Fact_SortedWeights!$E$2:$E$6,Fact_SortedWeights!$C$2:$C$6,$A39,Fact_SortedWeights!$B$2:$B$6,$B39,Fact_SortedWeights!$L$2:$L$6,"Yes"))))</f>
        <v>0</v>
      </c>
      <c r="G39" s="0" t="n">
        <f aca="false">IF(AND(IF($B39="Trash",INDEX('Materials Master'!$F$2:$F$27,MATCH($C39,'Materials Master'!$A$2:$A$27,0)),IF($B39="GMPC Recycling",INDEX('Materials Master'!$G$2:$G$27,MATCH($C39,'Materials Master'!$A$2:$A$27,0)),IF($B39="Organics Recycling",INDEX('Materials Master'!$H$2:$H$27,MATCH($C39,'Materials Master'!$A$2:$A$27,0)),IF($B39="Cardboard Recycling",INDEX('Materials Master'!$I$2:$I$27,MATCH($C39,'Materials Master'!$A$2:$A$27,0)),IF($B39="Paper Recycling",INDEX('Materials Master'!$J$2:$J$27,MATCH($C39,'Materials Master'!$A$2:$A$27,0)),IF($B39="Terracycle",INDEX('Materials Master'!$K$2:$K$27,MATCH($C39,'Materials Master'!$A$2:$A$27,0)),"No"))))))="Yes",INDEX('Materials Master'!$E$2:$E$27,MATCH($C39,'Materials Master'!$A$2:$A$27,0))="Yes",$B39&lt;&gt;"Trash"),1,0)</f>
        <v>0</v>
      </c>
      <c r="H39" s="0" t="str">
        <f aca="false">INDEX('Materials Master'!$E$2:$E$27,MATCH($C39,'Materials Master'!$A$2:$A$27,0))</f>
        <v>No</v>
      </c>
      <c r="I39" s="0" t="str">
        <f aca="false">IFERROR(INDEX(Areas!$C$2:$C$6,MATCH($A39,Areas!$B$2:$B$6,0)),"")</f>
        <v>Rest of Building</v>
      </c>
      <c r="J39" s="0" t="n">
        <f aca="false">IF(IF($B39="Trash",INDEX('Materials Master'!$F$2:$F$27,MATCH($C39,'Materials Master'!$A$2:$A$27,0)),IF($B39="GMPC Recycling",INDEX('Materials Master'!$G$2:$G$27,MATCH($C39,'Materials Master'!$A$2:$A$27,0)),IF($B39="Organics Recycling",INDEX('Materials Master'!$H$2:$H$27,MATCH($C39,'Materials Master'!$A$2:$A$27,0)),IF($B39="Cardboard Recycling",INDEX('Materials Master'!$I$2:$I$27,MATCH($C39,'Materials Master'!$A$2:$A$27,0)),IF($B39="Paper Recycling",INDEX('Materials Master'!$J$2:$J$27,MATCH($C39,'Materials Master'!$A$2:$A$27,0)),IF($B39="Terracycle",INDEX('Materials Master'!$K$2:$K$27,MATCH($C39,'Materials Master'!$A$2:$A$27,0)),"No"))))))="Yes",1,0)</f>
        <v>0</v>
      </c>
    </row>
    <row r="40" customFormat="false" ht="15" hidden="false" customHeight="false" outlineLevel="0" collapsed="false">
      <c r="A40" s="0" t="s">
        <v>91</v>
      </c>
      <c r="B40" s="0" t="s">
        <v>104</v>
      </c>
      <c r="C40" s="0" t="s">
        <v>55</v>
      </c>
      <c r="D40" s="0" t="str">
        <f aca="false">IFERROR(INDEX('Materials Master'!$B$2:$B$27,MATCH($C40,'Materials Master'!$A$2:$A$27,0)),"")</f>
        <v>Rigid Plastics (1-6)</v>
      </c>
      <c r="E40" s="0" t="str">
        <f aca="false">IFERROR(INDEX('Materials Master'!$C$2:$C$27,MATCH($C40,'Materials Master'!$A$2:$A$27,0)),"")</f>
        <v>Plastics</v>
      </c>
      <c r="F40" s="0" t="n">
        <f aca="false">(SUMIFS(Fact_PreSortWeights!$E$2:$E$15,Fact_PreSortWeights!$C$2:$C$15,$A40,Fact_PreSortWeights!$B$2:$B$15,$B40,Fact_PreSortWeights!$F$2:$F$15,$C40))+(SUMIFS(Fact_SortedWeights!$E$2:$E$6,Fact_SortedWeights!$C$2:$C$6,$A40,Fact_SortedWeights!$B$2:$B$6,$B40,Fact_SortedWeights!$D$2:$D$6,$C40,Fact_SortedWeights!$L$2:$L$6,"Yes"))+IF((SUMIFS(Fact_SortedWeights!$E$2:$E$6,Fact_SortedWeights!$C$2:$C$6,$A40,Fact_SortedWeights!$B$2:$B$6,$B40,Fact_SortedWeights!$L$2:$L$6,"No"))=0,0,(SUMIFS(Fact_SortedWeights!$E$2:$E$6,Fact_SortedWeights!$C$2:$C$6,$A40,Fact_SortedWeights!$B$2:$B$6,$B40,Fact_SortedWeights!$D$2:$D$6,$C40,Fact_SortedWeights!$L$2:$L$6,"No"))/(SUMIFS(Fact_SortedWeights!$E$2:$E$6,Fact_SortedWeights!$C$2:$C$6,$A40,Fact_SortedWeights!$B$2:$B$6,$B40,Fact_SortedWeights!$L$2:$L$6,"No"))*((SUMIFS(Fact_PreSortWeights!$E$2:$E$15,Fact_PreSortWeights!$C$2:$C$15,$A40,Fact_PreSortWeights!$B$2:$B$15,$B40,Fact_PreSortWeights!$F$2:$F$15,""))-(SUMIFS(Fact_SortedWeights!$E$2:$E$6,Fact_SortedWeights!$C$2:$C$6,$A40,Fact_SortedWeights!$B$2:$B$6,$B40,Fact_SortedWeights!$L$2:$L$6,"Yes"))))</f>
        <v>0</v>
      </c>
      <c r="G40" s="0" t="n">
        <f aca="false">IF(AND(IF($B40="Trash",INDEX('Materials Master'!$F$2:$F$27,MATCH($C40,'Materials Master'!$A$2:$A$27,0)),IF($B40="GMPC Recycling",INDEX('Materials Master'!$G$2:$G$27,MATCH($C40,'Materials Master'!$A$2:$A$27,0)),IF($B40="Organics Recycling",INDEX('Materials Master'!$H$2:$H$27,MATCH($C40,'Materials Master'!$A$2:$A$27,0)),IF($B40="Cardboard Recycling",INDEX('Materials Master'!$I$2:$I$27,MATCH($C40,'Materials Master'!$A$2:$A$27,0)),IF($B40="Paper Recycling",INDEX('Materials Master'!$J$2:$J$27,MATCH($C40,'Materials Master'!$A$2:$A$27,0)),IF($B40="Terracycle",INDEX('Materials Master'!$K$2:$K$27,MATCH($C40,'Materials Master'!$A$2:$A$27,0)),"No"))))))="Yes",INDEX('Materials Master'!$E$2:$E$27,MATCH($C40,'Materials Master'!$A$2:$A$27,0))="Yes",$B40&lt;&gt;"Trash"),1,0)</f>
        <v>1</v>
      </c>
      <c r="H40" s="0" t="str">
        <f aca="false">INDEX('Materials Master'!$E$2:$E$27,MATCH($C40,'Materials Master'!$A$2:$A$27,0))</f>
        <v>Yes</v>
      </c>
      <c r="I40" s="0" t="str">
        <f aca="false">IFERROR(INDEX(Areas!$C$2:$C$6,MATCH($A40,Areas!$B$2:$B$6,0)),"")</f>
        <v>Rest of Building</v>
      </c>
      <c r="J40" s="0" t="n">
        <f aca="false">IF(IF($B40="Trash",INDEX('Materials Master'!$F$2:$F$27,MATCH($C40,'Materials Master'!$A$2:$A$27,0)),IF($B40="GMPC Recycling",INDEX('Materials Master'!$G$2:$G$27,MATCH($C40,'Materials Master'!$A$2:$A$27,0)),IF($B40="Organics Recycling",INDEX('Materials Master'!$H$2:$H$27,MATCH($C40,'Materials Master'!$A$2:$A$27,0)),IF($B40="Cardboard Recycling",INDEX('Materials Master'!$I$2:$I$27,MATCH($C40,'Materials Master'!$A$2:$A$27,0)),IF($B40="Paper Recycling",INDEX('Materials Master'!$J$2:$J$27,MATCH($C40,'Materials Master'!$A$2:$A$27,0)),IF($B40="Terracycle",INDEX('Materials Master'!$K$2:$K$27,MATCH($C40,'Materials Master'!$A$2:$A$27,0)),"No"))))))="Yes",1,0)</f>
        <v>1</v>
      </c>
    </row>
    <row r="41" customFormat="false" ht="15" hidden="false" customHeight="false" outlineLevel="0" collapsed="false">
      <c r="A41" s="0" t="s">
        <v>91</v>
      </c>
      <c r="B41" s="0" t="s">
        <v>104</v>
      </c>
      <c r="C41" s="0" t="s">
        <v>58</v>
      </c>
      <c r="D41" s="0" t="str">
        <f aca="false">IFERROR(INDEX('Materials Master'!$B$2:$B$27,MATCH($C41,'Materials Master'!$A$2:$A$27,0)),"")</f>
        <v>Soiled Rigid Plastics</v>
      </c>
      <c r="E41" s="0" t="str">
        <f aca="false">IFERROR(INDEX('Materials Master'!$C$2:$C$27,MATCH($C41,'Materials Master'!$A$2:$A$27,0)),"")</f>
        <v>Plastics</v>
      </c>
      <c r="F41" s="0" t="n">
        <f aca="false">(SUMIFS(Fact_PreSortWeights!$E$2:$E$15,Fact_PreSortWeights!$C$2:$C$15,$A41,Fact_PreSortWeights!$B$2:$B$15,$B41,Fact_PreSortWeights!$F$2:$F$15,$C41))+(SUMIFS(Fact_SortedWeights!$E$2:$E$6,Fact_SortedWeights!$C$2:$C$6,$A41,Fact_SortedWeights!$B$2:$B$6,$B41,Fact_SortedWeights!$D$2:$D$6,$C41,Fact_SortedWeights!$L$2:$L$6,"Yes"))+IF((SUMIFS(Fact_SortedWeights!$E$2:$E$6,Fact_SortedWeights!$C$2:$C$6,$A41,Fact_SortedWeights!$B$2:$B$6,$B41,Fact_SortedWeights!$L$2:$L$6,"No"))=0,0,(SUMIFS(Fact_SortedWeights!$E$2:$E$6,Fact_SortedWeights!$C$2:$C$6,$A41,Fact_SortedWeights!$B$2:$B$6,$B41,Fact_SortedWeights!$D$2:$D$6,$C41,Fact_SortedWeights!$L$2:$L$6,"No"))/(SUMIFS(Fact_SortedWeights!$E$2:$E$6,Fact_SortedWeights!$C$2:$C$6,$A41,Fact_SortedWeights!$B$2:$B$6,$B41,Fact_SortedWeights!$L$2:$L$6,"No"))*((SUMIFS(Fact_PreSortWeights!$E$2:$E$15,Fact_PreSortWeights!$C$2:$C$15,$A41,Fact_PreSortWeights!$B$2:$B$15,$B41,Fact_PreSortWeights!$F$2:$F$15,""))-(SUMIFS(Fact_SortedWeights!$E$2:$E$6,Fact_SortedWeights!$C$2:$C$6,$A41,Fact_SortedWeights!$B$2:$B$6,$B41,Fact_SortedWeights!$L$2:$L$6,"Yes"))))</f>
        <v>0</v>
      </c>
      <c r="G41" s="0" t="n">
        <f aca="false">IF(AND(IF($B41="Trash",INDEX('Materials Master'!$F$2:$F$27,MATCH($C41,'Materials Master'!$A$2:$A$27,0)),IF($B41="GMPC Recycling",INDEX('Materials Master'!$G$2:$G$27,MATCH($C41,'Materials Master'!$A$2:$A$27,0)),IF($B41="Organics Recycling",INDEX('Materials Master'!$H$2:$H$27,MATCH($C41,'Materials Master'!$A$2:$A$27,0)),IF($B41="Cardboard Recycling",INDEX('Materials Master'!$I$2:$I$27,MATCH($C41,'Materials Master'!$A$2:$A$27,0)),IF($B41="Paper Recycling",INDEX('Materials Master'!$J$2:$J$27,MATCH($C41,'Materials Master'!$A$2:$A$27,0)),IF($B41="Terracycle",INDEX('Materials Master'!$K$2:$K$27,MATCH($C41,'Materials Master'!$A$2:$A$27,0)),"No"))))))="Yes",INDEX('Materials Master'!$E$2:$E$27,MATCH($C41,'Materials Master'!$A$2:$A$27,0))="Yes",$B41&lt;&gt;"Trash"),1,0)</f>
        <v>0</v>
      </c>
      <c r="H41" s="0" t="str">
        <f aca="false">INDEX('Materials Master'!$E$2:$E$27,MATCH($C41,'Materials Master'!$A$2:$A$27,0))</f>
        <v>No</v>
      </c>
      <c r="I41" s="0" t="str">
        <f aca="false">IFERROR(INDEX(Areas!$C$2:$C$6,MATCH($A41,Areas!$B$2:$B$6,0)),"")</f>
        <v>Rest of Building</v>
      </c>
      <c r="J41" s="0" t="n">
        <f aca="false">IF(IF($B41="Trash",INDEX('Materials Master'!$F$2:$F$27,MATCH($C41,'Materials Master'!$A$2:$A$27,0)),IF($B41="GMPC Recycling",INDEX('Materials Master'!$G$2:$G$27,MATCH($C41,'Materials Master'!$A$2:$A$27,0)),IF($B41="Organics Recycling",INDEX('Materials Master'!$H$2:$H$27,MATCH($C41,'Materials Master'!$A$2:$A$27,0)),IF($B41="Cardboard Recycling",INDEX('Materials Master'!$I$2:$I$27,MATCH($C41,'Materials Master'!$A$2:$A$27,0)),IF($B41="Paper Recycling",INDEX('Materials Master'!$J$2:$J$27,MATCH($C41,'Materials Master'!$A$2:$A$27,0)),IF($B41="Terracycle",INDEX('Materials Master'!$K$2:$K$27,MATCH($C41,'Materials Master'!$A$2:$A$27,0)),"No"))))))="Yes",1,0)</f>
        <v>0</v>
      </c>
    </row>
    <row r="42" customFormat="false" ht="15" hidden="false" customHeight="false" outlineLevel="0" collapsed="false">
      <c r="A42" s="0" t="s">
        <v>91</v>
      </c>
      <c r="B42" s="0" t="s">
        <v>104</v>
      </c>
      <c r="C42" s="0" t="s">
        <v>60</v>
      </c>
      <c r="D42" s="0" t="str">
        <f aca="false">IFERROR(INDEX('Materials Master'!$B$2:$B$27,MATCH($C42,'Materials Master'!$A$2:$A$27,0)),"")</f>
        <v>Film Plastics</v>
      </c>
      <c r="E42" s="0" t="str">
        <f aca="false">IFERROR(INDEX('Materials Master'!$C$2:$C$27,MATCH($C42,'Materials Master'!$A$2:$A$27,0)),"")</f>
        <v>Plastics</v>
      </c>
      <c r="F42" s="0" t="n">
        <f aca="false">(SUMIFS(Fact_PreSortWeights!$E$2:$E$15,Fact_PreSortWeights!$C$2:$C$15,$A42,Fact_PreSortWeights!$B$2:$B$15,$B42,Fact_PreSortWeights!$F$2:$F$15,$C42))+(SUMIFS(Fact_SortedWeights!$E$2:$E$6,Fact_SortedWeights!$C$2:$C$6,$A42,Fact_SortedWeights!$B$2:$B$6,$B42,Fact_SortedWeights!$D$2:$D$6,$C42,Fact_SortedWeights!$L$2:$L$6,"Yes"))+IF((SUMIFS(Fact_SortedWeights!$E$2:$E$6,Fact_SortedWeights!$C$2:$C$6,$A42,Fact_SortedWeights!$B$2:$B$6,$B42,Fact_SortedWeights!$L$2:$L$6,"No"))=0,0,(SUMIFS(Fact_SortedWeights!$E$2:$E$6,Fact_SortedWeights!$C$2:$C$6,$A42,Fact_SortedWeights!$B$2:$B$6,$B42,Fact_SortedWeights!$D$2:$D$6,$C42,Fact_SortedWeights!$L$2:$L$6,"No"))/(SUMIFS(Fact_SortedWeights!$E$2:$E$6,Fact_SortedWeights!$C$2:$C$6,$A42,Fact_SortedWeights!$B$2:$B$6,$B42,Fact_SortedWeights!$L$2:$L$6,"No"))*((SUMIFS(Fact_PreSortWeights!$E$2:$E$15,Fact_PreSortWeights!$C$2:$C$15,$A42,Fact_PreSortWeights!$B$2:$B$15,$B42,Fact_PreSortWeights!$F$2:$F$15,""))-(SUMIFS(Fact_SortedWeights!$E$2:$E$6,Fact_SortedWeights!$C$2:$C$6,$A42,Fact_SortedWeights!$B$2:$B$6,$B42,Fact_SortedWeights!$L$2:$L$6,"Yes"))))</f>
        <v>0</v>
      </c>
      <c r="G42" s="0" t="n">
        <f aca="false">IF(AND(IF($B42="Trash",INDEX('Materials Master'!$F$2:$F$27,MATCH($C42,'Materials Master'!$A$2:$A$27,0)),IF($B42="GMPC Recycling",INDEX('Materials Master'!$G$2:$G$27,MATCH($C42,'Materials Master'!$A$2:$A$27,0)),IF($B42="Organics Recycling",INDEX('Materials Master'!$H$2:$H$27,MATCH($C42,'Materials Master'!$A$2:$A$27,0)),IF($B42="Cardboard Recycling",INDEX('Materials Master'!$I$2:$I$27,MATCH($C42,'Materials Master'!$A$2:$A$27,0)),IF($B42="Paper Recycling",INDEX('Materials Master'!$J$2:$J$27,MATCH($C42,'Materials Master'!$A$2:$A$27,0)),IF($B42="Terracycle",INDEX('Materials Master'!$K$2:$K$27,MATCH($C42,'Materials Master'!$A$2:$A$27,0)),"No"))))))="Yes",INDEX('Materials Master'!$E$2:$E$27,MATCH($C42,'Materials Master'!$A$2:$A$27,0))="Yes",$B42&lt;&gt;"Trash"),1,0)</f>
        <v>0</v>
      </c>
      <c r="H42" s="0" t="str">
        <f aca="false">INDEX('Materials Master'!$E$2:$E$27,MATCH($C42,'Materials Master'!$A$2:$A$27,0))</f>
        <v>No</v>
      </c>
      <c r="I42" s="0" t="str">
        <f aca="false">IFERROR(INDEX(Areas!$C$2:$C$6,MATCH($A42,Areas!$B$2:$B$6,0)),"")</f>
        <v>Rest of Building</v>
      </c>
      <c r="J42" s="0" t="n">
        <f aca="false">IF(IF($B42="Trash",INDEX('Materials Master'!$F$2:$F$27,MATCH($C42,'Materials Master'!$A$2:$A$27,0)),IF($B42="GMPC Recycling",INDEX('Materials Master'!$G$2:$G$27,MATCH($C42,'Materials Master'!$A$2:$A$27,0)),IF($B42="Organics Recycling",INDEX('Materials Master'!$H$2:$H$27,MATCH($C42,'Materials Master'!$A$2:$A$27,0)),IF($B42="Cardboard Recycling",INDEX('Materials Master'!$I$2:$I$27,MATCH($C42,'Materials Master'!$A$2:$A$27,0)),IF($B42="Paper Recycling",INDEX('Materials Master'!$J$2:$J$27,MATCH($C42,'Materials Master'!$A$2:$A$27,0)),IF($B42="Terracycle",INDEX('Materials Master'!$K$2:$K$27,MATCH($C42,'Materials Master'!$A$2:$A$27,0)),"No"))))))="Yes",1,0)</f>
        <v>0</v>
      </c>
    </row>
    <row r="43" customFormat="false" ht="15" hidden="false" customHeight="false" outlineLevel="0" collapsed="false">
      <c r="A43" s="0" t="s">
        <v>91</v>
      </c>
      <c r="B43" s="0" t="s">
        <v>104</v>
      </c>
      <c r="C43" s="0" t="s">
        <v>62</v>
      </c>
      <c r="D43" s="0" t="str">
        <f aca="false">IFERROR(INDEX('Materials Master'!$B$2:$B$27,MATCH($C43,'Materials Master'!$A$2:$A$27,0)),"")</f>
        <v>Foams</v>
      </c>
      <c r="E43" s="0" t="str">
        <f aca="false">IFERROR(INDEX('Materials Master'!$C$2:$C$27,MATCH($C43,'Materials Master'!$A$2:$A$27,0)),"")</f>
        <v>Plastics</v>
      </c>
      <c r="F43" s="0" t="n">
        <f aca="false">(SUMIFS(Fact_PreSortWeights!$E$2:$E$15,Fact_PreSortWeights!$C$2:$C$15,$A43,Fact_PreSortWeights!$B$2:$B$15,$B43,Fact_PreSortWeights!$F$2:$F$15,$C43))+(SUMIFS(Fact_SortedWeights!$E$2:$E$6,Fact_SortedWeights!$C$2:$C$6,$A43,Fact_SortedWeights!$B$2:$B$6,$B43,Fact_SortedWeights!$D$2:$D$6,$C43,Fact_SortedWeights!$L$2:$L$6,"Yes"))+IF((SUMIFS(Fact_SortedWeights!$E$2:$E$6,Fact_SortedWeights!$C$2:$C$6,$A43,Fact_SortedWeights!$B$2:$B$6,$B43,Fact_SortedWeights!$L$2:$L$6,"No"))=0,0,(SUMIFS(Fact_SortedWeights!$E$2:$E$6,Fact_SortedWeights!$C$2:$C$6,$A43,Fact_SortedWeights!$B$2:$B$6,$B43,Fact_SortedWeights!$D$2:$D$6,$C43,Fact_SortedWeights!$L$2:$L$6,"No"))/(SUMIFS(Fact_SortedWeights!$E$2:$E$6,Fact_SortedWeights!$C$2:$C$6,$A43,Fact_SortedWeights!$B$2:$B$6,$B43,Fact_SortedWeights!$L$2:$L$6,"No"))*((SUMIFS(Fact_PreSortWeights!$E$2:$E$15,Fact_PreSortWeights!$C$2:$C$15,$A43,Fact_PreSortWeights!$B$2:$B$15,$B43,Fact_PreSortWeights!$F$2:$F$15,""))-(SUMIFS(Fact_SortedWeights!$E$2:$E$6,Fact_SortedWeights!$C$2:$C$6,$A43,Fact_SortedWeights!$B$2:$B$6,$B43,Fact_SortedWeights!$L$2:$L$6,"Yes"))))</f>
        <v>0</v>
      </c>
      <c r="G43" s="0" t="n">
        <f aca="false">IF(AND(IF($B43="Trash",INDEX('Materials Master'!$F$2:$F$27,MATCH($C43,'Materials Master'!$A$2:$A$27,0)),IF($B43="GMPC Recycling",INDEX('Materials Master'!$G$2:$G$27,MATCH($C43,'Materials Master'!$A$2:$A$27,0)),IF($B43="Organics Recycling",INDEX('Materials Master'!$H$2:$H$27,MATCH($C43,'Materials Master'!$A$2:$A$27,0)),IF($B43="Cardboard Recycling",INDEX('Materials Master'!$I$2:$I$27,MATCH($C43,'Materials Master'!$A$2:$A$27,0)),IF($B43="Paper Recycling",INDEX('Materials Master'!$J$2:$J$27,MATCH($C43,'Materials Master'!$A$2:$A$27,0)),IF($B43="Terracycle",INDEX('Materials Master'!$K$2:$K$27,MATCH($C43,'Materials Master'!$A$2:$A$27,0)),"No"))))))="Yes",INDEX('Materials Master'!$E$2:$E$27,MATCH($C43,'Materials Master'!$A$2:$A$27,0))="Yes",$B43&lt;&gt;"Trash"),1,0)</f>
        <v>0</v>
      </c>
      <c r="H43" s="0" t="str">
        <f aca="false">INDEX('Materials Master'!$E$2:$E$27,MATCH($C43,'Materials Master'!$A$2:$A$27,0))</f>
        <v>No</v>
      </c>
      <c r="I43" s="0" t="str">
        <f aca="false">IFERROR(INDEX(Areas!$C$2:$C$6,MATCH($A43,Areas!$B$2:$B$6,0)),"")</f>
        <v>Rest of Building</v>
      </c>
      <c r="J43" s="0" t="n">
        <f aca="false">IF(IF($B43="Trash",INDEX('Materials Master'!$F$2:$F$27,MATCH($C43,'Materials Master'!$A$2:$A$27,0)),IF($B43="GMPC Recycling",INDEX('Materials Master'!$G$2:$G$27,MATCH($C43,'Materials Master'!$A$2:$A$27,0)),IF($B43="Organics Recycling",INDEX('Materials Master'!$H$2:$H$27,MATCH($C43,'Materials Master'!$A$2:$A$27,0)),IF($B43="Cardboard Recycling",INDEX('Materials Master'!$I$2:$I$27,MATCH($C43,'Materials Master'!$A$2:$A$27,0)),IF($B43="Paper Recycling",INDEX('Materials Master'!$J$2:$J$27,MATCH($C43,'Materials Master'!$A$2:$A$27,0)),IF($B43="Terracycle",INDEX('Materials Master'!$K$2:$K$27,MATCH($C43,'Materials Master'!$A$2:$A$27,0)),"No"))))))="Yes",1,0)</f>
        <v>0</v>
      </c>
    </row>
    <row r="44" customFormat="false" ht="15" hidden="false" customHeight="false" outlineLevel="0" collapsed="false">
      <c r="A44" s="0" t="s">
        <v>91</v>
      </c>
      <c r="B44" s="0" t="s">
        <v>104</v>
      </c>
      <c r="C44" s="0" t="s">
        <v>64</v>
      </c>
      <c r="D44" s="0" t="str">
        <f aca="false">IFERROR(INDEX('Materials Master'!$B$2:$B$27,MATCH($C44,'Materials Master'!$A$2:$A$27,0)),"")</f>
        <v>Food Waste</v>
      </c>
      <c r="E44" s="0" t="str">
        <f aca="false">IFERROR(INDEX('Materials Master'!$C$2:$C$27,MATCH($C44,'Materials Master'!$A$2:$A$27,0)),"")</f>
        <v>Organics</v>
      </c>
      <c r="F44" s="0" t="n">
        <f aca="false">(SUMIFS(Fact_PreSortWeights!$E$2:$E$15,Fact_PreSortWeights!$C$2:$C$15,$A44,Fact_PreSortWeights!$B$2:$B$15,$B44,Fact_PreSortWeights!$F$2:$F$15,$C44))+(SUMIFS(Fact_SortedWeights!$E$2:$E$6,Fact_SortedWeights!$C$2:$C$6,$A44,Fact_SortedWeights!$B$2:$B$6,$B44,Fact_SortedWeights!$D$2:$D$6,$C44,Fact_SortedWeights!$L$2:$L$6,"Yes"))+IF((SUMIFS(Fact_SortedWeights!$E$2:$E$6,Fact_SortedWeights!$C$2:$C$6,$A44,Fact_SortedWeights!$B$2:$B$6,$B44,Fact_SortedWeights!$L$2:$L$6,"No"))=0,0,(SUMIFS(Fact_SortedWeights!$E$2:$E$6,Fact_SortedWeights!$C$2:$C$6,$A44,Fact_SortedWeights!$B$2:$B$6,$B44,Fact_SortedWeights!$D$2:$D$6,$C44,Fact_SortedWeights!$L$2:$L$6,"No"))/(SUMIFS(Fact_SortedWeights!$E$2:$E$6,Fact_SortedWeights!$C$2:$C$6,$A44,Fact_SortedWeights!$B$2:$B$6,$B44,Fact_SortedWeights!$L$2:$L$6,"No"))*((SUMIFS(Fact_PreSortWeights!$E$2:$E$15,Fact_PreSortWeights!$C$2:$C$15,$A44,Fact_PreSortWeights!$B$2:$B$15,$B44,Fact_PreSortWeights!$F$2:$F$15,""))-(SUMIFS(Fact_SortedWeights!$E$2:$E$6,Fact_SortedWeights!$C$2:$C$6,$A44,Fact_SortedWeights!$B$2:$B$6,$B44,Fact_SortedWeights!$L$2:$L$6,"Yes"))))</f>
        <v>0</v>
      </c>
      <c r="G44" s="0" t="n">
        <f aca="false">IF(AND(IF($B44="Trash",INDEX('Materials Master'!$F$2:$F$27,MATCH($C44,'Materials Master'!$A$2:$A$27,0)),IF($B44="GMPC Recycling",INDEX('Materials Master'!$G$2:$G$27,MATCH($C44,'Materials Master'!$A$2:$A$27,0)),IF($B44="Organics Recycling",INDEX('Materials Master'!$H$2:$H$27,MATCH($C44,'Materials Master'!$A$2:$A$27,0)),IF($B44="Cardboard Recycling",INDEX('Materials Master'!$I$2:$I$27,MATCH($C44,'Materials Master'!$A$2:$A$27,0)),IF($B44="Paper Recycling",INDEX('Materials Master'!$J$2:$J$27,MATCH($C44,'Materials Master'!$A$2:$A$27,0)),IF($B44="Terracycle",INDEX('Materials Master'!$K$2:$K$27,MATCH($C44,'Materials Master'!$A$2:$A$27,0)),"No"))))))="Yes",INDEX('Materials Master'!$E$2:$E$27,MATCH($C44,'Materials Master'!$A$2:$A$27,0))="Yes",$B44&lt;&gt;"Trash"),1,0)</f>
        <v>0</v>
      </c>
      <c r="H44" s="0" t="str">
        <f aca="false">INDEX('Materials Master'!$E$2:$E$27,MATCH($C44,'Materials Master'!$A$2:$A$27,0))</f>
        <v>Yes</v>
      </c>
      <c r="I44" s="0" t="str">
        <f aca="false">IFERROR(INDEX(Areas!$C$2:$C$6,MATCH($A44,Areas!$B$2:$B$6,0)),"")</f>
        <v>Rest of Building</v>
      </c>
      <c r="J44" s="0" t="n">
        <f aca="false">IF(IF($B44="Trash",INDEX('Materials Master'!$F$2:$F$27,MATCH($C44,'Materials Master'!$A$2:$A$27,0)),IF($B44="GMPC Recycling",INDEX('Materials Master'!$G$2:$G$27,MATCH($C44,'Materials Master'!$A$2:$A$27,0)),IF($B44="Organics Recycling",INDEX('Materials Master'!$H$2:$H$27,MATCH($C44,'Materials Master'!$A$2:$A$27,0)),IF($B44="Cardboard Recycling",INDEX('Materials Master'!$I$2:$I$27,MATCH($C44,'Materials Master'!$A$2:$A$27,0)),IF($B44="Paper Recycling",INDEX('Materials Master'!$J$2:$J$27,MATCH($C44,'Materials Master'!$A$2:$A$27,0)),IF($B44="Terracycle",INDEX('Materials Master'!$K$2:$K$27,MATCH($C44,'Materials Master'!$A$2:$A$27,0)),"No"))))))="Yes",1,0)</f>
        <v>0</v>
      </c>
    </row>
    <row r="45" customFormat="false" ht="15" hidden="false" customHeight="false" outlineLevel="0" collapsed="false">
      <c r="A45" s="0" t="s">
        <v>91</v>
      </c>
      <c r="B45" s="0" t="s">
        <v>104</v>
      </c>
      <c r="C45" s="0" t="s">
        <v>67</v>
      </c>
      <c r="D45" s="0" t="str">
        <f aca="false">IFERROR(INDEX('Materials Master'!$B$2:$B$27,MATCH($C45,'Materials Master'!$A$2:$A$27,0)),"")</f>
        <v>Paper Fibers and Food-Soiled Paper (FSP)</v>
      </c>
      <c r="E45" s="0" t="str">
        <f aca="false">IFERROR(INDEX('Materials Master'!$C$2:$C$27,MATCH($C45,'Materials Master'!$A$2:$A$27,0)),"")</f>
        <v>Organics</v>
      </c>
      <c r="F45" s="0" t="n">
        <f aca="false">(SUMIFS(Fact_PreSortWeights!$E$2:$E$15,Fact_PreSortWeights!$C$2:$C$15,$A45,Fact_PreSortWeights!$B$2:$B$15,$B45,Fact_PreSortWeights!$F$2:$F$15,$C45))+(SUMIFS(Fact_SortedWeights!$E$2:$E$6,Fact_SortedWeights!$C$2:$C$6,$A45,Fact_SortedWeights!$B$2:$B$6,$B45,Fact_SortedWeights!$D$2:$D$6,$C45,Fact_SortedWeights!$L$2:$L$6,"Yes"))+IF((SUMIFS(Fact_SortedWeights!$E$2:$E$6,Fact_SortedWeights!$C$2:$C$6,$A45,Fact_SortedWeights!$B$2:$B$6,$B45,Fact_SortedWeights!$L$2:$L$6,"No"))=0,0,(SUMIFS(Fact_SortedWeights!$E$2:$E$6,Fact_SortedWeights!$C$2:$C$6,$A45,Fact_SortedWeights!$B$2:$B$6,$B45,Fact_SortedWeights!$D$2:$D$6,$C45,Fact_SortedWeights!$L$2:$L$6,"No"))/(SUMIFS(Fact_SortedWeights!$E$2:$E$6,Fact_SortedWeights!$C$2:$C$6,$A45,Fact_SortedWeights!$B$2:$B$6,$B45,Fact_SortedWeights!$L$2:$L$6,"No"))*((SUMIFS(Fact_PreSortWeights!$E$2:$E$15,Fact_PreSortWeights!$C$2:$C$15,$A45,Fact_PreSortWeights!$B$2:$B$15,$B45,Fact_PreSortWeights!$F$2:$F$15,""))-(SUMIFS(Fact_SortedWeights!$E$2:$E$6,Fact_SortedWeights!$C$2:$C$6,$A45,Fact_SortedWeights!$B$2:$B$6,$B45,Fact_SortedWeights!$L$2:$L$6,"Yes"))))</f>
        <v>0</v>
      </c>
      <c r="G45" s="0" t="n">
        <f aca="false">IF(AND(IF($B45="Trash",INDEX('Materials Master'!$F$2:$F$27,MATCH($C45,'Materials Master'!$A$2:$A$27,0)),IF($B45="GMPC Recycling",INDEX('Materials Master'!$G$2:$G$27,MATCH($C45,'Materials Master'!$A$2:$A$27,0)),IF($B45="Organics Recycling",INDEX('Materials Master'!$H$2:$H$27,MATCH($C45,'Materials Master'!$A$2:$A$27,0)),IF($B45="Cardboard Recycling",INDEX('Materials Master'!$I$2:$I$27,MATCH($C45,'Materials Master'!$A$2:$A$27,0)),IF($B45="Paper Recycling",INDEX('Materials Master'!$J$2:$J$27,MATCH($C45,'Materials Master'!$A$2:$A$27,0)),IF($B45="Terracycle",INDEX('Materials Master'!$K$2:$K$27,MATCH($C45,'Materials Master'!$A$2:$A$27,0)),"No"))))))="Yes",INDEX('Materials Master'!$E$2:$E$27,MATCH($C45,'Materials Master'!$A$2:$A$27,0))="Yes",$B45&lt;&gt;"Trash"),1,0)</f>
        <v>0</v>
      </c>
      <c r="H45" s="0" t="str">
        <f aca="false">INDEX('Materials Master'!$E$2:$E$27,MATCH($C45,'Materials Master'!$A$2:$A$27,0))</f>
        <v>No</v>
      </c>
      <c r="I45" s="0" t="str">
        <f aca="false">IFERROR(INDEX(Areas!$C$2:$C$6,MATCH($A45,Areas!$B$2:$B$6,0)),"")</f>
        <v>Rest of Building</v>
      </c>
      <c r="J45" s="0" t="n">
        <f aca="false">IF(IF($B45="Trash",INDEX('Materials Master'!$F$2:$F$27,MATCH($C45,'Materials Master'!$A$2:$A$27,0)),IF($B45="GMPC Recycling",INDEX('Materials Master'!$G$2:$G$27,MATCH($C45,'Materials Master'!$A$2:$A$27,0)),IF($B45="Organics Recycling",INDEX('Materials Master'!$H$2:$H$27,MATCH($C45,'Materials Master'!$A$2:$A$27,0)),IF($B45="Cardboard Recycling",INDEX('Materials Master'!$I$2:$I$27,MATCH($C45,'Materials Master'!$A$2:$A$27,0)),IF($B45="Paper Recycling",INDEX('Materials Master'!$J$2:$J$27,MATCH($C45,'Materials Master'!$A$2:$A$27,0)),IF($B45="Terracycle",INDEX('Materials Master'!$K$2:$K$27,MATCH($C45,'Materials Master'!$A$2:$A$27,0)),"No"))))))="Yes",1,0)</f>
        <v>0</v>
      </c>
    </row>
    <row r="46" customFormat="false" ht="15" hidden="false" customHeight="false" outlineLevel="0" collapsed="false">
      <c r="A46" s="0" t="s">
        <v>91</v>
      </c>
      <c r="B46" s="0" t="s">
        <v>104</v>
      </c>
      <c r="C46" s="0" t="s">
        <v>69</v>
      </c>
      <c r="D46" s="0" t="str">
        <f aca="false">IFERROR(INDEX('Materials Master'!$B$2:$B$27,MATCH($C46,'Materials Master'!$A$2:$A$27,0)),"")</f>
        <v>Fiber-based Compostable Serviceware</v>
      </c>
      <c r="E46" s="0" t="str">
        <f aca="false">IFERROR(INDEX('Materials Master'!$C$2:$C$27,MATCH($C46,'Materials Master'!$A$2:$A$27,0)),"")</f>
        <v>Organics</v>
      </c>
      <c r="F46" s="0" t="n">
        <f aca="false">(SUMIFS(Fact_PreSortWeights!$E$2:$E$15,Fact_PreSortWeights!$C$2:$C$15,$A46,Fact_PreSortWeights!$B$2:$B$15,$B46,Fact_PreSortWeights!$F$2:$F$15,$C46))+(SUMIFS(Fact_SortedWeights!$E$2:$E$6,Fact_SortedWeights!$C$2:$C$6,$A46,Fact_SortedWeights!$B$2:$B$6,$B46,Fact_SortedWeights!$D$2:$D$6,$C46,Fact_SortedWeights!$L$2:$L$6,"Yes"))+IF((SUMIFS(Fact_SortedWeights!$E$2:$E$6,Fact_SortedWeights!$C$2:$C$6,$A46,Fact_SortedWeights!$B$2:$B$6,$B46,Fact_SortedWeights!$L$2:$L$6,"No"))=0,0,(SUMIFS(Fact_SortedWeights!$E$2:$E$6,Fact_SortedWeights!$C$2:$C$6,$A46,Fact_SortedWeights!$B$2:$B$6,$B46,Fact_SortedWeights!$D$2:$D$6,$C46,Fact_SortedWeights!$L$2:$L$6,"No"))/(SUMIFS(Fact_SortedWeights!$E$2:$E$6,Fact_SortedWeights!$C$2:$C$6,$A46,Fact_SortedWeights!$B$2:$B$6,$B46,Fact_SortedWeights!$L$2:$L$6,"No"))*((SUMIFS(Fact_PreSortWeights!$E$2:$E$15,Fact_PreSortWeights!$C$2:$C$15,$A46,Fact_PreSortWeights!$B$2:$B$15,$B46,Fact_PreSortWeights!$F$2:$F$15,""))-(SUMIFS(Fact_SortedWeights!$E$2:$E$6,Fact_SortedWeights!$C$2:$C$6,$A46,Fact_SortedWeights!$B$2:$B$6,$B46,Fact_SortedWeights!$L$2:$L$6,"Yes"))))</f>
        <v>0</v>
      </c>
      <c r="G46" s="0" t="n">
        <f aca="false">IF(AND(IF($B46="Trash",INDEX('Materials Master'!$F$2:$F$27,MATCH($C46,'Materials Master'!$A$2:$A$27,0)),IF($B46="GMPC Recycling",INDEX('Materials Master'!$G$2:$G$27,MATCH($C46,'Materials Master'!$A$2:$A$27,0)),IF($B46="Organics Recycling",INDEX('Materials Master'!$H$2:$H$27,MATCH($C46,'Materials Master'!$A$2:$A$27,0)),IF($B46="Cardboard Recycling",INDEX('Materials Master'!$I$2:$I$27,MATCH($C46,'Materials Master'!$A$2:$A$27,0)),IF($B46="Paper Recycling",INDEX('Materials Master'!$J$2:$J$27,MATCH($C46,'Materials Master'!$A$2:$A$27,0)),IF($B46="Terracycle",INDEX('Materials Master'!$K$2:$K$27,MATCH($C46,'Materials Master'!$A$2:$A$27,0)),"No"))))))="Yes",INDEX('Materials Master'!$E$2:$E$27,MATCH($C46,'Materials Master'!$A$2:$A$27,0))="Yes",$B46&lt;&gt;"Trash"),1,0)</f>
        <v>0</v>
      </c>
      <c r="H46" s="0" t="str">
        <f aca="false">INDEX('Materials Master'!$E$2:$E$27,MATCH($C46,'Materials Master'!$A$2:$A$27,0))</f>
        <v>No</v>
      </c>
      <c r="I46" s="0" t="str">
        <f aca="false">IFERROR(INDEX(Areas!$C$2:$C$6,MATCH($A46,Areas!$B$2:$B$6,0)),"")</f>
        <v>Rest of Building</v>
      </c>
      <c r="J46" s="0" t="n">
        <f aca="false">IF(IF($B46="Trash",INDEX('Materials Master'!$F$2:$F$27,MATCH($C46,'Materials Master'!$A$2:$A$27,0)),IF($B46="GMPC Recycling",INDEX('Materials Master'!$G$2:$G$27,MATCH($C46,'Materials Master'!$A$2:$A$27,0)),IF($B46="Organics Recycling",INDEX('Materials Master'!$H$2:$H$27,MATCH($C46,'Materials Master'!$A$2:$A$27,0)),IF($B46="Cardboard Recycling",INDEX('Materials Master'!$I$2:$I$27,MATCH($C46,'Materials Master'!$A$2:$A$27,0)),IF($B46="Paper Recycling",INDEX('Materials Master'!$J$2:$J$27,MATCH($C46,'Materials Master'!$A$2:$A$27,0)),IF($B46="Terracycle",INDEX('Materials Master'!$K$2:$K$27,MATCH($C46,'Materials Master'!$A$2:$A$27,0)),"No"))))))="Yes",1,0)</f>
        <v>0</v>
      </c>
    </row>
    <row r="47" customFormat="false" ht="15" hidden="false" customHeight="false" outlineLevel="0" collapsed="false">
      <c r="A47" s="0" t="s">
        <v>91</v>
      </c>
      <c r="B47" s="0" t="s">
        <v>104</v>
      </c>
      <c r="C47" s="0" t="s">
        <v>71</v>
      </c>
      <c r="D47" s="0" t="str">
        <f aca="false">IFERROR(INDEX('Materials Master'!$B$2:$B$27,MATCH($C47,'Materials Master'!$A$2:$A$27,0)),"")</f>
        <v>PLA Compostable Serviceware</v>
      </c>
      <c r="E47" s="0" t="str">
        <f aca="false">IFERROR(INDEX('Materials Master'!$C$2:$C$27,MATCH($C47,'Materials Master'!$A$2:$A$27,0)),"")</f>
        <v>Organics</v>
      </c>
      <c r="F47" s="0" t="n">
        <f aca="false">(SUMIFS(Fact_PreSortWeights!$E$2:$E$15,Fact_PreSortWeights!$C$2:$C$15,$A47,Fact_PreSortWeights!$B$2:$B$15,$B47,Fact_PreSortWeights!$F$2:$F$15,$C47))+(SUMIFS(Fact_SortedWeights!$E$2:$E$6,Fact_SortedWeights!$C$2:$C$6,$A47,Fact_SortedWeights!$B$2:$B$6,$B47,Fact_SortedWeights!$D$2:$D$6,$C47,Fact_SortedWeights!$L$2:$L$6,"Yes"))+IF((SUMIFS(Fact_SortedWeights!$E$2:$E$6,Fact_SortedWeights!$C$2:$C$6,$A47,Fact_SortedWeights!$B$2:$B$6,$B47,Fact_SortedWeights!$L$2:$L$6,"No"))=0,0,(SUMIFS(Fact_SortedWeights!$E$2:$E$6,Fact_SortedWeights!$C$2:$C$6,$A47,Fact_SortedWeights!$B$2:$B$6,$B47,Fact_SortedWeights!$D$2:$D$6,$C47,Fact_SortedWeights!$L$2:$L$6,"No"))/(SUMIFS(Fact_SortedWeights!$E$2:$E$6,Fact_SortedWeights!$C$2:$C$6,$A47,Fact_SortedWeights!$B$2:$B$6,$B47,Fact_SortedWeights!$L$2:$L$6,"No"))*((SUMIFS(Fact_PreSortWeights!$E$2:$E$15,Fact_PreSortWeights!$C$2:$C$15,$A47,Fact_PreSortWeights!$B$2:$B$15,$B47,Fact_PreSortWeights!$F$2:$F$15,""))-(SUMIFS(Fact_SortedWeights!$E$2:$E$6,Fact_SortedWeights!$C$2:$C$6,$A47,Fact_SortedWeights!$B$2:$B$6,$B47,Fact_SortedWeights!$L$2:$L$6,"Yes"))))</f>
        <v>0</v>
      </c>
      <c r="G47" s="0" t="n">
        <f aca="false">IF(AND(IF($B47="Trash",INDEX('Materials Master'!$F$2:$F$27,MATCH($C47,'Materials Master'!$A$2:$A$27,0)),IF($B47="GMPC Recycling",INDEX('Materials Master'!$G$2:$G$27,MATCH($C47,'Materials Master'!$A$2:$A$27,0)),IF($B47="Organics Recycling",INDEX('Materials Master'!$H$2:$H$27,MATCH($C47,'Materials Master'!$A$2:$A$27,0)),IF($B47="Cardboard Recycling",INDEX('Materials Master'!$I$2:$I$27,MATCH($C47,'Materials Master'!$A$2:$A$27,0)),IF($B47="Paper Recycling",INDEX('Materials Master'!$J$2:$J$27,MATCH($C47,'Materials Master'!$A$2:$A$27,0)),IF($B47="Terracycle",INDEX('Materials Master'!$K$2:$K$27,MATCH($C47,'Materials Master'!$A$2:$A$27,0)),"No"))))))="Yes",INDEX('Materials Master'!$E$2:$E$27,MATCH($C47,'Materials Master'!$A$2:$A$27,0))="Yes",$B47&lt;&gt;"Trash"),1,0)</f>
        <v>0</v>
      </c>
      <c r="H47" s="0" t="str">
        <f aca="false">INDEX('Materials Master'!$E$2:$E$27,MATCH($C47,'Materials Master'!$A$2:$A$27,0))</f>
        <v>No</v>
      </c>
      <c r="I47" s="0" t="str">
        <f aca="false">IFERROR(INDEX(Areas!$C$2:$C$6,MATCH($A47,Areas!$B$2:$B$6,0)),"")</f>
        <v>Rest of Building</v>
      </c>
      <c r="J47" s="0" t="n">
        <f aca="false">IF(IF($B47="Trash",INDEX('Materials Master'!$F$2:$F$27,MATCH($C47,'Materials Master'!$A$2:$A$27,0)),IF($B47="GMPC Recycling",INDEX('Materials Master'!$G$2:$G$27,MATCH($C47,'Materials Master'!$A$2:$A$27,0)),IF($B47="Organics Recycling",INDEX('Materials Master'!$H$2:$H$27,MATCH($C47,'Materials Master'!$A$2:$A$27,0)),IF($B47="Cardboard Recycling",INDEX('Materials Master'!$I$2:$I$27,MATCH($C47,'Materials Master'!$A$2:$A$27,0)),IF($B47="Paper Recycling",INDEX('Materials Master'!$J$2:$J$27,MATCH($C47,'Materials Master'!$A$2:$A$27,0)),IF($B47="Terracycle",INDEX('Materials Master'!$K$2:$K$27,MATCH($C47,'Materials Master'!$A$2:$A$27,0)),"No"))))))="Yes",1,0)</f>
        <v>0</v>
      </c>
    </row>
    <row r="48" customFormat="false" ht="15" hidden="false" customHeight="false" outlineLevel="0" collapsed="false">
      <c r="A48" s="0" t="s">
        <v>91</v>
      </c>
      <c r="B48" s="0" t="s">
        <v>104</v>
      </c>
      <c r="C48" s="0" t="s">
        <v>73</v>
      </c>
      <c r="D48" s="0" t="str">
        <f aca="false">IFERROR(INDEX('Materials Master'!$B$2:$B$27,MATCH($C48,'Materials Master'!$A$2:$A$27,0)),"")</f>
        <v>E/U Waste</v>
      </c>
      <c r="E48" s="0" t="str">
        <f aca="false">IFERROR(INDEX('Materials Master'!$C$2:$C$27,MATCH($C48,'Materials Master'!$A$2:$A$27,0)),"")</f>
        <v>Unacceptable</v>
      </c>
      <c r="F48" s="0" t="n">
        <f aca="false">(SUMIFS(Fact_PreSortWeights!$E$2:$E$15,Fact_PreSortWeights!$C$2:$C$15,$A48,Fact_PreSortWeights!$B$2:$B$15,$B48,Fact_PreSortWeights!$F$2:$F$15,$C48))+(SUMIFS(Fact_SortedWeights!$E$2:$E$6,Fact_SortedWeights!$C$2:$C$6,$A48,Fact_SortedWeights!$B$2:$B$6,$B48,Fact_SortedWeights!$D$2:$D$6,$C48,Fact_SortedWeights!$L$2:$L$6,"Yes"))+IF((SUMIFS(Fact_SortedWeights!$E$2:$E$6,Fact_SortedWeights!$C$2:$C$6,$A48,Fact_SortedWeights!$B$2:$B$6,$B48,Fact_SortedWeights!$L$2:$L$6,"No"))=0,0,(SUMIFS(Fact_SortedWeights!$E$2:$E$6,Fact_SortedWeights!$C$2:$C$6,$A48,Fact_SortedWeights!$B$2:$B$6,$B48,Fact_SortedWeights!$D$2:$D$6,$C48,Fact_SortedWeights!$L$2:$L$6,"No"))/(SUMIFS(Fact_SortedWeights!$E$2:$E$6,Fact_SortedWeights!$C$2:$C$6,$A48,Fact_SortedWeights!$B$2:$B$6,$B48,Fact_SortedWeights!$L$2:$L$6,"No"))*((SUMIFS(Fact_PreSortWeights!$E$2:$E$15,Fact_PreSortWeights!$C$2:$C$15,$A48,Fact_PreSortWeights!$B$2:$B$15,$B48,Fact_PreSortWeights!$F$2:$F$15,""))-(SUMIFS(Fact_SortedWeights!$E$2:$E$6,Fact_SortedWeights!$C$2:$C$6,$A48,Fact_SortedWeights!$B$2:$B$6,$B48,Fact_SortedWeights!$L$2:$L$6,"Yes"))))</f>
        <v>0</v>
      </c>
      <c r="G48" s="0" t="n">
        <f aca="false">IF(AND(IF($B48="Trash",INDEX('Materials Master'!$F$2:$F$27,MATCH($C48,'Materials Master'!$A$2:$A$27,0)),IF($B48="GMPC Recycling",INDEX('Materials Master'!$G$2:$G$27,MATCH($C48,'Materials Master'!$A$2:$A$27,0)),IF($B48="Organics Recycling",INDEX('Materials Master'!$H$2:$H$27,MATCH($C48,'Materials Master'!$A$2:$A$27,0)),IF($B48="Cardboard Recycling",INDEX('Materials Master'!$I$2:$I$27,MATCH($C48,'Materials Master'!$A$2:$A$27,0)),IF($B48="Paper Recycling",INDEX('Materials Master'!$J$2:$J$27,MATCH($C48,'Materials Master'!$A$2:$A$27,0)),IF($B48="Terracycle",INDEX('Materials Master'!$K$2:$K$27,MATCH($C48,'Materials Master'!$A$2:$A$27,0)),"No"))))))="Yes",INDEX('Materials Master'!$E$2:$E$27,MATCH($C48,'Materials Master'!$A$2:$A$27,0))="Yes",$B48&lt;&gt;"Trash"),1,0)</f>
        <v>0</v>
      </c>
      <c r="H48" s="0" t="str">
        <f aca="false">INDEX('Materials Master'!$E$2:$E$27,MATCH($C48,'Materials Master'!$A$2:$A$27,0))</f>
        <v>No</v>
      </c>
      <c r="I48" s="0" t="str">
        <f aca="false">IFERROR(INDEX(Areas!$C$2:$C$6,MATCH($A48,Areas!$B$2:$B$6,0)),"")</f>
        <v>Rest of Building</v>
      </c>
      <c r="J48" s="0" t="n">
        <f aca="false">IF(IF($B48="Trash",INDEX('Materials Master'!$F$2:$F$27,MATCH($C48,'Materials Master'!$A$2:$A$27,0)),IF($B48="GMPC Recycling",INDEX('Materials Master'!$G$2:$G$27,MATCH($C48,'Materials Master'!$A$2:$A$27,0)),IF($B48="Organics Recycling",INDEX('Materials Master'!$H$2:$H$27,MATCH($C48,'Materials Master'!$A$2:$A$27,0)),IF($B48="Cardboard Recycling",INDEX('Materials Master'!$I$2:$I$27,MATCH($C48,'Materials Master'!$A$2:$A$27,0)),IF($B48="Paper Recycling",INDEX('Materials Master'!$J$2:$J$27,MATCH($C48,'Materials Master'!$A$2:$A$27,0)),IF($B48="Terracycle",INDEX('Materials Master'!$K$2:$K$27,MATCH($C48,'Materials Master'!$A$2:$A$27,0)),"No"))))))="Yes",1,0)</f>
        <v>0</v>
      </c>
    </row>
    <row r="49" customFormat="false" ht="15" hidden="false" customHeight="false" outlineLevel="0" collapsed="false">
      <c r="A49" s="0" t="s">
        <v>91</v>
      </c>
      <c r="B49" s="0" t="s">
        <v>104</v>
      </c>
      <c r="C49" s="0" t="s">
        <v>76</v>
      </c>
      <c r="D49" s="0" t="str">
        <f aca="false">IFERROR(INDEX('Materials Master'!$B$2:$B$27,MATCH($C49,'Materials Master'!$A$2:$A$27,0)),"")</f>
        <v>Textiles</v>
      </c>
      <c r="E49" s="0" t="str">
        <f aca="false">IFERROR(INDEX('Materials Master'!$C$2:$C$27,MATCH($C49,'Materials Master'!$A$2:$A$27,0)),"")</f>
        <v>Unacceptable</v>
      </c>
      <c r="F49" s="0" t="n">
        <f aca="false">(SUMIFS(Fact_PreSortWeights!$E$2:$E$15,Fact_PreSortWeights!$C$2:$C$15,$A49,Fact_PreSortWeights!$B$2:$B$15,$B49,Fact_PreSortWeights!$F$2:$F$15,$C49))+(SUMIFS(Fact_SortedWeights!$E$2:$E$6,Fact_SortedWeights!$C$2:$C$6,$A49,Fact_SortedWeights!$B$2:$B$6,$B49,Fact_SortedWeights!$D$2:$D$6,$C49,Fact_SortedWeights!$L$2:$L$6,"Yes"))+IF((SUMIFS(Fact_SortedWeights!$E$2:$E$6,Fact_SortedWeights!$C$2:$C$6,$A49,Fact_SortedWeights!$B$2:$B$6,$B49,Fact_SortedWeights!$L$2:$L$6,"No"))=0,0,(SUMIFS(Fact_SortedWeights!$E$2:$E$6,Fact_SortedWeights!$C$2:$C$6,$A49,Fact_SortedWeights!$B$2:$B$6,$B49,Fact_SortedWeights!$D$2:$D$6,$C49,Fact_SortedWeights!$L$2:$L$6,"No"))/(SUMIFS(Fact_SortedWeights!$E$2:$E$6,Fact_SortedWeights!$C$2:$C$6,$A49,Fact_SortedWeights!$B$2:$B$6,$B49,Fact_SortedWeights!$L$2:$L$6,"No"))*((SUMIFS(Fact_PreSortWeights!$E$2:$E$15,Fact_PreSortWeights!$C$2:$C$15,$A49,Fact_PreSortWeights!$B$2:$B$15,$B49,Fact_PreSortWeights!$F$2:$F$15,""))-(SUMIFS(Fact_SortedWeights!$E$2:$E$6,Fact_SortedWeights!$C$2:$C$6,$A49,Fact_SortedWeights!$B$2:$B$6,$B49,Fact_SortedWeights!$L$2:$L$6,"Yes"))))</f>
        <v>0</v>
      </c>
      <c r="G49" s="0" t="n">
        <f aca="false">IF(AND(IF($B49="Trash",INDEX('Materials Master'!$F$2:$F$27,MATCH($C49,'Materials Master'!$A$2:$A$27,0)),IF($B49="GMPC Recycling",INDEX('Materials Master'!$G$2:$G$27,MATCH($C49,'Materials Master'!$A$2:$A$27,0)),IF($B49="Organics Recycling",INDEX('Materials Master'!$H$2:$H$27,MATCH($C49,'Materials Master'!$A$2:$A$27,0)),IF($B49="Cardboard Recycling",INDEX('Materials Master'!$I$2:$I$27,MATCH($C49,'Materials Master'!$A$2:$A$27,0)),IF($B49="Paper Recycling",INDEX('Materials Master'!$J$2:$J$27,MATCH($C49,'Materials Master'!$A$2:$A$27,0)),IF($B49="Terracycle",INDEX('Materials Master'!$K$2:$K$27,MATCH($C49,'Materials Master'!$A$2:$A$27,0)),"No"))))))="Yes",INDEX('Materials Master'!$E$2:$E$27,MATCH($C49,'Materials Master'!$A$2:$A$27,0))="Yes",$B49&lt;&gt;"Trash"),1,0)</f>
        <v>0</v>
      </c>
      <c r="H49" s="0" t="str">
        <f aca="false">INDEX('Materials Master'!$E$2:$E$27,MATCH($C49,'Materials Master'!$A$2:$A$27,0))</f>
        <v>No</v>
      </c>
      <c r="I49" s="0" t="str">
        <f aca="false">IFERROR(INDEX(Areas!$C$2:$C$6,MATCH($A49,Areas!$B$2:$B$6,0)),"")</f>
        <v>Rest of Building</v>
      </c>
      <c r="J49" s="0" t="n">
        <f aca="false">IF(IF($B49="Trash",INDEX('Materials Master'!$F$2:$F$27,MATCH($C49,'Materials Master'!$A$2:$A$27,0)),IF($B49="GMPC Recycling",INDEX('Materials Master'!$G$2:$G$27,MATCH($C49,'Materials Master'!$A$2:$A$27,0)),IF($B49="Organics Recycling",INDEX('Materials Master'!$H$2:$H$27,MATCH($C49,'Materials Master'!$A$2:$A$27,0)),IF($B49="Cardboard Recycling",INDEX('Materials Master'!$I$2:$I$27,MATCH($C49,'Materials Master'!$A$2:$A$27,0)),IF($B49="Paper Recycling",INDEX('Materials Master'!$J$2:$J$27,MATCH($C49,'Materials Master'!$A$2:$A$27,0)),IF($B49="Terracycle",INDEX('Materials Master'!$K$2:$K$27,MATCH($C49,'Materials Master'!$A$2:$A$27,0)),"No"))))))="Yes",1,0)</f>
        <v>0</v>
      </c>
    </row>
    <row r="50" customFormat="false" ht="15" hidden="false" customHeight="false" outlineLevel="0" collapsed="false">
      <c r="A50" s="0" t="s">
        <v>91</v>
      </c>
      <c r="B50" s="0" t="s">
        <v>104</v>
      </c>
      <c r="C50" s="0" t="s">
        <v>78</v>
      </c>
      <c r="D50" s="0" t="str">
        <f aca="false">IFERROR(INDEX('Materials Master'!$B$2:$B$27,MATCH($C50,'Materials Master'!$A$2:$A$27,0)),"")</f>
        <v>Other Unacceptable (specify)</v>
      </c>
      <c r="E50" s="0" t="str">
        <f aca="false">IFERROR(INDEX('Materials Master'!$C$2:$C$27,MATCH($C50,'Materials Master'!$A$2:$A$27,0)),"")</f>
        <v>Unacceptable</v>
      </c>
      <c r="F50" s="0" t="n">
        <f aca="false">(SUMIFS(Fact_PreSortWeights!$E$2:$E$15,Fact_PreSortWeights!$C$2:$C$15,$A50,Fact_PreSortWeights!$B$2:$B$15,$B50,Fact_PreSortWeights!$F$2:$F$15,$C50))+(SUMIFS(Fact_SortedWeights!$E$2:$E$6,Fact_SortedWeights!$C$2:$C$6,$A50,Fact_SortedWeights!$B$2:$B$6,$B50,Fact_SortedWeights!$D$2:$D$6,$C50,Fact_SortedWeights!$L$2:$L$6,"Yes"))+IF((SUMIFS(Fact_SortedWeights!$E$2:$E$6,Fact_SortedWeights!$C$2:$C$6,$A50,Fact_SortedWeights!$B$2:$B$6,$B50,Fact_SortedWeights!$L$2:$L$6,"No"))=0,0,(SUMIFS(Fact_SortedWeights!$E$2:$E$6,Fact_SortedWeights!$C$2:$C$6,$A50,Fact_SortedWeights!$B$2:$B$6,$B50,Fact_SortedWeights!$D$2:$D$6,$C50,Fact_SortedWeights!$L$2:$L$6,"No"))/(SUMIFS(Fact_SortedWeights!$E$2:$E$6,Fact_SortedWeights!$C$2:$C$6,$A50,Fact_SortedWeights!$B$2:$B$6,$B50,Fact_SortedWeights!$L$2:$L$6,"No"))*((SUMIFS(Fact_PreSortWeights!$E$2:$E$15,Fact_PreSortWeights!$C$2:$C$15,$A50,Fact_PreSortWeights!$B$2:$B$15,$B50,Fact_PreSortWeights!$F$2:$F$15,""))-(SUMIFS(Fact_SortedWeights!$E$2:$E$6,Fact_SortedWeights!$C$2:$C$6,$A50,Fact_SortedWeights!$B$2:$B$6,$B50,Fact_SortedWeights!$L$2:$L$6,"Yes"))))</f>
        <v>0</v>
      </c>
      <c r="G50" s="0" t="n">
        <f aca="false">IF(AND(IF($B50="Trash",INDEX('Materials Master'!$F$2:$F$27,MATCH($C50,'Materials Master'!$A$2:$A$27,0)),IF($B50="GMPC Recycling",INDEX('Materials Master'!$G$2:$G$27,MATCH($C50,'Materials Master'!$A$2:$A$27,0)),IF($B50="Organics Recycling",INDEX('Materials Master'!$H$2:$H$27,MATCH($C50,'Materials Master'!$A$2:$A$27,0)),IF($B50="Cardboard Recycling",INDEX('Materials Master'!$I$2:$I$27,MATCH($C50,'Materials Master'!$A$2:$A$27,0)),IF($B50="Paper Recycling",INDEX('Materials Master'!$J$2:$J$27,MATCH($C50,'Materials Master'!$A$2:$A$27,0)),IF($B50="Terracycle",INDEX('Materials Master'!$K$2:$K$27,MATCH($C50,'Materials Master'!$A$2:$A$27,0)),"No"))))))="Yes",INDEX('Materials Master'!$E$2:$E$27,MATCH($C50,'Materials Master'!$A$2:$A$27,0))="Yes",$B50&lt;&gt;"Trash"),1,0)</f>
        <v>0</v>
      </c>
      <c r="H50" s="0" t="str">
        <f aca="false">INDEX('Materials Master'!$E$2:$E$27,MATCH($C50,'Materials Master'!$A$2:$A$27,0))</f>
        <v>No</v>
      </c>
      <c r="I50" s="0" t="str">
        <f aca="false">IFERROR(INDEX(Areas!$C$2:$C$6,MATCH($A50,Areas!$B$2:$B$6,0)),"")</f>
        <v>Rest of Building</v>
      </c>
      <c r="J50" s="0" t="n">
        <f aca="false">IF(IF($B50="Trash",INDEX('Materials Master'!$F$2:$F$27,MATCH($C50,'Materials Master'!$A$2:$A$27,0)),IF($B50="GMPC Recycling",INDEX('Materials Master'!$G$2:$G$27,MATCH($C50,'Materials Master'!$A$2:$A$27,0)),IF($B50="Organics Recycling",INDEX('Materials Master'!$H$2:$H$27,MATCH($C50,'Materials Master'!$A$2:$A$27,0)),IF($B50="Cardboard Recycling",INDEX('Materials Master'!$I$2:$I$27,MATCH($C50,'Materials Master'!$A$2:$A$27,0)),IF($B50="Paper Recycling",INDEX('Materials Master'!$J$2:$J$27,MATCH($C50,'Materials Master'!$A$2:$A$27,0)),IF($B50="Terracycle",INDEX('Materials Master'!$K$2:$K$27,MATCH($C50,'Materials Master'!$A$2:$A$27,0)),"No"))))))="Yes",1,0)</f>
        <v>0</v>
      </c>
    </row>
    <row r="51" customFormat="false" ht="15" hidden="false" customHeight="false" outlineLevel="0" collapsed="false">
      <c r="A51" s="0" t="s">
        <v>91</v>
      </c>
      <c r="B51" s="0" t="s">
        <v>104</v>
      </c>
      <c r="C51" s="0" t="s">
        <v>80</v>
      </c>
      <c r="D51" s="0" t="str">
        <f aca="false">IFERROR(INDEX('Materials Master'!$B$2:$B$27,MATCH($C51,'Materials Master'!$A$2:$A$27,0)),"")</f>
        <v>Liquids</v>
      </c>
      <c r="E51" s="0" t="str">
        <f aca="false">IFERROR(INDEX('Materials Master'!$C$2:$C$27,MATCH($C51,'Materials Master'!$A$2:$A$27,0)),"")</f>
        <v>Unacceptable</v>
      </c>
      <c r="F51" s="0" t="n">
        <f aca="false">(SUMIFS(Fact_PreSortWeights!$E$2:$E$15,Fact_PreSortWeights!$C$2:$C$15,$A51,Fact_PreSortWeights!$B$2:$B$15,$B51,Fact_PreSortWeights!$F$2:$F$15,$C51))+(SUMIFS(Fact_SortedWeights!$E$2:$E$6,Fact_SortedWeights!$C$2:$C$6,$A51,Fact_SortedWeights!$B$2:$B$6,$B51,Fact_SortedWeights!$D$2:$D$6,$C51,Fact_SortedWeights!$L$2:$L$6,"Yes"))+IF((SUMIFS(Fact_SortedWeights!$E$2:$E$6,Fact_SortedWeights!$C$2:$C$6,$A51,Fact_SortedWeights!$B$2:$B$6,$B51,Fact_SortedWeights!$L$2:$L$6,"No"))=0,0,(SUMIFS(Fact_SortedWeights!$E$2:$E$6,Fact_SortedWeights!$C$2:$C$6,$A51,Fact_SortedWeights!$B$2:$B$6,$B51,Fact_SortedWeights!$D$2:$D$6,$C51,Fact_SortedWeights!$L$2:$L$6,"No"))/(SUMIFS(Fact_SortedWeights!$E$2:$E$6,Fact_SortedWeights!$C$2:$C$6,$A51,Fact_SortedWeights!$B$2:$B$6,$B51,Fact_SortedWeights!$L$2:$L$6,"No"))*((SUMIFS(Fact_PreSortWeights!$E$2:$E$15,Fact_PreSortWeights!$C$2:$C$15,$A51,Fact_PreSortWeights!$B$2:$B$15,$B51,Fact_PreSortWeights!$F$2:$F$15,""))-(SUMIFS(Fact_SortedWeights!$E$2:$E$6,Fact_SortedWeights!$C$2:$C$6,$A51,Fact_SortedWeights!$B$2:$B$6,$B51,Fact_SortedWeights!$L$2:$L$6,"Yes"))))</f>
        <v>0</v>
      </c>
      <c r="G51" s="0" t="n">
        <f aca="false">IF(AND(IF($B51="Trash",INDEX('Materials Master'!$F$2:$F$27,MATCH($C51,'Materials Master'!$A$2:$A$27,0)),IF($B51="GMPC Recycling",INDEX('Materials Master'!$G$2:$G$27,MATCH($C51,'Materials Master'!$A$2:$A$27,0)),IF($B51="Organics Recycling",INDEX('Materials Master'!$H$2:$H$27,MATCH($C51,'Materials Master'!$A$2:$A$27,0)),IF($B51="Cardboard Recycling",INDEX('Materials Master'!$I$2:$I$27,MATCH($C51,'Materials Master'!$A$2:$A$27,0)),IF($B51="Paper Recycling",INDEX('Materials Master'!$J$2:$J$27,MATCH($C51,'Materials Master'!$A$2:$A$27,0)),IF($B51="Terracycle",INDEX('Materials Master'!$K$2:$K$27,MATCH($C51,'Materials Master'!$A$2:$A$27,0)),"No"))))))="Yes",INDEX('Materials Master'!$E$2:$E$27,MATCH($C51,'Materials Master'!$A$2:$A$27,0))="Yes",$B51&lt;&gt;"Trash"),1,0)</f>
        <v>0</v>
      </c>
      <c r="H51" s="0" t="str">
        <f aca="false">INDEX('Materials Master'!$E$2:$E$27,MATCH($C51,'Materials Master'!$A$2:$A$27,0))</f>
        <v>No</v>
      </c>
      <c r="I51" s="0" t="str">
        <f aca="false">IFERROR(INDEX(Areas!$C$2:$C$6,MATCH($A51,Areas!$B$2:$B$6,0)),"")</f>
        <v>Rest of Building</v>
      </c>
      <c r="J51" s="0" t="n">
        <f aca="false">IF(IF($B51="Trash",INDEX('Materials Master'!$F$2:$F$27,MATCH($C51,'Materials Master'!$A$2:$A$27,0)),IF($B51="GMPC Recycling",INDEX('Materials Master'!$G$2:$G$27,MATCH($C51,'Materials Master'!$A$2:$A$27,0)),IF($B51="Organics Recycling",INDEX('Materials Master'!$H$2:$H$27,MATCH($C51,'Materials Master'!$A$2:$A$27,0)),IF($B51="Cardboard Recycling",INDEX('Materials Master'!$I$2:$I$27,MATCH($C51,'Materials Master'!$A$2:$A$27,0)),IF($B51="Paper Recycling",INDEX('Materials Master'!$J$2:$J$27,MATCH($C51,'Materials Master'!$A$2:$A$27,0)),IF($B51="Terracycle",INDEX('Materials Master'!$K$2:$K$27,MATCH($C51,'Materials Master'!$A$2:$A$27,0)),"No"))))))="Yes",1,0)</f>
        <v>0</v>
      </c>
    </row>
    <row r="52" customFormat="false" ht="15" hidden="false" customHeight="false" outlineLevel="0" collapsed="false">
      <c r="A52" s="0" t="s">
        <v>91</v>
      </c>
      <c r="B52" s="0" t="s">
        <v>104</v>
      </c>
      <c r="C52" s="0" t="s">
        <v>82</v>
      </c>
      <c r="D52" s="0" t="str">
        <f aca="false">IFERROR(INDEX('Materials Master'!$B$2:$B$27,MATCH($C52,'Materials Master'!$A$2:$A$27,0)),"")</f>
        <v>Snack Wrappers (Composites)</v>
      </c>
      <c r="E52" s="0" t="str">
        <f aca="false">IFERROR(INDEX('Materials Master'!$C$2:$C$27,MATCH($C52,'Materials Master'!$A$2:$A$27,0)),"")</f>
        <v>Other</v>
      </c>
      <c r="F52" s="0" t="n">
        <f aca="false">(SUMIFS(Fact_PreSortWeights!$E$2:$E$15,Fact_PreSortWeights!$C$2:$C$15,$A52,Fact_PreSortWeights!$B$2:$B$15,$B52,Fact_PreSortWeights!$F$2:$F$15,$C52))+(SUMIFS(Fact_SortedWeights!$E$2:$E$6,Fact_SortedWeights!$C$2:$C$6,$A52,Fact_SortedWeights!$B$2:$B$6,$B52,Fact_SortedWeights!$D$2:$D$6,$C52,Fact_SortedWeights!$L$2:$L$6,"Yes"))+IF((SUMIFS(Fact_SortedWeights!$E$2:$E$6,Fact_SortedWeights!$C$2:$C$6,$A52,Fact_SortedWeights!$B$2:$B$6,$B52,Fact_SortedWeights!$L$2:$L$6,"No"))=0,0,(SUMIFS(Fact_SortedWeights!$E$2:$E$6,Fact_SortedWeights!$C$2:$C$6,$A52,Fact_SortedWeights!$B$2:$B$6,$B52,Fact_SortedWeights!$D$2:$D$6,$C52,Fact_SortedWeights!$L$2:$L$6,"No"))/(SUMIFS(Fact_SortedWeights!$E$2:$E$6,Fact_SortedWeights!$C$2:$C$6,$A52,Fact_SortedWeights!$B$2:$B$6,$B52,Fact_SortedWeights!$L$2:$L$6,"No"))*((SUMIFS(Fact_PreSortWeights!$E$2:$E$15,Fact_PreSortWeights!$C$2:$C$15,$A52,Fact_PreSortWeights!$B$2:$B$15,$B52,Fact_PreSortWeights!$F$2:$F$15,""))-(SUMIFS(Fact_SortedWeights!$E$2:$E$6,Fact_SortedWeights!$C$2:$C$6,$A52,Fact_SortedWeights!$B$2:$B$6,$B52,Fact_SortedWeights!$L$2:$L$6,"Yes"))))</f>
        <v>0</v>
      </c>
      <c r="G52" s="0" t="n">
        <f aca="false">IF(AND(IF($B52="Trash",INDEX('Materials Master'!$F$2:$F$27,MATCH($C52,'Materials Master'!$A$2:$A$27,0)),IF($B52="GMPC Recycling",INDEX('Materials Master'!$G$2:$G$27,MATCH($C52,'Materials Master'!$A$2:$A$27,0)),IF($B52="Organics Recycling",INDEX('Materials Master'!$H$2:$H$27,MATCH($C52,'Materials Master'!$A$2:$A$27,0)),IF($B52="Cardboard Recycling",INDEX('Materials Master'!$I$2:$I$27,MATCH($C52,'Materials Master'!$A$2:$A$27,0)),IF($B52="Paper Recycling",INDEX('Materials Master'!$J$2:$J$27,MATCH($C52,'Materials Master'!$A$2:$A$27,0)),IF($B52="Terracycle",INDEX('Materials Master'!$K$2:$K$27,MATCH($C52,'Materials Master'!$A$2:$A$27,0)),"No"))))))="Yes",INDEX('Materials Master'!$E$2:$E$27,MATCH($C52,'Materials Master'!$A$2:$A$27,0))="Yes",$B52&lt;&gt;"Trash"),1,0)</f>
        <v>0</v>
      </c>
      <c r="H52" s="0" t="str">
        <f aca="false">INDEX('Materials Master'!$E$2:$E$27,MATCH($C52,'Materials Master'!$A$2:$A$27,0))</f>
        <v>Yes</v>
      </c>
      <c r="I52" s="0" t="str">
        <f aca="false">IFERROR(INDEX(Areas!$C$2:$C$6,MATCH($A52,Areas!$B$2:$B$6,0)),"")</f>
        <v>Rest of Building</v>
      </c>
      <c r="J52" s="0" t="n">
        <f aca="false">IF(IF($B52="Trash",INDEX('Materials Master'!$F$2:$F$27,MATCH($C52,'Materials Master'!$A$2:$A$27,0)),IF($B52="GMPC Recycling",INDEX('Materials Master'!$G$2:$G$27,MATCH($C52,'Materials Master'!$A$2:$A$27,0)),IF($B52="Organics Recycling",INDEX('Materials Master'!$H$2:$H$27,MATCH($C52,'Materials Master'!$A$2:$A$27,0)),IF($B52="Cardboard Recycling",INDEX('Materials Master'!$I$2:$I$27,MATCH($C52,'Materials Master'!$A$2:$A$27,0)),IF($B52="Paper Recycling",INDEX('Materials Master'!$J$2:$J$27,MATCH($C52,'Materials Master'!$A$2:$A$27,0)),IF($B52="Terracycle",INDEX('Materials Master'!$K$2:$K$27,MATCH($C52,'Materials Master'!$A$2:$A$27,0)),"No"))))))="Yes",1,0)</f>
        <v>0</v>
      </c>
    </row>
    <row r="53" customFormat="false" ht="15" hidden="false" customHeight="false" outlineLevel="0" collapsed="false">
      <c r="A53" s="0" t="s">
        <v>91</v>
      </c>
      <c r="B53" s="0" t="s">
        <v>104</v>
      </c>
      <c r="C53" s="0" t="s">
        <v>85</v>
      </c>
      <c r="D53" s="0" t="str">
        <f aca="false">IFERROR(INDEX('Materials Master'!$B$2:$B$27,MATCH($C53,'Materials Master'!$A$2:$A$27,0)),"")</f>
        <v>Other/Residual Materials</v>
      </c>
      <c r="E53" s="0" t="str">
        <f aca="false">IFERROR(INDEX('Materials Master'!$C$2:$C$27,MATCH($C53,'Materials Master'!$A$2:$A$27,0)),"")</f>
        <v>Other</v>
      </c>
      <c r="F53" s="0" t="n">
        <f aca="false">(SUMIFS(Fact_PreSortWeights!$E$2:$E$15,Fact_PreSortWeights!$C$2:$C$15,$A53,Fact_PreSortWeights!$B$2:$B$15,$B53,Fact_PreSortWeights!$F$2:$F$15,$C53))+(SUMIFS(Fact_SortedWeights!$E$2:$E$6,Fact_SortedWeights!$C$2:$C$6,$A53,Fact_SortedWeights!$B$2:$B$6,$B53,Fact_SortedWeights!$D$2:$D$6,$C53,Fact_SortedWeights!$L$2:$L$6,"Yes"))+IF((SUMIFS(Fact_SortedWeights!$E$2:$E$6,Fact_SortedWeights!$C$2:$C$6,$A53,Fact_SortedWeights!$B$2:$B$6,$B53,Fact_SortedWeights!$L$2:$L$6,"No"))=0,0,(SUMIFS(Fact_SortedWeights!$E$2:$E$6,Fact_SortedWeights!$C$2:$C$6,$A53,Fact_SortedWeights!$B$2:$B$6,$B53,Fact_SortedWeights!$D$2:$D$6,$C53,Fact_SortedWeights!$L$2:$L$6,"No"))/(SUMIFS(Fact_SortedWeights!$E$2:$E$6,Fact_SortedWeights!$C$2:$C$6,$A53,Fact_SortedWeights!$B$2:$B$6,$B53,Fact_SortedWeights!$L$2:$L$6,"No"))*((SUMIFS(Fact_PreSortWeights!$E$2:$E$15,Fact_PreSortWeights!$C$2:$C$15,$A53,Fact_PreSortWeights!$B$2:$B$15,$B53,Fact_PreSortWeights!$F$2:$F$15,""))-(SUMIFS(Fact_SortedWeights!$E$2:$E$6,Fact_SortedWeights!$C$2:$C$6,$A53,Fact_SortedWeights!$B$2:$B$6,$B53,Fact_SortedWeights!$L$2:$L$6,"Yes"))))</f>
        <v>0</v>
      </c>
      <c r="G53" s="0" t="n">
        <f aca="false">IF(AND(IF($B53="Trash",INDEX('Materials Master'!$F$2:$F$27,MATCH($C53,'Materials Master'!$A$2:$A$27,0)),IF($B53="GMPC Recycling",INDEX('Materials Master'!$G$2:$G$27,MATCH($C53,'Materials Master'!$A$2:$A$27,0)),IF($B53="Organics Recycling",INDEX('Materials Master'!$H$2:$H$27,MATCH($C53,'Materials Master'!$A$2:$A$27,0)),IF($B53="Cardboard Recycling",INDEX('Materials Master'!$I$2:$I$27,MATCH($C53,'Materials Master'!$A$2:$A$27,0)),IF($B53="Paper Recycling",INDEX('Materials Master'!$J$2:$J$27,MATCH($C53,'Materials Master'!$A$2:$A$27,0)),IF($B53="Terracycle",INDEX('Materials Master'!$K$2:$K$27,MATCH($C53,'Materials Master'!$A$2:$A$27,0)),"No"))))))="Yes",INDEX('Materials Master'!$E$2:$E$27,MATCH($C53,'Materials Master'!$A$2:$A$27,0))="Yes",$B53&lt;&gt;"Trash"),1,0)</f>
        <v>0</v>
      </c>
      <c r="H53" s="0" t="str">
        <f aca="false">INDEX('Materials Master'!$E$2:$E$27,MATCH($C53,'Materials Master'!$A$2:$A$27,0))</f>
        <v>No</v>
      </c>
      <c r="I53" s="0" t="str">
        <f aca="false">IFERROR(INDEX(Areas!$C$2:$C$6,MATCH($A53,Areas!$B$2:$B$6,0)),"")</f>
        <v>Rest of Building</v>
      </c>
      <c r="J53" s="0" t="n">
        <f aca="false">IF(IF($B53="Trash",INDEX('Materials Master'!$F$2:$F$27,MATCH($C53,'Materials Master'!$A$2:$A$27,0)),IF($B53="GMPC Recycling",INDEX('Materials Master'!$G$2:$G$27,MATCH($C53,'Materials Master'!$A$2:$A$27,0)),IF($B53="Organics Recycling",INDEX('Materials Master'!$H$2:$H$27,MATCH($C53,'Materials Master'!$A$2:$A$27,0)),IF($B53="Cardboard Recycling",INDEX('Materials Master'!$I$2:$I$27,MATCH($C53,'Materials Master'!$A$2:$A$27,0)),IF($B53="Paper Recycling",INDEX('Materials Master'!$J$2:$J$27,MATCH($C53,'Materials Master'!$A$2:$A$27,0)),IF($B53="Terracycle",INDEX('Materials Master'!$K$2:$K$27,MATCH($C53,'Materials Master'!$A$2:$A$27,0)),"No"))))))="Yes",1,0)</f>
        <v>0</v>
      </c>
    </row>
    <row r="54" customFormat="false" ht="15" hidden="false" customHeight="false" outlineLevel="0" collapsed="false">
      <c r="A54" s="0" t="s">
        <v>91</v>
      </c>
      <c r="B54" s="0" t="s">
        <v>105</v>
      </c>
      <c r="C54" s="0" t="s">
        <v>26</v>
      </c>
      <c r="D54" s="0" t="str">
        <f aca="false">IFERROR(INDEX('Materials Master'!$B$2:$B$27,MATCH($C54,'Materials Master'!$A$2:$A$27,0)),"")</f>
        <v>Corrugated Cardboard</v>
      </c>
      <c r="E54" s="0" t="str">
        <f aca="false">IFERROR(INDEX('Materials Master'!$C$2:$C$27,MATCH($C54,'Materials Master'!$A$2:$A$27,0)),"")</f>
        <v>Fibers</v>
      </c>
      <c r="F54" s="0" t="n">
        <f aca="false">(SUMIFS(Fact_PreSortWeights!$E$2:$E$15,Fact_PreSortWeights!$C$2:$C$15,$A54,Fact_PreSortWeights!$B$2:$B$15,$B54,Fact_PreSortWeights!$F$2:$F$15,$C54))+(SUMIFS(Fact_SortedWeights!$E$2:$E$6,Fact_SortedWeights!$C$2:$C$6,$A54,Fact_SortedWeights!$B$2:$B$6,$B54,Fact_SortedWeights!$D$2:$D$6,$C54,Fact_SortedWeights!$L$2:$L$6,"Yes"))+IF((SUMIFS(Fact_SortedWeights!$E$2:$E$6,Fact_SortedWeights!$C$2:$C$6,$A54,Fact_SortedWeights!$B$2:$B$6,$B54,Fact_SortedWeights!$L$2:$L$6,"No"))=0,0,(SUMIFS(Fact_SortedWeights!$E$2:$E$6,Fact_SortedWeights!$C$2:$C$6,$A54,Fact_SortedWeights!$B$2:$B$6,$B54,Fact_SortedWeights!$D$2:$D$6,$C54,Fact_SortedWeights!$L$2:$L$6,"No"))/(SUMIFS(Fact_SortedWeights!$E$2:$E$6,Fact_SortedWeights!$C$2:$C$6,$A54,Fact_SortedWeights!$B$2:$B$6,$B54,Fact_SortedWeights!$L$2:$L$6,"No"))*((SUMIFS(Fact_PreSortWeights!$E$2:$E$15,Fact_PreSortWeights!$C$2:$C$15,$A54,Fact_PreSortWeights!$B$2:$B$15,$B54,Fact_PreSortWeights!$F$2:$F$15,""))-(SUMIFS(Fact_SortedWeights!$E$2:$E$6,Fact_SortedWeights!$C$2:$C$6,$A54,Fact_SortedWeights!$B$2:$B$6,$B54,Fact_SortedWeights!$L$2:$L$6,"Yes"))))</f>
        <v>0</v>
      </c>
      <c r="G54" s="0" t="n">
        <f aca="false">IF(AND(IF($B54="Trash",INDEX('Materials Master'!$F$2:$F$27,MATCH($C54,'Materials Master'!$A$2:$A$27,0)),IF($B54="GMPC Recycling",INDEX('Materials Master'!$G$2:$G$27,MATCH($C54,'Materials Master'!$A$2:$A$27,0)),IF($B54="Organics Recycling",INDEX('Materials Master'!$H$2:$H$27,MATCH($C54,'Materials Master'!$A$2:$A$27,0)),IF($B54="Cardboard Recycling",INDEX('Materials Master'!$I$2:$I$27,MATCH($C54,'Materials Master'!$A$2:$A$27,0)),IF($B54="Paper Recycling",INDEX('Materials Master'!$J$2:$J$27,MATCH($C54,'Materials Master'!$A$2:$A$27,0)),IF($B54="Terracycle",INDEX('Materials Master'!$K$2:$K$27,MATCH($C54,'Materials Master'!$A$2:$A$27,0)),"No"))))))="Yes",INDEX('Materials Master'!$E$2:$E$27,MATCH($C54,'Materials Master'!$A$2:$A$27,0))="Yes",$B54&lt;&gt;"Trash"),1,0)</f>
        <v>0</v>
      </c>
      <c r="H54" s="0" t="str">
        <f aca="false">INDEX('Materials Master'!$E$2:$E$27,MATCH($C54,'Materials Master'!$A$2:$A$27,0))</f>
        <v>Yes</v>
      </c>
      <c r="I54" s="0" t="str">
        <f aca="false">IFERROR(INDEX(Areas!$C$2:$C$6,MATCH($A54,Areas!$B$2:$B$6,0)),"")</f>
        <v>Rest of Building</v>
      </c>
      <c r="J54" s="0" t="n">
        <f aca="false">IF(IF($B54="Trash",INDEX('Materials Master'!$F$2:$F$27,MATCH($C54,'Materials Master'!$A$2:$A$27,0)),IF($B54="GMPC Recycling",INDEX('Materials Master'!$G$2:$G$27,MATCH($C54,'Materials Master'!$A$2:$A$27,0)),IF($B54="Organics Recycling",INDEX('Materials Master'!$H$2:$H$27,MATCH($C54,'Materials Master'!$A$2:$A$27,0)),IF($B54="Cardboard Recycling",INDEX('Materials Master'!$I$2:$I$27,MATCH($C54,'Materials Master'!$A$2:$A$27,0)),IF($B54="Paper Recycling",INDEX('Materials Master'!$J$2:$J$27,MATCH($C54,'Materials Master'!$A$2:$A$27,0)),IF($B54="Terracycle",INDEX('Materials Master'!$K$2:$K$27,MATCH($C54,'Materials Master'!$A$2:$A$27,0)),"No"))))))="Yes",1,0)</f>
        <v>0</v>
      </c>
    </row>
    <row r="55" customFormat="false" ht="15" hidden="false" customHeight="false" outlineLevel="0" collapsed="false">
      <c r="A55" s="0" t="s">
        <v>91</v>
      </c>
      <c r="B55" s="0" t="s">
        <v>105</v>
      </c>
      <c r="C55" s="0" t="s">
        <v>31</v>
      </c>
      <c r="D55" s="0" t="str">
        <f aca="false">IFERROR(INDEX('Materials Master'!$B$2:$B$27,MATCH($C55,'Materials Master'!$A$2:$A$27,0)),"")</f>
        <v>Soiled Cardboard</v>
      </c>
      <c r="E55" s="0" t="str">
        <f aca="false">IFERROR(INDEX('Materials Master'!$C$2:$C$27,MATCH($C55,'Materials Master'!$A$2:$A$27,0)),"")</f>
        <v>Fibers</v>
      </c>
      <c r="F55" s="0" t="n">
        <f aca="false">(SUMIFS(Fact_PreSortWeights!$E$2:$E$15,Fact_PreSortWeights!$C$2:$C$15,$A55,Fact_PreSortWeights!$B$2:$B$15,$B55,Fact_PreSortWeights!$F$2:$F$15,$C55))+(SUMIFS(Fact_SortedWeights!$E$2:$E$6,Fact_SortedWeights!$C$2:$C$6,$A55,Fact_SortedWeights!$B$2:$B$6,$B55,Fact_SortedWeights!$D$2:$D$6,$C55,Fact_SortedWeights!$L$2:$L$6,"Yes"))+IF((SUMIFS(Fact_SortedWeights!$E$2:$E$6,Fact_SortedWeights!$C$2:$C$6,$A55,Fact_SortedWeights!$B$2:$B$6,$B55,Fact_SortedWeights!$L$2:$L$6,"No"))=0,0,(SUMIFS(Fact_SortedWeights!$E$2:$E$6,Fact_SortedWeights!$C$2:$C$6,$A55,Fact_SortedWeights!$B$2:$B$6,$B55,Fact_SortedWeights!$D$2:$D$6,$C55,Fact_SortedWeights!$L$2:$L$6,"No"))/(SUMIFS(Fact_SortedWeights!$E$2:$E$6,Fact_SortedWeights!$C$2:$C$6,$A55,Fact_SortedWeights!$B$2:$B$6,$B55,Fact_SortedWeights!$L$2:$L$6,"No"))*((SUMIFS(Fact_PreSortWeights!$E$2:$E$15,Fact_PreSortWeights!$C$2:$C$15,$A55,Fact_PreSortWeights!$B$2:$B$15,$B55,Fact_PreSortWeights!$F$2:$F$15,""))-(SUMIFS(Fact_SortedWeights!$E$2:$E$6,Fact_SortedWeights!$C$2:$C$6,$A55,Fact_SortedWeights!$B$2:$B$6,$B55,Fact_SortedWeights!$L$2:$L$6,"Yes"))))</f>
        <v>0</v>
      </c>
      <c r="G55" s="0" t="n">
        <f aca="false">IF(AND(IF($B55="Trash",INDEX('Materials Master'!$F$2:$F$27,MATCH($C55,'Materials Master'!$A$2:$A$27,0)),IF($B55="GMPC Recycling",INDEX('Materials Master'!$G$2:$G$27,MATCH($C55,'Materials Master'!$A$2:$A$27,0)),IF($B55="Organics Recycling",INDEX('Materials Master'!$H$2:$H$27,MATCH($C55,'Materials Master'!$A$2:$A$27,0)),IF($B55="Cardboard Recycling",INDEX('Materials Master'!$I$2:$I$27,MATCH($C55,'Materials Master'!$A$2:$A$27,0)),IF($B55="Paper Recycling",INDEX('Materials Master'!$J$2:$J$27,MATCH($C55,'Materials Master'!$A$2:$A$27,0)),IF($B55="Terracycle",INDEX('Materials Master'!$K$2:$K$27,MATCH($C55,'Materials Master'!$A$2:$A$27,0)),"No"))))))="Yes",INDEX('Materials Master'!$E$2:$E$27,MATCH($C55,'Materials Master'!$A$2:$A$27,0))="Yes",$B55&lt;&gt;"Trash"),1,0)</f>
        <v>0</v>
      </c>
      <c r="H55" s="0" t="str">
        <f aca="false">INDEX('Materials Master'!$E$2:$E$27,MATCH($C55,'Materials Master'!$A$2:$A$27,0))</f>
        <v>No</v>
      </c>
      <c r="I55" s="0" t="str">
        <f aca="false">IFERROR(INDEX(Areas!$C$2:$C$6,MATCH($A55,Areas!$B$2:$B$6,0)),"")</f>
        <v>Rest of Building</v>
      </c>
      <c r="J55" s="0" t="n">
        <f aca="false">IF(IF($B55="Trash",INDEX('Materials Master'!$F$2:$F$27,MATCH($C55,'Materials Master'!$A$2:$A$27,0)),IF($B55="GMPC Recycling",INDEX('Materials Master'!$G$2:$G$27,MATCH($C55,'Materials Master'!$A$2:$A$27,0)),IF($B55="Organics Recycling",INDEX('Materials Master'!$H$2:$H$27,MATCH($C55,'Materials Master'!$A$2:$A$27,0)),IF($B55="Cardboard Recycling",INDEX('Materials Master'!$I$2:$I$27,MATCH($C55,'Materials Master'!$A$2:$A$27,0)),IF($B55="Paper Recycling",INDEX('Materials Master'!$J$2:$J$27,MATCH($C55,'Materials Master'!$A$2:$A$27,0)),IF($B55="Terracycle",INDEX('Materials Master'!$K$2:$K$27,MATCH($C55,'Materials Master'!$A$2:$A$27,0)),"No"))))))="Yes",1,0)</f>
        <v>0</v>
      </c>
    </row>
    <row r="56" customFormat="false" ht="15" hidden="false" customHeight="false" outlineLevel="0" collapsed="false">
      <c r="A56" s="0" t="s">
        <v>91</v>
      </c>
      <c r="B56" s="0" t="s">
        <v>105</v>
      </c>
      <c r="C56" s="0" t="s">
        <v>33</v>
      </c>
      <c r="D56" s="0" t="str">
        <f aca="false">IFERROR(INDEX('Materials Master'!$B$2:$B$27,MATCH($C56,'Materials Master'!$A$2:$A$27,0)),"")</f>
        <v>Waxed Cardboard</v>
      </c>
      <c r="E56" s="0" t="str">
        <f aca="false">IFERROR(INDEX('Materials Master'!$C$2:$C$27,MATCH($C56,'Materials Master'!$A$2:$A$27,0)),"")</f>
        <v>Fibers</v>
      </c>
      <c r="F56" s="0" t="n">
        <f aca="false">(SUMIFS(Fact_PreSortWeights!$E$2:$E$15,Fact_PreSortWeights!$C$2:$C$15,$A56,Fact_PreSortWeights!$B$2:$B$15,$B56,Fact_PreSortWeights!$F$2:$F$15,$C56))+(SUMIFS(Fact_SortedWeights!$E$2:$E$6,Fact_SortedWeights!$C$2:$C$6,$A56,Fact_SortedWeights!$B$2:$B$6,$B56,Fact_SortedWeights!$D$2:$D$6,$C56,Fact_SortedWeights!$L$2:$L$6,"Yes"))+IF((SUMIFS(Fact_SortedWeights!$E$2:$E$6,Fact_SortedWeights!$C$2:$C$6,$A56,Fact_SortedWeights!$B$2:$B$6,$B56,Fact_SortedWeights!$L$2:$L$6,"No"))=0,0,(SUMIFS(Fact_SortedWeights!$E$2:$E$6,Fact_SortedWeights!$C$2:$C$6,$A56,Fact_SortedWeights!$B$2:$B$6,$B56,Fact_SortedWeights!$D$2:$D$6,$C56,Fact_SortedWeights!$L$2:$L$6,"No"))/(SUMIFS(Fact_SortedWeights!$E$2:$E$6,Fact_SortedWeights!$C$2:$C$6,$A56,Fact_SortedWeights!$B$2:$B$6,$B56,Fact_SortedWeights!$L$2:$L$6,"No"))*((SUMIFS(Fact_PreSortWeights!$E$2:$E$15,Fact_PreSortWeights!$C$2:$C$15,$A56,Fact_PreSortWeights!$B$2:$B$15,$B56,Fact_PreSortWeights!$F$2:$F$15,""))-(SUMIFS(Fact_SortedWeights!$E$2:$E$6,Fact_SortedWeights!$C$2:$C$6,$A56,Fact_SortedWeights!$B$2:$B$6,$B56,Fact_SortedWeights!$L$2:$L$6,"Yes"))))</f>
        <v>0</v>
      </c>
      <c r="G56" s="0" t="n">
        <f aca="false">IF(AND(IF($B56="Trash",INDEX('Materials Master'!$F$2:$F$27,MATCH($C56,'Materials Master'!$A$2:$A$27,0)),IF($B56="GMPC Recycling",INDEX('Materials Master'!$G$2:$G$27,MATCH($C56,'Materials Master'!$A$2:$A$27,0)),IF($B56="Organics Recycling",INDEX('Materials Master'!$H$2:$H$27,MATCH($C56,'Materials Master'!$A$2:$A$27,0)),IF($B56="Cardboard Recycling",INDEX('Materials Master'!$I$2:$I$27,MATCH($C56,'Materials Master'!$A$2:$A$27,0)),IF($B56="Paper Recycling",INDEX('Materials Master'!$J$2:$J$27,MATCH($C56,'Materials Master'!$A$2:$A$27,0)),IF($B56="Terracycle",INDEX('Materials Master'!$K$2:$K$27,MATCH($C56,'Materials Master'!$A$2:$A$27,0)),"No"))))))="Yes",INDEX('Materials Master'!$E$2:$E$27,MATCH($C56,'Materials Master'!$A$2:$A$27,0))="Yes",$B56&lt;&gt;"Trash"),1,0)</f>
        <v>0</v>
      </c>
      <c r="H56" s="0" t="str">
        <f aca="false">INDEX('Materials Master'!$E$2:$E$27,MATCH($C56,'Materials Master'!$A$2:$A$27,0))</f>
        <v>No</v>
      </c>
      <c r="I56" s="0" t="str">
        <f aca="false">IFERROR(INDEX(Areas!$C$2:$C$6,MATCH($A56,Areas!$B$2:$B$6,0)),"")</f>
        <v>Rest of Building</v>
      </c>
      <c r="J56" s="0" t="n">
        <f aca="false">IF(IF($B56="Trash",INDEX('Materials Master'!$F$2:$F$27,MATCH($C56,'Materials Master'!$A$2:$A$27,0)),IF($B56="GMPC Recycling",INDEX('Materials Master'!$G$2:$G$27,MATCH($C56,'Materials Master'!$A$2:$A$27,0)),IF($B56="Organics Recycling",INDEX('Materials Master'!$H$2:$H$27,MATCH($C56,'Materials Master'!$A$2:$A$27,0)),IF($B56="Cardboard Recycling",INDEX('Materials Master'!$I$2:$I$27,MATCH($C56,'Materials Master'!$A$2:$A$27,0)),IF($B56="Paper Recycling",INDEX('Materials Master'!$J$2:$J$27,MATCH($C56,'Materials Master'!$A$2:$A$27,0)),IF($B56="Terracycle",INDEX('Materials Master'!$K$2:$K$27,MATCH($C56,'Materials Master'!$A$2:$A$27,0)),"No"))))))="Yes",1,0)</f>
        <v>0</v>
      </c>
    </row>
    <row r="57" customFormat="false" ht="15" hidden="false" customHeight="false" outlineLevel="0" collapsed="false">
      <c r="A57" s="0" t="s">
        <v>91</v>
      </c>
      <c r="B57" s="0" t="s">
        <v>105</v>
      </c>
      <c r="C57" s="0" t="s">
        <v>35</v>
      </c>
      <c r="D57" s="0" t="str">
        <f aca="false">IFERROR(INDEX('Materials Master'!$B$2:$B$27,MATCH($C57,'Materials Master'!$A$2:$A$27,0)),"")</f>
        <v>Mixed Paper</v>
      </c>
      <c r="E57" s="0" t="str">
        <f aca="false">IFERROR(INDEX('Materials Master'!$C$2:$C$27,MATCH($C57,'Materials Master'!$A$2:$A$27,0)),"")</f>
        <v>Fibers</v>
      </c>
      <c r="F57" s="0" t="n">
        <f aca="false">(SUMIFS(Fact_PreSortWeights!$E$2:$E$15,Fact_PreSortWeights!$C$2:$C$15,$A57,Fact_PreSortWeights!$B$2:$B$15,$B57,Fact_PreSortWeights!$F$2:$F$15,$C57))+(SUMIFS(Fact_SortedWeights!$E$2:$E$6,Fact_SortedWeights!$C$2:$C$6,$A57,Fact_SortedWeights!$B$2:$B$6,$B57,Fact_SortedWeights!$D$2:$D$6,$C57,Fact_SortedWeights!$L$2:$L$6,"Yes"))+IF((SUMIFS(Fact_SortedWeights!$E$2:$E$6,Fact_SortedWeights!$C$2:$C$6,$A57,Fact_SortedWeights!$B$2:$B$6,$B57,Fact_SortedWeights!$L$2:$L$6,"No"))=0,0,(SUMIFS(Fact_SortedWeights!$E$2:$E$6,Fact_SortedWeights!$C$2:$C$6,$A57,Fact_SortedWeights!$B$2:$B$6,$B57,Fact_SortedWeights!$D$2:$D$6,$C57,Fact_SortedWeights!$L$2:$L$6,"No"))/(SUMIFS(Fact_SortedWeights!$E$2:$E$6,Fact_SortedWeights!$C$2:$C$6,$A57,Fact_SortedWeights!$B$2:$B$6,$B57,Fact_SortedWeights!$L$2:$L$6,"No"))*((SUMIFS(Fact_PreSortWeights!$E$2:$E$15,Fact_PreSortWeights!$C$2:$C$15,$A57,Fact_PreSortWeights!$B$2:$B$15,$B57,Fact_PreSortWeights!$F$2:$F$15,""))-(SUMIFS(Fact_SortedWeights!$E$2:$E$6,Fact_SortedWeights!$C$2:$C$6,$A57,Fact_SortedWeights!$B$2:$B$6,$B57,Fact_SortedWeights!$L$2:$L$6,"Yes"))))</f>
        <v>20</v>
      </c>
      <c r="G57" s="0" t="n">
        <f aca="false">IF(AND(IF($B57="Trash",INDEX('Materials Master'!$F$2:$F$27,MATCH($C57,'Materials Master'!$A$2:$A$27,0)),IF($B57="GMPC Recycling",INDEX('Materials Master'!$G$2:$G$27,MATCH($C57,'Materials Master'!$A$2:$A$27,0)),IF($B57="Organics Recycling",INDEX('Materials Master'!$H$2:$H$27,MATCH($C57,'Materials Master'!$A$2:$A$27,0)),IF($B57="Cardboard Recycling",INDEX('Materials Master'!$I$2:$I$27,MATCH($C57,'Materials Master'!$A$2:$A$27,0)),IF($B57="Paper Recycling",INDEX('Materials Master'!$J$2:$J$27,MATCH($C57,'Materials Master'!$A$2:$A$27,0)),IF($B57="Terracycle",INDEX('Materials Master'!$K$2:$K$27,MATCH($C57,'Materials Master'!$A$2:$A$27,0)),"No"))))))="Yes",INDEX('Materials Master'!$E$2:$E$27,MATCH($C57,'Materials Master'!$A$2:$A$27,0))="Yes",$B57&lt;&gt;"Trash"),1,0)</f>
        <v>1</v>
      </c>
      <c r="H57" s="0" t="str">
        <f aca="false">INDEX('Materials Master'!$E$2:$E$27,MATCH($C57,'Materials Master'!$A$2:$A$27,0))</f>
        <v>Yes</v>
      </c>
      <c r="I57" s="0" t="str">
        <f aca="false">IFERROR(INDEX(Areas!$C$2:$C$6,MATCH($A57,Areas!$B$2:$B$6,0)),"")</f>
        <v>Rest of Building</v>
      </c>
      <c r="J57" s="0" t="n">
        <f aca="false">IF(IF($B57="Trash",INDEX('Materials Master'!$F$2:$F$27,MATCH($C57,'Materials Master'!$A$2:$A$27,0)),IF($B57="GMPC Recycling",INDEX('Materials Master'!$G$2:$G$27,MATCH($C57,'Materials Master'!$A$2:$A$27,0)),IF($B57="Organics Recycling",INDEX('Materials Master'!$H$2:$H$27,MATCH($C57,'Materials Master'!$A$2:$A$27,0)),IF($B57="Cardboard Recycling",INDEX('Materials Master'!$I$2:$I$27,MATCH($C57,'Materials Master'!$A$2:$A$27,0)),IF($B57="Paper Recycling",INDEX('Materials Master'!$J$2:$J$27,MATCH($C57,'Materials Master'!$A$2:$A$27,0)),IF($B57="Terracycle",INDEX('Materials Master'!$K$2:$K$27,MATCH($C57,'Materials Master'!$A$2:$A$27,0)),"No"))))))="Yes",1,0)</f>
        <v>1</v>
      </c>
    </row>
    <row r="58" customFormat="false" ht="15" hidden="false" customHeight="false" outlineLevel="0" collapsed="false">
      <c r="A58" s="0" t="s">
        <v>91</v>
      </c>
      <c r="B58" s="0" t="s">
        <v>105</v>
      </c>
      <c r="C58" s="0" t="s">
        <v>37</v>
      </c>
      <c r="D58" s="0" t="str">
        <f aca="false">IFERROR(INDEX('Materials Master'!$B$2:$B$27,MATCH($C58,'Materials Master'!$A$2:$A$27,0)),"")</f>
        <v>Soiled Paper</v>
      </c>
      <c r="E58" s="0" t="str">
        <f aca="false">IFERROR(INDEX('Materials Master'!$C$2:$C$27,MATCH($C58,'Materials Master'!$A$2:$A$27,0)),"")</f>
        <v>Fibers</v>
      </c>
      <c r="F58" s="0" t="n">
        <f aca="false">(SUMIFS(Fact_PreSortWeights!$E$2:$E$15,Fact_PreSortWeights!$C$2:$C$15,$A58,Fact_PreSortWeights!$B$2:$B$15,$B58,Fact_PreSortWeights!$F$2:$F$15,$C58))+(SUMIFS(Fact_SortedWeights!$E$2:$E$6,Fact_SortedWeights!$C$2:$C$6,$A58,Fact_SortedWeights!$B$2:$B$6,$B58,Fact_SortedWeights!$D$2:$D$6,$C58,Fact_SortedWeights!$L$2:$L$6,"Yes"))+IF((SUMIFS(Fact_SortedWeights!$E$2:$E$6,Fact_SortedWeights!$C$2:$C$6,$A58,Fact_SortedWeights!$B$2:$B$6,$B58,Fact_SortedWeights!$L$2:$L$6,"No"))=0,0,(SUMIFS(Fact_SortedWeights!$E$2:$E$6,Fact_SortedWeights!$C$2:$C$6,$A58,Fact_SortedWeights!$B$2:$B$6,$B58,Fact_SortedWeights!$D$2:$D$6,$C58,Fact_SortedWeights!$L$2:$L$6,"No"))/(SUMIFS(Fact_SortedWeights!$E$2:$E$6,Fact_SortedWeights!$C$2:$C$6,$A58,Fact_SortedWeights!$B$2:$B$6,$B58,Fact_SortedWeights!$L$2:$L$6,"No"))*((SUMIFS(Fact_PreSortWeights!$E$2:$E$15,Fact_PreSortWeights!$C$2:$C$15,$A58,Fact_PreSortWeights!$B$2:$B$15,$B58,Fact_PreSortWeights!$F$2:$F$15,""))-(SUMIFS(Fact_SortedWeights!$E$2:$E$6,Fact_SortedWeights!$C$2:$C$6,$A58,Fact_SortedWeights!$B$2:$B$6,$B58,Fact_SortedWeights!$L$2:$L$6,"Yes"))))</f>
        <v>0</v>
      </c>
      <c r="G58" s="0" t="n">
        <f aca="false">IF(AND(IF($B58="Trash",INDEX('Materials Master'!$F$2:$F$27,MATCH($C58,'Materials Master'!$A$2:$A$27,0)),IF($B58="GMPC Recycling",INDEX('Materials Master'!$G$2:$G$27,MATCH($C58,'Materials Master'!$A$2:$A$27,0)),IF($B58="Organics Recycling",INDEX('Materials Master'!$H$2:$H$27,MATCH($C58,'Materials Master'!$A$2:$A$27,0)),IF($B58="Cardboard Recycling",INDEX('Materials Master'!$I$2:$I$27,MATCH($C58,'Materials Master'!$A$2:$A$27,0)),IF($B58="Paper Recycling",INDEX('Materials Master'!$J$2:$J$27,MATCH($C58,'Materials Master'!$A$2:$A$27,0)),IF($B58="Terracycle",INDEX('Materials Master'!$K$2:$K$27,MATCH($C58,'Materials Master'!$A$2:$A$27,0)),"No"))))))="Yes",INDEX('Materials Master'!$E$2:$E$27,MATCH($C58,'Materials Master'!$A$2:$A$27,0))="Yes",$B58&lt;&gt;"Trash"),1,0)</f>
        <v>0</v>
      </c>
      <c r="H58" s="0" t="str">
        <f aca="false">INDEX('Materials Master'!$E$2:$E$27,MATCH($C58,'Materials Master'!$A$2:$A$27,0))</f>
        <v>No</v>
      </c>
      <c r="I58" s="0" t="str">
        <f aca="false">IFERROR(INDEX(Areas!$C$2:$C$6,MATCH($A58,Areas!$B$2:$B$6,0)),"")</f>
        <v>Rest of Building</v>
      </c>
      <c r="J58" s="0" t="n">
        <f aca="false">IF(IF($B58="Trash",INDEX('Materials Master'!$F$2:$F$27,MATCH($C58,'Materials Master'!$A$2:$A$27,0)),IF($B58="GMPC Recycling",INDEX('Materials Master'!$G$2:$G$27,MATCH($C58,'Materials Master'!$A$2:$A$27,0)),IF($B58="Organics Recycling",INDEX('Materials Master'!$H$2:$H$27,MATCH($C58,'Materials Master'!$A$2:$A$27,0)),IF($B58="Cardboard Recycling",INDEX('Materials Master'!$I$2:$I$27,MATCH($C58,'Materials Master'!$A$2:$A$27,0)),IF($B58="Paper Recycling",INDEX('Materials Master'!$J$2:$J$27,MATCH($C58,'Materials Master'!$A$2:$A$27,0)),IF($B58="Terracycle",INDEX('Materials Master'!$K$2:$K$27,MATCH($C58,'Materials Master'!$A$2:$A$27,0)),"No"))))))="Yes",1,0)</f>
        <v>0</v>
      </c>
    </row>
    <row r="59" customFormat="false" ht="15" hidden="false" customHeight="false" outlineLevel="0" collapsed="false">
      <c r="A59" s="0" t="s">
        <v>91</v>
      </c>
      <c r="B59" s="0" t="s">
        <v>105</v>
      </c>
      <c r="C59" s="0" t="s">
        <v>39</v>
      </c>
      <c r="D59" s="0" t="str">
        <f aca="false">IFERROR(INDEX('Materials Master'!$B$2:$B$27,MATCH($C59,'Materials Master'!$A$2:$A$27,0)),"")</f>
        <v>Beverage Cartons</v>
      </c>
      <c r="E59" s="0" t="str">
        <f aca="false">IFERROR(INDEX('Materials Master'!$C$2:$C$27,MATCH($C59,'Materials Master'!$A$2:$A$27,0)),"")</f>
        <v>Fibers</v>
      </c>
      <c r="F59" s="0" t="n">
        <f aca="false">(SUMIFS(Fact_PreSortWeights!$E$2:$E$15,Fact_PreSortWeights!$C$2:$C$15,$A59,Fact_PreSortWeights!$B$2:$B$15,$B59,Fact_PreSortWeights!$F$2:$F$15,$C59))+(SUMIFS(Fact_SortedWeights!$E$2:$E$6,Fact_SortedWeights!$C$2:$C$6,$A59,Fact_SortedWeights!$B$2:$B$6,$B59,Fact_SortedWeights!$D$2:$D$6,$C59,Fact_SortedWeights!$L$2:$L$6,"Yes"))+IF((SUMIFS(Fact_SortedWeights!$E$2:$E$6,Fact_SortedWeights!$C$2:$C$6,$A59,Fact_SortedWeights!$B$2:$B$6,$B59,Fact_SortedWeights!$L$2:$L$6,"No"))=0,0,(SUMIFS(Fact_SortedWeights!$E$2:$E$6,Fact_SortedWeights!$C$2:$C$6,$A59,Fact_SortedWeights!$B$2:$B$6,$B59,Fact_SortedWeights!$D$2:$D$6,$C59,Fact_SortedWeights!$L$2:$L$6,"No"))/(SUMIFS(Fact_SortedWeights!$E$2:$E$6,Fact_SortedWeights!$C$2:$C$6,$A59,Fact_SortedWeights!$B$2:$B$6,$B59,Fact_SortedWeights!$L$2:$L$6,"No"))*((SUMIFS(Fact_PreSortWeights!$E$2:$E$15,Fact_PreSortWeights!$C$2:$C$15,$A59,Fact_PreSortWeights!$B$2:$B$15,$B59,Fact_PreSortWeights!$F$2:$F$15,""))-(SUMIFS(Fact_SortedWeights!$E$2:$E$6,Fact_SortedWeights!$C$2:$C$6,$A59,Fact_SortedWeights!$B$2:$B$6,$B59,Fact_SortedWeights!$L$2:$L$6,"Yes"))))</f>
        <v>0</v>
      </c>
      <c r="G59" s="0" t="n">
        <f aca="false">IF(AND(IF($B59="Trash",INDEX('Materials Master'!$F$2:$F$27,MATCH($C59,'Materials Master'!$A$2:$A$27,0)),IF($B59="GMPC Recycling",INDEX('Materials Master'!$G$2:$G$27,MATCH($C59,'Materials Master'!$A$2:$A$27,0)),IF($B59="Organics Recycling",INDEX('Materials Master'!$H$2:$H$27,MATCH($C59,'Materials Master'!$A$2:$A$27,0)),IF($B59="Cardboard Recycling",INDEX('Materials Master'!$I$2:$I$27,MATCH($C59,'Materials Master'!$A$2:$A$27,0)),IF($B59="Paper Recycling",INDEX('Materials Master'!$J$2:$J$27,MATCH($C59,'Materials Master'!$A$2:$A$27,0)),IF($B59="Terracycle",INDEX('Materials Master'!$K$2:$K$27,MATCH($C59,'Materials Master'!$A$2:$A$27,0)),"No"))))))="Yes",INDEX('Materials Master'!$E$2:$E$27,MATCH($C59,'Materials Master'!$A$2:$A$27,0))="Yes",$B59&lt;&gt;"Trash"),1,0)</f>
        <v>0</v>
      </c>
      <c r="H59" s="0" t="str">
        <f aca="false">INDEX('Materials Master'!$E$2:$E$27,MATCH($C59,'Materials Master'!$A$2:$A$27,0))</f>
        <v>Yes</v>
      </c>
      <c r="I59" s="0" t="str">
        <f aca="false">IFERROR(INDEX(Areas!$C$2:$C$6,MATCH($A59,Areas!$B$2:$B$6,0)),"")</f>
        <v>Rest of Building</v>
      </c>
      <c r="J59" s="0" t="n">
        <f aca="false">IF(IF($B59="Trash",INDEX('Materials Master'!$F$2:$F$27,MATCH($C59,'Materials Master'!$A$2:$A$27,0)),IF($B59="GMPC Recycling",INDEX('Materials Master'!$G$2:$G$27,MATCH($C59,'Materials Master'!$A$2:$A$27,0)),IF($B59="Organics Recycling",INDEX('Materials Master'!$H$2:$H$27,MATCH($C59,'Materials Master'!$A$2:$A$27,0)),IF($B59="Cardboard Recycling",INDEX('Materials Master'!$I$2:$I$27,MATCH($C59,'Materials Master'!$A$2:$A$27,0)),IF($B59="Paper Recycling",INDEX('Materials Master'!$J$2:$J$27,MATCH($C59,'Materials Master'!$A$2:$A$27,0)),IF($B59="Terracycle",INDEX('Materials Master'!$K$2:$K$27,MATCH($C59,'Materials Master'!$A$2:$A$27,0)),"No"))))))="Yes",1,0)</f>
        <v>0</v>
      </c>
    </row>
    <row r="60" customFormat="false" ht="15" hidden="false" customHeight="false" outlineLevel="0" collapsed="false">
      <c r="A60" s="0" t="s">
        <v>91</v>
      </c>
      <c r="B60" s="0" t="s">
        <v>105</v>
      </c>
      <c r="C60" s="0" t="s">
        <v>41</v>
      </c>
      <c r="D60" s="0" t="str">
        <f aca="false">IFERROR(INDEX('Materials Master'!$B$2:$B$27,MATCH($C60,'Materials Master'!$A$2:$A$27,0)),"")</f>
        <v>Soiled Beverage Cartons</v>
      </c>
      <c r="E60" s="0" t="str">
        <f aca="false">IFERROR(INDEX('Materials Master'!$C$2:$C$27,MATCH($C60,'Materials Master'!$A$2:$A$27,0)),"")</f>
        <v>Fibers</v>
      </c>
      <c r="F60" s="0" t="n">
        <f aca="false">(SUMIFS(Fact_PreSortWeights!$E$2:$E$15,Fact_PreSortWeights!$C$2:$C$15,$A60,Fact_PreSortWeights!$B$2:$B$15,$B60,Fact_PreSortWeights!$F$2:$F$15,$C60))+(SUMIFS(Fact_SortedWeights!$E$2:$E$6,Fact_SortedWeights!$C$2:$C$6,$A60,Fact_SortedWeights!$B$2:$B$6,$B60,Fact_SortedWeights!$D$2:$D$6,$C60,Fact_SortedWeights!$L$2:$L$6,"Yes"))+IF((SUMIFS(Fact_SortedWeights!$E$2:$E$6,Fact_SortedWeights!$C$2:$C$6,$A60,Fact_SortedWeights!$B$2:$B$6,$B60,Fact_SortedWeights!$L$2:$L$6,"No"))=0,0,(SUMIFS(Fact_SortedWeights!$E$2:$E$6,Fact_SortedWeights!$C$2:$C$6,$A60,Fact_SortedWeights!$B$2:$B$6,$B60,Fact_SortedWeights!$D$2:$D$6,$C60,Fact_SortedWeights!$L$2:$L$6,"No"))/(SUMIFS(Fact_SortedWeights!$E$2:$E$6,Fact_SortedWeights!$C$2:$C$6,$A60,Fact_SortedWeights!$B$2:$B$6,$B60,Fact_SortedWeights!$L$2:$L$6,"No"))*((SUMIFS(Fact_PreSortWeights!$E$2:$E$15,Fact_PreSortWeights!$C$2:$C$15,$A60,Fact_PreSortWeights!$B$2:$B$15,$B60,Fact_PreSortWeights!$F$2:$F$15,""))-(SUMIFS(Fact_SortedWeights!$E$2:$E$6,Fact_SortedWeights!$C$2:$C$6,$A60,Fact_SortedWeights!$B$2:$B$6,$B60,Fact_SortedWeights!$L$2:$L$6,"Yes"))))</f>
        <v>0</v>
      </c>
      <c r="G60" s="0" t="n">
        <f aca="false">IF(AND(IF($B60="Trash",INDEX('Materials Master'!$F$2:$F$27,MATCH($C60,'Materials Master'!$A$2:$A$27,0)),IF($B60="GMPC Recycling",INDEX('Materials Master'!$G$2:$G$27,MATCH($C60,'Materials Master'!$A$2:$A$27,0)),IF($B60="Organics Recycling",INDEX('Materials Master'!$H$2:$H$27,MATCH($C60,'Materials Master'!$A$2:$A$27,0)),IF($B60="Cardboard Recycling",INDEX('Materials Master'!$I$2:$I$27,MATCH($C60,'Materials Master'!$A$2:$A$27,0)),IF($B60="Paper Recycling",INDEX('Materials Master'!$J$2:$J$27,MATCH($C60,'Materials Master'!$A$2:$A$27,0)),IF($B60="Terracycle",INDEX('Materials Master'!$K$2:$K$27,MATCH($C60,'Materials Master'!$A$2:$A$27,0)),"No"))))))="Yes",INDEX('Materials Master'!$E$2:$E$27,MATCH($C60,'Materials Master'!$A$2:$A$27,0))="Yes",$B60&lt;&gt;"Trash"),1,0)</f>
        <v>0</v>
      </c>
      <c r="H60" s="0" t="str">
        <f aca="false">INDEX('Materials Master'!$E$2:$E$27,MATCH($C60,'Materials Master'!$A$2:$A$27,0))</f>
        <v>No</v>
      </c>
      <c r="I60" s="0" t="str">
        <f aca="false">IFERROR(INDEX(Areas!$C$2:$C$6,MATCH($A60,Areas!$B$2:$B$6,0)),"")</f>
        <v>Rest of Building</v>
      </c>
      <c r="J60" s="0" t="n">
        <f aca="false">IF(IF($B60="Trash",INDEX('Materials Master'!$F$2:$F$27,MATCH($C60,'Materials Master'!$A$2:$A$27,0)),IF($B60="GMPC Recycling",INDEX('Materials Master'!$G$2:$G$27,MATCH($C60,'Materials Master'!$A$2:$A$27,0)),IF($B60="Organics Recycling",INDEX('Materials Master'!$H$2:$H$27,MATCH($C60,'Materials Master'!$A$2:$A$27,0)),IF($B60="Cardboard Recycling",INDEX('Materials Master'!$I$2:$I$27,MATCH($C60,'Materials Master'!$A$2:$A$27,0)),IF($B60="Paper Recycling",INDEX('Materials Master'!$J$2:$J$27,MATCH($C60,'Materials Master'!$A$2:$A$27,0)),IF($B60="Terracycle",INDEX('Materials Master'!$K$2:$K$27,MATCH($C60,'Materials Master'!$A$2:$A$27,0)),"No"))))))="Yes",1,0)</f>
        <v>0</v>
      </c>
    </row>
    <row r="61" customFormat="false" ht="15" hidden="false" customHeight="false" outlineLevel="0" collapsed="false">
      <c r="A61" s="0" t="s">
        <v>91</v>
      </c>
      <c r="B61" s="0" t="s">
        <v>105</v>
      </c>
      <c r="C61" s="0" t="s">
        <v>43</v>
      </c>
      <c r="D61" s="0" t="str">
        <f aca="false">IFERROR(INDEX('Materials Master'!$B$2:$B$27,MATCH($C61,'Materials Master'!$A$2:$A$27,0)),"")</f>
        <v>Paper Cups / Other Coated Paper Containers</v>
      </c>
      <c r="E61" s="0" t="str">
        <f aca="false">IFERROR(INDEX('Materials Master'!$C$2:$C$27,MATCH($C61,'Materials Master'!$A$2:$A$27,0)),"")</f>
        <v>Fibers</v>
      </c>
      <c r="F61" s="0" t="n">
        <f aca="false">(SUMIFS(Fact_PreSortWeights!$E$2:$E$15,Fact_PreSortWeights!$C$2:$C$15,$A61,Fact_PreSortWeights!$B$2:$B$15,$B61,Fact_PreSortWeights!$F$2:$F$15,$C61))+(SUMIFS(Fact_SortedWeights!$E$2:$E$6,Fact_SortedWeights!$C$2:$C$6,$A61,Fact_SortedWeights!$B$2:$B$6,$B61,Fact_SortedWeights!$D$2:$D$6,$C61,Fact_SortedWeights!$L$2:$L$6,"Yes"))+IF((SUMIFS(Fact_SortedWeights!$E$2:$E$6,Fact_SortedWeights!$C$2:$C$6,$A61,Fact_SortedWeights!$B$2:$B$6,$B61,Fact_SortedWeights!$L$2:$L$6,"No"))=0,0,(SUMIFS(Fact_SortedWeights!$E$2:$E$6,Fact_SortedWeights!$C$2:$C$6,$A61,Fact_SortedWeights!$B$2:$B$6,$B61,Fact_SortedWeights!$D$2:$D$6,$C61,Fact_SortedWeights!$L$2:$L$6,"No"))/(SUMIFS(Fact_SortedWeights!$E$2:$E$6,Fact_SortedWeights!$C$2:$C$6,$A61,Fact_SortedWeights!$B$2:$B$6,$B61,Fact_SortedWeights!$L$2:$L$6,"No"))*((SUMIFS(Fact_PreSortWeights!$E$2:$E$15,Fact_PreSortWeights!$C$2:$C$15,$A61,Fact_PreSortWeights!$B$2:$B$15,$B61,Fact_PreSortWeights!$F$2:$F$15,""))-(SUMIFS(Fact_SortedWeights!$E$2:$E$6,Fact_SortedWeights!$C$2:$C$6,$A61,Fact_SortedWeights!$B$2:$B$6,$B61,Fact_SortedWeights!$L$2:$L$6,"Yes"))))</f>
        <v>0</v>
      </c>
      <c r="G61" s="0" t="n">
        <f aca="false">IF(AND(IF($B61="Trash",INDEX('Materials Master'!$F$2:$F$27,MATCH($C61,'Materials Master'!$A$2:$A$27,0)),IF($B61="GMPC Recycling",INDEX('Materials Master'!$G$2:$G$27,MATCH($C61,'Materials Master'!$A$2:$A$27,0)),IF($B61="Organics Recycling",INDEX('Materials Master'!$H$2:$H$27,MATCH($C61,'Materials Master'!$A$2:$A$27,0)),IF($B61="Cardboard Recycling",INDEX('Materials Master'!$I$2:$I$27,MATCH($C61,'Materials Master'!$A$2:$A$27,0)),IF($B61="Paper Recycling",INDEX('Materials Master'!$J$2:$J$27,MATCH($C61,'Materials Master'!$A$2:$A$27,0)),IF($B61="Terracycle",INDEX('Materials Master'!$K$2:$K$27,MATCH($C61,'Materials Master'!$A$2:$A$27,0)),"No"))))))="Yes",INDEX('Materials Master'!$E$2:$E$27,MATCH($C61,'Materials Master'!$A$2:$A$27,0))="Yes",$B61&lt;&gt;"Trash"),1,0)</f>
        <v>0</v>
      </c>
      <c r="H61" s="0" t="str">
        <f aca="false">INDEX('Materials Master'!$E$2:$E$27,MATCH($C61,'Materials Master'!$A$2:$A$27,0))</f>
        <v>No</v>
      </c>
      <c r="I61" s="0" t="str">
        <f aca="false">IFERROR(INDEX(Areas!$C$2:$C$6,MATCH($A61,Areas!$B$2:$B$6,0)),"")</f>
        <v>Rest of Building</v>
      </c>
      <c r="J61" s="0" t="n">
        <f aca="false">IF(IF($B61="Trash",INDEX('Materials Master'!$F$2:$F$27,MATCH($C61,'Materials Master'!$A$2:$A$27,0)),IF($B61="GMPC Recycling",INDEX('Materials Master'!$G$2:$G$27,MATCH($C61,'Materials Master'!$A$2:$A$27,0)),IF($B61="Organics Recycling",INDEX('Materials Master'!$H$2:$H$27,MATCH($C61,'Materials Master'!$A$2:$A$27,0)),IF($B61="Cardboard Recycling",INDEX('Materials Master'!$I$2:$I$27,MATCH($C61,'Materials Master'!$A$2:$A$27,0)),IF($B61="Paper Recycling",INDEX('Materials Master'!$J$2:$J$27,MATCH($C61,'Materials Master'!$A$2:$A$27,0)),IF($B61="Terracycle",INDEX('Materials Master'!$K$2:$K$27,MATCH($C61,'Materials Master'!$A$2:$A$27,0)),"No"))))))="Yes",1,0)</f>
        <v>0</v>
      </c>
    </row>
    <row r="62" customFormat="false" ht="15" hidden="false" customHeight="false" outlineLevel="0" collapsed="false">
      <c r="A62" s="0" t="s">
        <v>91</v>
      </c>
      <c r="B62" s="0" t="s">
        <v>105</v>
      </c>
      <c r="C62" s="0" t="s">
        <v>45</v>
      </c>
      <c r="D62" s="0" t="str">
        <f aca="false">IFERROR(INDEX('Materials Master'!$B$2:$B$27,MATCH($C62,'Materials Master'!$A$2:$A$27,0)),"")</f>
        <v>Glass Bottles &amp; Jars</v>
      </c>
      <c r="E62" s="0" t="str">
        <f aca="false">IFERROR(INDEX('Materials Master'!$C$2:$C$27,MATCH($C62,'Materials Master'!$A$2:$A$27,0)),"")</f>
        <v>Glass</v>
      </c>
      <c r="F62" s="0" t="n">
        <f aca="false">(SUMIFS(Fact_PreSortWeights!$E$2:$E$15,Fact_PreSortWeights!$C$2:$C$15,$A62,Fact_PreSortWeights!$B$2:$B$15,$B62,Fact_PreSortWeights!$F$2:$F$15,$C62))+(SUMIFS(Fact_SortedWeights!$E$2:$E$6,Fact_SortedWeights!$C$2:$C$6,$A62,Fact_SortedWeights!$B$2:$B$6,$B62,Fact_SortedWeights!$D$2:$D$6,$C62,Fact_SortedWeights!$L$2:$L$6,"Yes"))+IF((SUMIFS(Fact_SortedWeights!$E$2:$E$6,Fact_SortedWeights!$C$2:$C$6,$A62,Fact_SortedWeights!$B$2:$B$6,$B62,Fact_SortedWeights!$L$2:$L$6,"No"))=0,0,(SUMIFS(Fact_SortedWeights!$E$2:$E$6,Fact_SortedWeights!$C$2:$C$6,$A62,Fact_SortedWeights!$B$2:$B$6,$B62,Fact_SortedWeights!$D$2:$D$6,$C62,Fact_SortedWeights!$L$2:$L$6,"No"))/(SUMIFS(Fact_SortedWeights!$E$2:$E$6,Fact_SortedWeights!$C$2:$C$6,$A62,Fact_SortedWeights!$B$2:$B$6,$B62,Fact_SortedWeights!$L$2:$L$6,"No"))*((SUMIFS(Fact_PreSortWeights!$E$2:$E$15,Fact_PreSortWeights!$C$2:$C$15,$A62,Fact_PreSortWeights!$B$2:$B$15,$B62,Fact_PreSortWeights!$F$2:$F$15,""))-(SUMIFS(Fact_SortedWeights!$E$2:$E$6,Fact_SortedWeights!$C$2:$C$6,$A62,Fact_SortedWeights!$B$2:$B$6,$B62,Fact_SortedWeights!$L$2:$L$6,"Yes"))))</f>
        <v>0</v>
      </c>
      <c r="G62" s="0" t="n">
        <f aca="false">IF(AND(IF($B62="Trash",INDEX('Materials Master'!$F$2:$F$27,MATCH($C62,'Materials Master'!$A$2:$A$27,0)),IF($B62="GMPC Recycling",INDEX('Materials Master'!$G$2:$G$27,MATCH($C62,'Materials Master'!$A$2:$A$27,0)),IF($B62="Organics Recycling",INDEX('Materials Master'!$H$2:$H$27,MATCH($C62,'Materials Master'!$A$2:$A$27,0)),IF($B62="Cardboard Recycling",INDEX('Materials Master'!$I$2:$I$27,MATCH($C62,'Materials Master'!$A$2:$A$27,0)),IF($B62="Paper Recycling",INDEX('Materials Master'!$J$2:$J$27,MATCH($C62,'Materials Master'!$A$2:$A$27,0)),IF($B62="Terracycle",INDEX('Materials Master'!$K$2:$K$27,MATCH($C62,'Materials Master'!$A$2:$A$27,0)),"No"))))))="Yes",INDEX('Materials Master'!$E$2:$E$27,MATCH($C62,'Materials Master'!$A$2:$A$27,0))="Yes",$B62&lt;&gt;"Trash"),1,0)</f>
        <v>0</v>
      </c>
      <c r="H62" s="0" t="str">
        <f aca="false">INDEX('Materials Master'!$E$2:$E$27,MATCH($C62,'Materials Master'!$A$2:$A$27,0))</f>
        <v>Yes</v>
      </c>
      <c r="I62" s="0" t="str">
        <f aca="false">IFERROR(INDEX(Areas!$C$2:$C$6,MATCH($A62,Areas!$B$2:$B$6,0)),"")</f>
        <v>Rest of Building</v>
      </c>
      <c r="J62" s="0" t="n">
        <f aca="false">IF(IF($B62="Trash",INDEX('Materials Master'!$F$2:$F$27,MATCH($C62,'Materials Master'!$A$2:$A$27,0)),IF($B62="GMPC Recycling",INDEX('Materials Master'!$G$2:$G$27,MATCH($C62,'Materials Master'!$A$2:$A$27,0)),IF($B62="Organics Recycling",INDEX('Materials Master'!$H$2:$H$27,MATCH($C62,'Materials Master'!$A$2:$A$27,0)),IF($B62="Cardboard Recycling",INDEX('Materials Master'!$I$2:$I$27,MATCH($C62,'Materials Master'!$A$2:$A$27,0)),IF($B62="Paper Recycling",INDEX('Materials Master'!$J$2:$J$27,MATCH($C62,'Materials Master'!$A$2:$A$27,0)),IF($B62="Terracycle",INDEX('Materials Master'!$K$2:$K$27,MATCH($C62,'Materials Master'!$A$2:$A$27,0)),"No"))))))="Yes",1,0)</f>
        <v>0</v>
      </c>
    </row>
    <row r="63" customFormat="false" ht="15" hidden="false" customHeight="false" outlineLevel="0" collapsed="false">
      <c r="A63" s="0" t="s">
        <v>91</v>
      </c>
      <c r="B63" s="0" t="s">
        <v>105</v>
      </c>
      <c r="C63" s="0" t="s">
        <v>48</v>
      </c>
      <c r="D63" s="0" t="str">
        <f aca="false">IFERROR(INDEX('Materials Master'!$B$2:$B$27,MATCH($C63,'Materials Master'!$A$2:$A$27,0)),"")</f>
        <v>Soiled Glass</v>
      </c>
      <c r="E63" s="0" t="str">
        <f aca="false">IFERROR(INDEX('Materials Master'!$C$2:$C$27,MATCH($C63,'Materials Master'!$A$2:$A$27,0)),"")</f>
        <v>Glass</v>
      </c>
      <c r="F63" s="0" t="n">
        <f aca="false">(SUMIFS(Fact_PreSortWeights!$E$2:$E$15,Fact_PreSortWeights!$C$2:$C$15,$A63,Fact_PreSortWeights!$B$2:$B$15,$B63,Fact_PreSortWeights!$F$2:$F$15,$C63))+(SUMIFS(Fact_SortedWeights!$E$2:$E$6,Fact_SortedWeights!$C$2:$C$6,$A63,Fact_SortedWeights!$B$2:$B$6,$B63,Fact_SortedWeights!$D$2:$D$6,$C63,Fact_SortedWeights!$L$2:$L$6,"Yes"))+IF((SUMIFS(Fact_SortedWeights!$E$2:$E$6,Fact_SortedWeights!$C$2:$C$6,$A63,Fact_SortedWeights!$B$2:$B$6,$B63,Fact_SortedWeights!$L$2:$L$6,"No"))=0,0,(SUMIFS(Fact_SortedWeights!$E$2:$E$6,Fact_SortedWeights!$C$2:$C$6,$A63,Fact_SortedWeights!$B$2:$B$6,$B63,Fact_SortedWeights!$D$2:$D$6,$C63,Fact_SortedWeights!$L$2:$L$6,"No"))/(SUMIFS(Fact_SortedWeights!$E$2:$E$6,Fact_SortedWeights!$C$2:$C$6,$A63,Fact_SortedWeights!$B$2:$B$6,$B63,Fact_SortedWeights!$L$2:$L$6,"No"))*((SUMIFS(Fact_PreSortWeights!$E$2:$E$15,Fact_PreSortWeights!$C$2:$C$15,$A63,Fact_PreSortWeights!$B$2:$B$15,$B63,Fact_PreSortWeights!$F$2:$F$15,""))-(SUMIFS(Fact_SortedWeights!$E$2:$E$6,Fact_SortedWeights!$C$2:$C$6,$A63,Fact_SortedWeights!$B$2:$B$6,$B63,Fact_SortedWeights!$L$2:$L$6,"Yes"))))</f>
        <v>0</v>
      </c>
      <c r="G63" s="0" t="n">
        <f aca="false">IF(AND(IF($B63="Trash",INDEX('Materials Master'!$F$2:$F$27,MATCH($C63,'Materials Master'!$A$2:$A$27,0)),IF($B63="GMPC Recycling",INDEX('Materials Master'!$G$2:$G$27,MATCH($C63,'Materials Master'!$A$2:$A$27,0)),IF($B63="Organics Recycling",INDEX('Materials Master'!$H$2:$H$27,MATCH($C63,'Materials Master'!$A$2:$A$27,0)),IF($B63="Cardboard Recycling",INDEX('Materials Master'!$I$2:$I$27,MATCH($C63,'Materials Master'!$A$2:$A$27,0)),IF($B63="Paper Recycling",INDEX('Materials Master'!$J$2:$J$27,MATCH($C63,'Materials Master'!$A$2:$A$27,0)),IF($B63="Terracycle",INDEX('Materials Master'!$K$2:$K$27,MATCH($C63,'Materials Master'!$A$2:$A$27,0)),"No"))))))="Yes",INDEX('Materials Master'!$E$2:$E$27,MATCH($C63,'Materials Master'!$A$2:$A$27,0))="Yes",$B63&lt;&gt;"Trash"),1,0)</f>
        <v>0</v>
      </c>
      <c r="H63" s="0" t="str">
        <f aca="false">INDEX('Materials Master'!$E$2:$E$27,MATCH($C63,'Materials Master'!$A$2:$A$27,0))</f>
        <v>No</v>
      </c>
      <c r="I63" s="0" t="str">
        <f aca="false">IFERROR(INDEX(Areas!$C$2:$C$6,MATCH($A63,Areas!$B$2:$B$6,0)),"")</f>
        <v>Rest of Building</v>
      </c>
      <c r="J63" s="0" t="n">
        <f aca="false">IF(IF($B63="Trash",INDEX('Materials Master'!$F$2:$F$27,MATCH($C63,'Materials Master'!$A$2:$A$27,0)),IF($B63="GMPC Recycling",INDEX('Materials Master'!$G$2:$G$27,MATCH($C63,'Materials Master'!$A$2:$A$27,0)),IF($B63="Organics Recycling",INDEX('Materials Master'!$H$2:$H$27,MATCH($C63,'Materials Master'!$A$2:$A$27,0)),IF($B63="Cardboard Recycling",INDEX('Materials Master'!$I$2:$I$27,MATCH($C63,'Materials Master'!$A$2:$A$27,0)),IF($B63="Paper Recycling",INDEX('Materials Master'!$J$2:$J$27,MATCH($C63,'Materials Master'!$A$2:$A$27,0)),IF($B63="Terracycle",INDEX('Materials Master'!$K$2:$K$27,MATCH($C63,'Materials Master'!$A$2:$A$27,0)),"No"))))))="Yes",1,0)</f>
        <v>0</v>
      </c>
    </row>
    <row r="64" customFormat="false" ht="15" hidden="false" customHeight="false" outlineLevel="0" collapsed="false">
      <c r="A64" s="0" t="s">
        <v>91</v>
      </c>
      <c r="B64" s="0" t="s">
        <v>105</v>
      </c>
      <c r="C64" s="0" t="s">
        <v>50</v>
      </c>
      <c r="D64" s="0" t="str">
        <f aca="false">IFERROR(INDEX('Materials Master'!$B$2:$B$27,MATCH($C64,'Materials Master'!$A$2:$A$27,0)),"")</f>
        <v>Aluminum &amp; Bi-Metal Containers</v>
      </c>
      <c r="E64" s="0" t="str">
        <f aca="false">IFERROR(INDEX('Materials Master'!$C$2:$C$27,MATCH($C64,'Materials Master'!$A$2:$A$27,0)),"")</f>
        <v>Metals</v>
      </c>
      <c r="F64" s="0" t="n">
        <f aca="false">(SUMIFS(Fact_PreSortWeights!$E$2:$E$15,Fact_PreSortWeights!$C$2:$C$15,$A64,Fact_PreSortWeights!$B$2:$B$15,$B64,Fact_PreSortWeights!$F$2:$F$15,$C64))+(SUMIFS(Fact_SortedWeights!$E$2:$E$6,Fact_SortedWeights!$C$2:$C$6,$A64,Fact_SortedWeights!$B$2:$B$6,$B64,Fact_SortedWeights!$D$2:$D$6,$C64,Fact_SortedWeights!$L$2:$L$6,"Yes"))+IF((SUMIFS(Fact_SortedWeights!$E$2:$E$6,Fact_SortedWeights!$C$2:$C$6,$A64,Fact_SortedWeights!$B$2:$B$6,$B64,Fact_SortedWeights!$L$2:$L$6,"No"))=0,0,(SUMIFS(Fact_SortedWeights!$E$2:$E$6,Fact_SortedWeights!$C$2:$C$6,$A64,Fact_SortedWeights!$B$2:$B$6,$B64,Fact_SortedWeights!$D$2:$D$6,$C64,Fact_SortedWeights!$L$2:$L$6,"No"))/(SUMIFS(Fact_SortedWeights!$E$2:$E$6,Fact_SortedWeights!$C$2:$C$6,$A64,Fact_SortedWeights!$B$2:$B$6,$B64,Fact_SortedWeights!$L$2:$L$6,"No"))*((SUMIFS(Fact_PreSortWeights!$E$2:$E$15,Fact_PreSortWeights!$C$2:$C$15,$A64,Fact_PreSortWeights!$B$2:$B$15,$B64,Fact_PreSortWeights!$F$2:$F$15,""))-(SUMIFS(Fact_SortedWeights!$E$2:$E$6,Fact_SortedWeights!$C$2:$C$6,$A64,Fact_SortedWeights!$B$2:$B$6,$B64,Fact_SortedWeights!$L$2:$L$6,"Yes"))))</f>
        <v>0</v>
      </c>
      <c r="G64" s="0" t="n">
        <f aca="false">IF(AND(IF($B64="Trash",INDEX('Materials Master'!$F$2:$F$27,MATCH($C64,'Materials Master'!$A$2:$A$27,0)),IF($B64="GMPC Recycling",INDEX('Materials Master'!$G$2:$G$27,MATCH($C64,'Materials Master'!$A$2:$A$27,0)),IF($B64="Organics Recycling",INDEX('Materials Master'!$H$2:$H$27,MATCH($C64,'Materials Master'!$A$2:$A$27,0)),IF($B64="Cardboard Recycling",INDEX('Materials Master'!$I$2:$I$27,MATCH($C64,'Materials Master'!$A$2:$A$27,0)),IF($B64="Paper Recycling",INDEX('Materials Master'!$J$2:$J$27,MATCH($C64,'Materials Master'!$A$2:$A$27,0)),IF($B64="Terracycle",INDEX('Materials Master'!$K$2:$K$27,MATCH($C64,'Materials Master'!$A$2:$A$27,0)),"No"))))))="Yes",INDEX('Materials Master'!$E$2:$E$27,MATCH($C64,'Materials Master'!$A$2:$A$27,0))="Yes",$B64&lt;&gt;"Trash"),1,0)</f>
        <v>0</v>
      </c>
      <c r="H64" s="0" t="str">
        <f aca="false">INDEX('Materials Master'!$E$2:$E$27,MATCH($C64,'Materials Master'!$A$2:$A$27,0))</f>
        <v>Yes</v>
      </c>
      <c r="I64" s="0" t="str">
        <f aca="false">IFERROR(INDEX(Areas!$C$2:$C$6,MATCH($A64,Areas!$B$2:$B$6,0)),"")</f>
        <v>Rest of Building</v>
      </c>
      <c r="J64" s="0" t="n">
        <f aca="false">IF(IF($B64="Trash",INDEX('Materials Master'!$F$2:$F$27,MATCH($C64,'Materials Master'!$A$2:$A$27,0)),IF($B64="GMPC Recycling",INDEX('Materials Master'!$G$2:$G$27,MATCH($C64,'Materials Master'!$A$2:$A$27,0)),IF($B64="Organics Recycling",INDEX('Materials Master'!$H$2:$H$27,MATCH($C64,'Materials Master'!$A$2:$A$27,0)),IF($B64="Cardboard Recycling",INDEX('Materials Master'!$I$2:$I$27,MATCH($C64,'Materials Master'!$A$2:$A$27,0)),IF($B64="Paper Recycling",INDEX('Materials Master'!$J$2:$J$27,MATCH($C64,'Materials Master'!$A$2:$A$27,0)),IF($B64="Terracycle",INDEX('Materials Master'!$K$2:$K$27,MATCH($C64,'Materials Master'!$A$2:$A$27,0)),"No"))))))="Yes",1,0)</f>
        <v>0</v>
      </c>
    </row>
    <row r="65" customFormat="false" ht="15" hidden="false" customHeight="false" outlineLevel="0" collapsed="false">
      <c r="A65" s="0" t="s">
        <v>91</v>
      </c>
      <c r="B65" s="0" t="s">
        <v>105</v>
      </c>
      <c r="C65" s="0" t="s">
        <v>53</v>
      </c>
      <c r="D65" s="0" t="str">
        <f aca="false">IFERROR(INDEX('Materials Master'!$B$2:$B$27,MATCH($C65,'Materials Master'!$A$2:$A$27,0)),"")</f>
        <v>Soiled Metals</v>
      </c>
      <c r="E65" s="0" t="str">
        <f aca="false">IFERROR(INDEX('Materials Master'!$C$2:$C$27,MATCH($C65,'Materials Master'!$A$2:$A$27,0)),"")</f>
        <v>Metals</v>
      </c>
      <c r="F65" s="0" t="n">
        <f aca="false">(SUMIFS(Fact_PreSortWeights!$E$2:$E$15,Fact_PreSortWeights!$C$2:$C$15,$A65,Fact_PreSortWeights!$B$2:$B$15,$B65,Fact_PreSortWeights!$F$2:$F$15,$C65))+(SUMIFS(Fact_SortedWeights!$E$2:$E$6,Fact_SortedWeights!$C$2:$C$6,$A65,Fact_SortedWeights!$B$2:$B$6,$B65,Fact_SortedWeights!$D$2:$D$6,$C65,Fact_SortedWeights!$L$2:$L$6,"Yes"))+IF((SUMIFS(Fact_SortedWeights!$E$2:$E$6,Fact_SortedWeights!$C$2:$C$6,$A65,Fact_SortedWeights!$B$2:$B$6,$B65,Fact_SortedWeights!$L$2:$L$6,"No"))=0,0,(SUMIFS(Fact_SortedWeights!$E$2:$E$6,Fact_SortedWeights!$C$2:$C$6,$A65,Fact_SortedWeights!$B$2:$B$6,$B65,Fact_SortedWeights!$D$2:$D$6,$C65,Fact_SortedWeights!$L$2:$L$6,"No"))/(SUMIFS(Fact_SortedWeights!$E$2:$E$6,Fact_SortedWeights!$C$2:$C$6,$A65,Fact_SortedWeights!$B$2:$B$6,$B65,Fact_SortedWeights!$L$2:$L$6,"No"))*((SUMIFS(Fact_PreSortWeights!$E$2:$E$15,Fact_PreSortWeights!$C$2:$C$15,$A65,Fact_PreSortWeights!$B$2:$B$15,$B65,Fact_PreSortWeights!$F$2:$F$15,""))-(SUMIFS(Fact_SortedWeights!$E$2:$E$6,Fact_SortedWeights!$C$2:$C$6,$A65,Fact_SortedWeights!$B$2:$B$6,$B65,Fact_SortedWeights!$L$2:$L$6,"Yes"))))</f>
        <v>0</v>
      </c>
      <c r="G65" s="0" t="n">
        <f aca="false">IF(AND(IF($B65="Trash",INDEX('Materials Master'!$F$2:$F$27,MATCH($C65,'Materials Master'!$A$2:$A$27,0)),IF($B65="GMPC Recycling",INDEX('Materials Master'!$G$2:$G$27,MATCH($C65,'Materials Master'!$A$2:$A$27,0)),IF($B65="Organics Recycling",INDEX('Materials Master'!$H$2:$H$27,MATCH($C65,'Materials Master'!$A$2:$A$27,0)),IF($B65="Cardboard Recycling",INDEX('Materials Master'!$I$2:$I$27,MATCH($C65,'Materials Master'!$A$2:$A$27,0)),IF($B65="Paper Recycling",INDEX('Materials Master'!$J$2:$J$27,MATCH($C65,'Materials Master'!$A$2:$A$27,0)),IF($B65="Terracycle",INDEX('Materials Master'!$K$2:$K$27,MATCH($C65,'Materials Master'!$A$2:$A$27,0)),"No"))))))="Yes",INDEX('Materials Master'!$E$2:$E$27,MATCH($C65,'Materials Master'!$A$2:$A$27,0))="Yes",$B65&lt;&gt;"Trash"),1,0)</f>
        <v>0</v>
      </c>
      <c r="H65" s="0" t="str">
        <f aca="false">INDEX('Materials Master'!$E$2:$E$27,MATCH($C65,'Materials Master'!$A$2:$A$27,0))</f>
        <v>No</v>
      </c>
      <c r="I65" s="0" t="str">
        <f aca="false">IFERROR(INDEX(Areas!$C$2:$C$6,MATCH($A65,Areas!$B$2:$B$6,0)),"")</f>
        <v>Rest of Building</v>
      </c>
      <c r="J65" s="0" t="n">
        <f aca="false">IF(IF($B65="Trash",INDEX('Materials Master'!$F$2:$F$27,MATCH($C65,'Materials Master'!$A$2:$A$27,0)),IF($B65="GMPC Recycling",INDEX('Materials Master'!$G$2:$G$27,MATCH($C65,'Materials Master'!$A$2:$A$27,0)),IF($B65="Organics Recycling",INDEX('Materials Master'!$H$2:$H$27,MATCH($C65,'Materials Master'!$A$2:$A$27,0)),IF($B65="Cardboard Recycling",INDEX('Materials Master'!$I$2:$I$27,MATCH($C65,'Materials Master'!$A$2:$A$27,0)),IF($B65="Paper Recycling",INDEX('Materials Master'!$J$2:$J$27,MATCH($C65,'Materials Master'!$A$2:$A$27,0)),IF($B65="Terracycle",INDEX('Materials Master'!$K$2:$K$27,MATCH($C65,'Materials Master'!$A$2:$A$27,0)),"No"))))))="Yes",1,0)</f>
        <v>0</v>
      </c>
    </row>
    <row r="66" customFormat="false" ht="15" hidden="false" customHeight="false" outlineLevel="0" collapsed="false">
      <c r="A66" s="0" t="s">
        <v>91</v>
      </c>
      <c r="B66" s="0" t="s">
        <v>105</v>
      </c>
      <c r="C66" s="0" t="s">
        <v>55</v>
      </c>
      <c r="D66" s="0" t="str">
        <f aca="false">IFERROR(INDEX('Materials Master'!$B$2:$B$27,MATCH($C66,'Materials Master'!$A$2:$A$27,0)),"")</f>
        <v>Rigid Plastics (1-6)</v>
      </c>
      <c r="E66" s="0" t="str">
        <f aca="false">IFERROR(INDEX('Materials Master'!$C$2:$C$27,MATCH($C66,'Materials Master'!$A$2:$A$27,0)),"")</f>
        <v>Plastics</v>
      </c>
      <c r="F66" s="0" t="n">
        <f aca="false">(SUMIFS(Fact_PreSortWeights!$E$2:$E$15,Fact_PreSortWeights!$C$2:$C$15,$A66,Fact_PreSortWeights!$B$2:$B$15,$B66,Fact_PreSortWeights!$F$2:$F$15,$C66))+(SUMIFS(Fact_SortedWeights!$E$2:$E$6,Fact_SortedWeights!$C$2:$C$6,$A66,Fact_SortedWeights!$B$2:$B$6,$B66,Fact_SortedWeights!$D$2:$D$6,$C66,Fact_SortedWeights!$L$2:$L$6,"Yes"))+IF((SUMIFS(Fact_SortedWeights!$E$2:$E$6,Fact_SortedWeights!$C$2:$C$6,$A66,Fact_SortedWeights!$B$2:$B$6,$B66,Fact_SortedWeights!$L$2:$L$6,"No"))=0,0,(SUMIFS(Fact_SortedWeights!$E$2:$E$6,Fact_SortedWeights!$C$2:$C$6,$A66,Fact_SortedWeights!$B$2:$B$6,$B66,Fact_SortedWeights!$D$2:$D$6,$C66,Fact_SortedWeights!$L$2:$L$6,"No"))/(SUMIFS(Fact_SortedWeights!$E$2:$E$6,Fact_SortedWeights!$C$2:$C$6,$A66,Fact_SortedWeights!$B$2:$B$6,$B66,Fact_SortedWeights!$L$2:$L$6,"No"))*((SUMIFS(Fact_PreSortWeights!$E$2:$E$15,Fact_PreSortWeights!$C$2:$C$15,$A66,Fact_PreSortWeights!$B$2:$B$15,$B66,Fact_PreSortWeights!$F$2:$F$15,""))-(SUMIFS(Fact_SortedWeights!$E$2:$E$6,Fact_SortedWeights!$C$2:$C$6,$A66,Fact_SortedWeights!$B$2:$B$6,$B66,Fact_SortedWeights!$L$2:$L$6,"Yes"))))</f>
        <v>0</v>
      </c>
      <c r="G66" s="0" t="n">
        <f aca="false">IF(AND(IF($B66="Trash",INDEX('Materials Master'!$F$2:$F$27,MATCH($C66,'Materials Master'!$A$2:$A$27,0)),IF($B66="GMPC Recycling",INDEX('Materials Master'!$G$2:$G$27,MATCH($C66,'Materials Master'!$A$2:$A$27,0)),IF($B66="Organics Recycling",INDEX('Materials Master'!$H$2:$H$27,MATCH($C66,'Materials Master'!$A$2:$A$27,0)),IF($B66="Cardboard Recycling",INDEX('Materials Master'!$I$2:$I$27,MATCH($C66,'Materials Master'!$A$2:$A$27,0)),IF($B66="Paper Recycling",INDEX('Materials Master'!$J$2:$J$27,MATCH($C66,'Materials Master'!$A$2:$A$27,0)),IF($B66="Terracycle",INDEX('Materials Master'!$K$2:$K$27,MATCH($C66,'Materials Master'!$A$2:$A$27,0)),"No"))))))="Yes",INDEX('Materials Master'!$E$2:$E$27,MATCH($C66,'Materials Master'!$A$2:$A$27,0))="Yes",$B66&lt;&gt;"Trash"),1,0)</f>
        <v>0</v>
      </c>
      <c r="H66" s="0" t="str">
        <f aca="false">INDEX('Materials Master'!$E$2:$E$27,MATCH($C66,'Materials Master'!$A$2:$A$27,0))</f>
        <v>Yes</v>
      </c>
      <c r="I66" s="0" t="str">
        <f aca="false">IFERROR(INDEX(Areas!$C$2:$C$6,MATCH($A66,Areas!$B$2:$B$6,0)),"")</f>
        <v>Rest of Building</v>
      </c>
      <c r="J66" s="0" t="n">
        <f aca="false">IF(IF($B66="Trash",INDEX('Materials Master'!$F$2:$F$27,MATCH($C66,'Materials Master'!$A$2:$A$27,0)),IF($B66="GMPC Recycling",INDEX('Materials Master'!$G$2:$G$27,MATCH($C66,'Materials Master'!$A$2:$A$27,0)),IF($B66="Organics Recycling",INDEX('Materials Master'!$H$2:$H$27,MATCH($C66,'Materials Master'!$A$2:$A$27,0)),IF($B66="Cardboard Recycling",INDEX('Materials Master'!$I$2:$I$27,MATCH($C66,'Materials Master'!$A$2:$A$27,0)),IF($B66="Paper Recycling",INDEX('Materials Master'!$J$2:$J$27,MATCH($C66,'Materials Master'!$A$2:$A$27,0)),IF($B66="Terracycle",INDEX('Materials Master'!$K$2:$K$27,MATCH($C66,'Materials Master'!$A$2:$A$27,0)),"No"))))))="Yes",1,0)</f>
        <v>0</v>
      </c>
    </row>
    <row r="67" customFormat="false" ht="15" hidden="false" customHeight="false" outlineLevel="0" collapsed="false">
      <c r="A67" s="0" t="s">
        <v>91</v>
      </c>
      <c r="B67" s="0" t="s">
        <v>105</v>
      </c>
      <c r="C67" s="0" t="s">
        <v>58</v>
      </c>
      <c r="D67" s="0" t="str">
        <f aca="false">IFERROR(INDEX('Materials Master'!$B$2:$B$27,MATCH($C67,'Materials Master'!$A$2:$A$27,0)),"")</f>
        <v>Soiled Rigid Plastics</v>
      </c>
      <c r="E67" s="0" t="str">
        <f aca="false">IFERROR(INDEX('Materials Master'!$C$2:$C$27,MATCH($C67,'Materials Master'!$A$2:$A$27,0)),"")</f>
        <v>Plastics</v>
      </c>
      <c r="F67" s="0" t="n">
        <f aca="false">(SUMIFS(Fact_PreSortWeights!$E$2:$E$15,Fact_PreSortWeights!$C$2:$C$15,$A67,Fact_PreSortWeights!$B$2:$B$15,$B67,Fact_PreSortWeights!$F$2:$F$15,$C67))+(SUMIFS(Fact_SortedWeights!$E$2:$E$6,Fact_SortedWeights!$C$2:$C$6,$A67,Fact_SortedWeights!$B$2:$B$6,$B67,Fact_SortedWeights!$D$2:$D$6,$C67,Fact_SortedWeights!$L$2:$L$6,"Yes"))+IF((SUMIFS(Fact_SortedWeights!$E$2:$E$6,Fact_SortedWeights!$C$2:$C$6,$A67,Fact_SortedWeights!$B$2:$B$6,$B67,Fact_SortedWeights!$L$2:$L$6,"No"))=0,0,(SUMIFS(Fact_SortedWeights!$E$2:$E$6,Fact_SortedWeights!$C$2:$C$6,$A67,Fact_SortedWeights!$B$2:$B$6,$B67,Fact_SortedWeights!$D$2:$D$6,$C67,Fact_SortedWeights!$L$2:$L$6,"No"))/(SUMIFS(Fact_SortedWeights!$E$2:$E$6,Fact_SortedWeights!$C$2:$C$6,$A67,Fact_SortedWeights!$B$2:$B$6,$B67,Fact_SortedWeights!$L$2:$L$6,"No"))*((SUMIFS(Fact_PreSortWeights!$E$2:$E$15,Fact_PreSortWeights!$C$2:$C$15,$A67,Fact_PreSortWeights!$B$2:$B$15,$B67,Fact_PreSortWeights!$F$2:$F$15,""))-(SUMIFS(Fact_SortedWeights!$E$2:$E$6,Fact_SortedWeights!$C$2:$C$6,$A67,Fact_SortedWeights!$B$2:$B$6,$B67,Fact_SortedWeights!$L$2:$L$6,"Yes"))))</f>
        <v>0</v>
      </c>
      <c r="G67" s="0" t="n">
        <f aca="false">IF(AND(IF($B67="Trash",INDEX('Materials Master'!$F$2:$F$27,MATCH($C67,'Materials Master'!$A$2:$A$27,0)),IF($B67="GMPC Recycling",INDEX('Materials Master'!$G$2:$G$27,MATCH($C67,'Materials Master'!$A$2:$A$27,0)),IF($B67="Organics Recycling",INDEX('Materials Master'!$H$2:$H$27,MATCH($C67,'Materials Master'!$A$2:$A$27,0)),IF($B67="Cardboard Recycling",INDEX('Materials Master'!$I$2:$I$27,MATCH($C67,'Materials Master'!$A$2:$A$27,0)),IF($B67="Paper Recycling",INDEX('Materials Master'!$J$2:$J$27,MATCH($C67,'Materials Master'!$A$2:$A$27,0)),IF($B67="Terracycle",INDEX('Materials Master'!$K$2:$K$27,MATCH($C67,'Materials Master'!$A$2:$A$27,0)),"No"))))))="Yes",INDEX('Materials Master'!$E$2:$E$27,MATCH($C67,'Materials Master'!$A$2:$A$27,0))="Yes",$B67&lt;&gt;"Trash"),1,0)</f>
        <v>0</v>
      </c>
      <c r="H67" s="0" t="str">
        <f aca="false">INDEX('Materials Master'!$E$2:$E$27,MATCH($C67,'Materials Master'!$A$2:$A$27,0))</f>
        <v>No</v>
      </c>
      <c r="I67" s="0" t="str">
        <f aca="false">IFERROR(INDEX(Areas!$C$2:$C$6,MATCH($A67,Areas!$B$2:$B$6,0)),"")</f>
        <v>Rest of Building</v>
      </c>
      <c r="J67" s="0" t="n">
        <f aca="false">IF(IF($B67="Trash",INDEX('Materials Master'!$F$2:$F$27,MATCH($C67,'Materials Master'!$A$2:$A$27,0)),IF($B67="GMPC Recycling",INDEX('Materials Master'!$G$2:$G$27,MATCH($C67,'Materials Master'!$A$2:$A$27,0)),IF($B67="Organics Recycling",INDEX('Materials Master'!$H$2:$H$27,MATCH($C67,'Materials Master'!$A$2:$A$27,0)),IF($B67="Cardboard Recycling",INDEX('Materials Master'!$I$2:$I$27,MATCH($C67,'Materials Master'!$A$2:$A$27,0)),IF($B67="Paper Recycling",INDEX('Materials Master'!$J$2:$J$27,MATCH($C67,'Materials Master'!$A$2:$A$27,0)),IF($B67="Terracycle",INDEX('Materials Master'!$K$2:$K$27,MATCH($C67,'Materials Master'!$A$2:$A$27,0)),"No"))))))="Yes",1,0)</f>
        <v>0</v>
      </c>
    </row>
    <row r="68" customFormat="false" ht="15" hidden="false" customHeight="false" outlineLevel="0" collapsed="false">
      <c r="A68" s="0" t="s">
        <v>91</v>
      </c>
      <c r="B68" s="0" t="s">
        <v>105</v>
      </c>
      <c r="C68" s="0" t="s">
        <v>60</v>
      </c>
      <c r="D68" s="0" t="str">
        <f aca="false">IFERROR(INDEX('Materials Master'!$B$2:$B$27,MATCH($C68,'Materials Master'!$A$2:$A$27,0)),"")</f>
        <v>Film Plastics</v>
      </c>
      <c r="E68" s="0" t="str">
        <f aca="false">IFERROR(INDEX('Materials Master'!$C$2:$C$27,MATCH($C68,'Materials Master'!$A$2:$A$27,0)),"")</f>
        <v>Plastics</v>
      </c>
      <c r="F68" s="0" t="n">
        <f aca="false">(SUMIFS(Fact_PreSortWeights!$E$2:$E$15,Fact_PreSortWeights!$C$2:$C$15,$A68,Fact_PreSortWeights!$B$2:$B$15,$B68,Fact_PreSortWeights!$F$2:$F$15,$C68))+(SUMIFS(Fact_SortedWeights!$E$2:$E$6,Fact_SortedWeights!$C$2:$C$6,$A68,Fact_SortedWeights!$B$2:$B$6,$B68,Fact_SortedWeights!$D$2:$D$6,$C68,Fact_SortedWeights!$L$2:$L$6,"Yes"))+IF((SUMIFS(Fact_SortedWeights!$E$2:$E$6,Fact_SortedWeights!$C$2:$C$6,$A68,Fact_SortedWeights!$B$2:$B$6,$B68,Fact_SortedWeights!$L$2:$L$6,"No"))=0,0,(SUMIFS(Fact_SortedWeights!$E$2:$E$6,Fact_SortedWeights!$C$2:$C$6,$A68,Fact_SortedWeights!$B$2:$B$6,$B68,Fact_SortedWeights!$D$2:$D$6,$C68,Fact_SortedWeights!$L$2:$L$6,"No"))/(SUMIFS(Fact_SortedWeights!$E$2:$E$6,Fact_SortedWeights!$C$2:$C$6,$A68,Fact_SortedWeights!$B$2:$B$6,$B68,Fact_SortedWeights!$L$2:$L$6,"No"))*((SUMIFS(Fact_PreSortWeights!$E$2:$E$15,Fact_PreSortWeights!$C$2:$C$15,$A68,Fact_PreSortWeights!$B$2:$B$15,$B68,Fact_PreSortWeights!$F$2:$F$15,""))-(SUMIFS(Fact_SortedWeights!$E$2:$E$6,Fact_SortedWeights!$C$2:$C$6,$A68,Fact_SortedWeights!$B$2:$B$6,$B68,Fact_SortedWeights!$L$2:$L$6,"Yes"))))</f>
        <v>0</v>
      </c>
      <c r="G68" s="0" t="n">
        <f aca="false">IF(AND(IF($B68="Trash",INDEX('Materials Master'!$F$2:$F$27,MATCH($C68,'Materials Master'!$A$2:$A$27,0)),IF($B68="GMPC Recycling",INDEX('Materials Master'!$G$2:$G$27,MATCH($C68,'Materials Master'!$A$2:$A$27,0)),IF($B68="Organics Recycling",INDEX('Materials Master'!$H$2:$H$27,MATCH($C68,'Materials Master'!$A$2:$A$27,0)),IF($B68="Cardboard Recycling",INDEX('Materials Master'!$I$2:$I$27,MATCH($C68,'Materials Master'!$A$2:$A$27,0)),IF($B68="Paper Recycling",INDEX('Materials Master'!$J$2:$J$27,MATCH($C68,'Materials Master'!$A$2:$A$27,0)),IF($B68="Terracycle",INDEX('Materials Master'!$K$2:$K$27,MATCH($C68,'Materials Master'!$A$2:$A$27,0)),"No"))))))="Yes",INDEX('Materials Master'!$E$2:$E$27,MATCH($C68,'Materials Master'!$A$2:$A$27,0))="Yes",$B68&lt;&gt;"Trash"),1,0)</f>
        <v>0</v>
      </c>
      <c r="H68" s="0" t="str">
        <f aca="false">INDEX('Materials Master'!$E$2:$E$27,MATCH($C68,'Materials Master'!$A$2:$A$27,0))</f>
        <v>No</v>
      </c>
      <c r="I68" s="0" t="str">
        <f aca="false">IFERROR(INDEX(Areas!$C$2:$C$6,MATCH($A68,Areas!$B$2:$B$6,0)),"")</f>
        <v>Rest of Building</v>
      </c>
      <c r="J68" s="0" t="n">
        <f aca="false">IF(IF($B68="Trash",INDEX('Materials Master'!$F$2:$F$27,MATCH($C68,'Materials Master'!$A$2:$A$27,0)),IF($B68="GMPC Recycling",INDEX('Materials Master'!$G$2:$G$27,MATCH($C68,'Materials Master'!$A$2:$A$27,0)),IF($B68="Organics Recycling",INDEX('Materials Master'!$H$2:$H$27,MATCH($C68,'Materials Master'!$A$2:$A$27,0)),IF($B68="Cardboard Recycling",INDEX('Materials Master'!$I$2:$I$27,MATCH($C68,'Materials Master'!$A$2:$A$27,0)),IF($B68="Paper Recycling",INDEX('Materials Master'!$J$2:$J$27,MATCH($C68,'Materials Master'!$A$2:$A$27,0)),IF($B68="Terracycle",INDEX('Materials Master'!$K$2:$K$27,MATCH($C68,'Materials Master'!$A$2:$A$27,0)),"No"))))))="Yes",1,0)</f>
        <v>0</v>
      </c>
    </row>
    <row r="69" customFormat="false" ht="15" hidden="false" customHeight="false" outlineLevel="0" collapsed="false">
      <c r="A69" s="0" t="s">
        <v>91</v>
      </c>
      <c r="B69" s="0" t="s">
        <v>105</v>
      </c>
      <c r="C69" s="0" t="s">
        <v>62</v>
      </c>
      <c r="D69" s="0" t="str">
        <f aca="false">IFERROR(INDEX('Materials Master'!$B$2:$B$27,MATCH($C69,'Materials Master'!$A$2:$A$27,0)),"")</f>
        <v>Foams</v>
      </c>
      <c r="E69" s="0" t="str">
        <f aca="false">IFERROR(INDEX('Materials Master'!$C$2:$C$27,MATCH($C69,'Materials Master'!$A$2:$A$27,0)),"")</f>
        <v>Plastics</v>
      </c>
      <c r="F69" s="0" t="n">
        <f aca="false">(SUMIFS(Fact_PreSortWeights!$E$2:$E$15,Fact_PreSortWeights!$C$2:$C$15,$A69,Fact_PreSortWeights!$B$2:$B$15,$B69,Fact_PreSortWeights!$F$2:$F$15,$C69))+(SUMIFS(Fact_SortedWeights!$E$2:$E$6,Fact_SortedWeights!$C$2:$C$6,$A69,Fact_SortedWeights!$B$2:$B$6,$B69,Fact_SortedWeights!$D$2:$D$6,$C69,Fact_SortedWeights!$L$2:$L$6,"Yes"))+IF((SUMIFS(Fact_SortedWeights!$E$2:$E$6,Fact_SortedWeights!$C$2:$C$6,$A69,Fact_SortedWeights!$B$2:$B$6,$B69,Fact_SortedWeights!$L$2:$L$6,"No"))=0,0,(SUMIFS(Fact_SortedWeights!$E$2:$E$6,Fact_SortedWeights!$C$2:$C$6,$A69,Fact_SortedWeights!$B$2:$B$6,$B69,Fact_SortedWeights!$D$2:$D$6,$C69,Fact_SortedWeights!$L$2:$L$6,"No"))/(SUMIFS(Fact_SortedWeights!$E$2:$E$6,Fact_SortedWeights!$C$2:$C$6,$A69,Fact_SortedWeights!$B$2:$B$6,$B69,Fact_SortedWeights!$L$2:$L$6,"No"))*((SUMIFS(Fact_PreSortWeights!$E$2:$E$15,Fact_PreSortWeights!$C$2:$C$15,$A69,Fact_PreSortWeights!$B$2:$B$15,$B69,Fact_PreSortWeights!$F$2:$F$15,""))-(SUMIFS(Fact_SortedWeights!$E$2:$E$6,Fact_SortedWeights!$C$2:$C$6,$A69,Fact_SortedWeights!$B$2:$B$6,$B69,Fact_SortedWeights!$L$2:$L$6,"Yes"))))</f>
        <v>0</v>
      </c>
      <c r="G69" s="0" t="n">
        <f aca="false">IF(AND(IF($B69="Trash",INDEX('Materials Master'!$F$2:$F$27,MATCH($C69,'Materials Master'!$A$2:$A$27,0)),IF($B69="GMPC Recycling",INDEX('Materials Master'!$G$2:$G$27,MATCH($C69,'Materials Master'!$A$2:$A$27,0)),IF($B69="Organics Recycling",INDEX('Materials Master'!$H$2:$H$27,MATCH($C69,'Materials Master'!$A$2:$A$27,0)),IF($B69="Cardboard Recycling",INDEX('Materials Master'!$I$2:$I$27,MATCH($C69,'Materials Master'!$A$2:$A$27,0)),IF($B69="Paper Recycling",INDEX('Materials Master'!$J$2:$J$27,MATCH($C69,'Materials Master'!$A$2:$A$27,0)),IF($B69="Terracycle",INDEX('Materials Master'!$K$2:$K$27,MATCH($C69,'Materials Master'!$A$2:$A$27,0)),"No"))))))="Yes",INDEX('Materials Master'!$E$2:$E$27,MATCH($C69,'Materials Master'!$A$2:$A$27,0))="Yes",$B69&lt;&gt;"Trash"),1,0)</f>
        <v>0</v>
      </c>
      <c r="H69" s="0" t="str">
        <f aca="false">INDEX('Materials Master'!$E$2:$E$27,MATCH($C69,'Materials Master'!$A$2:$A$27,0))</f>
        <v>No</v>
      </c>
      <c r="I69" s="0" t="str">
        <f aca="false">IFERROR(INDEX(Areas!$C$2:$C$6,MATCH($A69,Areas!$B$2:$B$6,0)),"")</f>
        <v>Rest of Building</v>
      </c>
      <c r="J69" s="0" t="n">
        <f aca="false">IF(IF($B69="Trash",INDEX('Materials Master'!$F$2:$F$27,MATCH($C69,'Materials Master'!$A$2:$A$27,0)),IF($B69="GMPC Recycling",INDEX('Materials Master'!$G$2:$G$27,MATCH($C69,'Materials Master'!$A$2:$A$27,0)),IF($B69="Organics Recycling",INDEX('Materials Master'!$H$2:$H$27,MATCH($C69,'Materials Master'!$A$2:$A$27,0)),IF($B69="Cardboard Recycling",INDEX('Materials Master'!$I$2:$I$27,MATCH($C69,'Materials Master'!$A$2:$A$27,0)),IF($B69="Paper Recycling",INDEX('Materials Master'!$J$2:$J$27,MATCH($C69,'Materials Master'!$A$2:$A$27,0)),IF($B69="Terracycle",INDEX('Materials Master'!$K$2:$K$27,MATCH($C69,'Materials Master'!$A$2:$A$27,0)),"No"))))))="Yes",1,0)</f>
        <v>0</v>
      </c>
    </row>
    <row r="70" customFormat="false" ht="15" hidden="false" customHeight="false" outlineLevel="0" collapsed="false">
      <c r="A70" s="0" t="s">
        <v>91</v>
      </c>
      <c r="B70" s="0" t="s">
        <v>105</v>
      </c>
      <c r="C70" s="0" t="s">
        <v>64</v>
      </c>
      <c r="D70" s="0" t="str">
        <f aca="false">IFERROR(INDEX('Materials Master'!$B$2:$B$27,MATCH($C70,'Materials Master'!$A$2:$A$27,0)),"")</f>
        <v>Food Waste</v>
      </c>
      <c r="E70" s="0" t="str">
        <f aca="false">IFERROR(INDEX('Materials Master'!$C$2:$C$27,MATCH($C70,'Materials Master'!$A$2:$A$27,0)),"")</f>
        <v>Organics</v>
      </c>
      <c r="F70" s="0" t="n">
        <f aca="false">(SUMIFS(Fact_PreSortWeights!$E$2:$E$15,Fact_PreSortWeights!$C$2:$C$15,$A70,Fact_PreSortWeights!$B$2:$B$15,$B70,Fact_PreSortWeights!$F$2:$F$15,$C70))+(SUMIFS(Fact_SortedWeights!$E$2:$E$6,Fact_SortedWeights!$C$2:$C$6,$A70,Fact_SortedWeights!$B$2:$B$6,$B70,Fact_SortedWeights!$D$2:$D$6,$C70,Fact_SortedWeights!$L$2:$L$6,"Yes"))+IF((SUMIFS(Fact_SortedWeights!$E$2:$E$6,Fact_SortedWeights!$C$2:$C$6,$A70,Fact_SortedWeights!$B$2:$B$6,$B70,Fact_SortedWeights!$L$2:$L$6,"No"))=0,0,(SUMIFS(Fact_SortedWeights!$E$2:$E$6,Fact_SortedWeights!$C$2:$C$6,$A70,Fact_SortedWeights!$B$2:$B$6,$B70,Fact_SortedWeights!$D$2:$D$6,$C70,Fact_SortedWeights!$L$2:$L$6,"No"))/(SUMIFS(Fact_SortedWeights!$E$2:$E$6,Fact_SortedWeights!$C$2:$C$6,$A70,Fact_SortedWeights!$B$2:$B$6,$B70,Fact_SortedWeights!$L$2:$L$6,"No"))*((SUMIFS(Fact_PreSortWeights!$E$2:$E$15,Fact_PreSortWeights!$C$2:$C$15,$A70,Fact_PreSortWeights!$B$2:$B$15,$B70,Fact_PreSortWeights!$F$2:$F$15,""))-(SUMIFS(Fact_SortedWeights!$E$2:$E$6,Fact_SortedWeights!$C$2:$C$6,$A70,Fact_SortedWeights!$B$2:$B$6,$B70,Fact_SortedWeights!$L$2:$L$6,"Yes"))))</f>
        <v>0</v>
      </c>
      <c r="G70" s="0" t="n">
        <f aca="false">IF(AND(IF($B70="Trash",INDEX('Materials Master'!$F$2:$F$27,MATCH($C70,'Materials Master'!$A$2:$A$27,0)),IF($B70="GMPC Recycling",INDEX('Materials Master'!$G$2:$G$27,MATCH($C70,'Materials Master'!$A$2:$A$27,0)),IF($B70="Organics Recycling",INDEX('Materials Master'!$H$2:$H$27,MATCH($C70,'Materials Master'!$A$2:$A$27,0)),IF($B70="Cardboard Recycling",INDEX('Materials Master'!$I$2:$I$27,MATCH($C70,'Materials Master'!$A$2:$A$27,0)),IF($B70="Paper Recycling",INDEX('Materials Master'!$J$2:$J$27,MATCH($C70,'Materials Master'!$A$2:$A$27,0)),IF($B70="Terracycle",INDEX('Materials Master'!$K$2:$K$27,MATCH($C70,'Materials Master'!$A$2:$A$27,0)),"No"))))))="Yes",INDEX('Materials Master'!$E$2:$E$27,MATCH($C70,'Materials Master'!$A$2:$A$27,0))="Yes",$B70&lt;&gt;"Trash"),1,0)</f>
        <v>1</v>
      </c>
      <c r="H70" s="0" t="str">
        <f aca="false">INDEX('Materials Master'!$E$2:$E$27,MATCH($C70,'Materials Master'!$A$2:$A$27,0))</f>
        <v>Yes</v>
      </c>
      <c r="I70" s="0" t="str">
        <f aca="false">IFERROR(INDEX(Areas!$C$2:$C$6,MATCH($A70,Areas!$B$2:$B$6,0)),"")</f>
        <v>Rest of Building</v>
      </c>
      <c r="J70" s="0" t="n">
        <f aca="false">IF(IF($B70="Trash",INDEX('Materials Master'!$F$2:$F$27,MATCH($C70,'Materials Master'!$A$2:$A$27,0)),IF($B70="GMPC Recycling",INDEX('Materials Master'!$G$2:$G$27,MATCH($C70,'Materials Master'!$A$2:$A$27,0)),IF($B70="Organics Recycling",INDEX('Materials Master'!$H$2:$H$27,MATCH($C70,'Materials Master'!$A$2:$A$27,0)),IF($B70="Cardboard Recycling",INDEX('Materials Master'!$I$2:$I$27,MATCH($C70,'Materials Master'!$A$2:$A$27,0)),IF($B70="Paper Recycling",INDEX('Materials Master'!$J$2:$J$27,MATCH($C70,'Materials Master'!$A$2:$A$27,0)),IF($B70="Terracycle",INDEX('Materials Master'!$K$2:$K$27,MATCH($C70,'Materials Master'!$A$2:$A$27,0)),"No"))))))="Yes",1,0)</f>
        <v>1</v>
      </c>
    </row>
    <row r="71" customFormat="false" ht="15" hidden="false" customHeight="false" outlineLevel="0" collapsed="false">
      <c r="A71" s="0" t="s">
        <v>91</v>
      </c>
      <c r="B71" s="0" t="s">
        <v>105</v>
      </c>
      <c r="C71" s="0" t="s">
        <v>67</v>
      </c>
      <c r="D71" s="0" t="str">
        <f aca="false">IFERROR(INDEX('Materials Master'!$B$2:$B$27,MATCH($C71,'Materials Master'!$A$2:$A$27,0)),"")</f>
        <v>Paper Fibers and Food-Soiled Paper (FSP)</v>
      </c>
      <c r="E71" s="0" t="str">
        <f aca="false">IFERROR(INDEX('Materials Master'!$C$2:$C$27,MATCH($C71,'Materials Master'!$A$2:$A$27,0)),"")</f>
        <v>Organics</v>
      </c>
      <c r="F71" s="0" t="n">
        <f aca="false">(SUMIFS(Fact_PreSortWeights!$E$2:$E$15,Fact_PreSortWeights!$C$2:$C$15,$A71,Fact_PreSortWeights!$B$2:$B$15,$B71,Fact_PreSortWeights!$F$2:$F$15,$C71))+(SUMIFS(Fact_SortedWeights!$E$2:$E$6,Fact_SortedWeights!$C$2:$C$6,$A71,Fact_SortedWeights!$B$2:$B$6,$B71,Fact_SortedWeights!$D$2:$D$6,$C71,Fact_SortedWeights!$L$2:$L$6,"Yes"))+IF((SUMIFS(Fact_SortedWeights!$E$2:$E$6,Fact_SortedWeights!$C$2:$C$6,$A71,Fact_SortedWeights!$B$2:$B$6,$B71,Fact_SortedWeights!$L$2:$L$6,"No"))=0,0,(SUMIFS(Fact_SortedWeights!$E$2:$E$6,Fact_SortedWeights!$C$2:$C$6,$A71,Fact_SortedWeights!$B$2:$B$6,$B71,Fact_SortedWeights!$D$2:$D$6,$C71,Fact_SortedWeights!$L$2:$L$6,"No"))/(SUMIFS(Fact_SortedWeights!$E$2:$E$6,Fact_SortedWeights!$C$2:$C$6,$A71,Fact_SortedWeights!$B$2:$B$6,$B71,Fact_SortedWeights!$L$2:$L$6,"No"))*((SUMIFS(Fact_PreSortWeights!$E$2:$E$15,Fact_PreSortWeights!$C$2:$C$15,$A71,Fact_PreSortWeights!$B$2:$B$15,$B71,Fact_PreSortWeights!$F$2:$F$15,""))-(SUMIFS(Fact_SortedWeights!$E$2:$E$6,Fact_SortedWeights!$C$2:$C$6,$A71,Fact_SortedWeights!$B$2:$B$6,$B71,Fact_SortedWeights!$L$2:$L$6,"Yes"))))</f>
        <v>0</v>
      </c>
      <c r="G71" s="0" t="n">
        <f aca="false">IF(AND(IF($B71="Trash",INDEX('Materials Master'!$F$2:$F$27,MATCH($C71,'Materials Master'!$A$2:$A$27,0)),IF($B71="GMPC Recycling",INDEX('Materials Master'!$G$2:$G$27,MATCH($C71,'Materials Master'!$A$2:$A$27,0)),IF($B71="Organics Recycling",INDEX('Materials Master'!$H$2:$H$27,MATCH($C71,'Materials Master'!$A$2:$A$27,0)),IF($B71="Cardboard Recycling",INDEX('Materials Master'!$I$2:$I$27,MATCH($C71,'Materials Master'!$A$2:$A$27,0)),IF($B71="Paper Recycling",INDEX('Materials Master'!$J$2:$J$27,MATCH($C71,'Materials Master'!$A$2:$A$27,0)),IF($B71="Terracycle",INDEX('Materials Master'!$K$2:$K$27,MATCH($C71,'Materials Master'!$A$2:$A$27,0)),"No"))))))="Yes",INDEX('Materials Master'!$E$2:$E$27,MATCH($C71,'Materials Master'!$A$2:$A$27,0))="Yes",$B71&lt;&gt;"Trash"),1,0)</f>
        <v>0</v>
      </c>
      <c r="H71" s="0" t="str">
        <f aca="false">INDEX('Materials Master'!$E$2:$E$27,MATCH($C71,'Materials Master'!$A$2:$A$27,0))</f>
        <v>No</v>
      </c>
      <c r="I71" s="0" t="str">
        <f aca="false">IFERROR(INDEX(Areas!$C$2:$C$6,MATCH($A71,Areas!$B$2:$B$6,0)),"")</f>
        <v>Rest of Building</v>
      </c>
      <c r="J71" s="0" t="n">
        <f aca="false">IF(IF($B71="Trash",INDEX('Materials Master'!$F$2:$F$27,MATCH($C71,'Materials Master'!$A$2:$A$27,0)),IF($B71="GMPC Recycling",INDEX('Materials Master'!$G$2:$G$27,MATCH($C71,'Materials Master'!$A$2:$A$27,0)),IF($B71="Organics Recycling",INDEX('Materials Master'!$H$2:$H$27,MATCH($C71,'Materials Master'!$A$2:$A$27,0)),IF($B71="Cardboard Recycling",INDEX('Materials Master'!$I$2:$I$27,MATCH($C71,'Materials Master'!$A$2:$A$27,0)),IF($B71="Paper Recycling",INDEX('Materials Master'!$J$2:$J$27,MATCH($C71,'Materials Master'!$A$2:$A$27,0)),IF($B71="Terracycle",INDEX('Materials Master'!$K$2:$K$27,MATCH($C71,'Materials Master'!$A$2:$A$27,0)),"No"))))))="Yes",1,0)</f>
        <v>0</v>
      </c>
    </row>
    <row r="72" customFormat="false" ht="15" hidden="false" customHeight="false" outlineLevel="0" collapsed="false">
      <c r="A72" s="0" t="s">
        <v>91</v>
      </c>
      <c r="B72" s="0" t="s">
        <v>105</v>
      </c>
      <c r="C72" s="0" t="s">
        <v>69</v>
      </c>
      <c r="D72" s="0" t="str">
        <f aca="false">IFERROR(INDEX('Materials Master'!$B$2:$B$27,MATCH($C72,'Materials Master'!$A$2:$A$27,0)),"")</f>
        <v>Fiber-based Compostable Serviceware</v>
      </c>
      <c r="E72" s="0" t="str">
        <f aca="false">IFERROR(INDEX('Materials Master'!$C$2:$C$27,MATCH($C72,'Materials Master'!$A$2:$A$27,0)),"")</f>
        <v>Organics</v>
      </c>
      <c r="F72" s="0" t="n">
        <f aca="false">(SUMIFS(Fact_PreSortWeights!$E$2:$E$15,Fact_PreSortWeights!$C$2:$C$15,$A72,Fact_PreSortWeights!$B$2:$B$15,$B72,Fact_PreSortWeights!$F$2:$F$15,$C72))+(SUMIFS(Fact_SortedWeights!$E$2:$E$6,Fact_SortedWeights!$C$2:$C$6,$A72,Fact_SortedWeights!$B$2:$B$6,$B72,Fact_SortedWeights!$D$2:$D$6,$C72,Fact_SortedWeights!$L$2:$L$6,"Yes"))+IF((SUMIFS(Fact_SortedWeights!$E$2:$E$6,Fact_SortedWeights!$C$2:$C$6,$A72,Fact_SortedWeights!$B$2:$B$6,$B72,Fact_SortedWeights!$L$2:$L$6,"No"))=0,0,(SUMIFS(Fact_SortedWeights!$E$2:$E$6,Fact_SortedWeights!$C$2:$C$6,$A72,Fact_SortedWeights!$B$2:$B$6,$B72,Fact_SortedWeights!$D$2:$D$6,$C72,Fact_SortedWeights!$L$2:$L$6,"No"))/(SUMIFS(Fact_SortedWeights!$E$2:$E$6,Fact_SortedWeights!$C$2:$C$6,$A72,Fact_SortedWeights!$B$2:$B$6,$B72,Fact_SortedWeights!$L$2:$L$6,"No"))*((SUMIFS(Fact_PreSortWeights!$E$2:$E$15,Fact_PreSortWeights!$C$2:$C$15,$A72,Fact_PreSortWeights!$B$2:$B$15,$B72,Fact_PreSortWeights!$F$2:$F$15,""))-(SUMIFS(Fact_SortedWeights!$E$2:$E$6,Fact_SortedWeights!$C$2:$C$6,$A72,Fact_SortedWeights!$B$2:$B$6,$B72,Fact_SortedWeights!$L$2:$L$6,"Yes"))))</f>
        <v>0</v>
      </c>
      <c r="G72" s="0" t="n">
        <f aca="false">IF(AND(IF($B72="Trash",INDEX('Materials Master'!$F$2:$F$27,MATCH($C72,'Materials Master'!$A$2:$A$27,0)),IF($B72="GMPC Recycling",INDEX('Materials Master'!$G$2:$G$27,MATCH($C72,'Materials Master'!$A$2:$A$27,0)),IF($B72="Organics Recycling",INDEX('Materials Master'!$H$2:$H$27,MATCH($C72,'Materials Master'!$A$2:$A$27,0)),IF($B72="Cardboard Recycling",INDEX('Materials Master'!$I$2:$I$27,MATCH($C72,'Materials Master'!$A$2:$A$27,0)),IF($B72="Paper Recycling",INDEX('Materials Master'!$J$2:$J$27,MATCH($C72,'Materials Master'!$A$2:$A$27,0)),IF($B72="Terracycle",INDEX('Materials Master'!$K$2:$K$27,MATCH($C72,'Materials Master'!$A$2:$A$27,0)),"No"))))))="Yes",INDEX('Materials Master'!$E$2:$E$27,MATCH($C72,'Materials Master'!$A$2:$A$27,0))="Yes",$B72&lt;&gt;"Trash"),1,0)</f>
        <v>0</v>
      </c>
      <c r="H72" s="0" t="str">
        <f aca="false">INDEX('Materials Master'!$E$2:$E$27,MATCH($C72,'Materials Master'!$A$2:$A$27,0))</f>
        <v>No</v>
      </c>
      <c r="I72" s="0" t="str">
        <f aca="false">IFERROR(INDEX(Areas!$C$2:$C$6,MATCH($A72,Areas!$B$2:$B$6,0)),"")</f>
        <v>Rest of Building</v>
      </c>
      <c r="J72" s="0" t="n">
        <f aca="false">IF(IF($B72="Trash",INDEX('Materials Master'!$F$2:$F$27,MATCH($C72,'Materials Master'!$A$2:$A$27,0)),IF($B72="GMPC Recycling",INDEX('Materials Master'!$G$2:$G$27,MATCH($C72,'Materials Master'!$A$2:$A$27,0)),IF($B72="Organics Recycling",INDEX('Materials Master'!$H$2:$H$27,MATCH($C72,'Materials Master'!$A$2:$A$27,0)),IF($B72="Cardboard Recycling",INDEX('Materials Master'!$I$2:$I$27,MATCH($C72,'Materials Master'!$A$2:$A$27,0)),IF($B72="Paper Recycling",INDEX('Materials Master'!$J$2:$J$27,MATCH($C72,'Materials Master'!$A$2:$A$27,0)),IF($B72="Terracycle",INDEX('Materials Master'!$K$2:$K$27,MATCH($C72,'Materials Master'!$A$2:$A$27,0)),"No"))))))="Yes",1,0)</f>
        <v>0</v>
      </c>
    </row>
    <row r="73" customFormat="false" ht="15" hidden="false" customHeight="false" outlineLevel="0" collapsed="false">
      <c r="A73" s="0" t="s">
        <v>91</v>
      </c>
      <c r="B73" s="0" t="s">
        <v>105</v>
      </c>
      <c r="C73" s="0" t="s">
        <v>71</v>
      </c>
      <c r="D73" s="0" t="str">
        <f aca="false">IFERROR(INDEX('Materials Master'!$B$2:$B$27,MATCH($C73,'Materials Master'!$A$2:$A$27,0)),"")</f>
        <v>PLA Compostable Serviceware</v>
      </c>
      <c r="E73" s="0" t="str">
        <f aca="false">IFERROR(INDEX('Materials Master'!$C$2:$C$27,MATCH($C73,'Materials Master'!$A$2:$A$27,0)),"")</f>
        <v>Organics</v>
      </c>
      <c r="F73" s="0" t="n">
        <f aca="false">(SUMIFS(Fact_PreSortWeights!$E$2:$E$15,Fact_PreSortWeights!$C$2:$C$15,$A73,Fact_PreSortWeights!$B$2:$B$15,$B73,Fact_PreSortWeights!$F$2:$F$15,$C73))+(SUMIFS(Fact_SortedWeights!$E$2:$E$6,Fact_SortedWeights!$C$2:$C$6,$A73,Fact_SortedWeights!$B$2:$B$6,$B73,Fact_SortedWeights!$D$2:$D$6,$C73,Fact_SortedWeights!$L$2:$L$6,"Yes"))+IF((SUMIFS(Fact_SortedWeights!$E$2:$E$6,Fact_SortedWeights!$C$2:$C$6,$A73,Fact_SortedWeights!$B$2:$B$6,$B73,Fact_SortedWeights!$L$2:$L$6,"No"))=0,0,(SUMIFS(Fact_SortedWeights!$E$2:$E$6,Fact_SortedWeights!$C$2:$C$6,$A73,Fact_SortedWeights!$B$2:$B$6,$B73,Fact_SortedWeights!$D$2:$D$6,$C73,Fact_SortedWeights!$L$2:$L$6,"No"))/(SUMIFS(Fact_SortedWeights!$E$2:$E$6,Fact_SortedWeights!$C$2:$C$6,$A73,Fact_SortedWeights!$B$2:$B$6,$B73,Fact_SortedWeights!$L$2:$L$6,"No"))*((SUMIFS(Fact_PreSortWeights!$E$2:$E$15,Fact_PreSortWeights!$C$2:$C$15,$A73,Fact_PreSortWeights!$B$2:$B$15,$B73,Fact_PreSortWeights!$F$2:$F$15,""))-(SUMIFS(Fact_SortedWeights!$E$2:$E$6,Fact_SortedWeights!$C$2:$C$6,$A73,Fact_SortedWeights!$B$2:$B$6,$B73,Fact_SortedWeights!$L$2:$L$6,"Yes"))))</f>
        <v>0</v>
      </c>
      <c r="G73" s="0" t="n">
        <f aca="false">IF(AND(IF($B73="Trash",INDEX('Materials Master'!$F$2:$F$27,MATCH($C73,'Materials Master'!$A$2:$A$27,0)),IF($B73="GMPC Recycling",INDEX('Materials Master'!$G$2:$G$27,MATCH($C73,'Materials Master'!$A$2:$A$27,0)),IF($B73="Organics Recycling",INDEX('Materials Master'!$H$2:$H$27,MATCH($C73,'Materials Master'!$A$2:$A$27,0)),IF($B73="Cardboard Recycling",INDEX('Materials Master'!$I$2:$I$27,MATCH($C73,'Materials Master'!$A$2:$A$27,0)),IF($B73="Paper Recycling",INDEX('Materials Master'!$J$2:$J$27,MATCH($C73,'Materials Master'!$A$2:$A$27,0)),IF($B73="Terracycle",INDEX('Materials Master'!$K$2:$K$27,MATCH($C73,'Materials Master'!$A$2:$A$27,0)),"No"))))))="Yes",INDEX('Materials Master'!$E$2:$E$27,MATCH($C73,'Materials Master'!$A$2:$A$27,0))="Yes",$B73&lt;&gt;"Trash"),1,0)</f>
        <v>0</v>
      </c>
      <c r="H73" s="0" t="str">
        <f aca="false">INDEX('Materials Master'!$E$2:$E$27,MATCH($C73,'Materials Master'!$A$2:$A$27,0))</f>
        <v>No</v>
      </c>
      <c r="I73" s="0" t="str">
        <f aca="false">IFERROR(INDEX(Areas!$C$2:$C$6,MATCH($A73,Areas!$B$2:$B$6,0)),"")</f>
        <v>Rest of Building</v>
      </c>
      <c r="J73" s="0" t="n">
        <f aca="false">IF(IF($B73="Trash",INDEX('Materials Master'!$F$2:$F$27,MATCH($C73,'Materials Master'!$A$2:$A$27,0)),IF($B73="GMPC Recycling",INDEX('Materials Master'!$G$2:$G$27,MATCH($C73,'Materials Master'!$A$2:$A$27,0)),IF($B73="Organics Recycling",INDEX('Materials Master'!$H$2:$H$27,MATCH($C73,'Materials Master'!$A$2:$A$27,0)),IF($B73="Cardboard Recycling",INDEX('Materials Master'!$I$2:$I$27,MATCH($C73,'Materials Master'!$A$2:$A$27,0)),IF($B73="Paper Recycling",INDEX('Materials Master'!$J$2:$J$27,MATCH($C73,'Materials Master'!$A$2:$A$27,0)),IF($B73="Terracycle",INDEX('Materials Master'!$K$2:$K$27,MATCH($C73,'Materials Master'!$A$2:$A$27,0)),"No"))))))="Yes",1,0)</f>
        <v>0</v>
      </c>
    </row>
    <row r="74" customFormat="false" ht="15" hidden="false" customHeight="false" outlineLevel="0" collapsed="false">
      <c r="A74" s="0" t="s">
        <v>91</v>
      </c>
      <c r="B74" s="0" t="s">
        <v>105</v>
      </c>
      <c r="C74" s="0" t="s">
        <v>73</v>
      </c>
      <c r="D74" s="0" t="str">
        <f aca="false">IFERROR(INDEX('Materials Master'!$B$2:$B$27,MATCH($C74,'Materials Master'!$A$2:$A$27,0)),"")</f>
        <v>E/U Waste</v>
      </c>
      <c r="E74" s="0" t="str">
        <f aca="false">IFERROR(INDEX('Materials Master'!$C$2:$C$27,MATCH($C74,'Materials Master'!$A$2:$A$27,0)),"")</f>
        <v>Unacceptable</v>
      </c>
      <c r="F74" s="0" t="n">
        <f aca="false">(SUMIFS(Fact_PreSortWeights!$E$2:$E$15,Fact_PreSortWeights!$C$2:$C$15,$A74,Fact_PreSortWeights!$B$2:$B$15,$B74,Fact_PreSortWeights!$F$2:$F$15,$C74))+(SUMIFS(Fact_SortedWeights!$E$2:$E$6,Fact_SortedWeights!$C$2:$C$6,$A74,Fact_SortedWeights!$B$2:$B$6,$B74,Fact_SortedWeights!$D$2:$D$6,$C74,Fact_SortedWeights!$L$2:$L$6,"Yes"))+IF((SUMIFS(Fact_SortedWeights!$E$2:$E$6,Fact_SortedWeights!$C$2:$C$6,$A74,Fact_SortedWeights!$B$2:$B$6,$B74,Fact_SortedWeights!$L$2:$L$6,"No"))=0,0,(SUMIFS(Fact_SortedWeights!$E$2:$E$6,Fact_SortedWeights!$C$2:$C$6,$A74,Fact_SortedWeights!$B$2:$B$6,$B74,Fact_SortedWeights!$D$2:$D$6,$C74,Fact_SortedWeights!$L$2:$L$6,"No"))/(SUMIFS(Fact_SortedWeights!$E$2:$E$6,Fact_SortedWeights!$C$2:$C$6,$A74,Fact_SortedWeights!$B$2:$B$6,$B74,Fact_SortedWeights!$L$2:$L$6,"No"))*((SUMIFS(Fact_PreSortWeights!$E$2:$E$15,Fact_PreSortWeights!$C$2:$C$15,$A74,Fact_PreSortWeights!$B$2:$B$15,$B74,Fact_PreSortWeights!$F$2:$F$15,""))-(SUMIFS(Fact_SortedWeights!$E$2:$E$6,Fact_SortedWeights!$C$2:$C$6,$A74,Fact_SortedWeights!$B$2:$B$6,$B74,Fact_SortedWeights!$L$2:$L$6,"Yes"))))</f>
        <v>0</v>
      </c>
      <c r="G74" s="0" t="n">
        <f aca="false">IF(AND(IF($B74="Trash",INDEX('Materials Master'!$F$2:$F$27,MATCH($C74,'Materials Master'!$A$2:$A$27,0)),IF($B74="GMPC Recycling",INDEX('Materials Master'!$G$2:$G$27,MATCH($C74,'Materials Master'!$A$2:$A$27,0)),IF($B74="Organics Recycling",INDEX('Materials Master'!$H$2:$H$27,MATCH($C74,'Materials Master'!$A$2:$A$27,0)),IF($B74="Cardboard Recycling",INDEX('Materials Master'!$I$2:$I$27,MATCH($C74,'Materials Master'!$A$2:$A$27,0)),IF($B74="Paper Recycling",INDEX('Materials Master'!$J$2:$J$27,MATCH($C74,'Materials Master'!$A$2:$A$27,0)),IF($B74="Terracycle",INDEX('Materials Master'!$K$2:$K$27,MATCH($C74,'Materials Master'!$A$2:$A$27,0)),"No"))))))="Yes",INDEX('Materials Master'!$E$2:$E$27,MATCH($C74,'Materials Master'!$A$2:$A$27,0))="Yes",$B74&lt;&gt;"Trash"),1,0)</f>
        <v>0</v>
      </c>
      <c r="H74" s="0" t="str">
        <f aca="false">INDEX('Materials Master'!$E$2:$E$27,MATCH($C74,'Materials Master'!$A$2:$A$27,0))</f>
        <v>No</v>
      </c>
      <c r="I74" s="0" t="str">
        <f aca="false">IFERROR(INDEX(Areas!$C$2:$C$6,MATCH($A74,Areas!$B$2:$B$6,0)),"")</f>
        <v>Rest of Building</v>
      </c>
      <c r="J74" s="0" t="n">
        <f aca="false">IF(IF($B74="Trash",INDEX('Materials Master'!$F$2:$F$27,MATCH($C74,'Materials Master'!$A$2:$A$27,0)),IF($B74="GMPC Recycling",INDEX('Materials Master'!$G$2:$G$27,MATCH($C74,'Materials Master'!$A$2:$A$27,0)),IF($B74="Organics Recycling",INDEX('Materials Master'!$H$2:$H$27,MATCH($C74,'Materials Master'!$A$2:$A$27,0)),IF($B74="Cardboard Recycling",INDEX('Materials Master'!$I$2:$I$27,MATCH($C74,'Materials Master'!$A$2:$A$27,0)),IF($B74="Paper Recycling",INDEX('Materials Master'!$J$2:$J$27,MATCH($C74,'Materials Master'!$A$2:$A$27,0)),IF($B74="Terracycle",INDEX('Materials Master'!$K$2:$K$27,MATCH($C74,'Materials Master'!$A$2:$A$27,0)),"No"))))))="Yes",1,0)</f>
        <v>0</v>
      </c>
    </row>
    <row r="75" customFormat="false" ht="15" hidden="false" customHeight="false" outlineLevel="0" collapsed="false">
      <c r="A75" s="0" t="s">
        <v>91</v>
      </c>
      <c r="B75" s="0" t="s">
        <v>105</v>
      </c>
      <c r="C75" s="0" t="s">
        <v>76</v>
      </c>
      <c r="D75" s="0" t="str">
        <f aca="false">IFERROR(INDEX('Materials Master'!$B$2:$B$27,MATCH($C75,'Materials Master'!$A$2:$A$27,0)),"")</f>
        <v>Textiles</v>
      </c>
      <c r="E75" s="0" t="str">
        <f aca="false">IFERROR(INDEX('Materials Master'!$C$2:$C$27,MATCH($C75,'Materials Master'!$A$2:$A$27,0)),"")</f>
        <v>Unacceptable</v>
      </c>
      <c r="F75" s="0" t="n">
        <f aca="false">(SUMIFS(Fact_PreSortWeights!$E$2:$E$15,Fact_PreSortWeights!$C$2:$C$15,$A75,Fact_PreSortWeights!$B$2:$B$15,$B75,Fact_PreSortWeights!$F$2:$F$15,$C75))+(SUMIFS(Fact_SortedWeights!$E$2:$E$6,Fact_SortedWeights!$C$2:$C$6,$A75,Fact_SortedWeights!$B$2:$B$6,$B75,Fact_SortedWeights!$D$2:$D$6,$C75,Fact_SortedWeights!$L$2:$L$6,"Yes"))+IF((SUMIFS(Fact_SortedWeights!$E$2:$E$6,Fact_SortedWeights!$C$2:$C$6,$A75,Fact_SortedWeights!$B$2:$B$6,$B75,Fact_SortedWeights!$L$2:$L$6,"No"))=0,0,(SUMIFS(Fact_SortedWeights!$E$2:$E$6,Fact_SortedWeights!$C$2:$C$6,$A75,Fact_SortedWeights!$B$2:$B$6,$B75,Fact_SortedWeights!$D$2:$D$6,$C75,Fact_SortedWeights!$L$2:$L$6,"No"))/(SUMIFS(Fact_SortedWeights!$E$2:$E$6,Fact_SortedWeights!$C$2:$C$6,$A75,Fact_SortedWeights!$B$2:$B$6,$B75,Fact_SortedWeights!$L$2:$L$6,"No"))*((SUMIFS(Fact_PreSortWeights!$E$2:$E$15,Fact_PreSortWeights!$C$2:$C$15,$A75,Fact_PreSortWeights!$B$2:$B$15,$B75,Fact_PreSortWeights!$F$2:$F$15,""))-(SUMIFS(Fact_SortedWeights!$E$2:$E$6,Fact_SortedWeights!$C$2:$C$6,$A75,Fact_SortedWeights!$B$2:$B$6,$B75,Fact_SortedWeights!$L$2:$L$6,"Yes"))))</f>
        <v>0</v>
      </c>
      <c r="G75" s="0" t="n">
        <f aca="false">IF(AND(IF($B75="Trash",INDEX('Materials Master'!$F$2:$F$27,MATCH($C75,'Materials Master'!$A$2:$A$27,0)),IF($B75="GMPC Recycling",INDEX('Materials Master'!$G$2:$G$27,MATCH($C75,'Materials Master'!$A$2:$A$27,0)),IF($B75="Organics Recycling",INDEX('Materials Master'!$H$2:$H$27,MATCH($C75,'Materials Master'!$A$2:$A$27,0)),IF($B75="Cardboard Recycling",INDEX('Materials Master'!$I$2:$I$27,MATCH($C75,'Materials Master'!$A$2:$A$27,0)),IF($B75="Paper Recycling",INDEX('Materials Master'!$J$2:$J$27,MATCH($C75,'Materials Master'!$A$2:$A$27,0)),IF($B75="Terracycle",INDEX('Materials Master'!$K$2:$K$27,MATCH($C75,'Materials Master'!$A$2:$A$27,0)),"No"))))))="Yes",INDEX('Materials Master'!$E$2:$E$27,MATCH($C75,'Materials Master'!$A$2:$A$27,0))="Yes",$B75&lt;&gt;"Trash"),1,0)</f>
        <v>0</v>
      </c>
      <c r="H75" s="0" t="str">
        <f aca="false">INDEX('Materials Master'!$E$2:$E$27,MATCH($C75,'Materials Master'!$A$2:$A$27,0))</f>
        <v>No</v>
      </c>
      <c r="I75" s="0" t="str">
        <f aca="false">IFERROR(INDEX(Areas!$C$2:$C$6,MATCH($A75,Areas!$B$2:$B$6,0)),"")</f>
        <v>Rest of Building</v>
      </c>
      <c r="J75" s="0" t="n">
        <f aca="false">IF(IF($B75="Trash",INDEX('Materials Master'!$F$2:$F$27,MATCH($C75,'Materials Master'!$A$2:$A$27,0)),IF($B75="GMPC Recycling",INDEX('Materials Master'!$G$2:$G$27,MATCH($C75,'Materials Master'!$A$2:$A$27,0)),IF($B75="Organics Recycling",INDEX('Materials Master'!$H$2:$H$27,MATCH($C75,'Materials Master'!$A$2:$A$27,0)),IF($B75="Cardboard Recycling",INDEX('Materials Master'!$I$2:$I$27,MATCH($C75,'Materials Master'!$A$2:$A$27,0)),IF($B75="Paper Recycling",INDEX('Materials Master'!$J$2:$J$27,MATCH($C75,'Materials Master'!$A$2:$A$27,0)),IF($B75="Terracycle",INDEX('Materials Master'!$K$2:$K$27,MATCH($C75,'Materials Master'!$A$2:$A$27,0)),"No"))))))="Yes",1,0)</f>
        <v>0</v>
      </c>
    </row>
    <row r="76" customFormat="false" ht="15" hidden="false" customHeight="false" outlineLevel="0" collapsed="false">
      <c r="A76" s="0" t="s">
        <v>91</v>
      </c>
      <c r="B76" s="0" t="s">
        <v>105</v>
      </c>
      <c r="C76" s="0" t="s">
        <v>78</v>
      </c>
      <c r="D76" s="0" t="str">
        <f aca="false">IFERROR(INDEX('Materials Master'!$B$2:$B$27,MATCH($C76,'Materials Master'!$A$2:$A$27,0)),"")</f>
        <v>Other Unacceptable (specify)</v>
      </c>
      <c r="E76" s="0" t="str">
        <f aca="false">IFERROR(INDEX('Materials Master'!$C$2:$C$27,MATCH($C76,'Materials Master'!$A$2:$A$27,0)),"")</f>
        <v>Unacceptable</v>
      </c>
      <c r="F76" s="0" t="n">
        <f aca="false">(SUMIFS(Fact_PreSortWeights!$E$2:$E$15,Fact_PreSortWeights!$C$2:$C$15,$A76,Fact_PreSortWeights!$B$2:$B$15,$B76,Fact_PreSortWeights!$F$2:$F$15,$C76))+(SUMIFS(Fact_SortedWeights!$E$2:$E$6,Fact_SortedWeights!$C$2:$C$6,$A76,Fact_SortedWeights!$B$2:$B$6,$B76,Fact_SortedWeights!$D$2:$D$6,$C76,Fact_SortedWeights!$L$2:$L$6,"Yes"))+IF((SUMIFS(Fact_SortedWeights!$E$2:$E$6,Fact_SortedWeights!$C$2:$C$6,$A76,Fact_SortedWeights!$B$2:$B$6,$B76,Fact_SortedWeights!$L$2:$L$6,"No"))=0,0,(SUMIFS(Fact_SortedWeights!$E$2:$E$6,Fact_SortedWeights!$C$2:$C$6,$A76,Fact_SortedWeights!$B$2:$B$6,$B76,Fact_SortedWeights!$D$2:$D$6,$C76,Fact_SortedWeights!$L$2:$L$6,"No"))/(SUMIFS(Fact_SortedWeights!$E$2:$E$6,Fact_SortedWeights!$C$2:$C$6,$A76,Fact_SortedWeights!$B$2:$B$6,$B76,Fact_SortedWeights!$L$2:$L$6,"No"))*((SUMIFS(Fact_PreSortWeights!$E$2:$E$15,Fact_PreSortWeights!$C$2:$C$15,$A76,Fact_PreSortWeights!$B$2:$B$15,$B76,Fact_PreSortWeights!$F$2:$F$15,""))-(SUMIFS(Fact_SortedWeights!$E$2:$E$6,Fact_SortedWeights!$C$2:$C$6,$A76,Fact_SortedWeights!$B$2:$B$6,$B76,Fact_SortedWeights!$L$2:$L$6,"Yes"))))</f>
        <v>0</v>
      </c>
      <c r="G76" s="0" t="n">
        <f aca="false">IF(AND(IF($B76="Trash",INDEX('Materials Master'!$F$2:$F$27,MATCH($C76,'Materials Master'!$A$2:$A$27,0)),IF($B76="GMPC Recycling",INDEX('Materials Master'!$G$2:$G$27,MATCH($C76,'Materials Master'!$A$2:$A$27,0)),IF($B76="Organics Recycling",INDEX('Materials Master'!$H$2:$H$27,MATCH($C76,'Materials Master'!$A$2:$A$27,0)),IF($B76="Cardboard Recycling",INDEX('Materials Master'!$I$2:$I$27,MATCH($C76,'Materials Master'!$A$2:$A$27,0)),IF($B76="Paper Recycling",INDEX('Materials Master'!$J$2:$J$27,MATCH($C76,'Materials Master'!$A$2:$A$27,0)),IF($B76="Terracycle",INDEX('Materials Master'!$K$2:$K$27,MATCH($C76,'Materials Master'!$A$2:$A$27,0)),"No"))))))="Yes",INDEX('Materials Master'!$E$2:$E$27,MATCH($C76,'Materials Master'!$A$2:$A$27,0))="Yes",$B76&lt;&gt;"Trash"),1,0)</f>
        <v>0</v>
      </c>
      <c r="H76" s="0" t="str">
        <f aca="false">INDEX('Materials Master'!$E$2:$E$27,MATCH($C76,'Materials Master'!$A$2:$A$27,0))</f>
        <v>No</v>
      </c>
      <c r="I76" s="0" t="str">
        <f aca="false">IFERROR(INDEX(Areas!$C$2:$C$6,MATCH($A76,Areas!$B$2:$B$6,0)),"")</f>
        <v>Rest of Building</v>
      </c>
      <c r="J76" s="0" t="n">
        <f aca="false">IF(IF($B76="Trash",INDEX('Materials Master'!$F$2:$F$27,MATCH($C76,'Materials Master'!$A$2:$A$27,0)),IF($B76="GMPC Recycling",INDEX('Materials Master'!$G$2:$G$27,MATCH($C76,'Materials Master'!$A$2:$A$27,0)),IF($B76="Organics Recycling",INDEX('Materials Master'!$H$2:$H$27,MATCH($C76,'Materials Master'!$A$2:$A$27,0)),IF($B76="Cardboard Recycling",INDEX('Materials Master'!$I$2:$I$27,MATCH($C76,'Materials Master'!$A$2:$A$27,0)),IF($B76="Paper Recycling",INDEX('Materials Master'!$J$2:$J$27,MATCH($C76,'Materials Master'!$A$2:$A$27,0)),IF($B76="Terracycle",INDEX('Materials Master'!$K$2:$K$27,MATCH($C76,'Materials Master'!$A$2:$A$27,0)),"No"))))))="Yes",1,0)</f>
        <v>0</v>
      </c>
    </row>
    <row r="77" customFormat="false" ht="15" hidden="false" customHeight="false" outlineLevel="0" collapsed="false">
      <c r="A77" s="0" t="s">
        <v>91</v>
      </c>
      <c r="B77" s="0" t="s">
        <v>105</v>
      </c>
      <c r="C77" s="0" t="s">
        <v>80</v>
      </c>
      <c r="D77" s="0" t="str">
        <f aca="false">IFERROR(INDEX('Materials Master'!$B$2:$B$27,MATCH($C77,'Materials Master'!$A$2:$A$27,0)),"")</f>
        <v>Liquids</v>
      </c>
      <c r="E77" s="0" t="str">
        <f aca="false">IFERROR(INDEX('Materials Master'!$C$2:$C$27,MATCH($C77,'Materials Master'!$A$2:$A$27,0)),"")</f>
        <v>Unacceptable</v>
      </c>
      <c r="F77" s="0" t="n">
        <f aca="false">(SUMIFS(Fact_PreSortWeights!$E$2:$E$15,Fact_PreSortWeights!$C$2:$C$15,$A77,Fact_PreSortWeights!$B$2:$B$15,$B77,Fact_PreSortWeights!$F$2:$F$15,$C77))+(SUMIFS(Fact_SortedWeights!$E$2:$E$6,Fact_SortedWeights!$C$2:$C$6,$A77,Fact_SortedWeights!$B$2:$B$6,$B77,Fact_SortedWeights!$D$2:$D$6,$C77,Fact_SortedWeights!$L$2:$L$6,"Yes"))+IF((SUMIFS(Fact_SortedWeights!$E$2:$E$6,Fact_SortedWeights!$C$2:$C$6,$A77,Fact_SortedWeights!$B$2:$B$6,$B77,Fact_SortedWeights!$L$2:$L$6,"No"))=0,0,(SUMIFS(Fact_SortedWeights!$E$2:$E$6,Fact_SortedWeights!$C$2:$C$6,$A77,Fact_SortedWeights!$B$2:$B$6,$B77,Fact_SortedWeights!$D$2:$D$6,$C77,Fact_SortedWeights!$L$2:$L$6,"No"))/(SUMIFS(Fact_SortedWeights!$E$2:$E$6,Fact_SortedWeights!$C$2:$C$6,$A77,Fact_SortedWeights!$B$2:$B$6,$B77,Fact_SortedWeights!$L$2:$L$6,"No"))*((SUMIFS(Fact_PreSortWeights!$E$2:$E$15,Fact_PreSortWeights!$C$2:$C$15,$A77,Fact_PreSortWeights!$B$2:$B$15,$B77,Fact_PreSortWeights!$F$2:$F$15,""))-(SUMIFS(Fact_SortedWeights!$E$2:$E$6,Fact_SortedWeights!$C$2:$C$6,$A77,Fact_SortedWeights!$B$2:$B$6,$B77,Fact_SortedWeights!$L$2:$L$6,"Yes"))))</f>
        <v>0</v>
      </c>
      <c r="G77" s="0" t="n">
        <f aca="false">IF(AND(IF($B77="Trash",INDEX('Materials Master'!$F$2:$F$27,MATCH($C77,'Materials Master'!$A$2:$A$27,0)),IF($B77="GMPC Recycling",INDEX('Materials Master'!$G$2:$G$27,MATCH($C77,'Materials Master'!$A$2:$A$27,0)),IF($B77="Organics Recycling",INDEX('Materials Master'!$H$2:$H$27,MATCH($C77,'Materials Master'!$A$2:$A$27,0)),IF($B77="Cardboard Recycling",INDEX('Materials Master'!$I$2:$I$27,MATCH($C77,'Materials Master'!$A$2:$A$27,0)),IF($B77="Paper Recycling",INDEX('Materials Master'!$J$2:$J$27,MATCH($C77,'Materials Master'!$A$2:$A$27,0)),IF($B77="Terracycle",INDEX('Materials Master'!$K$2:$K$27,MATCH($C77,'Materials Master'!$A$2:$A$27,0)),"No"))))))="Yes",INDEX('Materials Master'!$E$2:$E$27,MATCH($C77,'Materials Master'!$A$2:$A$27,0))="Yes",$B77&lt;&gt;"Trash"),1,0)</f>
        <v>0</v>
      </c>
      <c r="H77" s="0" t="str">
        <f aca="false">INDEX('Materials Master'!$E$2:$E$27,MATCH($C77,'Materials Master'!$A$2:$A$27,0))</f>
        <v>No</v>
      </c>
      <c r="I77" s="0" t="str">
        <f aca="false">IFERROR(INDEX(Areas!$C$2:$C$6,MATCH($A77,Areas!$B$2:$B$6,0)),"")</f>
        <v>Rest of Building</v>
      </c>
      <c r="J77" s="0" t="n">
        <f aca="false">IF(IF($B77="Trash",INDEX('Materials Master'!$F$2:$F$27,MATCH($C77,'Materials Master'!$A$2:$A$27,0)),IF($B77="GMPC Recycling",INDEX('Materials Master'!$G$2:$G$27,MATCH($C77,'Materials Master'!$A$2:$A$27,0)),IF($B77="Organics Recycling",INDEX('Materials Master'!$H$2:$H$27,MATCH($C77,'Materials Master'!$A$2:$A$27,0)),IF($B77="Cardboard Recycling",INDEX('Materials Master'!$I$2:$I$27,MATCH($C77,'Materials Master'!$A$2:$A$27,0)),IF($B77="Paper Recycling",INDEX('Materials Master'!$J$2:$J$27,MATCH($C77,'Materials Master'!$A$2:$A$27,0)),IF($B77="Terracycle",INDEX('Materials Master'!$K$2:$K$27,MATCH($C77,'Materials Master'!$A$2:$A$27,0)),"No"))))))="Yes",1,0)</f>
        <v>0</v>
      </c>
    </row>
    <row r="78" customFormat="false" ht="15" hidden="false" customHeight="false" outlineLevel="0" collapsed="false">
      <c r="A78" s="0" t="s">
        <v>91</v>
      </c>
      <c r="B78" s="0" t="s">
        <v>105</v>
      </c>
      <c r="C78" s="0" t="s">
        <v>82</v>
      </c>
      <c r="D78" s="0" t="str">
        <f aca="false">IFERROR(INDEX('Materials Master'!$B$2:$B$27,MATCH($C78,'Materials Master'!$A$2:$A$27,0)),"")</f>
        <v>Snack Wrappers (Composites)</v>
      </c>
      <c r="E78" s="0" t="str">
        <f aca="false">IFERROR(INDEX('Materials Master'!$C$2:$C$27,MATCH($C78,'Materials Master'!$A$2:$A$27,0)),"")</f>
        <v>Other</v>
      </c>
      <c r="F78" s="0" t="n">
        <f aca="false">(SUMIFS(Fact_PreSortWeights!$E$2:$E$15,Fact_PreSortWeights!$C$2:$C$15,$A78,Fact_PreSortWeights!$B$2:$B$15,$B78,Fact_PreSortWeights!$F$2:$F$15,$C78))+(SUMIFS(Fact_SortedWeights!$E$2:$E$6,Fact_SortedWeights!$C$2:$C$6,$A78,Fact_SortedWeights!$B$2:$B$6,$B78,Fact_SortedWeights!$D$2:$D$6,$C78,Fact_SortedWeights!$L$2:$L$6,"Yes"))+IF((SUMIFS(Fact_SortedWeights!$E$2:$E$6,Fact_SortedWeights!$C$2:$C$6,$A78,Fact_SortedWeights!$B$2:$B$6,$B78,Fact_SortedWeights!$L$2:$L$6,"No"))=0,0,(SUMIFS(Fact_SortedWeights!$E$2:$E$6,Fact_SortedWeights!$C$2:$C$6,$A78,Fact_SortedWeights!$B$2:$B$6,$B78,Fact_SortedWeights!$D$2:$D$6,$C78,Fact_SortedWeights!$L$2:$L$6,"No"))/(SUMIFS(Fact_SortedWeights!$E$2:$E$6,Fact_SortedWeights!$C$2:$C$6,$A78,Fact_SortedWeights!$B$2:$B$6,$B78,Fact_SortedWeights!$L$2:$L$6,"No"))*((SUMIFS(Fact_PreSortWeights!$E$2:$E$15,Fact_PreSortWeights!$C$2:$C$15,$A78,Fact_PreSortWeights!$B$2:$B$15,$B78,Fact_PreSortWeights!$F$2:$F$15,""))-(SUMIFS(Fact_SortedWeights!$E$2:$E$6,Fact_SortedWeights!$C$2:$C$6,$A78,Fact_SortedWeights!$B$2:$B$6,$B78,Fact_SortedWeights!$L$2:$L$6,"Yes"))))</f>
        <v>0</v>
      </c>
      <c r="G78" s="0" t="n">
        <f aca="false">IF(AND(IF($B78="Trash",INDEX('Materials Master'!$F$2:$F$27,MATCH($C78,'Materials Master'!$A$2:$A$27,0)),IF($B78="GMPC Recycling",INDEX('Materials Master'!$G$2:$G$27,MATCH($C78,'Materials Master'!$A$2:$A$27,0)),IF($B78="Organics Recycling",INDEX('Materials Master'!$H$2:$H$27,MATCH($C78,'Materials Master'!$A$2:$A$27,0)),IF($B78="Cardboard Recycling",INDEX('Materials Master'!$I$2:$I$27,MATCH($C78,'Materials Master'!$A$2:$A$27,0)),IF($B78="Paper Recycling",INDEX('Materials Master'!$J$2:$J$27,MATCH($C78,'Materials Master'!$A$2:$A$27,0)),IF($B78="Terracycle",INDEX('Materials Master'!$K$2:$K$27,MATCH($C78,'Materials Master'!$A$2:$A$27,0)),"No"))))))="Yes",INDEX('Materials Master'!$E$2:$E$27,MATCH($C78,'Materials Master'!$A$2:$A$27,0))="Yes",$B78&lt;&gt;"Trash"),1,0)</f>
        <v>0</v>
      </c>
      <c r="H78" s="0" t="str">
        <f aca="false">INDEX('Materials Master'!$E$2:$E$27,MATCH($C78,'Materials Master'!$A$2:$A$27,0))</f>
        <v>Yes</v>
      </c>
      <c r="I78" s="0" t="str">
        <f aca="false">IFERROR(INDEX(Areas!$C$2:$C$6,MATCH($A78,Areas!$B$2:$B$6,0)),"")</f>
        <v>Rest of Building</v>
      </c>
      <c r="J78" s="0" t="n">
        <f aca="false">IF(IF($B78="Trash",INDEX('Materials Master'!$F$2:$F$27,MATCH($C78,'Materials Master'!$A$2:$A$27,0)),IF($B78="GMPC Recycling",INDEX('Materials Master'!$G$2:$G$27,MATCH($C78,'Materials Master'!$A$2:$A$27,0)),IF($B78="Organics Recycling",INDEX('Materials Master'!$H$2:$H$27,MATCH($C78,'Materials Master'!$A$2:$A$27,0)),IF($B78="Cardboard Recycling",INDEX('Materials Master'!$I$2:$I$27,MATCH($C78,'Materials Master'!$A$2:$A$27,0)),IF($B78="Paper Recycling",INDEX('Materials Master'!$J$2:$J$27,MATCH($C78,'Materials Master'!$A$2:$A$27,0)),IF($B78="Terracycle",INDEX('Materials Master'!$K$2:$K$27,MATCH($C78,'Materials Master'!$A$2:$A$27,0)),"No"))))))="Yes",1,0)</f>
        <v>0</v>
      </c>
    </row>
    <row r="79" customFormat="false" ht="15" hidden="false" customHeight="false" outlineLevel="0" collapsed="false">
      <c r="A79" s="0" t="s">
        <v>91</v>
      </c>
      <c r="B79" s="0" t="s">
        <v>105</v>
      </c>
      <c r="C79" s="0" t="s">
        <v>85</v>
      </c>
      <c r="D79" s="0" t="str">
        <f aca="false">IFERROR(INDEX('Materials Master'!$B$2:$B$27,MATCH($C79,'Materials Master'!$A$2:$A$27,0)),"")</f>
        <v>Other/Residual Materials</v>
      </c>
      <c r="E79" s="0" t="str">
        <f aca="false">IFERROR(INDEX('Materials Master'!$C$2:$C$27,MATCH($C79,'Materials Master'!$A$2:$A$27,0)),"")</f>
        <v>Other</v>
      </c>
      <c r="F79" s="0" t="n">
        <f aca="false">(SUMIFS(Fact_PreSortWeights!$E$2:$E$15,Fact_PreSortWeights!$C$2:$C$15,$A79,Fact_PreSortWeights!$B$2:$B$15,$B79,Fact_PreSortWeights!$F$2:$F$15,$C79))+(SUMIFS(Fact_SortedWeights!$E$2:$E$6,Fact_SortedWeights!$C$2:$C$6,$A79,Fact_SortedWeights!$B$2:$B$6,$B79,Fact_SortedWeights!$D$2:$D$6,$C79,Fact_SortedWeights!$L$2:$L$6,"Yes"))+IF((SUMIFS(Fact_SortedWeights!$E$2:$E$6,Fact_SortedWeights!$C$2:$C$6,$A79,Fact_SortedWeights!$B$2:$B$6,$B79,Fact_SortedWeights!$L$2:$L$6,"No"))=0,0,(SUMIFS(Fact_SortedWeights!$E$2:$E$6,Fact_SortedWeights!$C$2:$C$6,$A79,Fact_SortedWeights!$B$2:$B$6,$B79,Fact_SortedWeights!$D$2:$D$6,$C79,Fact_SortedWeights!$L$2:$L$6,"No"))/(SUMIFS(Fact_SortedWeights!$E$2:$E$6,Fact_SortedWeights!$C$2:$C$6,$A79,Fact_SortedWeights!$B$2:$B$6,$B79,Fact_SortedWeights!$L$2:$L$6,"No"))*((SUMIFS(Fact_PreSortWeights!$E$2:$E$15,Fact_PreSortWeights!$C$2:$C$15,$A79,Fact_PreSortWeights!$B$2:$B$15,$B79,Fact_PreSortWeights!$F$2:$F$15,""))-(SUMIFS(Fact_SortedWeights!$E$2:$E$6,Fact_SortedWeights!$C$2:$C$6,$A79,Fact_SortedWeights!$B$2:$B$6,$B79,Fact_SortedWeights!$L$2:$L$6,"Yes"))))</f>
        <v>0</v>
      </c>
      <c r="G79" s="0" t="n">
        <f aca="false">IF(AND(IF($B79="Trash",INDEX('Materials Master'!$F$2:$F$27,MATCH($C79,'Materials Master'!$A$2:$A$27,0)),IF($B79="GMPC Recycling",INDEX('Materials Master'!$G$2:$G$27,MATCH($C79,'Materials Master'!$A$2:$A$27,0)),IF($B79="Organics Recycling",INDEX('Materials Master'!$H$2:$H$27,MATCH($C79,'Materials Master'!$A$2:$A$27,0)),IF($B79="Cardboard Recycling",INDEX('Materials Master'!$I$2:$I$27,MATCH($C79,'Materials Master'!$A$2:$A$27,0)),IF($B79="Paper Recycling",INDEX('Materials Master'!$J$2:$J$27,MATCH($C79,'Materials Master'!$A$2:$A$27,0)),IF($B79="Terracycle",INDEX('Materials Master'!$K$2:$K$27,MATCH($C79,'Materials Master'!$A$2:$A$27,0)),"No"))))))="Yes",INDEX('Materials Master'!$E$2:$E$27,MATCH($C79,'Materials Master'!$A$2:$A$27,0))="Yes",$B79&lt;&gt;"Trash"),1,0)</f>
        <v>0</v>
      </c>
      <c r="H79" s="0" t="str">
        <f aca="false">INDEX('Materials Master'!$E$2:$E$27,MATCH($C79,'Materials Master'!$A$2:$A$27,0))</f>
        <v>No</v>
      </c>
      <c r="I79" s="0" t="str">
        <f aca="false">IFERROR(INDEX(Areas!$C$2:$C$6,MATCH($A79,Areas!$B$2:$B$6,0)),"")</f>
        <v>Rest of Building</v>
      </c>
      <c r="J79" s="0" t="n">
        <f aca="false">IF(IF($B79="Trash",INDEX('Materials Master'!$F$2:$F$27,MATCH($C79,'Materials Master'!$A$2:$A$27,0)),IF($B79="GMPC Recycling",INDEX('Materials Master'!$G$2:$G$27,MATCH($C79,'Materials Master'!$A$2:$A$27,0)),IF($B79="Organics Recycling",INDEX('Materials Master'!$H$2:$H$27,MATCH($C79,'Materials Master'!$A$2:$A$27,0)),IF($B79="Cardboard Recycling",INDEX('Materials Master'!$I$2:$I$27,MATCH($C79,'Materials Master'!$A$2:$A$27,0)),IF($B79="Paper Recycling",INDEX('Materials Master'!$J$2:$J$27,MATCH($C79,'Materials Master'!$A$2:$A$27,0)),IF($B79="Terracycle",INDEX('Materials Master'!$K$2:$K$27,MATCH($C79,'Materials Master'!$A$2:$A$27,0)),"No"))))))="Yes",1,0)</f>
        <v>0</v>
      </c>
    </row>
    <row r="80" customFormat="false" ht="15" hidden="false" customHeight="false" outlineLevel="0" collapsed="false">
      <c r="A80" s="0" t="s">
        <v>91</v>
      </c>
      <c r="B80" s="0" t="s">
        <v>106</v>
      </c>
      <c r="C80" s="0" t="s">
        <v>26</v>
      </c>
      <c r="D80" s="0" t="str">
        <f aca="false">IFERROR(INDEX('Materials Master'!$B$2:$B$27,MATCH($C80,'Materials Master'!$A$2:$A$27,0)),"")</f>
        <v>Corrugated Cardboard</v>
      </c>
      <c r="E80" s="0" t="str">
        <f aca="false">IFERROR(INDEX('Materials Master'!$C$2:$C$27,MATCH($C80,'Materials Master'!$A$2:$A$27,0)),"")</f>
        <v>Fibers</v>
      </c>
      <c r="F80" s="0" t="n">
        <f aca="false">SUMIFS(Fact_SortedWeights!$E$2:$E$6,Fact_SortedWeights!$C$2:$C$6,$A80,Fact_SortedWeights!$B$2:$B$6,$B80,Fact_SortedWeights!$D$2:$D$6,$C80)</f>
        <v>50</v>
      </c>
      <c r="G80" s="0" t="n">
        <f aca="false">IF(AND(IF($B80="Trash",INDEX('Materials Master'!$F$2:$F$27,MATCH($C80,'Materials Master'!$A$2:$A$27,0)),IF($B80="GMPC Recycling",INDEX('Materials Master'!$G$2:$G$27,MATCH($C80,'Materials Master'!$A$2:$A$27,0)),IF($B80="Organics Recycling",INDEX('Materials Master'!$H$2:$H$27,MATCH($C80,'Materials Master'!$A$2:$A$27,0)),IF($B80="Cardboard Recycling",INDEX('Materials Master'!$I$2:$I$27,MATCH($C80,'Materials Master'!$A$2:$A$27,0)),IF($B80="Paper Recycling",INDEX('Materials Master'!$J$2:$J$27,MATCH($C80,'Materials Master'!$A$2:$A$27,0)),IF($B80="Terracycle",INDEX('Materials Master'!$K$2:$K$27,MATCH($C80,'Materials Master'!$A$2:$A$27,0)),"No"))))))="Yes",INDEX('Materials Master'!$E$2:$E$27,MATCH($C80,'Materials Master'!$A$2:$A$27,0))="Yes",$B80&lt;&gt;"Trash"),1,0)</f>
        <v>1</v>
      </c>
      <c r="H80" s="0" t="str">
        <f aca="false">INDEX('Materials Master'!$E$2:$E$27,MATCH($C80,'Materials Master'!$A$2:$A$27,0))</f>
        <v>Yes</v>
      </c>
      <c r="I80" s="0" t="str">
        <f aca="false">IFERROR(INDEX(Areas!$C$2:$C$6,MATCH($A80,Areas!$B$2:$B$6,0)),"")</f>
        <v>Rest of Building</v>
      </c>
      <c r="J80" s="0" t="n">
        <f aca="false">IF(IF($B80="Trash",INDEX('Materials Master'!$F$2:$F$27,MATCH($C80,'Materials Master'!$A$2:$A$27,0)),IF($B80="GMPC Recycling",INDEX('Materials Master'!$G$2:$G$27,MATCH($C80,'Materials Master'!$A$2:$A$27,0)),IF($B80="Organics Recycling",INDEX('Materials Master'!$H$2:$H$27,MATCH($C80,'Materials Master'!$A$2:$A$27,0)),IF($B80="Cardboard Recycling",INDEX('Materials Master'!$I$2:$I$27,MATCH($C80,'Materials Master'!$A$2:$A$27,0)),IF($B80="Paper Recycling",INDEX('Materials Master'!$J$2:$J$27,MATCH($C80,'Materials Master'!$A$2:$A$27,0)),IF($B80="Terracycle",INDEX('Materials Master'!$K$2:$K$27,MATCH($C80,'Materials Master'!$A$2:$A$27,0)),"No"))))))="Yes",1,0)</f>
        <v>1</v>
      </c>
    </row>
    <row r="81" customFormat="false" ht="15" hidden="false" customHeight="false" outlineLevel="0" collapsed="false">
      <c r="A81" s="0" t="s">
        <v>91</v>
      </c>
      <c r="B81" s="0" t="s">
        <v>106</v>
      </c>
      <c r="C81" s="0" t="s">
        <v>31</v>
      </c>
      <c r="D81" s="0" t="str">
        <f aca="false">IFERROR(INDEX('Materials Master'!$B$2:$B$27,MATCH($C81,'Materials Master'!$A$2:$A$27,0)),"")</f>
        <v>Soiled Cardboard</v>
      </c>
      <c r="E81" s="0" t="str">
        <f aca="false">IFERROR(INDEX('Materials Master'!$C$2:$C$27,MATCH($C81,'Materials Master'!$A$2:$A$27,0)),"")</f>
        <v>Fibers</v>
      </c>
      <c r="F81" s="0" t="n">
        <f aca="false">SUMIFS(Fact_SortedWeights!$E$2:$E$6,Fact_SortedWeights!$C$2:$C$6,$A81,Fact_SortedWeights!$B$2:$B$6,$B81,Fact_SortedWeights!$D$2:$D$6,$C81)</f>
        <v>0</v>
      </c>
      <c r="G81" s="0" t="n">
        <f aca="false">IF(AND(IF($B81="Trash",INDEX('Materials Master'!$F$2:$F$27,MATCH($C81,'Materials Master'!$A$2:$A$27,0)),IF($B81="GMPC Recycling",INDEX('Materials Master'!$G$2:$G$27,MATCH($C81,'Materials Master'!$A$2:$A$27,0)),IF($B81="Organics Recycling",INDEX('Materials Master'!$H$2:$H$27,MATCH($C81,'Materials Master'!$A$2:$A$27,0)),IF($B81="Cardboard Recycling",INDEX('Materials Master'!$I$2:$I$27,MATCH($C81,'Materials Master'!$A$2:$A$27,0)),IF($B81="Paper Recycling",INDEX('Materials Master'!$J$2:$J$27,MATCH($C81,'Materials Master'!$A$2:$A$27,0)),IF($B81="Terracycle",INDEX('Materials Master'!$K$2:$K$27,MATCH($C81,'Materials Master'!$A$2:$A$27,0)),"No"))))))="Yes",INDEX('Materials Master'!$E$2:$E$27,MATCH($C81,'Materials Master'!$A$2:$A$27,0))="Yes",$B81&lt;&gt;"Trash"),1,0)</f>
        <v>0</v>
      </c>
      <c r="H81" s="0" t="str">
        <f aca="false">INDEX('Materials Master'!$E$2:$E$27,MATCH($C81,'Materials Master'!$A$2:$A$27,0))</f>
        <v>No</v>
      </c>
      <c r="I81" s="0" t="str">
        <f aca="false">IFERROR(INDEX(Areas!$C$2:$C$6,MATCH($A81,Areas!$B$2:$B$6,0)),"")</f>
        <v>Rest of Building</v>
      </c>
      <c r="J81" s="0" t="n">
        <f aca="false">IF(IF($B81="Trash",INDEX('Materials Master'!$F$2:$F$27,MATCH($C81,'Materials Master'!$A$2:$A$27,0)),IF($B81="GMPC Recycling",INDEX('Materials Master'!$G$2:$G$27,MATCH($C81,'Materials Master'!$A$2:$A$27,0)),IF($B81="Organics Recycling",INDEX('Materials Master'!$H$2:$H$27,MATCH($C81,'Materials Master'!$A$2:$A$27,0)),IF($B81="Cardboard Recycling",INDEX('Materials Master'!$I$2:$I$27,MATCH($C81,'Materials Master'!$A$2:$A$27,0)),IF($B81="Paper Recycling",INDEX('Materials Master'!$J$2:$J$27,MATCH($C81,'Materials Master'!$A$2:$A$27,0)),IF($B81="Terracycle",INDEX('Materials Master'!$K$2:$K$27,MATCH($C81,'Materials Master'!$A$2:$A$27,0)),"No"))))))="Yes",1,0)</f>
        <v>0</v>
      </c>
    </row>
    <row r="82" customFormat="false" ht="15" hidden="false" customHeight="false" outlineLevel="0" collapsed="false">
      <c r="A82" s="0" t="s">
        <v>91</v>
      </c>
      <c r="B82" s="0" t="s">
        <v>106</v>
      </c>
      <c r="C82" s="0" t="s">
        <v>33</v>
      </c>
      <c r="D82" s="0" t="str">
        <f aca="false">IFERROR(INDEX('Materials Master'!$B$2:$B$27,MATCH($C82,'Materials Master'!$A$2:$A$27,0)),"")</f>
        <v>Waxed Cardboard</v>
      </c>
      <c r="E82" s="0" t="str">
        <f aca="false">IFERROR(INDEX('Materials Master'!$C$2:$C$27,MATCH($C82,'Materials Master'!$A$2:$A$27,0)),"")</f>
        <v>Fibers</v>
      </c>
      <c r="F82" s="0" t="n">
        <f aca="false">SUMIFS(Fact_SortedWeights!$E$2:$E$6,Fact_SortedWeights!$C$2:$C$6,$A82,Fact_SortedWeights!$B$2:$B$6,$B82,Fact_SortedWeights!$D$2:$D$6,$C82)</f>
        <v>0</v>
      </c>
      <c r="G82" s="0" t="n">
        <f aca="false">IF(AND(IF($B82="Trash",INDEX('Materials Master'!$F$2:$F$27,MATCH($C82,'Materials Master'!$A$2:$A$27,0)),IF($B82="GMPC Recycling",INDEX('Materials Master'!$G$2:$G$27,MATCH($C82,'Materials Master'!$A$2:$A$27,0)),IF($B82="Organics Recycling",INDEX('Materials Master'!$H$2:$H$27,MATCH($C82,'Materials Master'!$A$2:$A$27,0)),IF($B82="Cardboard Recycling",INDEX('Materials Master'!$I$2:$I$27,MATCH($C82,'Materials Master'!$A$2:$A$27,0)),IF($B82="Paper Recycling",INDEX('Materials Master'!$J$2:$J$27,MATCH($C82,'Materials Master'!$A$2:$A$27,0)),IF($B82="Terracycle",INDEX('Materials Master'!$K$2:$K$27,MATCH($C82,'Materials Master'!$A$2:$A$27,0)),"No"))))))="Yes",INDEX('Materials Master'!$E$2:$E$27,MATCH($C82,'Materials Master'!$A$2:$A$27,0))="Yes",$B82&lt;&gt;"Trash"),1,0)</f>
        <v>0</v>
      </c>
      <c r="H82" s="0" t="str">
        <f aca="false">INDEX('Materials Master'!$E$2:$E$27,MATCH($C82,'Materials Master'!$A$2:$A$27,0))</f>
        <v>No</v>
      </c>
      <c r="I82" s="0" t="str">
        <f aca="false">IFERROR(INDEX(Areas!$C$2:$C$6,MATCH($A82,Areas!$B$2:$B$6,0)),"")</f>
        <v>Rest of Building</v>
      </c>
      <c r="J82" s="0" t="n">
        <f aca="false">IF(IF($B82="Trash",INDEX('Materials Master'!$F$2:$F$27,MATCH($C82,'Materials Master'!$A$2:$A$27,0)),IF($B82="GMPC Recycling",INDEX('Materials Master'!$G$2:$G$27,MATCH($C82,'Materials Master'!$A$2:$A$27,0)),IF($B82="Organics Recycling",INDEX('Materials Master'!$H$2:$H$27,MATCH($C82,'Materials Master'!$A$2:$A$27,0)),IF($B82="Cardboard Recycling",INDEX('Materials Master'!$I$2:$I$27,MATCH($C82,'Materials Master'!$A$2:$A$27,0)),IF($B82="Paper Recycling",INDEX('Materials Master'!$J$2:$J$27,MATCH($C82,'Materials Master'!$A$2:$A$27,0)),IF($B82="Terracycle",INDEX('Materials Master'!$K$2:$K$27,MATCH($C82,'Materials Master'!$A$2:$A$27,0)),"No"))))))="Yes",1,0)</f>
        <v>0</v>
      </c>
    </row>
    <row r="83" customFormat="false" ht="15" hidden="false" customHeight="false" outlineLevel="0" collapsed="false">
      <c r="A83" s="0" t="s">
        <v>91</v>
      </c>
      <c r="B83" s="0" t="s">
        <v>106</v>
      </c>
      <c r="C83" s="0" t="s">
        <v>35</v>
      </c>
      <c r="D83" s="0" t="str">
        <f aca="false">IFERROR(INDEX('Materials Master'!$B$2:$B$27,MATCH($C83,'Materials Master'!$A$2:$A$27,0)),"")</f>
        <v>Mixed Paper</v>
      </c>
      <c r="E83" s="0" t="str">
        <f aca="false">IFERROR(INDEX('Materials Master'!$C$2:$C$27,MATCH($C83,'Materials Master'!$A$2:$A$27,0)),"")</f>
        <v>Fibers</v>
      </c>
      <c r="F83" s="0" t="n">
        <f aca="false">SUMIFS(Fact_SortedWeights!$E$2:$E$6,Fact_SortedWeights!$C$2:$C$6,$A83,Fact_SortedWeights!$B$2:$B$6,$B83,Fact_SortedWeights!$D$2:$D$6,$C83)</f>
        <v>0</v>
      </c>
      <c r="G83" s="0" t="n">
        <f aca="false">IF(AND(IF($B83="Trash",INDEX('Materials Master'!$F$2:$F$27,MATCH($C83,'Materials Master'!$A$2:$A$27,0)),IF($B83="GMPC Recycling",INDEX('Materials Master'!$G$2:$G$27,MATCH($C83,'Materials Master'!$A$2:$A$27,0)),IF($B83="Organics Recycling",INDEX('Materials Master'!$H$2:$H$27,MATCH($C83,'Materials Master'!$A$2:$A$27,0)),IF($B83="Cardboard Recycling",INDEX('Materials Master'!$I$2:$I$27,MATCH($C83,'Materials Master'!$A$2:$A$27,0)),IF($B83="Paper Recycling",INDEX('Materials Master'!$J$2:$J$27,MATCH($C83,'Materials Master'!$A$2:$A$27,0)),IF($B83="Terracycle",INDEX('Materials Master'!$K$2:$K$27,MATCH($C83,'Materials Master'!$A$2:$A$27,0)),"No"))))))="Yes",INDEX('Materials Master'!$E$2:$E$27,MATCH($C83,'Materials Master'!$A$2:$A$27,0))="Yes",$B83&lt;&gt;"Trash"),1,0)</f>
        <v>0</v>
      </c>
      <c r="H83" s="0" t="str">
        <f aca="false">INDEX('Materials Master'!$E$2:$E$27,MATCH($C83,'Materials Master'!$A$2:$A$27,0))</f>
        <v>Yes</v>
      </c>
      <c r="I83" s="0" t="str">
        <f aca="false">IFERROR(INDEX(Areas!$C$2:$C$6,MATCH($A83,Areas!$B$2:$B$6,0)),"")</f>
        <v>Rest of Building</v>
      </c>
      <c r="J83" s="0" t="n">
        <f aca="false">IF(IF($B83="Trash",INDEX('Materials Master'!$F$2:$F$27,MATCH($C83,'Materials Master'!$A$2:$A$27,0)),IF($B83="GMPC Recycling",INDEX('Materials Master'!$G$2:$G$27,MATCH($C83,'Materials Master'!$A$2:$A$27,0)),IF($B83="Organics Recycling",INDEX('Materials Master'!$H$2:$H$27,MATCH($C83,'Materials Master'!$A$2:$A$27,0)),IF($B83="Cardboard Recycling",INDEX('Materials Master'!$I$2:$I$27,MATCH($C83,'Materials Master'!$A$2:$A$27,0)),IF($B83="Paper Recycling",INDEX('Materials Master'!$J$2:$J$27,MATCH($C83,'Materials Master'!$A$2:$A$27,0)),IF($B83="Terracycle",INDEX('Materials Master'!$K$2:$K$27,MATCH($C83,'Materials Master'!$A$2:$A$27,0)),"No"))))))="Yes",1,0)</f>
        <v>0</v>
      </c>
    </row>
    <row r="84" customFormat="false" ht="15" hidden="false" customHeight="false" outlineLevel="0" collapsed="false">
      <c r="A84" s="0" t="s">
        <v>91</v>
      </c>
      <c r="B84" s="0" t="s">
        <v>106</v>
      </c>
      <c r="C84" s="0" t="s">
        <v>37</v>
      </c>
      <c r="D84" s="0" t="str">
        <f aca="false">IFERROR(INDEX('Materials Master'!$B$2:$B$27,MATCH($C84,'Materials Master'!$A$2:$A$27,0)),"")</f>
        <v>Soiled Paper</v>
      </c>
      <c r="E84" s="0" t="str">
        <f aca="false">IFERROR(INDEX('Materials Master'!$C$2:$C$27,MATCH($C84,'Materials Master'!$A$2:$A$27,0)),"")</f>
        <v>Fibers</v>
      </c>
      <c r="F84" s="0" t="n">
        <f aca="false">SUMIFS(Fact_SortedWeights!$E$2:$E$6,Fact_SortedWeights!$C$2:$C$6,$A84,Fact_SortedWeights!$B$2:$B$6,$B84,Fact_SortedWeights!$D$2:$D$6,$C84)</f>
        <v>0</v>
      </c>
      <c r="G84" s="0" t="n">
        <f aca="false">IF(AND(IF($B84="Trash",INDEX('Materials Master'!$F$2:$F$27,MATCH($C84,'Materials Master'!$A$2:$A$27,0)),IF($B84="GMPC Recycling",INDEX('Materials Master'!$G$2:$G$27,MATCH($C84,'Materials Master'!$A$2:$A$27,0)),IF($B84="Organics Recycling",INDEX('Materials Master'!$H$2:$H$27,MATCH($C84,'Materials Master'!$A$2:$A$27,0)),IF($B84="Cardboard Recycling",INDEX('Materials Master'!$I$2:$I$27,MATCH($C84,'Materials Master'!$A$2:$A$27,0)),IF($B84="Paper Recycling",INDEX('Materials Master'!$J$2:$J$27,MATCH($C84,'Materials Master'!$A$2:$A$27,0)),IF($B84="Terracycle",INDEX('Materials Master'!$K$2:$K$27,MATCH($C84,'Materials Master'!$A$2:$A$27,0)),"No"))))))="Yes",INDEX('Materials Master'!$E$2:$E$27,MATCH($C84,'Materials Master'!$A$2:$A$27,0))="Yes",$B84&lt;&gt;"Trash"),1,0)</f>
        <v>0</v>
      </c>
      <c r="H84" s="0" t="str">
        <f aca="false">INDEX('Materials Master'!$E$2:$E$27,MATCH($C84,'Materials Master'!$A$2:$A$27,0))</f>
        <v>No</v>
      </c>
      <c r="I84" s="0" t="str">
        <f aca="false">IFERROR(INDEX(Areas!$C$2:$C$6,MATCH($A84,Areas!$B$2:$B$6,0)),"")</f>
        <v>Rest of Building</v>
      </c>
      <c r="J84" s="0" t="n">
        <f aca="false">IF(IF($B84="Trash",INDEX('Materials Master'!$F$2:$F$27,MATCH($C84,'Materials Master'!$A$2:$A$27,0)),IF($B84="GMPC Recycling",INDEX('Materials Master'!$G$2:$G$27,MATCH($C84,'Materials Master'!$A$2:$A$27,0)),IF($B84="Organics Recycling",INDEX('Materials Master'!$H$2:$H$27,MATCH($C84,'Materials Master'!$A$2:$A$27,0)),IF($B84="Cardboard Recycling",INDEX('Materials Master'!$I$2:$I$27,MATCH($C84,'Materials Master'!$A$2:$A$27,0)),IF($B84="Paper Recycling",INDEX('Materials Master'!$J$2:$J$27,MATCH($C84,'Materials Master'!$A$2:$A$27,0)),IF($B84="Terracycle",INDEX('Materials Master'!$K$2:$K$27,MATCH($C84,'Materials Master'!$A$2:$A$27,0)),"No"))))))="Yes",1,0)</f>
        <v>0</v>
      </c>
    </row>
    <row r="85" customFormat="false" ht="15" hidden="false" customHeight="false" outlineLevel="0" collapsed="false">
      <c r="A85" s="0" t="s">
        <v>91</v>
      </c>
      <c r="B85" s="0" t="s">
        <v>106</v>
      </c>
      <c r="C85" s="0" t="s">
        <v>39</v>
      </c>
      <c r="D85" s="0" t="str">
        <f aca="false">IFERROR(INDEX('Materials Master'!$B$2:$B$27,MATCH($C85,'Materials Master'!$A$2:$A$27,0)),"")</f>
        <v>Beverage Cartons</v>
      </c>
      <c r="E85" s="0" t="str">
        <f aca="false">IFERROR(INDEX('Materials Master'!$C$2:$C$27,MATCH($C85,'Materials Master'!$A$2:$A$27,0)),"")</f>
        <v>Fibers</v>
      </c>
      <c r="F85" s="0" t="n">
        <f aca="false">SUMIFS(Fact_SortedWeights!$E$2:$E$6,Fact_SortedWeights!$C$2:$C$6,$A85,Fact_SortedWeights!$B$2:$B$6,$B85,Fact_SortedWeights!$D$2:$D$6,$C85)</f>
        <v>0</v>
      </c>
      <c r="G85" s="0" t="n">
        <f aca="false">IF(AND(IF($B85="Trash",INDEX('Materials Master'!$F$2:$F$27,MATCH($C85,'Materials Master'!$A$2:$A$27,0)),IF($B85="GMPC Recycling",INDEX('Materials Master'!$G$2:$G$27,MATCH($C85,'Materials Master'!$A$2:$A$27,0)),IF($B85="Organics Recycling",INDEX('Materials Master'!$H$2:$H$27,MATCH($C85,'Materials Master'!$A$2:$A$27,0)),IF($B85="Cardboard Recycling",INDEX('Materials Master'!$I$2:$I$27,MATCH($C85,'Materials Master'!$A$2:$A$27,0)),IF($B85="Paper Recycling",INDEX('Materials Master'!$J$2:$J$27,MATCH($C85,'Materials Master'!$A$2:$A$27,0)),IF($B85="Terracycle",INDEX('Materials Master'!$K$2:$K$27,MATCH($C85,'Materials Master'!$A$2:$A$27,0)),"No"))))))="Yes",INDEX('Materials Master'!$E$2:$E$27,MATCH($C85,'Materials Master'!$A$2:$A$27,0))="Yes",$B85&lt;&gt;"Trash"),1,0)</f>
        <v>1</v>
      </c>
      <c r="H85" s="0" t="str">
        <f aca="false">INDEX('Materials Master'!$E$2:$E$27,MATCH($C85,'Materials Master'!$A$2:$A$27,0))</f>
        <v>Yes</v>
      </c>
      <c r="I85" s="0" t="str">
        <f aca="false">IFERROR(INDEX(Areas!$C$2:$C$6,MATCH($A85,Areas!$B$2:$B$6,0)),"")</f>
        <v>Rest of Building</v>
      </c>
      <c r="J85" s="0" t="n">
        <f aca="false">IF(IF($B85="Trash",INDEX('Materials Master'!$F$2:$F$27,MATCH($C85,'Materials Master'!$A$2:$A$27,0)),IF($B85="GMPC Recycling",INDEX('Materials Master'!$G$2:$G$27,MATCH($C85,'Materials Master'!$A$2:$A$27,0)),IF($B85="Organics Recycling",INDEX('Materials Master'!$H$2:$H$27,MATCH($C85,'Materials Master'!$A$2:$A$27,0)),IF($B85="Cardboard Recycling",INDEX('Materials Master'!$I$2:$I$27,MATCH($C85,'Materials Master'!$A$2:$A$27,0)),IF($B85="Paper Recycling",INDEX('Materials Master'!$J$2:$J$27,MATCH($C85,'Materials Master'!$A$2:$A$27,0)),IF($B85="Terracycle",INDEX('Materials Master'!$K$2:$K$27,MATCH($C85,'Materials Master'!$A$2:$A$27,0)),"No"))))))="Yes",1,0)</f>
        <v>1</v>
      </c>
    </row>
    <row r="86" customFormat="false" ht="15" hidden="false" customHeight="false" outlineLevel="0" collapsed="false">
      <c r="A86" s="0" t="s">
        <v>91</v>
      </c>
      <c r="B86" s="0" t="s">
        <v>106</v>
      </c>
      <c r="C86" s="0" t="s">
        <v>41</v>
      </c>
      <c r="D86" s="0" t="str">
        <f aca="false">IFERROR(INDEX('Materials Master'!$B$2:$B$27,MATCH($C86,'Materials Master'!$A$2:$A$27,0)),"")</f>
        <v>Soiled Beverage Cartons</v>
      </c>
      <c r="E86" s="0" t="str">
        <f aca="false">IFERROR(INDEX('Materials Master'!$C$2:$C$27,MATCH($C86,'Materials Master'!$A$2:$A$27,0)),"")</f>
        <v>Fibers</v>
      </c>
      <c r="F86" s="0" t="n">
        <f aca="false">SUMIFS(Fact_SortedWeights!$E$2:$E$6,Fact_SortedWeights!$C$2:$C$6,$A86,Fact_SortedWeights!$B$2:$B$6,$B86,Fact_SortedWeights!$D$2:$D$6,$C86)</f>
        <v>0</v>
      </c>
      <c r="G86" s="0" t="n">
        <f aca="false">IF(AND(IF($B86="Trash",INDEX('Materials Master'!$F$2:$F$27,MATCH($C86,'Materials Master'!$A$2:$A$27,0)),IF($B86="GMPC Recycling",INDEX('Materials Master'!$G$2:$G$27,MATCH($C86,'Materials Master'!$A$2:$A$27,0)),IF($B86="Organics Recycling",INDEX('Materials Master'!$H$2:$H$27,MATCH($C86,'Materials Master'!$A$2:$A$27,0)),IF($B86="Cardboard Recycling",INDEX('Materials Master'!$I$2:$I$27,MATCH($C86,'Materials Master'!$A$2:$A$27,0)),IF($B86="Paper Recycling",INDEX('Materials Master'!$J$2:$J$27,MATCH($C86,'Materials Master'!$A$2:$A$27,0)),IF($B86="Terracycle",INDEX('Materials Master'!$K$2:$K$27,MATCH($C86,'Materials Master'!$A$2:$A$27,0)),"No"))))))="Yes",INDEX('Materials Master'!$E$2:$E$27,MATCH($C86,'Materials Master'!$A$2:$A$27,0))="Yes",$B86&lt;&gt;"Trash"),1,0)</f>
        <v>0</v>
      </c>
      <c r="H86" s="0" t="str">
        <f aca="false">INDEX('Materials Master'!$E$2:$E$27,MATCH($C86,'Materials Master'!$A$2:$A$27,0))</f>
        <v>No</v>
      </c>
      <c r="I86" s="0" t="str">
        <f aca="false">IFERROR(INDEX(Areas!$C$2:$C$6,MATCH($A86,Areas!$B$2:$B$6,0)),"")</f>
        <v>Rest of Building</v>
      </c>
      <c r="J86" s="0" t="n">
        <f aca="false">IF(IF($B86="Trash",INDEX('Materials Master'!$F$2:$F$27,MATCH($C86,'Materials Master'!$A$2:$A$27,0)),IF($B86="GMPC Recycling",INDEX('Materials Master'!$G$2:$G$27,MATCH($C86,'Materials Master'!$A$2:$A$27,0)),IF($B86="Organics Recycling",INDEX('Materials Master'!$H$2:$H$27,MATCH($C86,'Materials Master'!$A$2:$A$27,0)),IF($B86="Cardboard Recycling",INDEX('Materials Master'!$I$2:$I$27,MATCH($C86,'Materials Master'!$A$2:$A$27,0)),IF($B86="Paper Recycling",INDEX('Materials Master'!$J$2:$J$27,MATCH($C86,'Materials Master'!$A$2:$A$27,0)),IF($B86="Terracycle",INDEX('Materials Master'!$K$2:$K$27,MATCH($C86,'Materials Master'!$A$2:$A$27,0)),"No"))))))="Yes",1,0)</f>
        <v>0</v>
      </c>
    </row>
    <row r="87" customFormat="false" ht="15" hidden="false" customHeight="false" outlineLevel="0" collapsed="false">
      <c r="A87" s="0" t="s">
        <v>91</v>
      </c>
      <c r="B87" s="0" t="s">
        <v>106</v>
      </c>
      <c r="C87" s="0" t="s">
        <v>43</v>
      </c>
      <c r="D87" s="0" t="str">
        <f aca="false">IFERROR(INDEX('Materials Master'!$B$2:$B$27,MATCH($C87,'Materials Master'!$A$2:$A$27,0)),"")</f>
        <v>Paper Cups / Other Coated Paper Containers</v>
      </c>
      <c r="E87" s="0" t="str">
        <f aca="false">IFERROR(INDEX('Materials Master'!$C$2:$C$27,MATCH($C87,'Materials Master'!$A$2:$A$27,0)),"")</f>
        <v>Fibers</v>
      </c>
      <c r="F87" s="0" t="n">
        <f aca="false">SUMIFS(Fact_SortedWeights!$E$2:$E$6,Fact_SortedWeights!$C$2:$C$6,$A87,Fact_SortedWeights!$B$2:$B$6,$B87,Fact_SortedWeights!$D$2:$D$6,$C87)</f>
        <v>0</v>
      </c>
      <c r="G87" s="0" t="n">
        <f aca="false">IF(AND(IF($B87="Trash",INDEX('Materials Master'!$F$2:$F$27,MATCH($C87,'Materials Master'!$A$2:$A$27,0)),IF($B87="GMPC Recycling",INDEX('Materials Master'!$G$2:$G$27,MATCH($C87,'Materials Master'!$A$2:$A$27,0)),IF($B87="Organics Recycling",INDEX('Materials Master'!$H$2:$H$27,MATCH($C87,'Materials Master'!$A$2:$A$27,0)),IF($B87="Cardboard Recycling",INDEX('Materials Master'!$I$2:$I$27,MATCH($C87,'Materials Master'!$A$2:$A$27,0)),IF($B87="Paper Recycling",INDEX('Materials Master'!$J$2:$J$27,MATCH($C87,'Materials Master'!$A$2:$A$27,0)),IF($B87="Terracycle",INDEX('Materials Master'!$K$2:$K$27,MATCH($C87,'Materials Master'!$A$2:$A$27,0)),"No"))))))="Yes",INDEX('Materials Master'!$E$2:$E$27,MATCH($C87,'Materials Master'!$A$2:$A$27,0))="Yes",$B87&lt;&gt;"Trash"),1,0)</f>
        <v>0</v>
      </c>
      <c r="H87" s="0" t="str">
        <f aca="false">INDEX('Materials Master'!$E$2:$E$27,MATCH($C87,'Materials Master'!$A$2:$A$27,0))</f>
        <v>No</v>
      </c>
      <c r="I87" s="0" t="str">
        <f aca="false">IFERROR(INDEX(Areas!$C$2:$C$6,MATCH($A87,Areas!$B$2:$B$6,0)),"")</f>
        <v>Rest of Building</v>
      </c>
      <c r="J87" s="0" t="n">
        <f aca="false">IF(IF($B87="Trash",INDEX('Materials Master'!$F$2:$F$27,MATCH($C87,'Materials Master'!$A$2:$A$27,0)),IF($B87="GMPC Recycling",INDEX('Materials Master'!$G$2:$G$27,MATCH($C87,'Materials Master'!$A$2:$A$27,0)),IF($B87="Organics Recycling",INDEX('Materials Master'!$H$2:$H$27,MATCH($C87,'Materials Master'!$A$2:$A$27,0)),IF($B87="Cardboard Recycling",INDEX('Materials Master'!$I$2:$I$27,MATCH($C87,'Materials Master'!$A$2:$A$27,0)),IF($B87="Paper Recycling",INDEX('Materials Master'!$J$2:$J$27,MATCH($C87,'Materials Master'!$A$2:$A$27,0)),IF($B87="Terracycle",INDEX('Materials Master'!$K$2:$K$27,MATCH($C87,'Materials Master'!$A$2:$A$27,0)),"No"))))))="Yes",1,0)</f>
        <v>0</v>
      </c>
    </row>
    <row r="88" customFormat="false" ht="15" hidden="false" customHeight="false" outlineLevel="0" collapsed="false">
      <c r="A88" s="0" t="s">
        <v>91</v>
      </c>
      <c r="B88" s="0" t="s">
        <v>106</v>
      </c>
      <c r="C88" s="0" t="s">
        <v>45</v>
      </c>
      <c r="D88" s="0" t="str">
        <f aca="false">IFERROR(INDEX('Materials Master'!$B$2:$B$27,MATCH($C88,'Materials Master'!$A$2:$A$27,0)),"")</f>
        <v>Glass Bottles &amp; Jars</v>
      </c>
      <c r="E88" s="0" t="str">
        <f aca="false">IFERROR(INDEX('Materials Master'!$C$2:$C$27,MATCH($C88,'Materials Master'!$A$2:$A$27,0)),"")</f>
        <v>Glass</v>
      </c>
      <c r="F88" s="0" t="n">
        <f aca="false">SUMIFS(Fact_SortedWeights!$E$2:$E$6,Fact_SortedWeights!$C$2:$C$6,$A88,Fact_SortedWeights!$B$2:$B$6,$B88,Fact_SortedWeights!$D$2:$D$6,$C88)</f>
        <v>0</v>
      </c>
      <c r="G88" s="0" t="n">
        <f aca="false">IF(AND(IF($B88="Trash",INDEX('Materials Master'!$F$2:$F$27,MATCH($C88,'Materials Master'!$A$2:$A$27,0)),IF($B88="GMPC Recycling",INDEX('Materials Master'!$G$2:$G$27,MATCH($C88,'Materials Master'!$A$2:$A$27,0)),IF($B88="Organics Recycling",INDEX('Materials Master'!$H$2:$H$27,MATCH($C88,'Materials Master'!$A$2:$A$27,0)),IF($B88="Cardboard Recycling",INDEX('Materials Master'!$I$2:$I$27,MATCH($C88,'Materials Master'!$A$2:$A$27,0)),IF($B88="Paper Recycling",INDEX('Materials Master'!$J$2:$J$27,MATCH($C88,'Materials Master'!$A$2:$A$27,0)),IF($B88="Terracycle",INDEX('Materials Master'!$K$2:$K$27,MATCH($C88,'Materials Master'!$A$2:$A$27,0)),"No"))))))="Yes",INDEX('Materials Master'!$E$2:$E$27,MATCH($C88,'Materials Master'!$A$2:$A$27,0))="Yes",$B88&lt;&gt;"Trash"),1,0)</f>
        <v>1</v>
      </c>
      <c r="H88" s="0" t="str">
        <f aca="false">INDEX('Materials Master'!$E$2:$E$27,MATCH($C88,'Materials Master'!$A$2:$A$27,0))</f>
        <v>Yes</v>
      </c>
      <c r="I88" s="0" t="str">
        <f aca="false">IFERROR(INDEX(Areas!$C$2:$C$6,MATCH($A88,Areas!$B$2:$B$6,0)),"")</f>
        <v>Rest of Building</v>
      </c>
      <c r="J88" s="0" t="n">
        <f aca="false">IF(IF($B88="Trash",INDEX('Materials Master'!$F$2:$F$27,MATCH($C88,'Materials Master'!$A$2:$A$27,0)),IF($B88="GMPC Recycling",INDEX('Materials Master'!$G$2:$G$27,MATCH($C88,'Materials Master'!$A$2:$A$27,0)),IF($B88="Organics Recycling",INDEX('Materials Master'!$H$2:$H$27,MATCH($C88,'Materials Master'!$A$2:$A$27,0)),IF($B88="Cardboard Recycling",INDEX('Materials Master'!$I$2:$I$27,MATCH($C88,'Materials Master'!$A$2:$A$27,0)),IF($B88="Paper Recycling",INDEX('Materials Master'!$J$2:$J$27,MATCH($C88,'Materials Master'!$A$2:$A$27,0)),IF($B88="Terracycle",INDEX('Materials Master'!$K$2:$K$27,MATCH($C88,'Materials Master'!$A$2:$A$27,0)),"No"))))))="Yes",1,0)</f>
        <v>1</v>
      </c>
    </row>
    <row r="89" customFormat="false" ht="15" hidden="false" customHeight="false" outlineLevel="0" collapsed="false">
      <c r="A89" s="0" t="s">
        <v>91</v>
      </c>
      <c r="B89" s="0" t="s">
        <v>106</v>
      </c>
      <c r="C89" s="0" t="s">
        <v>48</v>
      </c>
      <c r="D89" s="0" t="str">
        <f aca="false">IFERROR(INDEX('Materials Master'!$B$2:$B$27,MATCH($C89,'Materials Master'!$A$2:$A$27,0)),"")</f>
        <v>Soiled Glass</v>
      </c>
      <c r="E89" s="0" t="str">
        <f aca="false">IFERROR(INDEX('Materials Master'!$C$2:$C$27,MATCH($C89,'Materials Master'!$A$2:$A$27,0)),"")</f>
        <v>Glass</v>
      </c>
      <c r="F89" s="0" t="n">
        <f aca="false">SUMIFS(Fact_SortedWeights!$E$2:$E$6,Fact_SortedWeights!$C$2:$C$6,$A89,Fact_SortedWeights!$B$2:$B$6,$B89,Fact_SortedWeights!$D$2:$D$6,$C89)</f>
        <v>0</v>
      </c>
      <c r="G89" s="0" t="n">
        <f aca="false">IF(AND(IF($B89="Trash",INDEX('Materials Master'!$F$2:$F$27,MATCH($C89,'Materials Master'!$A$2:$A$27,0)),IF($B89="GMPC Recycling",INDEX('Materials Master'!$G$2:$G$27,MATCH($C89,'Materials Master'!$A$2:$A$27,0)),IF($B89="Organics Recycling",INDEX('Materials Master'!$H$2:$H$27,MATCH($C89,'Materials Master'!$A$2:$A$27,0)),IF($B89="Cardboard Recycling",INDEX('Materials Master'!$I$2:$I$27,MATCH($C89,'Materials Master'!$A$2:$A$27,0)),IF($B89="Paper Recycling",INDEX('Materials Master'!$J$2:$J$27,MATCH($C89,'Materials Master'!$A$2:$A$27,0)),IF($B89="Terracycle",INDEX('Materials Master'!$K$2:$K$27,MATCH($C89,'Materials Master'!$A$2:$A$27,0)),"No"))))))="Yes",INDEX('Materials Master'!$E$2:$E$27,MATCH($C89,'Materials Master'!$A$2:$A$27,0))="Yes",$B89&lt;&gt;"Trash"),1,0)</f>
        <v>0</v>
      </c>
      <c r="H89" s="0" t="str">
        <f aca="false">INDEX('Materials Master'!$E$2:$E$27,MATCH($C89,'Materials Master'!$A$2:$A$27,0))</f>
        <v>No</v>
      </c>
      <c r="I89" s="0" t="str">
        <f aca="false">IFERROR(INDEX(Areas!$C$2:$C$6,MATCH($A89,Areas!$B$2:$B$6,0)),"")</f>
        <v>Rest of Building</v>
      </c>
      <c r="J89" s="0" t="n">
        <f aca="false">IF(IF($B89="Trash",INDEX('Materials Master'!$F$2:$F$27,MATCH($C89,'Materials Master'!$A$2:$A$27,0)),IF($B89="GMPC Recycling",INDEX('Materials Master'!$G$2:$G$27,MATCH($C89,'Materials Master'!$A$2:$A$27,0)),IF($B89="Organics Recycling",INDEX('Materials Master'!$H$2:$H$27,MATCH($C89,'Materials Master'!$A$2:$A$27,0)),IF($B89="Cardboard Recycling",INDEX('Materials Master'!$I$2:$I$27,MATCH($C89,'Materials Master'!$A$2:$A$27,0)),IF($B89="Paper Recycling",INDEX('Materials Master'!$J$2:$J$27,MATCH($C89,'Materials Master'!$A$2:$A$27,0)),IF($B89="Terracycle",INDEX('Materials Master'!$K$2:$K$27,MATCH($C89,'Materials Master'!$A$2:$A$27,0)),"No"))))))="Yes",1,0)</f>
        <v>0</v>
      </c>
    </row>
    <row r="90" customFormat="false" ht="15" hidden="false" customHeight="false" outlineLevel="0" collapsed="false">
      <c r="A90" s="0" t="s">
        <v>91</v>
      </c>
      <c r="B90" s="0" t="s">
        <v>106</v>
      </c>
      <c r="C90" s="0" t="s">
        <v>50</v>
      </c>
      <c r="D90" s="0" t="str">
        <f aca="false">IFERROR(INDEX('Materials Master'!$B$2:$B$27,MATCH($C90,'Materials Master'!$A$2:$A$27,0)),"")</f>
        <v>Aluminum &amp; Bi-Metal Containers</v>
      </c>
      <c r="E90" s="0" t="str">
        <f aca="false">IFERROR(INDEX('Materials Master'!$C$2:$C$27,MATCH($C90,'Materials Master'!$A$2:$A$27,0)),"")</f>
        <v>Metals</v>
      </c>
      <c r="F90" s="0" t="n">
        <f aca="false">SUMIFS(Fact_SortedWeights!$E$2:$E$6,Fact_SortedWeights!$C$2:$C$6,$A90,Fact_SortedWeights!$B$2:$B$6,$B90,Fact_SortedWeights!$D$2:$D$6,$C90)</f>
        <v>0</v>
      </c>
      <c r="G90" s="0" t="n">
        <f aca="false">IF(AND(IF($B90="Trash",INDEX('Materials Master'!$F$2:$F$27,MATCH($C90,'Materials Master'!$A$2:$A$27,0)),IF($B90="GMPC Recycling",INDEX('Materials Master'!$G$2:$G$27,MATCH($C90,'Materials Master'!$A$2:$A$27,0)),IF($B90="Organics Recycling",INDEX('Materials Master'!$H$2:$H$27,MATCH($C90,'Materials Master'!$A$2:$A$27,0)),IF($B90="Cardboard Recycling",INDEX('Materials Master'!$I$2:$I$27,MATCH($C90,'Materials Master'!$A$2:$A$27,0)),IF($B90="Paper Recycling",INDEX('Materials Master'!$J$2:$J$27,MATCH($C90,'Materials Master'!$A$2:$A$27,0)),IF($B90="Terracycle",INDEX('Materials Master'!$K$2:$K$27,MATCH($C90,'Materials Master'!$A$2:$A$27,0)),"No"))))))="Yes",INDEX('Materials Master'!$E$2:$E$27,MATCH($C90,'Materials Master'!$A$2:$A$27,0))="Yes",$B90&lt;&gt;"Trash"),1,0)</f>
        <v>1</v>
      </c>
      <c r="H90" s="0" t="str">
        <f aca="false">INDEX('Materials Master'!$E$2:$E$27,MATCH($C90,'Materials Master'!$A$2:$A$27,0))</f>
        <v>Yes</v>
      </c>
      <c r="I90" s="0" t="str">
        <f aca="false">IFERROR(INDEX(Areas!$C$2:$C$6,MATCH($A90,Areas!$B$2:$B$6,0)),"")</f>
        <v>Rest of Building</v>
      </c>
      <c r="J90" s="0" t="n">
        <f aca="false">IF(IF($B90="Trash",INDEX('Materials Master'!$F$2:$F$27,MATCH($C90,'Materials Master'!$A$2:$A$27,0)),IF($B90="GMPC Recycling",INDEX('Materials Master'!$G$2:$G$27,MATCH($C90,'Materials Master'!$A$2:$A$27,0)),IF($B90="Organics Recycling",INDEX('Materials Master'!$H$2:$H$27,MATCH($C90,'Materials Master'!$A$2:$A$27,0)),IF($B90="Cardboard Recycling",INDEX('Materials Master'!$I$2:$I$27,MATCH($C90,'Materials Master'!$A$2:$A$27,0)),IF($B90="Paper Recycling",INDEX('Materials Master'!$J$2:$J$27,MATCH($C90,'Materials Master'!$A$2:$A$27,0)),IF($B90="Terracycle",INDEX('Materials Master'!$K$2:$K$27,MATCH($C90,'Materials Master'!$A$2:$A$27,0)),"No"))))))="Yes",1,0)</f>
        <v>1</v>
      </c>
    </row>
    <row r="91" customFormat="false" ht="15" hidden="false" customHeight="false" outlineLevel="0" collapsed="false">
      <c r="A91" s="0" t="s">
        <v>91</v>
      </c>
      <c r="B91" s="0" t="s">
        <v>106</v>
      </c>
      <c r="C91" s="0" t="s">
        <v>53</v>
      </c>
      <c r="D91" s="0" t="str">
        <f aca="false">IFERROR(INDEX('Materials Master'!$B$2:$B$27,MATCH($C91,'Materials Master'!$A$2:$A$27,0)),"")</f>
        <v>Soiled Metals</v>
      </c>
      <c r="E91" s="0" t="str">
        <f aca="false">IFERROR(INDEX('Materials Master'!$C$2:$C$27,MATCH($C91,'Materials Master'!$A$2:$A$27,0)),"")</f>
        <v>Metals</v>
      </c>
      <c r="F91" s="0" t="n">
        <f aca="false">SUMIFS(Fact_SortedWeights!$E$2:$E$6,Fact_SortedWeights!$C$2:$C$6,$A91,Fact_SortedWeights!$B$2:$B$6,$B91,Fact_SortedWeights!$D$2:$D$6,$C91)</f>
        <v>0</v>
      </c>
      <c r="G91" s="0" t="n">
        <f aca="false">IF(AND(IF($B91="Trash",INDEX('Materials Master'!$F$2:$F$27,MATCH($C91,'Materials Master'!$A$2:$A$27,0)),IF($B91="GMPC Recycling",INDEX('Materials Master'!$G$2:$G$27,MATCH($C91,'Materials Master'!$A$2:$A$27,0)),IF($B91="Organics Recycling",INDEX('Materials Master'!$H$2:$H$27,MATCH($C91,'Materials Master'!$A$2:$A$27,0)),IF($B91="Cardboard Recycling",INDEX('Materials Master'!$I$2:$I$27,MATCH($C91,'Materials Master'!$A$2:$A$27,0)),IF($B91="Paper Recycling",INDEX('Materials Master'!$J$2:$J$27,MATCH($C91,'Materials Master'!$A$2:$A$27,0)),IF($B91="Terracycle",INDEX('Materials Master'!$K$2:$K$27,MATCH($C91,'Materials Master'!$A$2:$A$27,0)),"No"))))))="Yes",INDEX('Materials Master'!$E$2:$E$27,MATCH($C91,'Materials Master'!$A$2:$A$27,0))="Yes",$B91&lt;&gt;"Trash"),1,0)</f>
        <v>0</v>
      </c>
      <c r="H91" s="0" t="str">
        <f aca="false">INDEX('Materials Master'!$E$2:$E$27,MATCH($C91,'Materials Master'!$A$2:$A$27,0))</f>
        <v>No</v>
      </c>
      <c r="I91" s="0" t="str">
        <f aca="false">IFERROR(INDEX(Areas!$C$2:$C$6,MATCH($A91,Areas!$B$2:$B$6,0)),"")</f>
        <v>Rest of Building</v>
      </c>
      <c r="J91" s="0" t="n">
        <f aca="false">IF(IF($B91="Trash",INDEX('Materials Master'!$F$2:$F$27,MATCH($C91,'Materials Master'!$A$2:$A$27,0)),IF($B91="GMPC Recycling",INDEX('Materials Master'!$G$2:$G$27,MATCH($C91,'Materials Master'!$A$2:$A$27,0)),IF($B91="Organics Recycling",INDEX('Materials Master'!$H$2:$H$27,MATCH($C91,'Materials Master'!$A$2:$A$27,0)),IF($B91="Cardboard Recycling",INDEX('Materials Master'!$I$2:$I$27,MATCH($C91,'Materials Master'!$A$2:$A$27,0)),IF($B91="Paper Recycling",INDEX('Materials Master'!$J$2:$J$27,MATCH($C91,'Materials Master'!$A$2:$A$27,0)),IF($B91="Terracycle",INDEX('Materials Master'!$K$2:$K$27,MATCH($C91,'Materials Master'!$A$2:$A$27,0)),"No"))))))="Yes",1,0)</f>
        <v>0</v>
      </c>
    </row>
    <row r="92" customFormat="false" ht="15" hidden="false" customHeight="false" outlineLevel="0" collapsed="false">
      <c r="A92" s="0" t="s">
        <v>91</v>
      </c>
      <c r="B92" s="0" t="s">
        <v>106</v>
      </c>
      <c r="C92" s="0" t="s">
        <v>55</v>
      </c>
      <c r="D92" s="0" t="str">
        <f aca="false">IFERROR(INDEX('Materials Master'!$B$2:$B$27,MATCH($C92,'Materials Master'!$A$2:$A$27,0)),"")</f>
        <v>Rigid Plastics (1-6)</v>
      </c>
      <c r="E92" s="0" t="str">
        <f aca="false">IFERROR(INDEX('Materials Master'!$C$2:$C$27,MATCH($C92,'Materials Master'!$A$2:$A$27,0)),"")</f>
        <v>Plastics</v>
      </c>
      <c r="F92" s="0" t="n">
        <f aca="false">SUMIFS(Fact_SortedWeights!$E$2:$E$6,Fact_SortedWeights!$C$2:$C$6,$A92,Fact_SortedWeights!$B$2:$B$6,$B92,Fact_SortedWeights!$D$2:$D$6,$C92)</f>
        <v>0</v>
      </c>
      <c r="G92" s="0" t="n">
        <f aca="false">IF(AND(IF($B92="Trash",INDEX('Materials Master'!$F$2:$F$27,MATCH($C92,'Materials Master'!$A$2:$A$27,0)),IF($B92="GMPC Recycling",INDEX('Materials Master'!$G$2:$G$27,MATCH($C92,'Materials Master'!$A$2:$A$27,0)),IF($B92="Organics Recycling",INDEX('Materials Master'!$H$2:$H$27,MATCH($C92,'Materials Master'!$A$2:$A$27,0)),IF($B92="Cardboard Recycling",INDEX('Materials Master'!$I$2:$I$27,MATCH($C92,'Materials Master'!$A$2:$A$27,0)),IF($B92="Paper Recycling",INDEX('Materials Master'!$J$2:$J$27,MATCH($C92,'Materials Master'!$A$2:$A$27,0)),IF($B92="Terracycle",INDEX('Materials Master'!$K$2:$K$27,MATCH($C92,'Materials Master'!$A$2:$A$27,0)),"No"))))))="Yes",INDEX('Materials Master'!$E$2:$E$27,MATCH($C92,'Materials Master'!$A$2:$A$27,0))="Yes",$B92&lt;&gt;"Trash"),1,0)</f>
        <v>1</v>
      </c>
      <c r="H92" s="0" t="str">
        <f aca="false">INDEX('Materials Master'!$E$2:$E$27,MATCH($C92,'Materials Master'!$A$2:$A$27,0))</f>
        <v>Yes</v>
      </c>
      <c r="I92" s="0" t="str">
        <f aca="false">IFERROR(INDEX(Areas!$C$2:$C$6,MATCH($A92,Areas!$B$2:$B$6,0)),"")</f>
        <v>Rest of Building</v>
      </c>
      <c r="J92" s="0" t="n">
        <f aca="false">IF(IF($B92="Trash",INDEX('Materials Master'!$F$2:$F$27,MATCH($C92,'Materials Master'!$A$2:$A$27,0)),IF($B92="GMPC Recycling",INDEX('Materials Master'!$G$2:$G$27,MATCH($C92,'Materials Master'!$A$2:$A$27,0)),IF($B92="Organics Recycling",INDEX('Materials Master'!$H$2:$H$27,MATCH($C92,'Materials Master'!$A$2:$A$27,0)),IF($B92="Cardboard Recycling",INDEX('Materials Master'!$I$2:$I$27,MATCH($C92,'Materials Master'!$A$2:$A$27,0)),IF($B92="Paper Recycling",INDEX('Materials Master'!$J$2:$J$27,MATCH($C92,'Materials Master'!$A$2:$A$27,0)),IF($B92="Terracycle",INDEX('Materials Master'!$K$2:$K$27,MATCH($C92,'Materials Master'!$A$2:$A$27,0)),"No"))))))="Yes",1,0)</f>
        <v>1</v>
      </c>
    </row>
    <row r="93" customFormat="false" ht="15" hidden="false" customHeight="false" outlineLevel="0" collapsed="false">
      <c r="A93" s="0" t="s">
        <v>91</v>
      </c>
      <c r="B93" s="0" t="s">
        <v>106</v>
      </c>
      <c r="C93" s="0" t="s">
        <v>58</v>
      </c>
      <c r="D93" s="0" t="str">
        <f aca="false">IFERROR(INDEX('Materials Master'!$B$2:$B$27,MATCH($C93,'Materials Master'!$A$2:$A$27,0)),"")</f>
        <v>Soiled Rigid Plastics</v>
      </c>
      <c r="E93" s="0" t="str">
        <f aca="false">IFERROR(INDEX('Materials Master'!$C$2:$C$27,MATCH($C93,'Materials Master'!$A$2:$A$27,0)),"")</f>
        <v>Plastics</v>
      </c>
      <c r="F93" s="0" t="n">
        <f aca="false">SUMIFS(Fact_SortedWeights!$E$2:$E$6,Fact_SortedWeights!$C$2:$C$6,$A93,Fact_SortedWeights!$B$2:$B$6,$B93,Fact_SortedWeights!$D$2:$D$6,$C93)</f>
        <v>0</v>
      </c>
      <c r="G93" s="0" t="n">
        <f aca="false">IF(AND(IF($B93="Trash",INDEX('Materials Master'!$F$2:$F$27,MATCH($C93,'Materials Master'!$A$2:$A$27,0)),IF($B93="GMPC Recycling",INDEX('Materials Master'!$G$2:$G$27,MATCH($C93,'Materials Master'!$A$2:$A$27,0)),IF($B93="Organics Recycling",INDEX('Materials Master'!$H$2:$H$27,MATCH($C93,'Materials Master'!$A$2:$A$27,0)),IF($B93="Cardboard Recycling",INDEX('Materials Master'!$I$2:$I$27,MATCH($C93,'Materials Master'!$A$2:$A$27,0)),IF($B93="Paper Recycling",INDEX('Materials Master'!$J$2:$J$27,MATCH($C93,'Materials Master'!$A$2:$A$27,0)),IF($B93="Terracycle",INDEX('Materials Master'!$K$2:$K$27,MATCH($C93,'Materials Master'!$A$2:$A$27,0)),"No"))))))="Yes",INDEX('Materials Master'!$E$2:$E$27,MATCH($C93,'Materials Master'!$A$2:$A$27,0))="Yes",$B93&lt;&gt;"Trash"),1,0)</f>
        <v>0</v>
      </c>
      <c r="H93" s="0" t="str">
        <f aca="false">INDEX('Materials Master'!$E$2:$E$27,MATCH($C93,'Materials Master'!$A$2:$A$27,0))</f>
        <v>No</v>
      </c>
      <c r="I93" s="0" t="str">
        <f aca="false">IFERROR(INDEX(Areas!$C$2:$C$6,MATCH($A93,Areas!$B$2:$B$6,0)),"")</f>
        <v>Rest of Building</v>
      </c>
      <c r="J93" s="0" t="n">
        <f aca="false">IF(IF($B93="Trash",INDEX('Materials Master'!$F$2:$F$27,MATCH($C93,'Materials Master'!$A$2:$A$27,0)),IF($B93="GMPC Recycling",INDEX('Materials Master'!$G$2:$G$27,MATCH($C93,'Materials Master'!$A$2:$A$27,0)),IF($B93="Organics Recycling",INDEX('Materials Master'!$H$2:$H$27,MATCH($C93,'Materials Master'!$A$2:$A$27,0)),IF($B93="Cardboard Recycling",INDEX('Materials Master'!$I$2:$I$27,MATCH($C93,'Materials Master'!$A$2:$A$27,0)),IF($B93="Paper Recycling",INDEX('Materials Master'!$J$2:$J$27,MATCH($C93,'Materials Master'!$A$2:$A$27,0)),IF($B93="Terracycle",INDEX('Materials Master'!$K$2:$K$27,MATCH($C93,'Materials Master'!$A$2:$A$27,0)),"No"))))))="Yes",1,0)</f>
        <v>0</v>
      </c>
    </row>
    <row r="94" customFormat="false" ht="15" hidden="false" customHeight="false" outlineLevel="0" collapsed="false">
      <c r="A94" s="0" t="s">
        <v>91</v>
      </c>
      <c r="B94" s="0" t="s">
        <v>106</v>
      </c>
      <c r="C94" s="0" t="s">
        <v>60</v>
      </c>
      <c r="D94" s="0" t="str">
        <f aca="false">IFERROR(INDEX('Materials Master'!$B$2:$B$27,MATCH($C94,'Materials Master'!$A$2:$A$27,0)),"")</f>
        <v>Film Plastics</v>
      </c>
      <c r="E94" s="0" t="str">
        <f aca="false">IFERROR(INDEX('Materials Master'!$C$2:$C$27,MATCH($C94,'Materials Master'!$A$2:$A$27,0)),"")</f>
        <v>Plastics</v>
      </c>
      <c r="F94" s="0" t="n">
        <f aca="false">SUMIFS(Fact_SortedWeights!$E$2:$E$6,Fact_SortedWeights!$C$2:$C$6,$A94,Fact_SortedWeights!$B$2:$B$6,$B94,Fact_SortedWeights!$D$2:$D$6,$C94)</f>
        <v>0</v>
      </c>
      <c r="G94" s="0" t="n">
        <f aca="false">IF(AND(IF($B94="Trash",INDEX('Materials Master'!$F$2:$F$27,MATCH($C94,'Materials Master'!$A$2:$A$27,0)),IF($B94="GMPC Recycling",INDEX('Materials Master'!$G$2:$G$27,MATCH($C94,'Materials Master'!$A$2:$A$27,0)),IF($B94="Organics Recycling",INDEX('Materials Master'!$H$2:$H$27,MATCH($C94,'Materials Master'!$A$2:$A$27,0)),IF($B94="Cardboard Recycling",INDEX('Materials Master'!$I$2:$I$27,MATCH($C94,'Materials Master'!$A$2:$A$27,0)),IF($B94="Paper Recycling",INDEX('Materials Master'!$J$2:$J$27,MATCH($C94,'Materials Master'!$A$2:$A$27,0)),IF($B94="Terracycle",INDEX('Materials Master'!$K$2:$K$27,MATCH($C94,'Materials Master'!$A$2:$A$27,0)),"No"))))))="Yes",INDEX('Materials Master'!$E$2:$E$27,MATCH($C94,'Materials Master'!$A$2:$A$27,0))="Yes",$B94&lt;&gt;"Trash"),1,0)</f>
        <v>0</v>
      </c>
      <c r="H94" s="0" t="str">
        <f aca="false">INDEX('Materials Master'!$E$2:$E$27,MATCH($C94,'Materials Master'!$A$2:$A$27,0))</f>
        <v>No</v>
      </c>
      <c r="I94" s="0" t="str">
        <f aca="false">IFERROR(INDEX(Areas!$C$2:$C$6,MATCH($A94,Areas!$B$2:$B$6,0)),"")</f>
        <v>Rest of Building</v>
      </c>
      <c r="J94" s="0" t="n">
        <f aca="false">IF(IF($B94="Trash",INDEX('Materials Master'!$F$2:$F$27,MATCH($C94,'Materials Master'!$A$2:$A$27,0)),IF($B94="GMPC Recycling",INDEX('Materials Master'!$G$2:$G$27,MATCH($C94,'Materials Master'!$A$2:$A$27,0)),IF($B94="Organics Recycling",INDEX('Materials Master'!$H$2:$H$27,MATCH($C94,'Materials Master'!$A$2:$A$27,0)),IF($B94="Cardboard Recycling",INDEX('Materials Master'!$I$2:$I$27,MATCH($C94,'Materials Master'!$A$2:$A$27,0)),IF($B94="Paper Recycling",INDEX('Materials Master'!$J$2:$J$27,MATCH($C94,'Materials Master'!$A$2:$A$27,0)),IF($B94="Terracycle",INDEX('Materials Master'!$K$2:$K$27,MATCH($C94,'Materials Master'!$A$2:$A$27,0)),"No"))))))="Yes",1,0)</f>
        <v>0</v>
      </c>
    </row>
    <row r="95" customFormat="false" ht="15" hidden="false" customHeight="false" outlineLevel="0" collapsed="false">
      <c r="A95" s="0" t="s">
        <v>91</v>
      </c>
      <c r="B95" s="0" t="s">
        <v>106</v>
      </c>
      <c r="C95" s="0" t="s">
        <v>62</v>
      </c>
      <c r="D95" s="0" t="str">
        <f aca="false">IFERROR(INDEX('Materials Master'!$B$2:$B$27,MATCH($C95,'Materials Master'!$A$2:$A$27,0)),"")</f>
        <v>Foams</v>
      </c>
      <c r="E95" s="0" t="str">
        <f aca="false">IFERROR(INDEX('Materials Master'!$C$2:$C$27,MATCH($C95,'Materials Master'!$A$2:$A$27,0)),"")</f>
        <v>Plastics</v>
      </c>
      <c r="F95" s="0" t="n">
        <f aca="false">SUMIFS(Fact_SortedWeights!$E$2:$E$6,Fact_SortedWeights!$C$2:$C$6,$A95,Fact_SortedWeights!$B$2:$B$6,$B95,Fact_SortedWeights!$D$2:$D$6,$C95)</f>
        <v>0</v>
      </c>
      <c r="G95" s="0" t="n">
        <f aca="false">IF(AND(IF($B95="Trash",INDEX('Materials Master'!$F$2:$F$27,MATCH($C95,'Materials Master'!$A$2:$A$27,0)),IF($B95="GMPC Recycling",INDEX('Materials Master'!$G$2:$G$27,MATCH($C95,'Materials Master'!$A$2:$A$27,0)),IF($B95="Organics Recycling",INDEX('Materials Master'!$H$2:$H$27,MATCH($C95,'Materials Master'!$A$2:$A$27,0)),IF($B95="Cardboard Recycling",INDEX('Materials Master'!$I$2:$I$27,MATCH($C95,'Materials Master'!$A$2:$A$27,0)),IF($B95="Paper Recycling",INDEX('Materials Master'!$J$2:$J$27,MATCH($C95,'Materials Master'!$A$2:$A$27,0)),IF($B95="Terracycle",INDEX('Materials Master'!$K$2:$K$27,MATCH($C95,'Materials Master'!$A$2:$A$27,0)),"No"))))))="Yes",INDEX('Materials Master'!$E$2:$E$27,MATCH($C95,'Materials Master'!$A$2:$A$27,0))="Yes",$B95&lt;&gt;"Trash"),1,0)</f>
        <v>0</v>
      </c>
      <c r="H95" s="0" t="str">
        <f aca="false">INDEX('Materials Master'!$E$2:$E$27,MATCH($C95,'Materials Master'!$A$2:$A$27,0))</f>
        <v>No</v>
      </c>
      <c r="I95" s="0" t="str">
        <f aca="false">IFERROR(INDEX(Areas!$C$2:$C$6,MATCH($A95,Areas!$B$2:$B$6,0)),"")</f>
        <v>Rest of Building</v>
      </c>
      <c r="J95" s="0" t="n">
        <f aca="false">IF(IF($B95="Trash",INDEX('Materials Master'!$F$2:$F$27,MATCH($C95,'Materials Master'!$A$2:$A$27,0)),IF($B95="GMPC Recycling",INDEX('Materials Master'!$G$2:$G$27,MATCH($C95,'Materials Master'!$A$2:$A$27,0)),IF($B95="Organics Recycling",INDEX('Materials Master'!$H$2:$H$27,MATCH($C95,'Materials Master'!$A$2:$A$27,0)),IF($B95="Cardboard Recycling",INDEX('Materials Master'!$I$2:$I$27,MATCH($C95,'Materials Master'!$A$2:$A$27,0)),IF($B95="Paper Recycling",INDEX('Materials Master'!$J$2:$J$27,MATCH($C95,'Materials Master'!$A$2:$A$27,0)),IF($B95="Terracycle",INDEX('Materials Master'!$K$2:$K$27,MATCH($C95,'Materials Master'!$A$2:$A$27,0)),"No"))))))="Yes",1,0)</f>
        <v>0</v>
      </c>
    </row>
    <row r="96" customFormat="false" ht="15" hidden="false" customHeight="false" outlineLevel="0" collapsed="false">
      <c r="A96" s="0" t="s">
        <v>91</v>
      </c>
      <c r="B96" s="0" t="s">
        <v>106</v>
      </c>
      <c r="C96" s="0" t="s">
        <v>64</v>
      </c>
      <c r="D96" s="0" t="str">
        <f aca="false">IFERROR(INDEX('Materials Master'!$B$2:$B$27,MATCH($C96,'Materials Master'!$A$2:$A$27,0)),"")</f>
        <v>Food Waste</v>
      </c>
      <c r="E96" s="0" t="str">
        <f aca="false">IFERROR(INDEX('Materials Master'!$C$2:$C$27,MATCH($C96,'Materials Master'!$A$2:$A$27,0)),"")</f>
        <v>Organics</v>
      </c>
      <c r="F96" s="0" t="n">
        <f aca="false">SUMIFS(Fact_SortedWeights!$E$2:$E$6,Fact_SortedWeights!$C$2:$C$6,$A96,Fact_SortedWeights!$B$2:$B$6,$B96,Fact_SortedWeights!$D$2:$D$6,$C96)</f>
        <v>0</v>
      </c>
      <c r="G96" s="0" t="n">
        <f aca="false">IF(AND(IF($B96="Trash",INDEX('Materials Master'!$F$2:$F$27,MATCH($C96,'Materials Master'!$A$2:$A$27,0)),IF($B96="GMPC Recycling",INDEX('Materials Master'!$G$2:$G$27,MATCH($C96,'Materials Master'!$A$2:$A$27,0)),IF($B96="Organics Recycling",INDEX('Materials Master'!$H$2:$H$27,MATCH($C96,'Materials Master'!$A$2:$A$27,0)),IF($B96="Cardboard Recycling",INDEX('Materials Master'!$I$2:$I$27,MATCH($C96,'Materials Master'!$A$2:$A$27,0)),IF($B96="Paper Recycling",INDEX('Materials Master'!$J$2:$J$27,MATCH($C96,'Materials Master'!$A$2:$A$27,0)),IF($B96="Terracycle",INDEX('Materials Master'!$K$2:$K$27,MATCH($C96,'Materials Master'!$A$2:$A$27,0)),"No"))))))="Yes",INDEX('Materials Master'!$E$2:$E$27,MATCH($C96,'Materials Master'!$A$2:$A$27,0))="Yes",$B96&lt;&gt;"Trash"),1,0)</f>
        <v>0</v>
      </c>
      <c r="H96" s="0" t="str">
        <f aca="false">INDEX('Materials Master'!$E$2:$E$27,MATCH($C96,'Materials Master'!$A$2:$A$27,0))</f>
        <v>Yes</v>
      </c>
      <c r="I96" s="0" t="str">
        <f aca="false">IFERROR(INDEX(Areas!$C$2:$C$6,MATCH($A96,Areas!$B$2:$B$6,0)),"")</f>
        <v>Rest of Building</v>
      </c>
      <c r="J96" s="0" t="n">
        <f aca="false">IF(IF($B96="Trash",INDEX('Materials Master'!$F$2:$F$27,MATCH($C96,'Materials Master'!$A$2:$A$27,0)),IF($B96="GMPC Recycling",INDEX('Materials Master'!$G$2:$G$27,MATCH($C96,'Materials Master'!$A$2:$A$27,0)),IF($B96="Organics Recycling",INDEX('Materials Master'!$H$2:$H$27,MATCH($C96,'Materials Master'!$A$2:$A$27,0)),IF($B96="Cardboard Recycling",INDEX('Materials Master'!$I$2:$I$27,MATCH($C96,'Materials Master'!$A$2:$A$27,0)),IF($B96="Paper Recycling",INDEX('Materials Master'!$J$2:$J$27,MATCH($C96,'Materials Master'!$A$2:$A$27,0)),IF($B96="Terracycle",INDEX('Materials Master'!$K$2:$K$27,MATCH($C96,'Materials Master'!$A$2:$A$27,0)),"No"))))))="Yes",1,0)</f>
        <v>0</v>
      </c>
    </row>
    <row r="97" customFormat="false" ht="15" hidden="false" customHeight="false" outlineLevel="0" collapsed="false">
      <c r="A97" s="0" t="s">
        <v>91</v>
      </c>
      <c r="B97" s="0" t="s">
        <v>106</v>
      </c>
      <c r="C97" s="0" t="s">
        <v>67</v>
      </c>
      <c r="D97" s="0" t="str">
        <f aca="false">IFERROR(INDEX('Materials Master'!$B$2:$B$27,MATCH($C97,'Materials Master'!$A$2:$A$27,0)),"")</f>
        <v>Paper Fibers and Food-Soiled Paper (FSP)</v>
      </c>
      <c r="E97" s="0" t="str">
        <f aca="false">IFERROR(INDEX('Materials Master'!$C$2:$C$27,MATCH($C97,'Materials Master'!$A$2:$A$27,0)),"")</f>
        <v>Organics</v>
      </c>
      <c r="F97" s="0" t="n">
        <f aca="false">SUMIFS(Fact_SortedWeights!$E$2:$E$6,Fact_SortedWeights!$C$2:$C$6,$A97,Fact_SortedWeights!$B$2:$B$6,$B97,Fact_SortedWeights!$D$2:$D$6,$C97)</f>
        <v>0</v>
      </c>
      <c r="G97" s="0" t="n">
        <f aca="false">IF(AND(IF($B97="Trash",INDEX('Materials Master'!$F$2:$F$27,MATCH($C97,'Materials Master'!$A$2:$A$27,0)),IF($B97="GMPC Recycling",INDEX('Materials Master'!$G$2:$G$27,MATCH($C97,'Materials Master'!$A$2:$A$27,0)),IF($B97="Organics Recycling",INDEX('Materials Master'!$H$2:$H$27,MATCH($C97,'Materials Master'!$A$2:$A$27,0)),IF($B97="Cardboard Recycling",INDEX('Materials Master'!$I$2:$I$27,MATCH($C97,'Materials Master'!$A$2:$A$27,0)),IF($B97="Paper Recycling",INDEX('Materials Master'!$J$2:$J$27,MATCH($C97,'Materials Master'!$A$2:$A$27,0)),IF($B97="Terracycle",INDEX('Materials Master'!$K$2:$K$27,MATCH($C97,'Materials Master'!$A$2:$A$27,0)),"No"))))))="Yes",INDEX('Materials Master'!$E$2:$E$27,MATCH($C97,'Materials Master'!$A$2:$A$27,0))="Yes",$B97&lt;&gt;"Trash"),1,0)</f>
        <v>0</v>
      </c>
      <c r="H97" s="0" t="str">
        <f aca="false">INDEX('Materials Master'!$E$2:$E$27,MATCH($C97,'Materials Master'!$A$2:$A$27,0))</f>
        <v>No</v>
      </c>
      <c r="I97" s="0" t="str">
        <f aca="false">IFERROR(INDEX(Areas!$C$2:$C$6,MATCH($A97,Areas!$B$2:$B$6,0)),"")</f>
        <v>Rest of Building</v>
      </c>
      <c r="J97" s="0" t="n">
        <f aca="false">IF(IF($B97="Trash",INDEX('Materials Master'!$F$2:$F$27,MATCH($C97,'Materials Master'!$A$2:$A$27,0)),IF($B97="GMPC Recycling",INDEX('Materials Master'!$G$2:$G$27,MATCH($C97,'Materials Master'!$A$2:$A$27,0)),IF($B97="Organics Recycling",INDEX('Materials Master'!$H$2:$H$27,MATCH($C97,'Materials Master'!$A$2:$A$27,0)),IF($B97="Cardboard Recycling",INDEX('Materials Master'!$I$2:$I$27,MATCH($C97,'Materials Master'!$A$2:$A$27,0)),IF($B97="Paper Recycling",INDEX('Materials Master'!$J$2:$J$27,MATCH($C97,'Materials Master'!$A$2:$A$27,0)),IF($B97="Terracycle",INDEX('Materials Master'!$K$2:$K$27,MATCH($C97,'Materials Master'!$A$2:$A$27,0)),"No"))))))="Yes",1,0)</f>
        <v>0</v>
      </c>
    </row>
    <row r="98" customFormat="false" ht="15" hidden="false" customHeight="false" outlineLevel="0" collapsed="false">
      <c r="A98" s="0" t="s">
        <v>91</v>
      </c>
      <c r="B98" s="0" t="s">
        <v>106</v>
      </c>
      <c r="C98" s="0" t="s">
        <v>69</v>
      </c>
      <c r="D98" s="0" t="str">
        <f aca="false">IFERROR(INDEX('Materials Master'!$B$2:$B$27,MATCH($C98,'Materials Master'!$A$2:$A$27,0)),"")</f>
        <v>Fiber-based Compostable Serviceware</v>
      </c>
      <c r="E98" s="0" t="str">
        <f aca="false">IFERROR(INDEX('Materials Master'!$C$2:$C$27,MATCH($C98,'Materials Master'!$A$2:$A$27,0)),"")</f>
        <v>Organics</v>
      </c>
      <c r="F98" s="0" t="n">
        <f aca="false">SUMIFS(Fact_SortedWeights!$E$2:$E$6,Fact_SortedWeights!$C$2:$C$6,$A98,Fact_SortedWeights!$B$2:$B$6,$B98,Fact_SortedWeights!$D$2:$D$6,$C98)</f>
        <v>0</v>
      </c>
      <c r="G98" s="0" t="n">
        <f aca="false">IF(AND(IF($B98="Trash",INDEX('Materials Master'!$F$2:$F$27,MATCH($C98,'Materials Master'!$A$2:$A$27,0)),IF($B98="GMPC Recycling",INDEX('Materials Master'!$G$2:$G$27,MATCH($C98,'Materials Master'!$A$2:$A$27,0)),IF($B98="Organics Recycling",INDEX('Materials Master'!$H$2:$H$27,MATCH($C98,'Materials Master'!$A$2:$A$27,0)),IF($B98="Cardboard Recycling",INDEX('Materials Master'!$I$2:$I$27,MATCH($C98,'Materials Master'!$A$2:$A$27,0)),IF($B98="Paper Recycling",INDEX('Materials Master'!$J$2:$J$27,MATCH($C98,'Materials Master'!$A$2:$A$27,0)),IF($B98="Terracycle",INDEX('Materials Master'!$K$2:$K$27,MATCH($C98,'Materials Master'!$A$2:$A$27,0)),"No"))))))="Yes",INDEX('Materials Master'!$E$2:$E$27,MATCH($C98,'Materials Master'!$A$2:$A$27,0))="Yes",$B98&lt;&gt;"Trash"),1,0)</f>
        <v>0</v>
      </c>
      <c r="H98" s="0" t="str">
        <f aca="false">INDEX('Materials Master'!$E$2:$E$27,MATCH($C98,'Materials Master'!$A$2:$A$27,0))</f>
        <v>No</v>
      </c>
      <c r="I98" s="0" t="str">
        <f aca="false">IFERROR(INDEX(Areas!$C$2:$C$6,MATCH($A98,Areas!$B$2:$B$6,0)),"")</f>
        <v>Rest of Building</v>
      </c>
      <c r="J98" s="0" t="n">
        <f aca="false">IF(IF($B98="Trash",INDEX('Materials Master'!$F$2:$F$27,MATCH($C98,'Materials Master'!$A$2:$A$27,0)),IF($B98="GMPC Recycling",INDEX('Materials Master'!$G$2:$G$27,MATCH($C98,'Materials Master'!$A$2:$A$27,0)),IF($B98="Organics Recycling",INDEX('Materials Master'!$H$2:$H$27,MATCH($C98,'Materials Master'!$A$2:$A$27,0)),IF($B98="Cardboard Recycling",INDEX('Materials Master'!$I$2:$I$27,MATCH($C98,'Materials Master'!$A$2:$A$27,0)),IF($B98="Paper Recycling",INDEX('Materials Master'!$J$2:$J$27,MATCH($C98,'Materials Master'!$A$2:$A$27,0)),IF($B98="Terracycle",INDEX('Materials Master'!$K$2:$K$27,MATCH($C98,'Materials Master'!$A$2:$A$27,0)),"No"))))))="Yes",1,0)</f>
        <v>0</v>
      </c>
    </row>
    <row r="99" customFormat="false" ht="15" hidden="false" customHeight="false" outlineLevel="0" collapsed="false">
      <c r="A99" s="0" t="s">
        <v>91</v>
      </c>
      <c r="B99" s="0" t="s">
        <v>106</v>
      </c>
      <c r="C99" s="0" t="s">
        <v>71</v>
      </c>
      <c r="D99" s="0" t="str">
        <f aca="false">IFERROR(INDEX('Materials Master'!$B$2:$B$27,MATCH($C99,'Materials Master'!$A$2:$A$27,0)),"")</f>
        <v>PLA Compostable Serviceware</v>
      </c>
      <c r="E99" s="0" t="str">
        <f aca="false">IFERROR(INDEX('Materials Master'!$C$2:$C$27,MATCH($C99,'Materials Master'!$A$2:$A$27,0)),"")</f>
        <v>Organics</v>
      </c>
      <c r="F99" s="0" t="n">
        <f aca="false">SUMIFS(Fact_SortedWeights!$E$2:$E$6,Fact_SortedWeights!$C$2:$C$6,$A99,Fact_SortedWeights!$B$2:$B$6,$B99,Fact_SortedWeights!$D$2:$D$6,$C99)</f>
        <v>0</v>
      </c>
      <c r="G99" s="0" t="n">
        <f aca="false">IF(AND(IF($B99="Trash",INDEX('Materials Master'!$F$2:$F$27,MATCH($C99,'Materials Master'!$A$2:$A$27,0)),IF($B99="GMPC Recycling",INDEX('Materials Master'!$G$2:$G$27,MATCH($C99,'Materials Master'!$A$2:$A$27,0)),IF($B99="Organics Recycling",INDEX('Materials Master'!$H$2:$H$27,MATCH($C99,'Materials Master'!$A$2:$A$27,0)),IF($B99="Cardboard Recycling",INDEX('Materials Master'!$I$2:$I$27,MATCH($C99,'Materials Master'!$A$2:$A$27,0)),IF($B99="Paper Recycling",INDEX('Materials Master'!$J$2:$J$27,MATCH($C99,'Materials Master'!$A$2:$A$27,0)),IF($B99="Terracycle",INDEX('Materials Master'!$K$2:$K$27,MATCH($C99,'Materials Master'!$A$2:$A$27,0)),"No"))))))="Yes",INDEX('Materials Master'!$E$2:$E$27,MATCH($C99,'Materials Master'!$A$2:$A$27,0))="Yes",$B99&lt;&gt;"Trash"),1,0)</f>
        <v>0</v>
      </c>
      <c r="H99" s="0" t="str">
        <f aca="false">INDEX('Materials Master'!$E$2:$E$27,MATCH($C99,'Materials Master'!$A$2:$A$27,0))</f>
        <v>No</v>
      </c>
      <c r="I99" s="0" t="str">
        <f aca="false">IFERROR(INDEX(Areas!$C$2:$C$6,MATCH($A99,Areas!$B$2:$B$6,0)),"")</f>
        <v>Rest of Building</v>
      </c>
      <c r="J99" s="0" t="n">
        <f aca="false">IF(IF($B99="Trash",INDEX('Materials Master'!$F$2:$F$27,MATCH($C99,'Materials Master'!$A$2:$A$27,0)),IF($B99="GMPC Recycling",INDEX('Materials Master'!$G$2:$G$27,MATCH($C99,'Materials Master'!$A$2:$A$27,0)),IF($B99="Organics Recycling",INDEX('Materials Master'!$H$2:$H$27,MATCH($C99,'Materials Master'!$A$2:$A$27,0)),IF($B99="Cardboard Recycling",INDEX('Materials Master'!$I$2:$I$27,MATCH($C99,'Materials Master'!$A$2:$A$27,0)),IF($B99="Paper Recycling",INDEX('Materials Master'!$J$2:$J$27,MATCH($C99,'Materials Master'!$A$2:$A$27,0)),IF($B99="Terracycle",INDEX('Materials Master'!$K$2:$K$27,MATCH($C99,'Materials Master'!$A$2:$A$27,0)),"No"))))))="Yes",1,0)</f>
        <v>0</v>
      </c>
    </row>
    <row r="100" customFormat="false" ht="15" hidden="false" customHeight="false" outlineLevel="0" collapsed="false">
      <c r="A100" s="0" t="s">
        <v>91</v>
      </c>
      <c r="B100" s="0" t="s">
        <v>106</v>
      </c>
      <c r="C100" s="0" t="s">
        <v>73</v>
      </c>
      <c r="D100" s="0" t="str">
        <f aca="false">IFERROR(INDEX('Materials Master'!$B$2:$B$27,MATCH($C100,'Materials Master'!$A$2:$A$27,0)),"")</f>
        <v>E/U Waste</v>
      </c>
      <c r="E100" s="0" t="str">
        <f aca="false">IFERROR(INDEX('Materials Master'!$C$2:$C$27,MATCH($C100,'Materials Master'!$A$2:$A$27,0)),"")</f>
        <v>Unacceptable</v>
      </c>
      <c r="F100" s="0" t="n">
        <f aca="false">SUMIFS(Fact_SortedWeights!$E$2:$E$6,Fact_SortedWeights!$C$2:$C$6,$A100,Fact_SortedWeights!$B$2:$B$6,$B100,Fact_SortedWeights!$D$2:$D$6,$C100)</f>
        <v>0</v>
      </c>
      <c r="G100" s="0" t="n">
        <f aca="false">IF(AND(IF($B100="Trash",INDEX('Materials Master'!$F$2:$F$27,MATCH($C100,'Materials Master'!$A$2:$A$27,0)),IF($B100="GMPC Recycling",INDEX('Materials Master'!$G$2:$G$27,MATCH($C100,'Materials Master'!$A$2:$A$27,0)),IF($B100="Organics Recycling",INDEX('Materials Master'!$H$2:$H$27,MATCH($C100,'Materials Master'!$A$2:$A$27,0)),IF($B100="Cardboard Recycling",INDEX('Materials Master'!$I$2:$I$27,MATCH($C100,'Materials Master'!$A$2:$A$27,0)),IF($B100="Paper Recycling",INDEX('Materials Master'!$J$2:$J$27,MATCH($C100,'Materials Master'!$A$2:$A$27,0)),IF($B100="Terracycle",INDEX('Materials Master'!$K$2:$K$27,MATCH($C100,'Materials Master'!$A$2:$A$27,0)),"No"))))))="Yes",INDEX('Materials Master'!$E$2:$E$27,MATCH($C100,'Materials Master'!$A$2:$A$27,0))="Yes",$B100&lt;&gt;"Trash"),1,0)</f>
        <v>0</v>
      </c>
      <c r="H100" s="0" t="str">
        <f aca="false">INDEX('Materials Master'!$E$2:$E$27,MATCH($C100,'Materials Master'!$A$2:$A$27,0))</f>
        <v>No</v>
      </c>
      <c r="I100" s="0" t="str">
        <f aca="false">IFERROR(INDEX(Areas!$C$2:$C$6,MATCH($A100,Areas!$B$2:$B$6,0)),"")</f>
        <v>Rest of Building</v>
      </c>
      <c r="J100" s="0" t="n">
        <f aca="false">IF(IF($B100="Trash",INDEX('Materials Master'!$F$2:$F$27,MATCH($C100,'Materials Master'!$A$2:$A$27,0)),IF($B100="GMPC Recycling",INDEX('Materials Master'!$G$2:$G$27,MATCH($C100,'Materials Master'!$A$2:$A$27,0)),IF($B100="Organics Recycling",INDEX('Materials Master'!$H$2:$H$27,MATCH($C100,'Materials Master'!$A$2:$A$27,0)),IF($B100="Cardboard Recycling",INDEX('Materials Master'!$I$2:$I$27,MATCH($C100,'Materials Master'!$A$2:$A$27,0)),IF($B100="Paper Recycling",INDEX('Materials Master'!$J$2:$J$27,MATCH($C100,'Materials Master'!$A$2:$A$27,0)),IF($B100="Terracycle",INDEX('Materials Master'!$K$2:$K$27,MATCH($C100,'Materials Master'!$A$2:$A$27,0)),"No"))))))="Yes",1,0)</f>
        <v>0</v>
      </c>
    </row>
    <row r="101" customFormat="false" ht="15" hidden="false" customHeight="false" outlineLevel="0" collapsed="false">
      <c r="A101" s="0" t="s">
        <v>91</v>
      </c>
      <c r="B101" s="0" t="s">
        <v>106</v>
      </c>
      <c r="C101" s="0" t="s">
        <v>76</v>
      </c>
      <c r="D101" s="0" t="str">
        <f aca="false">IFERROR(INDEX('Materials Master'!$B$2:$B$27,MATCH($C101,'Materials Master'!$A$2:$A$27,0)),"")</f>
        <v>Textiles</v>
      </c>
      <c r="E101" s="0" t="str">
        <f aca="false">IFERROR(INDEX('Materials Master'!$C$2:$C$27,MATCH($C101,'Materials Master'!$A$2:$A$27,0)),"")</f>
        <v>Unacceptable</v>
      </c>
      <c r="F101" s="0" t="n">
        <f aca="false">SUMIFS(Fact_SortedWeights!$E$2:$E$6,Fact_SortedWeights!$C$2:$C$6,$A101,Fact_SortedWeights!$B$2:$B$6,$B101,Fact_SortedWeights!$D$2:$D$6,$C101)</f>
        <v>0</v>
      </c>
      <c r="G101" s="0" t="n">
        <f aca="false">IF(AND(IF($B101="Trash",INDEX('Materials Master'!$F$2:$F$27,MATCH($C101,'Materials Master'!$A$2:$A$27,0)),IF($B101="GMPC Recycling",INDEX('Materials Master'!$G$2:$G$27,MATCH($C101,'Materials Master'!$A$2:$A$27,0)),IF($B101="Organics Recycling",INDEX('Materials Master'!$H$2:$H$27,MATCH($C101,'Materials Master'!$A$2:$A$27,0)),IF($B101="Cardboard Recycling",INDEX('Materials Master'!$I$2:$I$27,MATCH($C101,'Materials Master'!$A$2:$A$27,0)),IF($B101="Paper Recycling",INDEX('Materials Master'!$J$2:$J$27,MATCH($C101,'Materials Master'!$A$2:$A$27,0)),IF($B101="Terracycle",INDEX('Materials Master'!$K$2:$K$27,MATCH($C101,'Materials Master'!$A$2:$A$27,0)),"No"))))))="Yes",INDEX('Materials Master'!$E$2:$E$27,MATCH($C101,'Materials Master'!$A$2:$A$27,0))="Yes",$B101&lt;&gt;"Trash"),1,0)</f>
        <v>0</v>
      </c>
      <c r="H101" s="0" t="str">
        <f aca="false">INDEX('Materials Master'!$E$2:$E$27,MATCH($C101,'Materials Master'!$A$2:$A$27,0))</f>
        <v>No</v>
      </c>
      <c r="I101" s="0" t="str">
        <f aca="false">IFERROR(INDEX(Areas!$C$2:$C$6,MATCH($A101,Areas!$B$2:$B$6,0)),"")</f>
        <v>Rest of Building</v>
      </c>
      <c r="J101" s="0" t="n">
        <f aca="false">IF(IF($B101="Trash",INDEX('Materials Master'!$F$2:$F$27,MATCH($C101,'Materials Master'!$A$2:$A$27,0)),IF($B101="GMPC Recycling",INDEX('Materials Master'!$G$2:$G$27,MATCH($C101,'Materials Master'!$A$2:$A$27,0)),IF($B101="Organics Recycling",INDEX('Materials Master'!$H$2:$H$27,MATCH($C101,'Materials Master'!$A$2:$A$27,0)),IF($B101="Cardboard Recycling",INDEX('Materials Master'!$I$2:$I$27,MATCH($C101,'Materials Master'!$A$2:$A$27,0)),IF($B101="Paper Recycling",INDEX('Materials Master'!$J$2:$J$27,MATCH($C101,'Materials Master'!$A$2:$A$27,0)),IF($B101="Terracycle",INDEX('Materials Master'!$K$2:$K$27,MATCH($C101,'Materials Master'!$A$2:$A$27,0)),"No"))))))="Yes",1,0)</f>
        <v>0</v>
      </c>
    </row>
    <row r="102" customFormat="false" ht="15" hidden="false" customHeight="false" outlineLevel="0" collapsed="false">
      <c r="A102" s="0" t="s">
        <v>91</v>
      </c>
      <c r="B102" s="0" t="s">
        <v>106</v>
      </c>
      <c r="C102" s="0" t="s">
        <v>78</v>
      </c>
      <c r="D102" s="0" t="str">
        <f aca="false">IFERROR(INDEX('Materials Master'!$B$2:$B$27,MATCH($C102,'Materials Master'!$A$2:$A$27,0)),"")</f>
        <v>Other Unacceptable (specify)</v>
      </c>
      <c r="E102" s="0" t="str">
        <f aca="false">IFERROR(INDEX('Materials Master'!$C$2:$C$27,MATCH($C102,'Materials Master'!$A$2:$A$27,0)),"")</f>
        <v>Unacceptable</v>
      </c>
      <c r="F102" s="0" t="n">
        <f aca="false">SUMIFS(Fact_SortedWeights!$E$2:$E$6,Fact_SortedWeights!$C$2:$C$6,$A102,Fact_SortedWeights!$B$2:$B$6,$B102,Fact_SortedWeights!$D$2:$D$6,$C102)</f>
        <v>0</v>
      </c>
      <c r="G102" s="0" t="n">
        <f aca="false">IF(AND(IF($B102="Trash",INDEX('Materials Master'!$F$2:$F$27,MATCH($C102,'Materials Master'!$A$2:$A$27,0)),IF($B102="GMPC Recycling",INDEX('Materials Master'!$G$2:$G$27,MATCH($C102,'Materials Master'!$A$2:$A$27,0)),IF($B102="Organics Recycling",INDEX('Materials Master'!$H$2:$H$27,MATCH($C102,'Materials Master'!$A$2:$A$27,0)),IF($B102="Cardboard Recycling",INDEX('Materials Master'!$I$2:$I$27,MATCH($C102,'Materials Master'!$A$2:$A$27,0)),IF($B102="Paper Recycling",INDEX('Materials Master'!$J$2:$J$27,MATCH($C102,'Materials Master'!$A$2:$A$27,0)),IF($B102="Terracycle",INDEX('Materials Master'!$K$2:$K$27,MATCH($C102,'Materials Master'!$A$2:$A$27,0)),"No"))))))="Yes",INDEX('Materials Master'!$E$2:$E$27,MATCH($C102,'Materials Master'!$A$2:$A$27,0))="Yes",$B102&lt;&gt;"Trash"),1,0)</f>
        <v>0</v>
      </c>
      <c r="H102" s="0" t="str">
        <f aca="false">INDEX('Materials Master'!$E$2:$E$27,MATCH($C102,'Materials Master'!$A$2:$A$27,0))</f>
        <v>No</v>
      </c>
      <c r="I102" s="0" t="str">
        <f aca="false">IFERROR(INDEX(Areas!$C$2:$C$6,MATCH($A102,Areas!$B$2:$B$6,0)),"")</f>
        <v>Rest of Building</v>
      </c>
      <c r="J102" s="0" t="n">
        <f aca="false">IF(IF($B102="Trash",INDEX('Materials Master'!$F$2:$F$27,MATCH($C102,'Materials Master'!$A$2:$A$27,0)),IF($B102="GMPC Recycling",INDEX('Materials Master'!$G$2:$G$27,MATCH($C102,'Materials Master'!$A$2:$A$27,0)),IF($B102="Organics Recycling",INDEX('Materials Master'!$H$2:$H$27,MATCH($C102,'Materials Master'!$A$2:$A$27,0)),IF($B102="Cardboard Recycling",INDEX('Materials Master'!$I$2:$I$27,MATCH($C102,'Materials Master'!$A$2:$A$27,0)),IF($B102="Paper Recycling",INDEX('Materials Master'!$J$2:$J$27,MATCH($C102,'Materials Master'!$A$2:$A$27,0)),IF($B102="Terracycle",INDEX('Materials Master'!$K$2:$K$27,MATCH($C102,'Materials Master'!$A$2:$A$27,0)),"No"))))))="Yes",1,0)</f>
        <v>0</v>
      </c>
    </row>
    <row r="103" customFormat="false" ht="15" hidden="false" customHeight="false" outlineLevel="0" collapsed="false">
      <c r="A103" s="0" t="s">
        <v>91</v>
      </c>
      <c r="B103" s="0" t="s">
        <v>106</v>
      </c>
      <c r="C103" s="0" t="s">
        <v>80</v>
      </c>
      <c r="D103" s="0" t="str">
        <f aca="false">IFERROR(INDEX('Materials Master'!$B$2:$B$27,MATCH($C103,'Materials Master'!$A$2:$A$27,0)),"")</f>
        <v>Liquids</v>
      </c>
      <c r="E103" s="0" t="str">
        <f aca="false">IFERROR(INDEX('Materials Master'!$C$2:$C$27,MATCH($C103,'Materials Master'!$A$2:$A$27,0)),"")</f>
        <v>Unacceptable</v>
      </c>
      <c r="F103" s="0" t="n">
        <f aca="false">SUMIFS(Fact_SortedWeights!$E$2:$E$6,Fact_SortedWeights!$C$2:$C$6,$A103,Fact_SortedWeights!$B$2:$B$6,$B103,Fact_SortedWeights!$D$2:$D$6,$C103)</f>
        <v>0</v>
      </c>
      <c r="G103" s="0" t="n">
        <f aca="false">IF(AND(IF($B103="Trash",INDEX('Materials Master'!$F$2:$F$27,MATCH($C103,'Materials Master'!$A$2:$A$27,0)),IF($B103="GMPC Recycling",INDEX('Materials Master'!$G$2:$G$27,MATCH($C103,'Materials Master'!$A$2:$A$27,0)),IF($B103="Organics Recycling",INDEX('Materials Master'!$H$2:$H$27,MATCH($C103,'Materials Master'!$A$2:$A$27,0)),IF($B103="Cardboard Recycling",INDEX('Materials Master'!$I$2:$I$27,MATCH($C103,'Materials Master'!$A$2:$A$27,0)),IF($B103="Paper Recycling",INDEX('Materials Master'!$J$2:$J$27,MATCH($C103,'Materials Master'!$A$2:$A$27,0)),IF($B103="Terracycle",INDEX('Materials Master'!$K$2:$K$27,MATCH($C103,'Materials Master'!$A$2:$A$27,0)),"No"))))))="Yes",INDEX('Materials Master'!$E$2:$E$27,MATCH($C103,'Materials Master'!$A$2:$A$27,0))="Yes",$B103&lt;&gt;"Trash"),1,0)</f>
        <v>0</v>
      </c>
      <c r="H103" s="0" t="str">
        <f aca="false">INDEX('Materials Master'!$E$2:$E$27,MATCH($C103,'Materials Master'!$A$2:$A$27,0))</f>
        <v>No</v>
      </c>
      <c r="I103" s="0" t="str">
        <f aca="false">IFERROR(INDEX(Areas!$C$2:$C$6,MATCH($A103,Areas!$B$2:$B$6,0)),"")</f>
        <v>Rest of Building</v>
      </c>
      <c r="J103" s="0" t="n">
        <f aca="false">IF(IF($B103="Trash",INDEX('Materials Master'!$F$2:$F$27,MATCH($C103,'Materials Master'!$A$2:$A$27,0)),IF($B103="GMPC Recycling",INDEX('Materials Master'!$G$2:$G$27,MATCH($C103,'Materials Master'!$A$2:$A$27,0)),IF($B103="Organics Recycling",INDEX('Materials Master'!$H$2:$H$27,MATCH($C103,'Materials Master'!$A$2:$A$27,0)),IF($B103="Cardboard Recycling",INDEX('Materials Master'!$I$2:$I$27,MATCH($C103,'Materials Master'!$A$2:$A$27,0)),IF($B103="Paper Recycling",INDEX('Materials Master'!$J$2:$J$27,MATCH($C103,'Materials Master'!$A$2:$A$27,0)),IF($B103="Terracycle",INDEX('Materials Master'!$K$2:$K$27,MATCH($C103,'Materials Master'!$A$2:$A$27,0)),"No"))))))="Yes",1,0)</f>
        <v>0</v>
      </c>
    </row>
    <row r="104" customFormat="false" ht="15" hidden="false" customHeight="false" outlineLevel="0" collapsed="false">
      <c r="A104" s="0" t="s">
        <v>91</v>
      </c>
      <c r="B104" s="0" t="s">
        <v>106</v>
      </c>
      <c r="C104" s="0" t="s">
        <v>82</v>
      </c>
      <c r="D104" s="0" t="str">
        <f aca="false">IFERROR(INDEX('Materials Master'!$B$2:$B$27,MATCH($C104,'Materials Master'!$A$2:$A$27,0)),"")</f>
        <v>Snack Wrappers (Composites)</v>
      </c>
      <c r="E104" s="0" t="str">
        <f aca="false">IFERROR(INDEX('Materials Master'!$C$2:$C$27,MATCH($C104,'Materials Master'!$A$2:$A$27,0)),"")</f>
        <v>Other</v>
      </c>
      <c r="F104" s="0" t="n">
        <f aca="false">SUMIFS(Fact_SortedWeights!$E$2:$E$6,Fact_SortedWeights!$C$2:$C$6,$A104,Fact_SortedWeights!$B$2:$B$6,$B104,Fact_SortedWeights!$D$2:$D$6,$C104)</f>
        <v>0</v>
      </c>
      <c r="G104" s="0" t="n">
        <f aca="false">IF(AND(IF($B104="Trash",INDEX('Materials Master'!$F$2:$F$27,MATCH($C104,'Materials Master'!$A$2:$A$27,0)),IF($B104="GMPC Recycling",INDEX('Materials Master'!$G$2:$G$27,MATCH($C104,'Materials Master'!$A$2:$A$27,0)),IF($B104="Organics Recycling",INDEX('Materials Master'!$H$2:$H$27,MATCH($C104,'Materials Master'!$A$2:$A$27,0)),IF($B104="Cardboard Recycling",INDEX('Materials Master'!$I$2:$I$27,MATCH($C104,'Materials Master'!$A$2:$A$27,0)),IF($B104="Paper Recycling",INDEX('Materials Master'!$J$2:$J$27,MATCH($C104,'Materials Master'!$A$2:$A$27,0)),IF($B104="Terracycle",INDEX('Materials Master'!$K$2:$K$27,MATCH($C104,'Materials Master'!$A$2:$A$27,0)),"No"))))))="Yes",INDEX('Materials Master'!$E$2:$E$27,MATCH($C104,'Materials Master'!$A$2:$A$27,0))="Yes",$B104&lt;&gt;"Trash"),1,0)</f>
        <v>0</v>
      </c>
      <c r="H104" s="0" t="str">
        <f aca="false">INDEX('Materials Master'!$E$2:$E$27,MATCH($C104,'Materials Master'!$A$2:$A$27,0))</f>
        <v>Yes</v>
      </c>
      <c r="I104" s="0" t="str">
        <f aca="false">IFERROR(INDEX(Areas!$C$2:$C$6,MATCH($A104,Areas!$B$2:$B$6,0)),"")</f>
        <v>Rest of Building</v>
      </c>
      <c r="J104" s="0" t="n">
        <f aca="false">IF(IF($B104="Trash",INDEX('Materials Master'!$F$2:$F$27,MATCH($C104,'Materials Master'!$A$2:$A$27,0)),IF($B104="GMPC Recycling",INDEX('Materials Master'!$G$2:$G$27,MATCH($C104,'Materials Master'!$A$2:$A$27,0)),IF($B104="Organics Recycling",INDEX('Materials Master'!$H$2:$H$27,MATCH($C104,'Materials Master'!$A$2:$A$27,0)),IF($B104="Cardboard Recycling",INDEX('Materials Master'!$I$2:$I$27,MATCH($C104,'Materials Master'!$A$2:$A$27,0)),IF($B104="Paper Recycling",INDEX('Materials Master'!$J$2:$J$27,MATCH($C104,'Materials Master'!$A$2:$A$27,0)),IF($B104="Terracycle",INDEX('Materials Master'!$K$2:$K$27,MATCH($C104,'Materials Master'!$A$2:$A$27,0)),"No"))))))="Yes",1,0)</f>
        <v>0</v>
      </c>
    </row>
    <row r="105" customFormat="false" ht="15" hidden="false" customHeight="false" outlineLevel="0" collapsed="false">
      <c r="A105" s="0" t="s">
        <v>91</v>
      </c>
      <c r="B105" s="0" t="s">
        <v>106</v>
      </c>
      <c r="C105" s="0" t="s">
        <v>85</v>
      </c>
      <c r="D105" s="0" t="str">
        <f aca="false">IFERROR(INDEX('Materials Master'!$B$2:$B$27,MATCH($C105,'Materials Master'!$A$2:$A$27,0)),"")</f>
        <v>Other/Residual Materials</v>
      </c>
      <c r="E105" s="0" t="str">
        <f aca="false">IFERROR(INDEX('Materials Master'!$C$2:$C$27,MATCH($C105,'Materials Master'!$A$2:$A$27,0)),"")</f>
        <v>Other</v>
      </c>
      <c r="F105" s="0" t="n">
        <f aca="false">SUMIFS(Fact_SortedWeights!$E$2:$E$6,Fact_SortedWeights!$C$2:$C$6,$A105,Fact_SortedWeights!$B$2:$B$6,$B105,Fact_SortedWeights!$D$2:$D$6,$C105)</f>
        <v>0</v>
      </c>
      <c r="G105" s="0" t="n">
        <f aca="false">IF(AND(IF($B105="Trash",INDEX('Materials Master'!$F$2:$F$27,MATCH($C105,'Materials Master'!$A$2:$A$27,0)),IF($B105="GMPC Recycling",INDEX('Materials Master'!$G$2:$G$27,MATCH($C105,'Materials Master'!$A$2:$A$27,0)),IF($B105="Organics Recycling",INDEX('Materials Master'!$H$2:$H$27,MATCH($C105,'Materials Master'!$A$2:$A$27,0)),IF($B105="Cardboard Recycling",INDEX('Materials Master'!$I$2:$I$27,MATCH($C105,'Materials Master'!$A$2:$A$27,0)),IF($B105="Paper Recycling",INDEX('Materials Master'!$J$2:$J$27,MATCH($C105,'Materials Master'!$A$2:$A$27,0)),IF($B105="Terracycle",INDEX('Materials Master'!$K$2:$K$27,MATCH($C105,'Materials Master'!$A$2:$A$27,0)),"No"))))))="Yes",INDEX('Materials Master'!$E$2:$E$27,MATCH($C105,'Materials Master'!$A$2:$A$27,0))="Yes",$B105&lt;&gt;"Trash"),1,0)</f>
        <v>0</v>
      </c>
      <c r="H105" s="0" t="str">
        <f aca="false">INDEX('Materials Master'!$E$2:$E$27,MATCH($C105,'Materials Master'!$A$2:$A$27,0))</f>
        <v>No</v>
      </c>
      <c r="I105" s="0" t="str">
        <f aca="false">IFERROR(INDEX(Areas!$C$2:$C$6,MATCH($A105,Areas!$B$2:$B$6,0)),"")</f>
        <v>Rest of Building</v>
      </c>
      <c r="J105" s="0" t="n">
        <f aca="false">IF(IF($B105="Trash",INDEX('Materials Master'!$F$2:$F$27,MATCH($C105,'Materials Master'!$A$2:$A$27,0)),IF($B105="GMPC Recycling",INDEX('Materials Master'!$G$2:$G$27,MATCH($C105,'Materials Master'!$A$2:$A$27,0)),IF($B105="Organics Recycling",INDEX('Materials Master'!$H$2:$H$27,MATCH($C105,'Materials Master'!$A$2:$A$27,0)),IF($B105="Cardboard Recycling",INDEX('Materials Master'!$I$2:$I$27,MATCH($C105,'Materials Master'!$A$2:$A$27,0)),IF($B105="Paper Recycling",INDEX('Materials Master'!$J$2:$J$27,MATCH($C105,'Materials Master'!$A$2:$A$27,0)),IF($B105="Terracycle",INDEX('Materials Master'!$K$2:$K$27,MATCH($C105,'Materials Master'!$A$2:$A$27,0)),"No"))))))="Yes",1,0)</f>
        <v>0</v>
      </c>
    </row>
    <row r="106" customFormat="false" ht="15" hidden="false" customHeight="false" outlineLevel="0" collapsed="false">
      <c r="A106" s="0" t="s">
        <v>91</v>
      </c>
      <c r="B106" s="0" t="s">
        <v>107</v>
      </c>
      <c r="C106" s="0" t="s">
        <v>26</v>
      </c>
      <c r="D106" s="0" t="str">
        <f aca="false">IFERROR(INDEX('Materials Master'!$B$2:$B$27,MATCH($C106,'Materials Master'!$A$2:$A$27,0)),"")</f>
        <v>Corrugated Cardboard</v>
      </c>
      <c r="E106" s="0" t="str">
        <f aca="false">IFERROR(INDEX('Materials Master'!$C$2:$C$27,MATCH($C106,'Materials Master'!$A$2:$A$27,0)),"")</f>
        <v>Fibers</v>
      </c>
      <c r="F106" s="0" t="n">
        <f aca="false">(SUMIFS(Fact_PreSortWeights!$E$2:$E$15,Fact_PreSortWeights!$C$2:$C$15,$A106,Fact_PreSortWeights!$B$2:$B$15,$B106,Fact_PreSortWeights!$F$2:$F$15,$C106))+(SUMIFS(Fact_SortedWeights!$E$2:$E$6,Fact_SortedWeights!$C$2:$C$6,$A106,Fact_SortedWeights!$B$2:$B$6,$B106,Fact_SortedWeights!$D$2:$D$6,$C106,Fact_SortedWeights!$L$2:$L$6,"Yes"))+IF((SUMIFS(Fact_SortedWeights!$E$2:$E$6,Fact_SortedWeights!$C$2:$C$6,$A106,Fact_SortedWeights!$B$2:$B$6,$B106,Fact_SortedWeights!$L$2:$L$6,"No"))=0,0,(SUMIFS(Fact_SortedWeights!$E$2:$E$6,Fact_SortedWeights!$C$2:$C$6,$A106,Fact_SortedWeights!$B$2:$B$6,$B106,Fact_SortedWeights!$D$2:$D$6,$C106,Fact_SortedWeights!$L$2:$L$6,"No"))/(SUMIFS(Fact_SortedWeights!$E$2:$E$6,Fact_SortedWeights!$C$2:$C$6,$A106,Fact_SortedWeights!$B$2:$B$6,$B106,Fact_SortedWeights!$L$2:$L$6,"No"))*((SUMIFS(Fact_PreSortWeights!$E$2:$E$15,Fact_PreSortWeights!$C$2:$C$15,$A106,Fact_PreSortWeights!$B$2:$B$15,$B106,Fact_PreSortWeights!$F$2:$F$15,""))-(SUMIFS(Fact_SortedWeights!$E$2:$E$6,Fact_SortedWeights!$C$2:$C$6,$A106,Fact_SortedWeights!$B$2:$B$6,$B106,Fact_SortedWeights!$L$2:$L$6,"Yes"))))</f>
        <v>0</v>
      </c>
      <c r="G106" s="0" t="n">
        <f aca="false">IF(AND(IF($B106="Trash",INDEX('Materials Master'!$F$2:$F$27,MATCH($C106,'Materials Master'!$A$2:$A$27,0)),IF($B106="GMPC Recycling",INDEX('Materials Master'!$G$2:$G$27,MATCH($C106,'Materials Master'!$A$2:$A$27,0)),IF($B106="Organics Recycling",INDEX('Materials Master'!$H$2:$H$27,MATCH($C106,'Materials Master'!$A$2:$A$27,0)),IF($B106="Cardboard Recycling",INDEX('Materials Master'!$I$2:$I$27,MATCH($C106,'Materials Master'!$A$2:$A$27,0)),IF($B106="Paper Recycling",INDEX('Materials Master'!$J$2:$J$27,MATCH($C106,'Materials Master'!$A$2:$A$27,0)),IF($B106="Terracycle",INDEX('Materials Master'!$K$2:$K$27,MATCH($C106,'Materials Master'!$A$2:$A$27,0)),"No"))))))="Yes",INDEX('Materials Master'!$E$2:$E$27,MATCH($C106,'Materials Master'!$A$2:$A$27,0))="Yes",$B106&lt;&gt;"Trash"),1,0)</f>
        <v>1</v>
      </c>
      <c r="H106" s="0" t="str">
        <f aca="false">INDEX('Materials Master'!$E$2:$E$27,MATCH($C106,'Materials Master'!$A$2:$A$27,0))</f>
        <v>Yes</v>
      </c>
      <c r="I106" s="0" t="str">
        <f aca="false">IFERROR(INDEX(Areas!$C$2:$C$6,MATCH($A106,Areas!$B$2:$B$6,0)),"")</f>
        <v>Rest of Building</v>
      </c>
      <c r="J106" s="0" t="n">
        <f aca="false">IF(IF($B106="Trash",INDEX('Materials Master'!$F$2:$F$27,MATCH($C106,'Materials Master'!$A$2:$A$27,0)),IF($B106="GMPC Recycling",INDEX('Materials Master'!$G$2:$G$27,MATCH($C106,'Materials Master'!$A$2:$A$27,0)),IF($B106="Organics Recycling",INDEX('Materials Master'!$H$2:$H$27,MATCH($C106,'Materials Master'!$A$2:$A$27,0)),IF($B106="Cardboard Recycling",INDEX('Materials Master'!$I$2:$I$27,MATCH($C106,'Materials Master'!$A$2:$A$27,0)),IF($B106="Paper Recycling",INDEX('Materials Master'!$J$2:$J$27,MATCH($C106,'Materials Master'!$A$2:$A$27,0)),IF($B106="Terracycle",INDEX('Materials Master'!$K$2:$K$27,MATCH($C106,'Materials Master'!$A$2:$A$27,0)),"No"))))))="Yes",1,0)</f>
        <v>1</v>
      </c>
    </row>
    <row r="107" customFormat="false" ht="15" hidden="false" customHeight="false" outlineLevel="0" collapsed="false">
      <c r="A107" s="0" t="s">
        <v>91</v>
      </c>
      <c r="B107" s="0" t="s">
        <v>107</v>
      </c>
      <c r="C107" s="0" t="s">
        <v>31</v>
      </c>
      <c r="D107" s="0" t="str">
        <f aca="false">IFERROR(INDEX('Materials Master'!$B$2:$B$27,MATCH($C107,'Materials Master'!$A$2:$A$27,0)),"")</f>
        <v>Soiled Cardboard</v>
      </c>
      <c r="E107" s="0" t="str">
        <f aca="false">IFERROR(INDEX('Materials Master'!$C$2:$C$27,MATCH($C107,'Materials Master'!$A$2:$A$27,0)),"")</f>
        <v>Fibers</v>
      </c>
      <c r="F107" s="0" t="n">
        <f aca="false">(SUMIFS(Fact_PreSortWeights!$E$2:$E$15,Fact_PreSortWeights!$C$2:$C$15,$A107,Fact_PreSortWeights!$B$2:$B$15,$B107,Fact_PreSortWeights!$F$2:$F$15,$C107))+(SUMIFS(Fact_SortedWeights!$E$2:$E$6,Fact_SortedWeights!$C$2:$C$6,$A107,Fact_SortedWeights!$B$2:$B$6,$B107,Fact_SortedWeights!$D$2:$D$6,$C107,Fact_SortedWeights!$L$2:$L$6,"Yes"))+IF((SUMIFS(Fact_SortedWeights!$E$2:$E$6,Fact_SortedWeights!$C$2:$C$6,$A107,Fact_SortedWeights!$B$2:$B$6,$B107,Fact_SortedWeights!$L$2:$L$6,"No"))=0,0,(SUMIFS(Fact_SortedWeights!$E$2:$E$6,Fact_SortedWeights!$C$2:$C$6,$A107,Fact_SortedWeights!$B$2:$B$6,$B107,Fact_SortedWeights!$D$2:$D$6,$C107,Fact_SortedWeights!$L$2:$L$6,"No"))/(SUMIFS(Fact_SortedWeights!$E$2:$E$6,Fact_SortedWeights!$C$2:$C$6,$A107,Fact_SortedWeights!$B$2:$B$6,$B107,Fact_SortedWeights!$L$2:$L$6,"No"))*((SUMIFS(Fact_PreSortWeights!$E$2:$E$15,Fact_PreSortWeights!$C$2:$C$15,$A107,Fact_PreSortWeights!$B$2:$B$15,$B107,Fact_PreSortWeights!$F$2:$F$15,""))-(SUMIFS(Fact_SortedWeights!$E$2:$E$6,Fact_SortedWeights!$C$2:$C$6,$A107,Fact_SortedWeights!$B$2:$B$6,$B107,Fact_SortedWeights!$L$2:$L$6,"Yes"))))</f>
        <v>0</v>
      </c>
      <c r="G107" s="0" t="n">
        <f aca="false">IF(AND(IF($B107="Trash",INDEX('Materials Master'!$F$2:$F$27,MATCH($C107,'Materials Master'!$A$2:$A$27,0)),IF($B107="GMPC Recycling",INDEX('Materials Master'!$G$2:$G$27,MATCH($C107,'Materials Master'!$A$2:$A$27,0)),IF($B107="Organics Recycling",INDEX('Materials Master'!$H$2:$H$27,MATCH($C107,'Materials Master'!$A$2:$A$27,0)),IF($B107="Cardboard Recycling",INDEX('Materials Master'!$I$2:$I$27,MATCH($C107,'Materials Master'!$A$2:$A$27,0)),IF($B107="Paper Recycling",INDEX('Materials Master'!$J$2:$J$27,MATCH($C107,'Materials Master'!$A$2:$A$27,0)),IF($B107="Terracycle",INDEX('Materials Master'!$K$2:$K$27,MATCH($C107,'Materials Master'!$A$2:$A$27,0)),"No"))))))="Yes",INDEX('Materials Master'!$E$2:$E$27,MATCH($C107,'Materials Master'!$A$2:$A$27,0))="Yes",$B107&lt;&gt;"Trash"),1,0)</f>
        <v>0</v>
      </c>
      <c r="H107" s="0" t="str">
        <f aca="false">INDEX('Materials Master'!$E$2:$E$27,MATCH($C107,'Materials Master'!$A$2:$A$27,0))</f>
        <v>No</v>
      </c>
      <c r="I107" s="0" t="str">
        <f aca="false">IFERROR(INDEX(Areas!$C$2:$C$6,MATCH($A107,Areas!$B$2:$B$6,0)),"")</f>
        <v>Rest of Building</v>
      </c>
      <c r="J107" s="0" t="n">
        <f aca="false">IF(IF($B107="Trash",INDEX('Materials Master'!$F$2:$F$27,MATCH($C107,'Materials Master'!$A$2:$A$27,0)),IF($B107="GMPC Recycling",INDEX('Materials Master'!$G$2:$G$27,MATCH($C107,'Materials Master'!$A$2:$A$27,0)),IF($B107="Organics Recycling",INDEX('Materials Master'!$H$2:$H$27,MATCH($C107,'Materials Master'!$A$2:$A$27,0)),IF($B107="Cardboard Recycling",INDEX('Materials Master'!$I$2:$I$27,MATCH($C107,'Materials Master'!$A$2:$A$27,0)),IF($B107="Paper Recycling",INDEX('Materials Master'!$J$2:$J$27,MATCH($C107,'Materials Master'!$A$2:$A$27,0)),IF($B107="Terracycle",INDEX('Materials Master'!$K$2:$K$27,MATCH($C107,'Materials Master'!$A$2:$A$27,0)),"No"))))))="Yes",1,0)</f>
        <v>0</v>
      </c>
    </row>
    <row r="108" customFormat="false" ht="15" hidden="false" customHeight="false" outlineLevel="0" collapsed="false">
      <c r="A108" s="0" t="s">
        <v>91</v>
      </c>
      <c r="B108" s="0" t="s">
        <v>107</v>
      </c>
      <c r="C108" s="0" t="s">
        <v>33</v>
      </c>
      <c r="D108" s="0" t="str">
        <f aca="false">IFERROR(INDEX('Materials Master'!$B$2:$B$27,MATCH($C108,'Materials Master'!$A$2:$A$27,0)),"")</f>
        <v>Waxed Cardboard</v>
      </c>
      <c r="E108" s="0" t="str">
        <f aca="false">IFERROR(INDEX('Materials Master'!$C$2:$C$27,MATCH($C108,'Materials Master'!$A$2:$A$27,0)),"")</f>
        <v>Fibers</v>
      </c>
      <c r="F108" s="0" t="n">
        <f aca="false">(SUMIFS(Fact_PreSortWeights!$E$2:$E$15,Fact_PreSortWeights!$C$2:$C$15,$A108,Fact_PreSortWeights!$B$2:$B$15,$B108,Fact_PreSortWeights!$F$2:$F$15,$C108))+(SUMIFS(Fact_SortedWeights!$E$2:$E$6,Fact_SortedWeights!$C$2:$C$6,$A108,Fact_SortedWeights!$B$2:$B$6,$B108,Fact_SortedWeights!$D$2:$D$6,$C108,Fact_SortedWeights!$L$2:$L$6,"Yes"))+IF((SUMIFS(Fact_SortedWeights!$E$2:$E$6,Fact_SortedWeights!$C$2:$C$6,$A108,Fact_SortedWeights!$B$2:$B$6,$B108,Fact_SortedWeights!$L$2:$L$6,"No"))=0,0,(SUMIFS(Fact_SortedWeights!$E$2:$E$6,Fact_SortedWeights!$C$2:$C$6,$A108,Fact_SortedWeights!$B$2:$B$6,$B108,Fact_SortedWeights!$D$2:$D$6,$C108,Fact_SortedWeights!$L$2:$L$6,"No"))/(SUMIFS(Fact_SortedWeights!$E$2:$E$6,Fact_SortedWeights!$C$2:$C$6,$A108,Fact_SortedWeights!$B$2:$B$6,$B108,Fact_SortedWeights!$L$2:$L$6,"No"))*((SUMIFS(Fact_PreSortWeights!$E$2:$E$15,Fact_PreSortWeights!$C$2:$C$15,$A108,Fact_PreSortWeights!$B$2:$B$15,$B108,Fact_PreSortWeights!$F$2:$F$15,""))-(SUMIFS(Fact_SortedWeights!$E$2:$E$6,Fact_SortedWeights!$C$2:$C$6,$A108,Fact_SortedWeights!$B$2:$B$6,$B108,Fact_SortedWeights!$L$2:$L$6,"Yes"))))</f>
        <v>0</v>
      </c>
      <c r="G108" s="0" t="n">
        <f aca="false">IF(AND(IF($B108="Trash",INDEX('Materials Master'!$F$2:$F$27,MATCH($C108,'Materials Master'!$A$2:$A$27,0)),IF($B108="GMPC Recycling",INDEX('Materials Master'!$G$2:$G$27,MATCH($C108,'Materials Master'!$A$2:$A$27,0)),IF($B108="Organics Recycling",INDEX('Materials Master'!$H$2:$H$27,MATCH($C108,'Materials Master'!$A$2:$A$27,0)),IF($B108="Cardboard Recycling",INDEX('Materials Master'!$I$2:$I$27,MATCH($C108,'Materials Master'!$A$2:$A$27,0)),IF($B108="Paper Recycling",INDEX('Materials Master'!$J$2:$J$27,MATCH($C108,'Materials Master'!$A$2:$A$27,0)),IF($B108="Terracycle",INDEX('Materials Master'!$K$2:$K$27,MATCH($C108,'Materials Master'!$A$2:$A$27,0)),"No"))))))="Yes",INDEX('Materials Master'!$E$2:$E$27,MATCH($C108,'Materials Master'!$A$2:$A$27,0))="Yes",$B108&lt;&gt;"Trash"),1,0)</f>
        <v>0</v>
      </c>
      <c r="H108" s="0" t="str">
        <f aca="false">INDEX('Materials Master'!$E$2:$E$27,MATCH($C108,'Materials Master'!$A$2:$A$27,0))</f>
        <v>No</v>
      </c>
      <c r="I108" s="0" t="str">
        <f aca="false">IFERROR(INDEX(Areas!$C$2:$C$6,MATCH($A108,Areas!$B$2:$B$6,0)),"")</f>
        <v>Rest of Building</v>
      </c>
      <c r="J108" s="0" t="n">
        <f aca="false">IF(IF($B108="Trash",INDEX('Materials Master'!$F$2:$F$27,MATCH($C108,'Materials Master'!$A$2:$A$27,0)),IF($B108="GMPC Recycling",INDEX('Materials Master'!$G$2:$G$27,MATCH($C108,'Materials Master'!$A$2:$A$27,0)),IF($B108="Organics Recycling",INDEX('Materials Master'!$H$2:$H$27,MATCH($C108,'Materials Master'!$A$2:$A$27,0)),IF($B108="Cardboard Recycling",INDEX('Materials Master'!$I$2:$I$27,MATCH($C108,'Materials Master'!$A$2:$A$27,0)),IF($B108="Paper Recycling",INDEX('Materials Master'!$J$2:$J$27,MATCH($C108,'Materials Master'!$A$2:$A$27,0)),IF($B108="Terracycle",INDEX('Materials Master'!$K$2:$K$27,MATCH($C108,'Materials Master'!$A$2:$A$27,0)),"No"))))))="Yes",1,0)</f>
        <v>0</v>
      </c>
    </row>
    <row r="109" customFormat="false" ht="15" hidden="false" customHeight="false" outlineLevel="0" collapsed="false">
      <c r="A109" s="0" t="s">
        <v>91</v>
      </c>
      <c r="B109" s="0" t="s">
        <v>107</v>
      </c>
      <c r="C109" s="0" t="s">
        <v>35</v>
      </c>
      <c r="D109" s="0" t="str">
        <f aca="false">IFERROR(INDEX('Materials Master'!$B$2:$B$27,MATCH($C109,'Materials Master'!$A$2:$A$27,0)),"")</f>
        <v>Mixed Paper</v>
      </c>
      <c r="E109" s="0" t="str">
        <f aca="false">IFERROR(INDEX('Materials Master'!$C$2:$C$27,MATCH($C109,'Materials Master'!$A$2:$A$27,0)),"")</f>
        <v>Fibers</v>
      </c>
      <c r="F109" s="0" t="n">
        <f aca="false">(SUMIFS(Fact_PreSortWeights!$E$2:$E$15,Fact_PreSortWeights!$C$2:$C$15,$A109,Fact_PreSortWeights!$B$2:$B$15,$B109,Fact_PreSortWeights!$F$2:$F$15,$C109))+(SUMIFS(Fact_SortedWeights!$E$2:$E$6,Fact_SortedWeights!$C$2:$C$6,$A109,Fact_SortedWeights!$B$2:$B$6,$B109,Fact_SortedWeights!$D$2:$D$6,$C109,Fact_SortedWeights!$L$2:$L$6,"Yes"))+IF((SUMIFS(Fact_SortedWeights!$E$2:$E$6,Fact_SortedWeights!$C$2:$C$6,$A109,Fact_SortedWeights!$B$2:$B$6,$B109,Fact_SortedWeights!$L$2:$L$6,"No"))=0,0,(SUMIFS(Fact_SortedWeights!$E$2:$E$6,Fact_SortedWeights!$C$2:$C$6,$A109,Fact_SortedWeights!$B$2:$B$6,$B109,Fact_SortedWeights!$D$2:$D$6,$C109,Fact_SortedWeights!$L$2:$L$6,"No"))/(SUMIFS(Fact_SortedWeights!$E$2:$E$6,Fact_SortedWeights!$C$2:$C$6,$A109,Fact_SortedWeights!$B$2:$B$6,$B109,Fact_SortedWeights!$L$2:$L$6,"No"))*((SUMIFS(Fact_PreSortWeights!$E$2:$E$15,Fact_PreSortWeights!$C$2:$C$15,$A109,Fact_PreSortWeights!$B$2:$B$15,$B109,Fact_PreSortWeights!$F$2:$F$15,""))-(SUMIFS(Fact_SortedWeights!$E$2:$E$6,Fact_SortedWeights!$C$2:$C$6,$A109,Fact_SortedWeights!$B$2:$B$6,$B109,Fact_SortedWeights!$L$2:$L$6,"Yes"))))</f>
        <v>0</v>
      </c>
      <c r="G109" s="0" t="n">
        <f aca="false">IF(AND(IF($B109="Trash",INDEX('Materials Master'!$F$2:$F$27,MATCH($C109,'Materials Master'!$A$2:$A$27,0)),IF($B109="GMPC Recycling",INDEX('Materials Master'!$G$2:$G$27,MATCH($C109,'Materials Master'!$A$2:$A$27,0)),IF($B109="Organics Recycling",INDEX('Materials Master'!$H$2:$H$27,MATCH($C109,'Materials Master'!$A$2:$A$27,0)),IF($B109="Cardboard Recycling",INDEX('Materials Master'!$I$2:$I$27,MATCH($C109,'Materials Master'!$A$2:$A$27,0)),IF($B109="Paper Recycling",INDEX('Materials Master'!$J$2:$J$27,MATCH($C109,'Materials Master'!$A$2:$A$27,0)),IF($B109="Terracycle",INDEX('Materials Master'!$K$2:$K$27,MATCH($C109,'Materials Master'!$A$2:$A$27,0)),"No"))))))="Yes",INDEX('Materials Master'!$E$2:$E$27,MATCH($C109,'Materials Master'!$A$2:$A$27,0))="Yes",$B109&lt;&gt;"Trash"),1,0)</f>
        <v>0</v>
      </c>
      <c r="H109" s="0" t="str">
        <f aca="false">INDEX('Materials Master'!$E$2:$E$27,MATCH($C109,'Materials Master'!$A$2:$A$27,0))</f>
        <v>Yes</v>
      </c>
      <c r="I109" s="0" t="str">
        <f aca="false">IFERROR(INDEX(Areas!$C$2:$C$6,MATCH($A109,Areas!$B$2:$B$6,0)),"")</f>
        <v>Rest of Building</v>
      </c>
      <c r="J109" s="0" t="n">
        <f aca="false">IF(IF($B109="Trash",INDEX('Materials Master'!$F$2:$F$27,MATCH($C109,'Materials Master'!$A$2:$A$27,0)),IF($B109="GMPC Recycling",INDEX('Materials Master'!$G$2:$G$27,MATCH($C109,'Materials Master'!$A$2:$A$27,0)),IF($B109="Organics Recycling",INDEX('Materials Master'!$H$2:$H$27,MATCH($C109,'Materials Master'!$A$2:$A$27,0)),IF($B109="Cardboard Recycling",INDEX('Materials Master'!$I$2:$I$27,MATCH($C109,'Materials Master'!$A$2:$A$27,0)),IF($B109="Paper Recycling",INDEX('Materials Master'!$J$2:$J$27,MATCH($C109,'Materials Master'!$A$2:$A$27,0)),IF($B109="Terracycle",INDEX('Materials Master'!$K$2:$K$27,MATCH($C109,'Materials Master'!$A$2:$A$27,0)),"No"))))))="Yes",1,0)</f>
        <v>0</v>
      </c>
    </row>
    <row r="110" customFormat="false" ht="15" hidden="false" customHeight="false" outlineLevel="0" collapsed="false">
      <c r="A110" s="0" t="s">
        <v>91</v>
      </c>
      <c r="B110" s="0" t="s">
        <v>107</v>
      </c>
      <c r="C110" s="0" t="s">
        <v>37</v>
      </c>
      <c r="D110" s="0" t="str">
        <f aca="false">IFERROR(INDEX('Materials Master'!$B$2:$B$27,MATCH($C110,'Materials Master'!$A$2:$A$27,0)),"")</f>
        <v>Soiled Paper</v>
      </c>
      <c r="E110" s="0" t="str">
        <f aca="false">IFERROR(INDEX('Materials Master'!$C$2:$C$27,MATCH($C110,'Materials Master'!$A$2:$A$27,0)),"")</f>
        <v>Fibers</v>
      </c>
      <c r="F110" s="0" t="n">
        <f aca="false">(SUMIFS(Fact_PreSortWeights!$E$2:$E$15,Fact_PreSortWeights!$C$2:$C$15,$A110,Fact_PreSortWeights!$B$2:$B$15,$B110,Fact_PreSortWeights!$F$2:$F$15,$C110))+(SUMIFS(Fact_SortedWeights!$E$2:$E$6,Fact_SortedWeights!$C$2:$C$6,$A110,Fact_SortedWeights!$B$2:$B$6,$B110,Fact_SortedWeights!$D$2:$D$6,$C110,Fact_SortedWeights!$L$2:$L$6,"Yes"))+IF((SUMIFS(Fact_SortedWeights!$E$2:$E$6,Fact_SortedWeights!$C$2:$C$6,$A110,Fact_SortedWeights!$B$2:$B$6,$B110,Fact_SortedWeights!$L$2:$L$6,"No"))=0,0,(SUMIFS(Fact_SortedWeights!$E$2:$E$6,Fact_SortedWeights!$C$2:$C$6,$A110,Fact_SortedWeights!$B$2:$B$6,$B110,Fact_SortedWeights!$D$2:$D$6,$C110,Fact_SortedWeights!$L$2:$L$6,"No"))/(SUMIFS(Fact_SortedWeights!$E$2:$E$6,Fact_SortedWeights!$C$2:$C$6,$A110,Fact_SortedWeights!$B$2:$B$6,$B110,Fact_SortedWeights!$L$2:$L$6,"No"))*((SUMIFS(Fact_PreSortWeights!$E$2:$E$15,Fact_PreSortWeights!$C$2:$C$15,$A110,Fact_PreSortWeights!$B$2:$B$15,$B110,Fact_PreSortWeights!$F$2:$F$15,""))-(SUMIFS(Fact_SortedWeights!$E$2:$E$6,Fact_SortedWeights!$C$2:$C$6,$A110,Fact_SortedWeights!$B$2:$B$6,$B110,Fact_SortedWeights!$L$2:$L$6,"Yes"))))</f>
        <v>0</v>
      </c>
      <c r="G110" s="0" t="n">
        <f aca="false">IF(AND(IF($B110="Trash",INDEX('Materials Master'!$F$2:$F$27,MATCH($C110,'Materials Master'!$A$2:$A$27,0)),IF($B110="GMPC Recycling",INDEX('Materials Master'!$G$2:$G$27,MATCH($C110,'Materials Master'!$A$2:$A$27,0)),IF($B110="Organics Recycling",INDEX('Materials Master'!$H$2:$H$27,MATCH($C110,'Materials Master'!$A$2:$A$27,0)),IF($B110="Cardboard Recycling",INDEX('Materials Master'!$I$2:$I$27,MATCH($C110,'Materials Master'!$A$2:$A$27,0)),IF($B110="Paper Recycling",INDEX('Materials Master'!$J$2:$J$27,MATCH($C110,'Materials Master'!$A$2:$A$27,0)),IF($B110="Terracycle",INDEX('Materials Master'!$K$2:$K$27,MATCH($C110,'Materials Master'!$A$2:$A$27,0)),"No"))))))="Yes",INDEX('Materials Master'!$E$2:$E$27,MATCH($C110,'Materials Master'!$A$2:$A$27,0))="Yes",$B110&lt;&gt;"Trash"),1,0)</f>
        <v>0</v>
      </c>
      <c r="H110" s="0" t="str">
        <f aca="false">INDEX('Materials Master'!$E$2:$E$27,MATCH($C110,'Materials Master'!$A$2:$A$27,0))</f>
        <v>No</v>
      </c>
      <c r="I110" s="0" t="str">
        <f aca="false">IFERROR(INDEX(Areas!$C$2:$C$6,MATCH($A110,Areas!$B$2:$B$6,0)),"")</f>
        <v>Rest of Building</v>
      </c>
      <c r="J110" s="0" t="n">
        <f aca="false">IF(IF($B110="Trash",INDEX('Materials Master'!$F$2:$F$27,MATCH($C110,'Materials Master'!$A$2:$A$27,0)),IF($B110="GMPC Recycling",INDEX('Materials Master'!$G$2:$G$27,MATCH($C110,'Materials Master'!$A$2:$A$27,0)),IF($B110="Organics Recycling",INDEX('Materials Master'!$H$2:$H$27,MATCH($C110,'Materials Master'!$A$2:$A$27,0)),IF($B110="Cardboard Recycling",INDEX('Materials Master'!$I$2:$I$27,MATCH($C110,'Materials Master'!$A$2:$A$27,0)),IF($B110="Paper Recycling",INDEX('Materials Master'!$J$2:$J$27,MATCH($C110,'Materials Master'!$A$2:$A$27,0)),IF($B110="Terracycle",INDEX('Materials Master'!$K$2:$K$27,MATCH($C110,'Materials Master'!$A$2:$A$27,0)),"No"))))))="Yes",1,0)</f>
        <v>0</v>
      </c>
    </row>
    <row r="111" customFormat="false" ht="15" hidden="false" customHeight="false" outlineLevel="0" collapsed="false">
      <c r="A111" s="0" t="s">
        <v>91</v>
      </c>
      <c r="B111" s="0" t="s">
        <v>107</v>
      </c>
      <c r="C111" s="0" t="s">
        <v>39</v>
      </c>
      <c r="D111" s="0" t="str">
        <f aca="false">IFERROR(INDEX('Materials Master'!$B$2:$B$27,MATCH($C111,'Materials Master'!$A$2:$A$27,0)),"")</f>
        <v>Beverage Cartons</v>
      </c>
      <c r="E111" s="0" t="str">
        <f aca="false">IFERROR(INDEX('Materials Master'!$C$2:$C$27,MATCH($C111,'Materials Master'!$A$2:$A$27,0)),"")</f>
        <v>Fibers</v>
      </c>
      <c r="F111" s="0" t="n">
        <f aca="false">(SUMIFS(Fact_PreSortWeights!$E$2:$E$15,Fact_PreSortWeights!$C$2:$C$15,$A111,Fact_PreSortWeights!$B$2:$B$15,$B111,Fact_PreSortWeights!$F$2:$F$15,$C111))+(SUMIFS(Fact_SortedWeights!$E$2:$E$6,Fact_SortedWeights!$C$2:$C$6,$A111,Fact_SortedWeights!$B$2:$B$6,$B111,Fact_SortedWeights!$D$2:$D$6,$C111,Fact_SortedWeights!$L$2:$L$6,"Yes"))+IF((SUMIFS(Fact_SortedWeights!$E$2:$E$6,Fact_SortedWeights!$C$2:$C$6,$A111,Fact_SortedWeights!$B$2:$B$6,$B111,Fact_SortedWeights!$L$2:$L$6,"No"))=0,0,(SUMIFS(Fact_SortedWeights!$E$2:$E$6,Fact_SortedWeights!$C$2:$C$6,$A111,Fact_SortedWeights!$B$2:$B$6,$B111,Fact_SortedWeights!$D$2:$D$6,$C111,Fact_SortedWeights!$L$2:$L$6,"No"))/(SUMIFS(Fact_SortedWeights!$E$2:$E$6,Fact_SortedWeights!$C$2:$C$6,$A111,Fact_SortedWeights!$B$2:$B$6,$B111,Fact_SortedWeights!$L$2:$L$6,"No"))*((SUMIFS(Fact_PreSortWeights!$E$2:$E$15,Fact_PreSortWeights!$C$2:$C$15,$A111,Fact_PreSortWeights!$B$2:$B$15,$B111,Fact_PreSortWeights!$F$2:$F$15,""))-(SUMIFS(Fact_SortedWeights!$E$2:$E$6,Fact_SortedWeights!$C$2:$C$6,$A111,Fact_SortedWeights!$B$2:$B$6,$B111,Fact_SortedWeights!$L$2:$L$6,"Yes"))))</f>
        <v>0</v>
      </c>
      <c r="G111" s="0" t="n">
        <f aca="false">IF(AND(IF($B111="Trash",INDEX('Materials Master'!$F$2:$F$27,MATCH($C111,'Materials Master'!$A$2:$A$27,0)),IF($B111="GMPC Recycling",INDEX('Materials Master'!$G$2:$G$27,MATCH($C111,'Materials Master'!$A$2:$A$27,0)),IF($B111="Organics Recycling",INDEX('Materials Master'!$H$2:$H$27,MATCH($C111,'Materials Master'!$A$2:$A$27,0)),IF($B111="Cardboard Recycling",INDEX('Materials Master'!$I$2:$I$27,MATCH($C111,'Materials Master'!$A$2:$A$27,0)),IF($B111="Paper Recycling",INDEX('Materials Master'!$J$2:$J$27,MATCH($C111,'Materials Master'!$A$2:$A$27,0)),IF($B111="Terracycle",INDEX('Materials Master'!$K$2:$K$27,MATCH($C111,'Materials Master'!$A$2:$A$27,0)),"No"))))))="Yes",INDEX('Materials Master'!$E$2:$E$27,MATCH($C111,'Materials Master'!$A$2:$A$27,0))="Yes",$B111&lt;&gt;"Trash"),1,0)</f>
        <v>1</v>
      </c>
      <c r="H111" s="0" t="str">
        <f aca="false">INDEX('Materials Master'!$E$2:$E$27,MATCH($C111,'Materials Master'!$A$2:$A$27,0))</f>
        <v>Yes</v>
      </c>
      <c r="I111" s="0" t="str">
        <f aca="false">IFERROR(INDEX(Areas!$C$2:$C$6,MATCH($A111,Areas!$B$2:$B$6,0)),"")</f>
        <v>Rest of Building</v>
      </c>
      <c r="J111" s="0" t="n">
        <f aca="false">IF(IF($B111="Trash",INDEX('Materials Master'!$F$2:$F$27,MATCH($C111,'Materials Master'!$A$2:$A$27,0)),IF($B111="GMPC Recycling",INDEX('Materials Master'!$G$2:$G$27,MATCH($C111,'Materials Master'!$A$2:$A$27,0)),IF($B111="Organics Recycling",INDEX('Materials Master'!$H$2:$H$27,MATCH($C111,'Materials Master'!$A$2:$A$27,0)),IF($B111="Cardboard Recycling",INDEX('Materials Master'!$I$2:$I$27,MATCH($C111,'Materials Master'!$A$2:$A$27,0)),IF($B111="Paper Recycling",INDEX('Materials Master'!$J$2:$J$27,MATCH($C111,'Materials Master'!$A$2:$A$27,0)),IF($B111="Terracycle",INDEX('Materials Master'!$K$2:$K$27,MATCH($C111,'Materials Master'!$A$2:$A$27,0)),"No"))))))="Yes",1,0)</f>
        <v>1</v>
      </c>
    </row>
    <row r="112" customFormat="false" ht="15" hidden="false" customHeight="false" outlineLevel="0" collapsed="false">
      <c r="A112" s="0" t="s">
        <v>91</v>
      </c>
      <c r="B112" s="0" t="s">
        <v>107</v>
      </c>
      <c r="C112" s="0" t="s">
        <v>41</v>
      </c>
      <c r="D112" s="0" t="str">
        <f aca="false">IFERROR(INDEX('Materials Master'!$B$2:$B$27,MATCH($C112,'Materials Master'!$A$2:$A$27,0)),"")</f>
        <v>Soiled Beverage Cartons</v>
      </c>
      <c r="E112" s="0" t="str">
        <f aca="false">IFERROR(INDEX('Materials Master'!$C$2:$C$27,MATCH($C112,'Materials Master'!$A$2:$A$27,0)),"")</f>
        <v>Fibers</v>
      </c>
      <c r="F112" s="0" t="n">
        <f aca="false">(SUMIFS(Fact_PreSortWeights!$E$2:$E$15,Fact_PreSortWeights!$C$2:$C$15,$A112,Fact_PreSortWeights!$B$2:$B$15,$B112,Fact_PreSortWeights!$F$2:$F$15,$C112))+(SUMIFS(Fact_SortedWeights!$E$2:$E$6,Fact_SortedWeights!$C$2:$C$6,$A112,Fact_SortedWeights!$B$2:$B$6,$B112,Fact_SortedWeights!$D$2:$D$6,$C112,Fact_SortedWeights!$L$2:$L$6,"Yes"))+IF((SUMIFS(Fact_SortedWeights!$E$2:$E$6,Fact_SortedWeights!$C$2:$C$6,$A112,Fact_SortedWeights!$B$2:$B$6,$B112,Fact_SortedWeights!$L$2:$L$6,"No"))=0,0,(SUMIFS(Fact_SortedWeights!$E$2:$E$6,Fact_SortedWeights!$C$2:$C$6,$A112,Fact_SortedWeights!$B$2:$B$6,$B112,Fact_SortedWeights!$D$2:$D$6,$C112,Fact_SortedWeights!$L$2:$L$6,"No"))/(SUMIFS(Fact_SortedWeights!$E$2:$E$6,Fact_SortedWeights!$C$2:$C$6,$A112,Fact_SortedWeights!$B$2:$B$6,$B112,Fact_SortedWeights!$L$2:$L$6,"No"))*((SUMIFS(Fact_PreSortWeights!$E$2:$E$15,Fact_PreSortWeights!$C$2:$C$15,$A112,Fact_PreSortWeights!$B$2:$B$15,$B112,Fact_PreSortWeights!$F$2:$F$15,""))-(SUMIFS(Fact_SortedWeights!$E$2:$E$6,Fact_SortedWeights!$C$2:$C$6,$A112,Fact_SortedWeights!$B$2:$B$6,$B112,Fact_SortedWeights!$L$2:$L$6,"Yes"))))</f>
        <v>0</v>
      </c>
      <c r="G112" s="0" t="n">
        <f aca="false">IF(AND(IF($B112="Trash",INDEX('Materials Master'!$F$2:$F$27,MATCH($C112,'Materials Master'!$A$2:$A$27,0)),IF($B112="GMPC Recycling",INDEX('Materials Master'!$G$2:$G$27,MATCH($C112,'Materials Master'!$A$2:$A$27,0)),IF($B112="Organics Recycling",INDEX('Materials Master'!$H$2:$H$27,MATCH($C112,'Materials Master'!$A$2:$A$27,0)),IF($B112="Cardboard Recycling",INDEX('Materials Master'!$I$2:$I$27,MATCH($C112,'Materials Master'!$A$2:$A$27,0)),IF($B112="Paper Recycling",INDEX('Materials Master'!$J$2:$J$27,MATCH($C112,'Materials Master'!$A$2:$A$27,0)),IF($B112="Terracycle",INDEX('Materials Master'!$K$2:$K$27,MATCH($C112,'Materials Master'!$A$2:$A$27,0)),"No"))))))="Yes",INDEX('Materials Master'!$E$2:$E$27,MATCH($C112,'Materials Master'!$A$2:$A$27,0))="Yes",$B112&lt;&gt;"Trash"),1,0)</f>
        <v>0</v>
      </c>
      <c r="H112" s="0" t="str">
        <f aca="false">INDEX('Materials Master'!$E$2:$E$27,MATCH($C112,'Materials Master'!$A$2:$A$27,0))</f>
        <v>No</v>
      </c>
      <c r="I112" s="0" t="str">
        <f aca="false">IFERROR(INDEX(Areas!$C$2:$C$6,MATCH($A112,Areas!$B$2:$B$6,0)),"")</f>
        <v>Rest of Building</v>
      </c>
      <c r="J112" s="0" t="n">
        <f aca="false">IF(IF($B112="Trash",INDEX('Materials Master'!$F$2:$F$27,MATCH($C112,'Materials Master'!$A$2:$A$27,0)),IF($B112="GMPC Recycling",INDEX('Materials Master'!$G$2:$G$27,MATCH($C112,'Materials Master'!$A$2:$A$27,0)),IF($B112="Organics Recycling",INDEX('Materials Master'!$H$2:$H$27,MATCH($C112,'Materials Master'!$A$2:$A$27,0)),IF($B112="Cardboard Recycling",INDEX('Materials Master'!$I$2:$I$27,MATCH($C112,'Materials Master'!$A$2:$A$27,0)),IF($B112="Paper Recycling",INDEX('Materials Master'!$J$2:$J$27,MATCH($C112,'Materials Master'!$A$2:$A$27,0)),IF($B112="Terracycle",INDEX('Materials Master'!$K$2:$K$27,MATCH($C112,'Materials Master'!$A$2:$A$27,0)),"No"))))))="Yes",1,0)</f>
        <v>0</v>
      </c>
    </row>
    <row r="113" customFormat="false" ht="15" hidden="false" customHeight="false" outlineLevel="0" collapsed="false">
      <c r="A113" s="0" t="s">
        <v>91</v>
      </c>
      <c r="B113" s="0" t="s">
        <v>107</v>
      </c>
      <c r="C113" s="0" t="s">
        <v>43</v>
      </c>
      <c r="D113" s="0" t="str">
        <f aca="false">IFERROR(INDEX('Materials Master'!$B$2:$B$27,MATCH($C113,'Materials Master'!$A$2:$A$27,0)),"")</f>
        <v>Paper Cups / Other Coated Paper Containers</v>
      </c>
      <c r="E113" s="0" t="str">
        <f aca="false">IFERROR(INDEX('Materials Master'!$C$2:$C$27,MATCH($C113,'Materials Master'!$A$2:$A$27,0)),"")</f>
        <v>Fibers</v>
      </c>
      <c r="F113" s="0" t="n">
        <f aca="false">(SUMIFS(Fact_PreSortWeights!$E$2:$E$15,Fact_PreSortWeights!$C$2:$C$15,$A113,Fact_PreSortWeights!$B$2:$B$15,$B113,Fact_PreSortWeights!$F$2:$F$15,$C113))+(SUMIFS(Fact_SortedWeights!$E$2:$E$6,Fact_SortedWeights!$C$2:$C$6,$A113,Fact_SortedWeights!$B$2:$B$6,$B113,Fact_SortedWeights!$D$2:$D$6,$C113,Fact_SortedWeights!$L$2:$L$6,"Yes"))+IF((SUMIFS(Fact_SortedWeights!$E$2:$E$6,Fact_SortedWeights!$C$2:$C$6,$A113,Fact_SortedWeights!$B$2:$B$6,$B113,Fact_SortedWeights!$L$2:$L$6,"No"))=0,0,(SUMIFS(Fact_SortedWeights!$E$2:$E$6,Fact_SortedWeights!$C$2:$C$6,$A113,Fact_SortedWeights!$B$2:$B$6,$B113,Fact_SortedWeights!$D$2:$D$6,$C113,Fact_SortedWeights!$L$2:$L$6,"No"))/(SUMIFS(Fact_SortedWeights!$E$2:$E$6,Fact_SortedWeights!$C$2:$C$6,$A113,Fact_SortedWeights!$B$2:$B$6,$B113,Fact_SortedWeights!$L$2:$L$6,"No"))*((SUMIFS(Fact_PreSortWeights!$E$2:$E$15,Fact_PreSortWeights!$C$2:$C$15,$A113,Fact_PreSortWeights!$B$2:$B$15,$B113,Fact_PreSortWeights!$F$2:$F$15,""))-(SUMIFS(Fact_SortedWeights!$E$2:$E$6,Fact_SortedWeights!$C$2:$C$6,$A113,Fact_SortedWeights!$B$2:$B$6,$B113,Fact_SortedWeights!$L$2:$L$6,"Yes"))))</f>
        <v>0</v>
      </c>
      <c r="G113" s="0" t="n">
        <f aca="false">IF(AND(IF($B113="Trash",INDEX('Materials Master'!$F$2:$F$27,MATCH($C113,'Materials Master'!$A$2:$A$27,0)),IF($B113="GMPC Recycling",INDEX('Materials Master'!$G$2:$G$27,MATCH($C113,'Materials Master'!$A$2:$A$27,0)),IF($B113="Organics Recycling",INDEX('Materials Master'!$H$2:$H$27,MATCH($C113,'Materials Master'!$A$2:$A$27,0)),IF($B113="Cardboard Recycling",INDEX('Materials Master'!$I$2:$I$27,MATCH($C113,'Materials Master'!$A$2:$A$27,0)),IF($B113="Paper Recycling",INDEX('Materials Master'!$J$2:$J$27,MATCH($C113,'Materials Master'!$A$2:$A$27,0)),IF($B113="Terracycle",INDEX('Materials Master'!$K$2:$K$27,MATCH($C113,'Materials Master'!$A$2:$A$27,0)),"No"))))))="Yes",INDEX('Materials Master'!$E$2:$E$27,MATCH($C113,'Materials Master'!$A$2:$A$27,0))="Yes",$B113&lt;&gt;"Trash"),1,0)</f>
        <v>0</v>
      </c>
      <c r="H113" s="0" t="str">
        <f aca="false">INDEX('Materials Master'!$E$2:$E$27,MATCH($C113,'Materials Master'!$A$2:$A$27,0))</f>
        <v>No</v>
      </c>
      <c r="I113" s="0" t="str">
        <f aca="false">IFERROR(INDEX(Areas!$C$2:$C$6,MATCH($A113,Areas!$B$2:$B$6,0)),"")</f>
        <v>Rest of Building</v>
      </c>
      <c r="J113" s="0" t="n">
        <f aca="false">IF(IF($B113="Trash",INDEX('Materials Master'!$F$2:$F$27,MATCH($C113,'Materials Master'!$A$2:$A$27,0)),IF($B113="GMPC Recycling",INDEX('Materials Master'!$G$2:$G$27,MATCH($C113,'Materials Master'!$A$2:$A$27,0)),IF($B113="Organics Recycling",INDEX('Materials Master'!$H$2:$H$27,MATCH($C113,'Materials Master'!$A$2:$A$27,0)),IF($B113="Cardboard Recycling",INDEX('Materials Master'!$I$2:$I$27,MATCH($C113,'Materials Master'!$A$2:$A$27,0)),IF($B113="Paper Recycling",INDEX('Materials Master'!$J$2:$J$27,MATCH($C113,'Materials Master'!$A$2:$A$27,0)),IF($B113="Terracycle",INDEX('Materials Master'!$K$2:$K$27,MATCH($C113,'Materials Master'!$A$2:$A$27,0)),"No"))))))="Yes",1,0)</f>
        <v>0</v>
      </c>
    </row>
    <row r="114" customFormat="false" ht="15" hidden="false" customHeight="false" outlineLevel="0" collapsed="false">
      <c r="A114" s="0" t="s">
        <v>91</v>
      </c>
      <c r="B114" s="0" t="s">
        <v>107</v>
      </c>
      <c r="C114" s="0" t="s">
        <v>45</v>
      </c>
      <c r="D114" s="0" t="str">
        <f aca="false">IFERROR(INDEX('Materials Master'!$B$2:$B$27,MATCH($C114,'Materials Master'!$A$2:$A$27,0)),"")</f>
        <v>Glass Bottles &amp; Jars</v>
      </c>
      <c r="E114" s="0" t="str">
        <f aca="false">IFERROR(INDEX('Materials Master'!$C$2:$C$27,MATCH($C114,'Materials Master'!$A$2:$A$27,0)),"")</f>
        <v>Glass</v>
      </c>
      <c r="F114" s="0" t="n">
        <f aca="false">(SUMIFS(Fact_PreSortWeights!$E$2:$E$15,Fact_PreSortWeights!$C$2:$C$15,$A114,Fact_PreSortWeights!$B$2:$B$15,$B114,Fact_PreSortWeights!$F$2:$F$15,$C114))+(SUMIFS(Fact_SortedWeights!$E$2:$E$6,Fact_SortedWeights!$C$2:$C$6,$A114,Fact_SortedWeights!$B$2:$B$6,$B114,Fact_SortedWeights!$D$2:$D$6,$C114,Fact_SortedWeights!$L$2:$L$6,"Yes"))+IF((SUMIFS(Fact_SortedWeights!$E$2:$E$6,Fact_SortedWeights!$C$2:$C$6,$A114,Fact_SortedWeights!$B$2:$B$6,$B114,Fact_SortedWeights!$L$2:$L$6,"No"))=0,0,(SUMIFS(Fact_SortedWeights!$E$2:$E$6,Fact_SortedWeights!$C$2:$C$6,$A114,Fact_SortedWeights!$B$2:$B$6,$B114,Fact_SortedWeights!$D$2:$D$6,$C114,Fact_SortedWeights!$L$2:$L$6,"No"))/(SUMIFS(Fact_SortedWeights!$E$2:$E$6,Fact_SortedWeights!$C$2:$C$6,$A114,Fact_SortedWeights!$B$2:$B$6,$B114,Fact_SortedWeights!$L$2:$L$6,"No"))*((SUMIFS(Fact_PreSortWeights!$E$2:$E$15,Fact_PreSortWeights!$C$2:$C$15,$A114,Fact_PreSortWeights!$B$2:$B$15,$B114,Fact_PreSortWeights!$F$2:$F$15,""))-(SUMIFS(Fact_SortedWeights!$E$2:$E$6,Fact_SortedWeights!$C$2:$C$6,$A114,Fact_SortedWeights!$B$2:$B$6,$B114,Fact_SortedWeights!$L$2:$L$6,"Yes"))))</f>
        <v>0</v>
      </c>
      <c r="G114" s="0" t="n">
        <f aca="false">IF(AND(IF($B114="Trash",INDEX('Materials Master'!$F$2:$F$27,MATCH($C114,'Materials Master'!$A$2:$A$27,0)),IF($B114="GMPC Recycling",INDEX('Materials Master'!$G$2:$G$27,MATCH($C114,'Materials Master'!$A$2:$A$27,0)),IF($B114="Organics Recycling",INDEX('Materials Master'!$H$2:$H$27,MATCH($C114,'Materials Master'!$A$2:$A$27,0)),IF($B114="Cardboard Recycling",INDEX('Materials Master'!$I$2:$I$27,MATCH($C114,'Materials Master'!$A$2:$A$27,0)),IF($B114="Paper Recycling",INDEX('Materials Master'!$J$2:$J$27,MATCH($C114,'Materials Master'!$A$2:$A$27,0)),IF($B114="Terracycle",INDEX('Materials Master'!$K$2:$K$27,MATCH($C114,'Materials Master'!$A$2:$A$27,0)),"No"))))))="Yes",INDEX('Materials Master'!$E$2:$E$27,MATCH($C114,'Materials Master'!$A$2:$A$27,0))="Yes",$B114&lt;&gt;"Trash"),1,0)</f>
        <v>1</v>
      </c>
      <c r="H114" s="0" t="str">
        <f aca="false">INDEX('Materials Master'!$E$2:$E$27,MATCH($C114,'Materials Master'!$A$2:$A$27,0))</f>
        <v>Yes</v>
      </c>
      <c r="I114" s="0" t="str">
        <f aca="false">IFERROR(INDEX(Areas!$C$2:$C$6,MATCH($A114,Areas!$B$2:$B$6,0)),"")</f>
        <v>Rest of Building</v>
      </c>
      <c r="J114" s="0" t="n">
        <f aca="false">IF(IF($B114="Trash",INDEX('Materials Master'!$F$2:$F$27,MATCH($C114,'Materials Master'!$A$2:$A$27,0)),IF($B114="GMPC Recycling",INDEX('Materials Master'!$G$2:$G$27,MATCH($C114,'Materials Master'!$A$2:$A$27,0)),IF($B114="Organics Recycling",INDEX('Materials Master'!$H$2:$H$27,MATCH($C114,'Materials Master'!$A$2:$A$27,0)),IF($B114="Cardboard Recycling",INDEX('Materials Master'!$I$2:$I$27,MATCH($C114,'Materials Master'!$A$2:$A$27,0)),IF($B114="Paper Recycling",INDEX('Materials Master'!$J$2:$J$27,MATCH($C114,'Materials Master'!$A$2:$A$27,0)),IF($B114="Terracycle",INDEX('Materials Master'!$K$2:$K$27,MATCH($C114,'Materials Master'!$A$2:$A$27,0)),"No"))))))="Yes",1,0)</f>
        <v>1</v>
      </c>
    </row>
    <row r="115" customFormat="false" ht="15" hidden="false" customHeight="false" outlineLevel="0" collapsed="false">
      <c r="A115" s="0" t="s">
        <v>91</v>
      </c>
      <c r="B115" s="0" t="s">
        <v>107</v>
      </c>
      <c r="C115" s="0" t="s">
        <v>48</v>
      </c>
      <c r="D115" s="0" t="str">
        <f aca="false">IFERROR(INDEX('Materials Master'!$B$2:$B$27,MATCH($C115,'Materials Master'!$A$2:$A$27,0)),"")</f>
        <v>Soiled Glass</v>
      </c>
      <c r="E115" s="0" t="str">
        <f aca="false">IFERROR(INDEX('Materials Master'!$C$2:$C$27,MATCH($C115,'Materials Master'!$A$2:$A$27,0)),"")</f>
        <v>Glass</v>
      </c>
      <c r="F115" s="0" t="n">
        <f aca="false">(SUMIFS(Fact_PreSortWeights!$E$2:$E$15,Fact_PreSortWeights!$C$2:$C$15,$A115,Fact_PreSortWeights!$B$2:$B$15,$B115,Fact_PreSortWeights!$F$2:$F$15,$C115))+(SUMIFS(Fact_SortedWeights!$E$2:$E$6,Fact_SortedWeights!$C$2:$C$6,$A115,Fact_SortedWeights!$B$2:$B$6,$B115,Fact_SortedWeights!$D$2:$D$6,$C115,Fact_SortedWeights!$L$2:$L$6,"Yes"))+IF((SUMIFS(Fact_SortedWeights!$E$2:$E$6,Fact_SortedWeights!$C$2:$C$6,$A115,Fact_SortedWeights!$B$2:$B$6,$B115,Fact_SortedWeights!$L$2:$L$6,"No"))=0,0,(SUMIFS(Fact_SortedWeights!$E$2:$E$6,Fact_SortedWeights!$C$2:$C$6,$A115,Fact_SortedWeights!$B$2:$B$6,$B115,Fact_SortedWeights!$D$2:$D$6,$C115,Fact_SortedWeights!$L$2:$L$6,"No"))/(SUMIFS(Fact_SortedWeights!$E$2:$E$6,Fact_SortedWeights!$C$2:$C$6,$A115,Fact_SortedWeights!$B$2:$B$6,$B115,Fact_SortedWeights!$L$2:$L$6,"No"))*((SUMIFS(Fact_PreSortWeights!$E$2:$E$15,Fact_PreSortWeights!$C$2:$C$15,$A115,Fact_PreSortWeights!$B$2:$B$15,$B115,Fact_PreSortWeights!$F$2:$F$15,""))-(SUMIFS(Fact_SortedWeights!$E$2:$E$6,Fact_SortedWeights!$C$2:$C$6,$A115,Fact_SortedWeights!$B$2:$B$6,$B115,Fact_SortedWeights!$L$2:$L$6,"Yes"))))</f>
        <v>0</v>
      </c>
      <c r="G115" s="0" t="n">
        <f aca="false">IF(AND(IF($B115="Trash",INDEX('Materials Master'!$F$2:$F$27,MATCH($C115,'Materials Master'!$A$2:$A$27,0)),IF($B115="GMPC Recycling",INDEX('Materials Master'!$G$2:$G$27,MATCH($C115,'Materials Master'!$A$2:$A$27,0)),IF($B115="Organics Recycling",INDEX('Materials Master'!$H$2:$H$27,MATCH($C115,'Materials Master'!$A$2:$A$27,0)),IF($B115="Cardboard Recycling",INDEX('Materials Master'!$I$2:$I$27,MATCH($C115,'Materials Master'!$A$2:$A$27,0)),IF($B115="Paper Recycling",INDEX('Materials Master'!$J$2:$J$27,MATCH($C115,'Materials Master'!$A$2:$A$27,0)),IF($B115="Terracycle",INDEX('Materials Master'!$K$2:$K$27,MATCH($C115,'Materials Master'!$A$2:$A$27,0)),"No"))))))="Yes",INDEX('Materials Master'!$E$2:$E$27,MATCH($C115,'Materials Master'!$A$2:$A$27,0))="Yes",$B115&lt;&gt;"Trash"),1,0)</f>
        <v>0</v>
      </c>
      <c r="H115" s="0" t="str">
        <f aca="false">INDEX('Materials Master'!$E$2:$E$27,MATCH($C115,'Materials Master'!$A$2:$A$27,0))</f>
        <v>No</v>
      </c>
      <c r="I115" s="0" t="str">
        <f aca="false">IFERROR(INDEX(Areas!$C$2:$C$6,MATCH($A115,Areas!$B$2:$B$6,0)),"")</f>
        <v>Rest of Building</v>
      </c>
      <c r="J115" s="0" t="n">
        <f aca="false">IF(IF($B115="Trash",INDEX('Materials Master'!$F$2:$F$27,MATCH($C115,'Materials Master'!$A$2:$A$27,0)),IF($B115="GMPC Recycling",INDEX('Materials Master'!$G$2:$G$27,MATCH($C115,'Materials Master'!$A$2:$A$27,0)),IF($B115="Organics Recycling",INDEX('Materials Master'!$H$2:$H$27,MATCH($C115,'Materials Master'!$A$2:$A$27,0)),IF($B115="Cardboard Recycling",INDEX('Materials Master'!$I$2:$I$27,MATCH($C115,'Materials Master'!$A$2:$A$27,0)),IF($B115="Paper Recycling",INDEX('Materials Master'!$J$2:$J$27,MATCH($C115,'Materials Master'!$A$2:$A$27,0)),IF($B115="Terracycle",INDEX('Materials Master'!$K$2:$K$27,MATCH($C115,'Materials Master'!$A$2:$A$27,0)),"No"))))))="Yes",1,0)</f>
        <v>0</v>
      </c>
    </row>
    <row r="116" customFormat="false" ht="15" hidden="false" customHeight="false" outlineLevel="0" collapsed="false">
      <c r="A116" s="0" t="s">
        <v>91</v>
      </c>
      <c r="B116" s="0" t="s">
        <v>107</v>
      </c>
      <c r="C116" s="0" t="s">
        <v>50</v>
      </c>
      <c r="D116" s="0" t="str">
        <f aca="false">IFERROR(INDEX('Materials Master'!$B$2:$B$27,MATCH($C116,'Materials Master'!$A$2:$A$27,0)),"")</f>
        <v>Aluminum &amp; Bi-Metal Containers</v>
      </c>
      <c r="E116" s="0" t="str">
        <f aca="false">IFERROR(INDEX('Materials Master'!$C$2:$C$27,MATCH($C116,'Materials Master'!$A$2:$A$27,0)),"")</f>
        <v>Metals</v>
      </c>
      <c r="F116" s="0" t="n">
        <f aca="false">(SUMIFS(Fact_PreSortWeights!$E$2:$E$15,Fact_PreSortWeights!$C$2:$C$15,$A116,Fact_PreSortWeights!$B$2:$B$15,$B116,Fact_PreSortWeights!$F$2:$F$15,$C116))+(SUMIFS(Fact_SortedWeights!$E$2:$E$6,Fact_SortedWeights!$C$2:$C$6,$A116,Fact_SortedWeights!$B$2:$B$6,$B116,Fact_SortedWeights!$D$2:$D$6,$C116,Fact_SortedWeights!$L$2:$L$6,"Yes"))+IF((SUMIFS(Fact_SortedWeights!$E$2:$E$6,Fact_SortedWeights!$C$2:$C$6,$A116,Fact_SortedWeights!$B$2:$B$6,$B116,Fact_SortedWeights!$L$2:$L$6,"No"))=0,0,(SUMIFS(Fact_SortedWeights!$E$2:$E$6,Fact_SortedWeights!$C$2:$C$6,$A116,Fact_SortedWeights!$B$2:$B$6,$B116,Fact_SortedWeights!$D$2:$D$6,$C116,Fact_SortedWeights!$L$2:$L$6,"No"))/(SUMIFS(Fact_SortedWeights!$E$2:$E$6,Fact_SortedWeights!$C$2:$C$6,$A116,Fact_SortedWeights!$B$2:$B$6,$B116,Fact_SortedWeights!$L$2:$L$6,"No"))*((SUMIFS(Fact_PreSortWeights!$E$2:$E$15,Fact_PreSortWeights!$C$2:$C$15,$A116,Fact_PreSortWeights!$B$2:$B$15,$B116,Fact_PreSortWeights!$F$2:$F$15,""))-(SUMIFS(Fact_SortedWeights!$E$2:$E$6,Fact_SortedWeights!$C$2:$C$6,$A116,Fact_SortedWeights!$B$2:$B$6,$B116,Fact_SortedWeights!$L$2:$L$6,"Yes"))))</f>
        <v>0</v>
      </c>
      <c r="G116" s="0" t="n">
        <f aca="false">IF(AND(IF($B116="Trash",INDEX('Materials Master'!$F$2:$F$27,MATCH($C116,'Materials Master'!$A$2:$A$27,0)),IF($B116="GMPC Recycling",INDEX('Materials Master'!$G$2:$G$27,MATCH($C116,'Materials Master'!$A$2:$A$27,0)),IF($B116="Organics Recycling",INDEX('Materials Master'!$H$2:$H$27,MATCH($C116,'Materials Master'!$A$2:$A$27,0)),IF($B116="Cardboard Recycling",INDEX('Materials Master'!$I$2:$I$27,MATCH($C116,'Materials Master'!$A$2:$A$27,0)),IF($B116="Paper Recycling",INDEX('Materials Master'!$J$2:$J$27,MATCH($C116,'Materials Master'!$A$2:$A$27,0)),IF($B116="Terracycle",INDEX('Materials Master'!$K$2:$K$27,MATCH($C116,'Materials Master'!$A$2:$A$27,0)),"No"))))))="Yes",INDEX('Materials Master'!$E$2:$E$27,MATCH($C116,'Materials Master'!$A$2:$A$27,0))="Yes",$B116&lt;&gt;"Trash"),1,0)</f>
        <v>1</v>
      </c>
      <c r="H116" s="0" t="str">
        <f aca="false">INDEX('Materials Master'!$E$2:$E$27,MATCH($C116,'Materials Master'!$A$2:$A$27,0))</f>
        <v>Yes</v>
      </c>
      <c r="I116" s="0" t="str">
        <f aca="false">IFERROR(INDEX(Areas!$C$2:$C$6,MATCH($A116,Areas!$B$2:$B$6,0)),"")</f>
        <v>Rest of Building</v>
      </c>
      <c r="J116" s="0" t="n">
        <f aca="false">IF(IF($B116="Trash",INDEX('Materials Master'!$F$2:$F$27,MATCH($C116,'Materials Master'!$A$2:$A$27,0)),IF($B116="GMPC Recycling",INDEX('Materials Master'!$G$2:$G$27,MATCH($C116,'Materials Master'!$A$2:$A$27,0)),IF($B116="Organics Recycling",INDEX('Materials Master'!$H$2:$H$27,MATCH($C116,'Materials Master'!$A$2:$A$27,0)),IF($B116="Cardboard Recycling",INDEX('Materials Master'!$I$2:$I$27,MATCH($C116,'Materials Master'!$A$2:$A$27,0)),IF($B116="Paper Recycling",INDEX('Materials Master'!$J$2:$J$27,MATCH($C116,'Materials Master'!$A$2:$A$27,0)),IF($B116="Terracycle",INDEX('Materials Master'!$K$2:$K$27,MATCH($C116,'Materials Master'!$A$2:$A$27,0)),"No"))))))="Yes",1,0)</f>
        <v>1</v>
      </c>
    </row>
    <row r="117" customFormat="false" ht="15" hidden="false" customHeight="false" outlineLevel="0" collapsed="false">
      <c r="A117" s="0" t="s">
        <v>91</v>
      </c>
      <c r="B117" s="0" t="s">
        <v>107</v>
      </c>
      <c r="C117" s="0" t="s">
        <v>53</v>
      </c>
      <c r="D117" s="0" t="str">
        <f aca="false">IFERROR(INDEX('Materials Master'!$B$2:$B$27,MATCH($C117,'Materials Master'!$A$2:$A$27,0)),"")</f>
        <v>Soiled Metals</v>
      </c>
      <c r="E117" s="0" t="str">
        <f aca="false">IFERROR(INDEX('Materials Master'!$C$2:$C$27,MATCH($C117,'Materials Master'!$A$2:$A$27,0)),"")</f>
        <v>Metals</v>
      </c>
      <c r="F117" s="0" t="n">
        <f aca="false">(SUMIFS(Fact_PreSortWeights!$E$2:$E$15,Fact_PreSortWeights!$C$2:$C$15,$A117,Fact_PreSortWeights!$B$2:$B$15,$B117,Fact_PreSortWeights!$F$2:$F$15,$C117))+(SUMIFS(Fact_SortedWeights!$E$2:$E$6,Fact_SortedWeights!$C$2:$C$6,$A117,Fact_SortedWeights!$B$2:$B$6,$B117,Fact_SortedWeights!$D$2:$D$6,$C117,Fact_SortedWeights!$L$2:$L$6,"Yes"))+IF((SUMIFS(Fact_SortedWeights!$E$2:$E$6,Fact_SortedWeights!$C$2:$C$6,$A117,Fact_SortedWeights!$B$2:$B$6,$B117,Fact_SortedWeights!$L$2:$L$6,"No"))=0,0,(SUMIFS(Fact_SortedWeights!$E$2:$E$6,Fact_SortedWeights!$C$2:$C$6,$A117,Fact_SortedWeights!$B$2:$B$6,$B117,Fact_SortedWeights!$D$2:$D$6,$C117,Fact_SortedWeights!$L$2:$L$6,"No"))/(SUMIFS(Fact_SortedWeights!$E$2:$E$6,Fact_SortedWeights!$C$2:$C$6,$A117,Fact_SortedWeights!$B$2:$B$6,$B117,Fact_SortedWeights!$L$2:$L$6,"No"))*((SUMIFS(Fact_PreSortWeights!$E$2:$E$15,Fact_PreSortWeights!$C$2:$C$15,$A117,Fact_PreSortWeights!$B$2:$B$15,$B117,Fact_PreSortWeights!$F$2:$F$15,""))-(SUMIFS(Fact_SortedWeights!$E$2:$E$6,Fact_SortedWeights!$C$2:$C$6,$A117,Fact_SortedWeights!$B$2:$B$6,$B117,Fact_SortedWeights!$L$2:$L$6,"Yes"))))</f>
        <v>0</v>
      </c>
      <c r="G117" s="0" t="n">
        <f aca="false">IF(AND(IF($B117="Trash",INDEX('Materials Master'!$F$2:$F$27,MATCH($C117,'Materials Master'!$A$2:$A$27,0)),IF($B117="GMPC Recycling",INDEX('Materials Master'!$G$2:$G$27,MATCH($C117,'Materials Master'!$A$2:$A$27,0)),IF($B117="Organics Recycling",INDEX('Materials Master'!$H$2:$H$27,MATCH($C117,'Materials Master'!$A$2:$A$27,0)),IF($B117="Cardboard Recycling",INDEX('Materials Master'!$I$2:$I$27,MATCH($C117,'Materials Master'!$A$2:$A$27,0)),IF($B117="Paper Recycling",INDEX('Materials Master'!$J$2:$J$27,MATCH($C117,'Materials Master'!$A$2:$A$27,0)),IF($B117="Terracycle",INDEX('Materials Master'!$K$2:$K$27,MATCH($C117,'Materials Master'!$A$2:$A$27,0)),"No"))))))="Yes",INDEX('Materials Master'!$E$2:$E$27,MATCH($C117,'Materials Master'!$A$2:$A$27,0))="Yes",$B117&lt;&gt;"Trash"),1,0)</f>
        <v>0</v>
      </c>
      <c r="H117" s="0" t="str">
        <f aca="false">INDEX('Materials Master'!$E$2:$E$27,MATCH($C117,'Materials Master'!$A$2:$A$27,0))</f>
        <v>No</v>
      </c>
      <c r="I117" s="0" t="str">
        <f aca="false">IFERROR(INDEX(Areas!$C$2:$C$6,MATCH($A117,Areas!$B$2:$B$6,0)),"")</f>
        <v>Rest of Building</v>
      </c>
      <c r="J117" s="0" t="n">
        <f aca="false">IF(IF($B117="Trash",INDEX('Materials Master'!$F$2:$F$27,MATCH($C117,'Materials Master'!$A$2:$A$27,0)),IF($B117="GMPC Recycling",INDEX('Materials Master'!$G$2:$G$27,MATCH($C117,'Materials Master'!$A$2:$A$27,0)),IF($B117="Organics Recycling",INDEX('Materials Master'!$H$2:$H$27,MATCH($C117,'Materials Master'!$A$2:$A$27,0)),IF($B117="Cardboard Recycling",INDEX('Materials Master'!$I$2:$I$27,MATCH($C117,'Materials Master'!$A$2:$A$27,0)),IF($B117="Paper Recycling",INDEX('Materials Master'!$J$2:$J$27,MATCH($C117,'Materials Master'!$A$2:$A$27,0)),IF($B117="Terracycle",INDEX('Materials Master'!$K$2:$K$27,MATCH($C117,'Materials Master'!$A$2:$A$27,0)),"No"))))))="Yes",1,0)</f>
        <v>0</v>
      </c>
    </row>
    <row r="118" customFormat="false" ht="15" hidden="false" customHeight="false" outlineLevel="0" collapsed="false">
      <c r="A118" s="0" t="s">
        <v>91</v>
      </c>
      <c r="B118" s="0" t="s">
        <v>107</v>
      </c>
      <c r="C118" s="0" t="s">
        <v>55</v>
      </c>
      <c r="D118" s="0" t="str">
        <f aca="false">IFERROR(INDEX('Materials Master'!$B$2:$B$27,MATCH($C118,'Materials Master'!$A$2:$A$27,0)),"")</f>
        <v>Rigid Plastics (1-6)</v>
      </c>
      <c r="E118" s="0" t="str">
        <f aca="false">IFERROR(INDEX('Materials Master'!$C$2:$C$27,MATCH($C118,'Materials Master'!$A$2:$A$27,0)),"")</f>
        <v>Plastics</v>
      </c>
      <c r="F118" s="0" t="n">
        <f aca="false">(SUMIFS(Fact_PreSortWeights!$E$2:$E$15,Fact_PreSortWeights!$C$2:$C$15,$A118,Fact_PreSortWeights!$B$2:$B$15,$B118,Fact_PreSortWeights!$F$2:$F$15,$C118))+(SUMIFS(Fact_SortedWeights!$E$2:$E$6,Fact_SortedWeights!$C$2:$C$6,$A118,Fact_SortedWeights!$B$2:$B$6,$B118,Fact_SortedWeights!$D$2:$D$6,$C118,Fact_SortedWeights!$L$2:$L$6,"Yes"))+IF((SUMIFS(Fact_SortedWeights!$E$2:$E$6,Fact_SortedWeights!$C$2:$C$6,$A118,Fact_SortedWeights!$B$2:$B$6,$B118,Fact_SortedWeights!$L$2:$L$6,"No"))=0,0,(SUMIFS(Fact_SortedWeights!$E$2:$E$6,Fact_SortedWeights!$C$2:$C$6,$A118,Fact_SortedWeights!$B$2:$B$6,$B118,Fact_SortedWeights!$D$2:$D$6,$C118,Fact_SortedWeights!$L$2:$L$6,"No"))/(SUMIFS(Fact_SortedWeights!$E$2:$E$6,Fact_SortedWeights!$C$2:$C$6,$A118,Fact_SortedWeights!$B$2:$B$6,$B118,Fact_SortedWeights!$L$2:$L$6,"No"))*((SUMIFS(Fact_PreSortWeights!$E$2:$E$15,Fact_PreSortWeights!$C$2:$C$15,$A118,Fact_PreSortWeights!$B$2:$B$15,$B118,Fact_PreSortWeights!$F$2:$F$15,""))-(SUMIFS(Fact_SortedWeights!$E$2:$E$6,Fact_SortedWeights!$C$2:$C$6,$A118,Fact_SortedWeights!$B$2:$B$6,$B118,Fact_SortedWeights!$L$2:$L$6,"Yes"))))</f>
        <v>0</v>
      </c>
      <c r="G118" s="0" t="n">
        <f aca="false">IF(AND(IF($B118="Trash",INDEX('Materials Master'!$F$2:$F$27,MATCH($C118,'Materials Master'!$A$2:$A$27,0)),IF($B118="GMPC Recycling",INDEX('Materials Master'!$G$2:$G$27,MATCH($C118,'Materials Master'!$A$2:$A$27,0)),IF($B118="Organics Recycling",INDEX('Materials Master'!$H$2:$H$27,MATCH($C118,'Materials Master'!$A$2:$A$27,0)),IF($B118="Cardboard Recycling",INDEX('Materials Master'!$I$2:$I$27,MATCH($C118,'Materials Master'!$A$2:$A$27,0)),IF($B118="Paper Recycling",INDEX('Materials Master'!$J$2:$J$27,MATCH($C118,'Materials Master'!$A$2:$A$27,0)),IF($B118="Terracycle",INDEX('Materials Master'!$K$2:$K$27,MATCH($C118,'Materials Master'!$A$2:$A$27,0)),"No"))))))="Yes",INDEX('Materials Master'!$E$2:$E$27,MATCH($C118,'Materials Master'!$A$2:$A$27,0))="Yes",$B118&lt;&gt;"Trash"),1,0)</f>
        <v>1</v>
      </c>
      <c r="H118" s="0" t="str">
        <f aca="false">INDEX('Materials Master'!$E$2:$E$27,MATCH($C118,'Materials Master'!$A$2:$A$27,0))</f>
        <v>Yes</v>
      </c>
      <c r="I118" s="0" t="str">
        <f aca="false">IFERROR(INDEX(Areas!$C$2:$C$6,MATCH($A118,Areas!$B$2:$B$6,0)),"")</f>
        <v>Rest of Building</v>
      </c>
      <c r="J118" s="0" t="n">
        <f aca="false">IF(IF($B118="Trash",INDEX('Materials Master'!$F$2:$F$27,MATCH($C118,'Materials Master'!$A$2:$A$27,0)),IF($B118="GMPC Recycling",INDEX('Materials Master'!$G$2:$G$27,MATCH($C118,'Materials Master'!$A$2:$A$27,0)),IF($B118="Organics Recycling",INDEX('Materials Master'!$H$2:$H$27,MATCH($C118,'Materials Master'!$A$2:$A$27,0)),IF($B118="Cardboard Recycling",INDEX('Materials Master'!$I$2:$I$27,MATCH($C118,'Materials Master'!$A$2:$A$27,0)),IF($B118="Paper Recycling",INDEX('Materials Master'!$J$2:$J$27,MATCH($C118,'Materials Master'!$A$2:$A$27,0)),IF($B118="Terracycle",INDEX('Materials Master'!$K$2:$K$27,MATCH($C118,'Materials Master'!$A$2:$A$27,0)),"No"))))))="Yes",1,0)</f>
        <v>1</v>
      </c>
    </row>
    <row r="119" customFormat="false" ht="15" hidden="false" customHeight="false" outlineLevel="0" collapsed="false">
      <c r="A119" s="0" t="s">
        <v>91</v>
      </c>
      <c r="B119" s="0" t="s">
        <v>107</v>
      </c>
      <c r="C119" s="0" t="s">
        <v>58</v>
      </c>
      <c r="D119" s="0" t="str">
        <f aca="false">IFERROR(INDEX('Materials Master'!$B$2:$B$27,MATCH($C119,'Materials Master'!$A$2:$A$27,0)),"")</f>
        <v>Soiled Rigid Plastics</v>
      </c>
      <c r="E119" s="0" t="str">
        <f aca="false">IFERROR(INDEX('Materials Master'!$C$2:$C$27,MATCH($C119,'Materials Master'!$A$2:$A$27,0)),"")</f>
        <v>Plastics</v>
      </c>
      <c r="F119" s="0" t="n">
        <f aca="false">(SUMIFS(Fact_PreSortWeights!$E$2:$E$15,Fact_PreSortWeights!$C$2:$C$15,$A119,Fact_PreSortWeights!$B$2:$B$15,$B119,Fact_PreSortWeights!$F$2:$F$15,$C119))+(SUMIFS(Fact_SortedWeights!$E$2:$E$6,Fact_SortedWeights!$C$2:$C$6,$A119,Fact_SortedWeights!$B$2:$B$6,$B119,Fact_SortedWeights!$D$2:$D$6,$C119,Fact_SortedWeights!$L$2:$L$6,"Yes"))+IF((SUMIFS(Fact_SortedWeights!$E$2:$E$6,Fact_SortedWeights!$C$2:$C$6,$A119,Fact_SortedWeights!$B$2:$B$6,$B119,Fact_SortedWeights!$L$2:$L$6,"No"))=0,0,(SUMIFS(Fact_SortedWeights!$E$2:$E$6,Fact_SortedWeights!$C$2:$C$6,$A119,Fact_SortedWeights!$B$2:$B$6,$B119,Fact_SortedWeights!$D$2:$D$6,$C119,Fact_SortedWeights!$L$2:$L$6,"No"))/(SUMIFS(Fact_SortedWeights!$E$2:$E$6,Fact_SortedWeights!$C$2:$C$6,$A119,Fact_SortedWeights!$B$2:$B$6,$B119,Fact_SortedWeights!$L$2:$L$6,"No"))*((SUMIFS(Fact_PreSortWeights!$E$2:$E$15,Fact_PreSortWeights!$C$2:$C$15,$A119,Fact_PreSortWeights!$B$2:$B$15,$B119,Fact_PreSortWeights!$F$2:$F$15,""))-(SUMIFS(Fact_SortedWeights!$E$2:$E$6,Fact_SortedWeights!$C$2:$C$6,$A119,Fact_SortedWeights!$B$2:$B$6,$B119,Fact_SortedWeights!$L$2:$L$6,"Yes"))))</f>
        <v>0</v>
      </c>
      <c r="G119" s="0" t="n">
        <f aca="false">IF(AND(IF($B119="Trash",INDEX('Materials Master'!$F$2:$F$27,MATCH($C119,'Materials Master'!$A$2:$A$27,0)),IF($B119="GMPC Recycling",INDEX('Materials Master'!$G$2:$G$27,MATCH($C119,'Materials Master'!$A$2:$A$27,0)),IF($B119="Organics Recycling",INDEX('Materials Master'!$H$2:$H$27,MATCH($C119,'Materials Master'!$A$2:$A$27,0)),IF($B119="Cardboard Recycling",INDEX('Materials Master'!$I$2:$I$27,MATCH($C119,'Materials Master'!$A$2:$A$27,0)),IF($B119="Paper Recycling",INDEX('Materials Master'!$J$2:$J$27,MATCH($C119,'Materials Master'!$A$2:$A$27,0)),IF($B119="Terracycle",INDEX('Materials Master'!$K$2:$K$27,MATCH($C119,'Materials Master'!$A$2:$A$27,0)),"No"))))))="Yes",INDEX('Materials Master'!$E$2:$E$27,MATCH($C119,'Materials Master'!$A$2:$A$27,0))="Yes",$B119&lt;&gt;"Trash"),1,0)</f>
        <v>0</v>
      </c>
      <c r="H119" s="0" t="str">
        <f aca="false">INDEX('Materials Master'!$E$2:$E$27,MATCH($C119,'Materials Master'!$A$2:$A$27,0))</f>
        <v>No</v>
      </c>
      <c r="I119" s="0" t="str">
        <f aca="false">IFERROR(INDEX(Areas!$C$2:$C$6,MATCH($A119,Areas!$B$2:$B$6,0)),"")</f>
        <v>Rest of Building</v>
      </c>
      <c r="J119" s="0" t="n">
        <f aca="false">IF(IF($B119="Trash",INDEX('Materials Master'!$F$2:$F$27,MATCH($C119,'Materials Master'!$A$2:$A$27,0)),IF($B119="GMPC Recycling",INDEX('Materials Master'!$G$2:$G$27,MATCH($C119,'Materials Master'!$A$2:$A$27,0)),IF($B119="Organics Recycling",INDEX('Materials Master'!$H$2:$H$27,MATCH($C119,'Materials Master'!$A$2:$A$27,0)),IF($B119="Cardboard Recycling",INDEX('Materials Master'!$I$2:$I$27,MATCH($C119,'Materials Master'!$A$2:$A$27,0)),IF($B119="Paper Recycling",INDEX('Materials Master'!$J$2:$J$27,MATCH($C119,'Materials Master'!$A$2:$A$27,0)),IF($B119="Terracycle",INDEX('Materials Master'!$K$2:$K$27,MATCH($C119,'Materials Master'!$A$2:$A$27,0)),"No"))))))="Yes",1,0)</f>
        <v>0</v>
      </c>
    </row>
    <row r="120" customFormat="false" ht="15" hidden="false" customHeight="false" outlineLevel="0" collapsed="false">
      <c r="A120" s="0" t="s">
        <v>91</v>
      </c>
      <c r="B120" s="0" t="s">
        <v>107</v>
      </c>
      <c r="C120" s="0" t="s">
        <v>60</v>
      </c>
      <c r="D120" s="0" t="str">
        <f aca="false">IFERROR(INDEX('Materials Master'!$B$2:$B$27,MATCH($C120,'Materials Master'!$A$2:$A$27,0)),"")</f>
        <v>Film Plastics</v>
      </c>
      <c r="E120" s="0" t="str">
        <f aca="false">IFERROR(INDEX('Materials Master'!$C$2:$C$27,MATCH($C120,'Materials Master'!$A$2:$A$27,0)),"")</f>
        <v>Plastics</v>
      </c>
      <c r="F120" s="0" t="n">
        <f aca="false">(SUMIFS(Fact_PreSortWeights!$E$2:$E$15,Fact_PreSortWeights!$C$2:$C$15,$A120,Fact_PreSortWeights!$B$2:$B$15,$B120,Fact_PreSortWeights!$F$2:$F$15,$C120))+(SUMIFS(Fact_SortedWeights!$E$2:$E$6,Fact_SortedWeights!$C$2:$C$6,$A120,Fact_SortedWeights!$B$2:$B$6,$B120,Fact_SortedWeights!$D$2:$D$6,$C120,Fact_SortedWeights!$L$2:$L$6,"Yes"))+IF((SUMIFS(Fact_SortedWeights!$E$2:$E$6,Fact_SortedWeights!$C$2:$C$6,$A120,Fact_SortedWeights!$B$2:$B$6,$B120,Fact_SortedWeights!$L$2:$L$6,"No"))=0,0,(SUMIFS(Fact_SortedWeights!$E$2:$E$6,Fact_SortedWeights!$C$2:$C$6,$A120,Fact_SortedWeights!$B$2:$B$6,$B120,Fact_SortedWeights!$D$2:$D$6,$C120,Fact_SortedWeights!$L$2:$L$6,"No"))/(SUMIFS(Fact_SortedWeights!$E$2:$E$6,Fact_SortedWeights!$C$2:$C$6,$A120,Fact_SortedWeights!$B$2:$B$6,$B120,Fact_SortedWeights!$L$2:$L$6,"No"))*((SUMIFS(Fact_PreSortWeights!$E$2:$E$15,Fact_PreSortWeights!$C$2:$C$15,$A120,Fact_PreSortWeights!$B$2:$B$15,$B120,Fact_PreSortWeights!$F$2:$F$15,""))-(SUMIFS(Fact_SortedWeights!$E$2:$E$6,Fact_SortedWeights!$C$2:$C$6,$A120,Fact_SortedWeights!$B$2:$B$6,$B120,Fact_SortedWeights!$L$2:$L$6,"Yes"))))</f>
        <v>0</v>
      </c>
      <c r="G120" s="0" t="n">
        <f aca="false">IF(AND(IF($B120="Trash",INDEX('Materials Master'!$F$2:$F$27,MATCH($C120,'Materials Master'!$A$2:$A$27,0)),IF($B120="GMPC Recycling",INDEX('Materials Master'!$G$2:$G$27,MATCH($C120,'Materials Master'!$A$2:$A$27,0)),IF($B120="Organics Recycling",INDEX('Materials Master'!$H$2:$H$27,MATCH($C120,'Materials Master'!$A$2:$A$27,0)),IF($B120="Cardboard Recycling",INDEX('Materials Master'!$I$2:$I$27,MATCH($C120,'Materials Master'!$A$2:$A$27,0)),IF($B120="Paper Recycling",INDEX('Materials Master'!$J$2:$J$27,MATCH($C120,'Materials Master'!$A$2:$A$27,0)),IF($B120="Terracycle",INDEX('Materials Master'!$K$2:$K$27,MATCH($C120,'Materials Master'!$A$2:$A$27,0)),"No"))))))="Yes",INDEX('Materials Master'!$E$2:$E$27,MATCH($C120,'Materials Master'!$A$2:$A$27,0))="Yes",$B120&lt;&gt;"Trash"),1,0)</f>
        <v>0</v>
      </c>
      <c r="H120" s="0" t="str">
        <f aca="false">INDEX('Materials Master'!$E$2:$E$27,MATCH($C120,'Materials Master'!$A$2:$A$27,0))</f>
        <v>No</v>
      </c>
      <c r="I120" s="0" t="str">
        <f aca="false">IFERROR(INDEX(Areas!$C$2:$C$6,MATCH($A120,Areas!$B$2:$B$6,0)),"")</f>
        <v>Rest of Building</v>
      </c>
      <c r="J120" s="0" t="n">
        <f aca="false">IF(IF($B120="Trash",INDEX('Materials Master'!$F$2:$F$27,MATCH($C120,'Materials Master'!$A$2:$A$27,0)),IF($B120="GMPC Recycling",INDEX('Materials Master'!$G$2:$G$27,MATCH($C120,'Materials Master'!$A$2:$A$27,0)),IF($B120="Organics Recycling",INDEX('Materials Master'!$H$2:$H$27,MATCH($C120,'Materials Master'!$A$2:$A$27,0)),IF($B120="Cardboard Recycling",INDEX('Materials Master'!$I$2:$I$27,MATCH($C120,'Materials Master'!$A$2:$A$27,0)),IF($B120="Paper Recycling",INDEX('Materials Master'!$J$2:$J$27,MATCH($C120,'Materials Master'!$A$2:$A$27,0)),IF($B120="Terracycle",INDEX('Materials Master'!$K$2:$K$27,MATCH($C120,'Materials Master'!$A$2:$A$27,0)),"No"))))))="Yes",1,0)</f>
        <v>0</v>
      </c>
    </row>
    <row r="121" customFormat="false" ht="15" hidden="false" customHeight="false" outlineLevel="0" collapsed="false">
      <c r="A121" s="0" t="s">
        <v>91</v>
      </c>
      <c r="B121" s="0" t="s">
        <v>107</v>
      </c>
      <c r="C121" s="0" t="s">
        <v>62</v>
      </c>
      <c r="D121" s="0" t="str">
        <f aca="false">IFERROR(INDEX('Materials Master'!$B$2:$B$27,MATCH($C121,'Materials Master'!$A$2:$A$27,0)),"")</f>
        <v>Foams</v>
      </c>
      <c r="E121" s="0" t="str">
        <f aca="false">IFERROR(INDEX('Materials Master'!$C$2:$C$27,MATCH($C121,'Materials Master'!$A$2:$A$27,0)),"")</f>
        <v>Plastics</v>
      </c>
      <c r="F121" s="0" t="n">
        <f aca="false">(SUMIFS(Fact_PreSortWeights!$E$2:$E$15,Fact_PreSortWeights!$C$2:$C$15,$A121,Fact_PreSortWeights!$B$2:$B$15,$B121,Fact_PreSortWeights!$F$2:$F$15,$C121))+(SUMIFS(Fact_SortedWeights!$E$2:$E$6,Fact_SortedWeights!$C$2:$C$6,$A121,Fact_SortedWeights!$B$2:$B$6,$B121,Fact_SortedWeights!$D$2:$D$6,$C121,Fact_SortedWeights!$L$2:$L$6,"Yes"))+IF((SUMIFS(Fact_SortedWeights!$E$2:$E$6,Fact_SortedWeights!$C$2:$C$6,$A121,Fact_SortedWeights!$B$2:$B$6,$B121,Fact_SortedWeights!$L$2:$L$6,"No"))=0,0,(SUMIFS(Fact_SortedWeights!$E$2:$E$6,Fact_SortedWeights!$C$2:$C$6,$A121,Fact_SortedWeights!$B$2:$B$6,$B121,Fact_SortedWeights!$D$2:$D$6,$C121,Fact_SortedWeights!$L$2:$L$6,"No"))/(SUMIFS(Fact_SortedWeights!$E$2:$E$6,Fact_SortedWeights!$C$2:$C$6,$A121,Fact_SortedWeights!$B$2:$B$6,$B121,Fact_SortedWeights!$L$2:$L$6,"No"))*((SUMIFS(Fact_PreSortWeights!$E$2:$E$15,Fact_PreSortWeights!$C$2:$C$15,$A121,Fact_PreSortWeights!$B$2:$B$15,$B121,Fact_PreSortWeights!$F$2:$F$15,""))-(SUMIFS(Fact_SortedWeights!$E$2:$E$6,Fact_SortedWeights!$C$2:$C$6,$A121,Fact_SortedWeights!$B$2:$B$6,$B121,Fact_SortedWeights!$L$2:$L$6,"Yes"))))</f>
        <v>0</v>
      </c>
      <c r="G121" s="0" t="n">
        <f aca="false">IF(AND(IF($B121="Trash",INDEX('Materials Master'!$F$2:$F$27,MATCH($C121,'Materials Master'!$A$2:$A$27,0)),IF($B121="GMPC Recycling",INDEX('Materials Master'!$G$2:$G$27,MATCH($C121,'Materials Master'!$A$2:$A$27,0)),IF($B121="Organics Recycling",INDEX('Materials Master'!$H$2:$H$27,MATCH($C121,'Materials Master'!$A$2:$A$27,0)),IF($B121="Cardboard Recycling",INDEX('Materials Master'!$I$2:$I$27,MATCH($C121,'Materials Master'!$A$2:$A$27,0)),IF($B121="Paper Recycling",INDEX('Materials Master'!$J$2:$J$27,MATCH($C121,'Materials Master'!$A$2:$A$27,0)),IF($B121="Terracycle",INDEX('Materials Master'!$K$2:$K$27,MATCH($C121,'Materials Master'!$A$2:$A$27,0)),"No"))))))="Yes",INDEX('Materials Master'!$E$2:$E$27,MATCH($C121,'Materials Master'!$A$2:$A$27,0))="Yes",$B121&lt;&gt;"Trash"),1,0)</f>
        <v>0</v>
      </c>
      <c r="H121" s="0" t="str">
        <f aca="false">INDEX('Materials Master'!$E$2:$E$27,MATCH($C121,'Materials Master'!$A$2:$A$27,0))</f>
        <v>No</v>
      </c>
      <c r="I121" s="0" t="str">
        <f aca="false">IFERROR(INDEX(Areas!$C$2:$C$6,MATCH($A121,Areas!$B$2:$B$6,0)),"")</f>
        <v>Rest of Building</v>
      </c>
      <c r="J121" s="0" t="n">
        <f aca="false">IF(IF($B121="Trash",INDEX('Materials Master'!$F$2:$F$27,MATCH($C121,'Materials Master'!$A$2:$A$27,0)),IF($B121="GMPC Recycling",INDEX('Materials Master'!$G$2:$G$27,MATCH($C121,'Materials Master'!$A$2:$A$27,0)),IF($B121="Organics Recycling",INDEX('Materials Master'!$H$2:$H$27,MATCH($C121,'Materials Master'!$A$2:$A$27,0)),IF($B121="Cardboard Recycling",INDEX('Materials Master'!$I$2:$I$27,MATCH($C121,'Materials Master'!$A$2:$A$27,0)),IF($B121="Paper Recycling",INDEX('Materials Master'!$J$2:$J$27,MATCH($C121,'Materials Master'!$A$2:$A$27,0)),IF($B121="Terracycle",INDEX('Materials Master'!$K$2:$K$27,MATCH($C121,'Materials Master'!$A$2:$A$27,0)),"No"))))))="Yes",1,0)</f>
        <v>0</v>
      </c>
    </row>
    <row r="122" customFormat="false" ht="15" hidden="false" customHeight="false" outlineLevel="0" collapsed="false">
      <c r="A122" s="0" t="s">
        <v>91</v>
      </c>
      <c r="B122" s="0" t="s">
        <v>107</v>
      </c>
      <c r="C122" s="0" t="s">
        <v>64</v>
      </c>
      <c r="D122" s="0" t="str">
        <f aca="false">IFERROR(INDEX('Materials Master'!$B$2:$B$27,MATCH($C122,'Materials Master'!$A$2:$A$27,0)),"")</f>
        <v>Food Waste</v>
      </c>
      <c r="E122" s="0" t="str">
        <f aca="false">IFERROR(INDEX('Materials Master'!$C$2:$C$27,MATCH($C122,'Materials Master'!$A$2:$A$27,0)),"")</f>
        <v>Organics</v>
      </c>
      <c r="F122" s="0" t="n">
        <f aca="false">(SUMIFS(Fact_PreSortWeights!$E$2:$E$15,Fact_PreSortWeights!$C$2:$C$15,$A122,Fact_PreSortWeights!$B$2:$B$15,$B122,Fact_PreSortWeights!$F$2:$F$15,$C122))+(SUMIFS(Fact_SortedWeights!$E$2:$E$6,Fact_SortedWeights!$C$2:$C$6,$A122,Fact_SortedWeights!$B$2:$B$6,$B122,Fact_SortedWeights!$D$2:$D$6,$C122,Fact_SortedWeights!$L$2:$L$6,"Yes"))+IF((SUMIFS(Fact_SortedWeights!$E$2:$E$6,Fact_SortedWeights!$C$2:$C$6,$A122,Fact_SortedWeights!$B$2:$B$6,$B122,Fact_SortedWeights!$L$2:$L$6,"No"))=0,0,(SUMIFS(Fact_SortedWeights!$E$2:$E$6,Fact_SortedWeights!$C$2:$C$6,$A122,Fact_SortedWeights!$B$2:$B$6,$B122,Fact_SortedWeights!$D$2:$D$6,$C122,Fact_SortedWeights!$L$2:$L$6,"No"))/(SUMIFS(Fact_SortedWeights!$E$2:$E$6,Fact_SortedWeights!$C$2:$C$6,$A122,Fact_SortedWeights!$B$2:$B$6,$B122,Fact_SortedWeights!$L$2:$L$6,"No"))*((SUMIFS(Fact_PreSortWeights!$E$2:$E$15,Fact_PreSortWeights!$C$2:$C$15,$A122,Fact_PreSortWeights!$B$2:$B$15,$B122,Fact_PreSortWeights!$F$2:$F$15,""))-(SUMIFS(Fact_SortedWeights!$E$2:$E$6,Fact_SortedWeights!$C$2:$C$6,$A122,Fact_SortedWeights!$B$2:$B$6,$B122,Fact_SortedWeights!$L$2:$L$6,"Yes"))))</f>
        <v>0</v>
      </c>
      <c r="G122" s="0" t="n">
        <f aca="false">IF(AND(IF($B122="Trash",INDEX('Materials Master'!$F$2:$F$27,MATCH($C122,'Materials Master'!$A$2:$A$27,0)),IF($B122="GMPC Recycling",INDEX('Materials Master'!$G$2:$G$27,MATCH($C122,'Materials Master'!$A$2:$A$27,0)),IF($B122="Organics Recycling",INDEX('Materials Master'!$H$2:$H$27,MATCH($C122,'Materials Master'!$A$2:$A$27,0)),IF($B122="Cardboard Recycling",INDEX('Materials Master'!$I$2:$I$27,MATCH($C122,'Materials Master'!$A$2:$A$27,0)),IF($B122="Paper Recycling",INDEX('Materials Master'!$J$2:$J$27,MATCH($C122,'Materials Master'!$A$2:$A$27,0)),IF($B122="Terracycle",INDEX('Materials Master'!$K$2:$K$27,MATCH($C122,'Materials Master'!$A$2:$A$27,0)),"No"))))))="Yes",INDEX('Materials Master'!$E$2:$E$27,MATCH($C122,'Materials Master'!$A$2:$A$27,0))="Yes",$B122&lt;&gt;"Trash"),1,0)</f>
        <v>0</v>
      </c>
      <c r="H122" s="0" t="str">
        <f aca="false">INDEX('Materials Master'!$E$2:$E$27,MATCH($C122,'Materials Master'!$A$2:$A$27,0))</f>
        <v>Yes</v>
      </c>
      <c r="I122" s="0" t="str">
        <f aca="false">IFERROR(INDEX(Areas!$C$2:$C$6,MATCH($A122,Areas!$B$2:$B$6,0)),"")</f>
        <v>Rest of Building</v>
      </c>
      <c r="J122" s="0" t="n">
        <f aca="false">IF(IF($B122="Trash",INDEX('Materials Master'!$F$2:$F$27,MATCH($C122,'Materials Master'!$A$2:$A$27,0)),IF($B122="GMPC Recycling",INDEX('Materials Master'!$G$2:$G$27,MATCH($C122,'Materials Master'!$A$2:$A$27,0)),IF($B122="Organics Recycling",INDEX('Materials Master'!$H$2:$H$27,MATCH($C122,'Materials Master'!$A$2:$A$27,0)),IF($B122="Cardboard Recycling",INDEX('Materials Master'!$I$2:$I$27,MATCH($C122,'Materials Master'!$A$2:$A$27,0)),IF($B122="Paper Recycling",INDEX('Materials Master'!$J$2:$J$27,MATCH($C122,'Materials Master'!$A$2:$A$27,0)),IF($B122="Terracycle",INDEX('Materials Master'!$K$2:$K$27,MATCH($C122,'Materials Master'!$A$2:$A$27,0)),"No"))))))="Yes",1,0)</f>
        <v>0</v>
      </c>
    </row>
    <row r="123" customFormat="false" ht="15" hidden="false" customHeight="false" outlineLevel="0" collapsed="false">
      <c r="A123" s="0" t="s">
        <v>91</v>
      </c>
      <c r="B123" s="0" t="s">
        <v>107</v>
      </c>
      <c r="C123" s="0" t="s">
        <v>67</v>
      </c>
      <c r="D123" s="0" t="str">
        <f aca="false">IFERROR(INDEX('Materials Master'!$B$2:$B$27,MATCH($C123,'Materials Master'!$A$2:$A$27,0)),"")</f>
        <v>Paper Fibers and Food-Soiled Paper (FSP)</v>
      </c>
      <c r="E123" s="0" t="str">
        <f aca="false">IFERROR(INDEX('Materials Master'!$C$2:$C$27,MATCH($C123,'Materials Master'!$A$2:$A$27,0)),"")</f>
        <v>Organics</v>
      </c>
      <c r="F123" s="0" t="n">
        <f aca="false">(SUMIFS(Fact_PreSortWeights!$E$2:$E$15,Fact_PreSortWeights!$C$2:$C$15,$A123,Fact_PreSortWeights!$B$2:$B$15,$B123,Fact_PreSortWeights!$F$2:$F$15,$C123))+(SUMIFS(Fact_SortedWeights!$E$2:$E$6,Fact_SortedWeights!$C$2:$C$6,$A123,Fact_SortedWeights!$B$2:$B$6,$B123,Fact_SortedWeights!$D$2:$D$6,$C123,Fact_SortedWeights!$L$2:$L$6,"Yes"))+IF((SUMIFS(Fact_SortedWeights!$E$2:$E$6,Fact_SortedWeights!$C$2:$C$6,$A123,Fact_SortedWeights!$B$2:$B$6,$B123,Fact_SortedWeights!$L$2:$L$6,"No"))=0,0,(SUMIFS(Fact_SortedWeights!$E$2:$E$6,Fact_SortedWeights!$C$2:$C$6,$A123,Fact_SortedWeights!$B$2:$B$6,$B123,Fact_SortedWeights!$D$2:$D$6,$C123,Fact_SortedWeights!$L$2:$L$6,"No"))/(SUMIFS(Fact_SortedWeights!$E$2:$E$6,Fact_SortedWeights!$C$2:$C$6,$A123,Fact_SortedWeights!$B$2:$B$6,$B123,Fact_SortedWeights!$L$2:$L$6,"No"))*((SUMIFS(Fact_PreSortWeights!$E$2:$E$15,Fact_PreSortWeights!$C$2:$C$15,$A123,Fact_PreSortWeights!$B$2:$B$15,$B123,Fact_PreSortWeights!$F$2:$F$15,""))-(SUMIFS(Fact_SortedWeights!$E$2:$E$6,Fact_SortedWeights!$C$2:$C$6,$A123,Fact_SortedWeights!$B$2:$B$6,$B123,Fact_SortedWeights!$L$2:$L$6,"Yes"))))</f>
        <v>0</v>
      </c>
      <c r="G123" s="0" t="n">
        <f aca="false">IF(AND(IF($B123="Trash",INDEX('Materials Master'!$F$2:$F$27,MATCH($C123,'Materials Master'!$A$2:$A$27,0)),IF($B123="GMPC Recycling",INDEX('Materials Master'!$G$2:$G$27,MATCH($C123,'Materials Master'!$A$2:$A$27,0)),IF($B123="Organics Recycling",INDEX('Materials Master'!$H$2:$H$27,MATCH($C123,'Materials Master'!$A$2:$A$27,0)),IF($B123="Cardboard Recycling",INDEX('Materials Master'!$I$2:$I$27,MATCH($C123,'Materials Master'!$A$2:$A$27,0)),IF($B123="Paper Recycling",INDEX('Materials Master'!$J$2:$J$27,MATCH($C123,'Materials Master'!$A$2:$A$27,0)),IF($B123="Terracycle",INDEX('Materials Master'!$K$2:$K$27,MATCH($C123,'Materials Master'!$A$2:$A$27,0)),"No"))))))="Yes",INDEX('Materials Master'!$E$2:$E$27,MATCH($C123,'Materials Master'!$A$2:$A$27,0))="Yes",$B123&lt;&gt;"Trash"),1,0)</f>
        <v>0</v>
      </c>
      <c r="H123" s="0" t="str">
        <f aca="false">INDEX('Materials Master'!$E$2:$E$27,MATCH($C123,'Materials Master'!$A$2:$A$27,0))</f>
        <v>No</v>
      </c>
      <c r="I123" s="0" t="str">
        <f aca="false">IFERROR(INDEX(Areas!$C$2:$C$6,MATCH($A123,Areas!$B$2:$B$6,0)),"")</f>
        <v>Rest of Building</v>
      </c>
      <c r="J123" s="0" t="n">
        <f aca="false">IF(IF($B123="Trash",INDEX('Materials Master'!$F$2:$F$27,MATCH($C123,'Materials Master'!$A$2:$A$27,0)),IF($B123="GMPC Recycling",INDEX('Materials Master'!$G$2:$G$27,MATCH($C123,'Materials Master'!$A$2:$A$27,0)),IF($B123="Organics Recycling",INDEX('Materials Master'!$H$2:$H$27,MATCH($C123,'Materials Master'!$A$2:$A$27,0)),IF($B123="Cardboard Recycling",INDEX('Materials Master'!$I$2:$I$27,MATCH($C123,'Materials Master'!$A$2:$A$27,0)),IF($B123="Paper Recycling",INDEX('Materials Master'!$J$2:$J$27,MATCH($C123,'Materials Master'!$A$2:$A$27,0)),IF($B123="Terracycle",INDEX('Materials Master'!$K$2:$K$27,MATCH($C123,'Materials Master'!$A$2:$A$27,0)),"No"))))))="Yes",1,0)</f>
        <v>0</v>
      </c>
    </row>
    <row r="124" customFormat="false" ht="15" hidden="false" customHeight="false" outlineLevel="0" collapsed="false">
      <c r="A124" s="0" t="s">
        <v>91</v>
      </c>
      <c r="B124" s="0" t="s">
        <v>107</v>
      </c>
      <c r="C124" s="0" t="s">
        <v>69</v>
      </c>
      <c r="D124" s="0" t="str">
        <f aca="false">IFERROR(INDEX('Materials Master'!$B$2:$B$27,MATCH($C124,'Materials Master'!$A$2:$A$27,0)),"")</f>
        <v>Fiber-based Compostable Serviceware</v>
      </c>
      <c r="E124" s="0" t="str">
        <f aca="false">IFERROR(INDEX('Materials Master'!$C$2:$C$27,MATCH($C124,'Materials Master'!$A$2:$A$27,0)),"")</f>
        <v>Organics</v>
      </c>
      <c r="F124" s="0" t="n">
        <f aca="false">(SUMIFS(Fact_PreSortWeights!$E$2:$E$15,Fact_PreSortWeights!$C$2:$C$15,$A124,Fact_PreSortWeights!$B$2:$B$15,$B124,Fact_PreSortWeights!$F$2:$F$15,$C124))+(SUMIFS(Fact_SortedWeights!$E$2:$E$6,Fact_SortedWeights!$C$2:$C$6,$A124,Fact_SortedWeights!$B$2:$B$6,$B124,Fact_SortedWeights!$D$2:$D$6,$C124,Fact_SortedWeights!$L$2:$L$6,"Yes"))+IF((SUMIFS(Fact_SortedWeights!$E$2:$E$6,Fact_SortedWeights!$C$2:$C$6,$A124,Fact_SortedWeights!$B$2:$B$6,$B124,Fact_SortedWeights!$L$2:$L$6,"No"))=0,0,(SUMIFS(Fact_SortedWeights!$E$2:$E$6,Fact_SortedWeights!$C$2:$C$6,$A124,Fact_SortedWeights!$B$2:$B$6,$B124,Fact_SortedWeights!$D$2:$D$6,$C124,Fact_SortedWeights!$L$2:$L$6,"No"))/(SUMIFS(Fact_SortedWeights!$E$2:$E$6,Fact_SortedWeights!$C$2:$C$6,$A124,Fact_SortedWeights!$B$2:$B$6,$B124,Fact_SortedWeights!$L$2:$L$6,"No"))*((SUMIFS(Fact_PreSortWeights!$E$2:$E$15,Fact_PreSortWeights!$C$2:$C$15,$A124,Fact_PreSortWeights!$B$2:$B$15,$B124,Fact_PreSortWeights!$F$2:$F$15,""))-(SUMIFS(Fact_SortedWeights!$E$2:$E$6,Fact_SortedWeights!$C$2:$C$6,$A124,Fact_SortedWeights!$B$2:$B$6,$B124,Fact_SortedWeights!$L$2:$L$6,"Yes"))))</f>
        <v>0</v>
      </c>
      <c r="G124" s="0" t="n">
        <f aca="false">IF(AND(IF($B124="Trash",INDEX('Materials Master'!$F$2:$F$27,MATCH($C124,'Materials Master'!$A$2:$A$27,0)),IF($B124="GMPC Recycling",INDEX('Materials Master'!$G$2:$G$27,MATCH($C124,'Materials Master'!$A$2:$A$27,0)),IF($B124="Organics Recycling",INDEX('Materials Master'!$H$2:$H$27,MATCH($C124,'Materials Master'!$A$2:$A$27,0)),IF($B124="Cardboard Recycling",INDEX('Materials Master'!$I$2:$I$27,MATCH($C124,'Materials Master'!$A$2:$A$27,0)),IF($B124="Paper Recycling",INDEX('Materials Master'!$J$2:$J$27,MATCH($C124,'Materials Master'!$A$2:$A$27,0)),IF($B124="Terracycle",INDEX('Materials Master'!$K$2:$K$27,MATCH($C124,'Materials Master'!$A$2:$A$27,0)),"No"))))))="Yes",INDEX('Materials Master'!$E$2:$E$27,MATCH($C124,'Materials Master'!$A$2:$A$27,0))="Yes",$B124&lt;&gt;"Trash"),1,0)</f>
        <v>0</v>
      </c>
      <c r="H124" s="0" t="str">
        <f aca="false">INDEX('Materials Master'!$E$2:$E$27,MATCH($C124,'Materials Master'!$A$2:$A$27,0))</f>
        <v>No</v>
      </c>
      <c r="I124" s="0" t="str">
        <f aca="false">IFERROR(INDEX(Areas!$C$2:$C$6,MATCH($A124,Areas!$B$2:$B$6,0)),"")</f>
        <v>Rest of Building</v>
      </c>
      <c r="J124" s="0" t="n">
        <f aca="false">IF(IF($B124="Trash",INDEX('Materials Master'!$F$2:$F$27,MATCH($C124,'Materials Master'!$A$2:$A$27,0)),IF($B124="GMPC Recycling",INDEX('Materials Master'!$G$2:$G$27,MATCH($C124,'Materials Master'!$A$2:$A$27,0)),IF($B124="Organics Recycling",INDEX('Materials Master'!$H$2:$H$27,MATCH($C124,'Materials Master'!$A$2:$A$27,0)),IF($B124="Cardboard Recycling",INDEX('Materials Master'!$I$2:$I$27,MATCH($C124,'Materials Master'!$A$2:$A$27,0)),IF($B124="Paper Recycling",INDEX('Materials Master'!$J$2:$J$27,MATCH($C124,'Materials Master'!$A$2:$A$27,0)),IF($B124="Terracycle",INDEX('Materials Master'!$K$2:$K$27,MATCH($C124,'Materials Master'!$A$2:$A$27,0)),"No"))))))="Yes",1,0)</f>
        <v>0</v>
      </c>
    </row>
    <row r="125" customFormat="false" ht="15" hidden="false" customHeight="false" outlineLevel="0" collapsed="false">
      <c r="A125" s="0" t="s">
        <v>91</v>
      </c>
      <c r="B125" s="0" t="s">
        <v>107</v>
      </c>
      <c r="C125" s="0" t="s">
        <v>71</v>
      </c>
      <c r="D125" s="0" t="str">
        <f aca="false">IFERROR(INDEX('Materials Master'!$B$2:$B$27,MATCH($C125,'Materials Master'!$A$2:$A$27,0)),"")</f>
        <v>PLA Compostable Serviceware</v>
      </c>
      <c r="E125" s="0" t="str">
        <f aca="false">IFERROR(INDEX('Materials Master'!$C$2:$C$27,MATCH($C125,'Materials Master'!$A$2:$A$27,0)),"")</f>
        <v>Organics</v>
      </c>
      <c r="F125" s="0" t="n">
        <f aca="false">(SUMIFS(Fact_PreSortWeights!$E$2:$E$15,Fact_PreSortWeights!$C$2:$C$15,$A125,Fact_PreSortWeights!$B$2:$B$15,$B125,Fact_PreSortWeights!$F$2:$F$15,$C125))+(SUMIFS(Fact_SortedWeights!$E$2:$E$6,Fact_SortedWeights!$C$2:$C$6,$A125,Fact_SortedWeights!$B$2:$B$6,$B125,Fact_SortedWeights!$D$2:$D$6,$C125,Fact_SortedWeights!$L$2:$L$6,"Yes"))+IF((SUMIFS(Fact_SortedWeights!$E$2:$E$6,Fact_SortedWeights!$C$2:$C$6,$A125,Fact_SortedWeights!$B$2:$B$6,$B125,Fact_SortedWeights!$L$2:$L$6,"No"))=0,0,(SUMIFS(Fact_SortedWeights!$E$2:$E$6,Fact_SortedWeights!$C$2:$C$6,$A125,Fact_SortedWeights!$B$2:$B$6,$B125,Fact_SortedWeights!$D$2:$D$6,$C125,Fact_SortedWeights!$L$2:$L$6,"No"))/(SUMIFS(Fact_SortedWeights!$E$2:$E$6,Fact_SortedWeights!$C$2:$C$6,$A125,Fact_SortedWeights!$B$2:$B$6,$B125,Fact_SortedWeights!$L$2:$L$6,"No"))*((SUMIFS(Fact_PreSortWeights!$E$2:$E$15,Fact_PreSortWeights!$C$2:$C$15,$A125,Fact_PreSortWeights!$B$2:$B$15,$B125,Fact_PreSortWeights!$F$2:$F$15,""))-(SUMIFS(Fact_SortedWeights!$E$2:$E$6,Fact_SortedWeights!$C$2:$C$6,$A125,Fact_SortedWeights!$B$2:$B$6,$B125,Fact_SortedWeights!$L$2:$L$6,"Yes"))))</f>
        <v>0</v>
      </c>
      <c r="G125" s="0" t="n">
        <f aca="false">IF(AND(IF($B125="Trash",INDEX('Materials Master'!$F$2:$F$27,MATCH($C125,'Materials Master'!$A$2:$A$27,0)),IF($B125="GMPC Recycling",INDEX('Materials Master'!$G$2:$G$27,MATCH($C125,'Materials Master'!$A$2:$A$27,0)),IF($B125="Organics Recycling",INDEX('Materials Master'!$H$2:$H$27,MATCH($C125,'Materials Master'!$A$2:$A$27,0)),IF($B125="Cardboard Recycling",INDEX('Materials Master'!$I$2:$I$27,MATCH($C125,'Materials Master'!$A$2:$A$27,0)),IF($B125="Paper Recycling",INDEX('Materials Master'!$J$2:$J$27,MATCH($C125,'Materials Master'!$A$2:$A$27,0)),IF($B125="Terracycle",INDEX('Materials Master'!$K$2:$K$27,MATCH($C125,'Materials Master'!$A$2:$A$27,0)),"No"))))))="Yes",INDEX('Materials Master'!$E$2:$E$27,MATCH($C125,'Materials Master'!$A$2:$A$27,0))="Yes",$B125&lt;&gt;"Trash"),1,0)</f>
        <v>0</v>
      </c>
      <c r="H125" s="0" t="str">
        <f aca="false">INDEX('Materials Master'!$E$2:$E$27,MATCH($C125,'Materials Master'!$A$2:$A$27,0))</f>
        <v>No</v>
      </c>
      <c r="I125" s="0" t="str">
        <f aca="false">IFERROR(INDEX(Areas!$C$2:$C$6,MATCH($A125,Areas!$B$2:$B$6,0)),"")</f>
        <v>Rest of Building</v>
      </c>
      <c r="J125" s="0" t="n">
        <f aca="false">IF(IF($B125="Trash",INDEX('Materials Master'!$F$2:$F$27,MATCH($C125,'Materials Master'!$A$2:$A$27,0)),IF($B125="GMPC Recycling",INDEX('Materials Master'!$G$2:$G$27,MATCH($C125,'Materials Master'!$A$2:$A$27,0)),IF($B125="Organics Recycling",INDEX('Materials Master'!$H$2:$H$27,MATCH($C125,'Materials Master'!$A$2:$A$27,0)),IF($B125="Cardboard Recycling",INDEX('Materials Master'!$I$2:$I$27,MATCH($C125,'Materials Master'!$A$2:$A$27,0)),IF($B125="Paper Recycling",INDEX('Materials Master'!$J$2:$J$27,MATCH($C125,'Materials Master'!$A$2:$A$27,0)),IF($B125="Terracycle",INDEX('Materials Master'!$K$2:$K$27,MATCH($C125,'Materials Master'!$A$2:$A$27,0)),"No"))))))="Yes",1,0)</f>
        <v>0</v>
      </c>
    </row>
    <row r="126" customFormat="false" ht="15" hidden="false" customHeight="false" outlineLevel="0" collapsed="false">
      <c r="A126" s="0" t="s">
        <v>91</v>
      </c>
      <c r="B126" s="0" t="s">
        <v>107</v>
      </c>
      <c r="C126" s="0" t="s">
        <v>73</v>
      </c>
      <c r="D126" s="0" t="str">
        <f aca="false">IFERROR(INDEX('Materials Master'!$B$2:$B$27,MATCH($C126,'Materials Master'!$A$2:$A$27,0)),"")</f>
        <v>E/U Waste</v>
      </c>
      <c r="E126" s="0" t="str">
        <f aca="false">IFERROR(INDEX('Materials Master'!$C$2:$C$27,MATCH($C126,'Materials Master'!$A$2:$A$27,0)),"")</f>
        <v>Unacceptable</v>
      </c>
      <c r="F126" s="0" t="n">
        <f aca="false">(SUMIFS(Fact_PreSortWeights!$E$2:$E$15,Fact_PreSortWeights!$C$2:$C$15,$A126,Fact_PreSortWeights!$B$2:$B$15,$B126,Fact_PreSortWeights!$F$2:$F$15,$C126))+(SUMIFS(Fact_SortedWeights!$E$2:$E$6,Fact_SortedWeights!$C$2:$C$6,$A126,Fact_SortedWeights!$B$2:$B$6,$B126,Fact_SortedWeights!$D$2:$D$6,$C126,Fact_SortedWeights!$L$2:$L$6,"Yes"))+IF((SUMIFS(Fact_SortedWeights!$E$2:$E$6,Fact_SortedWeights!$C$2:$C$6,$A126,Fact_SortedWeights!$B$2:$B$6,$B126,Fact_SortedWeights!$L$2:$L$6,"No"))=0,0,(SUMIFS(Fact_SortedWeights!$E$2:$E$6,Fact_SortedWeights!$C$2:$C$6,$A126,Fact_SortedWeights!$B$2:$B$6,$B126,Fact_SortedWeights!$D$2:$D$6,$C126,Fact_SortedWeights!$L$2:$L$6,"No"))/(SUMIFS(Fact_SortedWeights!$E$2:$E$6,Fact_SortedWeights!$C$2:$C$6,$A126,Fact_SortedWeights!$B$2:$B$6,$B126,Fact_SortedWeights!$L$2:$L$6,"No"))*((SUMIFS(Fact_PreSortWeights!$E$2:$E$15,Fact_PreSortWeights!$C$2:$C$15,$A126,Fact_PreSortWeights!$B$2:$B$15,$B126,Fact_PreSortWeights!$F$2:$F$15,""))-(SUMIFS(Fact_SortedWeights!$E$2:$E$6,Fact_SortedWeights!$C$2:$C$6,$A126,Fact_SortedWeights!$B$2:$B$6,$B126,Fact_SortedWeights!$L$2:$L$6,"Yes"))))</f>
        <v>0</v>
      </c>
      <c r="G126" s="0" t="n">
        <f aca="false">IF(AND(IF($B126="Trash",INDEX('Materials Master'!$F$2:$F$27,MATCH($C126,'Materials Master'!$A$2:$A$27,0)),IF($B126="GMPC Recycling",INDEX('Materials Master'!$G$2:$G$27,MATCH($C126,'Materials Master'!$A$2:$A$27,0)),IF($B126="Organics Recycling",INDEX('Materials Master'!$H$2:$H$27,MATCH($C126,'Materials Master'!$A$2:$A$27,0)),IF($B126="Cardboard Recycling",INDEX('Materials Master'!$I$2:$I$27,MATCH($C126,'Materials Master'!$A$2:$A$27,0)),IF($B126="Paper Recycling",INDEX('Materials Master'!$J$2:$J$27,MATCH($C126,'Materials Master'!$A$2:$A$27,0)),IF($B126="Terracycle",INDEX('Materials Master'!$K$2:$K$27,MATCH($C126,'Materials Master'!$A$2:$A$27,0)),"No"))))))="Yes",INDEX('Materials Master'!$E$2:$E$27,MATCH($C126,'Materials Master'!$A$2:$A$27,0))="Yes",$B126&lt;&gt;"Trash"),1,0)</f>
        <v>0</v>
      </c>
      <c r="H126" s="0" t="str">
        <f aca="false">INDEX('Materials Master'!$E$2:$E$27,MATCH($C126,'Materials Master'!$A$2:$A$27,0))</f>
        <v>No</v>
      </c>
      <c r="I126" s="0" t="str">
        <f aca="false">IFERROR(INDEX(Areas!$C$2:$C$6,MATCH($A126,Areas!$B$2:$B$6,0)),"")</f>
        <v>Rest of Building</v>
      </c>
      <c r="J126" s="0" t="n">
        <f aca="false">IF(IF($B126="Trash",INDEX('Materials Master'!$F$2:$F$27,MATCH($C126,'Materials Master'!$A$2:$A$27,0)),IF($B126="GMPC Recycling",INDEX('Materials Master'!$G$2:$G$27,MATCH($C126,'Materials Master'!$A$2:$A$27,0)),IF($B126="Organics Recycling",INDEX('Materials Master'!$H$2:$H$27,MATCH($C126,'Materials Master'!$A$2:$A$27,0)),IF($B126="Cardboard Recycling",INDEX('Materials Master'!$I$2:$I$27,MATCH($C126,'Materials Master'!$A$2:$A$27,0)),IF($B126="Paper Recycling",INDEX('Materials Master'!$J$2:$J$27,MATCH($C126,'Materials Master'!$A$2:$A$27,0)),IF($B126="Terracycle",INDEX('Materials Master'!$K$2:$K$27,MATCH($C126,'Materials Master'!$A$2:$A$27,0)),"No"))))))="Yes",1,0)</f>
        <v>0</v>
      </c>
    </row>
    <row r="127" customFormat="false" ht="15" hidden="false" customHeight="false" outlineLevel="0" collapsed="false">
      <c r="A127" s="0" t="s">
        <v>91</v>
      </c>
      <c r="B127" s="0" t="s">
        <v>107</v>
      </c>
      <c r="C127" s="0" t="s">
        <v>76</v>
      </c>
      <c r="D127" s="0" t="str">
        <f aca="false">IFERROR(INDEX('Materials Master'!$B$2:$B$27,MATCH($C127,'Materials Master'!$A$2:$A$27,0)),"")</f>
        <v>Textiles</v>
      </c>
      <c r="E127" s="0" t="str">
        <f aca="false">IFERROR(INDEX('Materials Master'!$C$2:$C$27,MATCH($C127,'Materials Master'!$A$2:$A$27,0)),"")</f>
        <v>Unacceptable</v>
      </c>
      <c r="F127" s="0" t="n">
        <f aca="false">(SUMIFS(Fact_PreSortWeights!$E$2:$E$15,Fact_PreSortWeights!$C$2:$C$15,$A127,Fact_PreSortWeights!$B$2:$B$15,$B127,Fact_PreSortWeights!$F$2:$F$15,$C127))+(SUMIFS(Fact_SortedWeights!$E$2:$E$6,Fact_SortedWeights!$C$2:$C$6,$A127,Fact_SortedWeights!$B$2:$B$6,$B127,Fact_SortedWeights!$D$2:$D$6,$C127,Fact_SortedWeights!$L$2:$L$6,"Yes"))+IF((SUMIFS(Fact_SortedWeights!$E$2:$E$6,Fact_SortedWeights!$C$2:$C$6,$A127,Fact_SortedWeights!$B$2:$B$6,$B127,Fact_SortedWeights!$L$2:$L$6,"No"))=0,0,(SUMIFS(Fact_SortedWeights!$E$2:$E$6,Fact_SortedWeights!$C$2:$C$6,$A127,Fact_SortedWeights!$B$2:$B$6,$B127,Fact_SortedWeights!$D$2:$D$6,$C127,Fact_SortedWeights!$L$2:$L$6,"No"))/(SUMIFS(Fact_SortedWeights!$E$2:$E$6,Fact_SortedWeights!$C$2:$C$6,$A127,Fact_SortedWeights!$B$2:$B$6,$B127,Fact_SortedWeights!$L$2:$L$6,"No"))*((SUMIFS(Fact_PreSortWeights!$E$2:$E$15,Fact_PreSortWeights!$C$2:$C$15,$A127,Fact_PreSortWeights!$B$2:$B$15,$B127,Fact_PreSortWeights!$F$2:$F$15,""))-(SUMIFS(Fact_SortedWeights!$E$2:$E$6,Fact_SortedWeights!$C$2:$C$6,$A127,Fact_SortedWeights!$B$2:$B$6,$B127,Fact_SortedWeights!$L$2:$L$6,"Yes"))))</f>
        <v>0</v>
      </c>
      <c r="G127" s="0" t="n">
        <f aca="false">IF(AND(IF($B127="Trash",INDEX('Materials Master'!$F$2:$F$27,MATCH($C127,'Materials Master'!$A$2:$A$27,0)),IF($B127="GMPC Recycling",INDEX('Materials Master'!$G$2:$G$27,MATCH($C127,'Materials Master'!$A$2:$A$27,0)),IF($B127="Organics Recycling",INDEX('Materials Master'!$H$2:$H$27,MATCH($C127,'Materials Master'!$A$2:$A$27,0)),IF($B127="Cardboard Recycling",INDEX('Materials Master'!$I$2:$I$27,MATCH($C127,'Materials Master'!$A$2:$A$27,0)),IF($B127="Paper Recycling",INDEX('Materials Master'!$J$2:$J$27,MATCH($C127,'Materials Master'!$A$2:$A$27,0)),IF($B127="Terracycle",INDEX('Materials Master'!$K$2:$K$27,MATCH($C127,'Materials Master'!$A$2:$A$27,0)),"No"))))))="Yes",INDEX('Materials Master'!$E$2:$E$27,MATCH($C127,'Materials Master'!$A$2:$A$27,0))="Yes",$B127&lt;&gt;"Trash"),1,0)</f>
        <v>0</v>
      </c>
      <c r="H127" s="0" t="str">
        <f aca="false">INDEX('Materials Master'!$E$2:$E$27,MATCH($C127,'Materials Master'!$A$2:$A$27,0))</f>
        <v>No</v>
      </c>
      <c r="I127" s="0" t="str">
        <f aca="false">IFERROR(INDEX(Areas!$C$2:$C$6,MATCH($A127,Areas!$B$2:$B$6,0)),"")</f>
        <v>Rest of Building</v>
      </c>
      <c r="J127" s="0" t="n">
        <f aca="false">IF(IF($B127="Trash",INDEX('Materials Master'!$F$2:$F$27,MATCH($C127,'Materials Master'!$A$2:$A$27,0)),IF($B127="GMPC Recycling",INDEX('Materials Master'!$G$2:$G$27,MATCH($C127,'Materials Master'!$A$2:$A$27,0)),IF($B127="Organics Recycling",INDEX('Materials Master'!$H$2:$H$27,MATCH($C127,'Materials Master'!$A$2:$A$27,0)),IF($B127="Cardboard Recycling",INDEX('Materials Master'!$I$2:$I$27,MATCH($C127,'Materials Master'!$A$2:$A$27,0)),IF($B127="Paper Recycling",INDEX('Materials Master'!$J$2:$J$27,MATCH($C127,'Materials Master'!$A$2:$A$27,0)),IF($B127="Terracycle",INDEX('Materials Master'!$K$2:$K$27,MATCH($C127,'Materials Master'!$A$2:$A$27,0)),"No"))))))="Yes",1,0)</f>
        <v>0</v>
      </c>
    </row>
    <row r="128" customFormat="false" ht="15" hidden="false" customHeight="false" outlineLevel="0" collapsed="false">
      <c r="A128" s="0" t="s">
        <v>91</v>
      </c>
      <c r="B128" s="0" t="s">
        <v>107</v>
      </c>
      <c r="C128" s="0" t="s">
        <v>78</v>
      </c>
      <c r="D128" s="0" t="str">
        <f aca="false">IFERROR(INDEX('Materials Master'!$B$2:$B$27,MATCH($C128,'Materials Master'!$A$2:$A$27,0)),"")</f>
        <v>Other Unacceptable (specify)</v>
      </c>
      <c r="E128" s="0" t="str">
        <f aca="false">IFERROR(INDEX('Materials Master'!$C$2:$C$27,MATCH($C128,'Materials Master'!$A$2:$A$27,0)),"")</f>
        <v>Unacceptable</v>
      </c>
      <c r="F128" s="0" t="n">
        <f aca="false">(SUMIFS(Fact_PreSortWeights!$E$2:$E$15,Fact_PreSortWeights!$C$2:$C$15,$A128,Fact_PreSortWeights!$B$2:$B$15,$B128,Fact_PreSortWeights!$F$2:$F$15,$C128))+(SUMIFS(Fact_SortedWeights!$E$2:$E$6,Fact_SortedWeights!$C$2:$C$6,$A128,Fact_SortedWeights!$B$2:$B$6,$B128,Fact_SortedWeights!$D$2:$D$6,$C128,Fact_SortedWeights!$L$2:$L$6,"Yes"))+IF((SUMIFS(Fact_SortedWeights!$E$2:$E$6,Fact_SortedWeights!$C$2:$C$6,$A128,Fact_SortedWeights!$B$2:$B$6,$B128,Fact_SortedWeights!$L$2:$L$6,"No"))=0,0,(SUMIFS(Fact_SortedWeights!$E$2:$E$6,Fact_SortedWeights!$C$2:$C$6,$A128,Fact_SortedWeights!$B$2:$B$6,$B128,Fact_SortedWeights!$D$2:$D$6,$C128,Fact_SortedWeights!$L$2:$L$6,"No"))/(SUMIFS(Fact_SortedWeights!$E$2:$E$6,Fact_SortedWeights!$C$2:$C$6,$A128,Fact_SortedWeights!$B$2:$B$6,$B128,Fact_SortedWeights!$L$2:$L$6,"No"))*((SUMIFS(Fact_PreSortWeights!$E$2:$E$15,Fact_PreSortWeights!$C$2:$C$15,$A128,Fact_PreSortWeights!$B$2:$B$15,$B128,Fact_PreSortWeights!$F$2:$F$15,""))-(SUMIFS(Fact_SortedWeights!$E$2:$E$6,Fact_SortedWeights!$C$2:$C$6,$A128,Fact_SortedWeights!$B$2:$B$6,$B128,Fact_SortedWeights!$L$2:$L$6,"Yes"))))</f>
        <v>0</v>
      </c>
      <c r="G128" s="0" t="n">
        <f aca="false">IF(AND(IF($B128="Trash",INDEX('Materials Master'!$F$2:$F$27,MATCH($C128,'Materials Master'!$A$2:$A$27,0)),IF($B128="GMPC Recycling",INDEX('Materials Master'!$G$2:$G$27,MATCH($C128,'Materials Master'!$A$2:$A$27,0)),IF($B128="Organics Recycling",INDEX('Materials Master'!$H$2:$H$27,MATCH($C128,'Materials Master'!$A$2:$A$27,0)),IF($B128="Cardboard Recycling",INDEX('Materials Master'!$I$2:$I$27,MATCH($C128,'Materials Master'!$A$2:$A$27,0)),IF($B128="Paper Recycling",INDEX('Materials Master'!$J$2:$J$27,MATCH($C128,'Materials Master'!$A$2:$A$27,0)),IF($B128="Terracycle",INDEX('Materials Master'!$K$2:$K$27,MATCH($C128,'Materials Master'!$A$2:$A$27,0)),"No"))))))="Yes",INDEX('Materials Master'!$E$2:$E$27,MATCH($C128,'Materials Master'!$A$2:$A$27,0))="Yes",$B128&lt;&gt;"Trash"),1,0)</f>
        <v>0</v>
      </c>
      <c r="H128" s="0" t="str">
        <f aca="false">INDEX('Materials Master'!$E$2:$E$27,MATCH($C128,'Materials Master'!$A$2:$A$27,0))</f>
        <v>No</v>
      </c>
      <c r="I128" s="0" t="str">
        <f aca="false">IFERROR(INDEX(Areas!$C$2:$C$6,MATCH($A128,Areas!$B$2:$B$6,0)),"")</f>
        <v>Rest of Building</v>
      </c>
      <c r="J128" s="0" t="n">
        <f aca="false">IF(IF($B128="Trash",INDEX('Materials Master'!$F$2:$F$27,MATCH($C128,'Materials Master'!$A$2:$A$27,0)),IF($B128="GMPC Recycling",INDEX('Materials Master'!$G$2:$G$27,MATCH($C128,'Materials Master'!$A$2:$A$27,0)),IF($B128="Organics Recycling",INDEX('Materials Master'!$H$2:$H$27,MATCH($C128,'Materials Master'!$A$2:$A$27,0)),IF($B128="Cardboard Recycling",INDEX('Materials Master'!$I$2:$I$27,MATCH($C128,'Materials Master'!$A$2:$A$27,0)),IF($B128="Paper Recycling",INDEX('Materials Master'!$J$2:$J$27,MATCH($C128,'Materials Master'!$A$2:$A$27,0)),IF($B128="Terracycle",INDEX('Materials Master'!$K$2:$K$27,MATCH($C128,'Materials Master'!$A$2:$A$27,0)),"No"))))))="Yes",1,0)</f>
        <v>0</v>
      </c>
    </row>
    <row r="129" customFormat="false" ht="15" hidden="false" customHeight="false" outlineLevel="0" collapsed="false">
      <c r="A129" s="0" t="s">
        <v>91</v>
      </c>
      <c r="B129" s="0" t="s">
        <v>107</v>
      </c>
      <c r="C129" s="0" t="s">
        <v>80</v>
      </c>
      <c r="D129" s="0" t="str">
        <f aca="false">IFERROR(INDEX('Materials Master'!$B$2:$B$27,MATCH($C129,'Materials Master'!$A$2:$A$27,0)),"")</f>
        <v>Liquids</v>
      </c>
      <c r="E129" s="0" t="str">
        <f aca="false">IFERROR(INDEX('Materials Master'!$C$2:$C$27,MATCH($C129,'Materials Master'!$A$2:$A$27,0)),"")</f>
        <v>Unacceptable</v>
      </c>
      <c r="F129" s="0" t="n">
        <f aca="false">(SUMIFS(Fact_PreSortWeights!$E$2:$E$15,Fact_PreSortWeights!$C$2:$C$15,$A129,Fact_PreSortWeights!$B$2:$B$15,$B129,Fact_PreSortWeights!$F$2:$F$15,$C129))+(SUMIFS(Fact_SortedWeights!$E$2:$E$6,Fact_SortedWeights!$C$2:$C$6,$A129,Fact_SortedWeights!$B$2:$B$6,$B129,Fact_SortedWeights!$D$2:$D$6,$C129,Fact_SortedWeights!$L$2:$L$6,"Yes"))+IF((SUMIFS(Fact_SortedWeights!$E$2:$E$6,Fact_SortedWeights!$C$2:$C$6,$A129,Fact_SortedWeights!$B$2:$B$6,$B129,Fact_SortedWeights!$L$2:$L$6,"No"))=0,0,(SUMIFS(Fact_SortedWeights!$E$2:$E$6,Fact_SortedWeights!$C$2:$C$6,$A129,Fact_SortedWeights!$B$2:$B$6,$B129,Fact_SortedWeights!$D$2:$D$6,$C129,Fact_SortedWeights!$L$2:$L$6,"No"))/(SUMIFS(Fact_SortedWeights!$E$2:$E$6,Fact_SortedWeights!$C$2:$C$6,$A129,Fact_SortedWeights!$B$2:$B$6,$B129,Fact_SortedWeights!$L$2:$L$6,"No"))*((SUMIFS(Fact_PreSortWeights!$E$2:$E$15,Fact_PreSortWeights!$C$2:$C$15,$A129,Fact_PreSortWeights!$B$2:$B$15,$B129,Fact_PreSortWeights!$F$2:$F$15,""))-(SUMIFS(Fact_SortedWeights!$E$2:$E$6,Fact_SortedWeights!$C$2:$C$6,$A129,Fact_SortedWeights!$B$2:$B$6,$B129,Fact_SortedWeights!$L$2:$L$6,"Yes"))))</f>
        <v>0</v>
      </c>
      <c r="G129" s="0" t="n">
        <f aca="false">IF(AND(IF($B129="Trash",INDEX('Materials Master'!$F$2:$F$27,MATCH($C129,'Materials Master'!$A$2:$A$27,0)),IF($B129="GMPC Recycling",INDEX('Materials Master'!$G$2:$G$27,MATCH($C129,'Materials Master'!$A$2:$A$27,0)),IF($B129="Organics Recycling",INDEX('Materials Master'!$H$2:$H$27,MATCH($C129,'Materials Master'!$A$2:$A$27,0)),IF($B129="Cardboard Recycling",INDEX('Materials Master'!$I$2:$I$27,MATCH($C129,'Materials Master'!$A$2:$A$27,0)),IF($B129="Paper Recycling",INDEX('Materials Master'!$J$2:$J$27,MATCH($C129,'Materials Master'!$A$2:$A$27,0)),IF($B129="Terracycle",INDEX('Materials Master'!$K$2:$K$27,MATCH($C129,'Materials Master'!$A$2:$A$27,0)),"No"))))))="Yes",INDEX('Materials Master'!$E$2:$E$27,MATCH($C129,'Materials Master'!$A$2:$A$27,0))="Yes",$B129&lt;&gt;"Trash"),1,0)</f>
        <v>0</v>
      </c>
      <c r="H129" s="0" t="str">
        <f aca="false">INDEX('Materials Master'!$E$2:$E$27,MATCH($C129,'Materials Master'!$A$2:$A$27,0))</f>
        <v>No</v>
      </c>
      <c r="I129" s="0" t="str">
        <f aca="false">IFERROR(INDEX(Areas!$C$2:$C$6,MATCH($A129,Areas!$B$2:$B$6,0)),"")</f>
        <v>Rest of Building</v>
      </c>
      <c r="J129" s="0" t="n">
        <f aca="false">IF(IF($B129="Trash",INDEX('Materials Master'!$F$2:$F$27,MATCH($C129,'Materials Master'!$A$2:$A$27,0)),IF($B129="GMPC Recycling",INDEX('Materials Master'!$G$2:$G$27,MATCH($C129,'Materials Master'!$A$2:$A$27,0)),IF($B129="Organics Recycling",INDEX('Materials Master'!$H$2:$H$27,MATCH($C129,'Materials Master'!$A$2:$A$27,0)),IF($B129="Cardboard Recycling",INDEX('Materials Master'!$I$2:$I$27,MATCH($C129,'Materials Master'!$A$2:$A$27,0)),IF($B129="Paper Recycling",INDEX('Materials Master'!$J$2:$J$27,MATCH($C129,'Materials Master'!$A$2:$A$27,0)),IF($B129="Terracycle",INDEX('Materials Master'!$K$2:$K$27,MATCH($C129,'Materials Master'!$A$2:$A$27,0)),"No"))))))="Yes",1,0)</f>
        <v>0</v>
      </c>
    </row>
    <row r="130" customFormat="false" ht="15" hidden="false" customHeight="false" outlineLevel="0" collapsed="false">
      <c r="A130" s="0" t="s">
        <v>91</v>
      </c>
      <c r="B130" s="0" t="s">
        <v>107</v>
      </c>
      <c r="C130" s="0" t="s">
        <v>82</v>
      </c>
      <c r="D130" s="0" t="str">
        <f aca="false">IFERROR(INDEX('Materials Master'!$B$2:$B$27,MATCH($C130,'Materials Master'!$A$2:$A$27,0)),"")</f>
        <v>Snack Wrappers (Composites)</v>
      </c>
      <c r="E130" s="0" t="str">
        <f aca="false">IFERROR(INDEX('Materials Master'!$C$2:$C$27,MATCH($C130,'Materials Master'!$A$2:$A$27,0)),"")</f>
        <v>Other</v>
      </c>
      <c r="F130" s="0" t="n">
        <f aca="false">(SUMIFS(Fact_PreSortWeights!$E$2:$E$15,Fact_PreSortWeights!$C$2:$C$15,$A130,Fact_PreSortWeights!$B$2:$B$15,$B130,Fact_PreSortWeights!$F$2:$F$15,$C130))+(SUMIFS(Fact_SortedWeights!$E$2:$E$6,Fact_SortedWeights!$C$2:$C$6,$A130,Fact_SortedWeights!$B$2:$B$6,$B130,Fact_SortedWeights!$D$2:$D$6,$C130,Fact_SortedWeights!$L$2:$L$6,"Yes"))+IF((SUMIFS(Fact_SortedWeights!$E$2:$E$6,Fact_SortedWeights!$C$2:$C$6,$A130,Fact_SortedWeights!$B$2:$B$6,$B130,Fact_SortedWeights!$L$2:$L$6,"No"))=0,0,(SUMIFS(Fact_SortedWeights!$E$2:$E$6,Fact_SortedWeights!$C$2:$C$6,$A130,Fact_SortedWeights!$B$2:$B$6,$B130,Fact_SortedWeights!$D$2:$D$6,$C130,Fact_SortedWeights!$L$2:$L$6,"No"))/(SUMIFS(Fact_SortedWeights!$E$2:$E$6,Fact_SortedWeights!$C$2:$C$6,$A130,Fact_SortedWeights!$B$2:$B$6,$B130,Fact_SortedWeights!$L$2:$L$6,"No"))*((SUMIFS(Fact_PreSortWeights!$E$2:$E$15,Fact_PreSortWeights!$C$2:$C$15,$A130,Fact_PreSortWeights!$B$2:$B$15,$B130,Fact_PreSortWeights!$F$2:$F$15,""))-(SUMIFS(Fact_SortedWeights!$E$2:$E$6,Fact_SortedWeights!$C$2:$C$6,$A130,Fact_SortedWeights!$B$2:$B$6,$B130,Fact_SortedWeights!$L$2:$L$6,"Yes"))))</f>
        <v>0</v>
      </c>
      <c r="G130" s="0" t="n">
        <f aca="false">IF(AND(IF($B130="Trash",INDEX('Materials Master'!$F$2:$F$27,MATCH($C130,'Materials Master'!$A$2:$A$27,0)),IF($B130="GMPC Recycling",INDEX('Materials Master'!$G$2:$G$27,MATCH($C130,'Materials Master'!$A$2:$A$27,0)),IF($B130="Organics Recycling",INDEX('Materials Master'!$H$2:$H$27,MATCH($C130,'Materials Master'!$A$2:$A$27,0)),IF($B130="Cardboard Recycling",INDEX('Materials Master'!$I$2:$I$27,MATCH($C130,'Materials Master'!$A$2:$A$27,0)),IF($B130="Paper Recycling",INDEX('Materials Master'!$J$2:$J$27,MATCH($C130,'Materials Master'!$A$2:$A$27,0)),IF($B130="Terracycle",INDEX('Materials Master'!$K$2:$K$27,MATCH($C130,'Materials Master'!$A$2:$A$27,0)),"No"))))))="Yes",INDEX('Materials Master'!$E$2:$E$27,MATCH($C130,'Materials Master'!$A$2:$A$27,0))="Yes",$B130&lt;&gt;"Trash"),1,0)</f>
        <v>0</v>
      </c>
      <c r="H130" s="0" t="str">
        <f aca="false">INDEX('Materials Master'!$E$2:$E$27,MATCH($C130,'Materials Master'!$A$2:$A$27,0))</f>
        <v>Yes</v>
      </c>
      <c r="I130" s="0" t="str">
        <f aca="false">IFERROR(INDEX(Areas!$C$2:$C$6,MATCH($A130,Areas!$B$2:$B$6,0)),"")</f>
        <v>Rest of Building</v>
      </c>
      <c r="J130" s="0" t="n">
        <f aca="false">IF(IF($B130="Trash",INDEX('Materials Master'!$F$2:$F$27,MATCH($C130,'Materials Master'!$A$2:$A$27,0)),IF($B130="GMPC Recycling",INDEX('Materials Master'!$G$2:$G$27,MATCH($C130,'Materials Master'!$A$2:$A$27,0)),IF($B130="Organics Recycling",INDEX('Materials Master'!$H$2:$H$27,MATCH($C130,'Materials Master'!$A$2:$A$27,0)),IF($B130="Cardboard Recycling",INDEX('Materials Master'!$I$2:$I$27,MATCH($C130,'Materials Master'!$A$2:$A$27,0)),IF($B130="Paper Recycling",INDEX('Materials Master'!$J$2:$J$27,MATCH($C130,'Materials Master'!$A$2:$A$27,0)),IF($B130="Terracycle",INDEX('Materials Master'!$K$2:$K$27,MATCH($C130,'Materials Master'!$A$2:$A$27,0)),"No"))))))="Yes",1,0)</f>
        <v>0</v>
      </c>
    </row>
    <row r="131" customFormat="false" ht="15" hidden="false" customHeight="false" outlineLevel="0" collapsed="false">
      <c r="A131" s="0" t="s">
        <v>91</v>
      </c>
      <c r="B131" s="0" t="s">
        <v>107</v>
      </c>
      <c r="C131" s="0" t="s">
        <v>85</v>
      </c>
      <c r="D131" s="0" t="str">
        <f aca="false">IFERROR(INDEX('Materials Master'!$B$2:$B$27,MATCH($C131,'Materials Master'!$A$2:$A$27,0)),"")</f>
        <v>Other/Residual Materials</v>
      </c>
      <c r="E131" s="0" t="str">
        <f aca="false">IFERROR(INDEX('Materials Master'!$C$2:$C$27,MATCH($C131,'Materials Master'!$A$2:$A$27,0)),"")</f>
        <v>Other</v>
      </c>
      <c r="F131" s="0" t="n">
        <f aca="false">(SUMIFS(Fact_PreSortWeights!$E$2:$E$15,Fact_PreSortWeights!$C$2:$C$15,$A131,Fact_PreSortWeights!$B$2:$B$15,$B131,Fact_PreSortWeights!$F$2:$F$15,$C131))+(SUMIFS(Fact_SortedWeights!$E$2:$E$6,Fact_SortedWeights!$C$2:$C$6,$A131,Fact_SortedWeights!$B$2:$B$6,$B131,Fact_SortedWeights!$D$2:$D$6,$C131,Fact_SortedWeights!$L$2:$L$6,"Yes"))+IF((SUMIFS(Fact_SortedWeights!$E$2:$E$6,Fact_SortedWeights!$C$2:$C$6,$A131,Fact_SortedWeights!$B$2:$B$6,$B131,Fact_SortedWeights!$L$2:$L$6,"No"))=0,0,(SUMIFS(Fact_SortedWeights!$E$2:$E$6,Fact_SortedWeights!$C$2:$C$6,$A131,Fact_SortedWeights!$B$2:$B$6,$B131,Fact_SortedWeights!$D$2:$D$6,$C131,Fact_SortedWeights!$L$2:$L$6,"No"))/(SUMIFS(Fact_SortedWeights!$E$2:$E$6,Fact_SortedWeights!$C$2:$C$6,$A131,Fact_SortedWeights!$B$2:$B$6,$B131,Fact_SortedWeights!$L$2:$L$6,"No"))*((SUMIFS(Fact_PreSortWeights!$E$2:$E$15,Fact_PreSortWeights!$C$2:$C$15,$A131,Fact_PreSortWeights!$B$2:$B$15,$B131,Fact_PreSortWeights!$F$2:$F$15,""))-(SUMIFS(Fact_SortedWeights!$E$2:$E$6,Fact_SortedWeights!$C$2:$C$6,$A131,Fact_SortedWeights!$B$2:$B$6,$B131,Fact_SortedWeights!$L$2:$L$6,"Yes"))))</f>
        <v>0</v>
      </c>
      <c r="G131" s="0" t="n">
        <f aca="false">IF(AND(IF($B131="Trash",INDEX('Materials Master'!$F$2:$F$27,MATCH($C131,'Materials Master'!$A$2:$A$27,0)),IF($B131="GMPC Recycling",INDEX('Materials Master'!$G$2:$G$27,MATCH($C131,'Materials Master'!$A$2:$A$27,0)),IF($B131="Organics Recycling",INDEX('Materials Master'!$H$2:$H$27,MATCH($C131,'Materials Master'!$A$2:$A$27,0)),IF($B131="Cardboard Recycling",INDEX('Materials Master'!$I$2:$I$27,MATCH($C131,'Materials Master'!$A$2:$A$27,0)),IF($B131="Paper Recycling",INDEX('Materials Master'!$J$2:$J$27,MATCH($C131,'Materials Master'!$A$2:$A$27,0)),IF($B131="Terracycle",INDEX('Materials Master'!$K$2:$K$27,MATCH($C131,'Materials Master'!$A$2:$A$27,0)),"No"))))))="Yes",INDEX('Materials Master'!$E$2:$E$27,MATCH($C131,'Materials Master'!$A$2:$A$27,0))="Yes",$B131&lt;&gt;"Trash"),1,0)</f>
        <v>0</v>
      </c>
      <c r="H131" s="0" t="str">
        <f aca="false">INDEX('Materials Master'!$E$2:$E$27,MATCH($C131,'Materials Master'!$A$2:$A$27,0))</f>
        <v>No</v>
      </c>
      <c r="I131" s="0" t="str">
        <f aca="false">IFERROR(INDEX(Areas!$C$2:$C$6,MATCH($A131,Areas!$B$2:$B$6,0)),"")</f>
        <v>Rest of Building</v>
      </c>
      <c r="J131" s="0" t="n">
        <f aca="false">IF(IF($B131="Trash",INDEX('Materials Master'!$F$2:$F$27,MATCH($C131,'Materials Master'!$A$2:$A$27,0)),IF($B131="GMPC Recycling",INDEX('Materials Master'!$G$2:$G$27,MATCH($C131,'Materials Master'!$A$2:$A$27,0)),IF($B131="Organics Recycling",INDEX('Materials Master'!$H$2:$H$27,MATCH($C131,'Materials Master'!$A$2:$A$27,0)),IF($B131="Cardboard Recycling",INDEX('Materials Master'!$I$2:$I$27,MATCH($C131,'Materials Master'!$A$2:$A$27,0)),IF($B131="Paper Recycling",INDEX('Materials Master'!$J$2:$J$27,MATCH($C131,'Materials Master'!$A$2:$A$27,0)),IF($B131="Terracycle",INDEX('Materials Master'!$K$2:$K$27,MATCH($C131,'Materials Master'!$A$2:$A$27,0)),"No"))))))="Yes",1,0)</f>
        <v>0</v>
      </c>
    </row>
    <row r="132" customFormat="false" ht="15" hidden="false" customHeight="false" outlineLevel="0" collapsed="false">
      <c r="A132" s="0" t="s">
        <v>91</v>
      </c>
      <c r="B132" s="0" t="s">
        <v>108</v>
      </c>
      <c r="C132" s="0" t="s">
        <v>26</v>
      </c>
      <c r="D132" s="0" t="str">
        <f aca="false">IFERROR(INDEX('Materials Master'!$B$2:$B$27,MATCH($C132,'Materials Master'!$A$2:$A$27,0)),"")</f>
        <v>Corrugated Cardboard</v>
      </c>
      <c r="E132" s="0" t="str">
        <f aca="false">IFERROR(INDEX('Materials Master'!$C$2:$C$27,MATCH($C132,'Materials Master'!$A$2:$A$27,0)),"")</f>
        <v>Fibers</v>
      </c>
      <c r="F132" s="0" t="n">
        <f aca="false">(SUMIFS(Fact_PreSortWeights!$E$2:$E$15,Fact_PreSortWeights!$C$2:$C$15,$A132,Fact_PreSortWeights!$B$2:$B$15,$B132,Fact_PreSortWeights!$F$2:$F$15,$C132))+(SUMIFS(Fact_SortedWeights!$E$2:$E$6,Fact_SortedWeights!$C$2:$C$6,$A132,Fact_SortedWeights!$B$2:$B$6,$B132,Fact_SortedWeights!$D$2:$D$6,$C132,Fact_SortedWeights!$L$2:$L$6,"Yes"))+IF((SUMIFS(Fact_SortedWeights!$E$2:$E$6,Fact_SortedWeights!$C$2:$C$6,$A132,Fact_SortedWeights!$B$2:$B$6,$B132,Fact_SortedWeights!$L$2:$L$6,"No"))=0,0,(SUMIFS(Fact_SortedWeights!$E$2:$E$6,Fact_SortedWeights!$C$2:$C$6,$A132,Fact_SortedWeights!$B$2:$B$6,$B132,Fact_SortedWeights!$D$2:$D$6,$C132,Fact_SortedWeights!$L$2:$L$6,"No"))/(SUMIFS(Fact_SortedWeights!$E$2:$E$6,Fact_SortedWeights!$C$2:$C$6,$A132,Fact_SortedWeights!$B$2:$B$6,$B132,Fact_SortedWeights!$L$2:$L$6,"No"))*((SUMIFS(Fact_PreSortWeights!$E$2:$E$15,Fact_PreSortWeights!$C$2:$C$15,$A132,Fact_PreSortWeights!$B$2:$B$15,$B132,Fact_PreSortWeights!$F$2:$F$15,""))-(SUMIFS(Fact_SortedWeights!$E$2:$E$6,Fact_SortedWeights!$C$2:$C$6,$A132,Fact_SortedWeights!$B$2:$B$6,$B132,Fact_SortedWeights!$L$2:$L$6,"Yes"))))</f>
        <v>0</v>
      </c>
      <c r="G132" s="0" t="n">
        <f aca="false">IF(AND(IF($B132="Trash",INDEX('Materials Master'!$F$2:$F$27,MATCH($C132,'Materials Master'!$A$2:$A$27,0)),IF($B132="GMPC Recycling",INDEX('Materials Master'!$G$2:$G$27,MATCH($C132,'Materials Master'!$A$2:$A$27,0)),IF($B132="Organics Recycling",INDEX('Materials Master'!$H$2:$H$27,MATCH($C132,'Materials Master'!$A$2:$A$27,0)),IF($B132="Cardboard Recycling",INDEX('Materials Master'!$I$2:$I$27,MATCH($C132,'Materials Master'!$A$2:$A$27,0)),IF($B132="Paper Recycling",INDEX('Materials Master'!$J$2:$J$27,MATCH($C132,'Materials Master'!$A$2:$A$27,0)),IF($B132="Terracycle",INDEX('Materials Master'!$K$2:$K$27,MATCH($C132,'Materials Master'!$A$2:$A$27,0)),"No"))))))="Yes",INDEX('Materials Master'!$E$2:$E$27,MATCH($C132,'Materials Master'!$A$2:$A$27,0))="Yes",$B132&lt;&gt;"Trash"),1,0)</f>
        <v>0</v>
      </c>
      <c r="H132" s="0" t="str">
        <f aca="false">INDEX('Materials Master'!$E$2:$E$27,MATCH($C132,'Materials Master'!$A$2:$A$27,0))</f>
        <v>Yes</v>
      </c>
      <c r="I132" s="0" t="str">
        <f aca="false">IFERROR(INDEX(Areas!$C$2:$C$6,MATCH($A132,Areas!$B$2:$B$6,0)),"")</f>
        <v>Rest of Building</v>
      </c>
      <c r="J132" s="0" t="n">
        <f aca="false">IF(IF($B132="Trash",INDEX('Materials Master'!$F$2:$F$27,MATCH($C132,'Materials Master'!$A$2:$A$27,0)),IF($B132="GMPC Recycling",INDEX('Materials Master'!$G$2:$G$27,MATCH($C132,'Materials Master'!$A$2:$A$27,0)),IF($B132="Organics Recycling",INDEX('Materials Master'!$H$2:$H$27,MATCH($C132,'Materials Master'!$A$2:$A$27,0)),IF($B132="Cardboard Recycling",INDEX('Materials Master'!$I$2:$I$27,MATCH($C132,'Materials Master'!$A$2:$A$27,0)),IF($B132="Paper Recycling",INDEX('Materials Master'!$J$2:$J$27,MATCH($C132,'Materials Master'!$A$2:$A$27,0)),IF($B132="Terracycle",INDEX('Materials Master'!$K$2:$K$27,MATCH($C132,'Materials Master'!$A$2:$A$27,0)),"No"))))))="Yes",1,0)</f>
        <v>0</v>
      </c>
    </row>
    <row r="133" customFormat="false" ht="15" hidden="false" customHeight="false" outlineLevel="0" collapsed="false">
      <c r="A133" s="0" t="s">
        <v>91</v>
      </c>
      <c r="B133" s="0" t="s">
        <v>108</v>
      </c>
      <c r="C133" s="0" t="s">
        <v>31</v>
      </c>
      <c r="D133" s="0" t="str">
        <f aca="false">IFERROR(INDEX('Materials Master'!$B$2:$B$27,MATCH($C133,'Materials Master'!$A$2:$A$27,0)),"")</f>
        <v>Soiled Cardboard</v>
      </c>
      <c r="E133" s="0" t="str">
        <f aca="false">IFERROR(INDEX('Materials Master'!$C$2:$C$27,MATCH($C133,'Materials Master'!$A$2:$A$27,0)),"")</f>
        <v>Fibers</v>
      </c>
      <c r="F133" s="0" t="n">
        <f aca="false">(SUMIFS(Fact_PreSortWeights!$E$2:$E$15,Fact_PreSortWeights!$C$2:$C$15,$A133,Fact_PreSortWeights!$B$2:$B$15,$B133,Fact_PreSortWeights!$F$2:$F$15,$C133))+(SUMIFS(Fact_SortedWeights!$E$2:$E$6,Fact_SortedWeights!$C$2:$C$6,$A133,Fact_SortedWeights!$B$2:$B$6,$B133,Fact_SortedWeights!$D$2:$D$6,$C133,Fact_SortedWeights!$L$2:$L$6,"Yes"))+IF((SUMIFS(Fact_SortedWeights!$E$2:$E$6,Fact_SortedWeights!$C$2:$C$6,$A133,Fact_SortedWeights!$B$2:$B$6,$B133,Fact_SortedWeights!$L$2:$L$6,"No"))=0,0,(SUMIFS(Fact_SortedWeights!$E$2:$E$6,Fact_SortedWeights!$C$2:$C$6,$A133,Fact_SortedWeights!$B$2:$B$6,$B133,Fact_SortedWeights!$D$2:$D$6,$C133,Fact_SortedWeights!$L$2:$L$6,"No"))/(SUMIFS(Fact_SortedWeights!$E$2:$E$6,Fact_SortedWeights!$C$2:$C$6,$A133,Fact_SortedWeights!$B$2:$B$6,$B133,Fact_SortedWeights!$L$2:$L$6,"No"))*((SUMIFS(Fact_PreSortWeights!$E$2:$E$15,Fact_PreSortWeights!$C$2:$C$15,$A133,Fact_PreSortWeights!$B$2:$B$15,$B133,Fact_PreSortWeights!$F$2:$F$15,""))-(SUMIFS(Fact_SortedWeights!$E$2:$E$6,Fact_SortedWeights!$C$2:$C$6,$A133,Fact_SortedWeights!$B$2:$B$6,$B133,Fact_SortedWeights!$L$2:$L$6,"Yes"))))</f>
        <v>0</v>
      </c>
      <c r="G133" s="0" t="n">
        <f aca="false">IF(AND(IF($B133="Trash",INDEX('Materials Master'!$F$2:$F$27,MATCH($C133,'Materials Master'!$A$2:$A$27,0)),IF($B133="GMPC Recycling",INDEX('Materials Master'!$G$2:$G$27,MATCH($C133,'Materials Master'!$A$2:$A$27,0)),IF($B133="Organics Recycling",INDEX('Materials Master'!$H$2:$H$27,MATCH($C133,'Materials Master'!$A$2:$A$27,0)),IF($B133="Cardboard Recycling",INDEX('Materials Master'!$I$2:$I$27,MATCH($C133,'Materials Master'!$A$2:$A$27,0)),IF($B133="Paper Recycling",INDEX('Materials Master'!$J$2:$J$27,MATCH($C133,'Materials Master'!$A$2:$A$27,0)),IF($B133="Terracycle",INDEX('Materials Master'!$K$2:$K$27,MATCH($C133,'Materials Master'!$A$2:$A$27,0)),"No"))))))="Yes",INDEX('Materials Master'!$E$2:$E$27,MATCH($C133,'Materials Master'!$A$2:$A$27,0))="Yes",$B133&lt;&gt;"Trash"),1,0)</f>
        <v>0</v>
      </c>
      <c r="H133" s="0" t="str">
        <f aca="false">INDEX('Materials Master'!$E$2:$E$27,MATCH($C133,'Materials Master'!$A$2:$A$27,0))</f>
        <v>No</v>
      </c>
      <c r="I133" s="0" t="str">
        <f aca="false">IFERROR(INDEX(Areas!$C$2:$C$6,MATCH($A133,Areas!$B$2:$B$6,0)),"")</f>
        <v>Rest of Building</v>
      </c>
      <c r="J133" s="0" t="n">
        <f aca="false">IF(IF($B133="Trash",INDEX('Materials Master'!$F$2:$F$27,MATCH($C133,'Materials Master'!$A$2:$A$27,0)),IF($B133="GMPC Recycling",INDEX('Materials Master'!$G$2:$G$27,MATCH($C133,'Materials Master'!$A$2:$A$27,0)),IF($B133="Organics Recycling",INDEX('Materials Master'!$H$2:$H$27,MATCH($C133,'Materials Master'!$A$2:$A$27,0)),IF($B133="Cardboard Recycling",INDEX('Materials Master'!$I$2:$I$27,MATCH($C133,'Materials Master'!$A$2:$A$27,0)),IF($B133="Paper Recycling",INDEX('Materials Master'!$J$2:$J$27,MATCH($C133,'Materials Master'!$A$2:$A$27,0)),IF($B133="Terracycle",INDEX('Materials Master'!$K$2:$K$27,MATCH($C133,'Materials Master'!$A$2:$A$27,0)),"No"))))))="Yes",1,0)</f>
        <v>0</v>
      </c>
    </row>
    <row r="134" customFormat="false" ht="15" hidden="false" customHeight="false" outlineLevel="0" collapsed="false">
      <c r="A134" s="0" t="s">
        <v>91</v>
      </c>
      <c r="B134" s="0" t="s">
        <v>108</v>
      </c>
      <c r="C134" s="0" t="s">
        <v>33</v>
      </c>
      <c r="D134" s="0" t="str">
        <f aca="false">IFERROR(INDEX('Materials Master'!$B$2:$B$27,MATCH($C134,'Materials Master'!$A$2:$A$27,0)),"")</f>
        <v>Waxed Cardboard</v>
      </c>
      <c r="E134" s="0" t="str">
        <f aca="false">IFERROR(INDEX('Materials Master'!$C$2:$C$27,MATCH($C134,'Materials Master'!$A$2:$A$27,0)),"")</f>
        <v>Fibers</v>
      </c>
      <c r="F134" s="0" t="n">
        <f aca="false">(SUMIFS(Fact_PreSortWeights!$E$2:$E$15,Fact_PreSortWeights!$C$2:$C$15,$A134,Fact_PreSortWeights!$B$2:$B$15,$B134,Fact_PreSortWeights!$F$2:$F$15,$C134))+(SUMIFS(Fact_SortedWeights!$E$2:$E$6,Fact_SortedWeights!$C$2:$C$6,$A134,Fact_SortedWeights!$B$2:$B$6,$B134,Fact_SortedWeights!$D$2:$D$6,$C134,Fact_SortedWeights!$L$2:$L$6,"Yes"))+IF((SUMIFS(Fact_SortedWeights!$E$2:$E$6,Fact_SortedWeights!$C$2:$C$6,$A134,Fact_SortedWeights!$B$2:$B$6,$B134,Fact_SortedWeights!$L$2:$L$6,"No"))=0,0,(SUMIFS(Fact_SortedWeights!$E$2:$E$6,Fact_SortedWeights!$C$2:$C$6,$A134,Fact_SortedWeights!$B$2:$B$6,$B134,Fact_SortedWeights!$D$2:$D$6,$C134,Fact_SortedWeights!$L$2:$L$6,"No"))/(SUMIFS(Fact_SortedWeights!$E$2:$E$6,Fact_SortedWeights!$C$2:$C$6,$A134,Fact_SortedWeights!$B$2:$B$6,$B134,Fact_SortedWeights!$L$2:$L$6,"No"))*((SUMIFS(Fact_PreSortWeights!$E$2:$E$15,Fact_PreSortWeights!$C$2:$C$15,$A134,Fact_PreSortWeights!$B$2:$B$15,$B134,Fact_PreSortWeights!$F$2:$F$15,""))-(SUMIFS(Fact_SortedWeights!$E$2:$E$6,Fact_SortedWeights!$C$2:$C$6,$A134,Fact_SortedWeights!$B$2:$B$6,$B134,Fact_SortedWeights!$L$2:$L$6,"Yes"))))</f>
        <v>0</v>
      </c>
      <c r="G134" s="0" t="n">
        <f aca="false">IF(AND(IF($B134="Trash",INDEX('Materials Master'!$F$2:$F$27,MATCH($C134,'Materials Master'!$A$2:$A$27,0)),IF($B134="GMPC Recycling",INDEX('Materials Master'!$G$2:$G$27,MATCH($C134,'Materials Master'!$A$2:$A$27,0)),IF($B134="Organics Recycling",INDEX('Materials Master'!$H$2:$H$27,MATCH($C134,'Materials Master'!$A$2:$A$27,0)),IF($B134="Cardboard Recycling",INDEX('Materials Master'!$I$2:$I$27,MATCH($C134,'Materials Master'!$A$2:$A$27,0)),IF($B134="Paper Recycling",INDEX('Materials Master'!$J$2:$J$27,MATCH($C134,'Materials Master'!$A$2:$A$27,0)),IF($B134="Terracycle",INDEX('Materials Master'!$K$2:$K$27,MATCH($C134,'Materials Master'!$A$2:$A$27,0)),"No"))))))="Yes",INDEX('Materials Master'!$E$2:$E$27,MATCH($C134,'Materials Master'!$A$2:$A$27,0))="Yes",$B134&lt;&gt;"Trash"),1,0)</f>
        <v>0</v>
      </c>
      <c r="H134" s="0" t="str">
        <f aca="false">INDEX('Materials Master'!$E$2:$E$27,MATCH($C134,'Materials Master'!$A$2:$A$27,0))</f>
        <v>No</v>
      </c>
      <c r="I134" s="0" t="str">
        <f aca="false">IFERROR(INDEX(Areas!$C$2:$C$6,MATCH($A134,Areas!$B$2:$B$6,0)),"")</f>
        <v>Rest of Building</v>
      </c>
      <c r="J134" s="0" t="n">
        <f aca="false">IF(IF($B134="Trash",INDEX('Materials Master'!$F$2:$F$27,MATCH($C134,'Materials Master'!$A$2:$A$27,0)),IF($B134="GMPC Recycling",INDEX('Materials Master'!$G$2:$G$27,MATCH($C134,'Materials Master'!$A$2:$A$27,0)),IF($B134="Organics Recycling",INDEX('Materials Master'!$H$2:$H$27,MATCH($C134,'Materials Master'!$A$2:$A$27,0)),IF($B134="Cardboard Recycling",INDEX('Materials Master'!$I$2:$I$27,MATCH($C134,'Materials Master'!$A$2:$A$27,0)),IF($B134="Paper Recycling",INDEX('Materials Master'!$J$2:$J$27,MATCH($C134,'Materials Master'!$A$2:$A$27,0)),IF($B134="Terracycle",INDEX('Materials Master'!$K$2:$K$27,MATCH($C134,'Materials Master'!$A$2:$A$27,0)),"No"))))))="Yes",1,0)</f>
        <v>0</v>
      </c>
    </row>
    <row r="135" customFormat="false" ht="15" hidden="false" customHeight="false" outlineLevel="0" collapsed="false">
      <c r="A135" s="0" t="s">
        <v>91</v>
      </c>
      <c r="B135" s="0" t="s">
        <v>108</v>
      </c>
      <c r="C135" s="0" t="s">
        <v>35</v>
      </c>
      <c r="D135" s="0" t="str">
        <f aca="false">IFERROR(INDEX('Materials Master'!$B$2:$B$27,MATCH($C135,'Materials Master'!$A$2:$A$27,0)),"")</f>
        <v>Mixed Paper</v>
      </c>
      <c r="E135" s="0" t="str">
        <f aca="false">IFERROR(INDEX('Materials Master'!$C$2:$C$27,MATCH($C135,'Materials Master'!$A$2:$A$27,0)),"")</f>
        <v>Fibers</v>
      </c>
      <c r="F135" s="0" t="n">
        <f aca="false">(SUMIFS(Fact_PreSortWeights!$E$2:$E$15,Fact_PreSortWeights!$C$2:$C$15,$A135,Fact_PreSortWeights!$B$2:$B$15,$B135,Fact_PreSortWeights!$F$2:$F$15,$C135))+(SUMIFS(Fact_SortedWeights!$E$2:$E$6,Fact_SortedWeights!$C$2:$C$6,$A135,Fact_SortedWeights!$B$2:$B$6,$B135,Fact_SortedWeights!$D$2:$D$6,$C135,Fact_SortedWeights!$L$2:$L$6,"Yes"))+IF((SUMIFS(Fact_SortedWeights!$E$2:$E$6,Fact_SortedWeights!$C$2:$C$6,$A135,Fact_SortedWeights!$B$2:$B$6,$B135,Fact_SortedWeights!$L$2:$L$6,"No"))=0,0,(SUMIFS(Fact_SortedWeights!$E$2:$E$6,Fact_SortedWeights!$C$2:$C$6,$A135,Fact_SortedWeights!$B$2:$B$6,$B135,Fact_SortedWeights!$D$2:$D$6,$C135,Fact_SortedWeights!$L$2:$L$6,"No"))/(SUMIFS(Fact_SortedWeights!$E$2:$E$6,Fact_SortedWeights!$C$2:$C$6,$A135,Fact_SortedWeights!$B$2:$B$6,$B135,Fact_SortedWeights!$L$2:$L$6,"No"))*((SUMIFS(Fact_PreSortWeights!$E$2:$E$15,Fact_PreSortWeights!$C$2:$C$15,$A135,Fact_PreSortWeights!$B$2:$B$15,$B135,Fact_PreSortWeights!$F$2:$F$15,""))-(SUMIFS(Fact_SortedWeights!$E$2:$E$6,Fact_SortedWeights!$C$2:$C$6,$A135,Fact_SortedWeights!$B$2:$B$6,$B135,Fact_SortedWeights!$L$2:$L$6,"Yes"))))</f>
        <v>0</v>
      </c>
      <c r="G135" s="0" t="n">
        <f aca="false">IF(AND(IF($B135="Trash",INDEX('Materials Master'!$F$2:$F$27,MATCH($C135,'Materials Master'!$A$2:$A$27,0)),IF($B135="GMPC Recycling",INDEX('Materials Master'!$G$2:$G$27,MATCH($C135,'Materials Master'!$A$2:$A$27,0)),IF($B135="Organics Recycling",INDEX('Materials Master'!$H$2:$H$27,MATCH($C135,'Materials Master'!$A$2:$A$27,0)),IF($B135="Cardboard Recycling",INDEX('Materials Master'!$I$2:$I$27,MATCH($C135,'Materials Master'!$A$2:$A$27,0)),IF($B135="Paper Recycling",INDEX('Materials Master'!$J$2:$J$27,MATCH($C135,'Materials Master'!$A$2:$A$27,0)),IF($B135="Terracycle",INDEX('Materials Master'!$K$2:$K$27,MATCH($C135,'Materials Master'!$A$2:$A$27,0)),"No"))))))="Yes",INDEX('Materials Master'!$E$2:$E$27,MATCH($C135,'Materials Master'!$A$2:$A$27,0))="Yes",$B135&lt;&gt;"Trash"),1,0)</f>
        <v>0</v>
      </c>
      <c r="H135" s="0" t="str">
        <f aca="false">INDEX('Materials Master'!$E$2:$E$27,MATCH($C135,'Materials Master'!$A$2:$A$27,0))</f>
        <v>Yes</v>
      </c>
      <c r="I135" s="0" t="str">
        <f aca="false">IFERROR(INDEX(Areas!$C$2:$C$6,MATCH($A135,Areas!$B$2:$B$6,0)),"")</f>
        <v>Rest of Building</v>
      </c>
      <c r="J135" s="0" t="n">
        <f aca="false">IF(IF($B135="Trash",INDEX('Materials Master'!$F$2:$F$27,MATCH($C135,'Materials Master'!$A$2:$A$27,0)),IF($B135="GMPC Recycling",INDEX('Materials Master'!$G$2:$G$27,MATCH($C135,'Materials Master'!$A$2:$A$27,0)),IF($B135="Organics Recycling",INDEX('Materials Master'!$H$2:$H$27,MATCH($C135,'Materials Master'!$A$2:$A$27,0)),IF($B135="Cardboard Recycling",INDEX('Materials Master'!$I$2:$I$27,MATCH($C135,'Materials Master'!$A$2:$A$27,0)),IF($B135="Paper Recycling",INDEX('Materials Master'!$J$2:$J$27,MATCH($C135,'Materials Master'!$A$2:$A$27,0)),IF($B135="Terracycle",INDEX('Materials Master'!$K$2:$K$27,MATCH($C135,'Materials Master'!$A$2:$A$27,0)),"No"))))))="Yes",1,0)</f>
        <v>0</v>
      </c>
    </row>
    <row r="136" customFormat="false" ht="15" hidden="false" customHeight="false" outlineLevel="0" collapsed="false">
      <c r="A136" s="0" t="s">
        <v>91</v>
      </c>
      <c r="B136" s="0" t="s">
        <v>108</v>
      </c>
      <c r="C136" s="0" t="s">
        <v>37</v>
      </c>
      <c r="D136" s="0" t="str">
        <f aca="false">IFERROR(INDEX('Materials Master'!$B$2:$B$27,MATCH($C136,'Materials Master'!$A$2:$A$27,0)),"")</f>
        <v>Soiled Paper</v>
      </c>
      <c r="E136" s="0" t="str">
        <f aca="false">IFERROR(INDEX('Materials Master'!$C$2:$C$27,MATCH($C136,'Materials Master'!$A$2:$A$27,0)),"")</f>
        <v>Fibers</v>
      </c>
      <c r="F136" s="0" t="n">
        <f aca="false">(SUMIFS(Fact_PreSortWeights!$E$2:$E$15,Fact_PreSortWeights!$C$2:$C$15,$A136,Fact_PreSortWeights!$B$2:$B$15,$B136,Fact_PreSortWeights!$F$2:$F$15,$C136))+(SUMIFS(Fact_SortedWeights!$E$2:$E$6,Fact_SortedWeights!$C$2:$C$6,$A136,Fact_SortedWeights!$B$2:$B$6,$B136,Fact_SortedWeights!$D$2:$D$6,$C136,Fact_SortedWeights!$L$2:$L$6,"Yes"))+IF((SUMIFS(Fact_SortedWeights!$E$2:$E$6,Fact_SortedWeights!$C$2:$C$6,$A136,Fact_SortedWeights!$B$2:$B$6,$B136,Fact_SortedWeights!$L$2:$L$6,"No"))=0,0,(SUMIFS(Fact_SortedWeights!$E$2:$E$6,Fact_SortedWeights!$C$2:$C$6,$A136,Fact_SortedWeights!$B$2:$B$6,$B136,Fact_SortedWeights!$D$2:$D$6,$C136,Fact_SortedWeights!$L$2:$L$6,"No"))/(SUMIFS(Fact_SortedWeights!$E$2:$E$6,Fact_SortedWeights!$C$2:$C$6,$A136,Fact_SortedWeights!$B$2:$B$6,$B136,Fact_SortedWeights!$L$2:$L$6,"No"))*((SUMIFS(Fact_PreSortWeights!$E$2:$E$15,Fact_PreSortWeights!$C$2:$C$15,$A136,Fact_PreSortWeights!$B$2:$B$15,$B136,Fact_PreSortWeights!$F$2:$F$15,""))-(SUMIFS(Fact_SortedWeights!$E$2:$E$6,Fact_SortedWeights!$C$2:$C$6,$A136,Fact_SortedWeights!$B$2:$B$6,$B136,Fact_SortedWeights!$L$2:$L$6,"Yes"))))</f>
        <v>0</v>
      </c>
      <c r="G136" s="0" t="n">
        <f aca="false">IF(AND(IF($B136="Trash",INDEX('Materials Master'!$F$2:$F$27,MATCH($C136,'Materials Master'!$A$2:$A$27,0)),IF($B136="GMPC Recycling",INDEX('Materials Master'!$G$2:$G$27,MATCH($C136,'Materials Master'!$A$2:$A$27,0)),IF($B136="Organics Recycling",INDEX('Materials Master'!$H$2:$H$27,MATCH($C136,'Materials Master'!$A$2:$A$27,0)),IF($B136="Cardboard Recycling",INDEX('Materials Master'!$I$2:$I$27,MATCH($C136,'Materials Master'!$A$2:$A$27,0)),IF($B136="Paper Recycling",INDEX('Materials Master'!$J$2:$J$27,MATCH($C136,'Materials Master'!$A$2:$A$27,0)),IF($B136="Terracycle",INDEX('Materials Master'!$K$2:$K$27,MATCH($C136,'Materials Master'!$A$2:$A$27,0)),"No"))))))="Yes",INDEX('Materials Master'!$E$2:$E$27,MATCH($C136,'Materials Master'!$A$2:$A$27,0))="Yes",$B136&lt;&gt;"Trash"),1,0)</f>
        <v>0</v>
      </c>
      <c r="H136" s="0" t="str">
        <f aca="false">INDEX('Materials Master'!$E$2:$E$27,MATCH($C136,'Materials Master'!$A$2:$A$27,0))</f>
        <v>No</v>
      </c>
      <c r="I136" s="0" t="str">
        <f aca="false">IFERROR(INDEX(Areas!$C$2:$C$6,MATCH($A136,Areas!$B$2:$B$6,0)),"")</f>
        <v>Rest of Building</v>
      </c>
      <c r="J136" s="0" t="n">
        <f aca="false">IF(IF($B136="Trash",INDEX('Materials Master'!$F$2:$F$27,MATCH($C136,'Materials Master'!$A$2:$A$27,0)),IF($B136="GMPC Recycling",INDEX('Materials Master'!$G$2:$G$27,MATCH($C136,'Materials Master'!$A$2:$A$27,0)),IF($B136="Organics Recycling",INDEX('Materials Master'!$H$2:$H$27,MATCH($C136,'Materials Master'!$A$2:$A$27,0)),IF($B136="Cardboard Recycling",INDEX('Materials Master'!$I$2:$I$27,MATCH($C136,'Materials Master'!$A$2:$A$27,0)),IF($B136="Paper Recycling",INDEX('Materials Master'!$J$2:$J$27,MATCH($C136,'Materials Master'!$A$2:$A$27,0)),IF($B136="Terracycle",INDEX('Materials Master'!$K$2:$K$27,MATCH($C136,'Materials Master'!$A$2:$A$27,0)),"No"))))))="Yes",1,0)</f>
        <v>0</v>
      </c>
    </row>
    <row r="137" customFormat="false" ht="15" hidden="false" customHeight="false" outlineLevel="0" collapsed="false">
      <c r="A137" s="0" t="s">
        <v>91</v>
      </c>
      <c r="B137" s="0" t="s">
        <v>108</v>
      </c>
      <c r="C137" s="0" t="s">
        <v>39</v>
      </c>
      <c r="D137" s="0" t="str">
        <f aca="false">IFERROR(INDEX('Materials Master'!$B$2:$B$27,MATCH($C137,'Materials Master'!$A$2:$A$27,0)),"")</f>
        <v>Beverage Cartons</v>
      </c>
      <c r="E137" s="0" t="str">
        <f aca="false">IFERROR(INDEX('Materials Master'!$C$2:$C$27,MATCH($C137,'Materials Master'!$A$2:$A$27,0)),"")</f>
        <v>Fibers</v>
      </c>
      <c r="F137" s="0" t="n">
        <f aca="false">(SUMIFS(Fact_PreSortWeights!$E$2:$E$15,Fact_PreSortWeights!$C$2:$C$15,$A137,Fact_PreSortWeights!$B$2:$B$15,$B137,Fact_PreSortWeights!$F$2:$F$15,$C137))+(SUMIFS(Fact_SortedWeights!$E$2:$E$6,Fact_SortedWeights!$C$2:$C$6,$A137,Fact_SortedWeights!$B$2:$B$6,$B137,Fact_SortedWeights!$D$2:$D$6,$C137,Fact_SortedWeights!$L$2:$L$6,"Yes"))+IF((SUMIFS(Fact_SortedWeights!$E$2:$E$6,Fact_SortedWeights!$C$2:$C$6,$A137,Fact_SortedWeights!$B$2:$B$6,$B137,Fact_SortedWeights!$L$2:$L$6,"No"))=0,0,(SUMIFS(Fact_SortedWeights!$E$2:$E$6,Fact_SortedWeights!$C$2:$C$6,$A137,Fact_SortedWeights!$B$2:$B$6,$B137,Fact_SortedWeights!$D$2:$D$6,$C137,Fact_SortedWeights!$L$2:$L$6,"No"))/(SUMIFS(Fact_SortedWeights!$E$2:$E$6,Fact_SortedWeights!$C$2:$C$6,$A137,Fact_SortedWeights!$B$2:$B$6,$B137,Fact_SortedWeights!$L$2:$L$6,"No"))*((SUMIFS(Fact_PreSortWeights!$E$2:$E$15,Fact_PreSortWeights!$C$2:$C$15,$A137,Fact_PreSortWeights!$B$2:$B$15,$B137,Fact_PreSortWeights!$F$2:$F$15,""))-(SUMIFS(Fact_SortedWeights!$E$2:$E$6,Fact_SortedWeights!$C$2:$C$6,$A137,Fact_SortedWeights!$B$2:$B$6,$B137,Fact_SortedWeights!$L$2:$L$6,"Yes"))))</f>
        <v>0</v>
      </c>
      <c r="G137" s="0" t="n">
        <f aca="false">IF(AND(IF($B137="Trash",INDEX('Materials Master'!$F$2:$F$27,MATCH($C137,'Materials Master'!$A$2:$A$27,0)),IF($B137="GMPC Recycling",INDEX('Materials Master'!$G$2:$G$27,MATCH($C137,'Materials Master'!$A$2:$A$27,0)),IF($B137="Organics Recycling",INDEX('Materials Master'!$H$2:$H$27,MATCH($C137,'Materials Master'!$A$2:$A$27,0)),IF($B137="Cardboard Recycling",INDEX('Materials Master'!$I$2:$I$27,MATCH($C137,'Materials Master'!$A$2:$A$27,0)),IF($B137="Paper Recycling",INDEX('Materials Master'!$J$2:$J$27,MATCH($C137,'Materials Master'!$A$2:$A$27,0)),IF($B137="Terracycle",INDEX('Materials Master'!$K$2:$K$27,MATCH($C137,'Materials Master'!$A$2:$A$27,0)),"No"))))))="Yes",INDEX('Materials Master'!$E$2:$E$27,MATCH($C137,'Materials Master'!$A$2:$A$27,0))="Yes",$B137&lt;&gt;"Trash"),1,0)</f>
        <v>0</v>
      </c>
      <c r="H137" s="0" t="str">
        <f aca="false">INDEX('Materials Master'!$E$2:$E$27,MATCH($C137,'Materials Master'!$A$2:$A$27,0))</f>
        <v>Yes</v>
      </c>
      <c r="I137" s="0" t="str">
        <f aca="false">IFERROR(INDEX(Areas!$C$2:$C$6,MATCH($A137,Areas!$B$2:$B$6,0)),"")</f>
        <v>Rest of Building</v>
      </c>
      <c r="J137" s="0" t="n">
        <f aca="false">IF(IF($B137="Trash",INDEX('Materials Master'!$F$2:$F$27,MATCH($C137,'Materials Master'!$A$2:$A$27,0)),IF($B137="GMPC Recycling",INDEX('Materials Master'!$G$2:$G$27,MATCH($C137,'Materials Master'!$A$2:$A$27,0)),IF($B137="Organics Recycling",INDEX('Materials Master'!$H$2:$H$27,MATCH($C137,'Materials Master'!$A$2:$A$27,0)),IF($B137="Cardboard Recycling",INDEX('Materials Master'!$I$2:$I$27,MATCH($C137,'Materials Master'!$A$2:$A$27,0)),IF($B137="Paper Recycling",INDEX('Materials Master'!$J$2:$J$27,MATCH($C137,'Materials Master'!$A$2:$A$27,0)),IF($B137="Terracycle",INDEX('Materials Master'!$K$2:$K$27,MATCH($C137,'Materials Master'!$A$2:$A$27,0)),"No"))))))="Yes",1,0)</f>
        <v>0</v>
      </c>
    </row>
    <row r="138" customFormat="false" ht="15" hidden="false" customHeight="false" outlineLevel="0" collapsed="false">
      <c r="A138" s="0" t="s">
        <v>91</v>
      </c>
      <c r="B138" s="0" t="s">
        <v>108</v>
      </c>
      <c r="C138" s="0" t="s">
        <v>41</v>
      </c>
      <c r="D138" s="0" t="str">
        <f aca="false">IFERROR(INDEX('Materials Master'!$B$2:$B$27,MATCH($C138,'Materials Master'!$A$2:$A$27,0)),"")</f>
        <v>Soiled Beverage Cartons</v>
      </c>
      <c r="E138" s="0" t="str">
        <f aca="false">IFERROR(INDEX('Materials Master'!$C$2:$C$27,MATCH($C138,'Materials Master'!$A$2:$A$27,0)),"")</f>
        <v>Fibers</v>
      </c>
      <c r="F138" s="0" t="n">
        <f aca="false">(SUMIFS(Fact_PreSortWeights!$E$2:$E$15,Fact_PreSortWeights!$C$2:$C$15,$A138,Fact_PreSortWeights!$B$2:$B$15,$B138,Fact_PreSortWeights!$F$2:$F$15,$C138))+(SUMIFS(Fact_SortedWeights!$E$2:$E$6,Fact_SortedWeights!$C$2:$C$6,$A138,Fact_SortedWeights!$B$2:$B$6,$B138,Fact_SortedWeights!$D$2:$D$6,$C138,Fact_SortedWeights!$L$2:$L$6,"Yes"))+IF((SUMIFS(Fact_SortedWeights!$E$2:$E$6,Fact_SortedWeights!$C$2:$C$6,$A138,Fact_SortedWeights!$B$2:$B$6,$B138,Fact_SortedWeights!$L$2:$L$6,"No"))=0,0,(SUMIFS(Fact_SortedWeights!$E$2:$E$6,Fact_SortedWeights!$C$2:$C$6,$A138,Fact_SortedWeights!$B$2:$B$6,$B138,Fact_SortedWeights!$D$2:$D$6,$C138,Fact_SortedWeights!$L$2:$L$6,"No"))/(SUMIFS(Fact_SortedWeights!$E$2:$E$6,Fact_SortedWeights!$C$2:$C$6,$A138,Fact_SortedWeights!$B$2:$B$6,$B138,Fact_SortedWeights!$L$2:$L$6,"No"))*((SUMIFS(Fact_PreSortWeights!$E$2:$E$15,Fact_PreSortWeights!$C$2:$C$15,$A138,Fact_PreSortWeights!$B$2:$B$15,$B138,Fact_PreSortWeights!$F$2:$F$15,""))-(SUMIFS(Fact_SortedWeights!$E$2:$E$6,Fact_SortedWeights!$C$2:$C$6,$A138,Fact_SortedWeights!$B$2:$B$6,$B138,Fact_SortedWeights!$L$2:$L$6,"Yes"))))</f>
        <v>0</v>
      </c>
      <c r="G138" s="0" t="n">
        <f aca="false">IF(AND(IF($B138="Trash",INDEX('Materials Master'!$F$2:$F$27,MATCH($C138,'Materials Master'!$A$2:$A$27,0)),IF($B138="GMPC Recycling",INDEX('Materials Master'!$G$2:$G$27,MATCH($C138,'Materials Master'!$A$2:$A$27,0)),IF($B138="Organics Recycling",INDEX('Materials Master'!$H$2:$H$27,MATCH($C138,'Materials Master'!$A$2:$A$27,0)),IF($B138="Cardboard Recycling",INDEX('Materials Master'!$I$2:$I$27,MATCH($C138,'Materials Master'!$A$2:$A$27,0)),IF($B138="Paper Recycling",INDEX('Materials Master'!$J$2:$J$27,MATCH($C138,'Materials Master'!$A$2:$A$27,0)),IF($B138="Terracycle",INDEX('Materials Master'!$K$2:$K$27,MATCH($C138,'Materials Master'!$A$2:$A$27,0)),"No"))))))="Yes",INDEX('Materials Master'!$E$2:$E$27,MATCH($C138,'Materials Master'!$A$2:$A$27,0))="Yes",$B138&lt;&gt;"Trash"),1,0)</f>
        <v>0</v>
      </c>
      <c r="H138" s="0" t="str">
        <f aca="false">INDEX('Materials Master'!$E$2:$E$27,MATCH($C138,'Materials Master'!$A$2:$A$27,0))</f>
        <v>No</v>
      </c>
      <c r="I138" s="0" t="str">
        <f aca="false">IFERROR(INDEX(Areas!$C$2:$C$6,MATCH($A138,Areas!$B$2:$B$6,0)),"")</f>
        <v>Rest of Building</v>
      </c>
      <c r="J138" s="0" t="n">
        <f aca="false">IF(IF($B138="Trash",INDEX('Materials Master'!$F$2:$F$27,MATCH($C138,'Materials Master'!$A$2:$A$27,0)),IF($B138="GMPC Recycling",INDEX('Materials Master'!$G$2:$G$27,MATCH($C138,'Materials Master'!$A$2:$A$27,0)),IF($B138="Organics Recycling",INDEX('Materials Master'!$H$2:$H$27,MATCH($C138,'Materials Master'!$A$2:$A$27,0)),IF($B138="Cardboard Recycling",INDEX('Materials Master'!$I$2:$I$27,MATCH($C138,'Materials Master'!$A$2:$A$27,0)),IF($B138="Paper Recycling",INDEX('Materials Master'!$J$2:$J$27,MATCH($C138,'Materials Master'!$A$2:$A$27,0)),IF($B138="Terracycle",INDEX('Materials Master'!$K$2:$K$27,MATCH($C138,'Materials Master'!$A$2:$A$27,0)),"No"))))))="Yes",1,0)</f>
        <v>0</v>
      </c>
    </row>
    <row r="139" customFormat="false" ht="15" hidden="false" customHeight="false" outlineLevel="0" collapsed="false">
      <c r="A139" s="0" t="s">
        <v>91</v>
      </c>
      <c r="B139" s="0" t="s">
        <v>108</v>
      </c>
      <c r="C139" s="0" t="s">
        <v>43</v>
      </c>
      <c r="D139" s="0" t="str">
        <f aca="false">IFERROR(INDEX('Materials Master'!$B$2:$B$27,MATCH($C139,'Materials Master'!$A$2:$A$27,0)),"")</f>
        <v>Paper Cups / Other Coated Paper Containers</v>
      </c>
      <c r="E139" s="0" t="str">
        <f aca="false">IFERROR(INDEX('Materials Master'!$C$2:$C$27,MATCH($C139,'Materials Master'!$A$2:$A$27,0)),"")</f>
        <v>Fibers</v>
      </c>
      <c r="F139" s="0" t="n">
        <f aca="false">(SUMIFS(Fact_PreSortWeights!$E$2:$E$15,Fact_PreSortWeights!$C$2:$C$15,$A139,Fact_PreSortWeights!$B$2:$B$15,$B139,Fact_PreSortWeights!$F$2:$F$15,$C139))+(SUMIFS(Fact_SortedWeights!$E$2:$E$6,Fact_SortedWeights!$C$2:$C$6,$A139,Fact_SortedWeights!$B$2:$B$6,$B139,Fact_SortedWeights!$D$2:$D$6,$C139,Fact_SortedWeights!$L$2:$L$6,"Yes"))+IF((SUMIFS(Fact_SortedWeights!$E$2:$E$6,Fact_SortedWeights!$C$2:$C$6,$A139,Fact_SortedWeights!$B$2:$B$6,$B139,Fact_SortedWeights!$L$2:$L$6,"No"))=0,0,(SUMIFS(Fact_SortedWeights!$E$2:$E$6,Fact_SortedWeights!$C$2:$C$6,$A139,Fact_SortedWeights!$B$2:$B$6,$B139,Fact_SortedWeights!$D$2:$D$6,$C139,Fact_SortedWeights!$L$2:$L$6,"No"))/(SUMIFS(Fact_SortedWeights!$E$2:$E$6,Fact_SortedWeights!$C$2:$C$6,$A139,Fact_SortedWeights!$B$2:$B$6,$B139,Fact_SortedWeights!$L$2:$L$6,"No"))*((SUMIFS(Fact_PreSortWeights!$E$2:$E$15,Fact_PreSortWeights!$C$2:$C$15,$A139,Fact_PreSortWeights!$B$2:$B$15,$B139,Fact_PreSortWeights!$F$2:$F$15,""))-(SUMIFS(Fact_SortedWeights!$E$2:$E$6,Fact_SortedWeights!$C$2:$C$6,$A139,Fact_SortedWeights!$B$2:$B$6,$B139,Fact_SortedWeights!$L$2:$L$6,"Yes"))))</f>
        <v>0</v>
      </c>
      <c r="G139" s="0" t="n">
        <f aca="false">IF(AND(IF($B139="Trash",INDEX('Materials Master'!$F$2:$F$27,MATCH($C139,'Materials Master'!$A$2:$A$27,0)),IF($B139="GMPC Recycling",INDEX('Materials Master'!$G$2:$G$27,MATCH($C139,'Materials Master'!$A$2:$A$27,0)),IF($B139="Organics Recycling",INDEX('Materials Master'!$H$2:$H$27,MATCH($C139,'Materials Master'!$A$2:$A$27,0)),IF($B139="Cardboard Recycling",INDEX('Materials Master'!$I$2:$I$27,MATCH($C139,'Materials Master'!$A$2:$A$27,0)),IF($B139="Paper Recycling",INDEX('Materials Master'!$J$2:$J$27,MATCH($C139,'Materials Master'!$A$2:$A$27,0)),IF($B139="Terracycle",INDEX('Materials Master'!$K$2:$K$27,MATCH($C139,'Materials Master'!$A$2:$A$27,0)),"No"))))))="Yes",INDEX('Materials Master'!$E$2:$E$27,MATCH($C139,'Materials Master'!$A$2:$A$27,0))="Yes",$B139&lt;&gt;"Trash"),1,0)</f>
        <v>0</v>
      </c>
      <c r="H139" s="0" t="str">
        <f aca="false">INDEX('Materials Master'!$E$2:$E$27,MATCH($C139,'Materials Master'!$A$2:$A$27,0))</f>
        <v>No</v>
      </c>
      <c r="I139" s="0" t="str">
        <f aca="false">IFERROR(INDEX(Areas!$C$2:$C$6,MATCH($A139,Areas!$B$2:$B$6,0)),"")</f>
        <v>Rest of Building</v>
      </c>
      <c r="J139" s="0" t="n">
        <f aca="false">IF(IF($B139="Trash",INDEX('Materials Master'!$F$2:$F$27,MATCH($C139,'Materials Master'!$A$2:$A$27,0)),IF($B139="GMPC Recycling",INDEX('Materials Master'!$G$2:$G$27,MATCH($C139,'Materials Master'!$A$2:$A$27,0)),IF($B139="Organics Recycling",INDEX('Materials Master'!$H$2:$H$27,MATCH($C139,'Materials Master'!$A$2:$A$27,0)),IF($B139="Cardboard Recycling",INDEX('Materials Master'!$I$2:$I$27,MATCH($C139,'Materials Master'!$A$2:$A$27,0)),IF($B139="Paper Recycling",INDEX('Materials Master'!$J$2:$J$27,MATCH($C139,'Materials Master'!$A$2:$A$27,0)),IF($B139="Terracycle",INDEX('Materials Master'!$K$2:$K$27,MATCH($C139,'Materials Master'!$A$2:$A$27,0)),"No"))))))="Yes",1,0)</f>
        <v>0</v>
      </c>
    </row>
    <row r="140" customFormat="false" ht="15" hidden="false" customHeight="false" outlineLevel="0" collapsed="false">
      <c r="A140" s="0" t="s">
        <v>91</v>
      </c>
      <c r="B140" s="0" t="s">
        <v>108</v>
      </c>
      <c r="C140" s="0" t="s">
        <v>45</v>
      </c>
      <c r="D140" s="0" t="str">
        <f aca="false">IFERROR(INDEX('Materials Master'!$B$2:$B$27,MATCH($C140,'Materials Master'!$A$2:$A$27,0)),"")</f>
        <v>Glass Bottles &amp; Jars</v>
      </c>
      <c r="E140" s="0" t="str">
        <f aca="false">IFERROR(INDEX('Materials Master'!$C$2:$C$27,MATCH($C140,'Materials Master'!$A$2:$A$27,0)),"")</f>
        <v>Glass</v>
      </c>
      <c r="F140" s="0" t="n">
        <f aca="false">(SUMIFS(Fact_PreSortWeights!$E$2:$E$15,Fact_PreSortWeights!$C$2:$C$15,$A140,Fact_PreSortWeights!$B$2:$B$15,$B140,Fact_PreSortWeights!$F$2:$F$15,$C140))+(SUMIFS(Fact_SortedWeights!$E$2:$E$6,Fact_SortedWeights!$C$2:$C$6,$A140,Fact_SortedWeights!$B$2:$B$6,$B140,Fact_SortedWeights!$D$2:$D$6,$C140,Fact_SortedWeights!$L$2:$L$6,"Yes"))+IF((SUMIFS(Fact_SortedWeights!$E$2:$E$6,Fact_SortedWeights!$C$2:$C$6,$A140,Fact_SortedWeights!$B$2:$B$6,$B140,Fact_SortedWeights!$L$2:$L$6,"No"))=0,0,(SUMIFS(Fact_SortedWeights!$E$2:$E$6,Fact_SortedWeights!$C$2:$C$6,$A140,Fact_SortedWeights!$B$2:$B$6,$B140,Fact_SortedWeights!$D$2:$D$6,$C140,Fact_SortedWeights!$L$2:$L$6,"No"))/(SUMIFS(Fact_SortedWeights!$E$2:$E$6,Fact_SortedWeights!$C$2:$C$6,$A140,Fact_SortedWeights!$B$2:$B$6,$B140,Fact_SortedWeights!$L$2:$L$6,"No"))*((SUMIFS(Fact_PreSortWeights!$E$2:$E$15,Fact_PreSortWeights!$C$2:$C$15,$A140,Fact_PreSortWeights!$B$2:$B$15,$B140,Fact_PreSortWeights!$F$2:$F$15,""))-(SUMIFS(Fact_SortedWeights!$E$2:$E$6,Fact_SortedWeights!$C$2:$C$6,$A140,Fact_SortedWeights!$B$2:$B$6,$B140,Fact_SortedWeights!$L$2:$L$6,"Yes"))))</f>
        <v>0</v>
      </c>
      <c r="G140" s="0" t="n">
        <f aca="false">IF(AND(IF($B140="Trash",INDEX('Materials Master'!$F$2:$F$27,MATCH($C140,'Materials Master'!$A$2:$A$27,0)),IF($B140="GMPC Recycling",INDEX('Materials Master'!$G$2:$G$27,MATCH($C140,'Materials Master'!$A$2:$A$27,0)),IF($B140="Organics Recycling",INDEX('Materials Master'!$H$2:$H$27,MATCH($C140,'Materials Master'!$A$2:$A$27,0)),IF($B140="Cardboard Recycling",INDEX('Materials Master'!$I$2:$I$27,MATCH($C140,'Materials Master'!$A$2:$A$27,0)),IF($B140="Paper Recycling",INDEX('Materials Master'!$J$2:$J$27,MATCH($C140,'Materials Master'!$A$2:$A$27,0)),IF($B140="Terracycle",INDEX('Materials Master'!$K$2:$K$27,MATCH($C140,'Materials Master'!$A$2:$A$27,0)),"No"))))))="Yes",INDEX('Materials Master'!$E$2:$E$27,MATCH($C140,'Materials Master'!$A$2:$A$27,0))="Yes",$B140&lt;&gt;"Trash"),1,0)</f>
        <v>0</v>
      </c>
      <c r="H140" s="0" t="str">
        <f aca="false">INDEX('Materials Master'!$E$2:$E$27,MATCH($C140,'Materials Master'!$A$2:$A$27,0))</f>
        <v>Yes</v>
      </c>
      <c r="I140" s="0" t="str">
        <f aca="false">IFERROR(INDEX(Areas!$C$2:$C$6,MATCH($A140,Areas!$B$2:$B$6,0)),"")</f>
        <v>Rest of Building</v>
      </c>
      <c r="J140" s="0" t="n">
        <f aca="false">IF(IF($B140="Trash",INDEX('Materials Master'!$F$2:$F$27,MATCH($C140,'Materials Master'!$A$2:$A$27,0)),IF($B140="GMPC Recycling",INDEX('Materials Master'!$G$2:$G$27,MATCH($C140,'Materials Master'!$A$2:$A$27,0)),IF($B140="Organics Recycling",INDEX('Materials Master'!$H$2:$H$27,MATCH($C140,'Materials Master'!$A$2:$A$27,0)),IF($B140="Cardboard Recycling",INDEX('Materials Master'!$I$2:$I$27,MATCH($C140,'Materials Master'!$A$2:$A$27,0)),IF($B140="Paper Recycling",INDEX('Materials Master'!$J$2:$J$27,MATCH($C140,'Materials Master'!$A$2:$A$27,0)),IF($B140="Terracycle",INDEX('Materials Master'!$K$2:$K$27,MATCH($C140,'Materials Master'!$A$2:$A$27,0)),"No"))))))="Yes",1,0)</f>
        <v>0</v>
      </c>
    </row>
    <row r="141" customFormat="false" ht="15" hidden="false" customHeight="false" outlineLevel="0" collapsed="false">
      <c r="A141" s="0" t="s">
        <v>91</v>
      </c>
      <c r="B141" s="0" t="s">
        <v>108</v>
      </c>
      <c r="C141" s="0" t="s">
        <v>48</v>
      </c>
      <c r="D141" s="0" t="str">
        <f aca="false">IFERROR(INDEX('Materials Master'!$B$2:$B$27,MATCH($C141,'Materials Master'!$A$2:$A$27,0)),"")</f>
        <v>Soiled Glass</v>
      </c>
      <c r="E141" s="0" t="str">
        <f aca="false">IFERROR(INDEX('Materials Master'!$C$2:$C$27,MATCH($C141,'Materials Master'!$A$2:$A$27,0)),"")</f>
        <v>Glass</v>
      </c>
      <c r="F141" s="0" t="n">
        <f aca="false">(SUMIFS(Fact_PreSortWeights!$E$2:$E$15,Fact_PreSortWeights!$C$2:$C$15,$A141,Fact_PreSortWeights!$B$2:$B$15,$B141,Fact_PreSortWeights!$F$2:$F$15,$C141))+(SUMIFS(Fact_SortedWeights!$E$2:$E$6,Fact_SortedWeights!$C$2:$C$6,$A141,Fact_SortedWeights!$B$2:$B$6,$B141,Fact_SortedWeights!$D$2:$D$6,$C141,Fact_SortedWeights!$L$2:$L$6,"Yes"))+IF((SUMIFS(Fact_SortedWeights!$E$2:$E$6,Fact_SortedWeights!$C$2:$C$6,$A141,Fact_SortedWeights!$B$2:$B$6,$B141,Fact_SortedWeights!$L$2:$L$6,"No"))=0,0,(SUMIFS(Fact_SortedWeights!$E$2:$E$6,Fact_SortedWeights!$C$2:$C$6,$A141,Fact_SortedWeights!$B$2:$B$6,$B141,Fact_SortedWeights!$D$2:$D$6,$C141,Fact_SortedWeights!$L$2:$L$6,"No"))/(SUMIFS(Fact_SortedWeights!$E$2:$E$6,Fact_SortedWeights!$C$2:$C$6,$A141,Fact_SortedWeights!$B$2:$B$6,$B141,Fact_SortedWeights!$L$2:$L$6,"No"))*((SUMIFS(Fact_PreSortWeights!$E$2:$E$15,Fact_PreSortWeights!$C$2:$C$15,$A141,Fact_PreSortWeights!$B$2:$B$15,$B141,Fact_PreSortWeights!$F$2:$F$15,""))-(SUMIFS(Fact_SortedWeights!$E$2:$E$6,Fact_SortedWeights!$C$2:$C$6,$A141,Fact_SortedWeights!$B$2:$B$6,$B141,Fact_SortedWeights!$L$2:$L$6,"Yes"))))</f>
        <v>0</v>
      </c>
      <c r="G141" s="0" t="n">
        <f aca="false">IF(AND(IF($B141="Trash",INDEX('Materials Master'!$F$2:$F$27,MATCH($C141,'Materials Master'!$A$2:$A$27,0)),IF($B141="GMPC Recycling",INDEX('Materials Master'!$G$2:$G$27,MATCH($C141,'Materials Master'!$A$2:$A$27,0)),IF($B141="Organics Recycling",INDEX('Materials Master'!$H$2:$H$27,MATCH($C141,'Materials Master'!$A$2:$A$27,0)),IF($B141="Cardboard Recycling",INDEX('Materials Master'!$I$2:$I$27,MATCH($C141,'Materials Master'!$A$2:$A$27,0)),IF($B141="Paper Recycling",INDEX('Materials Master'!$J$2:$J$27,MATCH($C141,'Materials Master'!$A$2:$A$27,0)),IF($B141="Terracycle",INDEX('Materials Master'!$K$2:$K$27,MATCH($C141,'Materials Master'!$A$2:$A$27,0)),"No"))))))="Yes",INDEX('Materials Master'!$E$2:$E$27,MATCH($C141,'Materials Master'!$A$2:$A$27,0))="Yes",$B141&lt;&gt;"Trash"),1,0)</f>
        <v>0</v>
      </c>
      <c r="H141" s="0" t="str">
        <f aca="false">INDEX('Materials Master'!$E$2:$E$27,MATCH($C141,'Materials Master'!$A$2:$A$27,0))</f>
        <v>No</v>
      </c>
      <c r="I141" s="0" t="str">
        <f aca="false">IFERROR(INDEX(Areas!$C$2:$C$6,MATCH($A141,Areas!$B$2:$B$6,0)),"")</f>
        <v>Rest of Building</v>
      </c>
      <c r="J141" s="0" t="n">
        <f aca="false">IF(IF($B141="Trash",INDEX('Materials Master'!$F$2:$F$27,MATCH($C141,'Materials Master'!$A$2:$A$27,0)),IF($B141="GMPC Recycling",INDEX('Materials Master'!$G$2:$G$27,MATCH($C141,'Materials Master'!$A$2:$A$27,0)),IF($B141="Organics Recycling",INDEX('Materials Master'!$H$2:$H$27,MATCH($C141,'Materials Master'!$A$2:$A$27,0)),IF($B141="Cardboard Recycling",INDEX('Materials Master'!$I$2:$I$27,MATCH($C141,'Materials Master'!$A$2:$A$27,0)),IF($B141="Paper Recycling",INDEX('Materials Master'!$J$2:$J$27,MATCH($C141,'Materials Master'!$A$2:$A$27,0)),IF($B141="Terracycle",INDEX('Materials Master'!$K$2:$K$27,MATCH($C141,'Materials Master'!$A$2:$A$27,0)),"No"))))))="Yes",1,0)</f>
        <v>0</v>
      </c>
    </row>
    <row r="142" customFormat="false" ht="15" hidden="false" customHeight="false" outlineLevel="0" collapsed="false">
      <c r="A142" s="0" t="s">
        <v>91</v>
      </c>
      <c r="B142" s="0" t="s">
        <v>108</v>
      </c>
      <c r="C142" s="0" t="s">
        <v>50</v>
      </c>
      <c r="D142" s="0" t="str">
        <f aca="false">IFERROR(INDEX('Materials Master'!$B$2:$B$27,MATCH($C142,'Materials Master'!$A$2:$A$27,0)),"")</f>
        <v>Aluminum &amp; Bi-Metal Containers</v>
      </c>
      <c r="E142" s="0" t="str">
        <f aca="false">IFERROR(INDEX('Materials Master'!$C$2:$C$27,MATCH($C142,'Materials Master'!$A$2:$A$27,0)),"")</f>
        <v>Metals</v>
      </c>
      <c r="F142" s="0" t="n">
        <f aca="false">(SUMIFS(Fact_PreSortWeights!$E$2:$E$15,Fact_PreSortWeights!$C$2:$C$15,$A142,Fact_PreSortWeights!$B$2:$B$15,$B142,Fact_PreSortWeights!$F$2:$F$15,$C142))+(SUMIFS(Fact_SortedWeights!$E$2:$E$6,Fact_SortedWeights!$C$2:$C$6,$A142,Fact_SortedWeights!$B$2:$B$6,$B142,Fact_SortedWeights!$D$2:$D$6,$C142,Fact_SortedWeights!$L$2:$L$6,"Yes"))+IF((SUMIFS(Fact_SortedWeights!$E$2:$E$6,Fact_SortedWeights!$C$2:$C$6,$A142,Fact_SortedWeights!$B$2:$B$6,$B142,Fact_SortedWeights!$L$2:$L$6,"No"))=0,0,(SUMIFS(Fact_SortedWeights!$E$2:$E$6,Fact_SortedWeights!$C$2:$C$6,$A142,Fact_SortedWeights!$B$2:$B$6,$B142,Fact_SortedWeights!$D$2:$D$6,$C142,Fact_SortedWeights!$L$2:$L$6,"No"))/(SUMIFS(Fact_SortedWeights!$E$2:$E$6,Fact_SortedWeights!$C$2:$C$6,$A142,Fact_SortedWeights!$B$2:$B$6,$B142,Fact_SortedWeights!$L$2:$L$6,"No"))*((SUMIFS(Fact_PreSortWeights!$E$2:$E$15,Fact_PreSortWeights!$C$2:$C$15,$A142,Fact_PreSortWeights!$B$2:$B$15,$B142,Fact_PreSortWeights!$F$2:$F$15,""))-(SUMIFS(Fact_SortedWeights!$E$2:$E$6,Fact_SortedWeights!$C$2:$C$6,$A142,Fact_SortedWeights!$B$2:$B$6,$B142,Fact_SortedWeights!$L$2:$L$6,"Yes"))))</f>
        <v>0</v>
      </c>
      <c r="G142" s="0" t="n">
        <f aca="false">IF(AND(IF($B142="Trash",INDEX('Materials Master'!$F$2:$F$27,MATCH($C142,'Materials Master'!$A$2:$A$27,0)),IF($B142="GMPC Recycling",INDEX('Materials Master'!$G$2:$G$27,MATCH($C142,'Materials Master'!$A$2:$A$27,0)),IF($B142="Organics Recycling",INDEX('Materials Master'!$H$2:$H$27,MATCH($C142,'Materials Master'!$A$2:$A$27,0)),IF($B142="Cardboard Recycling",INDEX('Materials Master'!$I$2:$I$27,MATCH($C142,'Materials Master'!$A$2:$A$27,0)),IF($B142="Paper Recycling",INDEX('Materials Master'!$J$2:$J$27,MATCH($C142,'Materials Master'!$A$2:$A$27,0)),IF($B142="Terracycle",INDEX('Materials Master'!$K$2:$K$27,MATCH($C142,'Materials Master'!$A$2:$A$27,0)),"No"))))))="Yes",INDEX('Materials Master'!$E$2:$E$27,MATCH($C142,'Materials Master'!$A$2:$A$27,0))="Yes",$B142&lt;&gt;"Trash"),1,0)</f>
        <v>0</v>
      </c>
      <c r="H142" s="0" t="str">
        <f aca="false">INDEX('Materials Master'!$E$2:$E$27,MATCH($C142,'Materials Master'!$A$2:$A$27,0))</f>
        <v>Yes</v>
      </c>
      <c r="I142" s="0" t="str">
        <f aca="false">IFERROR(INDEX(Areas!$C$2:$C$6,MATCH($A142,Areas!$B$2:$B$6,0)),"")</f>
        <v>Rest of Building</v>
      </c>
      <c r="J142" s="0" t="n">
        <f aca="false">IF(IF($B142="Trash",INDEX('Materials Master'!$F$2:$F$27,MATCH($C142,'Materials Master'!$A$2:$A$27,0)),IF($B142="GMPC Recycling",INDEX('Materials Master'!$G$2:$G$27,MATCH($C142,'Materials Master'!$A$2:$A$27,0)),IF($B142="Organics Recycling",INDEX('Materials Master'!$H$2:$H$27,MATCH($C142,'Materials Master'!$A$2:$A$27,0)),IF($B142="Cardboard Recycling",INDEX('Materials Master'!$I$2:$I$27,MATCH($C142,'Materials Master'!$A$2:$A$27,0)),IF($B142="Paper Recycling",INDEX('Materials Master'!$J$2:$J$27,MATCH($C142,'Materials Master'!$A$2:$A$27,0)),IF($B142="Terracycle",INDEX('Materials Master'!$K$2:$K$27,MATCH($C142,'Materials Master'!$A$2:$A$27,0)),"No"))))))="Yes",1,0)</f>
        <v>0</v>
      </c>
    </row>
    <row r="143" customFormat="false" ht="15" hidden="false" customHeight="false" outlineLevel="0" collapsed="false">
      <c r="A143" s="0" t="s">
        <v>91</v>
      </c>
      <c r="B143" s="0" t="s">
        <v>108</v>
      </c>
      <c r="C143" s="0" t="s">
        <v>53</v>
      </c>
      <c r="D143" s="0" t="str">
        <f aca="false">IFERROR(INDEX('Materials Master'!$B$2:$B$27,MATCH($C143,'Materials Master'!$A$2:$A$27,0)),"")</f>
        <v>Soiled Metals</v>
      </c>
      <c r="E143" s="0" t="str">
        <f aca="false">IFERROR(INDEX('Materials Master'!$C$2:$C$27,MATCH($C143,'Materials Master'!$A$2:$A$27,0)),"")</f>
        <v>Metals</v>
      </c>
      <c r="F143" s="0" t="n">
        <f aca="false">(SUMIFS(Fact_PreSortWeights!$E$2:$E$15,Fact_PreSortWeights!$C$2:$C$15,$A143,Fact_PreSortWeights!$B$2:$B$15,$B143,Fact_PreSortWeights!$F$2:$F$15,$C143))+(SUMIFS(Fact_SortedWeights!$E$2:$E$6,Fact_SortedWeights!$C$2:$C$6,$A143,Fact_SortedWeights!$B$2:$B$6,$B143,Fact_SortedWeights!$D$2:$D$6,$C143,Fact_SortedWeights!$L$2:$L$6,"Yes"))+IF((SUMIFS(Fact_SortedWeights!$E$2:$E$6,Fact_SortedWeights!$C$2:$C$6,$A143,Fact_SortedWeights!$B$2:$B$6,$B143,Fact_SortedWeights!$L$2:$L$6,"No"))=0,0,(SUMIFS(Fact_SortedWeights!$E$2:$E$6,Fact_SortedWeights!$C$2:$C$6,$A143,Fact_SortedWeights!$B$2:$B$6,$B143,Fact_SortedWeights!$D$2:$D$6,$C143,Fact_SortedWeights!$L$2:$L$6,"No"))/(SUMIFS(Fact_SortedWeights!$E$2:$E$6,Fact_SortedWeights!$C$2:$C$6,$A143,Fact_SortedWeights!$B$2:$B$6,$B143,Fact_SortedWeights!$L$2:$L$6,"No"))*((SUMIFS(Fact_PreSortWeights!$E$2:$E$15,Fact_PreSortWeights!$C$2:$C$15,$A143,Fact_PreSortWeights!$B$2:$B$15,$B143,Fact_PreSortWeights!$F$2:$F$15,""))-(SUMIFS(Fact_SortedWeights!$E$2:$E$6,Fact_SortedWeights!$C$2:$C$6,$A143,Fact_SortedWeights!$B$2:$B$6,$B143,Fact_SortedWeights!$L$2:$L$6,"Yes"))))</f>
        <v>0</v>
      </c>
      <c r="G143" s="0" t="n">
        <f aca="false">IF(AND(IF($B143="Trash",INDEX('Materials Master'!$F$2:$F$27,MATCH($C143,'Materials Master'!$A$2:$A$27,0)),IF($B143="GMPC Recycling",INDEX('Materials Master'!$G$2:$G$27,MATCH($C143,'Materials Master'!$A$2:$A$27,0)),IF($B143="Organics Recycling",INDEX('Materials Master'!$H$2:$H$27,MATCH($C143,'Materials Master'!$A$2:$A$27,0)),IF($B143="Cardboard Recycling",INDEX('Materials Master'!$I$2:$I$27,MATCH($C143,'Materials Master'!$A$2:$A$27,0)),IF($B143="Paper Recycling",INDEX('Materials Master'!$J$2:$J$27,MATCH($C143,'Materials Master'!$A$2:$A$27,0)),IF($B143="Terracycle",INDEX('Materials Master'!$K$2:$K$27,MATCH($C143,'Materials Master'!$A$2:$A$27,0)),"No"))))))="Yes",INDEX('Materials Master'!$E$2:$E$27,MATCH($C143,'Materials Master'!$A$2:$A$27,0))="Yes",$B143&lt;&gt;"Trash"),1,0)</f>
        <v>0</v>
      </c>
      <c r="H143" s="0" t="str">
        <f aca="false">INDEX('Materials Master'!$E$2:$E$27,MATCH($C143,'Materials Master'!$A$2:$A$27,0))</f>
        <v>No</v>
      </c>
      <c r="I143" s="0" t="str">
        <f aca="false">IFERROR(INDEX(Areas!$C$2:$C$6,MATCH($A143,Areas!$B$2:$B$6,0)),"")</f>
        <v>Rest of Building</v>
      </c>
      <c r="J143" s="0" t="n">
        <f aca="false">IF(IF($B143="Trash",INDEX('Materials Master'!$F$2:$F$27,MATCH($C143,'Materials Master'!$A$2:$A$27,0)),IF($B143="GMPC Recycling",INDEX('Materials Master'!$G$2:$G$27,MATCH($C143,'Materials Master'!$A$2:$A$27,0)),IF($B143="Organics Recycling",INDEX('Materials Master'!$H$2:$H$27,MATCH($C143,'Materials Master'!$A$2:$A$27,0)),IF($B143="Cardboard Recycling",INDEX('Materials Master'!$I$2:$I$27,MATCH($C143,'Materials Master'!$A$2:$A$27,0)),IF($B143="Paper Recycling",INDEX('Materials Master'!$J$2:$J$27,MATCH($C143,'Materials Master'!$A$2:$A$27,0)),IF($B143="Terracycle",INDEX('Materials Master'!$K$2:$K$27,MATCH($C143,'Materials Master'!$A$2:$A$27,0)),"No"))))))="Yes",1,0)</f>
        <v>0</v>
      </c>
    </row>
    <row r="144" customFormat="false" ht="15" hidden="false" customHeight="false" outlineLevel="0" collapsed="false">
      <c r="A144" s="0" t="s">
        <v>91</v>
      </c>
      <c r="B144" s="0" t="s">
        <v>108</v>
      </c>
      <c r="C144" s="0" t="s">
        <v>55</v>
      </c>
      <c r="D144" s="0" t="str">
        <f aca="false">IFERROR(INDEX('Materials Master'!$B$2:$B$27,MATCH($C144,'Materials Master'!$A$2:$A$27,0)),"")</f>
        <v>Rigid Plastics (1-6)</v>
      </c>
      <c r="E144" s="0" t="str">
        <f aca="false">IFERROR(INDEX('Materials Master'!$C$2:$C$27,MATCH($C144,'Materials Master'!$A$2:$A$27,0)),"")</f>
        <v>Plastics</v>
      </c>
      <c r="F144" s="0" t="n">
        <f aca="false">(SUMIFS(Fact_PreSortWeights!$E$2:$E$15,Fact_PreSortWeights!$C$2:$C$15,$A144,Fact_PreSortWeights!$B$2:$B$15,$B144,Fact_PreSortWeights!$F$2:$F$15,$C144))+(SUMIFS(Fact_SortedWeights!$E$2:$E$6,Fact_SortedWeights!$C$2:$C$6,$A144,Fact_SortedWeights!$B$2:$B$6,$B144,Fact_SortedWeights!$D$2:$D$6,$C144,Fact_SortedWeights!$L$2:$L$6,"Yes"))+IF((SUMIFS(Fact_SortedWeights!$E$2:$E$6,Fact_SortedWeights!$C$2:$C$6,$A144,Fact_SortedWeights!$B$2:$B$6,$B144,Fact_SortedWeights!$L$2:$L$6,"No"))=0,0,(SUMIFS(Fact_SortedWeights!$E$2:$E$6,Fact_SortedWeights!$C$2:$C$6,$A144,Fact_SortedWeights!$B$2:$B$6,$B144,Fact_SortedWeights!$D$2:$D$6,$C144,Fact_SortedWeights!$L$2:$L$6,"No"))/(SUMIFS(Fact_SortedWeights!$E$2:$E$6,Fact_SortedWeights!$C$2:$C$6,$A144,Fact_SortedWeights!$B$2:$B$6,$B144,Fact_SortedWeights!$L$2:$L$6,"No"))*((SUMIFS(Fact_PreSortWeights!$E$2:$E$15,Fact_PreSortWeights!$C$2:$C$15,$A144,Fact_PreSortWeights!$B$2:$B$15,$B144,Fact_PreSortWeights!$F$2:$F$15,""))-(SUMIFS(Fact_SortedWeights!$E$2:$E$6,Fact_SortedWeights!$C$2:$C$6,$A144,Fact_SortedWeights!$B$2:$B$6,$B144,Fact_SortedWeights!$L$2:$L$6,"Yes"))))</f>
        <v>0</v>
      </c>
      <c r="G144" s="0" t="n">
        <f aca="false">IF(AND(IF($B144="Trash",INDEX('Materials Master'!$F$2:$F$27,MATCH($C144,'Materials Master'!$A$2:$A$27,0)),IF($B144="GMPC Recycling",INDEX('Materials Master'!$G$2:$G$27,MATCH($C144,'Materials Master'!$A$2:$A$27,0)),IF($B144="Organics Recycling",INDEX('Materials Master'!$H$2:$H$27,MATCH($C144,'Materials Master'!$A$2:$A$27,0)),IF($B144="Cardboard Recycling",INDEX('Materials Master'!$I$2:$I$27,MATCH($C144,'Materials Master'!$A$2:$A$27,0)),IF($B144="Paper Recycling",INDEX('Materials Master'!$J$2:$J$27,MATCH($C144,'Materials Master'!$A$2:$A$27,0)),IF($B144="Terracycle",INDEX('Materials Master'!$K$2:$K$27,MATCH($C144,'Materials Master'!$A$2:$A$27,0)),"No"))))))="Yes",INDEX('Materials Master'!$E$2:$E$27,MATCH($C144,'Materials Master'!$A$2:$A$27,0))="Yes",$B144&lt;&gt;"Trash"),1,0)</f>
        <v>0</v>
      </c>
      <c r="H144" s="0" t="str">
        <f aca="false">INDEX('Materials Master'!$E$2:$E$27,MATCH($C144,'Materials Master'!$A$2:$A$27,0))</f>
        <v>Yes</v>
      </c>
      <c r="I144" s="0" t="str">
        <f aca="false">IFERROR(INDEX(Areas!$C$2:$C$6,MATCH($A144,Areas!$B$2:$B$6,0)),"")</f>
        <v>Rest of Building</v>
      </c>
      <c r="J144" s="0" t="n">
        <f aca="false">IF(IF($B144="Trash",INDEX('Materials Master'!$F$2:$F$27,MATCH($C144,'Materials Master'!$A$2:$A$27,0)),IF($B144="GMPC Recycling",INDEX('Materials Master'!$G$2:$G$27,MATCH($C144,'Materials Master'!$A$2:$A$27,0)),IF($B144="Organics Recycling",INDEX('Materials Master'!$H$2:$H$27,MATCH($C144,'Materials Master'!$A$2:$A$27,0)),IF($B144="Cardboard Recycling",INDEX('Materials Master'!$I$2:$I$27,MATCH($C144,'Materials Master'!$A$2:$A$27,0)),IF($B144="Paper Recycling",INDEX('Materials Master'!$J$2:$J$27,MATCH($C144,'Materials Master'!$A$2:$A$27,0)),IF($B144="Terracycle",INDEX('Materials Master'!$K$2:$K$27,MATCH($C144,'Materials Master'!$A$2:$A$27,0)),"No"))))))="Yes",1,0)</f>
        <v>0</v>
      </c>
    </row>
    <row r="145" customFormat="false" ht="15" hidden="false" customHeight="false" outlineLevel="0" collapsed="false">
      <c r="A145" s="0" t="s">
        <v>91</v>
      </c>
      <c r="B145" s="0" t="s">
        <v>108</v>
      </c>
      <c r="C145" s="0" t="s">
        <v>58</v>
      </c>
      <c r="D145" s="0" t="str">
        <f aca="false">IFERROR(INDEX('Materials Master'!$B$2:$B$27,MATCH($C145,'Materials Master'!$A$2:$A$27,0)),"")</f>
        <v>Soiled Rigid Plastics</v>
      </c>
      <c r="E145" s="0" t="str">
        <f aca="false">IFERROR(INDEX('Materials Master'!$C$2:$C$27,MATCH($C145,'Materials Master'!$A$2:$A$27,0)),"")</f>
        <v>Plastics</v>
      </c>
      <c r="F145" s="0" t="n">
        <f aca="false">(SUMIFS(Fact_PreSortWeights!$E$2:$E$15,Fact_PreSortWeights!$C$2:$C$15,$A145,Fact_PreSortWeights!$B$2:$B$15,$B145,Fact_PreSortWeights!$F$2:$F$15,$C145))+(SUMIFS(Fact_SortedWeights!$E$2:$E$6,Fact_SortedWeights!$C$2:$C$6,$A145,Fact_SortedWeights!$B$2:$B$6,$B145,Fact_SortedWeights!$D$2:$D$6,$C145,Fact_SortedWeights!$L$2:$L$6,"Yes"))+IF((SUMIFS(Fact_SortedWeights!$E$2:$E$6,Fact_SortedWeights!$C$2:$C$6,$A145,Fact_SortedWeights!$B$2:$B$6,$B145,Fact_SortedWeights!$L$2:$L$6,"No"))=0,0,(SUMIFS(Fact_SortedWeights!$E$2:$E$6,Fact_SortedWeights!$C$2:$C$6,$A145,Fact_SortedWeights!$B$2:$B$6,$B145,Fact_SortedWeights!$D$2:$D$6,$C145,Fact_SortedWeights!$L$2:$L$6,"No"))/(SUMIFS(Fact_SortedWeights!$E$2:$E$6,Fact_SortedWeights!$C$2:$C$6,$A145,Fact_SortedWeights!$B$2:$B$6,$B145,Fact_SortedWeights!$L$2:$L$6,"No"))*((SUMIFS(Fact_PreSortWeights!$E$2:$E$15,Fact_PreSortWeights!$C$2:$C$15,$A145,Fact_PreSortWeights!$B$2:$B$15,$B145,Fact_PreSortWeights!$F$2:$F$15,""))-(SUMIFS(Fact_SortedWeights!$E$2:$E$6,Fact_SortedWeights!$C$2:$C$6,$A145,Fact_SortedWeights!$B$2:$B$6,$B145,Fact_SortedWeights!$L$2:$L$6,"Yes"))))</f>
        <v>0</v>
      </c>
      <c r="G145" s="0" t="n">
        <f aca="false">IF(AND(IF($B145="Trash",INDEX('Materials Master'!$F$2:$F$27,MATCH($C145,'Materials Master'!$A$2:$A$27,0)),IF($B145="GMPC Recycling",INDEX('Materials Master'!$G$2:$G$27,MATCH($C145,'Materials Master'!$A$2:$A$27,0)),IF($B145="Organics Recycling",INDEX('Materials Master'!$H$2:$H$27,MATCH($C145,'Materials Master'!$A$2:$A$27,0)),IF($B145="Cardboard Recycling",INDEX('Materials Master'!$I$2:$I$27,MATCH($C145,'Materials Master'!$A$2:$A$27,0)),IF($B145="Paper Recycling",INDEX('Materials Master'!$J$2:$J$27,MATCH($C145,'Materials Master'!$A$2:$A$27,0)),IF($B145="Terracycle",INDEX('Materials Master'!$K$2:$K$27,MATCH($C145,'Materials Master'!$A$2:$A$27,0)),"No"))))))="Yes",INDEX('Materials Master'!$E$2:$E$27,MATCH($C145,'Materials Master'!$A$2:$A$27,0))="Yes",$B145&lt;&gt;"Trash"),1,0)</f>
        <v>0</v>
      </c>
      <c r="H145" s="0" t="str">
        <f aca="false">INDEX('Materials Master'!$E$2:$E$27,MATCH($C145,'Materials Master'!$A$2:$A$27,0))</f>
        <v>No</v>
      </c>
      <c r="I145" s="0" t="str">
        <f aca="false">IFERROR(INDEX(Areas!$C$2:$C$6,MATCH($A145,Areas!$B$2:$B$6,0)),"")</f>
        <v>Rest of Building</v>
      </c>
      <c r="J145" s="0" t="n">
        <f aca="false">IF(IF($B145="Trash",INDEX('Materials Master'!$F$2:$F$27,MATCH($C145,'Materials Master'!$A$2:$A$27,0)),IF($B145="GMPC Recycling",INDEX('Materials Master'!$G$2:$G$27,MATCH($C145,'Materials Master'!$A$2:$A$27,0)),IF($B145="Organics Recycling",INDEX('Materials Master'!$H$2:$H$27,MATCH($C145,'Materials Master'!$A$2:$A$27,0)),IF($B145="Cardboard Recycling",INDEX('Materials Master'!$I$2:$I$27,MATCH($C145,'Materials Master'!$A$2:$A$27,0)),IF($B145="Paper Recycling",INDEX('Materials Master'!$J$2:$J$27,MATCH($C145,'Materials Master'!$A$2:$A$27,0)),IF($B145="Terracycle",INDEX('Materials Master'!$K$2:$K$27,MATCH($C145,'Materials Master'!$A$2:$A$27,0)),"No"))))))="Yes",1,0)</f>
        <v>0</v>
      </c>
    </row>
    <row r="146" customFormat="false" ht="15" hidden="false" customHeight="false" outlineLevel="0" collapsed="false">
      <c r="A146" s="0" t="s">
        <v>91</v>
      </c>
      <c r="B146" s="0" t="s">
        <v>108</v>
      </c>
      <c r="C146" s="0" t="s">
        <v>60</v>
      </c>
      <c r="D146" s="0" t="str">
        <f aca="false">IFERROR(INDEX('Materials Master'!$B$2:$B$27,MATCH($C146,'Materials Master'!$A$2:$A$27,0)),"")</f>
        <v>Film Plastics</v>
      </c>
      <c r="E146" s="0" t="str">
        <f aca="false">IFERROR(INDEX('Materials Master'!$C$2:$C$27,MATCH($C146,'Materials Master'!$A$2:$A$27,0)),"")</f>
        <v>Plastics</v>
      </c>
      <c r="F146" s="0" t="n">
        <f aca="false">(SUMIFS(Fact_PreSortWeights!$E$2:$E$15,Fact_PreSortWeights!$C$2:$C$15,$A146,Fact_PreSortWeights!$B$2:$B$15,$B146,Fact_PreSortWeights!$F$2:$F$15,$C146))+(SUMIFS(Fact_SortedWeights!$E$2:$E$6,Fact_SortedWeights!$C$2:$C$6,$A146,Fact_SortedWeights!$B$2:$B$6,$B146,Fact_SortedWeights!$D$2:$D$6,$C146,Fact_SortedWeights!$L$2:$L$6,"Yes"))+IF((SUMIFS(Fact_SortedWeights!$E$2:$E$6,Fact_SortedWeights!$C$2:$C$6,$A146,Fact_SortedWeights!$B$2:$B$6,$B146,Fact_SortedWeights!$L$2:$L$6,"No"))=0,0,(SUMIFS(Fact_SortedWeights!$E$2:$E$6,Fact_SortedWeights!$C$2:$C$6,$A146,Fact_SortedWeights!$B$2:$B$6,$B146,Fact_SortedWeights!$D$2:$D$6,$C146,Fact_SortedWeights!$L$2:$L$6,"No"))/(SUMIFS(Fact_SortedWeights!$E$2:$E$6,Fact_SortedWeights!$C$2:$C$6,$A146,Fact_SortedWeights!$B$2:$B$6,$B146,Fact_SortedWeights!$L$2:$L$6,"No"))*((SUMIFS(Fact_PreSortWeights!$E$2:$E$15,Fact_PreSortWeights!$C$2:$C$15,$A146,Fact_PreSortWeights!$B$2:$B$15,$B146,Fact_PreSortWeights!$F$2:$F$15,""))-(SUMIFS(Fact_SortedWeights!$E$2:$E$6,Fact_SortedWeights!$C$2:$C$6,$A146,Fact_SortedWeights!$B$2:$B$6,$B146,Fact_SortedWeights!$L$2:$L$6,"Yes"))))</f>
        <v>0</v>
      </c>
      <c r="G146" s="0" t="n">
        <f aca="false">IF(AND(IF($B146="Trash",INDEX('Materials Master'!$F$2:$F$27,MATCH($C146,'Materials Master'!$A$2:$A$27,0)),IF($B146="GMPC Recycling",INDEX('Materials Master'!$G$2:$G$27,MATCH($C146,'Materials Master'!$A$2:$A$27,0)),IF($B146="Organics Recycling",INDEX('Materials Master'!$H$2:$H$27,MATCH($C146,'Materials Master'!$A$2:$A$27,0)),IF($B146="Cardboard Recycling",INDEX('Materials Master'!$I$2:$I$27,MATCH($C146,'Materials Master'!$A$2:$A$27,0)),IF($B146="Paper Recycling",INDEX('Materials Master'!$J$2:$J$27,MATCH($C146,'Materials Master'!$A$2:$A$27,0)),IF($B146="Terracycle",INDEX('Materials Master'!$K$2:$K$27,MATCH($C146,'Materials Master'!$A$2:$A$27,0)),"No"))))))="Yes",INDEX('Materials Master'!$E$2:$E$27,MATCH($C146,'Materials Master'!$A$2:$A$27,0))="Yes",$B146&lt;&gt;"Trash"),1,0)</f>
        <v>0</v>
      </c>
      <c r="H146" s="0" t="str">
        <f aca="false">INDEX('Materials Master'!$E$2:$E$27,MATCH($C146,'Materials Master'!$A$2:$A$27,0))</f>
        <v>No</v>
      </c>
      <c r="I146" s="0" t="str">
        <f aca="false">IFERROR(INDEX(Areas!$C$2:$C$6,MATCH($A146,Areas!$B$2:$B$6,0)),"")</f>
        <v>Rest of Building</v>
      </c>
      <c r="J146" s="0" t="n">
        <f aca="false">IF(IF($B146="Trash",INDEX('Materials Master'!$F$2:$F$27,MATCH($C146,'Materials Master'!$A$2:$A$27,0)),IF($B146="GMPC Recycling",INDEX('Materials Master'!$G$2:$G$27,MATCH($C146,'Materials Master'!$A$2:$A$27,0)),IF($B146="Organics Recycling",INDEX('Materials Master'!$H$2:$H$27,MATCH($C146,'Materials Master'!$A$2:$A$27,0)),IF($B146="Cardboard Recycling",INDEX('Materials Master'!$I$2:$I$27,MATCH($C146,'Materials Master'!$A$2:$A$27,0)),IF($B146="Paper Recycling",INDEX('Materials Master'!$J$2:$J$27,MATCH($C146,'Materials Master'!$A$2:$A$27,0)),IF($B146="Terracycle",INDEX('Materials Master'!$K$2:$K$27,MATCH($C146,'Materials Master'!$A$2:$A$27,0)),"No"))))))="Yes",1,0)</f>
        <v>0</v>
      </c>
    </row>
    <row r="147" customFormat="false" ht="15" hidden="false" customHeight="false" outlineLevel="0" collapsed="false">
      <c r="A147" s="0" t="s">
        <v>91</v>
      </c>
      <c r="B147" s="0" t="s">
        <v>108</v>
      </c>
      <c r="C147" s="0" t="s">
        <v>62</v>
      </c>
      <c r="D147" s="0" t="str">
        <f aca="false">IFERROR(INDEX('Materials Master'!$B$2:$B$27,MATCH($C147,'Materials Master'!$A$2:$A$27,0)),"")</f>
        <v>Foams</v>
      </c>
      <c r="E147" s="0" t="str">
        <f aca="false">IFERROR(INDEX('Materials Master'!$C$2:$C$27,MATCH($C147,'Materials Master'!$A$2:$A$27,0)),"")</f>
        <v>Plastics</v>
      </c>
      <c r="F147" s="0" t="n">
        <f aca="false">(SUMIFS(Fact_PreSortWeights!$E$2:$E$15,Fact_PreSortWeights!$C$2:$C$15,$A147,Fact_PreSortWeights!$B$2:$B$15,$B147,Fact_PreSortWeights!$F$2:$F$15,$C147))+(SUMIFS(Fact_SortedWeights!$E$2:$E$6,Fact_SortedWeights!$C$2:$C$6,$A147,Fact_SortedWeights!$B$2:$B$6,$B147,Fact_SortedWeights!$D$2:$D$6,$C147,Fact_SortedWeights!$L$2:$L$6,"Yes"))+IF((SUMIFS(Fact_SortedWeights!$E$2:$E$6,Fact_SortedWeights!$C$2:$C$6,$A147,Fact_SortedWeights!$B$2:$B$6,$B147,Fact_SortedWeights!$L$2:$L$6,"No"))=0,0,(SUMIFS(Fact_SortedWeights!$E$2:$E$6,Fact_SortedWeights!$C$2:$C$6,$A147,Fact_SortedWeights!$B$2:$B$6,$B147,Fact_SortedWeights!$D$2:$D$6,$C147,Fact_SortedWeights!$L$2:$L$6,"No"))/(SUMIFS(Fact_SortedWeights!$E$2:$E$6,Fact_SortedWeights!$C$2:$C$6,$A147,Fact_SortedWeights!$B$2:$B$6,$B147,Fact_SortedWeights!$L$2:$L$6,"No"))*((SUMIFS(Fact_PreSortWeights!$E$2:$E$15,Fact_PreSortWeights!$C$2:$C$15,$A147,Fact_PreSortWeights!$B$2:$B$15,$B147,Fact_PreSortWeights!$F$2:$F$15,""))-(SUMIFS(Fact_SortedWeights!$E$2:$E$6,Fact_SortedWeights!$C$2:$C$6,$A147,Fact_SortedWeights!$B$2:$B$6,$B147,Fact_SortedWeights!$L$2:$L$6,"Yes"))))</f>
        <v>0</v>
      </c>
      <c r="G147" s="0" t="n">
        <f aca="false">IF(AND(IF($B147="Trash",INDEX('Materials Master'!$F$2:$F$27,MATCH($C147,'Materials Master'!$A$2:$A$27,0)),IF($B147="GMPC Recycling",INDEX('Materials Master'!$G$2:$G$27,MATCH($C147,'Materials Master'!$A$2:$A$27,0)),IF($B147="Organics Recycling",INDEX('Materials Master'!$H$2:$H$27,MATCH($C147,'Materials Master'!$A$2:$A$27,0)),IF($B147="Cardboard Recycling",INDEX('Materials Master'!$I$2:$I$27,MATCH($C147,'Materials Master'!$A$2:$A$27,0)),IF($B147="Paper Recycling",INDEX('Materials Master'!$J$2:$J$27,MATCH($C147,'Materials Master'!$A$2:$A$27,0)),IF($B147="Terracycle",INDEX('Materials Master'!$K$2:$K$27,MATCH($C147,'Materials Master'!$A$2:$A$27,0)),"No"))))))="Yes",INDEX('Materials Master'!$E$2:$E$27,MATCH($C147,'Materials Master'!$A$2:$A$27,0))="Yes",$B147&lt;&gt;"Trash"),1,0)</f>
        <v>0</v>
      </c>
      <c r="H147" s="0" t="str">
        <f aca="false">INDEX('Materials Master'!$E$2:$E$27,MATCH($C147,'Materials Master'!$A$2:$A$27,0))</f>
        <v>No</v>
      </c>
      <c r="I147" s="0" t="str">
        <f aca="false">IFERROR(INDEX(Areas!$C$2:$C$6,MATCH($A147,Areas!$B$2:$B$6,0)),"")</f>
        <v>Rest of Building</v>
      </c>
      <c r="J147" s="0" t="n">
        <f aca="false">IF(IF($B147="Trash",INDEX('Materials Master'!$F$2:$F$27,MATCH($C147,'Materials Master'!$A$2:$A$27,0)),IF($B147="GMPC Recycling",INDEX('Materials Master'!$G$2:$G$27,MATCH($C147,'Materials Master'!$A$2:$A$27,0)),IF($B147="Organics Recycling",INDEX('Materials Master'!$H$2:$H$27,MATCH($C147,'Materials Master'!$A$2:$A$27,0)),IF($B147="Cardboard Recycling",INDEX('Materials Master'!$I$2:$I$27,MATCH($C147,'Materials Master'!$A$2:$A$27,0)),IF($B147="Paper Recycling",INDEX('Materials Master'!$J$2:$J$27,MATCH($C147,'Materials Master'!$A$2:$A$27,0)),IF($B147="Terracycle",INDEX('Materials Master'!$K$2:$K$27,MATCH($C147,'Materials Master'!$A$2:$A$27,0)),"No"))))))="Yes",1,0)</f>
        <v>0</v>
      </c>
    </row>
    <row r="148" customFormat="false" ht="15" hidden="false" customHeight="false" outlineLevel="0" collapsed="false">
      <c r="A148" s="0" t="s">
        <v>91</v>
      </c>
      <c r="B148" s="0" t="s">
        <v>108</v>
      </c>
      <c r="C148" s="0" t="s">
        <v>64</v>
      </c>
      <c r="D148" s="0" t="str">
        <f aca="false">IFERROR(INDEX('Materials Master'!$B$2:$B$27,MATCH($C148,'Materials Master'!$A$2:$A$27,0)),"")</f>
        <v>Food Waste</v>
      </c>
      <c r="E148" s="0" t="str">
        <f aca="false">IFERROR(INDEX('Materials Master'!$C$2:$C$27,MATCH($C148,'Materials Master'!$A$2:$A$27,0)),"")</f>
        <v>Organics</v>
      </c>
      <c r="F148" s="0" t="n">
        <f aca="false">(SUMIFS(Fact_PreSortWeights!$E$2:$E$15,Fact_PreSortWeights!$C$2:$C$15,$A148,Fact_PreSortWeights!$B$2:$B$15,$B148,Fact_PreSortWeights!$F$2:$F$15,$C148))+(SUMIFS(Fact_SortedWeights!$E$2:$E$6,Fact_SortedWeights!$C$2:$C$6,$A148,Fact_SortedWeights!$B$2:$B$6,$B148,Fact_SortedWeights!$D$2:$D$6,$C148,Fact_SortedWeights!$L$2:$L$6,"Yes"))+IF((SUMIFS(Fact_SortedWeights!$E$2:$E$6,Fact_SortedWeights!$C$2:$C$6,$A148,Fact_SortedWeights!$B$2:$B$6,$B148,Fact_SortedWeights!$L$2:$L$6,"No"))=0,0,(SUMIFS(Fact_SortedWeights!$E$2:$E$6,Fact_SortedWeights!$C$2:$C$6,$A148,Fact_SortedWeights!$B$2:$B$6,$B148,Fact_SortedWeights!$D$2:$D$6,$C148,Fact_SortedWeights!$L$2:$L$6,"No"))/(SUMIFS(Fact_SortedWeights!$E$2:$E$6,Fact_SortedWeights!$C$2:$C$6,$A148,Fact_SortedWeights!$B$2:$B$6,$B148,Fact_SortedWeights!$L$2:$L$6,"No"))*((SUMIFS(Fact_PreSortWeights!$E$2:$E$15,Fact_PreSortWeights!$C$2:$C$15,$A148,Fact_PreSortWeights!$B$2:$B$15,$B148,Fact_PreSortWeights!$F$2:$F$15,""))-(SUMIFS(Fact_SortedWeights!$E$2:$E$6,Fact_SortedWeights!$C$2:$C$6,$A148,Fact_SortedWeights!$B$2:$B$6,$B148,Fact_SortedWeights!$L$2:$L$6,"Yes"))))</f>
        <v>0</v>
      </c>
      <c r="G148" s="0" t="n">
        <f aca="false">IF(AND(IF($B148="Trash",INDEX('Materials Master'!$F$2:$F$27,MATCH($C148,'Materials Master'!$A$2:$A$27,0)),IF($B148="GMPC Recycling",INDEX('Materials Master'!$G$2:$G$27,MATCH($C148,'Materials Master'!$A$2:$A$27,0)),IF($B148="Organics Recycling",INDEX('Materials Master'!$H$2:$H$27,MATCH($C148,'Materials Master'!$A$2:$A$27,0)),IF($B148="Cardboard Recycling",INDEX('Materials Master'!$I$2:$I$27,MATCH($C148,'Materials Master'!$A$2:$A$27,0)),IF($B148="Paper Recycling",INDEX('Materials Master'!$J$2:$J$27,MATCH($C148,'Materials Master'!$A$2:$A$27,0)),IF($B148="Terracycle",INDEX('Materials Master'!$K$2:$K$27,MATCH($C148,'Materials Master'!$A$2:$A$27,0)),"No"))))))="Yes",INDEX('Materials Master'!$E$2:$E$27,MATCH($C148,'Materials Master'!$A$2:$A$27,0))="Yes",$B148&lt;&gt;"Trash"),1,0)</f>
        <v>0</v>
      </c>
      <c r="H148" s="0" t="str">
        <f aca="false">INDEX('Materials Master'!$E$2:$E$27,MATCH($C148,'Materials Master'!$A$2:$A$27,0))</f>
        <v>Yes</v>
      </c>
      <c r="I148" s="0" t="str">
        <f aca="false">IFERROR(INDEX(Areas!$C$2:$C$6,MATCH($A148,Areas!$B$2:$B$6,0)),"")</f>
        <v>Rest of Building</v>
      </c>
      <c r="J148" s="0" t="n">
        <f aca="false">IF(IF($B148="Trash",INDEX('Materials Master'!$F$2:$F$27,MATCH($C148,'Materials Master'!$A$2:$A$27,0)),IF($B148="GMPC Recycling",INDEX('Materials Master'!$G$2:$G$27,MATCH($C148,'Materials Master'!$A$2:$A$27,0)),IF($B148="Organics Recycling",INDEX('Materials Master'!$H$2:$H$27,MATCH($C148,'Materials Master'!$A$2:$A$27,0)),IF($B148="Cardboard Recycling",INDEX('Materials Master'!$I$2:$I$27,MATCH($C148,'Materials Master'!$A$2:$A$27,0)),IF($B148="Paper Recycling",INDEX('Materials Master'!$J$2:$J$27,MATCH($C148,'Materials Master'!$A$2:$A$27,0)),IF($B148="Terracycle",INDEX('Materials Master'!$K$2:$K$27,MATCH($C148,'Materials Master'!$A$2:$A$27,0)),"No"))))))="Yes",1,0)</f>
        <v>0</v>
      </c>
    </row>
    <row r="149" customFormat="false" ht="15" hidden="false" customHeight="false" outlineLevel="0" collapsed="false">
      <c r="A149" s="0" t="s">
        <v>91</v>
      </c>
      <c r="B149" s="0" t="s">
        <v>108</v>
      </c>
      <c r="C149" s="0" t="s">
        <v>67</v>
      </c>
      <c r="D149" s="0" t="str">
        <f aca="false">IFERROR(INDEX('Materials Master'!$B$2:$B$27,MATCH($C149,'Materials Master'!$A$2:$A$27,0)),"")</f>
        <v>Paper Fibers and Food-Soiled Paper (FSP)</v>
      </c>
      <c r="E149" s="0" t="str">
        <f aca="false">IFERROR(INDEX('Materials Master'!$C$2:$C$27,MATCH($C149,'Materials Master'!$A$2:$A$27,0)),"")</f>
        <v>Organics</v>
      </c>
      <c r="F149" s="0" t="n">
        <f aca="false">(SUMIFS(Fact_PreSortWeights!$E$2:$E$15,Fact_PreSortWeights!$C$2:$C$15,$A149,Fact_PreSortWeights!$B$2:$B$15,$B149,Fact_PreSortWeights!$F$2:$F$15,$C149))+(SUMIFS(Fact_SortedWeights!$E$2:$E$6,Fact_SortedWeights!$C$2:$C$6,$A149,Fact_SortedWeights!$B$2:$B$6,$B149,Fact_SortedWeights!$D$2:$D$6,$C149,Fact_SortedWeights!$L$2:$L$6,"Yes"))+IF((SUMIFS(Fact_SortedWeights!$E$2:$E$6,Fact_SortedWeights!$C$2:$C$6,$A149,Fact_SortedWeights!$B$2:$B$6,$B149,Fact_SortedWeights!$L$2:$L$6,"No"))=0,0,(SUMIFS(Fact_SortedWeights!$E$2:$E$6,Fact_SortedWeights!$C$2:$C$6,$A149,Fact_SortedWeights!$B$2:$B$6,$B149,Fact_SortedWeights!$D$2:$D$6,$C149,Fact_SortedWeights!$L$2:$L$6,"No"))/(SUMIFS(Fact_SortedWeights!$E$2:$E$6,Fact_SortedWeights!$C$2:$C$6,$A149,Fact_SortedWeights!$B$2:$B$6,$B149,Fact_SortedWeights!$L$2:$L$6,"No"))*((SUMIFS(Fact_PreSortWeights!$E$2:$E$15,Fact_PreSortWeights!$C$2:$C$15,$A149,Fact_PreSortWeights!$B$2:$B$15,$B149,Fact_PreSortWeights!$F$2:$F$15,""))-(SUMIFS(Fact_SortedWeights!$E$2:$E$6,Fact_SortedWeights!$C$2:$C$6,$A149,Fact_SortedWeights!$B$2:$B$6,$B149,Fact_SortedWeights!$L$2:$L$6,"Yes"))))</f>
        <v>0</v>
      </c>
      <c r="G149" s="0" t="n">
        <f aca="false">IF(AND(IF($B149="Trash",INDEX('Materials Master'!$F$2:$F$27,MATCH($C149,'Materials Master'!$A$2:$A$27,0)),IF($B149="GMPC Recycling",INDEX('Materials Master'!$G$2:$G$27,MATCH($C149,'Materials Master'!$A$2:$A$27,0)),IF($B149="Organics Recycling",INDEX('Materials Master'!$H$2:$H$27,MATCH($C149,'Materials Master'!$A$2:$A$27,0)),IF($B149="Cardboard Recycling",INDEX('Materials Master'!$I$2:$I$27,MATCH($C149,'Materials Master'!$A$2:$A$27,0)),IF($B149="Paper Recycling",INDEX('Materials Master'!$J$2:$J$27,MATCH($C149,'Materials Master'!$A$2:$A$27,0)),IF($B149="Terracycle",INDEX('Materials Master'!$K$2:$K$27,MATCH($C149,'Materials Master'!$A$2:$A$27,0)),"No"))))))="Yes",INDEX('Materials Master'!$E$2:$E$27,MATCH($C149,'Materials Master'!$A$2:$A$27,0))="Yes",$B149&lt;&gt;"Trash"),1,0)</f>
        <v>0</v>
      </c>
      <c r="H149" s="0" t="str">
        <f aca="false">INDEX('Materials Master'!$E$2:$E$27,MATCH($C149,'Materials Master'!$A$2:$A$27,0))</f>
        <v>No</v>
      </c>
      <c r="I149" s="0" t="str">
        <f aca="false">IFERROR(INDEX(Areas!$C$2:$C$6,MATCH($A149,Areas!$B$2:$B$6,0)),"")</f>
        <v>Rest of Building</v>
      </c>
      <c r="J149" s="0" t="n">
        <f aca="false">IF(IF($B149="Trash",INDEX('Materials Master'!$F$2:$F$27,MATCH($C149,'Materials Master'!$A$2:$A$27,0)),IF($B149="GMPC Recycling",INDEX('Materials Master'!$G$2:$G$27,MATCH($C149,'Materials Master'!$A$2:$A$27,0)),IF($B149="Organics Recycling",INDEX('Materials Master'!$H$2:$H$27,MATCH($C149,'Materials Master'!$A$2:$A$27,0)),IF($B149="Cardboard Recycling",INDEX('Materials Master'!$I$2:$I$27,MATCH($C149,'Materials Master'!$A$2:$A$27,0)),IF($B149="Paper Recycling",INDEX('Materials Master'!$J$2:$J$27,MATCH($C149,'Materials Master'!$A$2:$A$27,0)),IF($B149="Terracycle",INDEX('Materials Master'!$K$2:$K$27,MATCH($C149,'Materials Master'!$A$2:$A$27,0)),"No"))))))="Yes",1,0)</f>
        <v>0</v>
      </c>
    </row>
    <row r="150" customFormat="false" ht="15" hidden="false" customHeight="false" outlineLevel="0" collapsed="false">
      <c r="A150" s="0" t="s">
        <v>91</v>
      </c>
      <c r="B150" s="0" t="s">
        <v>108</v>
      </c>
      <c r="C150" s="0" t="s">
        <v>69</v>
      </c>
      <c r="D150" s="0" t="str">
        <f aca="false">IFERROR(INDEX('Materials Master'!$B$2:$B$27,MATCH($C150,'Materials Master'!$A$2:$A$27,0)),"")</f>
        <v>Fiber-based Compostable Serviceware</v>
      </c>
      <c r="E150" s="0" t="str">
        <f aca="false">IFERROR(INDEX('Materials Master'!$C$2:$C$27,MATCH($C150,'Materials Master'!$A$2:$A$27,0)),"")</f>
        <v>Organics</v>
      </c>
      <c r="F150" s="0" t="n">
        <f aca="false">(SUMIFS(Fact_PreSortWeights!$E$2:$E$15,Fact_PreSortWeights!$C$2:$C$15,$A150,Fact_PreSortWeights!$B$2:$B$15,$B150,Fact_PreSortWeights!$F$2:$F$15,$C150))+(SUMIFS(Fact_SortedWeights!$E$2:$E$6,Fact_SortedWeights!$C$2:$C$6,$A150,Fact_SortedWeights!$B$2:$B$6,$B150,Fact_SortedWeights!$D$2:$D$6,$C150,Fact_SortedWeights!$L$2:$L$6,"Yes"))+IF((SUMIFS(Fact_SortedWeights!$E$2:$E$6,Fact_SortedWeights!$C$2:$C$6,$A150,Fact_SortedWeights!$B$2:$B$6,$B150,Fact_SortedWeights!$L$2:$L$6,"No"))=0,0,(SUMIFS(Fact_SortedWeights!$E$2:$E$6,Fact_SortedWeights!$C$2:$C$6,$A150,Fact_SortedWeights!$B$2:$B$6,$B150,Fact_SortedWeights!$D$2:$D$6,$C150,Fact_SortedWeights!$L$2:$L$6,"No"))/(SUMIFS(Fact_SortedWeights!$E$2:$E$6,Fact_SortedWeights!$C$2:$C$6,$A150,Fact_SortedWeights!$B$2:$B$6,$B150,Fact_SortedWeights!$L$2:$L$6,"No"))*((SUMIFS(Fact_PreSortWeights!$E$2:$E$15,Fact_PreSortWeights!$C$2:$C$15,$A150,Fact_PreSortWeights!$B$2:$B$15,$B150,Fact_PreSortWeights!$F$2:$F$15,""))-(SUMIFS(Fact_SortedWeights!$E$2:$E$6,Fact_SortedWeights!$C$2:$C$6,$A150,Fact_SortedWeights!$B$2:$B$6,$B150,Fact_SortedWeights!$L$2:$L$6,"Yes"))))</f>
        <v>0</v>
      </c>
      <c r="G150" s="0" t="n">
        <f aca="false">IF(AND(IF($B150="Trash",INDEX('Materials Master'!$F$2:$F$27,MATCH($C150,'Materials Master'!$A$2:$A$27,0)),IF($B150="GMPC Recycling",INDEX('Materials Master'!$G$2:$G$27,MATCH($C150,'Materials Master'!$A$2:$A$27,0)),IF($B150="Organics Recycling",INDEX('Materials Master'!$H$2:$H$27,MATCH($C150,'Materials Master'!$A$2:$A$27,0)),IF($B150="Cardboard Recycling",INDEX('Materials Master'!$I$2:$I$27,MATCH($C150,'Materials Master'!$A$2:$A$27,0)),IF($B150="Paper Recycling",INDEX('Materials Master'!$J$2:$J$27,MATCH($C150,'Materials Master'!$A$2:$A$27,0)),IF($B150="Terracycle",INDEX('Materials Master'!$K$2:$K$27,MATCH($C150,'Materials Master'!$A$2:$A$27,0)),"No"))))))="Yes",INDEX('Materials Master'!$E$2:$E$27,MATCH($C150,'Materials Master'!$A$2:$A$27,0))="Yes",$B150&lt;&gt;"Trash"),1,0)</f>
        <v>0</v>
      </c>
      <c r="H150" s="0" t="str">
        <f aca="false">INDEX('Materials Master'!$E$2:$E$27,MATCH($C150,'Materials Master'!$A$2:$A$27,0))</f>
        <v>No</v>
      </c>
      <c r="I150" s="0" t="str">
        <f aca="false">IFERROR(INDEX(Areas!$C$2:$C$6,MATCH($A150,Areas!$B$2:$B$6,0)),"")</f>
        <v>Rest of Building</v>
      </c>
      <c r="J150" s="0" t="n">
        <f aca="false">IF(IF($B150="Trash",INDEX('Materials Master'!$F$2:$F$27,MATCH($C150,'Materials Master'!$A$2:$A$27,0)),IF($B150="GMPC Recycling",INDEX('Materials Master'!$G$2:$G$27,MATCH($C150,'Materials Master'!$A$2:$A$27,0)),IF($B150="Organics Recycling",INDEX('Materials Master'!$H$2:$H$27,MATCH($C150,'Materials Master'!$A$2:$A$27,0)),IF($B150="Cardboard Recycling",INDEX('Materials Master'!$I$2:$I$27,MATCH($C150,'Materials Master'!$A$2:$A$27,0)),IF($B150="Paper Recycling",INDEX('Materials Master'!$J$2:$J$27,MATCH($C150,'Materials Master'!$A$2:$A$27,0)),IF($B150="Terracycle",INDEX('Materials Master'!$K$2:$K$27,MATCH($C150,'Materials Master'!$A$2:$A$27,0)),"No"))))))="Yes",1,0)</f>
        <v>0</v>
      </c>
    </row>
    <row r="151" customFormat="false" ht="15" hidden="false" customHeight="false" outlineLevel="0" collapsed="false">
      <c r="A151" s="0" t="s">
        <v>91</v>
      </c>
      <c r="B151" s="0" t="s">
        <v>108</v>
      </c>
      <c r="C151" s="0" t="s">
        <v>71</v>
      </c>
      <c r="D151" s="0" t="str">
        <f aca="false">IFERROR(INDEX('Materials Master'!$B$2:$B$27,MATCH($C151,'Materials Master'!$A$2:$A$27,0)),"")</f>
        <v>PLA Compostable Serviceware</v>
      </c>
      <c r="E151" s="0" t="str">
        <f aca="false">IFERROR(INDEX('Materials Master'!$C$2:$C$27,MATCH($C151,'Materials Master'!$A$2:$A$27,0)),"")</f>
        <v>Organics</v>
      </c>
      <c r="F151" s="0" t="n">
        <f aca="false">(SUMIFS(Fact_PreSortWeights!$E$2:$E$15,Fact_PreSortWeights!$C$2:$C$15,$A151,Fact_PreSortWeights!$B$2:$B$15,$B151,Fact_PreSortWeights!$F$2:$F$15,$C151))+(SUMIFS(Fact_SortedWeights!$E$2:$E$6,Fact_SortedWeights!$C$2:$C$6,$A151,Fact_SortedWeights!$B$2:$B$6,$B151,Fact_SortedWeights!$D$2:$D$6,$C151,Fact_SortedWeights!$L$2:$L$6,"Yes"))+IF((SUMIFS(Fact_SortedWeights!$E$2:$E$6,Fact_SortedWeights!$C$2:$C$6,$A151,Fact_SortedWeights!$B$2:$B$6,$B151,Fact_SortedWeights!$L$2:$L$6,"No"))=0,0,(SUMIFS(Fact_SortedWeights!$E$2:$E$6,Fact_SortedWeights!$C$2:$C$6,$A151,Fact_SortedWeights!$B$2:$B$6,$B151,Fact_SortedWeights!$D$2:$D$6,$C151,Fact_SortedWeights!$L$2:$L$6,"No"))/(SUMIFS(Fact_SortedWeights!$E$2:$E$6,Fact_SortedWeights!$C$2:$C$6,$A151,Fact_SortedWeights!$B$2:$B$6,$B151,Fact_SortedWeights!$L$2:$L$6,"No"))*((SUMIFS(Fact_PreSortWeights!$E$2:$E$15,Fact_PreSortWeights!$C$2:$C$15,$A151,Fact_PreSortWeights!$B$2:$B$15,$B151,Fact_PreSortWeights!$F$2:$F$15,""))-(SUMIFS(Fact_SortedWeights!$E$2:$E$6,Fact_SortedWeights!$C$2:$C$6,$A151,Fact_SortedWeights!$B$2:$B$6,$B151,Fact_SortedWeights!$L$2:$L$6,"Yes"))))</f>
        <v>0</v>
      </c>
      <c r="G151" s="0" t="n">
        <f aca="false">IF(AND(IF($B151="Trash",INDEX('Materials Master'!$F$2:$F$27,MATCH($C151,'Materials Master'!$A$2:$A$27,0)),IF($B151="GMPC Recycling",INDEX('Materials Master'!$G$2:$G$27,MATCH($C151,'Materials Master'!$A$2:$A$27,0)),IF($B151="Organics Recycling",INDEX('Materials Master'!$H$2:$H$27,MATCH($C151,'Materials Master'!$A$2:$A$27,0)),IF($B151="Cardboard Recycling",INDEX('Materials Master'!$I$2:$I$27,MATCH($C151,'Materials Master'!$A$2:$A$27,0)),IF($B151="Paper Recycling",INDEX('Materials Master'!$J$2:$J$27,MATCH($C151,'Materials Master'!$A$2:$A$27,0)),IF($B151="Terracycle",INDEX('Materials Master'!$K$2:$K$27,MATCH($C151,'Materials Master'!$A$2:$A$27,0)),"No"))))))="Yes",INDEX('Materials Master'!$E$2:$E$27,MATCH($C151,'Materials Master'!$A$2:$A$27,0))="Yes",$B151&lt;&gt;"Trash"),1,0)</f>
        <v>0</v>
      </c>
      <c r="H151" s="0" t="str">
        <f aca="false">INDEX('Materials Master'!$E$2:$E$27,MATCH($C151,'Materials Master'!$A$2:$A$27,0))</f>
        <v>No</v>
      </c>
      <c r="I151" s="0" t="str">
        <f aca="false">IFERROR(INDEX(Areas!$C$2:$C$6,MATCH($A151,Areas!$B$2:$B$6,0)),"")</f>
        <v>Rest of Building</v>
      </c>
      <c r="J151" s="0" t="n">
        <f aca="false">IF(IF($B151="Trash",INDEX('Materials Master'!$F$2:$F$27,MATCH($C151,'Materials Master'!$A$2:$A$27,0)),IF($B151="GMPC Recycling",INDEX('Materials Master'!$G$2:$G$27,MATCH($C151,'Materials Master'!$A$2:$A$27,0)),IF($B151="Organics Recycling",INDEX('Materials Master'!$H$2:$H$27,MATCH($C151,'Materials Master'!$A$2:$A$27,0)),IF($B151="Cardboard Recycling",INDEX('Materials Master'!$I$2:$I$27,MATCH($C151,'Materials Master'!$A$2:$A$27,0)),IF($B151="Paper Recycling",INDEX('Materials Master'!$J$2:$J$27,MATCH($C151,'Materials Master'!$A$2:$A$27,0)),IF($B151="Terracycle",INDEX('Materials Master'!$K$2:$K$27,MATCH($C151,'Materials Master'!$A$2:$A$27,0)),"No"))))))="Yes",1,0)</f>
        <v>0</v>
      </c>
    </row>
    <row r="152" customFormat="false" ht="15" hidden="false" customHeight="false" outlineLevel="0" collapsed="false">
      <c r="A152" s="0" t="s">
        <v>91</v>
      </c>
      <c r="B152" s="0" t="s">
        <v>108</v>
      </c>
      <c r="C152" s="0" t="s">
        <v>73</v>
      </c>
      <c r="D152" s="0" t="str">
        <f aca="false">IFERROR(INDEX('Materials Master'!$B$2:$B$27,MATCH($C152,'Materials Master'!$A$2:$A$27,0)),"")</f>
        <v>E/U Waste</v>
      </c>
      <c r="E152" s="0" t="str">
        <f aca="false">IFERROR(INDEX('Materials Master'!$C$2:$C$27,MATCH($C152,'Materials Master'!$A$2:$A$27,0)),"")</f>
        <v>Unacceptable</v>
      </c>
      <c r="F152" s="0" t="n">
        <f aca="false">(SUMIFS(Fact_PreSortWeights!$E$2:$E$15,Fact_PreSortWeights!$C$2:$C$15,$A152,Fact_PreSortWeights!$B$2:$B$15,$B152,Fact_PreSortWeights!$F$2:$F$15,$C152))+(SUMIFS(Fact_SortedWeights!$E$2:$E$6,Fact_SortedWeights!$C$2:$C$6,$A152,Fact_SortedWeights!$B$2:$B$6,$B152,Fact_SortedWeights!$D$2:$D$6,$C152,Fact_SortedWeights!$L$2:$L$6,"Yes"))+IF((SUMIFS(Fact_SortedWeights!$E$2:$E$6,Fact_SortedWeights!$C$2:$C$6,$A152,Fact_SortedWeights!$B$2:$B$6,$B152,Fact_SortedWeights!$L$2:$L$6,"No"))=0,0,(SUMIFS(Fact_SortedWeights!$E$2:$E$6,Fact_SortedWeights!$C$2:$C$6,$A152,Fact_SortedWeights!$B$2:$B$6,$B152,Fact_SortedWeights!$D$2:$D$6,$C152,Fact_SortedWeights!$L$2:$L$6,"No"))/(SUMIFS(Fact_SortedWeights!$E$2:$E$6,Fact_SortedWeights!$C$2:$C$6,$A152,Fact_SortedWeights!$B$2:$B$6,$B152,Fact_SortedWeights!$L$2:$L$6,"No"))*((SUMIFS(Fact_PreSortWeights!$E$2:$E$15,Fact_PreSortWeights!$C$2:$C$15,$A152,Fact_PreSortWeights!$B$2:$B$15,$B152,Fact_PreSortWeights!$F$2:$F$15,""))-(SUMIFS(Fact_SortedWeights!$E$2:$E$6,Fact_SortedWeights!$C$2:$C$6,$A152,Fact_SortedWeights!$B$2:$B$6,$B152,Fact_SortedWeights!$L$2:$L$6,"Yes"))))</f>
        <v>0</v>
      </c>
      <c r="G152" s="0" t="n">
        <f aca="false">IF(AND(IF($B152="Trash",INDEX('Materials Master'!$F$2:$F$27,MATCH($C152,'Materials Master'!$A$2:$A$27,0)),IF($B152="GMPC Recycling",INDEX('Materials Master'!$G$2:$G$27,MATCH($C152,'Materials Master'!$A$2:$A$27,0)),IF($B152="Organics Recycling",INDEX('Materials Master'!$H$2:$H$27,MATCH($C152,'Materials Master'!$A$2:$A$27,0)),IF($B152="Cardboard Recycling",INDEX('Materials Master'!$I$2:$I$27,MATCH($C152,'Materials Master'!$A$2:$A$27,0)),IF($B152="Paper Recycling",INDEX('Materials Master'!$J$2:$J$27,MATCH($C152,'Materials Master'!$A$2:$A$27,0)),IF($B152="Terracycle",INDEX('Materials Master'!$K$2:$K$27,MATCH($C152,'Materials Master'!$A$2:$A$27,0)),"No"))))))="Yes",INDEX('Materials Master'!$E$2:$E$27,MATCH($C152,'Materials Master'!$A$2:$A$27,0))="Yes",$B152&lt;&gt;"Trash"),1,0)</f>
        <v>0</v>
      </c>
      <c r="H152" s="0" t="str">
        <f aca="false">INDEX('Materials Master'!$E$2:$E$27,MATCH($C152,'Materials Master'!$A$2:$A$27,0))</f>
        <v>No</v>
      </c>
      <c r="I152" s="0" t="str">
        <f aca="false">IFERROR(INDEX(Areas!$C$2:$C$6,MATCH($A152,Areas!$B$2:$B$6,0)),"")</f>
        <v>Rest of Building</v>
      </c>
      <c r="J152" s="0" t="n">
        <f aca="false">IF(IF($B152="Trash",INDEX('Materials Master'!$F$2:$F$27,MATCH($C152,'Materials Master'!$A$2:$A$27,0)),IF($B152="GMPC Recycling",INDEX('Materials Master'!$G$2:$G$27,MATCH($C152,'Materials Master'!$A$2:$A$27,0)),IF($B152="Organics Recycling",INDEX('Materials Master'!$H$2:$H$27,MATCH($C152,'Materials Master'!$A$2:$A$27,0)),IF($B152="Cardboard Recycling",INDEX('Materials Master'!$I$2:$I$27,MATCH($C152,'Materials Master'!$A$2:$A$27,0)),IF($B152="Paper Recycling",INDEX('Materials Master'!$J$2:$J$27,MATCH($C152,'Materials Master'!$A$2:$A$27,0)),IF($B152="Terracycle",INDEX('Materials Master'!$K$2:$K$27,MATCH($C152,'Materials Master'!$A$2:$A$27,0)),"No"))))))="Yes",1,0)</f>
        <v>0</v>
      </c>
    </row>
    <row r="153" customFormat="false" ht="15" hidden="false" customHeight="false" outlineLevel="0" collapsed="false">
      <c r="A153" s="0" t="s">
        <v>91</v>
      </c>
      <c r="B153" s="0" t="s">
        <v>108</v>
      </c>
      <c r="C153" s="0" t="s">
        <v>76</v>
      </c>
      <c r="D153" s="0" t="str">
        <f aca="false">IFERROR(INDEX('Materials Master'!$B$2:$B$27,MATCH($C153,'Materials Master'!$A$2:$A$27,0)),"")</f>
        <v>Textiles</v>
      </c>
      <c r="E153" s="0" t="str">
        <f aca="false">IFERROR(INDEX('Materials Master'!$C$2:$C$27,MATCH($C153,'Materials Master'!$A$2:$A$27,0)),"")</f>
        <v>Unacceptable</v>
      </c>
      <c r="F153" s="0" t="n">
        <f aca="false">(SUMIFS(Fact_PreSortWeights!$E$2:$E$15,Fact_PreSortWeights!$C$2:$C$15,$A153,Fact_PreSortWeights!$B$2:$B$15,$B153,Fact_PreSortWeights!$F$2:$F$15,$C153))+(SUMIFS(Fact_SortedWeights!$E$2:$E$6,Fact_SortedWeights!$C$2:$C$6,$A153,Fact_SortedWeights!$B$2:$B$6,$B153,Fact_SortedWeights!$D$2:$D$6,$C153,Fact_SortedWeights!$L$2:$L$6,"Yes"))+IF((SUMIFS(Fact_SortedWeights!$E$2:$E$6,Fact_SortedWeights!$C$2:$C$6,$A153,Fact_SortedWeights!$B$2:$B$6,$B153,Fact_SortedWeights!$L$2:$L$6,"No"))=0,0,(SUMIFS(Fact_SortedWeights!$E$2:$E$6,Fact_SortedWeights!$C$2:$C$6,$A153,Fact_SortedWeights!$B$2:$B$6,$B153,Fact_SortedWeights!$D$2:$D$6,$C153,Fact_SortedWeights!$L$2:$L$6,"No"))/(SUMIFS(Fact_SortedWeights!$E$2:$E$6,Fact_SortedWeights!$C$2:$C$6,$A153,Fact_SortedWeights!$B$2:$B$6,$B153,Fact_SortedWeights!$L$2:$L$6,"No"))*((SUMIFS(Fact_PreSortWeights!$E$2:$E$15,Fact_PreSortWeights!$C$2:$C$15,$A153,Fact_PreSortWeights!$B$2:$B$15,$B153,Fact_PreSortWeights!$F$2:$F$15,""))-(SUMIFS(Fact_SortedWeights!$E$2:$E$6,Fact_SortedWeights!$C$2:$C$6,$A153,Fact_SortedWeights!$B$2:$B$6,$B153,Fact_SortedWeights!$L$2:$L$6,"Yes"))))</f>
        <v>0</v>
      </c>
      <c r="G153" s="0" t="n">
        <f aca="false">IF(AND(IF($B153="Trash",INDEX('Materials Master'!$F$2:$F$27,MATCH($C153,'Materials Master'!$A$2:$A$27,0)),IF($B153="GMPC Recycling",INDEX('Materials Master'!$G$2:$G$27,MATCH($C153,'Materials Master'!$A$2:$A$27,0)),IF($B153="Organics Recycling",INDEX('Materials Master'!$H$2:$H$27,MATCH($C153,'Materials Master'!$A$2:$A$27,0)),IF($B153="Cardboard Recycling",INDEX('Materials Master'!$I$2:$I$27,MATCH($C153,'Materials Master'!$A$2:$A$27,0)),IF($B153="Paper Recycling",INDEX('Materials Master'!$J$2:$J$27,MATCH($C153,'Materials Master'!$A$2:$A$27,0)),IF($B153="Terracycle",INDEX('Materials Master'!$K$2:$K$27,MATCH($C153,'Materials Master'!$A$2:$A$27,0)),"No"))))))="Yes",INDEX('Materials Master'!$E$2:$E$27,MATCH($C153,'Materials Master'!$A$2:$A$27,0))="Yes",$B153&lt;&gt;"Trash"),1,0)</f>
        <v>0</v>
      </c>
      <c r="H153" s="0" t="str">
        <f aca="false">INDEX('Materials Master'!$E$2:$E$27,MATCH($C153,'Materials Master'!$A$2:$A$27,0))</f>
        <v>No</v>
      </c>
      <c r="I153" s="0" t="str">
        <f aca="false">IFERROR(INDEX(Areas!$C$2:$C$6,MATCH($A153,Areas!$B$2:$B$6,0)),"")</f>
        <v>Rest of Building</v>
      </c>
      <c r="J153" s="0" t="n">
        <f aca="false">IF(IF($B153="Trash",INDEX('Materials Master'!$F$2:$F$27,MATCH($C153,'Materials Master'!$A$2:$A$27,0)),IF($B153="GMPC Recycling",INDEX('Materials Master'!$G$2:$G$27,MATCH($C153,'Materials Master'!$A$2:$A$27,0)),IF($B153="Organics Recycling",INDEX('Materials Master'!$H$2:$H$27,MATCH($C153,'Materials Master'!$A$2:$A$27,0)),IF($B153="Cardboard Recycling",INDEX('Materials Master'!$I$2:$I$27,MATCH($C153,'Materials Master'!$A$2:$A$27,0)),IF($B153="Paper Recycling",INDEX('Materials Master'!$J$2:$J$27,MATCH($C153,'Materials Master'!$A$2:$A$27,0)),IF($B153="Terracycle",INDEX('Materials Master'!$K$2:$K$27,MATCH($C153,'Materials Master'!$A$2:$A$27,0)),"No"))))))="Yes",1,0)</f>
        <v>0</v>
      </c>
    </row>
    <row r="154" customFormat="false" ht="15" hidden="false" customHeight="false" outlineLevel="0" collapsed="false">
      <c r="A154" s="0" t="s">
        <v>91</v>
      </c>
      <c r="B154" s="0" t="s">
        <v>108</v>
      </c>
      <c r="C154" s="0" t="s">
        <v>78</v>
      </c>
      <c r="D154" s="0" t="str">
        <f aca="false">IFERROR(INDEX('Materials Master'!$B$2:$B$27,MATCH($C154,'Materials Master'!$A$2:$A$27,0)),"")</f>
        <v>Other Unacceptable (specify)</v>
      </c>
      <c r="E154" s="0" t="str">
        <f aca="false">IFERROR(INDEX('Materials Master'!$C$2:$C$27,MATCH($C154,'Materials Master'!$A$2:$A$27,0)),"")</f>
        <v>Unacceptable</v>
      </c>
      <c r="F154" s="0" t="n">
        <f aca="false">(SUMIFS(Fact_PreSortWeights!$E$2:$E$15,Fact_PreSortWeights!$C$2:$C$15,$A154,Fact_PreSortWeights!$B$2:$B$15,$B154,Fact_PreSortWeights!$F$2:$F$15,$C154))+(SUMIFS(Fact_SortedWeights!$E$2:$E$6,Fact_SortedWeights!$C$2:$C$6,$A154,Fact_SortedWeights!$B$2:$B$6,$B154,Fact_SortedWeights!$D$2:$D$6,$C154,Fact_SortedWeights!$L$2:$L$6,"Yes"))+IF((SUMIFS(Fact_SortedWeights!$E$2:$E$6,Fact_SortedWeights!$C$2:$C$6,$A154,Fact_SortedWeights!$B$2:$B$6,$B154,Fact_SortedWeights!$L$2:$L$6,"No"))=0,0,(SUMIFS(Fact_SortedWeights!$E$2:$E$6,Fact_SortedWeights!$C$2:$C$6,$A154,Fact_SortedWeights!$B$2:$B$6,$B154,Fact_SortedWeights!$D$2:$D$6,$C154,Fact_SortedWeights!$L$2:$L$6,"No"))/(SUMIFS(Fact_SortedWeights!$E$2:$E$6,Fact_SortedWeights!$C$2:$C$6,$A154,Fact_SortedWeights!$B$2:$B$6,$B154,Fact_SortedWeights!$L$2:$L$6,"No"))*((SUMIFS(Fact_PreSortWeights!$E$2:$E$15,Fact_PreSortWeights!$C$2:$C$15,$A154,Fact_PreSortWeights!$B$2:$B$15,$B154,Fact_PreSortWeights!$F$2:$F$15,""))-(SUMIFS(Fact_SortedWeights!$E$2:$E$6,Fact_SortedWeights!$C$2:$C$6,$A154,Fact_SortedWeights!$B$2:$B$6,$B154,Fact_SortedWeights!$L$2:$L$6,"Yes"))))</f>
        <v>0</v>
      </c>
      <c r="G154" s="0" t="n">
        <f aca="false">IF(AND(IF($B154="Trash",INDEX('Materials Master'!$F$2:$F$27,MATCH($C154,'Materials Master'!$A$2:$A$27,0)),IF($B154="GMPC Recycling",INDEX('Materials Master'!$G$2:$G$27,MATCH($C154,'Materials Master'!$A$2:$A$27,0)),IF($B154="Organics Recycling",INDEX('Materials Master'!$H$2:$H$27,MATCH($C154,'Materials Master'!$A$2:$A$27,0)),IF($B154="Cardboard Recycling",INDEX('Materials Master'!$I$2:$I$27,MATCH($C154,'Materials Master'!$A$2:$A$27,0)),IF($B154="Paper Recycling",INDEX('Materials Master'!$J$2:$J$27,MATCH($C154,'Materials Master'!$A$2:$A$27,0)),IF($B154="Terracycle",INDEX('Materials Master'!$K$2:$K$27,MATCH($C154,'Materials Master'!$A$2:$A$27,0)),"No"))))))="Yes",INDEX('Materials Master'!$E$2:$E$27,MATCH($C154,'Materials Master'!$A$2:$A$27,0))="Yes",$B154&lt;&gt;"Trash"),1,0)</f>
        <v>0</v>
      </c>
      <c r="H154" s="0" t="str">
        <f aca="false">INDEX('Materials Master'!$E$2:$E$27,MATCH($C154,'Materials Master'!$A$2:$A$27,0))</f>
        <v>No</v>
      </c>
      <c r="I154" s="0" t="str">
        <f aca="false">IFERROR(INDEX(Areas!$C$2:$C$6,MATCH($A154,Areas!$B$2:$B$6,0)),"")</f>
        <v>Rest of Building</v>
      </c>
      <c r="J154" s="0" t="n">
        <f aca="false">IF(IF($B154="Trash",INDEX('Materials Master'!$F$2:$F$27,MATCH($C154,'Materials Master'!$A$2:$A$27,0)),IF($B154="GMPC Recycling",INDEX('Materials Master'!$G$2:$G$27,MATCH($C154,'Materials Master'!$A$2:$A$27,0)),IF($B154="Organics Recycling",INDEX('Materials Master'!$H$2:$H$27,MATCH($C154,'Materials Master'!$A$2:$A$27,0)),IF($B154="Cardboard Recycling",INDEX('Materials Master'!$I$2:$I$27,MATCH($C154,'Materials Master'!$A$2:$A$27,0)),IF($B154="Paper Recycling",INDEX('Materials Master'!$J$2:$J$27,MATCH($C154,'Materials Master'!$A$2:$A$27,0)),IF($B154="Terracycle",INDEX('Materials Master'!$K$2:$K$27,MATCH($C154,'Materials Master'!$A$2:$A$27,0)),"No"))))))="Yes",1,0)</f>
        <v>0</v>
      </c>
    </row>
    <row r="155" customFormat="false" ht="15" hidden="false" customHeight="false" outlineLevel="0" collapsed="false">
      <c r="A155" s="0" t="s">
        <v>91</v>
      </c>
      <c r="B155" s="0" t="s">
        <v>108</v>
      </c>
      <c r="C155" s="0" t="s">
        <v>80</v>
      </c>
      <c r="D155" s="0" t="str">
        <f aca="false">IFERROR(INDEX('Materials Master'!$B$2:$B$27,MATCH($C155,'Materials Master'!$A$2:$A$27,0)),"")</f>
        <v>Liquids</v>
      </c>
      <c r="E155" s="0" t="str">
        <f aca="false">IFERROR(INDEX('Materials Master'!$C$2:$C$27,MATCH($C155,'Materials Master'!$A$2:$A$27,0)),"")</f>
        <v>Unacceptable</v>
      </c>
      <c r="F155" s="0" t="n">
        <f aca="false">(SUMIFS(Fact_PreSortWeights!$E$2:$E$15,Fact_PreSortWeights!$C$2:$C$15,$A155,Fact_PreSortWeights!$B$2:$B$15,$B155,Fact_PreSortWeights!$F$2:$F$15,$C155))+(SUMIFS(Fact_SortedWeights!$E$2:$E$6,Fact_SortedWeights!$C$2:$C$6,$A155,Fact_SortedWeights!$B$2:$B$6,$B155,Fact_SortedWeights!$D$2:$D$6,$C155,Fact_SortedWeights!$L$2:$L$6,"Yes"))+IF((SUMIFS(Fact_SortedWeights!$E$2:$E$6,Fact_SortedWeights!$C$2:$C$6,$A155,Fact_SortedWeights!$B$2:$B$6,$B155,Fact_SortedWeights!$L$2:$L$6,"No"))=0,0,(SUMIFS(Fact_SortedWeights!$E$2:$E$6,Fact_SortedWeights!$C$2:$C$6,$A155,Fact_SortedWeights!$B$2:$B$6,$B155,Fact_SortedWeights!$D$2:$D$6,$C155,Fact_SortedWeights!$L$2:$L$6,"No"))/(SUMIFS(Fact_SortedWeights!$E$2:$E$6,Fact_SortedWeights!$C$2:$C$6,$A155,Fact_SortedWeights!$B$2:$B$6,$B155,Fact_SortedWeights!$L$2:$L$6,"No"))*((SUMIFS(Fact_PreSortWeights!$E$2:$E$15,Fact_PreSortWeights!$C$2:$C$15,$A155,Fact_PreSortWeights!$B$2:$B$15,$B155,Fact_PreSortWeights!$F$2:$F$15,""))-(SUMIFS(Fact_SortedWeights!$E$2:$E$6,Fact_SortedWeights!$C$2:$C$6,$A155,Fact_SortedWeights!$B$2:$B$6,$B155,Fact_SortedWeights!$L$2:$L$6,"Yes"))))</f>
        <v>0</v>
      </c>
      <c r="G155" s="0" t="n">
        <f aca="false">IF(AND(IF($B155="Trash",INDEX('Materials Master'!$F$2:$F$27,MATCH($C155,'Materials Master'!$A$2:$A$27,0)),IF($B155="GMPC Recycling",INDEX('Materials Master'!$G$2:$G$27,MATCH($C155,'Materials Master'!$A$2:$A$27,0)),IF($B155="Organics Recycling",INDEX('Materials Master'!$H$2:$H$27,MATCH($C155,'Materials Master'!$A$2:$A$27,0)),IF($B155="Cardboard Recycling",INDEX('Materials Master'!$I$2:$I$27,MATCH($C155,'Materials Master'!$A$2:$A$27,0)),IF($B155="Paper Recycling",INDEX('Materials Master'!$J$2:$J$27,MATCH($C155,'Materials Master'!$A$2:$A$27,0)),IF($B155="Terracycle",INDEX('Materials Master'!$K$2:$K$27,MATCH($C155,'Materials Master'!$A$2:$A$27,0)),"No"))))))="Yes",INDEX('Materials Master'!$E$2:$E$27,MATCH($C155,'Materials Master'!$A$2:$A$27,0))="Yes",$B155&lt;&gt;"Trash"),1,0)</f>
        <v>0</v>
      </c>
      <c r="H155" s="0" t="str">
        <f aca="false">INDEX('Materials Master'!$E$2:$E$27,MATCH($C155,'Materials Master'!$A$2:$A$27,0))</f>
        <v>No</v>
      </c>
      <c r="I155" s="0" t="str">
        <f aca="false">IFERROR(INDEX(Areas!$C$2:$C$6,MATCH($A155,Areas!$B$2:$B$6,0)),"")</f>
        <v>Rest of Building</v>
      </c>
      <c r="J155" s="0" t="n">
        <f aca="false">IF(IF($B155="Trash",INDEX('Materials Master'!$F$2:$F$27,MATCH($C155,'Materials Master'!$A$2:$A$27,0)),IF($B155="GMPC Recycling",INDEX('Materials Master'!$G$2:$G$27,MATCH($C155,'Materials Master'!$A$2:$A$27,0)),IF($B155="Organics Recycling",INDEX('Materials Master'!$H$2:$H$27,MATCH($C155,'Materials Master'!$A$2:$A$27,0)),IF($B155="Cardboard Recycling",INDEX('Materials Master'!$I$2:$I$27,MATCH($C155,'Materials Master'!$A$2:$A$27,0)),IF($B155="Paper Recycling",INDEX('Materials Master'!$J$2:$J$27,MATCH($C155,'Materials Master'!$A$2:$A$27,0)),IF($B155="Terracycle",INDEX('Materials Master'!$K$2:$K$27,MATCH($C155,'Materials Master'!$A$2:$A$27,0)),"No"))))))="Yes",1,0)</f>
        <v>0</v>
      </c>
    </row>
    <row r="156" customFormat="false" ht="15" hidden="false" customHeight="false" outlineLevel="0" collapsed="false">
      <c r="A156" s="0" t="s">
        <v>91</v>
      </c>
      <c r="B156" s="0" t="s">
        <v>108</v>
      </c>
      <c r="C156" s="0" t="s">
        <v>82</v>
      </c>
      <c r="D156" s="0" t="str">
        <f aca="false">IFERROR(INDEX('Materials Master'!$B$2:$B$27,MATCH($C156,'Materials Master'!$A$2:$A$27,0)),"")</f>
        <v>Snack Wrappers (Composites)</v>
      </c>
      <c r="E156" s="0" t="str">
        <f aca="false">IFERROR(INDEX('Materials Master'!$C$2:$C$27,MATCH($C156,'Materials Master'!$A$2:$A$27,0)),"")</f>
        <v>Other</v>
      </c>
      <c r="F156" s="0" t="n">
        <f aca="false">(SUMIFS(Fact_PreSortWeights!$E$2:$E$15,Fact_PreSortWeights!$C$2:$C$15,$A156,Fact_PreSortWeights!$B$2:$B$15,$B156,Fact_PreSortWeights!$F$2:$F$15,$C156))+(SUMIFS(Fact_SortedWeights!$E$2:$E$6,Fact_SortedWeights!$C$2:$C$6,$A156,Fact_SortedWeights!$B$2:$B$6,$B156,Fact_SortedWeights!$D$2:$D$6,$C156,Fact_SortedWeights!$L$2:$L$6,"Yes"))+IF((SUMIFS(Fact_SortedWeights!$E$2:$E$6,Fact_SortedWeights!$C$2:$C$6,$A156,Fact_SortedWeights!$B$2:$B$6,$B156,Fact_SortedWeights!$L$2:$L$6,"No"))=0,0,(SUMIFS(Fact_SortedWeights!$E$2:$E$6,Fact_SortedWeights!$C$2:$C$6,$A156,Fact_SortedWeights!$B$2:$B$6,$B156,Fact_SortedWeights!$D$2:$D$6,$C156,Fact_SortedWeights!$L$2:$L$6,"No"))/(SUMIFS(Fact_SortedWeights!$E$2:$E$6,Fact_SortedWeights!$C$2:$C$6,$A156,Fact_SortedWeights!$B$2:$B$6,$B156,Fact_SortedWeights!$L$2:$L$6,"No"))*((SUMIFS(Fact_PreSortWeights!$E$2:$E$15,Fact_PreSortWeights!$C$2:$C$15,$A156,Fact_PreSortWeights!$B$2:$B$15,$B156,Fact_PreSortWeights!$F$2:$F$15,""))-(SUMIFS(Fact_SortedWeights!$E$2:$E$6,Fact_SortedWeights!$C$2:$C$6,$A156,Fact_SortedWeights!$B$2:$B$6,$B156,Fact_SortedWeights!$L$2:$L$6,"Yes"))))</f>
        <v>0</v>
      </c>
      <c r="G156" s="0" t="n">
        <f aca="false">IF(AND(IF($B156="Trash",INDEX('Materials Master'!$F$2:$F$27,MATCH($C156,'Materials Master'!$A$2:$A$27,0)),IF($B156="GMPC Recycling",INDEX('Materials Master'!$G$2:$G$27,MATCH($C156,'Materials Master'!$A$2:$A$27,0)),IF($B156="Organics Recycling",INDEX('Materials Master'!$H$2:$H$27,MATCH($C156,'Materials Master'!$A$2:$A$27,0)),IF($B156="Cardboard Recycling",INDEX('Materials Master'!$I$2:$I$27,MATCH($C156,'Materials Master'!$A$2:$A$27,0)),IF($B156="Paper Recycling",INDEX('Materials Master'!$J$2:$J$27,MATCH($C156,'Materials Master'!$A$2:$A$27,0)),IF($B156="Terracycle",INDEX('Materials Master'!$K$2:$K$27,MATCH($C156,'Materials Master'!$A$2:$A$27,0)),"No"))))))="Yes",INDEX('Materials Master'!$E$2:$E$27,MATCH($C156,'Materials Master'!$A$2:$A$27,0))="Yes",$B156&lt;&gt;"Trash"),1,0)</f>
        <v>1</v>
      </c>
      <c r="H156" s="0" t="str">
        <f aca="false">INDEX('Materials Master'!$E$2:$E$27,MATCH($C156,'Materials Master'!$A$2:$A$27,0))</f>
        <v>Yes</v>
      </c>
      <c r="I156" s="0" t="str">
        <f aca="false">IFERROR(INDEX(Areas!$C$2:$C$6,MATCH($A156,Areas!$B$2:$B$6,0)),"")</f>
        <v>Rest of Building</v>
      </c>
      <c r="J156" s="0" t="n">
        <f aca="false">IF(IF($B156="Trash",INDEX('Materials Master'!$F$2:$F$27,MATCH($C156,'Materials Master'!$A$2:$A$27,0)),IF($B156="GMPC Recycling",INDEX('Materials Master'!$G$2:$G$27,MATCH($C156,'Materials Master'!$A$2:$A$27,0)),IF($B156="Organics Recycling",INDEX('Materials Master'!$H$2:$H$27,MATCH($C156,'Materials Master'!$A$2:$A$27,0)),IF($B156="Cardboard Recycling",INDEX('Materials Master'!$I$2:$I$27,MATCH($C156,'Materials Master'!$A$2:$A$27,0)),IF($B156="Paper Recycling",INDEX('Materials Master'!$J$2:$J$27,MATCH($C156,'Materials Master'!$A$2:$A$27,0)),IF($B156="Terracycle",INDEX('Materials Master'!$K$2:$K$27,MATCH($C156,'Materials Master'!$A$2:$A$27,0)),"No"))))))="Yes",1,0)</f>
        <v>1</v>
      </c>
    </row>
    <row r="157" customFormat="false" ht="15" hidden="false" customHeight="false" outlineLevel="0" collapsed="false">
      <c r="A157" s="0" t="s">
        <v>91</v>
      </c>
      <c r="B157" s="0" t="s">
        <v>108</v>
      </c>
      <c r="C157" s="0" t="s">
        <v>85</v>
      </c>
      <c r="D157" s="0" t="str">
        <f aca="false">IFERROR(INDEX('Materials Master'!$B$2:$B$27,MATCH($C157,'Materials Master'!$A$2:$A$27,0)),"")</f>
        <v>Other/Residual Materials</v>
      </c>
      <c r="E157" s="0" t="str">
        <f aca="false">IFERROR(INDEX('Materials Master'!$C$2:$C$27,MATCH($C157,'Materials Master'!$A$2:$A$27,0)),"")</f>
        <v>Other</v>
      </c>
      <c r="F157" s="0" t="n">
        <f aca="false">(SUMIFS(Fact_PreSortWeights!$E$2:$E$15,Fact_PreSortWeights!$C$2:$C$15,$A157,Fact_PreSortWeights!$B$2:$B$15,$B157,Fact_PreSortWeights!$F$2:$F$15,$C157))+(SUMIFS(Fact_SortedWeights!$E$2:$E$6,Fact_SortedWeights!$C$2:$C$6,$A157,Fact_SortedWeights!$B$2:$B$6,$B157,Fact_SortedWeights!$D$2:$D$6,$C157,Fact_SortedWeights!$L$2:$L$6,"Yes"))+IF((SUMIFS(Fact_SortedWeights!$E$2:$E$6,Fact_SortedWeights!$C$2:$C$6,$A157,Fact_SortedWeights!$B$2:$B$6,$B157,Fact_SortedWeights!$L$2:$L$6,"No"))=0,0,(SUMIFS(Fact_SortedWeights!$E$2:$E$6,Fact_SortedWeights!$C$2:$C$6,$A157,Fact_SortedWeights!$B$2:$B$6,$B157,Fact_SortedWeights!$D$2:$D$6,$C157,Fact_SortedWeights!$L$2:$L$6,"No"))/(SUMIFS(Fact_SortedWeights!$E$2:$E$6,Fact_SortedWeights!$C$2:$C$6,$A157,Fact_SortedWeights!$B$2:$B$6,$B157,Fact_SortedWeights!$L$2:$L$6,"No"))*((SUMIFS(Fact_PreSortWeights!$E$2:$E$15,Fact_PreSortWeights!$C$2:$C$15,$A157,Fact_PreSortWeights!$B$2:$B$15,$B157,Fact_PreSortWeights!$F$2:$F$15,""))-(SUMIFS(Fact_SortedWeights!$E$2:$E$6,Fact_SortedWeights!$C$2:$C$6,$A157,Fact_SortedWeights!$B$2:$B$6,$B157,Fact_SortedWeights!$L$2:$L$6,"Yes"))))</f>
        <v>0</v>
      </c>
      <c r="G157" s="0" t="n">
        <f aca="false">IF(AND(IF($B157="Trash",INDEX('Materials Master'!$F$2:$F$27,MATCH($C157,'Materials Master'!$A$2:$A$27,0)),IF($B157="GMPC Recycling",INDEX('Materials Master'!$G$2:$G$27,MATCH($C157,'Materials Master'!$A$2:$A$27,0)),IF($B157="Organics Recycling",INDEX('Materials Master'!$H$2:$H$27,MATCH($C157,'Materials Master'!$A$2:$A$27,0)),IF($B157="Cardboard Recycling",INDEX('Materials Master'!$I$2:$I$27,MATCH($C157,'Materials Master'!$A$2:$A$27,0)),IF($B157="Paper Recycling",INDEX('Materials Master'!$J$2:$J$27,MATCH($C157,'Materials Master'!$A$2:$A$27,0)),IF($B157="Terracycle",INDEX('Materials Master'!$K$2:$K$27,MATCH($C157,'Materials Master'!$A$2:$A$27,0)),"No"))))))="Yes",INDEX('Materials Master'!$E$2:$E$27,MATCH($C157,'Materials Master'!$A$2:$A$27,0))="Yes",$B157&lt;&gt;"Trash"),1,0)</f>
        <v>0</v>
      </c>
      <c r="H157" s="0" t="str">
        <f aca="false">INDEX('Materials Master'!$E$2:$E$27,MATCH($C157,'Materials Master'!$A$2:$A$27,0))</f>
        <v>No</v>
      </c>
      <c r="I157" s="0" t="str">
        <f aca="false">IFERROR(INDEX(Areas!$C$2:$C$6,MATCH($A157,Areas!$B$2:$B$6,0)),"")</f>
        <v>Rest of Building</v>
      </c>
      <c r="J157" s="0" t="n">
        <f aca="false">IF(IF($B157="Trash",INDEX('Materials Master'!$F$2:$F$27,MATCH($C157,'Materials Master'!$A$2:$A$27,0)),IF($B157="GMPC Recycling",INDEX('Materials Master'!$G$2:$G$27,MATCH($C157,'Materials Master'!$A$2:$A$27,0)),IF($B157="Organics Recycling",INDEX('Materials Master'!$H$2:$H$27,MATCH($C157,'Materials Master'!$A$2:$A$27,0)),IF($B157="Cardboard Recycling",INDEX('Materials Master'!$I$2:$I$27,MATCH($C157,'Materials Master'!$A$2:$A$27,0)),IF($B157="Paper Recycling",INDEX('Materials Master'!$J$2:$J$27,MATCH($C157,'Materials Master'!$A$2:$A$27,0)),IF($B157="Terracycle",INDEX('Materials Master'!$K$2:$K$27,MATCH($C157,'Materials Master'!$A$2:$A$27,0)),"No"))))))="Yes",1,0)</f>
        <v>0</v>
      </c>
    </row>
    <row r="158" customFormat="false" ht="15" hidden="false" customHeight="false" outlineLevel="0" collapsed="false">
      <c r="A158" s="0" t="s">
        <v>94</v>
      </c>
      <c r="B158" s="0" t="s">
        <v>103</v>
      </c>
      <c r="C158" s="0" t="s">
        <v>26</v>
      </c>
      <c r="D158" s="0" t="str">
        <f aca="false">IFERROR(INDEX('Materials Master'!$B$2:$B$27,MATCH($C158,'Materials Master'!$A$2:$A$27,0)),"")</f>
        <v>Corrugated Cardboard</v>
      </c>
      <c r="E158" s="0" t="str">
        <f aca="false">IFERROR(INDEX('Materials Master'!$C$2:$C$27,MATCH($C158,'Materials Master'!$A$2:$A$27,0)),"")</f>
        <v>Fibers</v>
      </c>
      <c r="F158" s="0" t="n">
        <f aca="false">(SUMIFS(Fact_PreSortWeights!$E$2:$E$15,Fact_PreSortWeights!$C$2:$C$15,$A158,Fact_PreSortWeights!$B$2:$B$15,$B158,Fact_PreSortWeights!$F$2:$F$15,$C158))+(SUMIFS(Fact_SortedWeights!$E$2:$E$6,Fact_SortedWeights!$C$2:$C$6,$A158,Fact_SortedWeights!$B$2:$B$6,$B158,Fact_SortedWeights!$D$2:$D$6,$C158,Fact_SortedWeights!$L$2:$L$6,"Yes"))+IF((SUMIFS(Fact_SortedWeights!$E$2:$E$6,Fact_SortedWeights!$C$2:$C$6,$A158,Fact_SortedWeights!$B$2:$B$6,$B158,Fact_SortedWeights!$L$2:$L$6,"No"))=0,0,(SUMIFS(Fact_SortedWeights!$E$2:$E$6,Fact_SortedWeights!$C$2:$C$6,$A158,Fact_SortedWeights!$B$2:$B$6,$B158,Fact_SortedWeights!$D$2:$D$6,$C158,Fact_SortedWeights!$L$2:$L$6,"No"))/(SUMIFS(Fact_SortedWeights!$E$2:$E$6,Fact_SortedWeights!$C$2:$C$6,$A158,Fact_SortedWeights!$B$2:$B$6,$B158,Fact_SortedWeights!$L$2:$L$6,"No"))*((SUMIFS(Fact_PreSortWeights!$E$2:$E$15,Fact_PreSortWeights!$C$2:$C$15,$A158,Fact_PreSortWeights!$B$2:$B$15,$B158,Fact_PreSortWeights!$F$2:$F$15,""))-(SUMIFS(Fact_SortedWeights!$E$2:$E$6,Fact_SortedWeights!$C$2:$C$6,$A158,Fact_SortedWeights!$B$2:$B$6,$B158,Fact_SortedWeights!$L$2:$L$6,"Yes"))))</f>
        <v>0</v>
      </c>
      <c r="G158" s="0" t="n">
        <f aca="false">IF(AND(IF($B158="Trash",INDEX('Materials Master'!$F$2:$F$27,MATCH($C158,'Materials Master'!$A$2:$A$27,0)),IF($B158="GMPC Recycling",INDEX('Materials Master'!$G$2:$G$27,MATCH($C158,'Materials Master'!$A$2:$A$27,0)),IF($B158="Organics Recycling",INDEX('Materials Master'!$H$2:$H$27,MATCH($C158,'Materials Master'!$A$2:$A$27,0)),IF($B158="Cardboard Recycling",INDEX('Materials Master'!$I$2:$I$27,MATCH($C158,'Materials Master'!$A$2:$A$27,0)),IF($B158="Paper Recycling",INDEX('Materials Master'!$J$2:$J$27,MATCH($C158,'Materials Master'!$A$2:$A$27,0)),IF($B158="Terracycle",INDEX('Materials Master'!$K$2:$K$27,MATCH($C158,'Materials Master'!$A$2:$A$27,0)),"No"))))))="Yes",INDEX('Materials Master'!$E$2:$E$27,MATCH($C158,'Materials Master'!$A$2:$A$27,0))="Yes",$B158&lt;&gt;"Trash"),1,0)</f>
        <v>0</v>
      </c>
      <c r="H158" s="0" t="str">
        <f aca="false">INDEX('Materials Master'!$E$2:$E$27,MATCH($C158,'Materials Master'!$A$2:$A$27,0))</f>
        <v>Yes</v>
      </c>
      <c r="I158" s="0" t="str">
        <f aca="false">IFERROR(INDEX(Areas!$C$2:$C$6,MATCH($A158,Areas!$B$2:$B$6,0)),"")</f>
        <v>BOH</v>
      </c>
      <c r="J158" s="0" t="n">
        <f aca="false">IF(IF($B158="Trash",INDEX('Materials Master'!$F$2:$F$27,MATCH($C158,'Materials Master'!$A$2:$A$27,0)),IF($B158="GMPC Recycling",INDEX('Materials Master'!$G$2:$G$27,MATCH($C158,'Materials Master'!$A$2:$A$27,0)),IF($B158="Organics Recycling",INDEX('Materials Master'!$H$2:$H$27,MATCH($C158,'Materials Master'!$A$2:$A$27,0)),IF($B158="Cardboard Recycling",INDEX('Materials Master'!$I$2:$I$27,MATCH($C158,'Materials Master'!$A$2:$A$27,0)),IF($B158="Paper Recycling",INDEX('Materials Master'!$J$2:$J$27,MATCH($C158,'Materials Master'!$A$2:$A$27,0)),IF($B158="Terracycle",INDEX('Materials Master'!$K$2:$K$27,MATCH($C158,'Materials Master'!$A$2:$A$27,0)),"No"))))))="Yes",1,0)</f>
        <v>0</v>
      </c>
    </row>
    <row r="159" customFormat="false" ht="15" hidden="false" customHeight="false" outlineLevel="0" collapsed="false">
      <c r="A159" s="0" t="s">
        <v>94</v>
      </c>
      <c r="B159" s="0" t="s">
        <v>103</v>
      </c>
      <c r="C159" s="0" t="s">
        <v>31</v>
      </c>
      <c r="D159" s="0" t="str">
        <f aca="false">IFERROR(INDEX('Materials Master'!$B$2:$B$27,MATCH($C159,'Materials Master'!$A$2:$A$27,0)),"")</f>
        <v>Soiled Cardboard</v>
      </c>
      <c r="E159" s="0" t="str">
        <f aca="false">IFERROR(INDEX('Materials Master'!$C$2:$C$27,MATCH($C159,'Materials Master'!$A$2:$A$27,0)),"")</f>
        <v>Fibers</v>
      </c>
      <c r="F159" s="0" t="n">
        <f aca="false">(SUMIFS(Fact_PreSortWeights!$E$2:$E$15,Fact_PreSortWeights!$C$2:$C$15,$A159,Fact_PreSortWeights!$B$2:$B$15,$B159,Fact_PreSortWeights!$F$2:$F$15,$C159))+(SUMIFS(Fact_SortedWeights!$E$2:$E$6,Fact_SortedWeights!$C$2:$C$6,$A159,Fact_SortedWeights!$B$2:$B$6,$B159,Fact_SortedWeights!$D$2:$D$6,$C159,Fact_SortedWeights!$L$2:$L$6,"Yes"))+IF((SUMIFS(Fact_SortedWeights!$E$2:$E$6,Fact_SortedWeights!$C$2:$C$6,$A159,Fact_SortedWeights!$B$2:$B$6,$B159,Fact_SortedWeights!$L$2:$L$6,"No"))=0,0,(SUMIFS(Fact_SortedWeights!$E$2:$E$6,Fact_SortedWeights!$C$2:$C$6,$A159,Fact_SortedWeights!$B$2:$B$6,$B159,Fact_SortedWeights!$D$2:$D$6,$C159,Fact_SortedWeights!$L$2:$L$6,"No"))/(SUMIFS(Fact_SortedWeights!$E$2:$E$6,Fact_SortedWeights!$C$2:$C$6,$A159,Fact_SortedWeights!$B$2:$B$6,$B159,Fact_SortedWeights!$L$2:$L$6,"No"))*((SUMIFS(Fact_PreSortWeights!$E$2:$E$15,Fact_PreSortWeights!$C$2:$C$15,$A159,Fact_PreSortWeights!$B$2:$B$15,$B159,Fact_PreSortWeights!$F$2:$F$15,""))-(SUMIFS(Fact_SortedWeights!$E$2:$E$6,Fact_SortedWeights!$C$2:$C$6,$A159,Fact_SortedWeights!$B$2:$B$6,$B159,Fact_SortedWeights!$L$2:$L$6,"Yes"))))</f>
        <v>0</v>
      </c>
      <c r="G159" s="0" t="n">
        <f aca="false">IF(AND(IF($B159="Trash",INDEX('Materials Master'!$F$2:$F$27,MATCH($C159,'Materials Master'!$A$2:$A$27,0)),IF($B159="GMPC Recycling",INDEX('Materials Master'!$G$2:$G$27,MATCH($C159,'Materials Master'!$A$2:$A$27,0)),IF($B159="Organics Recycling",INDEX('Materials Master'!$H$2:$H$27,MATCH($C159,'Materials Master'!$A$2:$A$27,0)),IF($B159="Cardboard Recycling",INDEX('Materials Master'!$I$2:$I$27,MATCH($C159,'Materials Master'!$A$2:$A$27,0)),IF($B159="Paper Recycling",INDEX('Materials Master'!$J$2:$J$27,MATCH($C159,'Materials Master'!$A$2:$A$27,0)),IF($B159="Terracycle",INDEX('Materials Master'!$K$2:$K$27,MATCH($C159,'Materials Master'!$A$2:$A$27,0)),"No"))))))="Yes",INDEX('Materials Master'!$E$2:$E$27,MATCH($C159,'Materials Master'!$A$2:$A$27,0))="Yes",$B159&lt;&gt;"Trash"),1,0)</f>
        <v>0</v>
      </c>
      <c r="H159" s="0" t="str">
        <f aca="false">INDEX('Materials Master'!$E$2:$E$27,MATCH($C159,'Materials Master'!$A$2:$A$27,0))</f>
        <v>No</v>
      </c>
      <c r="I159" s="0" t="str">
        <f aca="false">IFERROR(INDEX(Areas!$C$2:$C$6,MATCH($A159,Areas!$B$2:$B$6,0)),"")</f>
        <v>BOH</v>
      </c>
      <c r="J159" s="0" t="n">
        <f aca="false">IF(IF($B159="Trash",INDEX('Materials Master'!$F$2:$F$27,MATCH($C159,'Materials Master'!$A$2:$A$27,0)),IF($B159="GMPC Recycling",INDEX('Materials Master'!$G$2:$G$27,MATCH($C159,'Materials Master'!$A$2:$A$27,0)),IF($B159="Organics Recycling",INDEX('Materials Master'!$H$2:$H$27,MATCH($C159,'Materials Master'!$A$2:$A$27,0)),IF($B159="Cardboard Recycling",INDEX('Materials Master'!$I$2:$I$27,MATCH($C159,'Materials Master'!$A$2:$A$27,0)),IF($B159="Paper Recycling",INDEX('Materials Master'!$J$2:$J$27,MATCH($C159,'Materials Master'!$A$2:$A$27,0)),IF($B159="Terracycle",INDEX('Materials Master'!$K$2:$K$27,MATCH($C159,'Materials Master'!$A$2:$A$27,0)),"No"))))))="Yes",1,0)</f>
        <v>1</v>
      </c>
    </row>
    <row r="160" customFormat="false" ht="15" hidden="false" customHeight="false" outlineLevel="0" collapsed="false">
      <c r="A160" s="0" t="s">
        <v>94</v>
      </c>
      <c r="B160" s="0" t="s">
        <v>103</v>
      </c>
      <c r="C160" s="0" t="s">
        <v>33</v>
      </c>
      <c r="D160" s="0" t="str">
        <f aca="false">IFERROR(INDEX('Materials Master'!$B$2:$B$27,MATCH($C160,'Materials Master'!$A$2:$A$27,0)),"")</f>
        <v>Waxed Cardboard</v>
      </c>
      <c r="E160" s="0" t="str">
        <f aca="false">IFERROR(INDEX('Materials Master'!$C$2:$C$27,MATCH($C160,'Materials Master'!$A$2:$A$27,0)),"")</f>
        <v>Fibers</v>
      </c>
      <c r="F160" s="0" t="n">
        <f aca="false">(SUMIFS(Fact_PreSortWeights!$E$2:$E$15,Fact_PreSortWeights!$C$2:$C$15,$A160,Fact_PreSortWeights!$B$2:$B$15,$B160,Fact_PreSortWeights!$F$2:$F$15,$C160))+(SUMIFS(Fact_SortedWeights!$E$2:$E$6,Fact_SortedWeights!$C$2:$C$6,$A160,Fact_SortedWeights!$B$2:$B$6,$B160,Fact_SortedWeights!$D$2:$D$6,$C160,Fact_SortedWeights!$L$2:$L$6,"Yes"))+IF((SUMIFS(Fact_SortedWeights!$E$2:$E$6,Fact_SortedWeights!$C$2:$C$6,$A160,Fact_SortedWeights!$B$2:$B$6,$B160,Fact_SortedWeights!$L$2:$L$6,"No"))=0,0,(SUMIFS(Fact_SortedWeights!$E$2:$E$6,Fact_SortedWeights!$C$2:$C$6,$A160,Fact_SortedWeights!$B$2:$B$6,$B160,Fact_SortedWeights!$D$2:$D$6,$C160,Fact_SortedWeights!$L$2:$L$6,"No"))/(SUMIFS(Fact_SortedWeights!$E$2:$E$6,Fact_SortedWeights!$C$2:$C$6,$A160,Fact_SortedWeights!$B$2:$B$6,$B160,Fact_SortedWeights!$L$2:$L$6,"No"))*((SUMIFS(Fact_PreSortWeights!$E$2:$E$15,Fact_PreSortWeights!$C$2:$C$15,$A160,Fact_PreSortWeights!$B$2:$B$15,$B160,Fact_PreSortWeights!$F$2:$F$15,""))-(SUMIFS(Fact_SortedWeights!$E$2:$E$6,Fact_SortedWeights!$C$2:$C$6,$A160,Fact_SortedWeights!$B$2:$B$6,$B160,Fact_SortedWeights!$L$2:$L$6,"Yes"))))</f>
        <v>0</v>
      </c>
      <c r="G160" s="0" t="n">
        <f aca="false">IF(AND(IF($B160="Trash",INDEX('Materials Master'!$F$2:$F$27,MATCH($C160,'Materials Master'!$A$2:$A$27,0)),IF($B160="GMPC Recycling",INDEX('Materials Master'!$G$2:$G$27,MATCH($C160,'Materials Master'!$A$2:$A$27,0)),IF($B160="Organics Recycling",INDEX('Materials Master'!$H$2:$H$27,MATCH($C160,'Materials Master'!$A$2:$A$27,0)),IF($B160="Cardboard Recycling",INDEX('Materials Master'!$I$2:$I$27,MATCH($C160,'Materials Master'!$A$2:$A$27,0)),IF($B160="Paper Recycling",INDEX('Materials Master'!$J$2:$J$27,MATCH($C160,'Materials Master'!$A$2:$A$27,0)),IF($B160="Terracycle",INDEX('Materials Master'!$K$2:$K$27,MATCH($C160,'Materials Master'!$A$2:$A$27,0)),"No"))))))="Yes",INDEX('Materials Master'!$E$2:$E$27,MATCH($C160,'Materials Master'!$A$2:$A$27,0))="Yes",$B160&lt;&gt;"Trash"),1,0)</f>
        <v>0</v>
      </c>
      <c r="H160" s="0" t="str">
        <f aca="false">INDEX('Materials Master'!$E$2:$E$27,MATCH($C160,'Materials Master'!$A$2:$A$27,0))</f>
        <v>No</v>
      </c>
      <c r="I160" s="0" t="str">
        <f aca="false">IFERROR(INDEX(Areas!$C$2:$C$6,MATCH($A160,Areas!$B$2:$B$6,0)),"")</f>
        <v>BOH</v>
      </c>
      <c r="J160" s="0" t="n">
        <f aca="false">IF(IF($B160="Trash",INDEX('Materials Master'!$F$2:$F$27,MATCH($C160,'Materials Master'!$A$2:$A$27,0)),IF($B160="GMPC Recycling",INDEX('Materials Master'!$G$2:$G$27,MATCH($C160,'Materials Master'!$A$2:$A$27,0)),IF($B160="Organics Recycling",INDEX('Materials Master'!$H$2:$H$27,MATCH($C160,'Materials Master'!$A$2:$A$27,0)),IF($B160="Cardboard Recycling",INDEX('Materials Master'!$I$2:$I$27,MATCH($C160,'Materials Master'!$A$2:$A$27,0)),IF($B160="Paper Recycling",INDEX('Materials Master'!$J$2:$J$27,MATCH($C160,'Materials Master'!$A$2:$A$27,0)),IF($B160="Terracycle",INDEX('Materials Master'!$K$2:$K$27,MATCH($C160,'Materials Master'!$A$2:$A$27,0)),"No"))))))="Yes",1,0)</f>
        <v>1</v>
      </c>
    </row>
    <row r="161" customFormat="false" ht="15" hidden="false" customHeight="false" outlineLevel="0" collapsed="false">
      <c r="A161" s="0" t="s">
        <v>94</v>
      </c>
      <c r="B161" s="0" t="s">
        <v>103</v>
      </c>
      <c r="C161" s="0" t="s">
        <v>35</v>
      </c>
      <c r="D161" s="0" t="str">
        <f aca="false">IFERROR(INDEX('Materials Master'!$B$2:$B$27,MATCH($C161,'Materials Master'!$A$2:$A$27,0)),"")</f>
        <v>Mixed Paper</v>
      </c>
      <c r="E161" s="0" t="str">
        <f aca="false">IFERROR(INDEX('Materials Master'!$C$2:$C$27,MATCH($C161,'Materials Master'!$A$2:$A$27,0)),"")</f>
        <v>Fibers</v>
      </c>
      <c r="F161" s="0" t="n">
        <f aca="false">(SUMIFS(Fact_PreSortWeights!$E$2:$E$15,Fact_PreSortWeights!$C$2:$C$15,$A161,Fact_PreSortWeights!$B$2:$B$15,$B161,Fact_PreSortWeights!$F$2:$F$15,$C161))+(SUMIFS(Fact_SortedWeights!$E$2:$E$6,Fact_SortedWeights!$C$2:$C$6,$A161,Fact_SortedWeights!$B$2:$B$6,$B161,Fact_SortedWeights!$D$2:$D$6,$C161,Fact_SortedWeights!$L$2:$L$6,"Yes"))+IF((SUMIFS(Fact_SortedWeights!$E$2:$E$6,Fact_SortedWeights!$C$2:$C$6,$A161,Fact_SortedWeights!$B$2:$B$6,$B161,Fact_SortedWeights!$L$2:$L$6,"No"))=0,0,(SUMIFS(Fact_SortedWeights!$E$2:$E$6,Fact_SortedWeights!$C$2:$C$6,$A161,Fact_SortedWeights!$B$2:$B$6,$B161,Fact_SortedWeights!$D$2:$D$6,$C161,Fact_SortedWeights!$L$2:$L$6,"No"))/(SUMIFS(Fact_SortedWeights!$E$2:$E$6,Fact_SortedWeights!$C$2:$C$6,$A161,Fact_SortedWeights!$B$2:$B$6,$B161,Fact_SortedWeights!$L$2:$L$6,"No"))*((SUMIFS(Fact_PreSortWeights!$E$2:$E$15,Fact_PreSortWeights!$C$2:$C$15,$A161,Fact_PreSortWeights!$B$2:$B$15,$B161,Fact_PreSortWeights!$F$2:$F$15,""))-(SUMIFS(Fact_SortedWeights!$E$2:$E$6,Fact_SortedWeights!$C$2:$C$6,$A161,Fact_SortedWeights!$B$2:$B$6,$B161,Fact_SortedWeights!$L$2:$L$6,"Yes"))))</f>
        <v>0</v>
      </c>
      <c r="G161" s="0" t="n">
        <f aca="false">IF(AND(IF($B161="Trash",INDEX('Materials Master'!$F$2:$F$27,MATCH($C161,'Materials Master'!$A$2:$A$27,0)),IF($B161="GMPC Recycling",INDEX('Materials Master'!$G$2:$G$27,MATCH($C161,'Materials Master'!$A$2:$A$27,0)),IF($B161="Organics Recycling",INDEX('Materials Master'!$H$2:$H$27,MATCH($C161,'Materials Master'!$A$2:$A$27,0)),IF($B161="Cardboard Recycling",INDEX('Materials Master'!$I$2:$I$27,MATCH($C161,'Materials Master'!$A$2:$A$27,0)),IF($B161="Paper Recycling",INDEX('Materials Master'!$J$2:$J$27,MATCH($C161,'Materials Master'!$A$2:$A$27,0)),IF($B161="Terracycle",INDEX('Materials Master'!$K$2:$K$27,MATCH($C161,'Materials Master'!$A$2:$A$27,0)),"No"))))))="Yes",INDEX('Materials Master'!$E$2:$E$27,MATCH($C161,'Materials Master'!$A$2:$A$27,0))="Yes",$B161&lt;&gt;"Trash"),1,0)</f>
        <v>0</v>
      </c>
      <c r="H161" s="0" t="str">
        <f aca="false">INDEX('Materials Master'!$E$2:$E$27,MATCH($C161,'Materials Master'!$A$2:$A$27,0))</f>
        <v>Yes</v>
      </c>
      <c r="I161" s="0" t="str">
        <f aca="false">IFERROR(INDEX(Areas!$C$2:$C$6,MATCH($A161,Areas!$B$2:$B$6,0)),"")</f>
        <v>BOH</v>
      </c>
      <c r="J161" s="0" t="n">
        <f aca="false">IF(IF($B161="Trash",INDEX('Materials Master'!$F$2:$F$27,MATCH($C161,'Materials Master'!$A$2:$A$27,0)),IF($B161="GMPC Recycling",INDEX('Materials Master'!$G$2:$G$27,MATCH($C161,'Materials Master'!$A$2:$A$27,0)),IF($B161="Organics Recycling",INDEX('Materials Master'!$H$2:$H$27,MATCH($C161,'Materials Master'!$A$2:$A$27,0)),IF($B161="Cardboard Recycling",INDEX('Materials Master'!$I$2:$I$27,MATCH($C161,'Materials Master'!$A$2:$A$27,0)),IF($B161="Paper Recycling",INDEX('Materials Master'!$J$2:$J$27,MATCH($C161,'Materials Master'!$A$2:$A$27,0)),IF($B161="Terracycle",INDEX('Materials Master'!$K$2:$K$27,MATCH($C161,'Materials Master'!$A$2:$A$27,0)),"No"))))))="Yes",1,0)</f>
        <v>0</v>
      </c>
    </row>
    <row r="162" customFormat="false" ht="15" hidden="false" customHeight="false" outlineLevel="0" collapsed="false">
      <c r="A162" s="0" t="s">
        <v>94</v>
      </c>
      <c r="B162" s="0" t="s">
        <v>103</v>
      </c>
      <c r="C162" s="0" t="s">
        <v>37</v>
      </c>
      <c r="D162" s="0" t="str">
        <f aca="false">IFERROR(INDEX('Materials Master'!$B$2:$B$27,MATCH($C162,'Materials Master'!$A$2:$A$27,0)),"")</f>
        <v>Soiled Paper</v>
      </c>
      <c r="E162" s="0" t="str">
        <f aca="false">IFERROR(INDEX('Materials Master'!$C$2:$C$27,MATCH($C162,'Materials Master'!$A$2:$A$27,0)),"")</f>
        <v>Fibers</v>
      </c>
      <c r="F162" s="0" t="n">
        <f aca="false">(SUMIFS(Fact_PreSortWeights!$E$2:$E$15,Fact_PreSortWeights!$C$2:$C$15,$A162,Fact_PreSortWeights!$B$2:$B$15,$B162,Fact_PreSortWeights!$F$2:$F$15,$C162))+(SUMIFS(Fact_SortedWeights!$E$2:$E$6,Fact_SortedWeights!$C$2:$C$6,$A162,Fact_SortedWeights!$B$2:$B$6,$B162,Fact_SortedWeights!$D$2:$D$6,$C162,Fact_SortedWeights!$L$2:$L$6,"Yes"))+IF((SUMIFS(Fact_SortedWeights!$E$2:$E$6,Fact_SortedWeights!$C$2:$C$6,$A162,Fact_SortedWeights!$B$2:$B$6,$B162,Fact_SortedWeights!$L$2:$L$6,"No"))=0,0,(SUMIFS(Fact_SortedWeights!$E$2:$E$6,Fact_SortedWeights!$C$2:$C$6,$A162,Fact_SortedWeights!$B$2:$B$6,$B162,Fact_SortedWeights!$D$2:$D$6,$C162,Fact_SortedWeights!$L$2:$L$6,"No"))/(SUMIFS(Fact_SortedWeights!$E$2:$E$6,Fact_SortedWeights!$C$2:$C$6,$A162,Fact_SortedWeights!$B$2:$B$6,$B162,Fact_SortedWeights!$L$2:$L$6,"No"))*((SUMIFS(Fact_PreSortWeights!$E$2:$E$15,Fact_PreSortWeights!$C$2:$C$15,$A162,Fact_PreSortWeights!$B$2:$B$15,$B162,Fact_PreSortWeights!$F$2:$F$15,""))-(SUMIFS(Fact_SortedWeights!$E$2:$E$6,Fact_SortedWeights!$C$2:$C$6,$A162,Fact_SortedWeights!$B$2:$B$6,$B162,Fact_SortedWeights!$L$2:$L$6,"Yes"))))</f>
        <v>0</v>
      </c>
      <c r="G162" s="0" t="n">
        <f aca="false">IF(AND(IF($B162="Trash",INDEX('Materials Master'!$F$2:$F$27,MATCH($C162,'Materials Master'!$A$2:$A$27,0)),IF($B162="GMPC Recycling",INDEX('Materials Master'!$G$2:$G$27,MATCH($C162,'Materials Master'!$A$2:$A$27,0)),IF($B162="Organics Recycling",INDEX('Materials Master'!$H$2:$H$27,MATCH($C162,'Materials Master'!$A$2:$A$27,0)),IF($B162="Cardboard Recycling",INDEX('Materials Master'!$I$2:$I$27,MATCH($C162,'Materials Master'!$A$2:$A$27,0)),IF($B162="Paper Recycling",INDEX('Materials Master'!$J$2:$J$27,MATCH($C162,'Materials Master'!$A$2:$A$27,0)),IF($B162="Terracycle",INDEX('Materials Master'!$K$2:$K$27,MATCH($C162,'Materials Master'!$A$2:$A$27,0)),"No"))))))="Yes",INDEX('Materials Master'!$E$2:$E$27,MATCH($C162,'Materials Master'!$A$2:$A$27,0))="Yes",$B162&lt;&gt;"Trash"),1,0)</f>
        <v>0</v>
      </c>
      <c r="H162" s="0" t="str">
        <f aca="false">INDEX('Materials Master'!$E$2:$E$27,MATCH($C162,'Materials Master'!$A$2:$A$27,0))</f>
        <v>No</v>
      </c>
      <c r="I162" s="0" t="str">
        <f aca="false">IFERROR(INDEX(Areas!$C$2:$C$6,MATCH($A162,Areas!$B$2:$B$6,0)),"")</f>
        <v>BOH</v>
      </c>
      <c r="J162" s="0" t="n">
        <f aca="false">IF(IF($B162="Trash",INDEX('Materials Master'!$F$2:$F$27,MATCH($C162,'Materials Master'!$A$2:$A$27,0)),IF($B162="GMPC Recycling",INDEX('Materials Master'!$G$2:$G$27,MATCH($C162,'Materials Master'!$A$2:$A$27,0)),IF($B162="Organics Recycling",INDEX('Materials Master'!$H$2:$H$27,MATCH($C162,'Materials Master'!$A$2:$A$27,0)),IF($B162="Cardboard Recycling",INDEX('Materials Master'!$I$2:$I$27,MATCH($C162,'Materials Master'!$A$2:$A$27,0)),IF($B162="Paper Recycling",INDEX('Materials Master'!$J$2:$J$27,MATCH($C162,'Materials Master'!$A$2:$A$27,0)),IF($B162="Terracycle",INDEX('Materials Master'!$K$2:$K$27,MATCH($C162,'Materials Master'!$A$2:$A$27,0)),"No"))))))="Yes",1,0)</f>
        <v>1</v>
      </c>
    </row>
    <row r="163" customFormat="false" ht="15" hidden="false" customHeight="false" outlineLevel="0" collapsed="false">
      <c r="A163" s="0" t="s">
        <v>94</v>
      </c>
      <c r="B163" s="0" t="s">
        <v>103</v>
      </c>
      <c r="C163" s="0" t="s">
        <v>39</v>
      </c>
      <c r="D163" s="0" t="str">
        <f aca="false">IFERROR(INDEX('Materials Master'!$B$2:$B$27,MATCH($C163,'Materials Master'!$A$2:$A$27,0)),"")</f>
        <v>Beverage Cartons</v>
      </c>
      <c r="E163" s="0" t="str">
        <f aca="false">IFERROR(INDEX('Materials Master'!$C$2:$C$27,MATCH($C163,'Materials Master'!$A$2:$A$27,0)),"")</f>
        <v>Fibers</v>
      </c>
      <c r="F163" s="0" t="n">
        <f aca="false">(SUMIFS(Fact_PreSortWeights!$E$2:$E$15,Fact_PreSortWeights!$C$2:$C$15,$A163,Fact_PreSortWeights!$B$2:$B$15,$B163,Fact_PreSortWeights!$F$2:$F$15,$C163))+(SUMIFS(Fact_SortedWeights!$E$2:$E$6,Fact_SortedWeights!$C$2:$C$6,$A163,Fact_SortedWeights!$B$2:$B$6,$B163,Fact_SortedWeights!$D$2:$D$6,$C163,Fact_SortedWeights!$L$2:$L$6,"Yes"))+IF((SUMIFS(Fact_SortedWeights!$E$2:$E$6,Fact_SortedWeights!$C$2:$C$6,$A163,Fact_SortedWeights!$B$2:$B$6,$B163,Fact_SortedWeights!$L$2:$L$6,"No"))=0,0,(SUMIFS(Fact_SortedWeights!$E$2:$E$6,Fact_SortedWeights!$C$2:$C$6,$A163,Fact_SortedWeights!$B$2:$B$6,$B163,Fact_SortedWeights!$D$2:$D$6,$C163,Fact_SortedWeights!$L$2:$L$6,"No"))/(SUMIFS(Fact_SortedWeights!$E$2:$E$6,Fact_SortedWeights!$C$2:$C$6,$A163,Fact_SortedWeights!$B$2:$B$6,$B163,Fact_SortedWeights!$L$2:$L$6,"No"))*((SUMIFS(Fact_PreSortWeights!$E$2:$E$15,Fact_PreSortWeights!$C$2:$C$15,$A163,Fact_PreSortWeights!$B$2:$B$15,$B163,Fact_PreSortWeights!$F$2:$F$15,""))-(SUMIFS(Fact_SortedWeights!$E$2:$E$6,Fact_SortedWeights!$C$2:$C$6,$A163,Fact_SortedWeights!$B$2:$B$6,$B163,Fact_SortedWeights!$L$2:$L$6,"Yes"))))</f>
        <v>0</v>
      </c>
      <c r="G163" s="0" t="n">
        <f aca="false">IF(AND(IF($B163="Trash",INDEX('Materials Master'!$F$2:$F$27,MATCH($C163,'Materials Master'!$A$2:$A$27,0)),IF($B163="GMPC Recycling",INDEX('Materials Master'!$G$2:$G$27,MATCH($C163,'Materials Master'!$A$2:$A$27,0)),IF($B163="Organics Recycling",INDEX('Materials Master'!$H$2:$H$27,MATCH($C163,'Materials Master'!$A$2:$A$27,0)),IF($B163="Cardboard Recycling",INDEX('Materials Master'!$I$2:$I$27,MATCH($C163,'Materials Master'!$A$2:$A$27,0)),IF($B163="Paper Recycling",INDEX('Materials Master'!$J$2:$J$27,MATCH($C163,'Materials Master'!$A$2:$A$27,0)),IF($B163="Terracycle",INDEX('Materials Master'!$K$2:$K$27,MATCH($C163,'Materials Master'!$A$2:$A$27,0)),"No"))))))="Yes",INDEX('Materials Master'!$E$2:$E$27,MATCH($C163,'Materials Master'!$A$2:$A$27,0))="Yes",$B163&lt;&gt;"Trash"),1,0)</f>
        <v>0</v>
      </c>
      <c r="H163" s="0" t="str">
        <f aca="false">INDEX('Materials Master'!$E$2:$E$27,MATCH($C163,'Materials Master'!$A$2:$A$27,0))</f>
        <v>Yes</v>
      </c>
      <c r="I163" s="0" t="str">
        <f aca="false">IFERROR(INDEX(Areas!$C$2:$C$6,MATCH($A163,Areas!$B$2:$B$6,0)),"")</f>
        <v>BOH</v>
      </c>
      <c r="J163" s="0" t="n">
        <f aca="false">IF(IF($B163="Trash",INDEX('Materials Master'!$F$2:$F$27,MATCH($C163,'Materials Master'!$A$2:$A$27,0)),IF($B163="GMPC Recycling",INDEX('Materials Master'!$G$2:$G$27,MATCH($C163,'Materials Master'!$A$2:$A$27,0)),IF($B163="Organics Recycling",INDEX('Materials Master'!$H$2:$H$27,MATCH($C163,'Materials Master'!$A$2:$A$27,0)),IF($B163="Cardboard Recycling",INDEX('Materials Master'!$I$2:$I$27,MATCH($C163,'Materials Master'!$A$2:$A$27,0)),IF($B163="Paper Recycling",INDEX('Materials Master'!$J$2:$J$27,MATCH($C163,'Materials Master'!$A$2:$A$27,0)),IF($B163="Terracycle",INDEX('Materials Master'!$K$2:$K$27,MATCH($C163,'Materials Master'!$A$2:$A$27,0)),"No"))))))="Yes",1,0)</f>
        <v>0</v>
      </c>
    </row>
    <row r="164" customFormat="false" ht="15" hidden="false" customHeight="false" outlineLevel="0" collapsed="false">
      <c r="A164" s="0" t="s">
        <v>94</v>
      </c>
      <c r="B164" s="0" t="s">
        <v>103</v>
      </c>
      <c r="C164" s="0" t="s">
        <v>41</v>
      </c>
      <c r="D164" s="0" t="str">
        <f aca="false">IFERROR(INDEX('Materials Master'!$B$2:$B$27,MATCH($C164,'Materials Master'!$A$2:$A$27,0)),"")</f>
        <v>Soiled Beverage Cartons</v>
      </c>
      <c r="E164" s="0" t="str">
        <f aca="false">IFERROR(INDEX('Materials Master'!$C$2:$C$27,MATCH($C164,'Materials Master'!$A$2:$A$27,0)),"")</f>
        <v>Fibers</v>
      </c>
      <c r="F164" s="0" t="n">
        <f aca="false">(SUMIFS(Fact_PreSortWeights!$E$2:$E$15,Fact_PreSortWeights!$C$2:$C$15,$A164,Fact_PreSortWeights!$B$2:$B$15,$B164,Fact_PreSortWeights!$F$2:$F$15,$C164))+(SUMIFS(Fact_SortedWeights!$E$2:$E$6,Fact_SortedWeights!$C$2:$C$6,$A164,Fact_SortedWeights!$B$2:$B$6,$B164,Fact_SortedWeights!$D$2:$D$6,$C164,Fact_SortedWeights!$L$2:$L$6,"Yes"))+IF((SUMIFS(Fact_SortedWeights!$E$2:$E$6,Fact_SortedWeights!$C$2:$C$6,$A164,Fact_SortedWeights!$B$2:$B$6,$B164,Fact_SortedWeights!$L$2:$L$6,"No"))=0,0,(SUMIFS(Fact_SortedWeights!$E$2:$E$6,Fact_SortedWeights!$C$2:$C$6,$A164,Fact_SortedWeights!$B$2:$B$6,$B164,Fact_SortedWeights!$D$2:$D$6,$C164,Fact_SortedWeights!$L$2:$L$6,"No"))/(SUMIFS(Fact_SortedWeights!$E$2:$E$6,Fact_SortedWeights!$C$2:$C$6,$A164,Fact_SortedWeights!$B$2:$B$6,$B164,Fact_SortedWeights!$L$2:$L$6,"No"))*((SUMIFS(Fact_PreSortWeights!$E$2:$E$15,Fact_PreSortWeights!$C$2:$C$15,$A164,Fact_PreSortWeights!$B$2:$B$15,$B164,Fact_PreSortWeights!$F$2:$F$15,""))-(SUMIFS(Fact_SortedWeights!$E$2:$E$6,Fact_SortedWeights!$C$2:$C$6,$A164,Fact_SortedWeights!$B$2:$B$6,$B164,Fact_SortedWeights!$L$2:$L$6,"Yes"))))</f>
        <v>0</v>
      </c>
      <c r="G164" s="0" t="n">
        <f aca="false">IF(AND(IF($B164="Trash",INDEX('Materials Master'!$F$2:$F$27,MATCH($C164,'Materials Master'!$A$2:$A$27,0)),IF($B164="GMPC Recycling",INDEX('Materials Master'!$G$2:$G$27,MATCH($C164,'Materials Master'!$A$2:$A$27,0)),IF($B164="Organics Recycling",INDEX('Materials Master'!$H$2:$H$27,MATCH($C164,'Materials Master'!$A$2:$A$27,0)),IF($B164="Cardboard Recycling",INDEX('Materials Master'!$I$2:$I$27,MATCH($C164,'Materials Master'!$A$2:$A$27,0)),IF($B164="Paper Recycling",INDEX('Materials Master'!$J$2:$J$27,MATCH($C164,'Materials Master'!$A$2:$A$27,0)),IF($B164="Terracycle",INDEX('Materials Master'!$K$2:$K$27,MATCH($C164,'Materials Master'!$A$2:$A$27,0)),"No"))))))="Yes",INDEX('Materials Master'!$E$2:$E$27,MATCH($C164,'Materials Master'!$A$2:$A$27,0))="Yes",$B164&lt;&gt;"Trash"),1,0)</f>
        <v>0</v>
      </c>
      <c r="H164" s="0" t="str">
        <f aca="false">INDEX('Materials Master'!$E$2:$E$27,MATCH($C164,'Materials Master'!$A$2:$A$27,0))</f>
        <v>No</v>
      </c>
      <c r="I164" s="0" t="str">
        <f aca="false">IFERROR(INDEX(Areas!$C$2:$C$6,MATCH($A164,Areas!$B$2:$B$6,0)),"")</f>
        <v>BOH</v>
      </c>
      <c r="J164" s="0" t="n">
        <f aca="false">IF(IF($B164="Trash",INDEX('Materials Master'!$F$2:$F$27,MATCH($C164,'Materials Master'!$A$2:$A$27,0)),IF($B164="GMPC Recycling",INDEX('Materials Master'!$G$2:$G$27,MATCH($C164,'Materials Master'!$A$2:$A$27,0)),IF($B164="Organics Recycling",INDEX('Materials Master'!$H$2:$H$27,MATCH($C164,'Materials Master'!$A$2:$A$27,0)),IF($B164="Cardboard Recycling",INDEX('Materials Master'!$I$2:$I$27,MATCH($C164,'Materials Master'!$A$2:$A$27,0)),IF($B164="Paper Recycling",INDEX('Materials Master'!$J$2:$J$27,MATCH($C164,'Materials Master'!$A$2:$A$27,0)),IF($B164="Terracycle",INDEX('Materials Master'!$K$2:$K$27,MATCH($C164,'Materials Master'!$A$2:$A$27,0)),"No"))))))="Yes",1,0)</f>
        <v>1</v>
      </c>
    </row>
    <row r="165" customFormat="false" ht="15" hidden="false" customHeight="false" outlineLevel="0" collapsed="false">
      <c r="A165" s="0" t="s">
        <v>94</v>
      </c>
      <c r="B165" s="0" t="s">
        <v>103</v>
      </c>
      <c r="C165" s="0" t="s">
        <v>43</v>
      </c>
      <c r="D165" s="0" t="str">
        <f aca="false">IFERROR(INDEX('Materials Master'!$B$2:$B$27,MATCH($C165,'Materials Master'!$A$2:$A$27,0)),"")</f>
        <v>Paper Cups / Other Coated Paper Containers</v>
      </c>
      <c r="E165" s="0" t="str">
        <f aca="false">IFERROR(INDEX('Materials Master'!$C$2:$C$27,MATCH($C165,'Materials Master'!$A$2:$A$27,0)),"")</f>
        <v>Fibers</v>
      </c>
      <c r="F165" s="0" t="n">
        <f aca="false">(SUMIFS(Fact_PreSortWeights!$E$2:$E$15,Fact_PreSortWeights!$C$2:$C$15,$A165,Fact_PreSortWeights!$B$2:$B$15,$B165,Fact_PreSortWeights!$F$2:$F$15,$C165))+(SUMIFS(Fact_SortedWeights!$E$2:$E$6,Fact_SortedWeights!$C$2:$C$6,$A165,Fact_SortedWeights!$B$2:$B$6,$B165,Fact_SortedWeights!$D$2:$D$6,$C165,Fact_SortedWeights!$L$2:$L$6,"Yes"))+IF((SUMIFS(Fact_SortedWeights!$E$2:$E$6,Fact_SortedWeights!$C$2:$C$6,$A165,Fact_SortedWeights!$B$2:$B$6,$B165,Fact_SortedWeights!$L$2:$L$6,"No"))=0,0,(SUMIFS(Fact_SortedWeights!$E$2:$E$6,Fact_SortedWeights!$C$2:$C$6,$A165,Fact_SortedWeights!$B$2:$B$6,$B165,Fact_SortedWeights!$D$2:$D$6,$C165,Fact_SortedWeights!$L$2:$L$6,"No"))/(SUMIFS(Fact_SortedWeights!$E$2:$E$6,Fact_SortedWeights!$C$2:$C$6,$A165,Fact_SortedWeights!$B$2:$B$6,$B165,Fact_SortedWeights!$L$2:$L$6,"No"))*((SUMIFS(Fact_PreSortWeights!$E$2:$E$15,Fact_PreSortWeights!$C$2:$C$15,$A165,Fact_PreSortWeights!$B$2:$B$15,$B165,Fact_PreSortWeights!$F$2:$F$15,""))-(SUMIFS(Fact_SortedWeights!$E$2:$E$6,Fact_SortedWeights!$C$2:$C$6,$A165,Fact_SortedWeights!$B$2:$B$6,$B165,Fact_SortedWeights!$L$2:$L$6,"Yes"))))</f>
        <v>0</v>
      </c>
      <c r="G165" s="0" t="n">
        <f aca="false">IF(AND(IF($B165="Trash",INDEX('Materials Master'!$F$2:$F$27,MATCH($C165,'Materials Master'!$A$2:$A$27,0)),IF($B165="GMPC Recycling",INDEX('Materials Master'!$G$2:$G$27,MATCH($C165,'Materials Master'!$A$2:$A$27,0)),IF($B165="Organics Recycling",INDEX('Materials Master'!$H$2:$H$27,MATCH($C165,'Materials Master'!$A$2:$A$27,0)),IF($B165="Cardboard Recycling",INDEX('Materials Master'!$I$2:$I$27,MATCH($C165,'Materials Master'!$A$2:$A$27,0)),IF($B165="Paper Recycling",INDEX('Materials Master'!$J$2:$J$27,MATCH($C165,'Materials Master'!$A$2:$A$27,0)),IF($B165="Terracycle",INDEX('Materials Master'!$K$2:$K$27,MATCH($C165,'Materials Master'!$A$2:$A$27,0)),"No"))))))="Yes",INDEX('Materials Master'!$E$2:$E$27,MATCH($C165,'Materials Master'!$A$2:$A$27,0))="Yes",$B165&lt;&gt;"Trash"),1,0)</f>
        <v>0</v>
      </c>
      <c r="H165" s="0" t="str">
        <f aca="false">INDEX('Materials Master'!$E$2:$E$27,MATCH($C165,'Materials Master'!$A$2:$A$27,0))</f>
        <v>No</v>
      </c>
      <c r="I165" s="0" t="str">
        <f aca="false">IFERROR(INDEX(Areas!$C$2:$C$6,MATCH($A165,Areas!$B$2:$B$6,0)),"")</f>
        <v>BOH</v>
      </c>
      <c r="J165" s="0" t="n">
        <f aca="false">IF(IF($B165="Trash",INDEX('Materials Master'!$F$2:$F$27,MATCH($C165,'Materials Master'!$A$2:$A$27,0)),IF($B165="GMPC Recycling",INDEX('Materials Master'!$G$2:$G$27,MATCH($C165,'Materials Master'!$A$2:$A$27,0)),IF($B165="Organics Recycling",INDEX('Materials Master'!$H$2:$H$27,MATCH($C165,'Materials Master'!$A$2:$A$27,0)),IF($B165="Cardboard Recycling",INDEX('Materials Master'!$I$2:$I$27,MATCH($C165,'Materials Master'!$A$2:$A$27,0)),IF($B165="Paper Recycling",INDEX('Materials Master'!$J$2:$J$27,MATCH($C165,'Materials Master'!$A$2:$A$27,0)),IF($B165="Terracycle",INDEX('Materials Master'!$K$2:$K$27,MATCH($C165,'Materials Master'!$A$2:$A$27,0)),"No"))))))="Yes",1,0)</f>
        <v>1</v>
      </c>
    </row>
    <row r="166" customFormat="false" ht="15" hidden="false" customHeight="false" outlineLevel="0" collapsed="false">
      <c r="A166" s="0" t="s">
        <v>94</v>
      </c>
      <c r="B166" s="0" t="s">
        <v>103</v>
      </c>
      <c r="C166" s="0" t="s">
        <v>45</v>
      </c>
      <c r="D166" s="0" t="str">
        <f aca="false">IFERROR(INDEX('Materials Master'!$B$2:$B$27,MATCH($C166,'Materials Master'!$A$2:$A$27,0)),"")</f>
        <v>Glass Bottles &amp; Jars</v>
      </c>
      <c r="E166" s="0" t="str">
        <f aca="false">IFERROR(INDEX('Materials Master'!$C$2:$C$27,MATCH($C166,'Materials Master'!$A$2:$A$27,0)),"")</f>
        <v>Glass</v>
      </c>
      <c r="F166" s="0" t="n">
        <f aca="false">(SUMIFS(Fact_PreSortWeights!$E$2:$E$15,Fact_PreSortWeights!$C$2:$C$15,$A166,Fact_PreSortWeights!$B$2:$B$15,$B166,Fact_PreSortWeights!$F$2:$F$15,$C166))+(SUMIFS(Fact_SortedWeights!$E$2:$E$6,Fact_SortedWeights!$C$2:$C$6,$A166,Fact_SortedWeights!$B$2:$B$6,$B166,Fact_SortedWeights!$D$2:$D$6,$C166,Fact_SortedWeights!$L$2:$L$6,"Yes"))+IF((SUMIFS(Fact_SortedWeights!$E$2:$E$6,Fact_SortedWeights!$C$2:$C$6,$A166,Fact_SortedWeights!$B$2:$B$6,$B166,Fact_SortedWeights!$L$2:$L$6,"No"))=0,0,(SUMIFS(Fact_SortedWeights!$E$2:$E$6,Fact_SortedWeights!$C$2:$C$6,$A166,Fact_SortedWeights!$B$2:$B$6,$B166,Fact_SortedWeights!$D$2:$D$6,$C166,Fact_SortedWeights!$L$2:$L$6,"No"))/(SUMIFS(Fact_SortedWeights!$E$2:$E$6,Fact_SortedWeights!$C$2:$C$6,$A166,Fact_SortedWeights!$B$2:$B$6,$B166,Fact_SortedWeights!$L$2:$L$6,"No"))*((SUMIFS(Fact_PreSortWeights!$E$2:$E$15,Fact_PreSortWeights!$C$2:$C$15,$A166,Fact_PreSortWeights!$B$2:$B$15,$B166,Fact_PreSortWeights!$F$2:$F$15,""))-(SUMIFS(Fact_SortedWeights!$E$2:$E$6,Fact_SortedWeights!$C$2:$C$6,$A166,Fact_SortedWeights!$B$2:$B$6,$B166,Fact_SortedWeights!$L$2:$L$6,"Yes"))))</f>
        <v>0</v>
      </c>
      <c r="G166" s="0" t="n">
        <f aca="false">IF(AND(IF($B166="Trash",INDEX('Materials Master'!$F$2:$F$27,MATCH($C166,'Materials Master'!$A$2:$A$27,0)),IF($B166="GMPC Recycling",INDEX('Materials Master'!$G$2:$G$27,MATCH($C166,'Materials Master'!$A$2:$A$27,0)),IF($B166="Organics Recycling",INDEX('Materials Master'!$H$2:$H$27,MATCH($C166,'Materials Master'!$A$2:$A$27,0)),IF($B166="Cardboard Recycling",INDEX('Materials Master'!$I$2:$I$27,MATCH($C166,'Materials Master'!$A$2:$A$27,0)),IF($B166="Paper Recycling",INDEX('Materials Master'!$J$2:$J$27,MATCH($C166,'Materials Master'!$A$2:$A$27,0)),IF($B166="Terracycle",INDEX('Materials Master'!$K$2:$K$27,MATCH($C166,'Materials Master'!$A$2:$A$27,0)),"No"))))))="Yes",INDEX('Materials Master'!$E$2:$E$27,MATCH($C166,'Materials Master'!$A$2:$A$27,0))="Yes",$B166&lt;&gt;"Trash"),1,0)</f>
        <v>0</v>
      </c>
      <c r="H166" s="0" t="str">
        <f aca="false">INDEX('Materials Master'!$E$2:$E$27,MATCH($C166,'Materials Master'!$A$2:$A$27,0))</f>
        <v>Yes</v>
      </c>
      <c r="I166" s="0" t="str">
        <f aca="false">IFERROR(INDEX(Areas!$C$2:$C$6,MATCH($A166,Areas!$B$2:$B$6,0)),"")</f>
        <v>BOH</v>
      </c>
      <c r="J166" s="0" t="n">
        <f aca="false">IF(IF($B166="Trash",INDEX('Materials Master'!$F$2:$F$27,MATCH($C166,'Materials Master'!$A$2:$A$27,0)),IF($B166="GMPC Recycling",INDEX('Materials Master'!$G$2:$G$27,MATCH($C166,'Materials Master'!$A$2:$A$27,0)),IF($B166="Organics Recycling",INDEX('Materials Master'!$H$2:$H$27,MATCH($C166,'Materials Master'!$A$2:$A$27,0)),IF($B166="Cardboard Recycling",INDEX('Materials Master'!$I$2:$I$27,MATCH($C166,'Materials Master'!$A$2:$A$27,0)),IF($B166="Paper Recycling",INDEX('Materials Master'!$J$2:$J$27,MATCH($C166,'Materials Master'!$A$2:$A$27,0)),IF($B166="Terracycle",INDEX('Materials Master'!$K$2:$K$27,MATCH($C166,'Materials Master'!$A$2:$A$27,0)),"No"))))))="Yes",1,0)</f>
        <v>0</v>
      </c>
    </row>
    <row r="167" customFormat="false" ht="15" hidden="false" customHeight="false" outlineLevel="0" collapsed="false">
      <c r="A167" s="0" t="s">
        <v>94</v>
      </c>
      <c r="B167" s="0" t="s">
        <v>103</v>
      </c>
      <c r="C167" s="0" t="s">
        <v>48</v>
      </c>
      <c r="D167" s="0" t="str">
        <f aca="false">IFERROR(INDEX('Materials Master'!$B$2:$B$27,MATCH($C167,'Materials Master'!$A$2:$A$27,0)),"")</f>
        <v>Soiled Glass</v>
      </c>
      <c r="E167" s="0" t="str">
        <f aca="false">IFERROR(INDEX('Materials Master'!$C$2:$C$27,MATCH($C167,'Materials Master'!$A$2:$A$27,0)),"")</f>
        <v>Glass</v>
      </c>
      <c r="F167" s="0" t="n">
        <f aca="false">(SUMIFS(Fact_PreSortWeights!$E$2:$E$15,Fact_PreSortWeights!$C$2:$C$15,$A167,Fact_PreSortWeights!$B$2:$B$15,$B167,Fact_PreSortWeights!$F$2:$F$15,$C167))+(SUMIFS(Fact_SortedWeights!$E$2:$E$6,Fact_SortedWeights!$C$2:$C$6,$A167,Fact_SortedWeights!$B$2:$B$6,$B167,Fact_SortedWeights!$D$2:$D$6,$C167,Fact_SortedWeights!$L$2:$L$6,"Yes"))+IF((SUMIFS(Fact_SortedWeights!$E$2:$E$6,Fact_SortedWeights!$C$2:$C$6,$A167,Fact_SortedWeights!$B$2:$B$6,$B167,Fact_SortedWeights!$L$2:$L$6,"No"))=0,0,(SUMIFS(Fact_SortedWeights!$E$2:$E$6,Fact_SortedWeights!$C$2:$C$6,$A167,Fact_SortedWeights!$B$2:$B$6,$B167,Fact_SortedWeights!$D$2:$D$6,$C167,Fact_SortedWeights!$L$2:$L$6,"No"))/(SUMIFS(Fact_SortedWeights!$E$2:$E$6,Fact_SortedWeights!$C$2:$C$6,$A167,Fact_SortedWeights!$B$2:$B$6,$B167,Fact_SortedWeights!$L$2:$L$6,"No"))*((SUMIFS(Fact_PreSortWeights!$E$2:$E$15,Fact_PreSortWeights!$C$2:$C$15,$A167,Fact_PreSortWeights!$B$2:$B$15,$B167,Fact_PreSortWeights!$F$2:$F$15,""))-(SUMIFS(Fact_SortedWeights!$E$2:$E$6,Fact_SortedWeights!$C$2:$C$6,$A167,Fact_SortedWeights!$B$2:$B$6,$B167,Fact_SortedWeights!$L$2:$L$6,"Yes"))))</f>
        <v>0</v>
      </c>
      <c r="G167" s="0" t="n">
        <f aca="false">IF(AND(IF($B167="Trash",INDEX('Materials Master'!$F$2:$F$27,MATCH($C167,'Materials Master'!$A$2:$A$27,0)),IF($B167="GMPC Recycling",INDEX('Materials Master'!$G$2:$G$27,MATCH($C167,'Materials Master'!$A$2:$A$27,0)),IF($B167="Organics Recycling",INDEX('Materials Master'!$H$2:$H$27,MATCH($C167,'Materials Master'!$A$2:$A$27,0)),IF($B167="Cardboard Recycling",INDEX('Materials Master'!$I$2:$I$27,MATCH($C167,'Materials Master'!$A$2:$A$27,0)),IF($B167="Paper Recycling",INDEX('Materials Master'!$J$2:$J$27,MATCH($C167,'Materials Master'!$A$2:$A$27,0)),IF($B167="Terracycle",INDEX('Materials Master'!$K$2:$K$27,MATCH($C167,'Materials Master'!$A$2:$A$27,0)),"No"))))))="Yes",INDEX('Materials Master'!$E$2:$E$27,MATCH($C167,'Materials Master'!$A$2:$A$27,0))="Yes",$B167&lt;&gt;"Trash"),1,0)</f>
        <v>0</v>
      </c>
      <c r="H167" s="0" t="str">
        <f aca="false">INDEX('Materials Master'!$E$2:$E$27,MATCH($C167,'Materials Master'!$A$2:$A$27,0))</f>
        <v>No</v>
      </c>
      <c r="I167" s="0" t="str">
        <f aca="false">IFERROR(INDEX(Areas!$C$2:$C$6,MATCH($A167,Areas!$B$2:$B$6,0)),"")</f>
        <v>BOH</v>
      </c>
      <c r="J167" s="0" t="n">
        <f aca="false">IF(IF($B167="Trash",INDEX('Materials Master'!$F$2:$F$27,MATCH($C167,'Materials Master'!$A$2:$A$27,0)),IF($B167="GMPC Recycling",INDEX('Materials Master'!$G$2:$G$27,MATCH($C167,'Materials Master'!$A$2:$A$27,0)),IF($B167="Organics Recycling",INDEX('Materials Master'!$H$2:$H$27,MATCH($C167,'Materials Master'!$A$2:$A$27,0)),IF($B167="Cardboard Recycling",INDEX('Materials Master'!$I$2:$I$27,MATCH($C167,'Materials Master'!$A$2:$A$27,0)),IF($B167="Paper Recycling",INDEX('Materials Master'!$J$2:$J$27,MATCH($C167,'Materials Master'!$A$2:$A$27,0)),IF($B167="Terracycle",INDEX('Materials Master'!$K$2:$K$27,MATCH($C167,'Materials Master'!$A$2:$A$27,0)),"No"))))))="Yes",1,0)</f>
        <v>1</v>
      </c>
    </row>
    <row r="168" customFormat="false" ht="15" hidden="false" customHeight="false" outlineLevel="0" collapsed="false">
      <c r="A168" s="0" t="s">
        <v>94</v>
      </c>
      <c r="B168" s="0" t="s">
        <v>103</v>
      </c>
      <c r="C168" s="0" t="s">
        <v>50</v>
      </c>
      <c r="D168" s="0" t="str">
        <f aca="false">IFERROR(INDEX('Materials Master'!$B$2:$B$27,MATCH($C168,'Materials Master'!$A$2:$A$27,0)),"")</f>
        <v>Aluminum &amp; Bi-Metal Containers</v>
      </c>
      <c r="E168" s="0" t="str">
        <f aca="false">IFERROR(INDEX('Materials Master'!$C$2:$C$27,MATCH($C168,'Materials Master'!$A$2:$A$27,0)),"")</f>
        <v>Metals</v>
      </c>
      <c r="F168" s="0" t="n">
        <f aca="false">(SUMIFS(Fact_PreSortWeights!$E$2:$E$15,Fact_PreSortWeights!$C$2:$C$15,$A168,Fact_PreSortWeights!$B$2:$B$15,$B168,Fact_PreSortWeights!$F$2:$F$15,$C168))+(SUMIFS(Fact_SortedWeights!$E$2:$E$6,Fact_SortedWeights!$C$2:$C$6,$A168,Fact_SortedWeights!$B$2:$B$6,$B168,Fact_SortedWeights!$D$2:$D$6,$C168,Fact_SortedWeights!$L$2:$L$6,"Yes"))+IF((SUMIFS(Fact_SortedWeights!$E$2:$E$6,Fact_SortedWeights!$C$2:$C$6,$A168,Fact_SortedWeights!$B$2:$B$6,$B168,Fact_SortedWeights!$L$2:$L$6,"No"))=0,0,(SUMIFS(Fact_SortedWeights!$E$2:$E$6,Fact_SortedWeights!$C$2:$C$6,$A168,Fact_SortedWeights!$B$2:$B$6,$B168,Fact_SortedWeights!$D$2:$D$6,$C168,Fact_SortedWeights!$L$2:$L$6,"No"))/(SUMIFS(Fact_SortedWeights!$E$2:$E$6,Fact_SortedWeights!$C$2:$C$6,$A168,Fact_SortedWeights!$B$2:$B$6,$B168,Fact_SortedWeights!$L$2:$L$6,"No"))*((SUMIFS(Fact_PreSortWeights!$E$2:$E$15,Fact_PreSortWeights!$C$2:$C$15,$A168,Fact_PreSortWeights!$B$2:$B$15,$B168,Fact_PreSortWeights!$F$2:$F$15,""))-(SUMIFS(Fact_SortedWeights!$E$2:$E$6,Fact_SortedWeights!$C$2:$C$6,$A168,Fact_SortedWeights!$B$2:$B$6,$B168,Fact_SortedWeights!$L$2:$L$6,"Yes"))))</f>
        <v>0</v>
      </c>
      <c r="G168" s="0" t="n">
        <f aca="false">IF(AND(IF($B168="Trash",INDEX('Materials Master'!$F$2:$F$27,MATCH($C168,'Materials Master'!$A$2:$A$27,0)),IF($B168="GMPC Recycling",INDEX('Materials Master'!$G$2:$G$27,MATCH($C168,'Materials Master'!$A$2:$A$27,0)),IF($B168="Organics Recycling",INDEX('Materials Master'!$H$2:$H$27,MATCH($C168,'Materials Master'!$A$2:$A$27,0)),IF($B168="Cardboard Recycling",INDEX('Materials Master'!$I$2:$I$27,MATCH($C168,'Materials Master'!$A$2:$A$27,0)),IF($B168="Paper Recycling",INDEX('Materials Master'!$J$2:$J$27,MATCH($C168,'Materials Master'!$A$2:$A$27,0)),IF($B168="Terracycle",INDEX('Materials Master'!$K$2:$K$27,MATCH($C168,'Materials Master'!$A$2:$A$27,0)),"No"))))))="Yes",INDEX('Materials Master'!$E$2:$E$27,MATCH($C168,'Materials Master'!$A$2:$A$27,0))="Yes",$B168&lt;&gt;"Trash"),1,0)</f>
        <v>0</v>
      </c>
      <c r="H168" s="0" t="str">
        <f aca="false">INDEX('Materials Master'!$E$2:$E$27,MATCH($C168,'Materials Master'!$A$2:$A$27,0))</f>
        <v>Yes</v>
      </c>
      <c r="I168" s="0" t="str">
        <f aca="false">IFERROR(INDEX(Areas!$C$2:$C$6,MATCH($A168,Areas!$B$2:$B$6,0)),"")</f>
        <v>BOH</v>
      </c>
      <c r="J168" s="0" t="n">
        <f aca="false">IF(IF($B168="Trash",INDEX('Materials Master'!$F$2:$F$27,MATCH($C168,'Materials Master'!$A$2:$A$27,0)),IF($B168="GMPC Recycling",INDEX('Materials Master'!$G$2:$G$27,MATCH($C168,'Materials Master'!$A$2:$A$27,0)),IF($B168="Organics Recycling",INDEX('Materials Master'!$H$2:$H$27,MATCH($C168,'Materials Master'!$A$2:$A$27,0)),IF($B168="Cardboard Recycling",INDEX('Materials Master'!$I$2:$I$27,MATCH($C168,'Materials Master'!$A$2:$A$27,0)),IF($B168="Paper Recycling",INDEX('Materials Master'!$J$2:$J$27,MATCH($C168,'Materials Master'!$A$2:$A$27,0)),IF($B168="Terracycle",INDEX('Materials Master'!$K$2:$K$27,MATCH($C168,'Materials Master'!$A$2:$A$27,0)),"No"))))))="Yes",1,0)</f>
        <v>0</v>
      </c>
    </row>
    <row r="169" customFormat="false" ht="15" hidden="false" customHeight="false" outlineLevel="0" collapsed="false">
      <c r="A169" s="0" t="s">
        <v>94</v>
      </c>
      <c r="B169" s="0" t="s">
        <v>103</v>
      </c>
      <c r="C169" s="0" t="s">
        <v>53</v>
      </c>
      <c r="D169" s="0" t="str">
        <f aca="false">IFERROR(INDEX('Materials Master'!$B$2:$B$27,MATCH($C169,'Materials Master'!$A$2:$A$27,0)),"")</f>
        <v>Soiled Metals</v>
      </c>
      <c r="E169" s="0" t="str">
        <f aca="false">IFERROR(INDEX('Materials Master'!$C$2:$C$27,MATCH($C169,'Materials Master'!$A$2:$A$27,0)),"")</f>
        <v>Metals</v>
      </c>
      <c r="F169" s="0" t="n">
        <f aca="false">(SUMIFS(Fact_PreSortWeights!$E$2:$E$15,Fact_PreSortWeights!$C$2:$C$15,$A169,Fact_PreSortWeights!$B$2:$B$15,$B169,Fact_PreSortWeights!$F$2:$F$15,$C169))+(SUMIFS(Fact_SortedWeights!$E$2:$E$6,Fact_SortedWeights!$C$2:$C$6,$A169,Fact_SortedWeights!$B$2:$B$6,$B169,Fact_SortedWeights!$D$2:$D$6,$C169,Fact_SortedWeights!$L$2:$L$6,"Yes"))+IF((SUMIFS(Fact_SortedWeights!$E$2:$E$6,Fact_SortedWeights!$C$2:$C$6,$A169,Fact_SortedWeights!$B$2:$B$6,$B169,Fact_SortedWeights!$L$2:$L$6,"No"))=0,0,(SUMIFS(Fact_SortedWeights!$E$2:$E$6,Fact_SortedWeights!$C$2:$C$6,$A169,Fact_SortedWeights!$B$2:$B$6,$B169,Fact_SortedWeights!$D$2:$D$6,$C169,Fact_SortedWeights!$L$2:$L$6,"No"))/(SUMIFS(Fact_SortedWeights!$E$2:$E$6,Fact_SortedWeights!$C$2:$C$6,$A169,Fact_SortedWeights!$B$2:$B$6,$B169,Fact_SortedWeights!$L$2:$L$6,"No"))*((SUMIFS(Fact_PreSortWeights!$E$2:$E$15,Fact_PreSortWeights!$C$2:$C$15,$A169,Fact_PreSortWeights!$B$2:$B$15,$B169,Fact_PreSortWeights!$F$2:$F$15,""))-(SUMIFS(Fact_SortedWeights!$E$2:$E$6,Fact_SortedWeights!$C$2:$C$6,$A169,Fact_SortedWeights!$B$2:$B$6,$B169,Fact_SortedWeights!$L$2:$L$6,"Yes"))))</f>
        <v>0</v>
      </c>
      <c r="G169" s="0" t="n">
        <f aca="false">IF(AND(IF($B169="Trash",INDEX('Materials Master'!$F$2:$F$27,MATCH($C169,'Materials Master'!$A$2:$A$27,0)),IF($B169="GMPC Recycling",INDEX('Materials Master'!$G$2:$G$27,MATCH($C169,'Materials Master'!$A$2:$A$27,0)),IF($B169="Organics Recycling",INDEX('Materials Master'!$H$2:$H$27,MATCH($C169,'Materials Master'!$A$2:$A$27,0)),IF($B169="Cardboard Recycling",INDEX('Materials Master'!$I$2:$I$27,MATCH($C169,'Materials Master'!$A$2:$A$27,0)),IF($B169="Paper Recycling",INDEX('Materials Master'!$J$2:$J$27,MATCH($C169,'Materials Master'!$A$2:$A$27,0)),IF($B169="Terracycle",INDEX('Materials Master'!$K$2:$K$27,MATCH($C169,'Materials Master'!$A$2:$A$27,0)),"No"))))))="Yes",INDEX('Materials Master'!$E$2:$E$27,MATCH($C169,'Materials Master'!$A$2:$A$27,0))="Yes",$B169&lt;&gt;"Trash"),1,0)</f>
        <v>0</v>
      </c>
      <c r="H169" s="0" t="str">
        <f aca="false">INDEX('Materials Master'!$E$2:$E$27,MATCH($C169,'Materials Master'!$A$2:$A$27,0))</f>
        <v>No</v>
      </c>
      <c r="I169" s="0" t="str">
        <f aca="false">IFERROR(INDEX(Areas!$C$2:$C$6,MATCH($A169,Areas!$B$2:$B$6,0)),"")</f>
        <v>BOH</v>
      </c>
      <c r="J169" s="0" t="n">
        <f aca="false">IF(IF($B169="Trash",INDEX('Materials Master'!$F$2:$F$27,MATCH($C169,'Materials Master'!$A$2:$A$27,0)),IF($B169="GMPC Recycling",INDEX('Materials Master'!$G$2:$G$27,MATCH($C169,'Materials Master'!$A$2:$A$27,0)),IF($B169="Organics Recycling",INDEX('Materials Master'!$H$2:$H$27,MATCH($C169,'Materials Master'!$A$2:$A$27,0)),IF($B169="Cardboard Recycling",INDEX('Materials Master'!$I$2:$I$27,MATCH($C169,'Materials Master'!$A$2:$A$27,0)),IF($B169="Paper Recycling",INDEX('Materials Master'!$J$2:$J$27,MATCH($C169,'Materials Master'!$A$2:$A$27,0)),IF($B169="Terracycle",INDEX('Materials Master'!$K$2:$K$27,MATCH($C169,'Materials Master'!$A$2:$A$27,0)),"No"))))))="Yes",1,0)</f>
        <v>1</v>
      </c>
    </row>
    <row r="170" customFormat="false" ht="15" hidden="false" customHeight="false" outlineLevel="0" collapsed="false">
      <c r="A170" s="0" t="s">
        <v>94</v>
      </c>
      <c r="B170" s="0" t="s">
        <v>103</v>
      </c>
      <c r="C170" s="0" t="s">
        <v>55</v>
      </c>
      <c r="D170" s="0" t="str">
        <f aca="false">IFERROR(INDEX('Materials Master'!$B$2:$B$27,MATCH($C170,'Materials Master'!$A$2:$A$27,0)),"")</f>
        <v>Rigid Plastics (1-6)</v>
      </c>
      <c r="E170" s="0" t="str">
        <f aca="false">IFERROR(INDEX('Materials Master'!$C$2:$C$27,MATCH($C170,'Materials Master'!$A$2:$A$27,0)),"")</f>
        <v>Plastics</v>
      </c>
      <c r="F170" s="0" t="n">
        <f aca="false">(SUMIFS(Fact_PreSortWeights!$E$2:$E$15,Fact_PreSortWeights!$C$2:$C$15,$A170,Fact_PreSortWeights!$B$2:$B$15,$B170,Fact_PreSortWeights!$F$2:$F$15,$C170))+(SUMIFS(Fact_SortedWeights!$E$2:$E$6,Fact_SortedWeights!$C$2:$C$6,$A170,Fact_SortedWeights!$B$2:$B$6,$B170,Fact_SortedWeights!$D$2:$D$6,$C170,Fact_SortedWeights!$L$2:$L$6,"Yes"))+IF((SUMIFS(Fact_SortedWeights!$E$2:$E$6,Fact_SortedWeights!$C$2:$C$6,$A170,Fact_SortedWeights!$B$2:$B$6,$B170,Fact_SortedWeights!$L$2:$L$6,"No"))=0,0,(SUMIFS(Fact_SortedWeights!$E$2:$E$6,Fact_SortedWeights!$C$2:$C$6,$A170,Fact_SortedWeights!$B$2:$B$6,$B170,Fact_SortedWeights!$D$2:$D$6,$C170,Fact_SortedWeights!$L$2:$L$6,"No"))/(SUMIFS(Fact_SortedWeights!$E$2:$E$6,Fact_SortedWeights!$C$2:$C$6,$A170,Fact_SortedWeights!$B$2:$B$6,$B170,Fact_SortedWeights!$L$2:$L$6,"No"))*((SUMIFS(Fact_PreSortWeights!$E$2:$E$15,Fact_PreSortWeights!$C$2:$C$15,$A170,Fact_PreSortWeights!$B$2:$B$15,$B170,Fact_PreSortWeights!$F$2:$F$15,""))-(SUMIFS(Fact_SortedWeights!$E$2:$E$6,Fact_SortedWeights!$C$2:$C$6,$A170,Fact_SortedWeights!$B$2:$B$6,$B170,Fact_SortedWeights!$L$2:$L$6,"Yes"))))</f>
        <v>0</v>
      </c>
      <c r="G170" s="0" t="n">
        <f aca="false">IF(AND(IF($B170="Trash",INDEX('Materials Master'!$F$2:$F$27,MATCH($C170,'Materials Master'!$A$2:$A$27,0)),IF($B170="GMPC Recycling",INDEX('Materials Master'!$G$2:$G$27,MATCH($C170,'Materials Master'!$A$2:$A$27,0)),IF($B170="Organics Recycling",INDEX('Materials Master'!$H$2:$H$27,MATCH($C170,'Materials Master'!$A$2:$A$27,0)),IF($B170="Cardboard Recycling",INDEX('Materials Master'!$I$2:$I$27,MATCH($C170,'Materials Master'!$A$2:$A$27,0)),IF($B170="Paper Recycling",INDEX('Materials Master'!$J$2:$J$27,MATCH($C170,'Materials Master'!$A$2:$A$27,0)),IF($B170="Terracycle",INDEX('Materials Master'!$K$2:$K$27,MATCH($C170,'Materials Master'!$A$2:$A$27,0)),"No"))))))="Yes",INDEX('Materials Master'!$E$2:$E$27,MATCH($C170,'Materials Master'!$A$2:$A$27,0))="Yes",$B170&lt;&gt;"Trash"),1,0)</f>
        <v>0</v>
      </c>
      <c r="H170" s="0" t="str">
        <f aca="false">INDEX('Materials Master'!$E$2:$E$27,MATCH($C170,'Materials Master'!$A$2:$A$27,0))</f>
        <v>Yes</v>
      </c>
      <c r="I170" s="0" t="str">
        <f aca="false">IFERROR(INDEX(Areas!$C$2:$C$6,MATCH($A170,Areas!$B$2:$B$6,0)),"")</f>
        <v>BOH</v>
      </c>
      <c r="J170" s="0" t="n">
        <f aca="false">IF(IF($B170="Trash",INDEX('Materials Master'!$F$2:$F$27,MATCH($C170,'Materials Master'!$A$2:$A$27,0)),IF($B170="GMPC Recycling",INDEX('Materials Master'!$G$2:$G$27,MATCH($C170,'Materials Master'!$A$2:$A$27,0)),IF($B170="Organics Recycling",INDEX('Materials Master'!$H$2:$H$27,MATCH($C170,'Materials Master'!$A$2:$A$27,0)),IF($B170="Cardboard Recycling",INDEX('Materials Master'!$I$2:$I$27,MATCH($C170,'Materials Master'!$A$2:$A$27,0)),IF($B170="Paper Recycling",INDEX('Materials Master'!$J$2:$J$27,MATCH($C170,'Materials Master'!$A$2:$A$27,0)),IF($B170="Terracycle",INDEX('Materials Master'!$K$2:$K$27,MATCH($C170,'Materials Master'!$A$2:$A$27,0)),"No"))))))="Yes",1,0)</f>
        <v>0</v>
      </c>
    </row>
    <row r="171" customFormat="false" ht="15" hidden="false" customHeight="false" outlineLevel="0" collapsed="false">
      <c r="A171" s="0" t="s">
        <v>94</v>
      </c>
      <c r="B171" s="0" t="s">
        <v>103</v>
      </c>
      <c r="C171" s="0" t="s">
        <v>58</v>
      </c>
      <c r="D171" s="0" t="str">
        <f aca="false">IFERROR(INDEX('Materials Master'!$B$2:$B$27,MATCH($C171,'Materials Master'!$A$2:$A$27,0)),"")</f>
        <v>Soiled Rigid Plastics</v>
      </c>
      <c r="E171" s="0" t="str">
        <f aca="false">IFERROR(INDEX('Materials Master'!$C$2:$C$27,MATCH($C171,'Materials Master'!$A$2:$A$27,0)),"")</f>
        <v>Plastics</v>
      </c>
      <c r="F171" s="0" t="n">
        <f aca="false">(SUMIFS(Fact_PreSortWeights!$E$2:$E$15,Fact_PreSortWeights!$C$2:$C$15,$A171,Fact_PreSortWeights!$B$2:$B$15,$B171,Fact_PreSortWeights!$F$2:$F$15,$C171))+(SUMIFS(Fact_SortedWeights!$E$2:$E$6,Fact_SortedWeights!$C$2:$C$6,$A171,Fact_SortedWeights!$B$2:$B$6,$B171,Fact_SortedWeights!$D$2:$D$6,$C171,Fact_SortedWeights!$L$2:$L$6,"Yes"))+IF((SUMIFS(Fact_SortedWeights!$E$2:$E$6,Fact_SortedWeights!$C$2:$C$6,$A171,Fact_SortedWeights!$B$2:$B$6,$B171,Fact_SortedWeights!$L$2:$L$6,"No"))=0,0,(SUMIFS(Fact_SortedWeights!$E$2:$E$6,Fact_SortedWeights!$C$2:$C$6,$A171,Fact_SortedWeights!$B$2:$B$6,$B171,Fact_SortedWeights!$D$2:$D$6,$C171,Fact_SortedWeights!$L$2:$L$6,"No"))/(SUMIFS(Fact_SortedWeights!$E$2:$E$6,Fact_SortedWeights!$C$2:$C$6,$A171,Fact_SortedWeights!$B$2:$B$6,$B171,Fact_SortedWeights!$L$2:$L$6,"No"))*((SUMIFS(Fact_PreSortWeights!$E$2:$E$15,Fact_PreSortWeights!$C$2:$C$15,$A171,Fact_PreSortWeights!$B$2:$B$15,$B171,Fact_PreSortWeights!$F$2:$F$15,""))-(SUMIFS(Fact_SortedWeights!$E$2:$E$6,Fact_SortedWeights!$C$2:$C$6,$A171,Fact_SortedWeights!$B$2:$B$6,$B171,Fact_SortedWeights!$L$2:$L$6,"Yes"))))</f>
        <v>0</v>
      </c>
      <c r="G171" s="0" t="n">
        <f aca="false">IF(AND(IF($B171="Trash",INDEX('Materials Master'!$F$2:$F$27,MATCH($C171,'Materials Master'!$A$2:$A$27,0)),IF($B171="GMPC Recycling",INDEX('Materials Master'!$G$2:$G$27,MATCH($C171,'Materials Master'!$A$2:$A$27,0)),IF($B171="Organics Recycling",INDEX('Materials Master'!$H$2:$H$27,MATCH($C171,'Materials Master'!$A$2:$A$27,0)),IF($B171="Cardboard Recycling",INDEX('Materials Master'!$I$2:$I$27,MATCH($C171,'Materials Master'!$A$2:$A$27,0)),IF($B171="Paper Recycling",INDEX('Materials Master'!$J$2:$J$27,MATCH($C171,'Materials Master'!$A$2:$A$27,0)),IF($B171="Terracycle",INDEX('Materials Master'!$K$2:$K$27,MATCH($C171,'Materials Master'!$A$2:$A$27,0)),"No"))))))="Yes",INDEX('Materials Master'!$E$2:$E$27,MATCH($C171,'Materials Master'!$A$2:$A$27,0))="Yes",$B171&lt;&gt;"Trash"),1,0)</f>
        <v>0</v>
      </c>
      <c r="H171" s="0" t="str">
        <f aca="false">INDEX('Materials Master'!$E$2:$E$27,MATCH($C171,'Materials Master'!$A$2:$A$27,0))</f>
        <v>No</v>
      </c>
      <c r="I171" s="0" t="str">
        <f aca="false">IFERROR(INDEX(Areas!$C$2:$C$6,MATCH($A171,Areas!$B$2:$B$6,0)),"")</f>
        <v>BOH</v>
      </c>
      <c r="J171" s="0" t="n">
        <f aca="false">IF(IF($B171="Trash",INDEX('Materials Master'!$F$2:$F$27,MATCH($C171,'Materials Master'!$A$2:$A$27,0)),IF($B171="GMPC Recycling",INDEX('Materials Master'!$G$2:$G$27,MATCH($C171,'Materials Master'!$A$2:$A$27,0)),IF($B171="Organics Recycling",INDEX('Materials Master'!$H$2:$H$27,MATCH($C171,'Materials Master'!$A$2:$A$27,0)),IF($B171="Cardboard Recycling",INDEX('Materials Master'!$I$2:$I$27,MATCH($C171,'Materials Master'!$A$2:$A$27,0)),IF($B171="Paper Recycling",INDEX('Materials Master'!$J$2:$J$27,MATCH($C171,'Materials Master'!$A$2:$A$27,0)),IF($B171="Terracycle",INDEX('Materials Master'!$K$2:$K$27,MATCH($C171,'Materials Master'!$A$2:$A$27,0)),"No"))))))="Yes",1,0)</f>
        <v>1</v>
      </c>
    </row>
    <row r="172" customFormat="false" ht="15" hidden="false" customHeight="false" outlineLevel="0" collapsed="false">
      <c r="A172" s="0" t="s">
        <v>94</v>
      </c>
      <c r="B172" s="0" t="s">
        <v>103</v>
      </c>
      <c r="C172" s="0" t="s">
        <v>60</v>
      </c>
      <c r="D172" s="0" t="str">
        <f aca="false">IFERROR(INDEX('Materials Master'!$B$2:$B$27,MATCH($C172,'Materials Master'!$A$2:$A$27,0)),"")</f>
        <v>Film Plastics</v>
      </c>
      <c r="E172" s="0" t="str">
        <f aca="false">IFERROR(INDEX('Materials Master'!$C$2:$C$27,MATCH($C172,'Materials Master'!$A$2:$A$27,0)),"")</f>
        <v>Plastics</v>
      </c>
      <c r="F172" s="0" t="n">
        <f aca="false">(SUMIFS(Fact_PreSortWeights!$E$2:$E$15,Fact_PreSortWeights!$C$2:$C$15,$A172,Fact_PreSortWeights!$B$2:$B$15,$B172,Fact_PreSortWeights!$F$2:$F$15,$C172))+(SUMIFS(Fact_SortedWeights!$E$2:$E$6,Fact_SortedWeights!$C$2:$C$6,$A172,Fact_SortedWeights!$B$2:$B$6,$B172,Fact_SortedWeights!$D$2:$D$6,$C172,Fact_SortedWeights!$L$2:$L$6,"Yes"))+IF((SUMIFS(Fact_SortedWeights!$E$2:$E$6,Fact_SortedWeights!$C$2:$C$6,$A172,Fact_SortedWeights!$B$2:$B$6,$B172,Fact_SortedWeights!$L$2:$L$6,"No"))=0,0,(SUMIFS(Fact_SortedWeights!$E$2:$E$6,Fact_SortedWeights!$C$2:$C$6,$A172,Fact_SortedWeights!$B$2:$B$6,$B172,Fact_SortedWeights!$D$2:$D$6,$C172,Fact_SortedWeights!$L$2:$L$6,"No"))/(SUMIFS(Fact_SortedWeights!$E$2:$E$6,Fact_SortedWeights!$C$2:$C$6,$A172,Fact_SortedWeights!$B$2:$B$6,$B172,Fact_SortedWeights!$L$2:$L$6,"No"))*((SUMIFS(Fact_PreSortWeights!$E$2:$E$15,Fact_PreSortWeights!$C$2:$C$15,$A172,Fact_PreSortWeights!$B$2:$B$15,$B172,Fact_PreSortWeights!$F$2:$F$15,""))-(SUMIFS(Fact_SortedWeights!$E$2:$E$6,Fact_SortedWeights!$C$2:$C$6,$A172,Fact_SortedWeights!$B$2:$B$6,$B172,Fact_SortedWeights!$L$2:$L$6,"Yes"))))</f>
        <v>0</v>
      </c>
      <c r="G172" s="0" t="n">
        <f aca="false">IF(AND(IF($B172="Trash",INDEX('Materials Master'!$F$2:$F$27,MATCH($C172,'Materials Master'!$A$2:$A$27,0)),IF($B172="GMPC Recycling",INDEX('Materials Master'!$G$2:$G$27,MATCH($C172,'Materials Master'!$A$2:$A$27,0)),IF($B172="Organics Recycling",INDEX('Materials Master'!$H$2:$H$27,MATCH($C172,'Materials Master'!$A$2:$A$27,0)),IF($B172="Cardboard Recycling",INDEX('Materials Master'!$I$2:$I$27,MATCH($C172,'Materials Master'!$A$2:$A$27,0)),IF($B172="Paper Recycling",INDEX('Materials Master'!$J$2:$J$27,MATCH($C172,'Materials Master'!$A$2:$A$27,0)),IF($B172="Terracycle",INDEX('Materials Master'!$K$2:$K$27,MATCH($C172,'Materials Master'!$A$2:$A$27,0)),"No"))))))="Yes",INDEX('Materials Master'!$E$2:$E$27,MATCH($C172,'Materials Master'!$A$2:$A$27,0))="Yes",$B172&lt;&gt;"Trash"),1,0)</f>
        <v>0</v>
      </c>
      <c r="H172" s="0" t="str">
        <f aca="false">INDEX('Materials Master'!$E$2:$E$27,MATCH($C172,'Materials Master'!$A$2:$A$27,0))</f>
        <v>No</v>
      </c>
      <c r="I172" s="0" t="str">
        <f aca="false">IFERROR(INDEX(Areas!$C$2:$C$6,MATCH($A172,Areas!$B$2:$B$6,0)),"")</f>
        <v>BOH</v>
      </c>
      <c r="J172" s="0" t="n">
        <f aca="false">IF(IF($B172="Trash",INDEX('Materials Master'!$F$2:$F$27,MATCH($C172,'Materials Master'!$A$2:$A$27,0)),IF($B172="GMPC Recycling",INDEX('Materials Master'!$G$2:$G$27,MATCH($C172,'Materials Master'!$A$2:$A$27,0)),IF($B172="Organics Recycling",INDEX('Materials Master'!$H$2:$H$27,MATCH($C172,'Materials Master'!$A$2:$A$27,0)),IF($B172="Cardboard Recycling",INDEX('Materials Master'!$I$2:$I$27,MATCH($C172,'Materials Master'!$A$2:$A$27,0)),IF($B172="Paper Recycling",INDEX('Materials Master'!$J$2:$J$27,MATCH($C172,'Materials Master'!$A$2:$A$27,0)),IF($B172="Terracycle",INDEX('Materials Master'!$K$2:$K$27,MATCH($C172,'Materials Master'!$A$2:$A$27,0)),"No"))))))="Yes",1,0)</f>
        <v>1</v>
      </c>
    </row>
    <row r="173" customFormat="false" ht="15" hidden="false" customHeight="false" outlineLevel="0" collapsed="false">
      <c r="A173" s="0" t="s">
        <v>94</v>
      </c>
      <c r="B173" s="0" t="s">
        <v>103</v>
      </c>
      <c r="C173" s="0" t="s">
        <v>62</v>
      </c>
      <c r="D173" s="0" t="str">
        <f aca="false">IFERROR(INDEX('Materials Master'!$B$2:$B$27,MATCH($C173,'Materials Master'!$A$2:$A$27,0)),"")</f>
        <v>Foams</v>
      </c>
      <c r="E173" s="0" t="str">
        <f aca="false">IFERROR(INDEX('Materials Master'!$C$2:$C$27,MATCH($C173,'Materials Master'!$A$2:$A$27,0)),"")</f>
        <v>Plastics</v>
      </c>
      <c r="F173" s="0" t="n">
        <f aca="false">(SUMIFS(Fact_PreSortWeights!$E$2:$E$15,Fact_PreSortWeights!$C$2:$C$15,$A173,Fact_PreSortWeights!$B$2:$B$15,$B173,Fact_PreSortWeights!$F$2:$F$15,$C173))+(SUMIFS(Fact_SortedWeights!$E$2:$E$6,Fact_SortedWeights!$C$2:$C$6,$A173,Fact_SortedWeights!$B$2:$B$6,$B173,Fact_SortedWeights!$D$2:$D$6,$C173,Fact_SortedWeights!$L$2:$L$6,"Yes"))+IF((SUMIFS(Fact_SortedWeights!$E$2:$E$6,Fact_SortedWeights!$C$2:$C$6,$A173,Fact_SortedWeights!$B$2:$B$6,$B173,Fact_SortedWeights!$L$2:$L$6,"No"))=0,0,(SUMIFS(Fact_SortedWeights!$E$2:$E$6,Fact_SortedWeights!$C$2:$C$6,$A173,Fact_SortedWeights!$B$2:$B$6,$B173,Fact_SortedWeights!$D$2:$D$6,$C173,Fact_SortedWeights!$L$2:$L$6,"No"))/(SUMIFS(Fact_SortedWeights!$E$2:$E$6,Fact_SortedWeights!$C$2:$C$6,$A173,Fact_SortedWeights!$B$2:$B$6,$B173,Fact_SortedWeights!$L$2:$L$6,"No"))*((SUMIFS(Fact_PreSortWeights!$E$2:$E$15,Fact_PreSortWeights!$C$2:$C$15,$A173,Fact_PreSortWeights!$B$2:$B$15,$B173,Fact_PreSortWeights!$F$2:$F$15,""))-(SUMIFS(Fact_SortedWeights!$E$2:$E$6,Fact_SortedWeights!$C$2:$C$6,$A173,Fact_SortedWeights!$B$2:$B$6,$B173,Fact_SortedWeights!$L$2:$L$6,"Yes"))))</f>
        <v>0</v>
      </c>
      <c r="G173" s="0" t="n">
        <f aca="false">IF(AND(IF($B173="Trash",INDEX('Materials Master'!$F$2:$F$27,MATCH($C173,'Materials Master'!$A$2:$A$27,0)),IF($B173="GMPC Recycling",INDEX('Materials Master'!$G$2:$G$27,MATCH($C173,'Materials Master'!$A$2:$A$27,0)),IF($B173="Organics Recycling",INDEX('Materials Master'!$H$2:$H$27,MATCH($C173,'Materials Master'!$A$2:$A$27,0)),IF($B173="Cardboard Recycling",INDEX('Materials Master'!$I$2:$I$27,MATCH($C173,'Materials Master'!$A$2:$A$27,0)),IF($B173="Paper Recycling",INDEX('Materials Master'!$J$2:$J$27,MATCH($C173,'Materials Master'!$A$2:$A$27,0)),IF($B173="Terracycle",INDEX('Materials Master'!$K$2:$K$27,MATCH($C173,'Materials Master'!$A$2:$A$27,0)),"No"))))))="Yes",INDEX('Materials Master'!$E$2:$E$27,MATCH($C173,'Materials Master'!$A$2:$A$27,0))="Yes",$B173&lt;&gt;"Trash"),1,0)</f>
        <v>0</v>
      </c>
      <c r="H173" s="0" t="str">
        <f aca="false">INDEX('Materials Master'!$E$2:$E$27,MATCH($C173,'Materials Master'!$A$2:$A$27,0))</f>
        <v>No</v>
      </c>
      <c r="I173" s="0" t="str">
        <f aca="false">IFERROR(INDEX(Areas!$C$2:$C$6,MATCH($A173,Areas!$B$2:$B$6,0)),"")</f>
        <v>BOH</v>
      </c>
      <c r="J173" s="0" t="n">
        <f aca="false">IF(IF($B173="Trash",INDEX('Materials Master'!$F$2:$F$27,MATCH($C173,'Materials Master'!$A$2:$A$27,0)),IF($B173="GMPC Recycling",INDEX('Materials Master'!$G$2:$G$27,MATCH($C173,'Materials Master'!$A$2:$A$27,0)),IF($B173="Organics Recycling",INDEX('Materials Master'!$H$2:$H$27,MATCH($C173,'Materials Master'!$A$2:$A$27,0)),IF($B173="Cardboard Recycling",INDEX('Materials Master'!$I$2:$I$27,MATCH($C173,'Materials Master'!$A$2:$A$27,0)),IF($B173="Paper Recycling",INDEX('Materials Master'!$J$2:$J$27,MATCH($C173,'Materials Master'!$A$2:$A$27,0)),IF($B173="Terracycle",INDEX('Materials Master'!$K$2:$K$27,MATCH($C173,'Materials Master'!$A$2:$A$27,0)),"No"))))))="Yes",1,0)</f>
        <v>1</v>
      </c>
    </row>
    <row r="174" customFormat="false" ht="15" hidden="false" customHeight="false" outlineLevel="0" collapsed="false">
      <c r="A174" s="0" t="s">
        <v>94</v>
      </c>
      <c r="B174" s="0" t="s">
        <v>103</v>
      </c>
      <c r="C174" s="0" t="s">
        <v>64</v>
      </c>
      <c r="D174" s="0" t="str">
        <f aca="false">IFERROR(INDEX('Materials Master'!$B$2:$B$27,MATCH($C174,'Materials Master'!$A$2:$A$27,0)),"")</f>
        <v>Food Waste</v>
      </c>
      <c r="E174" s="0" t="str">
        <f aca="false">IFERROR(INDEX('Materials Master'!$C$2:$C$27,MATCH($C174,'Materials Master'!$A$2:$A$27,0)),"")</f>
        <v>Organics</v>
      </c>
      <c r="F174" s="0" t="n">
        <f aca="false">(SUMIFS(Fact_PreSortWeights!$E$2:$E$15,Fact_PreSortWeights!$C$2:$C$15,$A174,Fact_PreSortWeights!$B$2:$B$15,$B174,Fact_PreSortWeights!$F$2:$F$15,$C174))+(SUMIFS(Fact_SortedWeights!$E$2:$E$6,Fact_SortedWeights!$C$2:$C$6,$A174,Fact_SortedWeights!$B$2:$B$6,$B174,Fact_SortedWeights!$D$2:$D$6,$C174,Fact_SortedWeights!$L$2:$L$6,"Yes"))+IF((SUMIFS(Fact_SortedWeights!$E$2:$E$6,Fact_SortedWeights!$C$2:$C$6,$A174,Fact_SortedWeights!$B$2:$B$6,$B174,Fact_SortedWeights!$L$2:$L$6,"No"))=0,0,(SUMIFS(Fact_SortedWeights!$E$2:$E$6,Fact_SortedWeights!$C$2:$C$6,$A174,Fact_SortedWeights!$B$2:$B$6,$B174,Fact_SortedWeights!$D$2:$D$6,$C174,Fact_SortedWeights!$L$2:$L$6,"No"))/(SUMIFS(Fact_SortedWeights!$E$2:$E$6,Fact_SortedWeights!$C$2:$C$6,$A174,Fact_SortedWeights!$B$2:$B$6,$B174,Fact_SortedWeights!$L$2:$L$6,"No"))*((SUMIFS(Fact_PreSortWeights!$E$2:$E$15,Fact_PreSortWeights!$C$2:$C$15,$A174,Fact_PreSortWeights!$B$2:$B$15,$B174,Fact_PreSortWeights!$F$2:$F$15,""))-(SUMIFS(Fact_SortedWeights!$E$2:$E$6,Fact_SortedWeights!$C$2:$C$6,$A174,Fact_SortedWeights!$B$2:$B$6,$B174,Fact_SortedWeights!$L$2:$L$6,"Yes"))))</f>
        <v>0</v>
      </c>
      <c r="G174" s="0" t="n">
        <f aca="false">IF(AND(IF($B174="Trash",INDEX('Materials Master'!$F$2:$F$27,MATCH($C174,'Materials Master'!$A$2:$A$27,0)),IF($B174="GMPC Recycling",INDEX('Materials Master'!$G$2:$G$27,MATCH($C174,'Materials Master'!$A$2:$A$27,0)),IF($B174="Organics Recycling",INDEX('Materials Master'!$H$2:$H$27,MATCH($C174,'Materials Master'!$A$2:$A$27,0)),IF($B174="Cardboard Recycling",INDEX('Materials Master'!$I$2:$I$27,MATCH($C174,'Materials Master'!$A$2:$A$27,0)),IF($B174="Paper Recycling",INDEX('Materials Master'!$J$2:$J$27,MATCH($C174,'Materials Master'!$A$2:$A$27,0)),IF($B174="Terracycle",INDEX('Materials Master'!$K$2:$K$27,MATCH($C174,'Materials Master'!$A$2:$A$27,0)),"No"))))))="Yes",INDEX('Materials Master'!$E$2:$E$27,MATCH($C174,'Materials Master'!$A$2:$A$27,0))="Yes",$B174&lt;&gt;"Trash"),1,0)</f>
        <v>0</v>
      </c>
      <c r="H174" s="0" t="str">
        <f aca="false">INDEX('Materials Master'!$E$2:$E$27,MATCH($C174,'Materials Master'!$A$2:$A$27,0))</f>
        <v>Yes</v>
      </c>
      <c r="I174" s="0" t="str">
        <f aca="false">IFERROR(INDEX(Areas!$C$2:$C$6,MATCH($A174,Areas!$B$2:$B$6,0)),"")</f>
        <v>BOH</v>
      </c>
      <c r="J174" s="0" t="n">
        <f aca="false">IF(IF($B174="Trash",INDEX('Materials Master'!$F$2:$F$27,MATCH($C174,'Materials Master'!$A$2:$A$27,0)),IF($B174="GMPC Recycling",INDEX('Materials Master'!$G$2:$G$27,MATCH($C174,'Materials Master'!$A$2:$A$27,0)),IF($B174="Organics Recycling",INDEX('Materials Master'!$H$2:$H$27,MATCH($C174,'Materials Master'!$A$2:$A$27,0)),IF($B174="Cardboard Recycling",INDEX('Materials Master'!$I$2:$I$27,MATCH($C174,'Materials Master'!$A$2:$A$27,0)),IF($B174="Paper Recycling",INDEX('Materials Master'!$J$2:$J$27,MATCH($C174,'Materials Master'!$A$2:$A$27,0)),IF($B174="Terracycle",INDEX('Materials Master'!$K$2:$K$27,MATCH($C174,'Materials Master'!$A$2:$A$27,0)),"No"))))))="Yes",1,0)</f>
        <v>0</v>
      </c>
    </row>
    <row r="175" customFormat="false" ht="15" hidden="false" customHeight="false" outlineLevel="0" collapsed="false">
      <c r="A175" s="0" t="s">
        <v>94</v>
      </c>
      <c r="B175" s="0" t="s">
        <v>103</v>
      </c>
      <c r="C175" s="0" t="s">
        <v>67</v>
      </c>
      <c r="D175" s="0" t="str">
        <f aca="false">IFERROR(INDEX('Materials Master'!$B$2:$B$27,MATCH($C175,'Materials Master'!$A$2:$A$27,0)),"")</f>
        <v>Paper Fibers and Food-Soiled Paper (FSP)</v>
      </c>
      <c r="E175" s="0" t="str">
        <f aca="false">IFERROR(INDEX('Materials Master'!$C$2:$C$27,MATCH($C175,'Materials Master'!$A$2:$A$27,0)),"")</f>
        <v>Organics</v>
      </c>
      <c r="F175" s="0" t="n">
        <f aca="false">(SUMIFS(Fact_PreSortWeights!$E$2:$E$15,Fact_PreSortWeights!$C$2:$C$15,$A175,Fact_PreSortWeights!$B$2:$B$15,$B175,Fact_PreSortWeights!$F$2:$F$15,$C175))+(SUMIFS(Fact_SortedWeights!$E$2:$E$6,Fact_SortedWeights!$C$2:$C$6,$A175,Fact_SortedWeights!$B$2:$B$6,$B175,Fact_SortedWeights!$D$2:$D$6,$C175,Fact_SortedWeights!$L$2:$L$6,"Yes"))+IF((SUMIFS(Fact_SortedWeights!$E$2:$E$6,Fact_SortedWeights!$C$2:$C$6,$A175,Fact_SortedWeights!$B$2:$B$6,$B175,Fact_SortedWeights!$L$2:$L$6,"No"))=0,0,(SUMIFS(Fact_SortedWeights!$E$2:$E$6,Fact_SortedWeights!$C$2:$C$6,$A175,Fact_SortedWeights!$B$2:$B$6,$B175,Fact_SortedWeights!$D$2:$D$6,$C175,Fact_SortedWeights!$L$2:$L$6,"No"))/(SUMIFS(Fact_SortedWeights!$E$2:$E$6,Fact_SortedWeights!$C$2:$C$6,$A175,Fact_SortedWeights!$B$2:$B$6,$B175,Fact_SortedWeights!$L$2:$L$6,"No"))*((SUMIFS(Fact_PreSortWeights!$E$2:$E$15,Fact_PreSortWeights!$C$2:$C$15,$A175,Fact_PreSortWeights!$B$2:$B$15,$B175,Fact_PreSortWeights!$F$2:$F$15,""))-(SUMIFS(Fact_SortedWeights!$E$2:$E$6,Fact_SortedWeights!$C$2:$C$6,$A175,Fact_SortedWeights!$B$2:$B$6,$B175,Fact_SortedWeights!$L$2:$L$6,"Yes"))))</f>
        <v>0</v>
      </c>
      <c r="G175" s="0" t="n">
        <f aca="false">IF(AND(IF($B175="Trash",INDEX('Materials Master'!$F$2:$F$27,MATCH($C175,'Materials Master'!$A$2:$A$27,0)),IF($B175="GMPC Recycling",INDEX('Materials Master'!$G$2:$G$27,MATCH($C175,'Materials Master'!$A$2:$A$27,0)),IF($B175="Organics Recycling",INDEX('Materials Master'!$H$2:$H$27,MATCH($C175,'Materials Master'!$A$2:$A$27,0)),IF($B175="Cardboard Recycling",INDEX('Materials Master'!$I$2:$I$27,MATCH($C175,'Materials Master'!$A$2:$A$27,0)),IF($B175="Paper Recycling",INDEX('Materials Master'!$J$2:$J$27,MATCH($C175,'Materials Master'!$A$2:$A$27,0)),IF($B175="Terracycle",INDEX('Materials Master'!$K$2:$K$27,MATCH($C175,'Materials Master'!$A$2:$A$27,0)),"No"))))))="Yes",INDEX('Materials Master'!$E$2:$E$27,MATCH($C175,'Materials Master'!$A$2:$A$27,0))="Yes",$B175&lt;&gt;"Trash"),1,0)</f>
        <v>0</v>
      </c>
      <c r="H175" s="0" t="str">
        <f aca="false">INDEX('Materials Master'!$E$2:$E$27,MATCH($C175,'Materials Master'!$A$2:$A$27,0))</f>
        <v>No</v>
      </c>
      <c r="I175" s="0" t="str">
        <f aca="false">IFERROR(INDEX(Areas!$C$2:$C$6,MATCH($A175,Areas!$B$2:$B$6,0)),"")</f>
        <v>BOH</v>
      </c>
      <c r="J175" s="0" t="n">
        <f aca="false">IF(IF($B175="Trash",INDEX('Materials Master'!$F$2:$F$27,MATCH($C175,'Materials Master'!$A$2:$A$27,0)),IF($B175="GMPC Recycling",INDEX('Materials Master'!$G$2:$G$27,MATCH($C175,'Materials Master'!$A$2:$A$27,0)),IF($B175="Organics Recycling",INDEX('Materials Master'!$H$2:$H$27,MATCH($C175,'Materials Master'!$A$2:$A$27,0)),IF($B175="Cardboard Recycling",INDEX('Materials Master'!$I$2:$I$27,MATCH($C175,'Materials Master'!$A$2:$A$27,0)),IF($B175="Paper Recycling",INDEX('Materials Master'!$J$2:$J$27,MATCH($C175,'Materials Master'!$A$2:$A$27,0)),IF($B175="Terracycle",INDEX('Materials Master'!$K$2:$K$27,MATCH($C175,'Materials Master'!$A$2:$A$27,0)),"No"))))))="Yes",1,0)</f>
        <v>1</v>
      </c>
    </row>
    <row r="176" customFormat="false" ht="15" hidden="false" customHeight="false" outlineLevel="0" collapsed="false">
      <c r="A176" s="0" t="s">
        <v>94</v>
      </c>
      <c r="B176" s="0" t="s">
        <v>103</v>
      </c>
      <c r="C176" s="0" t="s">
        <v>69</v>
      </c>
      <c r="D176" s="0" t="str">
        <f aca="false">IFERROR(INDEX('Materials Master'!$B$2:$B$27,MATCH($C176,'Materials Master'!$A$2:$A$27,0)),"")</f>
        <v>Fiber-based Compostable Serviceware</v>
      </c>
      <c r="E176" s="0" t="str">
        <f aca="false">IFERROR(INDEX('Materials Master'!$C$2:$C$27,MATCH($C176,'Materials Master'!$A$2:$A$27,0)),"")</f>
        <v>Organics</v>
      </c>
      <c r="F176" s="0" t="n">
        <f aca="false">(SUMIFS(Fact_PreSortWeights!$E$2:$E$15,Fact_PreSortWeights!$C$2:$C$15,$A176,Fact_PreSortWeights!$B$2:$B$15,$B176,Fact_PreSortWeights!$F$2:$F$15,$C176))+(SUMIFS(Fact_SortedWeights!$E$2:$E$6,Fact_SortedWeights!$C$2:$C$6,$A176,Fact_SortedWeights!$B$2:$B$6,$B176,Fact_SortedWeights!$D$2:$D$6,$C176,Fact_SortedWeights!$L$2:$L$6,"Yes"))+IF((SUMIFS(Fact_SortedWeights!$E$2:$E$6,Fact_SortedWeights!$C$2:$C$6,$A176,Fact_SortedWeights!$B$2:$B$6,$B176,Fact_SortedWeights!$L$2:$L$6,"No"))=0,0,(SUMIFS(Fact_SortedWeights!$E$2:$E$6,Fact_SortedWeights!$C$2:$C$6,$A176,Fact_SortedWeights!$B$2:$B$6,$B176,Fact_SortedWeights!$D$2:$D$6,$C176,Fact_SortedWeights!$L$2:$L$6,"No"))/(SUMIFS(Fact_SortedWeights!$E$2:$E$6,Fact_SortedWeights!$C$2:$C$6,$A176,Fact_SortedWeights!$B$2:$B$6,$B176,Fact_SortedWeights!$L$2:$L$6,"No"))*((SUMIFS(Fact_PreSortWeights!$E$2:$E$15,Fact_PreSortWeights!$C$2:$C$15,$A176,Fact_PreSortWeights!$B$2:$B$15,$B176,Fact_PreSortWeights!$F$2:$F$15,""))-(SUMIFS(Fact_SortedWeights!$E$2:$E$6,Fact_SortedWeights!$C$2:$C$6,$A176,Fact_SortedWeights!$B$2:$B$6,$B176,Fact_SortedWeights!$L$2:$L$6,"Yes"))))</f>
        <v>0</v>
      </c>
      <c r="G176" s="0" t="n">
        <f aca="false">IF(AND(IF($B176="Trash",INDEX('Materials Master'!$F$2:$F$27,MATCH($C176,'Materials Master'!$A$2:$A$27,0)),IF($B176="GMPC Recycling",INDEX('Materials Master'!$G$2:$G$27,MATCH($C176,'Materials Master'!$A$2:$A$27,0)),IF($B176="Organics Recycling",INDEX('Materials Master'!$H$2:$H$27,MATCH($C176,'Materials Master'!$A$2:$A$27,0)),IF($B176="Cardboard Recycling",INDEX('Materials Master'!$I$2:$I$27,MATCH($C176,'Materials Master'!$A$2:$A$27,0)),IF($B176="Paper Recycling",INDEX('Materials Master'!$J$2:$J$27,MATCH($C176,'Materials Master'!$A$2:$A$27,0)),IF($B176="Terracycle",INDEX('Materials Master'!$K$2:$K$27,MATCH($C176,'Materials Master'!$A$2:$A$27,0)),"No"))))))="Yes",INDEX('Materials Master'!$E$2:$E$27,MATCH($C176,'Materials Master'!$A$2:$A$27,0))="Yes",$B176&lt;&gt;"Trash"),1,0)</f>
        <v>0</v>
      </c>
      <c r="H176" s="0" t="str">
        <f aca="false">INDEX('Materials Master'!$E$2:$E$27,MATCH($C176,'Materials Master'!$A$2:$A$27,0))</f>
        <v>No</v>
      </c>
      <c r="I176" s="0" t="str">
        <f aca="false">IFERROR(INDEX(Areas!$C$2:$C$6,MATCH($A176,Areas!$B$2:$B$6,0)),"")</f>
        <v>BOH</v>
      </c>
      <c r="J176" s="0" t="n">
        <f aca="false">IF(IF($B176="Trash",INDEX('Materials Master'!$F$2:$F$27,MATCH($C176,'Materials Master'!$A$2:$A$27,0)),IF($B176="GMPC Recycling",INDEX('Materials Master'!$G$2:$G$27,MATCH($C176,'Materials Master'!$A$2:$A$27,0)),IF($B176="Organics Recycling",INDEX('Materials Master'!$H$2:$H$27,MATCH($C176,'Materials Master'!$A$2:$A$27,0)),IF($B176="Cardboard Recycling",INDEX('Materials Master'!$I$2:$I$27,MATCH($C176,'Materials Master'!$A$2:$A$27,0)),IF($B176="Paper Recycling",INDEX('Materials Master'!$J$2:$J$27,MATCH($C176,'Materials Master'!$A$2:$A$27,0)),IF($B176="Terracycle",INDEX('Materials Master'!$K$2:$K$27,MATCH($C176,'Materials Master'!$A$2:$A$27,0)),"No"))))))="Yes",1,0)</f>
        <v>1</v>
      </c>
    </row>
    <row r="177" customFormat="false" ht="15" hidden="false" customHeight="false" outlineLevel="0" collapsed="false">
      <c r="A177" s="0" t="s">
        <v>94</v>
      </c>
      <c r="B177" s="0" t="s">
        <v>103</v>
      </c>
      <c r="C177" s="0" t="s">
        <v>71</v>
      </c>
      <c r="D177" s="0" t="str">
        <f aca="false">IFERROR(INDEX('Materials Master'!$B$2:$B$27,MATCH($C177,'Materials Master'!$A$2:$A$27,0)),"")</f>
        <v>PLA Compostable Serviceware</v>
      </c>
      <c r="E177" s="0" t="str">
        <f aca="false">IFERROR(INDEX('Materials Master'!$C$2:$C$27,MATCH($C177,'Materials Master'!$A$2:$A$27,0)),"")</f>
        <v>Organics</v>
      </c>
      <c r="F177" s="0" t="n">
        <f aca="false">(SUMIFS(Fact_PreSortWeights!$E$2:$E$15,Fact_PreSortWeights!$C$2:$C$15,$A177,Fact_PreSortWeights!$B$2:$B$15,$B177,Fact_PreSortWeights!$F$2:$F$15,$C177))+(SUMIFS(Fact_SortedWeights!$E$2:$E$6,Fact_SortedWeights!$C$2:$C$6,$A177,Fact_SortedWeights!$B$2:$B$6,$B177,Fact_SortedWeights!$D$2:$D$6,$C177,Fact_SortedWeights!$L$2:$L$6,"Yes"))+IF((SUMIFS(Fact_SortedWeights!$E$2:$E$6,Fact_SortedWeights!$C$2:$C$6,$A177,Fact_SortedWeights!$B$2:$B$6,$B177,Fact_SortedWeights!$L$2:$L$6,"No"))=0,0,(SUMIFS(Fact_SortedWeights!$E$2:$E$6,Fact_SortedWeights!$C$2:$C$6,$A177,Fact_SortedWeights!$B$2:$B$6,$B177,Fact_SortedWeights!$D$2:$D$6,$C177,Fact_SortedWeights!$L$2:$L$6,"No"))/(SUMIFS(Fact_SortedWeights!$E$2:$E$6,Fact_SortedWeights!$C$2:$C$6,$A177,Fact_SortedWeights!$B$2:$B$6,$B177,Fact_SortedWeights!$L$2:$L$6,"No"))*((SUMIFS(Fact_PreSortWeights!$E$2:$E$15,Fact_PreSortWeights!$C$2:$C$15,$A177,Fact_PreSortWeights!$B$2:$B$15,$B177,Fact_PreSortWeights!$F$2:$F$15,""))-(SUMIFS(Fact_SortedWeights!$E$2:$E$6,Fact_SortedWeights!$C$2:$C$6,$A177,Fact_SortedWeights!$B$2:$B$6,$B177,Fact_SortedWeights!$L$2:$L$6,"Yes"))))</f>
        <v>0</v>
      </c>
      <c r="G177" s="0" t="n">
        <f aca="false">IF(AND(IF($B177="Trash",INDEX('Materials Master'!$F$2:$F$27,MATCH($C177,'Materials Master'!$A$2:$A$27,0)),IF($B177="GMPC Recycling",INDEX('Materials Master'!$G$2:$G$27,MATCH($C177,'Materials Master'!$A$2:$A$27,0)),IF($B177="Organics Recycling",INDEX('Materials Master'!$H$2:$H$27,MATCH($C177,'Materials Master'!$A$2:$A$27,0)),IF($B177="Cardboard Recycling",INDEX('Materials Master'!$I$2:$I$27,MATCH($C177,'Materials Master'!$A$2:$A$27,0)),IF($B177="Paper Recycling",INDEX('Materials Master'!$J$2:$J$27,MATCH($C177,'Materials Master'!$A$2:$A$27,0)),IF($B177="Terracycle",INDEX('Materials Master'!$K$2:$K$27,MATCH($C177,'Materials Master'!$A$2:$A$27,0)),"No"))))))="Yes",INDEX('Materials Master'!$E$2:$E$27,MATCH($C177,'Materials Master'!$A$2:$A$27,0))="Yes",$B177&lt;&gt;"Trash"),1,0)</f>
        <v>0</v>
      </c>
      <c r="H177" s="0" t="str">
        <f aca="false">INDEX('Materials Master'!$E$2:$E$27,MATCH($C177,'Materials Master'!$A$2:$A$27,0))</f>
        <v>No</v>
      </c>
      <c r="I177" s="0" t="str">
        <f aca="false">IFERROR(INDEX(Areas!$C$2:$C$6,MATCH($A177,Areas!$B$2:$B$6,0)),"")</f>
        <v>BOH</v>
      </c>
      <c r="J177" s="0" t="n">
        <f aca="false">IF(IF($B177="Trash",INDEX('Materials Master'!$F$2:$F$27,MATCH($C177,'Materials Master'!$A$2:$A$27,0)),IF($B177="GMPC Recycling",INDEX('Materials Master'!$G$2:$G$27,MATCH($C177,'Materials Master'!$A$2:$A$27,0)),IF($B177="Organics Recycling",INDEX('Materials Master'!$H$2:$H$27,MATCH($C177,'Materials Master'!$A$2:$A$27,0)),IF($B177="Cardboard Recycling",INDEX('Materials Master'!$I$2:$I$27,MATCH($C177,'Materials Master'!$A$2:$A$27,0)),IF($B177="Paper Recycling",INDEX('Materials Master'!$J$2:$J$27,MATCH($C177,'Materials Master'!$A$2:$A$27,0)),IF($B177="Terracycle",INDEX('Materials Master'!$K$2:$K$27,MATCH($C177,'Materials Master'!$A$2:$A$27,0)),"No"))))))="Yes",1,0)</f>
        <v>1</v>
      </c>
    </row>
    <row r="178" customFormat="false" ht="15" hidden="false" customHeight="false" outlineLevel="0" collapsed="false">
      <c r="A178" s="0" t="s">
        <v>94</v>
      </c>
      <c r="B178" s="0" t="s">
        <v>103</v>
      </c>
      <c r="C178" s="0" t="s">
        <v>73</v>
      </c>
      <c r="D178" s="0" t="str">
        <f aca="false">IFERROR(INDEX('Materials Master'!$B$2:$B$27,MATCH($C178,'Materials Master'!$A$2:$A$27,0)),"")</f>
        <v>E/U Waste</v>
      </c>
      <c r="E178" s="0" t="str">
        <f aca="false">IFERROR(INDEX('Materials Master'!$C$2:$C$27,MATCH($C178,'Materials Master'!$A$2:$A$27,0)),"")</f>
        <v>Unacceptable</v>
      </c>
      <c r="F178" s="0" t="n">
        <f aca="false">(SUMIFS(Fact_PreSortWeights!$E$2:$E$15,Fact_PreSortWeights!$C$2:$C$15,$A178,Fact_PreSortWeights!$B$2:$B$15,$B178,Fact_PreSortWeights!$F$2:$F$15,$C178))+(SUMIFS(Fact_SortedWeights!$E$2:$E$6,Fact_SortedWeights!$C$2:$C$6,$A178,Fact_SortedWeights!$B$2:$B$6,$B178,Fact_SortedWeights!$D$2:$D$6,$C178,Fact_SortedWeights!$L$2:$L$6,"Yes"))+IF((SUMIFS(Fact_SortedWeights!$E$2:$E$6,Fact_SortedWeights!$C$2:$C$6,$A178,Fact_SortedWeights!$B$2:$B$6,$B178,Fact_SortedWeights!$L$2:$L$6,"No"))=0,0,(SUMIFS(Fact_SortedWeights!$E$2:$E$6,Fact_SortedWeights!$C$2:$C$6,$A178,Fact_SortedWeights!$B$2:$B$6,$B178,Fact_SortedWeights!$D$2:$D$6,$C178,Fact_SortedWeights!$L$2:$L$6,"No"))/(SUMIFS(Fact_SortedWeights!$E$2:$E$6,Fact_SortedWeights!$C$2:$C$6,$A178,Fact_SortedWeights!$B$2:$B$6,$B178,Fact_SortedWeights!$L$2:$L$6,"No"))*((SUMIFS(Fact_PreSortWeights!$E$2:$E$15,Fact_PreSortWeights!$C$2:$C$15,$A178,Fact_PreSortWeights!$B$2:$B$15,$B178,Fact_PreSortWeights!$F$2:$F$15,""))-(SUMIFS(Fact_SortedWeights!$E$2:$E$6,Fact_SortedWeights!$C$2:$C$6,$A178,Fact_SortedWeights!$B$2:$B$6,$B178,Fact_SortedWeights!$L$2:$L$6,"Yes"))))</f>
        <v>0</v>
      </c>
      <c r="G178" s="0" t="n">
        <f aca="false">IF(AND(IF($B178="Trash",INDEX('Materials Master'!$F$2:$F$27,MATCH($C178,'Materials Master'!$A$2:$A$27,0)),IF($B178="GMPC Recycling",INDEX('Materials Master'!$G$2:$G$27,MATCH($C178,'Materials Master'!$A$2:$A$27,0)),IF($B178="Organics Recycling",INDEX('Materials Master'!$H$2:$H$27,MATCH($C178,'Materials Master'!$A$2:$A$27,0)),IF($B178="Cardboard Recycling",INDEX('Materials Master'!$I$2:$I$27,MATCH($C178,'Materials Master'!$A$2:$A$27,0)),IF($B178="Paper Recycling",INDEX('Materials Master'!$J$2:$J$27,MATCH($C178,'Materials Master'!$A$2:$A$27,0)),IF($B178="Terracycle",INDEX('Materials Master'!$K$2:$K$27,MATCH($C178,'Materials Master'!$A$2:$A$27,0)),"No"))))))="Yes",INDEX('Materials Master'!$E$2:$E$27,MATCH($C178,'Materials Master'!$A$2:$A$27,0))="Yes",$B178&lt;&gt;"Trash"),1,0)</f>
        <v>0</v>
      </c>
      <c r="H178" s="0" t="str">
        <f aca="false">INDEX('Materials Master'!$E$2:$E$27,MATCH($C178,'Materials Master'!$A$2:$A$27,0))</f>
        <v>No</v>
      </c>
      <c r="I178" s="0" t="str">
        <f aca="false">IFERROR(INDEX(Areas!$C$2:$C$6,MATCH($A178,Areas!$B$2:$B$6,0)),"")</f>
        <v>BOH</v>
      </c>
      <c r="J178" s="0" t="n">
        <f aca="false">IF(IF($B178="Trash",INDEX('Materials Master'!$F$2:$F$27,MATCH($C178,'Materials Master'!$A$2:$A$27,0)),IF($B178="GMPC Recycling",INDEX('Materials Master'!$G$2:$G$27,MATCH($C178,'Materials Master'!$A$2:$A$27,0)),IF($B178="Organics Recycling",INDEX('Materials Master'!$H$2:$H$27,MATCH($C178,'Materials Master'!$A$2:$A$27,0)),IF($B178="Cardboard Recycling",INDEX('Materials Master'!$I$2:$I$27,MATCH($C178,'Materials Master'!$A$2:$A$27,0)),IF($B178="Paper Recycling",INDEX('Materials Master'!$J$2:$J$27,MATCH($C178,'Materials Master'!$A$2:$A$27,0)),IF($B178="Terracycle",INDEX('Materials Master'!$K$2:$K$27,MATCH($C178,'Materials Master'!$A$2:$A$27,0)),"No"))))))="Yes",1,0)</f>
        <v>1</v>
      </c>
    </row>
    <row r="179" customFormat="false" ht="15" hidden="false" customHeight="false" outlineLevel="0" collapsed="false">
      <c r="A179" s="0" t="s">
        <v>94</v>
      </c>
      <c r="B179" s="0" t="s">
        <v>103</v>
      </c>
      <c r="C179" s="0" t="s">
        <v>76</v>
      </c>
      <c r="D179" s="0" t="str">
        <f aca="false">IFERROR(INDEX('Materials Master'!$B$2:$B$27,MATCH($C179,'Materials Master'!$A$2:$A$27,0)),"")</f>
        <v>Textiles</v>
      </c>
      <c r="E179" s="0" t="str">
        <f aca="false">IFERROR(INDEX('Materials Master'!$C$2:$C$27,MATCH($C179,'Materials Master'!$A$2:$A$27,0)),"")</f>
        <v>Unacceptable</v>
      </c>
      <c r="F179" s="0" t="n">
        <f aca="false">(SUMIFS(Fact_PreSortWeights!$E$2:$E$15,Fact_PreSortWeights!$C$2:$C$15,$A179,Fact_PreSortWeights!$B$2:$B$15,$B179,Fact_PreSortWeights!$F$2:$F$15,$C179))+(SUMIFS(Fact_SortedWeights!$E$2:$E$6,Fact_SortedWeights!$C$2:$C$6,$A179,Fact_SortedWeights!$B$2:$B$6,$B179,Fact_SortedWeights!$D$2:$D$6,$C179,Fact_SortedWeights!$L$2:$L$6,"Yes"))+IF((SUMIFS(Fact_SortedWeights!$E$2:$E$6,Fact_SortedWeights!$C$2:$C$6,$A179,Fact_SortedWeights!$B$2:$B$6,$B179,Fact_SortedWeights!$L$2:$L$6,"No"))=0,0,(SUMIFS(Fact_SortedWeights!$E$2:$E$6,Fact_SortedWeights!$C$2:$C$6,$A179,Fact_SortedWeights!$B$2:$B$6,$B179,Fact_SortedWeights!$D$2:$D$6,$C179,Fact_SortedWeights!$L$2:$L$6,"No"))/(SUMIFS(Fact_SortedWeights!$E$2:$E$6,Fact_SortedWeights!$C$2:$C$6,$A179,Fact_SortedWeights!$B$2:$B$6,$B179,Fact_SortedWeights!$L$2:$L$6,"No"))*((SUMIFS(Fact_PreSortWeights!$E$2:$E$15,Fact_PreSortWeights!$C$2:$C$15,$A179,Fact_PreSortWeights!$B$2:$B$15,$B179,Fact_PreSortWeights!$F$2:$F$15,""))-(SUMIFS(Fact_SortedWeights!$E$2:$E$6,Fact_SortedWeights!$C$2:$C$6,$A179,Fact_SortedWeights!$B$2:$B$6,$B179,Fact_SortedWeights!$L$2:$L$6,"Yes"))))</f>
        <v>0</v>
      </c>
      <c r="G179" s="0" t="n">
        <f aca="false">IF(AND(IF($B179="Trash",INDEX('Materials Master'!$F$2:$F$27,MATCH($C179,'Materials Master'!$A$2:$A$27,0)),IF($B179="GMPC Recycling",INDEX('Materials Master'!$G$2:$G$27,MATCH($C179,'Materials Master'!$A$2:$A$27,0)),IF($B179="Organics Recycling",INDEX('Materials Master'!$H$2:$H$27,MATCH($C179,'Materials Master'!$A$2:$A$27,0)),IF($B179="Cardboard Recycling",INDEX('Materials Master'!$I$2:$I$27,MATCH($C179,'Materials Master'!$A$2:$A$27,0)),IF($B179="Paper Recycling",INDEX('Materials Master'!$J$2:$J$27,MATCH($C179,'Materials Master'!$A$2:$A$27,0)),IF($B179="Terracycle",INDEX('Materials Master'!$K$2:$K$27,MATCH($C179,'Materials Master'!$A$2:$A$27,0)),"No"))))))="Yes",INDEX('Materials Master'!$E$2:$E$27,MATCH($C179,'Materials Master'!$A$2:$A$27,0))="Yes",$B179&lt;&gt;"Trash"),1,0)</f>
        <v>0</v>
      </c>
      <c r="H179" s="0" t="str">
        <f aca="false">INDEX('Materials Master'!$E$2:$E$27,MATCH($C179,'Materials Master'!$A$2:$A$27,0))</f>
        <v>No</v>
      </c>
      <c r="I179" s="0" t="str">
        <f aca="false">IFERROR(INDEX(Areas!$C$2:$C$6,MATCH($A179,Areas!$B$2:$B$6,0)),"")</f>
        <v>BOH</v>
      </c>
      <c r="J179" s="0" t="n">
        <f aca="false">IF(IF($B179="Trash",INDEX('Materials Master'!$F$2:$F$27,MATCH($C179,'Materials Master'!$A$2:$A$27,0)),IF($B179="GMPC Recycling",INDEX('Materials Master'!$G$2:$G$27,MATCH($C179,'Materials Master'!$A$2:$A$27,0)),IF($B179="Organics Recycling",INDEX('Materials Master'!$H$2:$H$27,MATCH($C179,'Materials Master'!$A$2:$A$27,0)),IF($B179="Cardboard Recycling",INDEX('Materials Master'!$I$2:$I$27,MATCH($C179,'Materials Master'!$A$2:$A$27,0)),IF($B179="Paper Recycling",INDEX('Materials Master'!$J$2:$J$27,MATCH($C179,'Materials Master'!$A$2:$A$27,0)),IF($B179="Terracycle",INDEX('Materials Master'!$K$2:$K$27,MATCH($C179,'Materials Master'!$A$2:$A$27,0)),"No"))))))="Yes",1,0)</f>
        <v>1</v>
      </c>
    </row>
    <row r="180" customFormat="false" ht="15" hidden="false" customHeight="false" outlineLevel="0" collapsed="false">
      <c r="A180" s="0" t="s">
        <v>94</v>
      </c>
      <c r="B180" s="0" t="s">
        <v>103</v>
      </c>
      <c r="C180" s="0" t="s">
        <v>78</v>
      </c>
      <c r="D180" s="0" t="str">
        <f aca="false">IFERROR(INDEX('Materials Master'!$B$2:$B$27,MATCH($C180,'Materials Master'!$A$2:$A$27,0)),"")</f>
        <v>Other Unacceptable (specify)</v>
      </c>
      <c r="E180" s="0" t="str">
        <f aca="false">IFERROR(INDEX('Materials Master'!$C$2:$C$27,MATCH($C180,'Materials Master'!$A$2:$A$27,0)),"")</f>
        <v>Unacceptable</v>
      </c>
      <c r="F180" s="0" t="n">
        <f aca="false">(SUMIFS(Fact_PreSortWeights!$E$2:$E$15,Fact_PreSortWeights!$C$2:$C$15,$A180,Fact_PreSortWeights!$B$2:$B$15,$B180,Fact_PreSortWeights!$F$2:$F$15,$C180))+(SUMIFS(Fact_SortedWeights!$E$2:$E$6,Fact_SortedWeights!$C$2:$C$6,$A180,Fact_SortedWeights!$B$2:$B$6,$B180,Fact_SortedWeights!$D$2:$D$6,$C180,Fact_SortedWeights!$L$2:$L$6,"Yes"))+IF((SUMIFS(Fact_SortedWeights!$E$2:$E$6,Fact_SortedWeights!$C$2:$C$6,$A180,Fact_SortedWeights!$B$2:$B$6,$B180,Fact_SortedWeights!$L$2:$L$6,"No"))=0,0,(SUMIFS(Fact_SortedWeights!$E$2:$E$6,Fact_SortedWeights!$C$2:$C$6,$A180,Fact_SortedWeights!$B$2:$B$6,$B180,Fact_SortedWeights!$D$2:$D$6,$C180,Fact_SortedWeights!$L$2:$L$6,"No"))/(SUMIFS(Fact_SortedWeights!$E$2:$E$6,Fact_SortedWeights!$C$2:$C$6,$A180,Fact_SortedWeights!$B$2:$B$6,$B180,Fact_SortedWeights!$L$2:$L$6,"No"))*((SUMIFS(Fact_PreSortWeights!$E$2:$E$15,Fact_PreSortWeights!$C$2:$C$15,$A180,Fact_PreSortWeights!$B$2:$B$15,$B180,Fact_PreSortWeights!$F$2:$F$15,""))-(SUMIFS(Fact_SortedWeights!$E$2:$E$6,Fact_SortedWeights!$C$2:$C$6,$A180,Fact_SortedWeights!$B$2:$B$6,$B180,Fact_SortedWeights!$L$2:$L$6,"Yes"))))</f>
        <v>0</v>
      </c>
      <c r="G180" s="0" t="n">
        <f aca="false">IF(AND(IF($B180="Trash",INDEX('Materials Master'!$F$2:$F$27,MATCH($C180,'Materials Master'!$A$2:$A$27,0)),IF($B180="GMPC Recycling",INDEX('Materials Master'!$G$2:$G$27,MATCH($C180,'Materials Master'!$A$2:$A$27,0)),IF($B180="Organics Recycling",INDEX('Materials Master'!$H$2:$H$27,MATCH($C180,'Materials Master'!$A$2:$A$27,0)),IF($B180="Cardboard Recycling",INDEX('Materials Master'!$I$2:$I$27,MATCH($C180,'Materials Master'!$A$2:$A$27,0)),IF($B180="Paper Recycling",INDEX('Materials Master'!$J$2:$J$27,MATCH($C180,'Materials Master'!$A$2:$A$27,0)),IF($B180="Terracycle",INDEX('Materials Master'!$K$2:$K$27,MATCH($C180,'Materials Master'!$A$2:$A$27,0)),"No"))))))="Yes",INDEX('Materials Master'!$E$2:$E$27,MATCH($C180,'Materials Master'!$A$2:$A$27,0))="Yes",$B180&lt;&gt;"Trash"),1,0)</f>
        <v>0</v>
      </c>
      <c r="H180" s="0" t="str">
        <f aca="false">INDEX('Materials Master'!$E$2:$E$27,MATCH($C180,'Materials Master'!$A$2:$A$27,0))</f>
        <v>No</v>
      </c>
      <c r="I180" s="0" t="str">
        <f aca="false">IFERROR(INDEX(Areas!$C$2:$C$6,MATCH($A180,Areas!$B$2:$B$6,0)),"")</f>
        <v>BOH</v>
      </c>
      <c r="J180" s="0" t="n">
        <f aca="false">IF(IF($B180="Trash",INDEX('Materials Master'!$F$2:$F$27,MATCH($C180,'Materials Master'!$A$2:$A$27,0)),IF($B180="GMPC Recycling",INDEX('Materials Master'!$G$2:$G$27,MATCH($C180,'Materials Master'!$A$2:$A$27,0)),IF($B180="Organics Recycling",INDEX('Materials Master'!$H$2:$H$27,MATCH($C180,'Materials Master'!$A$2:$A$27,0)),IF($B180="Cardboard Recycling",INDEX('Materials Master'!$I$2:$I$27,MATCH($C180,'Materials Master'!$A$2:$A$27,0)),IF($B180="Paper Recycling",INDEX('Materials Master'!$J$2:$J$27,MATCH($C180,'Materials Master'!$A$2:$A$27,0)),IF($B180="Terracycle",INDEX('Materials Master'!$K$2:$K$27,MATCH($C180,'Materials Master'!$A$2:$A$27,0)),"No"))))))="Yes",1,0)</f>
        <v>1</v>
      </c>
    </row>
    <row r="181" customFormat="false" ht="15" hidden="false" customHeight="false" outlineLevel="0" collapsed="false">
      <c r="A181" s="0" t="s">
        <v>94</v>
      </c>
      <c r="B181" s="0" t="s">
        <v>103</v>
      </c>
      <c r="C181" s="0" t="s">
        <v>80</v>
      </c>
      <c r="D181" s="0" t="str">
        <f aca="false">IFERROR(INDEX('Materials Master'!$B$2:$B$27,MATCH($C181,'Materials Master'!$A$2:$A$27,0)),"")</f>
        <v>Liquids</v>
      </c>
      <c r="E181" s="0" t="str">
        <f aca="false">IFERROR(INDEX('Materials Master'!$C$2:$C$27,MATCH($C181,'Materials Master'!$A$2:$A$27,0)),"")</f>
        <v>Unacceptable</v>
      </c>
      <c r="F181" s="0" t="n">
        <f aca="false">(SUMIFS(Fact_PreSortWeights!$E$2:$E$15,Fact_PreSortWeights!$C$2:$C$15,$A181,Fact_PreSortWeights!$B$2:$B$15,$B181,Fact_PreSortWeights!$F$2:$F$15,$C181))+(SUMIFS(Fact_SortedWeights!$E$2:$E$6,Fact_SortedWeights!$C$2:$C$6,$A181,Fact_SortedWeights!$B$2:$B$6,$B181,Fact_SortedWeights!$D$2:$D$6,$C181,Fact_SortedWeights!$L$2:$L$6,"Yes"))+IF((SUMIFS(Fact_SortedWeights!$E$2:$E$6,Fact_SortedWeights!$C$2:$C$6,$A181,Fact_SortedWeights!$B$2:$B$6,$B181,Fact_SortedWeights!$L$2:$L$6,"No"))=0,0,(SUMIFS(Fact_SortedWeights!$E$2:$E$6,Fact_SortedWeights!$C$2:$C$6,$A181,Fact_SortedWeights!$B$2:$B$6,$B181,Fact_SortedWeights!$D$2:$D$6,$C181,Fact_SortedWeights!$L$2:$L$6,"No"))/(SUMIFS(Fact_SortedWeights!$E$2:$E$6,Fact_SortedWeights!$C$2:$C$6,$A181,Fact_SortedWeights!$B$2:$B$6,$B181,Fact_SortedWeights!$L$2:$L$6,"No"))*((SUMIFS(Fact_PreSortWeights!$E$2:$E$15,Fact_PreSortWeights!$C$2:$C$15,$A181,Fact_PreSortWeights!$B$2:$B$15,$B181,Fact_PreSortWeights!$F$2:$F$15,""))-(SUMIFS(Fact_SortedWeights!$E$2:$E$6,Fact_SortedWeights!$C$2:$C$6,$A181,Fact_SortedWeights!$B$2:$B$6,$B181,Fact_SortedWeights!$L$2:$L$6,"Yes"))))</f>
        <v>0</v>
      </c>
      <c r="G181" s="0" t="n">
        <f aca="false">IF(AND(IF($B181="Trash",INDEX('Materials Master'!$F$2:$F$27,MATCH($C181,'Materials Master'!$A$2:$A$27,0)),IF($B181="GMPC Recycling",INDEX('Materials Master'!$G$2:$G$27,MATCH($C181,'Materials Master'!$A$2:$A$27,0)),IF($B181="Organics Recycling",INDEX('Materials Master'!$H$2:$H$27,MATCH($C181,'Materials Master'!$A$2:$A$27,0)),IF($B181="Cardboard Recycling",INDEX('Materials Master'!$I$2:$I$27,MATCH($C181,'Materials Master'!$A$2:$A$27,0)),IF($B181="Paper Recycling",INDEX('Materials Master'!$J$2:$J$27,MATCH($C181,'Materials Master'!$A$2:$A$27,0)),IF($B181="Terracycle",INDEX('Materials Master'!$K$2:$K$27,MATCH($C181,'Materials Master'!$A$2:$A$27,0)),"No"))))))="Yes",INDEX('Materials Master'!$E$2:$E$27,MATCH($C181,'Materials Master'!$A$2:$A$27,0))="Yes",$B181&lt;&gt;"Trash"),1,0)</f>
        <v>0</v>
      </c>
      <c r="H181" s="0" t="str">
        <f aca="false">INDEX('Materials Master'!$E$2:$E$27,MATCH($C181,'Materials Master'!$A$2:$A$27,0))</f>
        <v>No</v>
      </c>
      <c r="I181" s="0" t="str">
        <f aca="false">IFERROR(INDEX(Areas!$C$2:$C$6,MATCH($A181,Areas!$B$2:$B$6,0)),"")</f>
        <v>BOH</v>
      </c>
      <c r="J181" s="0" t="n">
        <f aca="false">IF(IF($B181="Trash",INDEX('Materials Master'!$F$2:$F$27,MATCH($C181,'Materials Master'!$A$2:$A$27,0)),IF($B181="GMPC Recycling",INDEX('Materials Master'!$G$2:$G$27,MATCH($C181,'Materials Master'!$A$2:$A$27,0)),IF($B181="Organics Recycling",INDEX('Materials Master'!$H$2:$H$27,MATCH($C181,'Materials Master'!$A$2:$A$27,0)),IF($B181="Cardboard Recycling",INDEX('Materials Master'!$I$2:$I$27,MATCH($C181,'Materials Master'!$A$2:$A$27,0)),IF($B181="Paper Recycling",INDEX('Materials Master'!$J$2:$J$27,MATCH($C181,'Materials Master'!$A$2:$A$27,0)),IF($B181="Terracycle",INDEX('Materials Master'!$K$2:$K$27,MATCH($C181,'Materials Master'!$A$2:$A$27,0)),"No"))))))="Yes",1,0)</f>
        <v>1</v>
      </c>
    </row>
    <row r="182" customFormat="false" ht="15" hidden="false" customHeight="false" outlineLevel="0" collapsed="false">
      <c r="A182" s="0" t="s">
        <v>94</v>
      </c>
      <c r="B182" s="0" t="s">
        <v>103</v>
      </c>
      <c r="C182" s="0" t="s">
        <v>82</v>
      </c>
      <c r="D182" s="0" t="str">
        <f aca="false">IFERROR(INDEX('Materials Master'!$B$2:$B$27,MATCH($C182,'Materials Master'!$A$2:$A$27,0)),"")</f>
        <v>Snack Wrappers (Composites)</v>
      </c>
      <c r="E182" s="0" t="str">
        <f aca="false">IFERROR(INDEX('Materials Master'!$C$2:$C$27,MATCH($C182,'Materials Master'!$A$2:$A$27,0)),"")</f>
        <v>Other</v>
      </c>
      <c r="F182" s="0" t="n">
        <f aca="false">(SUMIFS(Fact_PreSortWeights!$E$2:$E$15,Fact_PreSortWeights!$C$2:$C$15,$A182,Fact_PreSortWeights!$B$2:$B$15,$B182,Fact_PreSortWeights!$F$2:$F$15,$C182))+(SUMIFS(Fact_SortedWeights!$E$2:$E$6,Fact_SortedWeights!$C$2:$C$6,$A182,Fact_SortedWeights!$B$2:$B$6,$B182,Fact_SortedWeights!$D$2:$D$6,$C182,Fact_SortedWeights!$L$2:$L$6,"Yes"))+IF((SUMIFS(Fact_SortedWeights!$E$2:$E$6,Fact_SortedWeights!$C$2:$C$6,$A182,Fact_SortedWeights!$B$2:$B$6,$B182,Fact_SortedWeights!$L$2:$L$6,"No"))=0,0,(SUMIFS(Fact_SortedWeights!$E$2:$E$6,Fact_SortedWeights!$C$2:$C$6,$A182,Fact_SortedWeights!$B$2:$B$6,$B182,Fact_SortedWeights!$D$2:$D$6,$C182,Fact_SortedWeights!$L$2:$L$6,"No"))/(SUMIFS(Fact_SortedWeights!$E$2:$E$6,Fact_SortedWeights!$C$2:$C$6,$A182,Fact_SortedWeights!$B$2:$B$6,$B182,Fact_SortedWeights!$L$2:$L$6,"No"))*((SUMIFS(Fact_PreSortWeights!$E$2:$E$15,Fact_PreSortWeights!$C$2:$C$15,$A182,Fact_PreSortWeights!$B$2:$B$15,$B182,Fact_PreSortWeights!$F$2:$F$15,""))-(SUMIFS(Fact_SortedWeights!$E$2:$E$6,Fact_SortedWeights!$C$2:$C$6,$A182,Fact_SortedWeights!$B$2:$B$6,$B182,Fact_SortedWeights!$L$2:$L$6,"Yes"))))</f>
        <v>0</v>
      </c>
      <c r="G182" s="0" t="n">
        <f aca="false">IF(AND(IF($B182="Trash",INDEX('Materials Master'!$F$2:$F$27,MATCH($C182,'Materials Master'!$A$2:$A$27,0)),IF($B182="GMPC Recycling",INDEX('Materials Master'!$G$2:$G$27,MATCH($C182,'Materials Master'!$A$2:$A$27,0)),IF($B182="Organics Recycling",INDEX('Materials Master'!$H$2:$H$27,MATCH($C182,'Materials Master'!$A$2:$A$27,0)),IF($B182="Cardboard Recycling",INDEX('Materials Master'!$I$2:$I$27,MATCH($C182,'Materials Master'!$A$2:$A$27,0)),IF($B182="Paper Recycling",INDEX('Materials Master'!$J$2:$J$27,MATCH($C182,'Materials Master'!$A$2:$A$27,0)),IF($B182="Terracycle",INDEX('Materials Master'!$K$2:$K$27,MATCH($C182,'Materials Master'!$A$2:$A$27,0)),"No"))))))="Yes",INDEX('Materials Master'!$E$2:$E$27,MATCH($C182,'Materials Master'!$A$2:$A$27,0))="Yes",$B182&lt;&gt;"Trash"),1,0)</f>
        <v>0</v>
      </c>
      <c r="H182" s="0" t="str">
        <f aca="false">INDEX('Materials Master'!$E$2:$E$27,MATCH($C182,'Materials Master'!$A$2:$A$27,0))</f>
        <v>Yes</v>
      </c>
      <c r="I182" s="0" t="str">
        <f aca="false">IFERROR(INDEX(Areas!$C$2:$C$6,MATCH($A182,Areas!$B$2:$B$6,0)),"")</f>
        <v>BOH</v>
      </c>
      <c r="J182" s="0" t="n">
        <f aca="false">IF(IF($B182="Trash",INDEX('Materials Master'!$F$2:$F$27,MATCH($C182,'Materials Master'!$A$2:$A$27,0)),IF($B182="GMPC Recycling",INDEX('Materials Master'!$G$2:$G$27,MATCH($C182,'Materials Master'!$A$2:$A$27,0)),IF($B182="Organics Recycling",INDEX('Materials Master'!$H$2:$H$27,MATCH($C182,'Materials Master'!$A$2:$A$27,0)),IF($B182="Cardboard Recycling",INDEX('Materials Master'!$I$2:$I$27,MATCH($C182,'Materials Master'!$A$2:$A$27,0)),IF($B182="Paper Recycling",INDEX('Materials Master'!$J$2:$J$27,MATCH($C182,'Materials Master'!$A$2:$A$27,0)),IF($B182="Terracycle",INDEX('Materials Master'!$K$2:$K$27,MATCH($C182,'Materials Master'!$A$2:$A$27,0)),"No"))))))="Yes",1,0)</f>
        <v>0</v>
      </c>
    </row>
    <row r="183" customFormat="false" ht="15" hidden="false" customHeight="false" outlineLevel="0" collapsed="false">
      <c r="A183" s="0" t="s">
        <v>94</v>
      </c>
      <c r="B183" s="0" t="s">
        <v>103</v>
      </c>
      <c r="C183" s="0" t="s">
        <v>85</v>
      </c>
      <c r="D183" s="0" t="str">
        <f aca="false">IFERROR(INDEX('Materials Master'!$B$2:$B$27,MATCH($C183,'Materials Master'!$A$2:$A$27,0)),"")</f>
        <v>Other/Residual Materials</v>
      </c>
      <c r="E183" s="0" t="str">
        <f aca="false">IFERROR(INDEX('Materials Master'!$C$2:$C$27,MATCH($C183,'Materials Master'!$A$2:$A$27,0)),"")</f>
        <v>Other</v>
      </c>
      <c r="F183" s="0" t="n">
        <f aca="false">(SUMIFS(Fact_PreSortWeights!$E$2:$E$15,Fact_PreSortWeights!$C$2:$C$15,$A183,Fact_PreSortWeights!$B$2:$B$15,$B183,Fact_PreSortWeights!$F$2:$F$15,$C183))+(SUMIFS(Fact_SortedWeights!$E$2:$E$6,Fact_SortedWeights!$C$2:$C$6,$A183,Fact_SortedWeights!$B$2:$B$6,$B183,Fact_SortedWeights!$D$2:$D$6,$C183,Fact_SortedWeights!$L$2:$L$6,"Yes"))+IF((SUMIFS(Fact_SortedWeights!$E$2:$E$6,Fact_SortedWeights!$C$2:$C$6,$A183,Fact_SortedWeights!$B$2:$B$6,$B183,Fact_SortedWeights!$L$2:$L$6,"No"))=0,0,(SUMIFS(Fact_SortedWeights!$E$2:$E$6,Fact_SortedWeights!$C$2:$C$6,$A183,Fact_SortedWeights!$B$2:$B$6,$B183,Fact_SortedWeights!$D$2:$D$6,$C183,Fact_SortedWeights!$L$2:$L$6,"No"))/(SUMIFS(Fact_SortedWeights!$E$2:$E$6,Fact_SortedWeights!$C$2:$C$6,$A183,Fact_SortedWeights!$B$2:$B$6,$B183,Fact_SortedWeights!$L$2:$L$6,"No"))*((SUMIFS(Fact_PreSortWeights!$E$2:$E$15,Fact_PreSortWeights!$C$2:$C$15,$A183,Fact_PreSortWeights!$B$2:$B$15,$B183,Fact_PreSortWeights!$F$2:$F$15,""))-(SUMIFS(Fact_SortedWeights!$E$2:$E$6,Fact_SortedWeights!$C$2:$C$6,$A183,Fact_SortedWeights!$B$2:$B$6,$B183,Fact_SortedWeights!$L$2:$L$6,"Yes"))))</f>
        <v>0</v>
      </c>
      <c r="G183" s="0" t="n">
        <f aca="false">IF(AND(IF($B183="Trash",INDEX('Materials Master'!$F$2:$F$27,MATCH($C183,'Materials Master'!$A$2:$A$27,0)),IF($B183="GMPC Recycling",INDEX('Materials Master'!$G$2:$G$27,MATCH($C183,'Materials Master'!$A$2:$A$27,0)),IF($B183="Organics Recycling",INDEX('Materials Master'!$H$2:$H$27,MATCH($C183,'Materials Master'!$A$2:$A$27,0)),IF($B183="Cardboard Recycling",INDEX('Materials Master'!$I$2:$I$27,MATCH($C183,'Materials Master'!$A$2:$A$27,0)),IF($B183="Paper Recycling",INDEX('Materials Master'!$J$2:$J$27,MATCH($C183,'Materials Master'!$A$2:$A$27,0)),IF($B183="Terracycle",INDEX('Materials Master'!$K$2:$K$27,MATCH($C183,'Materials Master'!$A$2:$A$27,0)),"No"))))))="Yes",INDEX('Materials Master'!$E$2:$E$27,MATCH($C183,'Materials Master'!$A$2:$A$27,0))="Yes",$B183&lt;&gt;"Trash"),1,0)</f>
        <v>0</v>
      </c>
      <c r="H183" s="0" t="str">
        <f aca="false">INDEX('Materials Master'!$E$2:$E$27,MATCH($C183,'Materials Master'!$A$2:$A$27,0))</f>
        <v>No</v>
      </c>
      <c r="I183" s="0" t="str">
        <f aca="false">IFERROR(INDEX(Areas!$C$2:$C$6,MATCH($A183,Areas!$B$2:$B$6,0)),"")</f>
        <v>BOH</v>
      </c>
      <c r="J183" s="0" t="n">
        <f aca="false">IF(IF($B183="Trash",INDEX('Materials Master'!$F$2:$F$27,MATCH($C183,'Materials Master'!$A$2:$A$27,0)),IF($B183="GMPC Recycling",INDEX('Materials Master'!$G$2:$G$27,MATCH($C183,'Materials Master'!$A$2:$A$27,0)),IF($B183="Organics Recycling",INDEX('Materials Master'!$H$2:$H$27,MATCH($C183,'Materials Master'!$A$2:$A$27,0)),IF($B183="Cardboard Recycling",INDEX('Materials Master'!$I$2:$I$27,MATCH($C183,'Materials Master'!$A$2:$A$27,0)),IF($B183="Paper Recycling",INDEX('Materials Master'!$J$2:$J$27,MATCH($C183,'Materials Master'!$A$2:$A$27,0)),IF($B183="Terracycle",INDEX('Materials Master'!$K$2:$K$27,MATCH($C183,'Materials Master'!$A$2:$A$27,0)),"No"))))))="Yes",1,0)</f>
        <v>1</v>
      </c>
    </row>
    <row r="184" customFormat="false" ht="15" hidden="false" customHeight="false" outlineLevel="0" collapsed="false">
      <c r="A184" s="0" t="s">
        <v>94</v>
      </c>
      <c r="B184" s="0" t="s">
        <v>104</v>
      </c>
      <c r="C184" s="0" t="s">
        <v>26</v>
      </c>
      <c r="D184" s="0" t="str">
        <f aca="false">IFERROR(INDEX('Materials Master'!$B$2:$B$27,MATCH($C184,'Materials Master'!$A$2:$A$27,0)),"")</f>
        <v>Corrugated Cardboard</v>
      </c>
      <c r="E184" s="0" t="str">
        <f aca="false">IFERROR(INDEX('Materials Master'!$C$2:$C$27,MATCH($C184,'Materials Master'!$A$2:$A$27,0)),"")</f>
        <v>Fibers</v>
      </c>
      <c r="F184" s="0" t="n">
        <f aca="false">(SUMIFS(Fact_PreSortWeights!$E$2:$E$15,Fact_PreSortWeights!$C$2:$C$15,$A184,Fact_PreSortWeights!$B$2:$B$15,$B184,Fact_PreSortWeights!$F$2:$F$15,$C184))+(SUMIFS(Fact_SortedWeights!$E$2:$E$6,Fact_SortedWeights!$C$2:$C$6,$A184,Fact_SortedWeights!$B$2:$B$6,$B184,Fact_SortedWeights!$D$2:$D$6,$C184,Fact_SortedWeights!$L$2:$L$6,"Yes"))+IF((SUMIFS(Fact_SortedWeights!$E$2:$E$6,Fact_SortedWeights!$C$2:$C$6,$A184,Fact_SortedWeights!$B$2:$B$6,$B184,Fact_SortedWeights!$L$2:$L$6,"No"))=0,0,(SUMIFS(Fact_SortedWeights!$E$2:$E$6,Fact_SortedWeights!$C$2:$C$6,$A184,Fact_SortedWeights!$B$2:$B$6,$B184,Fact_SortedWeights!$D$2:$D$6,$C184,Fact_SortedWeights!$L$2:$L$6,"No"))/(SUMIFS(Fact_SortedWeights!$E$2:$E$6,Fact_SortedWeights!$C$2:$C$6,$A184,Fact_SortedWeights!$B$2:$B$6,$B184,Fact_SortedWeights!$L$2:$L$6,"No"))*((SUMIFS(Fact_PreSortWeights!$E$2:$E$15,Fact_PreSortWeights!$C$2:$C$15,$A184,Fact_PreSortWeights!$B$2:$B$15,$B184,Fact_PreSortWeights!$F$2:$F$15,""))-(SUMIFS(Fact_SortedWeights!$E$2:$E$6,Fact_SortedWeights!$C$2:$C$6,$A184,Fact_SortedWeights!$B$2:$B$6,$B184,Fact_SortedWeights!$L$2:$L$6,"Yes"))))</f>
        <v>0</v>
      </c>
      <c r="G184" s="0" t="n">
        <f aca="false">IF(AND(IF($B184="Trash",INDEX('Materials Master'!$F$2:$F$27,MATCH($C184,'Materials Master'!$A$2:$A$27,0)),IF($B184="GMPC Recycling",INDEX('Materials Master'!$G$2:$G$27,MATCH($C184,'Materials Master'!$A$2:$A$27,0)),IF($B184="Organics Recycling",INDEX('Materials Master'!$H$2:$H$27,MATCH($C184,'Materials Master'!$A$2:$A$27,0)),IF($B184="Cardboard Recycling",INDEX('Materials Master'!$I$2:$I$27,MATCH($C184,'Materials Master'!$A$2:$A$27,0)),IF($B184="Paper Recycling",INDEX('Materials Master'!$J$2:$J$27,MATCH($C184,'Materials Master'!$A$2:$A$27,0)),IF($B184="Terracycle",INDEX('Materials Master'!$K$2:$K$27,MATCH($C184,'Materials Master'!$A$2:$A$27,0)),"No"))))))="Yes",INDEX('Materials Master'!$E$2:$E$27,MATCH($C184,'Materials Master'!$A$2:$A$27,0))="Yes",$B184&lt;&gt;"Trash"),1,0)</f>
        <v>1</v>
      </c>
      <c r="H184" s="0" t="str">
        <f aca="false">INDEX('Materials Master'!$E$2:$E$27,MATCH($C184,'Materials Master'!$A$2:$A$27,0))</f>
        <v>Yes</v>
      </c>
      <c r="I184" s="0" t="str">
        <f aca="false">IFERROR(INDEX(Areas!$C$2:$C$6,MATCH($A184,Areas!$B$2:$B$6,0)),"")</f>
        <v>BOH</v>
      </c>
      <c r="J184" s="0" t="n">
        <f aca="false">IF(IF($B184="Trash",INDEX('Materials Master'!$F$2:$F$27,MATCH($C184,'Materials Master'!$A$2:$A$27,0)),IF($B184="GMPC Recycling",INDEX('Materials Master'!$G$2:$G$27,MATCH($C184,'Materials Master'!$A$2:$A$27,0)),IF($B184="Organics Recycling",INDEX('Materials Master'!$H$2:$H$27,MATCH($C184,'Materials Master'!$A$2:$A$27,0)),IF($B184="Cardboard Recycling",INDEX('Materials Master'!$I$2:$I$27,MATCH($C184,'Materials Master'!$A$2:$A$27,0)),IF($B184="Paper Recycling",INDEX('Materials Master'!$J$2:$J$27,MATCH($C184,'Materials Master'!$A$2:$A$27,0)),IF($B184="Terracycle",INDEX('Materials Master'!$K$2:$K$27,MATCH($C184,'Materials Master'!$A$2:$A$27,0)),"No"))))))="Yes",1,0)</f>
        <v>1</v>
      </c>
    </row>
    <row r="185" customFormat="false" ht="15" hidden="false" customHeight="false" outlineLevel="0" collapsed="false">
      <c r="A185" s="0" t="s">
        <v>94</v>
      </c>
      <c r="B185" s="0" t="s">
        <v>104</v>
      </c>
      <c r="C185" s="0" t="s">
        <v>31</v>
      </c>
      <c r="D185" s="0" t="str">
        <f aca="false">IFERROR(INDEX('Materials Master'!$B$2:$B$27,MATCH($C185,'Materials Master'!$A$2:$A$27,0)),"")</f>
        <v>Soiled Cardboard</v>
      </c>
      <c r="E185" s="0" t="str">
        <f aca="false">IFERROR(INDEX('Materials Master'!$C$2:$C$27,MATCH($C185,'Materials Master'!$A$2:$A$27,0)),"")</f>
        <v>Fibers</v>
      </c>
      <c r="F185" s="0" t="n">
        <f aca="false">(SUMIFS(Fact_PreSortWeights!$E$2:$E$15,Fact_PreSortWeights!$C$2:$C$15,$A185,Fact_PreSortWeights!$B$2:$B$15,$B185,Fact_PreSortWeights!$F$2:$F$15,$C185))+(SUMIFS(Fact_SortedWeights!$E$2:$E$6,Fact_SortedWeights!$C$2:$C$6,$A185,Fact_SortedWeights!$B$2:$B$6,$B185,Fact_SortedWeights!$D$2:$D$6,$C185,Fact_SortedWeights!$L$2:$L$6,"Yes"))+IF((SUMIFS(Fact_SortedWeights!$E$2:$E$6,Fact_SortedWeights!$C$2:$C$6,$A185,Fact_SortedWeights!$B$2:$B$6,$B185,Fact_SortedWeights!$L$2:$L$6,"No"))=0,0,(SUMIFS(Fact_SortedWeights!$E$2:$E$6,Fact_SortedWeights!$C$2:$C$6,$A185,Fact_SortedWeights!$B$2:$B$6,$B185,Fact_SortedWeights!$D$2:$D$6,$C185,Fact_SortedWeights!$L$2:$L$6,"No"))/(SUMIFS(Fact_SortedWeights!$E$2:$E$6,Fact_SortedWeights!$C$2:$C$6,$A185,Fact_SortedWeights!$B$2:$B$6,$B185,Fact_SortedWeights!$L$2:$L$6,"No"))*((SUMIFS(Fact_PreSortWeights!$E$2:$E$15,Fact_PreSortWeights!$C$2:$C$15,$A185,Fact_PreSortWeights!$B$2:$B$15,$B185,Fact_PreSortWeights!$F$2:$F$15,""))-(SUMIFS(Fact_SortedWeights!$E$2:$E$6,Fact_SortedWeights!$C$2:$C$6,$A185,Fact_SortedWeights!$B$2:$B$6,$B185,Fact_SortedWeights!$L$2:$L$6,"Yes"))))</f>
        <v>0</v>
      </c>
      <c r="G185" s="0" t="n">
        <f aca="false">IF(AND(IF($B185="Trash",INDEX('Materials Master'!$F$2:$F$27,MATCH($C185,'Materials Master'!$A$2:$A$27,0)),IF($B185="GMPC Recycling",INDEX('Materials Master'!$G$2:$G$27,MATCH($C185,'Materials Master'!$A$2:$A$27,0)),IF($B185="Organics Recycling",INDEX('Materials Master'!$H$2:$H$27,MATCH($C185,'Materials Master'!$A$2:$A$27,0)),IF($B185="Cardboard Recycling",INDEX('Materials Master'!$I$2:$I$27,MATCH($C185,'Materials Master'!$A$2:$A$27,0)),IF($B185="Paper Recycling",INDEX('Materials Master'!$J$2:$J$27,MATCH($C185,'Materials Master'!$A$2:$A$27,0)),IF($B185="Terracycle",INDEX('Materials Master'!$K$2:$K$27,MATCH($C185,'Materials Master'!$A$2:$A$27,0)),"No"))))))="Yes",INDEX('Materials Master'!$E$2:$E$27,MATCH($C185,'Materials Master'!$A$2:$A$27,0))="Yes",$B185&lt;&gt;"Trash"),1,0)</f>
        <v>0</v>
      </c>
      <c r="H185" s="0" t="str">
        <f aca="false">INDEX('Materials Master'!$E$2:$E$27,MATCH($C185,'Materials Master'!$A$2:$A$27,0))</f>
        <v>No</v>
      </c>
      <c r="I185" s="0" t="str">
        <f aca="false">IFERROR(INDEX(Areas!$C$2:$C$6,MATCH($A185,Areas!$B$2:$B$6,0)),"")</f>
        <v>BOH</v>
      </c>
      <c r="J185" s="0" t="n">
        <f aca="false">IF(IF($B185="Trash",INDEX('Materials Master'!$F$2:$F$27,MATCH($C185,'Materials Master'!$A$2:$A$27,0)),IF($B185="GMPC Recycling",INDEX('Materials Master'!$G$2:$G$27,MATCH($C185,'Materials Master'!$A$2:$A$27,0)),IF($B185="Organics Recycling",INDEX('Materials Master'!$H$2:$H$27,MATCH($C185,'Materials Master'!$A$2:$A$27,0)),IF($B185="Cardboard Recycling",INDEX('Materials Master'!$I$2:$I$27,MATCH($C185,'Materials Master'!$A$2:$A$27,0)),IF($B185="Paper Recycling",INDEX('Materials Master'!$J$2:$J$27,MATCH($C185,'Materials Master'!$A$2:$A$27,0)),IF($B185="Terracycle",INDEX('Materials Master'!$K$2:$K$27,MATCH($C185,'Materials Master'!$A$2:$A$27,0)),"No"))))))="Yes",1,0)</f>
        <v>0</v>
      </c>
    </row>
    <row r="186" customFormat="false" ht="15" hidden="false" customHeight="false" outlineLevel="0" collapsed="false">
      <c r="A186" s="0" t="s">
        <v>94</v>
      </c>
      <c r="B186" s="0" t="s">
        <v>104</v>
      </c>
      <c r="C186" s="0" t="s">
        <v>33</v>
      </c>
      <c r="D186" s="0" t="str">
        <f aca="false">IFERROR(INDEX('Materials Master'!$B$2:$B$27,MATCH($C186,'Materials Master'!$A$2:$A$27,0)),"")</f>
        <v>Waxed Cardboard</v>
      </c>
      <c r="E186" s="0" t="str">
        <f aca="false">IFERROR(INDEX('Materials Master'!$C$2:$C$27,MATCH($C186,'Materials Master'!$A$2:$A$27,0)),"")</f>
        <v>Fibers</v>
      </c>
      <c r="F186" s="0" t="n">
        <f aca="false">(SUMIFS(Fact_PreSortWeights!$E$2:$E$15,Fact_PreSortWeights!$C$2:$C$15,$A186,Fact_PreSortWeights!$B$2:$B$15,$B186,Fact_PreSortWeights!$F$2:$F$15,$C186))+(SUMIFS(Fact_SortedWeights!$E$2:$E$6,Fact_SortedWeights!$C$2:$C$6,$A186,Fact_SortedWeights!$B$2:$B$6,$B186,Fact_SortedWeights!$D$2:$D$6,$C186,Fact_SortedWeights!$L$2:$L$6,"Yes"))+IF((SUMIFS(Fact_SortedWeights!$E$2:$E$6,Fact_SortedWeights!$C$2:$C$6,$A186,Fact_SortedWeights!$B$2:$B$6,$B186,Fact_SortedWeights!$L$2:$L$6,"No"))=0,0,(SUMIFS(Fact_SortedWeights!$E$2:$E$6,Fact_SortedWeights!$C$2:$C$6,$A186,Fact_SortedWeights!$B$2:$B$6,$B186,Fact_SortedWeights!$D$2:$D$6,$C186,Fact_SortedWeights!$L$2:$L$6,"No"))/(SUMIFS(Fact_SortedWeights!$E$2:$E$6,Fact_SortedWeights!$C$2:$C$6,$A186,Fact_SortedWeights!$B$2:$B$6,$B186,Fact_SortedWeights!$L$2:$L$6,"No"))*((SUMIFS(Fact_PreSortWeights!$E$2:$E$15,Fact_PreSortWeights!$C$2:$C$15,$A186,Fact_PreSortWeights!$B$2:$B$15,$B186,Fact_PreSortWeights!$F$2:$F$15,""))-(SUMIFS(Fact_SortedWeights!$E$2:$E$6,Fact_SortedWeights!$C$2:$C$6,$A186,Fact_SortedWeights!$B$2:$B$6,$B186,Fact_SortedWeights!$L$2:$L$6,"Yes"))))</f>
        <v>0</v>
      </c>
      <c r="G186" s="0" t="n">
        <f aca="false">IF(AND(IF($B186="Trash",INDEX('Materials Master'!$F$2:$F$27,MATCH($C186,'Materials Master'!$A$2:$A$27,0)),IF($B186="GMPC Recycling",INDEX('Materials Master'!$G$2:$G$27,MATCH($C186,'Materials Master'!$A$2:$A$27,0)),IF($B186="Organics Recycling",INDEX('Materials Master'!$H$2:$H$27,MATCH($C186,'Materials Master'!$A$2:$A$27,0)),IF($B186="Cardboard Recycling",INDEX('Materials Master'!$I$2:$I$27,MATCH($C186,'Materials Master'!$A$2:$A$27,0)),IF($B186="Paper Recycling",INDEX('Materials Master'!$J$2:$J$27,MATCH($C186,'Materials Master'!$A$2:$A$27,0)),IF($B186="Terracycle",INDEX('Materials Master'!$K$2:$K$27,MATCH($C186,'Materials Master'!$A$2:$A$27,0)),"No"))))))="Yes",INDEX('Materials Master'!$E$2:$E$27,MATCH($C186,'Materials Master'!$A$2:$A$27,0))="Yes",$B186&lt;&gt;"Trash"),1,0)</f>
        <v>0</v>
      </c>
      <c r="H186" s="0" t="str">
        <f aca="false">INDEX('Materials Master'!$E$2:$E$27,MATCH($C186,'Materials Master'!$A$2:$A$27,0))</f>
        <v>No</v>
      </c>
      <c r="I186" s="0" t="str">
        <f aca="false">IFERROR(INDEX(Areas!$C$2:$C$6,MATCH($A186,Areas!$B$2:$B$6,0)),"")</f>
        <v>BOH</v>
      </c>
      <c r="J186" s="0" t="n">
        <f aca="false">IF(IF($B186="Trash",INDEX('Materials Master'!$F$2:$F$27,MATCH($C186,'Materials Master'!$A$2:$A$27,0)),IF($B186="GMPC Recycling",INDEX('Materials Master'!$G$2:$G$27,MATCH($C186,'Materials Master'!$A$2:$A$27,0)),IF($B186="Organics Recycling",INDEX('Materials Master'!$H$2:$H$27,MATCH($C186,'Materials Master'!$A$2:$A$27,0)),IF($B186="Cardboard Recycling",INDEX('Materials Master'!$I$2:$I$27,MATCH($C186,'Materials Master'!$A$2:$A$27,0)),IF($B186="Paper Recycling",INDEX('Materials Master'!$J$2:$J$27,MATCH($C186,'Materials Master'!$A$2:$A$27,0)),IF($B186="Terracycle",INDEX('Materials Master'!$K$2:$K$27,MATCH($C186,'Materials Master'!$A$2:$A$27,0)),"No"))))))="Yes",1,0)</f>
        <v>0</v>
      </c>
    </row>
    <row r="187" customFormat="false" ht="15" hidden="false" customHeight="false" outlineLevel="0" collapsed="false">
      <c r="A187" s="0" t="s">
        <v>94</v>
      </c>
      <c r="B187" s="0" t="s">
        <v>104</v>
      </c>
      <c r="C187" s="0" t="s">
        <v>35</v>
      </c>
      <c r="D187" s="0" t="str">
        <f aca="false">IFERROR(INDEX('Materials Master'!$B$2:$B$27,MATCH($C187,'Materials Master'!$A$2:$A$27,0)),"")</f>
        <v>Mixed Paper</v>
      </c>
      <c r="E187" s="0" t="str">
        <f aca="false">IFERROR(INDEX('Materials Master'!$C$2:$C$27,MATCH($C187,'Materials Master'!$A$2:$A$27,0)),"")</f>
        <v>Fibers</v>
      </c>
      <c r="F187" s="0" t="n">
        <f aca="false">(SUMIFS(Fact_PreSortWeights!$E$2:$E$15,Fact_PreSortWeights!$C$2:$C$15,$A187,Fact_PreSortWeights!$B$2:$B$15,$B187,Fact_PreSortWeights!$F$2:$F$15,$C187))+(SUMIFS(Fact_SortedWeights!$E$2:$E$6,Fact_SortedWeights!$C$2:$C$6,$A187,Fact_SortedWeights!$B$2:$B$6,$B187,Fact_SortedWeights!$D$2:$D$6,$C187,Fact_SortedWeights!$L$2:$L$6,"Yes"))+IF((SUMIFS(Fact_SortedWeights!$E$2:$E$6,Fact_SortedWeights!$C$2:$C$6,$A187,Fact_SortedWeights!$B$2:$B$6,$B187,Fact_SortedWeights!$L$2:$L$6,"No"))=0,0,(SUMIFS(Fact_SortedWeights!$E$2:$E$6,Fact_SortedWeights!$C$2:$C$6,$A187,Fact_SortedWeights!$B$2:$B$6,$B187,Fact_SortedWeights!$D$2:$D$6,$C187,Fact_SortedWeights!$L$2:$L$6,"No"))/(SUMIFS(Fact_SortedWeights!$E$2:$E$6,Fact_SortedWeights!$C$2:$C$6,$A187,Fact_SortedWeights!$B$2:$B$6,$B187,Fact_SortedWeights!$L$2:$L$6,"No"))*((SUMIFS(Fact_PreSortWeights!$E$2:$E$15,Fact_PreSortWeights!$C$2:$C$15,$A187,Fact_PreSortWeights!$B$2:$B$15,$B187,Fact_PreSortWeights!$F$2:$F$15,""))-(SUMIFS(Fact_SortedWeights!$E$2:$E$6,Fact_SortedWeights!$C$2:$C$6,$A187,Fact_SortedWeights!$B$2:$B$6,$B187,Fact_SortedWeights!$L$2:$L$6,"Yes"))))</f>
        <v>0</v>
      </c>
      <c r="G187" s="0" t="n">
        <f aca="false">IF(AND(IF($B187="Trash",INDEX('Materials Master'!$F$2:$F$27,MATCH($C187,'Materials Master'!$A$2:$A$27,0)),IF($B187="GMPC Recycling",INDEX('Materials Master'!$G$2:$G$27,MATCH($C187,'Materials Master'!$A$2:$A$27,0)),IF($B187="Organics Recycling",INDEX('Materials Master'!$H$2:$H$27,MATCH($C187,'Materials Master'!$A$2:$A$27,0)),IF($B187="Cardboard Recycling",INDEX('Materials Master'!$I$2:$I$27,MATCH($C187,'Materials Master'!$A$2:$A$27,0)),IF($B187="Paper Recycling",INDEX('Materials Master'!$J$2:$J$27,MATCH($C187,'Materials Master'!$A$2:$A$27,0)),IF($B187="Terracycle",INDEX('Materials Master'!$K$2:$K$27,MATCH($C187,'Materials Master'!$A$2:$A$27,0)),"No"))))))="Yes",INDEX('Materials Master'!$E$2:$E$27,MATCH($C187,'Materials Master'!$A$2:$A$27,0))="Yes",$B187&lt;&gt;"Trash"),1,0)</f>
        <v>1</v>
      </c>
      <c r="H187" s="0" t="str">
        <f aca="false">INDEX('Materials Master'!$E$2:$E$27,MATCH($C187,'Materials Master'!$A$2:$A$27,0))</f>
        <v>Yes</v>
      </c>
      <c r="I187" s="0" t="str">
        <f aca="false">IFERROR(INDEX(Areas!$C$2:$C$6,MATCH($A187,Areas!$B$2:$B$6,0)),"")</f>
        <v>BOH</v>
      </c>
      <c r="J187" s="0" t="n">
        <f aca="false">IF(IF($B187="Trash",INDEX('Materials Master'!$F$2:$F$27,MATCH($C187,'Materials Master'!$A$2:$A$27,0)),IF($B187="GMPC Recycling",INDEX('Materials Master'!$G$2:$G$27,MATCH($C187,'Materials Master'!$A$2:$A$27,0)),IF($B187="Organics Recycling",INDEX('Materials Master'!$H$2:$H$27,MATCH($C187,'Materials Master'!$A$2:$A$27,0)),IF($B187="Cardboard Recycling",INDEX('Materials Master'!$I$2:$I$27,MATCH($C187,'Materials Master'!$A$2:$A$27,0)),IF($B187="Paper Recycling",INDEX('Materials Master'!$J$2:$J$27,MATCH($C187,'Materials Master'!$A$2:$A$27,0)),IF($B187="Terracycle",INDEX('Materials Master'!$K$2:$K$27,MATCH($C187,'Materials Master'!$A$2:$A$27,0)),"No"))))))="Yes",1,0)</f>
        <v>1</v>
      </c>
    </row>
    <row r="188" customFormat="false" ht="15" hidden="false" customHeight="false" outlineLevel="0" collapsed="false">
      <c r="A188" s="0" t="s">
        <v>94</v>
      </c>
      <c r="B188" s="0" t="s">
        <v>104</v>
      </c>
      <c r="C188" s="0" t="s">
        <v>37</v>
      </c>
      <c r="D188" s="0" t="str">
        <f aca="false">IFERROR(INDEX('Materials Master'!$B$2:$B$27,MATCH($C188,'Materials Master'!$A$2:$A$27,0)),"")</f>
        <v>Soiled Paper</v>
      </c>
      <c r="E188" s="0" t="str">
        <f aca="false">IFERROR(INDEX('Materials Master'!$C$2:$C$27,MATCH($C188,'Materials Master'!$A$2:$A$27,0)),"")</f>
        <v>Fibers</v>
      </c>
      <c r="F188" s="0" t="n">
        <f aca="false">(SUMIFS(Fact_PreSortWeights!$E$2:$E$15,Fact_PreSortWeights!$C$2:$C$15,$A188,Fact_PreSortWeights!$B$2:$B$15,$B188,Fact_PreSortWeights!$F$2:$F$15,$C188))+(SUMIFS(Fact_SortedWeights!$E$2:$E$6,Fact_SortedWeights!$C$2:$C$6,$A188,Fact_SortedWeights!$B$2:$B$6,$B188,Fact_SortedWeights!$D$2:$D$6,$C188,Fact_SortedWeights!$L$2:$L$6,"Yes"))+IF((SUMIFS(Fact_SortedWeights!$E$2:$E$6,Fact_SortedWeights!$C$2:$C$6,$A188,Fact_SortedWeights!$B$2:$B$6,$B188,Fact_SortedWeights!$L$2:$L$6,"No"))=0,0,(SUMIFS(Fact_SortedWeights!$E$2:$E$6,Fact_SortedWeights!$C$2:$C$6,$A188,Fact_SortedWeights!$B$2:$B$6,$B188,Fact_SortedWeights!$D$2:$D$6,$C188,Fact_SortedWeights!$L$2:$L$6,"No"))/(SUMIFS(Fact_SortedWeights!$E$2:$E$6,Fact_SortedWeights!$C$2:$C$6,$A188,Fact_SortedWeights!$B$2:$B$6,$B188,Fact_SortedWeights!$L$2:$L$6,"No"))*((SUMIFS(Fact_PreSortWeights!$E$2:$E$15,Fact_PreSortWeights!$C$2:$C$15,$A188,Fact_PreSortWeights!$B$2:$B$15,$B188,Fact_PreSortWeights!$F$2:$F$15,""))-(SUMIFS(Fact_SortedWeights!$E$2:$E$6,Fact_SortedWeights!$C$2:$C$6,$A188,Fact_SortedWeights!$B$2:$B$6,$B188,Fact_SortedWeights!$L$2:$L$6,"Yes"))))</f>
        <v>0</v>
      </c>
      <c r="G188" s="0" t="n">
        <f aca="false">IF(AND(IF($B188="Trash",INDEX('Materials Master'!$F$2:$F$27,MATCH($C188,'Materials Master'!$A$2:$A$27,0)),IF($B188="GMPC Recycling",INDEX('Materials Master'!$G$2:$G$27,MATCH($C188,'Materials Master'!$A$2:$A$27,0)),IF($B188="Organics Recycling",INDEX('Materials Master'!$H$2:$H$27,MATCH($C188,'Materials Master'!$A$2:$A$27,0)),IF($B188="Cardboard Recycling",INDEX('Materials Master'!$I$2:$I$27,MATCH($C188,'Materials Master'!$A$2:$A$27,0)),IF($B188="Paper Recycling",INDEX('Materials Master'!$J$2:$J$27,MATCH($C188,'Materials Master'!$A$2:$A$27,0)),IF($B188="Terracycle",INDEX('Materials Master'!$K$2:$K$27,MATCH($C188,'Materials Master'!$A$2:$A$27,0)),"No"))))))="Yes",INDEX('Materials Master'!$E$2:$E$27,MATCH($C188,'Materials Master'!$A$2:$A$27,0))="Yes",$B188&lt;&gt;"Trash"),1,0)</f>
        <v>0</v>
      </c>
      <c r="H188" s="0" t="str">
        <f aca="false">INDEX('Materials Master'!$E$2:$E$27,MATCH($C188,'Materials Master'!$A$2:$A$27,0))</f>
        <v>No</v>
      </c>
      <c r="I188" s="0" t="str">
        <f aca="false">IFERROR(INDEX(Areas!$C$2:$C$6,MATCH($A188,Areas!$B$2:$B$6,0)),"")</f>
        <v>BOH</v>
      </c>
      <c r="J188" s="0" t="n">
        <f aca="false">IF(IF($B188="Trash",INDEX('Materials Master'!$F$2:$F$27,MATCH($C188,'Materials Master'!$A$2:$A$27,0)),IF($B188="GMPC Recycling",INDEX('Materials Master'!$G$2:$G$27,MATCH($C188,'Materials Master'!$A$2:$A$27,0)),IF($B188="Organics Recycling",INDEX('Materials Master'!$H$2:$H$27,MATCH($C188,'Materials Master'!$A$2:$A$27,0)),IF($B188="Cardboard Recycling",INDEX('Materials Master'!$I$2:$I$27,MATCH($C188,'Materials Master'!$A$2:$A$27,0)),IF($B188="Paper Recycling",INDEX('Materials Master'!$J$2:$J$27,MATCH($C188,'Materials Master'!$A$2:$A$27,0)),IF($B188="Terracycle",INDEX('Materials Master'!$K$2:$K$27,MATCH($C188,'Materials Master'!$A$2:$A$27,0)),"No"))))))="Yes",1,0)</f>
        <v>0</v>
      </c>
    </row>
    <row r="189" customFormat="false" ht="15" hidden="false" customHeight="false" outlineLevel="0" collapsed="false">
      <c r="A189" s="0" t="s">
        <v>94</v>
      </c>
      <c r="B189" s="0" t="s">
        <v>104</v>
      </c>
      <c r="C189" s="0" t="s">
        <v>39</v>
      </c>
      <c r="D189" s="0" t="str">
        <f aca="false">IFERROR(INDEX('Materials Master'!$B$2:$B$27,MATCH($C189,'Materials Master'!$A$2:$A$27,0)),"")</f>
        <v>Beverage Cartons</v>
      </c>
      <c r="E189" s="0" t="str">
        <f aca="false">IFERROR(INDEX('Materials Master'!$C$2:$C$27,MATCH($C189,'Materials Master'!$A$2:$A$27,0)),"")</f>
        <v>Fibers</v>
      </c>
      <c r="F189" s="0" t="n">
        <f aca="false">(SUMIFS(Fact_PreSortWeights!$E$2:$E$15,Fact_PreSortWeights!$C$2:$C$15,$A189,Fact_PreSortWeights!$B$2:$B$15,$B189,Fact_PreSortWeights!$F$2:$F$15,$C189))+(SUMIFS(Fact_SortedWeights!$E$2:$E$6,Fact_SortedWeights!$C$2:$C$6,$A189,Fact_SortedWeights!$B$2:$B$6,$B189,Fact_SortedWeights!$D$2:$D$6,$C189,Fact_SortedWeights!$L$2:$L$6,"Yes"))+IF((SUMIFS(Fact_SortedWeights!$E$2:$E$6,Fact_SortedWeights!$C$2:$C$6,$A189,Fact_SortedWeights!$B$2:$B$6,$B189,Fact_SortedWeights!$L$2:$L$6,"No"))=0,0,(SUMIFS(Fact_SortedWeights!$E$2:$E$6,Fact_SortedWeights!$C$2:$C$6,$A189,Fact_SortedWeights!$B$2:$B$6,$B189,Fact_SortedWeights!$D$2:$D$6,$C189,Fact_SortedWeights!$L$2:$L$6,"No"))/(SUMIFS(Fact_SortedWeights!$E$2:$E$6,Fact_SortedWeights!$C$2:$C$6,$A189,Fact_SortedWeights!$B$2:$B$6,$B189,Fact_SortedWeights!$L$2:$L$6,"No"))*((SUMIFS(Fact_PreSortWeights!$E$2:$E$15,Fact_PreSortWeights!$C$2:$C$15,$A189,Fact_PreSortWeights!$B$2:$B$15,$B189,Fact_PreSortWeights!$F$2:$F$15,""))-(SUMIFS(Fact_SortedWeights!$E$2:$E$6,Fact_SortedWeights!$C$2:$C$6,$A189,Fact_SortedWeights!$B$2:$B$6,$B189,Fact_SortedWeights!$L$2:$L$6,"Yes"))))</f>
        <v>0</v>
      </c>
      <c r="G189" s="0" t="n">
        <f aca="false">IF(AND(IF($B189="Trash",INDEX('Materials Master'!$F$2:$F$27,MATCH($C189,'Materials Master'!$A$2:$A$27,0)),IF($B189="GMPC Recycling",INDEX('Materials Master'!$G$2:$G$27,MATCH($C189,'Materials Master'!$A$2:$A$27,0)),IF($B189="Organics Recycling",INDEX('Materials Master'!$H$2:$H$27,MATCH($C189,'Materials Master'!$A$2:$A$27,0)),IF($B189="Cardboard Recycling",INDEX('Materials Master'!$I$2:$I$27,MATCH($C189,'Materials Master'!$A$2:$A$27,0)),IF($B189="Paper Recycling",INDEX('Materials Master'!$J$2:$J$27,MATCH($C189,'Materials Master'!$A$2:$A$27,0)),IF($B189="Terracycle",INDEX('Materials Master'!$K$2:$K$27,MATCH($C189,'Materials Master'!$A$2:$A$27,0)),"No"))))))="Yes",INDEX('Materials Master'!$E$2:$E$27,MATCH($C189,'Materials Master'!$A$2:$A$27,0))="Yes",$B189&lt;&gt;"Trash"),1,0)</f>
        <v>1</v>
      </c>
      <c r="H189" s="0" t="str">
        <f aca="false">INDEX('Materials Master'!$E$2:$E$27,MATCH($C189,'Materials Master'!$A$2:$A$27,0))</f>
        <v>Yes</v>
      </c>
      <c r="I189" s="0" t="str">
        <f aca="false">IFERROR(INDEX(Areas!$C$2:$C$6,MATCH($A189,Areas!$B$2:$B$6,0)),"")</f>
        <v>BOH</v>
      </c>
      <c r="J189" s="0" t="n">
        <f aca="false">IF(IF($B189="Trash",INDEX('Materials Master'!$F$2:$F$27,MATCH($C189,'Materials Master'!$A$2:$A$27,0)),IF($B189="GMPC Recycling",INDEX('Materials Master'!$G$2:$G$27,MATCH($C189,'Materials Master'!$A$2:$A$27,0)),IF($B189="Organics Recycling",INDEX('Materials Master'!$H$2:$H$27,MATCH($C189,'Materials Master'!$A$2:$A$27,0)),IF($B189="Cardboard Recycling",INDEX('Materials Master'!$I$2:$I$27,MATCH($C189,'Materials Master'!$A$2:$A$27,0)),IF($B189="Paper Recycling",INDEX('Materials Master'!$J$2:$J$27,MATCH($C189,'Materials Master'!$A$2:$A$27,0)),IF($B189="Terracycle",INDEX('Materials Master'!$K$2:$K$27,MATCH($C189,'Materials Master'!$A$2:$A$27,0)),"No"))))))="Yes",1,0)</f>
        <v>1</v>
      </c>
    </row>
    <row r="190" customFormat="false" ht="15" hidden="false" customHeight="false" outlineLevel="0" collapsed="false">
      <c r="A190" s="0" t="s">
        <v>94</v>
      </c>
      <c r="B190" s="0" t="s">
        <v>104</v>
      </c>
      <c r="C190" s="0" t="s">
        <v>41</v>
      </c>
      <c r="D190" s="0" t="str">
        <f aca="false">IFERROR(INDEX('Materials Master'!$B$2:$B$27,MATCH($C190,'Materials Master'!$A$2:$A$27,0)),"")</f>
        <v>Soiled Beverage Cartons</v>
      </c>
      <c r="E190" s="0" t="str">
        <f aca="false">IFERROR(INDEX('Materials Master'!$C$2:$C$27,MATCH($C190,'Materials Master'!$A$2:$A$27,0)),"")</f>
        <v>Fibers</v>
      </c>
      <c r="F190" s="0" t="n">
        <f aca="false">(SUMIFS(Fact_PreSortWeights!$E$2:$E$15,Fact_PreSortWeights!$C$2:$C$15,$A190,Fact_PreSortWeights!$B$2:$B$15,$B190,Fact_PreSortWeights!$F$2:$F$15,$C190))+(SUMIFS(Fact_SortedWeights!$E$2:$E$6,Fact_SortedWeights!$C$2:$C$6,$A190,Fact_SortedWeights!$B$2:$B$6,$B190,Fact_SortedWeights!$D$2:$D$6,$C190,Fact_SortedWeights!$L$2:$L$6,"Yes"))+IF((SUMIFS(Fact_SortedWeights!$E$2:$E$6,Fact_SortedWeights!$C$2:$C$6,$A190,Fact_SortedWeights!$B$2:$B$6,$B190,Fact_SortedWeights!$L$2:$L$6,"No"))=0,0,(SUMIFS(Fact_SortedWeights!$E$2:$E$6,Fact_SortedWeights!$C$2:$C$6,$A190,Fact_SortedWeights!$B$2:$B$6,$B190,Fact_SortedWeights!$D$2:$D$6,$C190,Fact_SortedWeights!$L$2:$L$6,"No"))/(SUMIFS(Fact_SortedWeights!$E$2:$E$6,Fact_SortedWeights!$C$2:$C$6,$A190,Fact_SortedWeights!$B$2:$B$6,$B190,Fact_SortedWeights!$L$2:$L$6,"No"))*((SUMIFS(Fact_PreSortWeights!$E$2:$E$15,Fact_PreSortWeights!$C$2:$C$15,$A190,Fact_PreSortWeights!$B$2:$B$15,$B190,Fact_PreSortWeights!$F$2:$F$15,""))-(SUMIFS(Fact_SortedWeights!$E$2:$E$6,Fact_SortedWeights!$C$2:$C$6,$A190,Fact_SortedWeights!$B$2:$B$6,$B190,Fact_SortedWeights!$L$2:$L$6,"Yes"))))</f>
        <v>0</v>
      </c>
      <c r="G190" s="0" t="n">
        <f aca="false">IF(AND(IF($B190="Trash",INDEX('Materials Master'!$F$2:$F$27,MATCH($C190,'Materials Master'!$A$2:$A$27,0)),IF($B190="GMPC Recycling",INDEX('Materials Master'!$G$2:$G$27,MATCH($C190,'Materials Master'!$A$2:$A$27,0)),IF($B190="Organics Recycling",INDEX('Materials Master'!$H$2:$H$27,MATCH($C190,'Materials Master'!$A$2:$A$27,0)),IF($B190="Cardboard Recycling",INDEX('Materials Master'!$I$2:$I$27,MATCH($C190,'Materials Master'!$A$2:$A$27,0)),IF($B190="Paper Recycling",INDEX('Materials Master'!$J$2:$J$27,MATCH($C190,'Materials Master'!$A$2:$A$27,0)),IF($B190="Terracycle",INDEX('Materials Master'!$K$2:$K$27,MATCH($C190,'Materials Master'!$A$2:$A$27,0)),"No"))))))="Yes",INDEX('Materials Master'!$E$2:$E$27,MATCH($C190,'Materials Master'!$A$2:$A$27,0))="Yes",$B190&lt;&gt;"Trash"),1,0)</f>
        <v>0</v>
      </c>
      <c r="H190" s="0" t="str">
        <f aca="false">INDEX('Materials Master'!$E$2:$E$27,MATCH($C190,'Materials Master'!$A$2:$A$27,0))</f>
        <v>No</v>
      </c>
      <c r="I190" s="0" t="str">
        <f aca="false">IFERROR(INDEX(Areas!$C$2:$C$6,MATCH($A190,Areas!$B$2:$B$6,0)),"")</f>
        <v>BOH</v>
      </c>
      <c r="J190" s="0" t="n">
        <f aca="false">IF(IF($B190="Trash",INDEX('Materials Master'!$F$2:$F$27,MATCH($C190,'Materials Master'!$A$2:$A$27,0)),IF($B190="GMPC Recycling",INDEX('Materials Master'!$G$2:$G$27,MATCH($C190,'Materials Master'!$A$2:$A$27,0)),IF($B190="Organics Recycling",INDEX('Materials Master'!$H$2:$H$27,MATCH($C190,'Materials Master'!$A$2:$A$27,0)),IF($B190="Cardboard Recycling",INDEX('Materials Master'!$I$2:$I$27,MATCH($C190,'Materials Master'!$A$2:$A$27,0)),IF($B190="Paper Recycling",INDEX('Materials Master'!$J$2:$J$27,MATCH($C190,'Materials Master'!$A$2:$A$27,0)),IF($B190="Terracycle",INDEX('Materials Master'!$K$2:$K$27,MATCH($C190,'Materials Master'!$A$2:$A$27,0)),"No"))))))="Yes",1,0)</f>
        <v>0</v>
      </c>
    </row>
    <row r="191" customFormat="false" ht="15" hidden="false" customHeight="false" outlineLevel="0" collapsed="false">
      <c r="A191" s="0" t="s">
        <v>94</v>
      </c>
      <c r="B191" s="0" t="s">
        <v>104</v>
      </c>
      <c r="C191" s="0" t="s">
        <v>43</v>
      </c>
      <c r="D191" s="0" t="str">
        <f aca="false">IFERROR(INDEX('Materials Master'!$B$2:$B$27,MATCH($C191,'Materials Master'!$A$2:$A$27,0)),"")</f>
        <v>Paper Cups / Other Coated Paper Containers</v>
      </c>
      <c r="E191" s="0" t="str">
        <f aca="false">IFERROR(INDEX('Materials Master'!$C$2:$C$27,MATCH($C191,'Materials Master'!$A$2:$A$27,0)),"")</f>
        <v>Fibers</v>
      </c>
      <c r="F191" s="0" t="n">
        <f aca="false">(SUMIFS(Fact_PreSortWeights!$E$2:$E$15,Fact_PreSortWeights!$C$2:$C$15,$A191,Fact_PreSortWeights!$B$2:$B$15,$B191,Fact_PreSortWeights!$F$2:$F$15,$C191))+(SUMIFS(Fact_SortedWeights!$E$2:$E$6,Fact_SortedWeights!$C$2:$C$6,$A191,Fact_SortedWeights!$B$2:$B$6,$B191,Fact_SortedWeights!$D$2:$D$6,$C191,Fact_SortedWeights!$L$2:$L$6,"Yes"))+IF((SUMIFS(Fact_SortedWeights!$E$2:$E$6,Fact_SortedWeights!$C$2:$C$6,$A191,Fact_SortedWeights!$B$2:$B$6,$B191,Fact_SortedWeights!$L$2:$L$6,"No"))=0,0,(SUMIFS(Fact_SortedWeights!$E$2:$E$6,Fact_SortedWeights!$C$2:$C$6,$A191,Fact_SortedWeights!$B$2:$B$6,$B191,Fact_SortedWeights!$D$2:$D$6,$C191,Fact_SortedWeights!$L$2:$L$6,"No"))/(SUMIFS(Fact_SortedWeights!$E$2:$E$6,Fact_SortedWeights!$C$2:$C$6,$A191,Fact_SortedWeights!$B$2:$B$6,$B191,Fact_SortedWeights!$L$2:$L$6,"No"))*((SUMIFS(Fact_PreSortWeights!$E$2:$E$15,Fact_PreSortWeights!$C$2:$C$15,$A191,Fact_PreSortWeights!$B$2:$B$15,$B191,Fact_PreSortWeights!$F$2:$F$15,""))-(SUMIFS(Fact_SortedWeights!$E$2:$E$6,Fact_SortedWeights!$C$2:$C$6,$A191,Fact_SortedWeights!$B$2:$B$6,$B191,Fact_SortedWeights!$L$2:$L$6,"Yes"))))</f>
        <v>0</v>
      </c>
      <c r="G191" s="0" t="n">
        <f aca="false">IF(AND(IF($B191="Trash",INDEX('Materials Master'!$F$2:$F$27,MATCH($C191,'Materials Master'!$A$2:$A$27,0)),IF($B191="GMPC Recycling",INDEX('Materials Master'!$G$2:$G$27,MATCH($C191,'Materials Master'!$A$2:$A$27,0)),IF($B191="Organics Recycling",INDEX('Materials Master'!$H$2:$H$27,MATCH($C191,'Materials Master'!$A$2:$A$27,0)),IF($B191="Cardboard Recycling",INDEX('Materials Master'!$I$2:$I$27,MATCH($C191,'Materials Master'!$A$2:$A$27,0)),IF($B191="Paper Recycling",INDEX('Materials Master'!$J$2:$J$27,MATCH($C191,'Materials Master'!$A$2:$A$27,0)),IF($B191="Terracycle",INDEX('Materials Master'!$K$2:$K$27,MATCH($C191,'Materials Master'!$A$2:$A$27,0)),"No"))))))="Yes",INDEX('Materials Master'!$E$2:$E$27,MATCH($C191,'Materials Master'!$A$2:$A$27,0))="Yes",$B191&lt;&gt;"Trash"),1,0)</f>
        <v>0</v>
      </c>
      <c r="H191" s="0" t="str">
        <f aca="false">INDEX('Materials Master'!$E$2:$E$27,MATCH($C191,'Materials Master'!$A$2:$A$27,0))</f>
        <v>No</v>
      </c>
      <c r="I191" s="0" t="str">
        <f aca="false">IFERROR(INDEX(Areas!$C$2:$C$6,MATCH($A191,Areas!$B$2:$B$6,0)),"")</f>
        <v>BOH</v>
      </c>
      <c r="J191" s="0" t="n">
        <f aca="false">IF(IF($B191="Trash",INDEX('Materials Master'!$F$2:$F$27,MATCH($C191,'Materials Master'!$A$2:$A$27,0)),IF($B191="GMPC Recycling",INDEX('Materials Master'!$G$2:$G$27,MATCH($C191,'Materials Master'!$A$2:$A$27,0)),IF($B191="Organics Recycling",INDEX('Materials Master'!$H$2:$H$27,MATCH($C191,'Materials Master'!$A$2:$A$27,0)),IF($B191="Cardboard Recycling",INDEX('Materials Master'!$I$2:$I$27,MATCH($C191,'Materials Master'!$A$2:$A$27,0)),IF($B191="Paper Recycling",INDEX('Materials Master'!$J$2:$J$27,MATCH($C191,'Materials Master'!$A$2:$A$27,0)),IF($B191="Terracycle",INDEX('Materials Master'!$K$2:$K$27,MATCH($C191,'Materials Master'!$A$2:$A$27,0)),"No"))))))="Yes",1,0)</f>
        <v>0</v>
      </c>
    </row>
    <row r="192" customFormat="false" ht="15" hidden="false" customHeight="false" outlineLevel="0" collapsed="false">
      <c r="A192" s="0" t="s">
        <v>94</v>
      </c>
      <c r="B192" s="0" t="s">
        <v>104</v>
      </c>
      <c r="C192" s="0" t="s">
        <v>45</v>
      </c>
      <c r="D192" s="0" t="str">
        <f aca="false">IFERROR(INDEX('Materials Master'!$B$2:$B$27,MATCH($C192,'Materials Master'!$A$2:$A$27,0)),"")</f>
        <v>Glass Bottles &amp; Jars</v>
      </c>
      <c r="E192" s="0" t="str">
        <f aca="false">IFERROR(INDEX('Materials Master'!$C$2:$C$27,MATCH($C192,'Materials Master'!$A$2:$A$27,0)),"")</f>
        <v>Glass</v>
      </c>
      <c r="F192" s="0" t="n">
        <f aca="false">(SUMIFS(Fact_PreSortWeights!$E$2:$E$15,Fact_PreSortWeights!$C$2:$C$15,$A192,Fact_PreSortWeights!$B$2:$B$15,$B192,Fact_PreSortWeights!$F$2:$F$15,$C192))+(SUMIFS(Fact_SortedWeights!$E$2:$E$6,Fact_SortedWeights!$C$2:$C$6,$A192,Fact_SortedWeights!$B$2:$B$6,$B192,Fact_SortedWeights!$D$2:$D$6,$C192,Fact_SortedWeights!$L$2:$L$6,"Yes"))+IF((SUMIFS(Fact_SortedWeights!$E$2:$E$6,Fact_SortedWeights!$C$2:$C$6,$A192,Fact_SortedWeights!$B$2:$B$6,$B192,Fact_SortedWeights!$L$2:$L$6,"No"))=0,0,(SUMIFS(Fact_SortedWeights!$E$2:$E$6,Fact_SortedWeights!$C$2:$C$6,$A192,Fact_SortedWeights!$B$2:$B$6,$B192,Fact_SortedWeights!$D$2:$D$6,$C192,Fact_SortedWeights!$L$2:$L$6,"No"))/(SUMIFS(Fact_SortedWeights!$E$2:$E$6,Fact_SortedWeights!$C$2:$C$6,$A192,Fact_SortedWeights!$B$2:$B$6,$B192,Fact_SortedWeights!$L$2:$L$6,"No"))*((SUMIFS(Fact_PreSortWeights!$E$2:$E$15,Fact_PreSortWeights!$C$2:$C$15,$A192,Fact_PreSortWeights!$B$2:$B$15,$B192,Fact_PreSortWeights!$F$2:$F$15,""))-(SUMIFS(Fact_SortedWeights!$E$2:$E$6,Fact_SortedWeights!$C$2:$C$6,$A192,Fact_SortedWeights!$B$2:$B$6,$B192,Fact_SortedWeights!$L$2:$L$6,"Yes"))))</f>
        <v>0</v>
      </c>
      <c r="G192" s="0" t="n">
        <f aca="false">IF(AND(IF($B192="Trash",INDEX('Materials Master'!$F$2:$F$27,MATCH($C192,'Materials Master'!$A$2:$A$27,0)),IF($B192="GMPC Recycling",INDEX('Materials Master'!$G$2:$G$27,MATCH($C192,'Materials Master'!$A$2:$A$27,0)),IF($B192="Organics Recycling",INDEX('Materials Master'!$H$2:$H$27,MATCH($C192,'Materials Master'!$A$2:$A$27,0)),IF($B192="Cardboard Recycling",INDEX('Materials Master'!$I$2:$I$27,MATCH($C192,'Materials Master'!$A$2:$A$27,0)),IF($B192="Paper Recycling",INDEX('Materials Master'!$J$2:$J$27,MATCH($C192,'Materials Master'!$A$2:$A$27,0)),IF($B192="Terracycle",INDEX('Materials Master'!$K$2:$K$27,MATCH($C192,'Materials Master'!$A$2:$A$27,0)),"No"))))))="Yes",INDEX('Materials Master'!$E$2:$E$27,MATCH($C192,'Materials Master'!$A$2:$A$27,0))="Yes",$B192&lt;&gt;"Trash"),1,0)</f>
        <v>1</v>
      </c>
      <c r="H192" s="0" t="str">
        <f aca="false">INDEX('Materials Master'!$E$2:$E$27,MATCH($C192,'Materials Master'!$A$2:$A$27,0))</f>
        <v>Yes</v>
      </c>
      <c r="I192" s="0" t="str">
        <f aca="false">IFERROR(INDEX(Areas!$C$2:$C$6,MATCH($A192,Areas!$B$2:$B$6,0)),"")</f>
        <v>BOH</v>
      </c>
      <c r="J192" s="0" t="n">
        <f aca="false">IF(IF($B192="Trash",INDEX('Materials Master'!$F$2:$F$27,MATCH($C192,'Materials Master'!$A$2:$A$27,0)),IF($B192="GMPC Recycling",INDEX('Materials Master'!$G$2:$G$27,MATCH($C192,'Materials Master'!$A$2:$A$27,0)),IF($B192="Organics Recycling",INDEX('Materials Master'!$H$2:$H$27,MATCH($C192,'Materials Master'!$A$2:$A$27,0)),IF($B192="Cardboard Recycling",INDEX('Materials Master'!$I$2:$I$27,MATCH($C192,'Materials Master'!$A$2:$A$27,0)),IF($B192="Paper Recycling",INDEX('Materials Master'!$J$2:$J$27,MATCH($C192,'Materials Master'!$A$2:$A$27,0)),IF($B192="Terracycle",INDEX('Materials Master'!$K$2:$K$27,MATCH($C192,'Materials Master'!$A$2:$A$27,0)),"No"))))))="Yes",1,0)</f>
        <v>1</v>
      </c>
    </row>
    <row r="193" customFormat="false" ht="15" hidden="false" customHeight="false" outlineLevel="0" collapsed="false">
      <c r="A193" s="0" t="s">
        <v>94</v>
      </c>
      <c r="B193" s="0" t="s">
        <v>104</v>
      </c>
      <c r="C193" s="0" t="s">
        <v>48</v>
      </c>
      <c r="D193" s="0" t="str">
        <f aca="false">IFERROR(INDEX('Materials Master'!$B$2:$B$27,MATCH($C193,'Materials Master'!$A$2:$A$27,0)),"")</f>
        <v>Soiled Glass</v>
      </c>
      <c r="E193" s="0" t="str">
        <f aca="false">IFERROR(INDEX('Materials Master'!$C$2:$C$27,MATCH($C193,'Materials Master'!$A$2:$A$27,0)),"")</f>
        <v>Glass</v>
      </c>
      <c r="F193" s="0" t="n">
        <f aca="false">(SUMIFS(Fact_PreSortWeights!$E$2:$E$15,Fact_PreSortWeights!$C$2:$C$15,$A193,Fact_PreSortWeights!$B$2:$B$15,$B193,Fact_PreSortWeights!$F$2:$F$15,$C193))+(SUMIFS(Fact_SortedWeights!$E$2:$E$6,Fact_SortedWeights!$C$2:$C$6,$A193,Fact_SortedWeights!$B$2:$B$6,$B193,Fact_SortedWeights!$D$2:$D$6,$C193,Fact_SortedWeights!$L$2:$L$6,"Yes"))+IF((SUMIFS(Fact_SortedWeights!$E$2:$E$6,Fact_SortedWeights!$C$2:$C$6,$A193,Fact_SortedWeights!$B$2:$B$6,$B193,Fact_SortedWeights!$L$2:$L$6,"No"))=0,0,(SUMIFS(Fact_SortedWeights!$E$2:$E$6,Fact_SortedWeights!$C$2:$C$6,$A193,Fact_SortedWeights!$B$2:$B$6,$B193,Fact_SortedWeights!$D$2:$D$6,$C193,Fact_SortedWeights!$L$2:$L$6,"No"))/(SUMIFS(Fact_SortedWeights!$E$2:$E$6,Fact_SortedWeights!$C$2:$C$6,$A193,Fact_SortedWeights!$B$2:$B$6,$B193,Fact_SortedWeights!$L$2:$L$6,"No"))*((SUMIFS(Fact_PreSortWeights!$E$2:$E$15,Fact_PreSortWeights!$C$2:$C$15,$A193,Fact_PreSortWeights!$B$2:$B$15,$B193,Fact_PreSortWeights!$F$2:$F$15,""))-(SUMIFS(Fact_SortedWeights!$E$2:$E$6,Fact_SortedWeights!$C$2:$C$6,$A193,Fact_SortedWeights!$B$2:$B$6,$B193,Fact_SortedWeights!$L$2:$L$6,"Yes"))))</f>
        <v>0</v>
      </c>
      <c r="G193" s="0" t="n">
        <f aca="false">IF(AND(IF($B193="Trash",INDEX('Materials Master'!$F$2:$F$27,MATCH($C193,'Materials Master'!$A$2:$A$27,0)),IF($B193="GMPC Recycling",INDEX('Materials Master'!$G$2:$G$27,MATCH($C193,'Materials Master'!$A$2:$A$27,0)),IF($B193="Organics Recycling",INDEX('Materials Master'!$H$2:$H$27,MATCH($C193,'Materials Master'!$A$2:$A$27,0)),IF($B193="Cardboard Recycling",INDEX('Materials Master'!$I$2:$I$27,MATCH($C193,'Materials Master'!$A$2:$A$27,0)),IF($B193="Paper Recycling",INDEX('Materials Master'!$J$2:$J$27,MATCH($C193,'Materials Master'!$A$2:$A$27,0)),IF($B193="Terracycle",INDEX('Materials Master'!$K$2:$K$27,MATCH($C193,'Materials Master'!$A$2:$A$27,0)),"No"))))))="Yes",INDEX('Materials Master'!$E$2:$E$27,MATCH($C193,'Materials Master'!$A$2:$A$27,0))="Yes",$B193&lt;&gt;"Trash"),1,0)</f>
        <v>0</v>
      </c>
      <c r="H193" s="0" t="str">
        <f aca="false">INDEX('Materials Master'!$E$2:$E$27,MATCH($C193,'Materials Master'!$A$2:$A$27,0))</f>
        <v>No</v>
      </c>
      <c r="I193" s="0" t="str">
        <f aca="false">IFERROR(INDEX(Areas!$C$2:$C$6,MATCH($A193,Areas!$B$2:$B$6,0)),"")</f>
        <v>BOH</v>
      </c>
      <c r="J193" s="0" t="n">
        <f aca="false">IF(IF($B193="Trash",INDEX('Materials Master'!$F$2:$F$27,MATCH($C193,'Materials Master'!$A$2:$A$27,0)),IF($B193="GMPC Recycling",INDEX('Materials Master'!$G$2:$G$27,MATCH($C193,'Materials Master'!$A$2:$A$27,0)),IF($B193="Organics Recycling",INDEX('Materials Master'!$H$2:$H$27,MATCH($C193,'Materials Master'!$A$2:$A$27,0)),IF($B193="Cardboard Recycling",INDEX('Materials Master'!$I$2:$I$27,MATCH($C193,'Materials Master'!$A$2:$A$27,0)),IF($B193="Paper Recycling",INDEX('Materials Master'!$J$2:$J$27,MATCH($C193,'Materials Master'!$A$2:$A$27,0)),IF($B193="Terracycle",INDEX('Materials Master'!$K$2:$K$27,MATCH($C193,'Materials Master'!$A$2:$A$27,0)),"No"))))))="Yes",1,0)</f>
        <v>0</v>
      </c>
    </row>
    <row r="194" customFormat="false" ht="15" hidden="false" customHeight="false" outlineLevel="0" collapsed="false">
      <c r="A194" s="0" t="s">
        <v>94</v>
      </c>
      <c r="B194" s="0" t="s">
        <v>104</v>
      </c>
      <c r="C194" s="0" t="s">
        <v>50</v>
      </c>
      <c r="D194" s="0" t="str">
        <f aca="false">IFERROR(INDEX('Materials Master'!$B$2:$B$27,MATCH($C194,'Materials Master'!$A$2:$A$27,0)),"")</f>
        <v>Aluminum &amp; Bi-Metal Containers</v>
      </c>
      <c r="E194" s="0" t="str">
        <f aca="false">IFERROR(INDEX('Materials Master'!$C$2:$C$27,MATCH($C194,'Materials Master'!$A$2:$A$27,0)),"")</f>
        <v>Metals</v>
      </c>
      <c r="F194" s="0" t="n">
        <f aca="false">(SUMIFS(Fact_PreSortWeights!$E$2:$E$15,Fact_PreSortWeights!$C$2:$C$15,$A194,Fact_PreSortWeights!$B$2:$B$15,$B194,Fact_PreSortWeights!$F$2:$F$15,$C194))+(SUMIFS(Fact_SortedWeights!$E$2:$E$6,Fact_SortedWeights!$C$2:$C$6,$A194,Fact_SortedWeights!$B$2:$B$6,$B194,Fact_SortedWeights!$D$2:$D$6,$C194,Fact_SortedWeights!$L$2:$L$6,"Yes"))+IF((SUMIFS(Fact_SortedWeights!$E$2:$E$6,Fact_SortedWeights!$C$2:$C$6,$A194,Fact_SortedWeights!$B$2:$B$6,$B194,Fact_SortedWeights!$L$2:$L$6,"No"))=0,0,(SUMIFS(Fact_SortedWeights!$E$2:$E$6,Fact_SortedWeights!$C$2:$C$6,$A194,Fact_SortedWeights!$B$2:$B$6,$B194,Fact_SortedWeights!$D$2:$D$6,$C194,Fact_SortedWeights!$L$2:$L$6,"No"))/(SUMIFS(Fact_SortedWeights!$E$2:$E$6,Fact_SortedWeights!$C$2:$C$6,$A194,Fact_SortedWeights!$B$2:$B$6,$B194,Fact_SortedWeights!$L$2:$L$6,"No"))*((SUMIFS(Fact_PreSortWeights!$E$2:$E$15,Fact_PreSortWeights!$C$2:$C$15,$A194,Fact_PreSortWeights!$B$2:$B$15,$B194,Fact_PreSortWeights!$F$2:$F$15,""))-(SUMIFS(Fact_SortedWeights!$E$2:$E$6,Fact_SortedWeights!$C$2:$C$6,$A194,Fact_SortedWeights!$B$2:$B$6,$B194,Fact_SortedWeights!$L$2:$L$6,"Yes"))))</f>
        <v>0</v>
      </c>
      <c r="G194" s="0" t="n">
        <f aca="false">IF(AND(IF($B194="Trash",INDEX('Materials Master'!$F$2:$F$27,MATCH($C194,'Materials Master'!$A$2:$A$27,0)),IF($B194="GMPC Recycling",INDEX('Materials Master'!$G$2:$G$27,MATCH($C194,'Materials Master'!$A$2:$A$27,0)),IF($B194="Organics Recycling",INDEX('Materials Master'!$H$2:$H$27,MATCH($C194,'Materials Master'!$A$2:$A$27,0)),IF($B194="Cardboard Recycling",INDEX('Materials Master'!$I$2:$I$27,MATCH($C194,'Materials Master'!$A$2:$A$27,0)),IF($B194="Paper Recycling",INDEX('Materials Master'!$J$2:$J$27,MATCH($C194,'Materials Master'!$A$2:$A$27,0)),IF($B194="Terracycle",INDEX('Materials Master'!$K$2:$K$27,MATCH($C194,'Materials Master'!$A$2:$A$27,0)),"No"))))))="Yes",INDEX('Materials Master'!$E$2:$E$27,MATCH($C194,'Materials Master'!$A$2:$A$27,0))="Yes",$B194&lt;&gt;"Trash"),1,0)</f>
        <v>1</v>
      </c>
      <c r="H194" s="0" t="str">
        <f aca="false">INDEX('Materials Master'!$E$2:$E$27,MATCH($C194,'Materials Master'!$A$2:$A$27,0))</f>
        <v>Yes</v>
      </c>
      <c r="I194" s="0" t="str">
        <f aca="false">IFERROR(INDEX(Areas!$C$2:$C$6,MATCH($A194,Areas!$B$2:$B$6,0)),"")</f>
        <v>BOH</v>
      </c>
      <c r="J194" s="0" t="n">
        <f aca="false">IF(IF($B194="Trash",INDEX('Materials Master'!$F$2:$F$27,MATCH($C194,'Materials Master'!$A$2:$A$27,0)),IF($B194="GMPC Recycling",INDEX('Materials Master'!$G$2:$G$27,MATCH($C194,'Materials Master'!$A$2:$A$27,0)),IF($B194="Organics Recycling",INDEX('Materials Master'!$H$2:$H$27,MATCH($C194,'Materials Master'!$A$2:$A$27,0)),IF($B194="Cardboard Recycling",INDEX('Materials Master'!$I$2:$I$27,MATCH($C194,'Materials Master'!$A$2:$A$27,0)),IF($B194="Paper Recycling",INDEX('Materials Master'!$J$2:$J$27,MATCH($C194,'Materials Master'!$A$2:$A$27,0)),IF($B194="Terracycle",INDEX('Materials Master'!$K$2:$K$27,MATCH($C194,'Materials Master'!$A$2:$A$27,0)),"No"))))))="Yes",1,0)</f>
        <v>1</v>
      </c>
    </row>
    <row r="195" customFormat="false" ht="15" hidden="false" customHeight="false" outlineLevel="0" collapsed="false">
      <c r="A195" s="0" t="s">
        <v>94</v>
      </c>
      <c r="B195" s="0" t="s">
        <v>104</v>
      </c>
      <c r="C195" s="0" t="s">
        <v>53</v>
      </c>
      <c r="D195" s="0" t="str">
        <f aca="false">IFERROR(INDEX('Materials Master'!$B$2:$B$27,MATCH($C195,'Materials Master'!$A$2:$A$27,0)),"")</f>
        <v>Soiled Metals</v>
      </c>
      <c r="E195" s="0" t="str">
        <f aca="false">IFERROR(INDEX('Materials Master'!$C$2:$C$27,MATCH($C195,'Materials Master'!$A$2:$A$27,0)),"")</f>
        <v>Metals</v>
      </c>
      <c r="F195" s="0" t="n">
        <f aca="false">(SUMIFS(Fact_PreSortWeights!$E$2:$E$15,Fact_PreSortWeights!$C$2:$C$15,$A195,Fact_PreSortWeights!$B$2:$B$15,$B195,Fact_PreSortWeights!$F$2:$F$15,$C195))+(SUMIFS(Fact_SortedWeights!$E$2:$E$6,Fact_SortedWeights!$C$2:$C$6,$A195,Fact_SortedWeights!$B$2:$B$6,$B195,Fact_SortedWeights!$D$2:$D$6,$C195,Fact_SortedWeights!$L$2:$L$6,"Yes"))+IF((SUMIFS(Fact_SortedWeights!$E$2:$E$6,Fact_SortedWeights!$C$2:$C$6,$A195,Fact_SortedWeights!$B$2:$B$6,$B195,Fact_SortedWeights!$L$2:$L$6,"No"))=0,0,(SUMIFS(Fact_SortedWeights!$E$2:$E$6,Fact_SortedWeights!$C$2:$C$6,$A195,Fact_SortedWeights!$B$2:$B$6,$B195,Fact_SortedWeights!$D$2:$D$6,$C195,Fact_SortedWeights!$L$2:$L$6,"No"))/(SUMIFS(Fact_SortedWeights!$E$2:$E$6,Fact_SortedWeights!$C$2:$C$6,$A195,Fact_SortedWeights!$B$2:$B$6,$B195,Fact_SortedWeights!$L$2:$L$6,"No"))*((SUMIFS(Fact_PreSortWeights!$E$2:$E$15,Fact_PreSortWeights!$C$2:$C$15,$A195,Fact_PreSortWeights!$B$2:$B$15,$B195,Fact_PreSortWeights!$F$2:$F$15,""))-(SUMIFS(Fact_SortedWeights!$E$2:$E$6,Fact_SortedWeights!$C$2:$C$6,$A195,Fact_SortedWeights!$B$2:$B$6,$B195,Fact_SortedWeights!$L$2:$L$6,"Yes"))))</f>
        <v>0</v>
      </c>
      <c r="G195" s="0" t="n">
        <f aca="false">IF(AND(IF($B195="Trash",INDEX('Materials Master'!$F$2:$F$27,MATCH($C195,'Materials Master'!$A$2:$A$27,0)),IF($B195="GMPC Recycling",INDEX('Materials Master'!$G$2:$G$27,MATCH($C195,'Materials Master'!$A$2:$A$27,0)),IF($B195="Organics Recycling",INDEX('Materials Master'!$H$2:$H$27,MATCH($C195,'Materials Master'!$A$2:$A$27,0)),IF($B195="Cardboard Recycling",INDEX('Materials Master'!$I$2:$I$27,MATCH($C195,'Materials Master'!$A$2:$A$27,0)),IF($B195="Paper Recycling",INDEX('Materials Master'!$J$2:$J$27,MATCH($C195,'Materials Master'!$A$2:$A$27,0)),IF($B195="Terracycle",INDEX('Materials Master'!$K$2:$K$27,MATCH($C195,'Materials Master'!$A$2:$A$27,0)),"No"))))))="Yes",INDEX('Materials Master'!$E$2:$E$27,MATCH($C195,'Materials Master'!$A$2:$A$27,0))="Yes",$B195&lt;&gt;"Trash"),1,0)</f>
        <v>0</v>
      </c>
      <c r="H195" s="0" t="str">
        <f aca="false">INDEX('Materials Master'!$E$2:$E$27,MATCH($C195,'Materials Master'!$A$2:$A$27,0))</f>
        <v>No</v>
      </c>
      <c r="I195" s="0" t="str">
        <f aca="false">IFERROR(INDEX(Areas!$C$2:$C$6,MATCH($A195,Areas!$B$2:$B$6,0)),"")</f>
        <v>BOH</v>
      </c>
      <c r="J195" s="0" t="n">
        <f aca="false">IF(IF($B195="Trash",INDEX('Materials Master'!$F$2:$F$27,MATCH($C195,'Materials Master'!$A$2:$A$27,0)),IF($B195="GMPC Recycling",INDEX('Materials Master'!$G$2:$G$27,MATCH($C195,'Materials Master'!$A$2:$A$27,0)),IF($B195="Organics Recycling",INDEX('Materials Master'!$H$2:$H$27,MATCH($C195,'Materials Master'!$A$2:$A$27,0)),IF($B195="Cardboard Recycling",INDEX('Materials Master'!$I$2:$I$27,MATCH($C195,'Materials Master'!$A$2:$A$27,0)),IF($B195="Paper Recycling",INDEX('Materials Master'!$J$2:$J$27,MATCH($C195,'Materials Master'!$A$2:$A$27,0)),IF($B195="Terracycle",INDEX('Materials Master'!$K$2:$K$27,MATCH($C195,'Materials Master'!$A$2:$A$27,0)),"No"))))))="Yes",1,0)</f>
        <v>0</v>
      </c>
    </row>
    <row r="196" customFormat="false" ht="15" hidden="false" customHeight="false" outlineLevel="0" collapsed="false">
      <c r="A196" s="0" t="s">
        <v>94</v>
      </c>
      <c r="B196" s="0" t="s">
        <v>104</v>
      </c>
      <c r="C196" s="0" t="s">
        <v>55</v>
      </c>
      <c r="D196" s="0" t="str">
        <f aca="false">IFERROR(INDEX('Materials Master'!$B$2:$B$27,MATCH($C196,'Materials Master'!$A$2:$A$27,0)),"")</f>
        <v>Rigid Plastics (1-6)</v>
      </c>
      <c r="E196" s="0" t="str">
        <f aca="false">IFERROR(INDEX('Materials Master'!$C$2:$C$27,MATCH($C196,'Materials Master'!$A$2:$A$27,0)),"")</f>
        <v>Plastics</v>
      </c>
      <c r="F196" s="0" t="n">
        <f aca="false">(SUMIFS(Fact_PreSortWeights!$E$2:$E$15,Fact_PreSortWeights!$C$2:$C$15,$A196,Fact_PreSortWeights!$B$2:$B$15,$B196,Fact_PreSortWeights!$F$2:$F$15,$C196))+(SUMIFS(Fact_SortedWeights!$E$2:$E$6,Fact_SortedWeights!$C$2:$C$6,$A196,Fact_SortedWeights!$B$2:$B$6,$B196,Fact_SortedWeights!$D$2:$D$6,$C196,Fact_SortedWeights!$L$2:$L$6,"Yes"))+IF((SUMIFS(Fact_SortedWeights!$E$2:$E$6,Fact_SortedWeights!$C$2:$C$6,$A196,Fact_SortedWeights!$B$2:$B$6,$B196,Fact_SortedWeights!$L$2:$L$6,"No"))=0,0,(SUMIFS(Fact_SortedWeights!$E$2:$E$6,Fact_SortedWeights!$C$2:$C$6,$A196,Fact_SortedWeights!$B$2:$B$6,$B196,Fact_SortedWeights!$D$2:$D$6,$C196,Fact_SortedWeights!$L$2:$L$6,"No"))/(SUMIFS(Fact_SortedWeights!$E$2:$E$6,Fact_SortedWeights!$C$2:$C$6,$A196,Fact_SortedWeights!$B$2:$B$6,$B196,Fact_SortedWeights!$L$2:$L$6,"No"))*((SUMIFS(Fact_PreSortWeights!$E$2:$E$15,Fact_PreSortWeights!$C$2:$C$15,$A196,Fact_PreSortWeights!$B$2:$B$15,$B196,Fact_PreSortWeights!$F$2:$F$15,""))-(SUMIFS(Fact_SortedWeights!$E$2:$E$6,Fact_SortedWeights!$C$2:$C$6,$A196,Fact_SortedWeights!$B$2:$B$6,$B196,Fact_SortedWeights!$L$2:$L$6,"Yes"))))</f>
        <v>0</v>
      </c>
      <c r="G196" s="0" t="n">
        <f aca="false">IF(AND(IF($B196="Trash",INDEX('Materials Master'!$F$2:$F$27,MATCH($C196,'Materials Master'!$A$2:$A$27,0)),IF($B196="GMPC Recycling",INDEX('Materials Master'!$G$2:$G$27,MATCH($C196,'Materials Master'!$A$2:$A$27,0)),IF($B196="Organics Recycling",INDEX('Materials Master'!$H$2:$H$27,MATCH($C196,'Materials Master'!$A$2:$A$27,0)),IF($B196="Cardboard Recycling",INDEX('Materials Master'!$I$2:$I$27,MATCH($C196,'Materials Master'!$A$2:$A$27,0)),IF($B196="Paper Recycling",INDEX('Materials Master'!$J$2:$J$27,MATCH($C196,'Materials Master'!$A$2:$A$27,0)),IF($B196="Terracycle",INDEX('Materials Master'!$K$2:$K$27,MATCH($C196,'Materials Master'!$A$2:$A$27,0)),"No"))))))="Yes",INDEX('Materials Master'!$E$2:$E$27,MATCH($C196,'Materials Master'!$A$2:$A$27,0))="Yes",$B196&lt;&gt;"Trash"),1,0)</f>
        <v>1</v>
      </c>
      <c r="H196" s="0" t="str">
        <f aca="false">INDEX('Materials Master'!$E$2:$E$27,MATCH($C196,'Materials Master'!$A$2:$A$27,0))</f>
        <v>Yes</v>
      </c>
      <c r="I196" s="0" t="str">
        <f aca="false">IFERROR(INDEX(Areas!$C$2:$C$6,MATCH($A196,Areas!$B$2:$B$6,0)),"")</f>
        <v>BOH</v>
      </c>
      <c r="J196" s="0" t="n">
        <f aca="false">IF(IF($B196="Trash",INDEX('Materials Master'!$F$2:$F$27,MATCH($C196,'Materials Master'!$A$2:$A$27,0)),IF($B196="GMPC Recycling",INDEX('Materials Master'!$G$2:$G$27,MATCH($C196,'Materials Master'!$A$2:$A$27,0)),IF($B196="Organics Recycling",INDEX('Materials Master'!$H$2:$H$27,MATCH($C196,'Materials Master'!$A$2:$A$27,0)),IF($B196="Cardboard Recycling",INDEX('Materials Master'!$I$2:$I$27,MATCH($C196,'Materials Master'!$A$2:$A$27,0)),IF($B196="Paper Recycling",INDEX('Materials Master'!$J$2:$J$27,MATCH($C196,'Materials Master'!$A$2:$A$27,0)),IF($B196="Terracycle",INDEX('Materials Master'!$K$2:$K$27,MATCH($C196,'Materials Master'!$A$2:$A$27,0)),"No"))))))="Yes",1,0)</f>
        <v>1</v>
      </c>
    </row>
    <row r="197" customFormat="false" ht="15" hidden="false" customHeight="false" outlineLevel="0" collapsed="false">
      <c r="A197" s="0" t="s">
        <v>94</v>
      </c>
      <c r="B197" s="0" t="s">
        <v>104</v>
      </c>
      <c r="C197" s="0" t="s">
        <v>58</v>
      </c>
      <c r="D197" s="0" t="str">
        <f aca="false">IFERROR(INDEX('Materials Master'!$B$2:$B$27,MATCH($C197,'Materials Master'!$A$2:$A$27,0)),"")</f>
        <v>Soiled Rigid Plastics</v>
      </c>
      <c r="E197" s="0" t="str">
        <f aca="false">IFERROR(INDEX('Materials Master'!$C$2:$C$27,MATCH($C197,'Materials Master'!$A$2:$A$27,0)),"")</f>
        <v>Plastics</v>
      </c>
      <c r="F197" s="0" t="n">
        <f aca="false">(SUMIFS(Fact_PreSortWeights!$E$2:$E$15,Fact_PreSortWeights!$C$2:$C$15,$A197,Fact_PreSortWeights!$B$2:$B$15,$B197,Fact_PreSortWeights!$F$2:$F$15,$C197))+(SUMIFS(Fact_SortedWeights!$E$2:$E$6,Fact_SortedWeights!$C$2:$C$6,$A197,Fact_SortedWeights!$B$2:$B$6,$B197,Fact_SortedWeights!$D$2:$D$6,$C197,Fact_SortedWeights!$L$2:$L$6,"Yes"))+IF((SUMIFS(Fact_SortedWeights!$E$2:$E$6,Fact_SortedWeights!$C$2:$C$6,$A197,Fact_SortedWeights!$B$2:$B$6,$B197,Fact_SortedWeights!$L$2:$L$6,"No"))=0,0,(SUMIFS(Fact_SortedWeights!$E$2:$E$6,Fact_SortedWeights!$C$2:$C$6,$A197,Fact_SortedWeights!$B$2:$B$6,$B197,Fact_SortedWeights!$D$2:$D$6,$C197,Fact_SortedWeights!$L$2:$L$6,"No"))/(SUMIFS(Fact_SortedWeights!$E$2:$E$6,Fact_SortedWeights!$C$2:$C$6,$A197,Fact_SortedWeights!$B$2:$B$6,$B197,Fact_SortedWeights!$L$2:$L$6,"No"))*((SUMIFS(Fact_PreSortWeights!$E$2:$E$15,Fact_PreSortWeights!$C$2:$C$15,$A197,Fact_PreSortWeights!$B$2:$B$15,$B197,Fact_PreSortWeights!$F$2:$F$15,""))-(SUMIFS(Fact_SortedWeights!$E$2:$E$6,Fact_SortedWeights!$C$2:$C$6,$A197,Fact_SortedWeights!$B$2:$B$6,$B197,Fact_SortedWeights!$L$2:$L$6,"Yes"))))</f>
        <v>0</v>
      </c>
      <c r="G197" s="0" t="n">
        <f aca="false">IF(AND(IF($B197="Trash",INDEX('Materials Master'!$F$2:$F$27,MATCH($C197,'Materials Master'!$A$2:$A$27,0)),IF($B197="GMPC Recycling",INDEX('Materials Master'!$G$2:$G$27,MATCH($C197,'Materials Master'!$A$2:$A$27,0)),IF($B197="Organics Recycling",INDEX('Materials Master'!$H$2:$H$27,MATCH($C197,'Materials Master'!$A$2:$A$27,0)),IF($B197="Cardboard Recycling",INDEX('Materials Master'!$I$2:$I$27,MATCH($C197,'Materials Master'!$A$2:$A$27,0)),IF($B197="Paper Recycling",INDEX('Materials Master'!$J$2:$J$27,MATCH($C197,'Materials Master'!$A$2:$A$27,0)),IF($B197="Terracycle",INDEX('Materials Master'!$K$2:$K$27,MATCH($C197,'Materials Master'!$A$2:$A$27,0)),"No"))))))="Yes",INDEX('Materials Master'!$E$2:$E$27,MATCH($C197,'Materials Master'!$A$2:$A$27,0))="Yes",$B197&lt;&gt;"Trash"),1,0)</f>
        <v>0</v>
      </c>
      <c r="H197" s="0" t="str">
        <f aca="false">INDEX('Materials Master'!$E$2:$E$27,MATCH($C197,'Materials Master'!$A$2:$A$27,0))</f>
        <v>No</v>
      </c>
      <c r="I197" s="0" t="str">
        <f aca="false">IFERROR(INDEX(Areas!$C$2:$C$6,MATCH($A197,Areas!$B$2:$B$6,0)),"")</f>
        <v>BOH</v>
      </c>
      <c r="J197" s="0" t="n">
        <f aca="false">IF(IF($B197="Trash",INDEX('Materials Master'!$F$2:$F$27,MATCH($C197,'Materials Master'!$A$2:$A$27,0)),IF($B197="GMPC Recycling",INDEX('Materials Master'!$G$2:$G$27,MATCH($C197,'Materials Master'!$A$2:$A$27,0)),IF($B197="Organics Recycling",INDEX('Materials Master'!$H$2:$H$27,MATCH($C197,'Materials Master'!$A$2:$A$27,0)),IF($B197="Cardboard Recycling",INDEX('Materials Master'!$I$2:$I$27,MATCH($C197,'Materials Master'!$A$2:$A$27,0)),IF($B197="Paper Recycling",INDEX('Materials Master'!$J$2:$J$27,MATCH($C197,'Materials Master'!$A$2:$A$27,0)),IF($B197="Terracycle",INDEX('Materials Master'!$K$2:$K$27,MATCH($C197,'Materials Master'!$A$2:$A$27,0)),"No"))))))="Yes",1,0)</f>
        <v>0</v>
      </c>
    </row>
    <row r="198" customFormat="false" ht="15" hidden="false" customHeight="false" outlineLevel="0" collapsed="false">
      <c r="A198" s="0" t="s">
        <v>94</v>
      </c>
      <c r="B198" s="0" t="s">
        <v>104</v>
      </c>
      <c r="C198" s="0" t="s">
        <v>60</v>
      </c>
      <c r="D198" s="0" t="str">
        <f aca="false">IFERROR(INDEX('Materials Master'!$B$2:$B$27,MATCH($C198,'Materials Master'!$A$2:$A$27,0)),"")</f>
        <v>Film Plastics</v>
      </c>
      <c r="E198" s="0" t="str">
        <f aca="false">IFERROR(INDEX('Materials Master'!$C$2:$C$27,MATCH($C198,'Materials Master'!$A$2:$A$27,0)),"")</f>
        <v>Plastics</v>
      </c>
      <c r="F198" s="0" t="n">
        <f aca="false">(SUMIFS(Fact_PreSortWeights!$E$2:$E$15,Fact_PreSortWeights!$C$2:$C$15,$A198,Fact_PreSortWeights!$B$2:$B$15,$B198,Fact_PreSortWeights!$F$2:$F$15,$C198))+(SUMIFS(Fact_SortedWeights!$E$2:$E$6,Fact_SortedWeights!$C$2:$C$6,$A198,Fact_SortedWeights!$B$2:$B$6,$B198,Fact_SortedWeights!$D$2:$D$6,$C198,Fact_SortedWeights!$L$2:$L$6,"Yes"))+IF((SUMIFS(Fact_SortedWeights!$E$2:$E$6,Fact_SortedWeights!$C$2:$C$6,$A198,Fact_SortedWeights!$B$2:$B$6,$B198,Fact_SortedWeights!$L$2:$L$6,"No"))=0,0,(SUMIFS(Fact_SortedWeights!$E$2:$E$6,Fact_SortedWeights!$C$2:$C$6,$A198,Fact_SortedWeights!$B$2:$B$6,$B198,Fact_SortedWeights!$D$2:$D$6,$C198,Fact_SortedWeights!$L$2:$L$6,"No"))/(SUMIFS(Fact_SortedWeights!$E$2:$E$6,Fact_SortedWeights!$C$2:$C$6,$A198,Fact_SortedWeights!$B$2:$B$6,$B198,Fact_SortedWeights!$L$2:$L$6,"No"))*((SUMIFS(Fact_PreSortWeights!$E$2:$E$15,Fact_PreSortWeights!$C$2:$C$15,$A198,Fact_PreSortWeights!$B$2:$B$15,$B198,Fact_PreSortWeights!$F$2:$F$15,""))-(SUMIFS(Fact_SortedWeights!$E$2:$E$6,Fact_SortedWeights!$C$2:$C$6,$A198,Fact_SortedWeights!$B$2:$B$6,$B198,Fact_SortedWeights!$L$2:$L$6,"Yes"))))</f>
        <v>0</v>
      </c>
      <c r="G198" s="0" t="n">
        <f aca="false">IF(AND(IF($B198="Trash",INDEX('Materials Master'!$F$2:$F$27,MATCH($C198,'Materials Master'!$A$2:$A$27,0)),IF($B198="GMPC Recycling",INDEX('Materials Master'!$G$2:$G$27,MATCH($C198,'Materials Master'!$A$2:$A$27,0)),IF($B198="Organics Recycling",INDEX('Materials Master'!$H$2:$H$27,MATCH($C198,'Materials Master'!$A$2:$A$27,0)),IF($B198="Cardboard Recycling",INDEX('Materials Master'!$I$2:$I$27,MATCH($C198,'Materials Master'!$A$2:$A$27,0)),IF($B198="Paper Recycling",INDEX('Materials Master'!$J$2:$J$27,MATCH($C198,'Materials Master'!$A$2:$A$27,0)),IF($B198="Terracycle",INDEX('Materials Master'!$K$2:$K$27,MATCH($C198,'Materials Master'!$A$2:$A$27,0)),"No"))))))="Yes",INDEX('Materials Master'!$E$2:$E$27,MATCH($C198,'Materials Master'!$A$2:$A$27,0))="Yes",$B198&lt;&gt;"Trash"),1,0)</f>
        <v>0</v>
      </c>
      <c r="H198" s="0" t="str">
        <f aca="false">INDEX('Materials Master'!$E$2:$E$27,MATCH($C198,'Materials Master'!$A$2:$A$27,0))</f>
        <v>No</v>
      </c>
      <c r="I198" s="0" t="str">
        <f aca="false">IFERROR(INDEX(Areas!$C$2:$C$6,MATCH($A198,Areas!$B$2:$B$6,0)),"")</f>
        <v>BOH</v>
      </c>
      <c r="J198" s="0" t="n">
        <f aca="false">IF(IF($B198="Trash",INDEX('Materials Master'!$F$2:$F$27,MATCH($C198,'Materials Master'!$A$2:$A$27,0)),IF($B198="GMPC Recycling",INDEX('Materials Master'!$G$2:$G$27,MATCH($C198,'Materials Master'!$A$2:$A$27,0)),IF($B198="Organics Recycling",INDEX('Materials Master'!$H$2:$H$27,MATCH($C198,'Materials Master'!$A$2:$A$27,0)),IF($B198="Cardboard Recycling",INDEX('Materials Master'!$I$2:$I$27,MATCH($C198,'Materials Master'!$A$2:$A$27,0)),IF($B198="Paper Recycling",INDEX('Materials Master'!$J$2:$J$27,MATCH($C198,'Materials Master'!$A$2:$A$27,0)),IF($B198="Terracycle",INDEX('Materials Master'!$K$2:$K$27,MATCH($C198,'Materials Master'!$A$2:$A$27,0)),"No"))))))="Yes",1,0)</f>
        <v>0</v>
      </c>
    </row>
    <row r="199" customFormat="false" ht="15" hidden="false" customHeight="false" outlineLevel="0" collapsed="false">
      <c r="A199" s="0" t="s">
        <v>94</v>
      </c>
      <c r="B199" s="0" t="s">
        <v>104</v>
      </c>
      <c r="C199" s="0" t="s">
        <v>62</v>
      </c>
      <c r="D199" s="0" t="str">
        <f aca="false">IFERROR(INDEX('Materials Master'!$B$2:$B$27,MATCH($C199,'Materials Master'!$A$2:$A$27,0)),"")</f>
        <v>Foams</v>
      </c>
      <c r="E199" s="0" t="str">
        <f aca="false">IFERROR(INDEX('Materials Master'!$C$2:$C$27,MATCH($C199,'Materials Master'!$A$2:$A$27,0)),"")</f>
        <v>Plastics</v>
      </c>
      <c r="F199" s="0" t="n">
        <f aca="false">(SUMIFS(Fact_PreSortWeights!$E$2:$E$15,Fact_PreSortWeights!$C$2:$C$15,$A199,Fact_PreSortWeights!$B$2:$B$15,$B199,Fact_PreSortWeights!$F$2:$F$15,$C199))+(SUMIFS(Fact_SortedWeights!$E$2:$E$6,Fact_SortedWeights!$C$2:$C$6,$A199,Fact_SortedWeights!$B$2:$B$6,$B199,Fact_SortedWeights!$D$2:$D$6,$C199,Fact_SortedWeights!$L$2:$L$6,"Yes"))+IF((SUMIFS(Fact_SortedWeights!$E$2:$E$6,Fact_SortedWeights!$C$2:$C$6,$A199,Fact_SortedWeights!$B$2:$B$6,$B199,Fact_SortedWeights!$L$2:$L$6,"No"))=0,0,(SUMIFS(Fact_SortedWeights!$E$2:$E$6,Fact_SortedWeights!$C$2:$C$6,$A199,Fact_SortedWeights!$B$2:$B$6,$B199,Fact_SortedWeights!$D$2:$D$6,$C199,Fact_SortedWeights!$L$2:$L$6,"No"))/(SUMIFS(Fact_SortedWeights!$E$2:$E$6,Fact_SortedWeights!$C$2:$C$6,$A199,Fact_SortedWeights!$B$2:$B$6,$B199,Fact_SortedWeights!$L$2:$L$6,"No"))*((SUMIFS(Fact_PreSortWeights!$E$2:$E$15,Fact_PreSortWeights!$C$2:$C$15,$A199,Fact_PreSortWeights!$B$2:$B$15,$B199,Fact_PreSortWeights!$F$2:$F$15,""))-(SUMIFS(Fact_SortedWeights!$E$2:$E$6,Fact_SortedWeights!$C$2:$C$6,$A199,Fact_SortedWeights!$B$2:$B$6,$B199,Fact_SortedWeights!$L$2:$L$6,"Yes"))))</f>
        <v>0</v>
      </c>
      <c r="G199" s="0" t="n">
        <f aca="false">IF(AND(IF($B199="Trash",INDEX('Materials Master'!$F$2:$F$27,MATCH($C199,'Materials Master'!$A$2:$A$27,0)),IF($B199="GMPC Recycling",INDEX('Materials Master'!$G$2:$G$27,MATCH($C199,'Materials Master'!$A$2:$A$27,0)),IF($B199="Organics Recycling",INDEX('Materials Master'!$H$2:$H$27,MATCH($C199,'Materials Master'!$A$2:$A$27,0)),IF($B199="Cardboard Recycling",INDEX('Materials Master'!$I$2:$I$27,MATCH($C199,'Materials Master'!$A$2:$A$27,0)),IF($B199="Paper Recycling",INDEX('Materials Master'!$J$2:$J$27,MATCH($C199,'Materials Master'!$A$2:$A$27,0)),IF($B199="Terracycle",INDEX('Materials Master'!$K$2:$K$27,MATCH($C199,'Materials Master'!$A$2:$A$27,0)),"No"))))))="Yes",INDEX('Materials Master'!$E$2:$E$27,MATCH($C199,'Materials Master'!$A$2:$A$27,0))="Yes",$B199&lt;&gt;"Trash"),1,0)</f>
        <v>0</v>
      </c>
      <c r="H199" s="0" t="str">
        <f aca="false">INDEX('Materials Master'!$E$2:$E$27,MATCH($C199,'Materials Master'!$A$2:$A$27,0))</f>
        <v>No</v>
      </c>
      <c r="I199" s="0" t="str">
        <f aca="false">IFERROR(INDEX(Areas!$C$2:$C$6,MATCH($A199,Areas!$B$2:$B$6,0)),"")</f>
        <v>BOH</v>
      </c>
      <c r="J199" s="0" t="n">
        <f aca="false">IF(IF($B199="Trash",INDEX('Materials Master'!$F$2:$F$27,MATCH($C199,'Materials Master'!$A$2:$A$27,0)),IF($B199="GMPC Recycling",INDEX('Materials Master'!$G$2:$G$27,MATCH($C199,'Materials Master'!$A$2:$A$27,0)),IF($B199="Organics Recycling",INDEX('Materials Master'!$H$2:$H$27,MATCH($C199,'Materials Master'!$A$2:$A$27,0)),IF($B199="Cardboard Recycling",INDEX('Materials Master'!$I$2:$I$27,MATCH($C199,'Materials Master'!$A$2:$A$27,0)),IF($B199="Paper Recycling",INDEX('Materials Master'!$J$2:$J$27,MATCH($C199,'Materials Master'!$A$2:$A$27,0)),IF($B199="Terracycle",INDEX('Materials Master'!$K$2:$K$27,MATCH($C199,'Materials Master'!$A$2:$A$27,0)),"No"))))))="Yes",1,0)</f>
        <v>0</v>
      </c>
    </row>
    <row r="200" customFormat="false" ht="15" hidden="false" customHeight="false" outlineLevel="0" collapsed="false">
      <c r="A200" s="0" t="s">
        <v>94</v>
      </c>
      <c r="B200" s="0" t="s">
        <v>104</v>
      </c>
      <c r="C200" s="0" t="s">
        <v>64</v>
      </c>
      <c r="D200" s="0" t="str">
        <f aca="false">IFERROR(INDEX('Materials Master'!$B$2:$B$27,MATCH($C200,'Materials Master'!$A$2:$A$27,0)),"")</f>
        <v>Food Waste</v>
      </c>
      <c r="E200" s="0" t="str">
        <f aca="false">IFERROR(INDEX('Materials Master'!$C$2:$C$27,MATCH($C200,'Materials Master'!$A$2:$A$27,0)),"")</f>
        <v>Organics</v>
      </c>
      <c r="F200" s="0" t="n">
        <f aca="false">(SUMIFS(Fact_PreSortWeights!$E$2:$E$15,Fact_PreSortWeights!$C$2:$C$15,$A200,Fact_PreSortWeights!$B$2:$B$15,$B200,Fact_PreSortWeights!$F$2:$F$15,$C200))+(SUMIFS(Fact_SortedWeights!$E$2:$E$6,Fact_SortedWeights!$C$2:$C$6,$A200,Fact_SortedWeights!$B$2:$B$6,$B200,Fact_SortedWeights!$D$2:$D$6,$C200,Fact_SortedWeights!$L$2:$L$6,"Yes"))+IF((SUMIFS(Fact_SortedWeights!$E$2:$E$6,Fact_SortedWeights!$C$2:$C$6,$A200,Fact_SortedWeights!$B$2:$B$6,$B200,Fact_SortedWeights!$L$2:$L$6,"No"))=0,0,(SUMIFS(Fact_SortedWeights!$E$2:$E$6,Fact_SortedWeights!$C$2:$C$6,$A200,Fact_SortedWeights!$B$2:$B$6,$B200,Fact_SortedWeights!$D$2:$D$6,$C200,Fact_SortedWeights!$L$2:$L$6,"No"))/(SUMIFS(Fact_SortedWeights!$E$2:$E$6,Fact_SortedWeights!$C$2:$C$6,$A200,Fact_SortedWeights!$B$2:$B$6,$B200,Fact_SortedWeights!$L$2:$L$6,"No"))*((SUMIFS(Fact_PreSortWeights!$E$2:$E$15,Fact_PreSortWeights!$C$2:$C$15,$A200,Fact_PreSortWeights!$B$2:$B$15,$B200,Fact_PreSortWeights!$F$2:$F$15,""))-(SUMIFS(Fact_SortedWeights!$E$2:$E$6,Fact_SortedWeights!$C$2:$C$6,$A200,Fact_SortedWeights!$B$2:$B$6,$B200,Fact_SortedWeights!$L$2:$L$6,"Yes"))))</f>
        <v>0</v>
      </c>
      <c r="G200" s="0" t="n">
        <f aca="false">IF(AND(IF($B200="Trash",INDEX('Materials Master'!$F$2:$F$27,MATCH($C200,'Materials Master'!$A$2:$A$27,0)),IF($B200="GMPC Recycling",INDEX('Materials Master'!$G$2:$G$27,MATCH($C200,'Materials Master'!$A$2:$A$27,0)),IF($B200="Organics Recycling",INDEX('Materials Master'!$H$2:$H$27,MATCH($C200,'Materials Master'!$A$2:$A$27,0)),IF($B200="Cardboard Recycling",INDEX('Materials Master'!$I$2:$I$27,MATCH($C200,'Materials Master'!$A$2:$A$27,0)),IF($B200="Paper Recycling",INDEX('Materials Master'!$J$2:$J$27,MATCH($C200,'Materials Master'!$A$2:$A$27,0)),IF($B200="Terracycle",INDEX('Materials Master'!$K$2:$K$27,MATCH($C200,'Materials Master'!$A$2:$A$27,0)),"No"))))))="Yes",INDEX('Materials Master'!$E$2:$E$27,MATCH($C200,'Materials Master'!$A$2:$A$27,0))="Yes",$B200&lt;&gt;"Trash"),1,0)</f>
        <v>0</v>
      </c>
      <c r="H200" s="0" t="str">
        <f aca="false">INDEX('Materials Master'!$E$2:$E$27,MATCH($C200,'Materials Master'!$A$2:$A$27,0))</f>
        <v>Yes</v>
      </c>
      <c r="I200" s="0" t="str">
        <f aca="false">IFERROR(INDEX(Areas!$C$2:$C$6,MATCH($A200,Areas!$B$2:$B$6,0)),"")</f>
        <v>BOH</v>
      </c>
      <c r="J200" s="0" t="n">
        <f aca="false">IF(IF($B200="Trash",INDEX('Materials Master'!$F$2:$F$27,MATCH($C200,'Materials Master'!$A$2:$A$27,0)),IF($B200="GMPC Recycling",INDEX('Materials Master'!$G$2:$G$27,MATCH($C200,'Materials Master'!$A$2:$A$27,0)),IF($B200="Organics Recycling",INDEX('Materials Master'!$H$2:$H$27,MATCH($C200,'Materials Master'!$A$2:$A$27,0)),IF($B200="Cardboard Recycling",INDEX('Materials Master'!$I$2:$I$27,MATCH($C200,'Materials Master'!$A$2:$A$27,0)),IF($B200="Paper Recycling",INDEX('Materials Master'!$J$2:$J$27,MATCH($C200,'Materials Master'!$A$2:$A$27,0)),IF($B200="Terracycle",INDEX('Materials Master'!$K$2:$K$27,MATCH($C200,'Materials Master'!$A$2:$A$27,0)),"No"))))))="Yes",1,0)</f>
        <v>0</v>
      </c>
    </row>
    <row r="201" customFormat="false" ht="15" hidden="false" customHeight="false" outlineLevel="0" collapsed="false">
      <c r="A201" s="0" t="s">
        <v>94</v>
      </c>
      <c r="B201" s="0" t="s">
        <v>104</v>
      </c>
      <c r="C201" s="0" t="s">
        <v>67</v>
      </c>
      <c r="D201" s="0" t="str">
        <f aca="false">IFERROR(INDEX('Materials Master'!$B$2:$B$27,MATCH($C201,'Materials Master'!$A$2:$A$27,0)),"")</f>
        <v>Paper Fibers and Food-Soiled Paper (FSP)</v>
      </c>
      <c r="E201" s="0" t="str">
        <f aca="false">IFERROR(INDEX('Materials Master'!$C$2:$C$27,MATCH($C201,'Materials Master'!$A$2:$A$27,0)),"")</f>
        <v>Organics</v>
      </c>
      <c r="F201" s="0" t="n">
        <f aca="false">(SUMIFS(Fact_PreSortWeights!$E$2:$E$15,Fact_PreSortWeights!$C$2:$C$15,$A201,Fact_PreSortWeights!$B$2:$B$15,$B201,Fact_PreSortWeights!$F$2:$F$15,$C201))+(SUMIFS(Fact_SortedWeights!$E$2:$E$6,Fact_SortedWeights!$C$2:$C$6,$A201,Fact_SortedWeights!$B$2:$B$6,$B201,Fact_SortedWeights!$D$2:$D$6,$C201,Fact_SortedWeights!$L$2:$L$6,"Yes"))+IF((SUMIFS(Fact_SortedWeights!$E$2:$E$6,Fact_SortedWeights!$C$2:$C$6,$A201,Fact_SortedWeights!$B$2:$B$6,$B201,Fact_SortedWeights!$L$2:$L$6,"No"))=0,0,(SUMIFS(Fact_SortedWeights!$E$2:$E$6,Fact_SortedWeights!$C$2:$C$6,$A201,Fact_SortedWeights!$B$2:$B$6,$B201,Fact_SortedWeights!$D$2:$D$6,$C201,Fact_SortedWeights!$L$2:$L$6,"No"))/(SUMIFS(Fact_SortedWeights!$E$2:$E$6,Fact_SortedWeights!$C$2:$C$6,$A201,Fact_SortedWeights!$B$2:$B$6,$B201,Fact_SortedWeights!$L$2:$L$6,"No"))*((SUMIFS(Fact_PreSortWeights!$E$2:$E$15,Fact_PreSortWeights!$C$2:$C$15,$A201,Fact_PreSortWeights!$B$2:$B$15,$B201,Fact_PreSortWeights!$F$2:$F$15,""))-(SUMIFS(Fact_SortedWeights!$E$2:$E$6,Fact_SortedWeights!$C$2:$C$6,$A201,Fact_SortedWeights!$B$2:$B$6,$B201,Fact_SortedWeights!$L$2:$L$6,"Yes"))))</f>
        <v>0</v>
      </c>
      <c r="G201" s="0" t="n">
        <f aca="false">IF(AND(IF($B201="Trash",INDEX('Materials Master'!$F$2:$F$27,MATCH($C201,'Materials Master'!$A$2:$A$27,0)),IF($B201="GMPC Recycling",INDEX('Materials Master'!$G$2:$G$27,MATCH($C201,'Materials Master'!$A$2:$A$27,0)),IF($B201="Organics Recycling",INDEX('Materials Master'!$H$2:$H$27,MATCH($C201,'Materials Master'!$A$2:$A$27,0)),IF($B201="Cardboard Recycling",INDEX('Materials Master'!$I$2:$I$27,MATCH($C201,'Materials Master'!$A$2:$A$27,0)),IF($B201="Paper Recycling",INDEX('Materials Master'!$J$2:$J$27,MATCH($C201,'Materials Master'!$A$2:$A$27,0)),IF($B201="Terracycle",INDEX('Materials Master'!$K$2:$K$27,MATCH($C201,'Materials Master'!$A$2:$A$27,0)),"No"))))))="Yes",INDEX('Materials Master'!$E$2:$E$27,MATCH($C201,'Materials Master'!$A$2:$A$27,0))="Yes",$B201&lt;&gt;"Trash"),1,0)</f>
        <v>0</v>
      </c>
      <c r="H201" s="0" t="str">
        <f aca="false">INDEX('Materials Master'!$E$2:$E$27,MATCH($C201,'Materials Master'!$A$2:$A$27,0))</f>
        <v>No</v>
      </c>
      <c r="I201" s="0" t="str">
        <f aca="false">IFERROR(INDEX(Areas!$C$2:$C$6,MATCH($A201,Areas!$B$2:$B$6,0)),"")</f>
        <v>BOH</v>
      </c>
      <c r="J201" s="0" t="n">
        <f aca="false">IF(IF($B201="Trash",INDEX('Materials Master'!$F$2:$F$27,MATCH($C201,'Materials Master'!$A$2:$A$27,0)),IF($B201="GMPC Recycling",INDEX('Materials Master'!$G$2:$G$27,MATCH($C201,'Materials Master'!$A$2:$A$27,0)),IF($B201="Organics Recycling",INDEX('Materials Master'!$H$2:$H$27,MATCH($C201,'Materials Master'!$A$2:$A$27,0)),IF($B201="Cardboard Recycling",INDEX('Materials Master'!$I$2:$I$27,MATCH($C201,'Materials Master'!$A$2:$A$27,0)),IF($B201="Paper Recycling",INDEX('Materials Master'!$J$2:$J$27,MATCH($C201,'Materials Master'!$A$2:$A$27,0)),IF($B201="Terracycle",INDEX('Materials Master'!$K$2:$K$27,MATCH($C201,'Materials Master'!$A$2:$A$27,0)),"No"))))))="Yes",1,0)</f>
        <v>0</v>
      </c>
    </row>
    <row r="202" customFormat="false" ht="15" hidden="false" customHeight="false" outlineLevel="0" collapsed="false">
      <c r="A202" s="0" t="s">
        <v>94</v>
      </c>
      <c r="B202" s="0" t="s">
        <v>104</v>
      </c>
      <c r="C202" s="0" t="s">
        <v>69</v>
      </c>
      <c r="D202" s="0" t="str">
        <f aca="false">IFERROR(INDEX('Materials Master'!$B$2:$B$27,MATCH($C202,'Materials Master'!$A$2:$A$27,0)),"")</f>
        <v>Fiber-based Compostable Serviceware</v>
      </c>
      <c r="E202" s="0" t="str">
        <f aca="false">IFERROR(INDEX('Materials Master'!$C$2:$C$27,MATCH($C202,'Materials Master'!$A$2:$A$27,0)),"")</f>
        <v>Organics</v>
      </c>
      <c r="F202" s="0" t="n">
        <f aca="false">(SUMIFS(Fact_PreSortWeights!$E$2:$E$15,Fact_PreSortWeights!$C$2:$C$15,$A202,Fact_PreSortWeights!$B$2:$B$15,$B202,Fact_PreSortWeights!$F$2:$F$15,$C202))+(SUMIFS(Fact_SortedWeights!$E$2:$E$6,Fact_SortedWeights!$C$2:$C$6,$A202,Fact_SortedWeights!$B$2:$B$6,$B202,Fact_SortedWeights!$D$2:$D$6,$C202,Fact_SortedWeights!$L$2:$L$6,"Yes"))+IF((SUMIFS(Fact_SortedWeights!$E$2:$E$6,Fact_SortedWeights!$C$2:$C$6,$A202,Fact_SortedWeights!$B$2:$B$6,$B202,Fact_SortedWeights!$L$2:$L$6,"No"))=0,0,(SUMIFS(Fact_SortedWeights!$E$2:$E$6,Fact_SortedWeights!$C$2:$C$6,$A202,Fact_SortedWeights!$B$2:$B$6,$B202,Fact_SortedWeights!$D$2:$D$6,$C202,Fact_SortedWeights!$L$2:$L$6,"No"))/(SUMIFS(Fact_SortedWeights!$E$2:$E$6,Fact_SortedWeights!$C$2:$C$6,$A202,Fact_SortedWeights!$B$2:$B$6,$B202,Fact_SortedWeights!$L$2:$L$6,"No"))*((SUMIFS(Fact_PreSortWeights!$E$2:$E$15,Fact_PreSortWeights!$C$2:$C$15,$A202,Fact_PreSortWeights!$B$2:$B$15,$B202,Fact_PreSortWeights!$F$2:$F$15,""))-(SUMIFS(Fact_SortedWeights!$E$2:$E$6,Fact_SortedWeights!$C$2:$C$6,$A202,Fact_SortedWeights!$B$2:$B$6,$B202,Fact_SortedWeights!$L$2:$L$6,"Yes"))))</f>
        <v>0</v>
      </c>
      <c r="G202" s="0" t="n">
        <f aca="false">IF(AND(IF($B202="Trash",INDEX('Materials Master'!$F$2:$F$27,MATCH($C202,'Materials Master'!$A$2:$A$27,0)),IF($B202="GMPC Recycling",INDEX('Materials Master'!$G$2:$G$27,MATCH($C202,'Materials Master'!$A$2:$A$27,0)),IF($B202="Organics Recycling",INDEX('Materials Master'!$H$2:$H$27,MATCH($C202,'Materials Master'!$A$2:$A$27,0)),IF($B202="Cardboard Recycling",INDEX('Materials Master'!$I$2:$I$27,MATCH($C202,'Materials Master'!$A$2:$A$27,0)),IF($B202="Paper Recycling",INDEX('Materials Master'!$J$2:$J$27,MATCH($C202,'Materials Master'!$A$2:$A$27,0)),IF($B202="Terracycle",INDEX('Materials Master'!$K$2:$K$27,MATCH($C202,'Materials Master'!$A$2:$A$27,0)),"No"))))))="Yes",INDEX('Materials Master'!$E$2:$E$27,MATCH($C202,'Materials Master'!$A$2:$A$27,0))="Yes",$B202&lt;&gt;"Trash"),1,0)</f>
        <v>0</v>
      </c>
      <c r="H202" s="0" t="str">
        <f aca="false">INDEX('Materials Master'!$E$2:$E$27,MATCH($C202,'Materials Master'!$A$2:$A$27,0))</f>
        <v>No</v>
      </c>
      <c r="I202" s="0" t="str">
        <f aca="false">IFERROR(INDEX(Areas!$C$2:$C$6,MATCH($A202,Areas!$B$2:$B$6,0)),"")</f>
        <v>BOH</v>
      </c>
      <c r="J202" s="0" t="n">
        <f aca="false">IF(IF($B202="Trash",INDEX('Materials Master'!$F$2:$F$27,MATCH($C202,'Materials Master'!$A$2:$A$27,0)),IF($B202="GMPC Recycling",INDEX('Materials Master'!$G$2:$G$27,MATCH($C202,'Materials Master'!$A$2:$A$27,0)),IF($B202="Organics Recycling",INDEX('Materials Master'!$H$2:$H$27,MATCH($C202,'Materials Master'!$A$2:$A$27,0)),IF($B202="Cardboard Recycling",INDEX('Materials Master'!$I$2:$I$27,MATCH($C202,'Materials Master'!$A$2:$A$27,0)),IF($B202="Paper Recycling",INDEX('Materials Master'!$J$2:$J$27,MATCH($C202,'Materials Master'!$A$2:$A$27,0)),IF($B202="Terracycle",INDEX('Materials Master'!$K$2:$K$27,MATCH($C202,'Materials Master'!$A$2:$A$27,0)),"No"))))))="Yes",1,0)</f>
        <v>0</v>
      </c>
    </row>
    <row r="203" customFormat="false" ht="15" hidden="false" customHeight="false" outlineLevel="0" collapsed="false">
      <c r="A203" s="0" t="s">
        <v>94</v>
      </c>
      <c r="B203" s="0" t="s">
        <v>104</v>
      </c>
      <c r="C203" s="0" t="s">
        <v>71</v>
      </c>
      <c r="D203" s="0" t="str">
        <f aca="false">IFERROR(INDEX('Materials Master'!$B$2:$B$27,MATCH($C203,'Materials Master'!$A$2:$A$27,0)),"")</f>
        <v>PLA Compostable Serviceware</v>
      </c>
      <c r="E203" s="0" t="str">
        <f aca="false">IFERROR(INDEX('Materials Master'!$C$2:$C$27,MATCH($C203,'Materials Master'!$A$2:$A$27,0)),"")</f>
        <v>Organics</v>
      </c>
      <c r="F203" s="0" t="n">
        <f aca="false">(SUMIFS(Fact_PreSortWeights!$E$2:$E$15,Fact_PreSortWeights!$C$2:$C$15,$A203,Fact_PreSortWeights!$B$2:$B$15,$B203,Fact_PreSortWeights!$F$2:$F$15,$C203))+(SUMIFS(Fact_SortedWeights!$E$2:$E$6,Fact_SortedWeights!$C$2:$C$6,$A203,Fact_SortedWeights!$B$2:$B$6,$B203,Fact_SortedWeights!$D$2:$D$6,$C203,Fact_SortedWeights!$L$2:$L$6,"Yes"))+IF((SUMIFS(Fact_SortedWeights!$E$2:$E$6,Fact_SortedWeights!$C$2:$C$6,$A203,Fact_SortedWeights!$B$2:$B$6,$B203,Fact_SortedWeights!$L$2:$L$6,"No"))=0,0,(SUMIFS(Fact_SortedWeights!$E$2:$E$6,Fact_SortedWeights!$C$2:$C$6,$A203,Fact_SortedWeights!$B$2:$B$6,$B203,Fact_SortedWeights!$D$2:$D$6,$C203,Fact_SortedWeights!$L$2:$L$6,"No"))/(SUMIFS(Fact_SortedWeights!$E$2:$E$6,Fact_SortedWeights!$C$2:$C$6,$A203,Fact_SortedWeights!$B$2:$B$6,$B203,Fact_SortedWeights!$L$2:$L$6,"No"))*((SUMIFS(Fact_PreSortWeights!$E$2:$E$15,Fact_PreSortWeights!$C$2:$C$15,$A203,Fact_PreSortWeights!$B$2:$B$15,$B203,Fact_PreSortWeights!$F$2:$F$15,""))-(SUMIFS(Fact_SortedWeights!$E$2:$E$6,Fact_SortedWeights!$C$2:$C$6,$A203,Fact_SortedWeights!$B$2:$B$6,$B203,Fact_SortedWeights!$L$2:$L$6,"Yes"))))</f>
        <v>0</v>
      </c>
      <c r="G203" s="0" t="n">
        <f aca="false">IF(AND(IF($B203="Trash",INDEX('Materials Master'!$F$2:$F$27,MATCH($C203,'Materials Master'!$A$2:$A$27,0)),IF($B203="GMPC Recycling",INDEX('Materials Master'!$G$2:$G$27,MATCH($C203,'Materials Master'!$A$2:$A$27,0)),IF($B203="Organics Recycling",INDEX('Materials Master'!$H$2:$H$27,MATCH($C203,'Materials Master'!$A$2:$A$27,0)),IF($B203="Cardboard Recycling",INDEX('Materials Master'!$I$2:$I$27,MATCH($C203,'Materials Master'!$A$2:$A$27,0)),IF($B203="Paper Recycling",INDEX('Materials Master'!$J$2:$J$27,MATCH($C203,'Materials Master'!$A$2:$A$27,0)),IF($B203="Terracycle",INDEX('Materials Master'!$K$2:$K$27,MATCH($C203,'Materials Master'!$A$2:$A$27,0)),"No"))))))="Yes",INDEX('Materials Master'!$E$2:$E$27,MATCH($C203,'Materials Master'!$A$2:$A$27,0))="Yes",$B203&lt;&gt;"Trash"),1,0)</f>
        <v>0</v>
      </c>
      <c r="H203" s="0" t="str">
        <f aca="false">INDEX('Materials Master'!$E$2:$E$27,MATCH($C203,'Materials Master'!$A$2:$A$27,0))</f>
        <v>No</v>
      </c>
      <c r="I203" s="0" t="str">
        <f aca="false">IFERROR(INDEX(Areas!$C$2:$C$6,MATCH($A203,Areas!$B$2:$B$6,0)),"")</f>
        <v>BOH</v>
      </c>
      <c r="J203" s="0" t="n">
        <f aca="false">IF(IF($B203="Trash",INDEX('Materials Master'!$F$2:$F$27,MATCH($C203,'Materials Master'!$A$2:$A$27,0)),IF($B203="GMPC Recycling",INDEX('Materials Master'!$G$2:$G$27,MATCH($C203,'Materials Master'!$A$2:$A$27,0)),IF($B203="Organics Recycling",INDEX('Materials Master'!$H$2:$H$27,MATCH($C203,'Materials Master'!$A$2:$A$27,0)),IF($B203="Cardboard Recycling",INDEX('Materials Master'!$I$2:$I$27,MATCH($C203,'Materials Master'!$A$2:$A$27,0)),IF($B203="Paper Recycling",INDEX('Materials Master'!$J$2:$J$27,MATCH($C203,'Materials Master'!$A$2:$A$27,0)),IF($B203="Terracycle",INDEX('Materials Master'!$K$2:$K$27,MATCH($C203,'Materials Master'!$A$2:$A$27,0)),"No"))))))="Yes",1,0)</f>
        <v>0</v>
      </c>
    </row>
    <row r="204" customFormat="false" ht="15" hidden="false" customHeight="false" outlineLevel="0" collapsed="false">
      <c r="A204" s="0" t="s">
        <v>94</v>
      </c>
      <c r="B204" s="0" t="s">
        <v>104</v>
      </c>
      <c r="C204" s="0" t="s">
        <v>73</v>
      </c>
      <c r="D204" s="0" t="str">
        <f aca="false">IFERROR(INDEX('Materials Master'!$B$2:$B$27,MATCH($C204,'Materials Master'!$A$2:$A$27,0)),"")</f>
        <v>E/U Waste</v>
      </c>
      <c r="E204" s="0" t="str">
        <f aca="false">IFERROR(INDEX('Materials Master'!$C$2:$C$27,MATCH($C204,'Materials Master'!$A$2:$A$27,0)),"")</f>
        <v>Unacceptable</v>
      </c>
      <c r="F204" s="0" t="n">
        <f aca="false">(SUMIFS(Fact_PreSortWeights!$E$2:$E$15,Fact_PreSortWeights!$C$2:$C$15,$A204,Fact_PreSortWeights!$B$2:$B$15,$B204,Fact_PreSortWeights!$F$2:$F$15,$C204))+(SUMIFS(Fact_SortedWeights!$E$2:$E$6,Fact_SortedWeights!$C$2:$C$6,$A204,Fact_SortedWeights!$B$2:$B$6,$B204,Fact_SortedWeights!$D$2:$D$6,$C204,Fact_SortedWeights!$L$2:$L$6,"Yes"))+IF((SUMIFS(Fact_SortedWeights!$E$2:$E$6,Fact_SortedWeights!$C$2:$C$6,$A204,Fact_SortedWeights!$B$2:$B$6,$B204,Fact_SortedWeights!$L$2:$L$6,"No"))=0,0,(SUMIFS(Fact_SortedWeights!$E$2:$E$6,Fact_SortedWeights!$C$2:$C$6,$A204,Fact_SortedWeights!$B$2:$B$6,$B204,Fact_SortedWeights!$D$2:$D$6,$C204,Fact_SortedWeights!$L$2:$L$6,"No"))/(SUMIFS(Fact_SortedWeights!$E$2:$E$6,Fact_SortedWeights!$C$2:$C$6,$A204,Fact_SortedWeights!$B$2:$B$6,$B204,Fact_SortedWeights!$L$2:$L$6,"No"))*((SUMIFS(Fact_PreSortWeights!$E$2:$E$15,Fact_PreSortWeights!$C$2:$C$15,$A204,Fact_PreSortWeights!$B$2:$B$15,$B204,Fact_PreSortWeights!$F$2:$F$15,""))-(SUMIFS(Fact_SortedWeights!$E$2:$E$6,Fact_SortedWeights!$C$2:$C$6,$A204,Fact_SortedWeights!$B$2:$B$6,$B204,Fact_SortedWeights!$L$2:$L$6,"Yes"))))</f>
        <v>0</v>
      </c>
      <c r="G204" s="0" t="n">
        <f aca="false">IF(AND(IF($B204="Trash",INDEX('Materials Master'!$F$2:$F$27,MATCH($C204,'Materials Master'!$A$2:$A$27,0)),IF($B204="GMPC Recycling",INDEX('Materials Master'!$G$2:$G$27,MATCH($C204,'Materials Master'!$A$2:$A$27,0)),IF($B204="Organics Recycling",INDEX('Materials Master'!$H$2:$H$27,MATCH($C204,'Materials Master'!$A$2:$A$27,0)),IF($B204="Cardboard Recycling",INDEX('Materials Master'!$I$2:$I$27,MATCH($C204,'Materials Master'!$A$2:$A$27,0)),IF($B204="Paper Recycling",INDEX('Materials Master'!$J$2:$J$27,MATCH($C204,'Materials Master'!$A$2:$A$27,0)),IF($B204="Terracycle",INDEX('Materials Master'!$K$2:$K$27,MATCH($C204,'Materials Master'!$A$2:$A$27,0)),"No"))))))="Yes",INDEX('Materials Master'!$E$2:$E$27,MATCH($C204,'Materials Master'!$A$2:$A$27,0))="Yes",$B204&lt;&gt;"Trash"),1,0)</f>
        <v>0</v>
      </c>
      <c r="H204" s="0" t="str">
        <f aca="false">INDEX('Materials Master'!$E$2:$E$27,MATCH($C204,'Materials Master'!$A$2:$A$27,0))</f>
        <v>No</v>
      </c>
      <c r="I204" s="0" t="str">
        <f aca="false">IFERROR(INDEX(Areas!$C$2:$C$6,MATCH($A204,Areas!$B$2:$B$6,0)),"")</f>
        <v>BOH</v>
      </c>
      <c r="J204" s="0" t="n">
        <f aca="false">IF(IF($B204="Trash",INDEX('Materials Master'!$F$2:$F$27,MATCH($C204,'Materials Master'!$A$2:$A$27,0)),IF($B204="GMPC Recycling",INDEX('Materials Master'!$G$2:$G$27,MATCH($C204,'Materials Master'!$A$2:$A$27,0)),IF($B204="Organics Recycling",INDEX('Materials Master'!$H$2:$H$27,MATCH($C204,'Materials Master'!$A$2:$A$27,0)),IF($B204="Cardboard Recycling",INDEX('Materials Master'!$I$2:$I$27,MATCH($C204,'Materials Master'!$A$2:$A$27,0)),IF($B204="Paper Recycling",INDEX('Materials Master'!$J$2:$J$27,MATCH($C204,'Materials Master'!$A$2:$A$27,0)),IF($B204="Terracycle",INDEX('Materials Master'!$K$2:$K$27,MATCH($C204,'Materials Master'!$A$2:$A$27,0)),"No"))))))="Yes",1,0)</f>
        <v>0</v>
      </c>
    </row>
    <row r="205" customFormat="false" ht="15" hidden="false" customHeight="false" outlineLevel="0" collapsed="false">
      <c r="A205" s="0" t="s">
        <v>94</v>
      </c>
      <c r="B205" s="0" t="s">
        <v>104</v>
      </c>
      <c r="C205" s="0" t="s">
        <v>76</v>
      </c>
      <c r="D205" s="0" t="str">
        <f aca="false">IFERROR(INDEX('Materials Master'!$B$2:$B$27,MATCH($C205,'Materials Master'!$A$2:$A$27,0)),"")</f>
        <v>Textiles</v>
      </c>
      <c r="E205" s="0" t="str">
        <f aca="false">IFERROR(INDEX('Materials Master'!$C$2:$C$27,MATCH($C205,'Materials Master'!$A$2:$A$27,0)),"")</f>
        <v>Unacceptable</v>
      </c>
      <c r="F205" s="0" t="n">
        <f aca="false">(SUMIFS(Fact_PreSortWeights!$E$2:$E$15,Fact_PreSortWeights!$C$2:$C$15,$A205,Fact_PreSortWeights!$B$2:$B$15,$B205,Fact_PreSortWeights!$F$2:$F$15,$C205))+(SUMIFS(Fact_SortedWeights!$E$2:$E$6,Fact_SortedWeights!$C$2:$C$6,$A205,Fact_SortedWeights!$B$2:$B$6,$B205,Fact_SortedWeights!$D$2:$D$6,$C205,Fact_SortedWeights!$L$2:$L$6,"Yes"))+IF((SUMIFS(Fact_SortedWeights!$E$2:$E$6,Fact_SortedWeights!$C$2:$C$6,$A205,Fact_SortedWeights!$B$2:$B$6,$B205,Fact_SortedWeights!$L$2:$L$6,"No"))=0,0,(SUMIFS(Fact_SortedWeights!$E$2:$E$6,Fact_SortedWeights!$C$2:$C$6,$A205,Fact_SortedWeights!$B$2:$B$6,$B205,Fact_SortedWeights!$D$2:$D$6,$C205,Fact_SortedWeights!$L$2:$L$6,"No"))/(SUMIFS(Fact_SortedWeights!$E$2:$E$6,Fact_SortedWeights!$C$2:$C$6,$A205,Fact_SortedWeights!$B$2:$B$6,$B205,Fact_SortedWeights!$L$2:$L$6,"No"))*((SUMIFS(Fact_PreSortWeights!$E$2:$E$15,Fact_PreSortWeights!$C$2:$C$15,$A205,Fact_PreSortWeights!$B$2:$B$15,$B205,Fact_PreSortWeights!$F$2:$F$15,""))-(SUMIFS(Fact_SortedWeights!$E$2:$E$6,Fact_SortedWeights!$C$2:$C$6,$A205,Fact_SortedWeights!$B$2:$B$6,$B205,Fact_SortedWeights!$L$2:$L$6,"Yes"))))</f>
        <v>0</v>
      </c>
      <c r="G205" s="0" t="n">
        <f aca="false">IF(AND(IF($B205="Trash",INDEX('Materials Master'!$F$2:$F$27,MATCH($C205,'Materials Master'!$A$2:$A$27,0)),IF($B205="GMPC Recycling",INDEX('Materials Master'!$G$2:$G$27,MATCH($C205,'Materials Master'!$A$2:$A$27,0)),IF($B205="Organics Recycling",INDEX('Materials Master'!$H$2:$H$27,MATCH($C205,'Materials Master'!$A$2:$A$27,0)),IF($B205="Cardboard Recycling",INDEX('Materials Master'!$I$2:$I$27,MATCH($C205,'Materials Master'!$A$2:$A$27,0)),IF($B205="Paper Recycling",INDEX('Materials Master'!$J$2:$J$27,MATCH($C205,'Materials Master'!$A$2:$A$27,0)),IF($B205="Terracycle",INDEX('Materials Master'!$K$2:$K$27,MATCH($C205,'Materials Master'!$A$2:$A$27,0)),"No"))))))="Yes",INDEX('Materials Master'!$E$2:$E$27,MATCH($C205,'Materials Master'!$A$2:$A$27,0))="Yes",$B205&lt;&gt;"Trash"),1,0)</f>
        <v>0</v>
      </c>
      <c r="H205" s="0" t="str">
        <f aca="false">INDEX('Materials Master'!$E$2:$E$27,MATCH($C205,'Materials Master'!$A$2:$A$27,0))</f>
        <v>No</v>
      </c>
      <c r="I205" s="0" t="str">
        <f aca="false">IFERROR(INDEX(Areas!$C$2:$C$6,MATCH($A205,Areas!$B$2:$B$6,0)),"")</f>
        <v>BOH</v>
      </c>
      <c r="J205" s="0" t="n">
        <f aca="false">IF(IF($B205="Trash",INDEX('Materials Master'!$F$2:$F$27,MATCH($C205,'Materials Master'!$A$2:$A$27,0)),IF($B205="GMPC Recycling",INDEX('Materials Master'!$G$2:$G$27,MATCH($C205,'Materials Master'!$A$2:$A$27,0)),IF($B205="Organics Recycling",INDEX('Materials Master'!$H$2:$H$27,MATCH($C205,'Materials Master'!$A$2:$A$27,0)),IF($B205="Cardboard Recycling",INDEX('Materials Master'!$I$2:$I$27,MATCH($C205,'Materials Master'!$A$2:$A$27,0)),IF($B205="Paper Recycling",INDEX('Materials Master'!$J$2:$J$27,MATCH($C205,'Materials Master'!$A$2:$A$27,0)),IF($B205="Terracycle",INDEX('Materials Master'!$K$2:$K$27,MATCH($C205,'Materials Master'!$A$2:$A$27,0)),"No"))))))="Yes",1,0)</f>
        <v>0</v>
      </c>
    </row>
    <row r="206" customFormat="false" ht="15" hidden="false" customHeight="false" outlineLevel="0" collapsed="false">
      <c r="A206" s="0" t="s">
        <v>94</v>
      </c>
      <c r="B206" s="0" t="s">
        <v>104</v>
      </c>
      <c r="C206" s="0" t="s">
        <v>78</v>
      </c>
      <c r="D206" s="0" t="str">
        <f aca="false">IFERROR(INDEX('Materials Master'!$B$2:$B$27,MATCH($C206,'Materials Master'!$A$2:$A$27,0)),"")</f>
        <v>Other Unacceptable (specify)</v>
      </c>
      <c r="E206" s="0" t="str">
        <f aca="false">IFERROR(INDEX('Materials Master'!$C$2:$C$27,MATCH($C206,'Materials Master'!$A$2:$A$27,0)),"")</f>
        <v>Unacceptable</v>
      </c>
      <c r="F206" s="0" t="n">
        <f aca="false">(SUMIFS(Fact_PreSortWeights!$E$2:$E$15,Fact_PreSortWeights!$C$2:$C$15,$A206,Fact_PreSortWeights!$B$2:$B$15,$B206,Fact_PreSortWeights!$F$2:$F$15,$C206))+(SUMIFS(Fact_SortedWeights!$E$2:$E$6,Fact_SortedWeights!$C$2:$C$6,$A206,Fact_SortedWeights!$B$2:$B$6,$B206,Fact_SortedWeights!$D$2:$D$6,$C206,Fact_SortedWeights!$L$2:$L$6,"Yes"))+IF((SUMIFS(Fact_SortedWeights!$E$2:$E$6,Fact_SortedWeights!$C$2:$C$6,$A206,Fact_SortedWeights!$B$2:$B$6,$B206,Fact_SortedWeights!$L$2:$L$6,"No"))=0,0,(SUMIFS(Fact_SortedWeights!$E$2:$E$6,Fact_SortedWeights!$C$2:$C$6,$A206,Fact_SortedWeights!$B$2:$B$6,$B206,Fact_SortedWeights!$D$2:$D$6,$C206,Fact_SortedWeights!$L$2:$L$6,"No"))/(SUMIFS(Fact_SortedWeights!$E$2:$E$6,Fact_SortedWeights!$C$2:$C$6,$A206,Fact_SortedWeights!$B$2:$B$6,$B206,Fact_SortedWeights!$L$2:$L$6,"No"))*((SUMIFS(Fact_PreSortWeights!$E$2:$E$15,Fact_PreSortWeights!$C$2:$C$15,$A206,Fact_PreSortWeights!$B$2:$B$15,$B206,Fact_PreSortWeights!$F$2:$F$15,""))-(SUMIFS(Fact_SortedWeights!$E$2:$E$6,Fact_SortedWeights!$C$2:$C$6,$A206,Fact_SortedWeights!$B$2:$B$6,$B206,Fact_SortedWeights!$L$2:$L$6,"Yes"))))</f>
        <v>0</v>
      </c>
      <c r="G206" s="0" t="n">
        <f aca="false">IF(AND(IF($B206="Trash",INDEX('Materials Master'!$F$2:$F$27,MATCH($C206,'Materials Master'!$A$2:$A$27,0)),IF($B206="GMPC Recycling",INDEX('Materials Master'!$G$2:$G$27,MATCH($C206,'Materials Master'!$A$2:$A$27,0)),IF($B206="Organics Recycling",INDEX('Materials Master'!$H$2:$H$27,MATCH($C206,'Materials Master'!$A$2:$A$27,0)),IF($B206="Cardboard Recycling",INDEX('Materials Master'!$I$2:$I$27,MATCH($C206,'Materials Master'!$A$2:$A$27,0)),IF($B206="Paper Recycling",INDEX('Materials Master'!$J$2:$J$27,MATCH($C206,'Materials Master'!$A$2:$A$27,0)),IF($B206="Terracycle",INDEX('Materials Master'!$K$2:$K$27,MATCH($C206,'Materials Master'!$A$2:$A$27,0)),"No"))))))="Yes",INDEX('Materials Master'!$E$2:$E$27,MATCH($C206,'Materials Master'!$A$2:$A$27,0))="Yes",$B206&lt;&gt;"Trash"),1,0)</f>
        <v>0</v>
      </c>
      <c r="H206" s="0" t="str">
        <f aca="false">INDEX('Materials Master'!$E$2:$E$27,MATCH($C206,'Materials Master'!$A$2:$A$27,0))</f>
        <v>No</v>
      </c>
      <c r="I206" s="0" t="str">
        <f aca="false">IFERROR(INDEX(Areas!$C$2:$C$6,MATCH($A206,Areas!$B$2:$B$6,0)),"")</f>
        <v>BOH</v>
      </c>
      <c r="J206" s="0" t="n">
        <f aca="false">IF(IF($B206="Trash",INDEX('Materials Master'!$F$2:$F$27,MATCH($C206,'Materials Master'!$A$2:$A$27,0)),IF($B206="GMPC Recycling",INDEX('Materials Master'!$G$2:$G$27,MATCH($C206,'Materials Master'!$A$2:$A$27,0)),IF($B206="Organics Recycling",INDEX('Materials Master'!$H$2:$H$27,MATCH($C206,'Materials Master'!$A$2:$A$27,0)),IF($B206="Cardboard Recycling",INDEX('Materials Master'!$I$2:$I$27,MATCH($C206,'Materials Master'!$A$2:$A$27,0)),IF($B206="Paper Recycling",INDEX('Materials Master'!$J$2:$J$27,MATCH($C206,'Materials Master'!$A$2:$A$27,0)),IF($B206="Terracycle",INDEX('Materials Master'!$K$2:$K$27,MATCH($C206,'Materials Master'!$A$2:$A$27,0)),"No"))))))="Yes",1,0)</f>
        <v>0</v>
      </c>
    </row>
    <row r="207" customFormat="false" ht="15" hidden="false" customHeight="false" outlineLevel="0" collapsed="false">
      <c r="A207" s="0" t="s">
        <v>94</v>
      </c>
      <c r="B207" s="0" t="s">
        <v>104</v>
      </c>
      <c r="C207" s="0" t="s">
        <v>80</v>
      </c>
      <c r="D207" s="0" t="str">
        <f aca="false">IFERROR(INDEX('Materials Master'!$B$2:$B$27,MATCH($C207,'Materials Master'!$A$2:$A$27,0)),"")</f>
        <v>Liquids</v>
      </c>
      <c r="E207" s="0" t="str">
        <f aca="false">IFERROR(INDEX('Materials Master'!$C$2:$C$27,MATCH($C207,'Materials Master'!$A$2:$A$27,0)),"")</f>
        <v>Unacceptable</v>
      </c>
      <c r="F207" s="0" t="n">
        <f aca="false">(SUMIFS(Fact_PreSortWeights!$E$2:$E$15,Fact_PreSortWeights!$C$2:$C$15,$A207,Fact_PreSortWeights!$B$2:$B$15,$B207,Fact_PreSortWeights!$F$2:$F$15,$C207))+(SUMIFS(Fact_SortedWeights!$E$2:$E$6,Fact_SortedWeights!$C$2:$C$6,$A207,Fact_SortedWeights!$B$2:$B$6,$B207,Fact_SortedWeights!$D$2:$D$6,$C207,Fact_SortedWeights!$L$2:$L$6,"Yes"))+IF((SUMIFS(Fact_SortedWeights!$E$2:$E$6,Fact_SortedWeights!$C$2:$C$6,$A207,Fact_SortedWeights!$B$2:$B$6,$B207,Fact_SortedWeights!$L$2:$L$6,"No"))=0,0,(SUMIFS(Fact_SortedWeights!$E$2:$E$6,Fact_SortedWeights!$C$2:$C$6,$A207,Fact_SortedWeights!$B$2:$B$6,$B207,Fact_SortedWeights!$D$2:$D$6,$C207,Fact_SortedWeights!$L$2:$L$6,"No"))/(SUMIFS(Fact_SortedWeights!$E$2:$E$6,Fact_SortedWeights!$C$2:$C$6,$A207,Fact_SortedWeights!$B$2:$B$6,$B207,Fact_SortedWeights!$L$2:$L$6,"No"))*((SUMIFS(Fact_PreSortWeights!$E$2:$E$15,Fact_PreSortWeights!$C$2:$C$15,$A207,Fact_PreSortWeights!$B$2:$B$15,$B207,Fact_PreSortWeights!$F$2:$F$15,""))-(SUMIFS(Fact_SortedWeights!$E$2:$E$6,Fact_SortedWeights!$C$2:$C$6,$A207,Fact_SortedWeights!$B$2:$B$6,$B207,Fact_SortedWeights!$L$2:$L$6,"Yes"))))</f>
        <v>0</v>
      </c>
      <c r="G207" s="0" t="n">
        <f aca="false">IF(AND(IF($B207="Trash",INDEX('Materials Master'!$F$2:$F$27,MATCH($C207,'Materials Master'!$A$2:$A$27,0)),IF($B207="GMPC Recycling",INDEX('Materials Master'!$G$2:$G$27,MATCH($C207,'Materials Master'!$A$2:$A$27,0)),IF($B207="Organics Recycling",INDEX('Materials Master'!$H$2:$H$27,MATCH($C207,'Materials Master'!$A$2:$A$27,0)),IF($B207="Cardboard Recycling",INDEX('Materials Master'!$I$2:$I$27,MATCH($C207,'Materials Master'!$A$2:$A$27,0)),IF($B207="Paper Recycling",INDEX('Materials Master'!$J$2:$J$27,MATCH($C207,'Materials Master'!$A$2:$A$27,0)),IF($B207="Terracycle",INDEX('Materials Master'!$K$2:$K$27,MATCH($C207,'Materials Master'!$A$2:$A$27,0)),"No"))))))="Yes",INDEX('Materials Master'!$E$2:$E$27,MATCH($C207,'Materials Master'!$A$2:$A$27,0))="Yes",$B207&lt;&gt;"Trash"),1,0)</f>
        <v>0</v>
      </c>
      <c r="H207" s="0" t="str">
        <f aca="false">INDEX('Materials Master'!$E$2:$E$27,MATCH($C207,'Materials Master'!$A$2:$A$27,0))</f>
        <v>No</v>
      </c>
      <c r="I207" s="0" t="str">
        <f aca="false">IFERROR(INDEX(Areas!$C$2:$C$6,MATCH($A207,Areas!$B$2:$B$6,0)),"")</f>
        <v>BOH</v>
      </c>
      <c r="J207" s="0" t="n">
        <f aca="false">IF(IF($B207="Trash",INDEX('Materials Master'!$F$2:$F$27,MATCH($C207,'Materials Master'!$A$2:$A$27,0)),IF($B207="GMPC Recycling",INDEX('Materials Master'!$G$2:$G$27,MATCH($C207,'Materials Master'!$A$2:$A$27,0)),IF($B207="Organics Recycling",INDEX('Materials Master'!$H$2:$H$27,MATCH($C207,'Materials Master'!$A$2:$A$27,0)),IF($B207="Cardboard Recycling",INDEX('Materials Master'!$I$2:$I$27,MATCH($C207,'Materials Master'!$A$2:$A$27,0)),IF($B207="Paper Recycling",INDEX('Materials Master'!$J$2:$J$27,MATCH($C207,'Materials Master'!$A$2:$A$27,0)),IF($B207="Terracycle",INDEX('Materials Master'!$K$2:$K$27,MATCH($C207,'Materials Master'!$A$2:$A$27,0)),"No"))))))="Yes",1,0)</f>
        <v>0</v>
      </c>
    </row>
    <row r="208" customFormat="false" ht="15" hidden="false" customHeight="false" outlineLevel="0" collapsed="false">
      <c r="A208" s="0" t="s">
        <v>94</v>
      </c>
      <c r="B208" s="0" t="s">
        <v>104</v>
      </c>
      <c r="C208" s="0" t="s">
        <v>82</v>
      </c>
      <c r="D208" s="0" t="str">
        <f aca="false">IFERROR(INDEX('Materials Master'!$B$2:$B$27,MATCH($C208,'Materials Master'!$A$2:$A$27,0)),"")</f>
        <v>Snack Wrappers (Composites)</v>
      </c>
      <c r="E208" s="0" t="str">
        <f aca="false">IFERROR(INDEX('Materials Master'!$C$2:$C$27,MATCH($C208,'Materials Master'!$A$2:$A$27,0)),"")</f>
        <v>Other</v>
      </c>
      <c r="F208" s="0" t="n">
        <f aca="false">(SUMIFS(Fact_PreSortWeights!$E$2:$E$15,Fact_PreSortWeights!$C$2:$C$15,$A208,Fact_PreSortWeights!$B$2:$B$15,$B208,Fact_PreSortWeights!$F$2:$F$15,$C208))+(SUMIFS(Fact_SortedWeights!$E$2:$E$6,Fact_SortedWeights!$C$2:$C$6,$A208,Fact_SortedWeights!$B$2:$B$6,$B208,Fact_SortedWeights!$D$2:$D$6,$C208,Fact_SortedWeights!$L$2:$L$6,"Yes"))+IF((SUMIFS(Fact_SortedWeights!$E$2:$E$6,Fact_SortedWeights!$C$2:$C$6,$A208,Fact_SortedWeights!$B$2:$B$6,$B208,Fact_SortedWeights!$L$2:$L$6,"No"))=0,0,(SUMIFS(Fact_SortedWeights!$E$2:$E$6,Fact_SortedWeights!$C$2:$C$6,$A208,Fact_SortedWeights!$B$2:$B$6,$B208,Fact_SortedWeights!$D$2:$D$6,$C208,Fact_SortedWeights!$L$2:$L$6,"No"))/(SUMIFS(Fact_SortedWeights!$E$2:$E$6,Fact_SortedWeights!$C$2:$C$6,$A208,Fact_SortedWeights!$B$2:$B$6,$B208,Fact_SortedWeights!$L$2:$L$6,"No"))*((SUMIFS(Fact_PreSortWeights!$E$2:$E$15,Fact_PreSortWeights!$C$2:$C$15,$A208,Fact_PreSortWeights!$B$2:$B$15,$B208,Fact_PreSortWeights!$F$2:$F$15,""))-(SUMIFS(Fact_SortedWeights!$E$2:$E$6,Fact_SortedWeights!$C$2:$C$6,$A208,Fact_SortedWeights!$B$2:$B$6,$B208,Fact_SortedWeights!$L$2:$L$6,"Yes"))))</f>
        <v>0</v>
      </c>
      <c r="G208" s="0" t="n">
        <f aca="false">IF(AND(IF($B208="Trash",INDEX('Materials Master'!$F$2:$F$27,MATCH($C208,'Materials Master'!$A$2:$A$27,0)),IF($B208="GMPC Recycling",INDEX('Materials Master'!$G$2:$G$27,MATCH($C208,'Materials Master'!$A$2:$A$27,0)),IF($B208="Organics Recycling",INDEX('Materials Master'!$H$2:$H$27,MATCH($C208,'Materials Master'!$A$2:$A$27,0)),IF($B208="Cardboard Recycling",INDEX('Materials Master'!$I$2:$I$27,MATCH($C208,'Materials Master'!$A$2:$A$27,0)),IF($B208="Paper Recycling",INDEX('Materials Master'!$J$2:$J$27,MATCH($C208,'Materials Master'!$A$2:$A$27,0)),IF($B208="Terracycle",INDEX('Materials Master'!$K$2:$K$27,MATCH($C208,'Materials Master'!$A$2:$A$27,0)),"No"))))))="Yes",INDEX('Materials Master'!$E$2:$E$27,MATCH($C208,'Materials Master'!$A$2:$A$27,0))="Yes",$B208&lt;&gt;"Trash"),1,0)</f>
        <v>0</v>
      </c>
      <c r="H208" s="0" t="str">
        <f aca="false">INDEX('Materials Master'!$E$2:$E$27,MATCH($C208,'Materials Master'!$A$2:$A$27,0))</f>
        <v>Yes</v>
      </c>
      <c r="I208" s="0" t="str">
        <f aca="false">IFERROR(INDEX(Areas!$C$2:$C$6,MATCH($A208,Areas!$B$2:$B$6,0)),"")</f>
        <v>BOH</v>
      </c>
      <c r="J208" s="0" t="n">
        <f aca="false">IF(IF($B208="Trash",INDEX('Materials Master'!$F$2:$F$27,MATCH($C208,'Materials Master'!$A$2:$A$27,0)),IF($B208="GMPC Recycling",INDEX('Materials Master'!$G$2:$G$27,MATCH($C208,'Materials Master'!$A$2:$A$27,0)),IF($B208="Organics Recycling",INDEX('Materials Master'!$H$2:$H$27,MATCH($C208,'Materials Master'!$A$2:$A$27,0)),IF($B208="Cardboard Recycling",INDEX('Materials Master'!$I$2:$I$27,MATCH($C208,'Materials Master'!$A$2:$A$27,0)),IF($B208="Paper Recycling",INDEX('Materials Master'!$J$2:$J$27,MATCH($C208,'Materials Master'!$A$2:$A$27,0)),IF($B208="Terracycle",INDEX('Materials Master'!$K$2:$K$27,MATCH($C208,'Materials Master'!$A$2:$A$27,0)),"No"))))))="Yes",1,0)</f>
        <v>0</v>
      </c>
    </row>
    <row r="209" customFormat="false" ht="15" hidden="false" customHeight="false" outlineLevel="0" collapsed="false">
      <c r="A209" s="0" t="s">
        <v>94</v>
      </c>
      <c r="B209" s="0" t="s">
        <v>104</v>
      </c>
      <c r="C209" s="0" t="s">
        <v>85</v>
      </c>
      <c r="D209" s="0" t="str">
        <f aca="false">IFERROR(INDEX('Materials Master'!$B$2:$B$27,MATCH($C209,'Materials Master'!$A$2:$A$27,0)),"")</f>
        <v>Other/Residual Materials</v>
      </c>
      <c r="E209" s="0" t="str">
        <f aca="false">IFERROR(INDEX('Materials Master'!$C$2:$C$27,MATCH($C209,'Materials Master'!$A$2:$A$27,0)),"")</f>
        <v>Other</v>
      </c>
      <c r="F209" s="0" t="n">
        <f aca="false">(SUMIFS(Fact_PreSortWeights!$E$2:$E$15,Fact_PreSortWeights!$C$2:$C$15,$A209,Fact_PreSortWeights!$B$2:$B$15,$B209,Fact_PreSortWeights!$F$2:$F$15,$C209))+(SUMIFS(Fact_SortedWeights!$E$2:$E$6,Fact_SortedWeights!$C$2:$C$6,$A209,Fact_SortedWeights!$B$2:$B$6,$B209,Fact_SortedWeights!$D$2:$D$6,$C209,Fact_SortedWeights!$L$2:$L$6,"Yes"))+IF((SUMIFS(Fact_SortedWeights!$E$2:$E$6,Fact_SortedWeights!$C$2:$C$6,$A209,Fact_SortedWeights!$B$2:$B$6,$B209,Fact_SortedWeights!$L$2:$L$6,"No"))=0,0,(SUMIFS(Fact_SortedWeights!$E$2:$E$6,Fact_SortedWeights!$C$2:$C$6,$A209,Fact_SortedWeights!$B$2:$B$6,$B209,Fact_SortedWeights!$D$2:$D$6,$C209,Fact_SortedWeights!$L$2:$L$6,"No"))/(SUMIFS(Fact_SortedWeights!$E$2:$E$6,Fact_SortedWeights!$C$2:$C$6,$A209,Fact_SortedWeights!$B$2:$B$6,$B209,Fact_SortedWeights!$L$2:$L$6,"No"))*((SUMIFS(Fact_PreSortWeights!$E$2:$E$15,Fact_PreSortWeights!$C$2:$C$15,$A209,Fact_PreSortWeights!$B$2:$B$15,$B209,Fact_PreSortWeights!$F$2:$F$15,""))-(SUMIFS(Fact_SortedWeights!$E$2:$E$6,Fact_SortedWeights!$C$2:$C$6,$A209,Fact_SortedWeights!$B$2:$B$6,$B209,Fact_SortedWeights!$L$2:$L$6,"Yes"))))</f>
        <v>0</v>
      </c>
      <c r="G209" s="0" t="n">
        <f aca="false">IF(AND(IF($B209="Trash",INDEX('Materials Master'!$F$2:$F$27,MATCH($C209,'Materials Master'!$A$2:$A$27,0)),IF($B209="GMPC Recycling",INDEX('Materials Master'!$G$2:$G$27,MATCH($C209,'Materials Master'!$A$2:$A$27,0)),IF($B209="Organics Recycling",INDEX('Materials Master'!$H$2:$H$27,MATCH($C209,'Materials Master'!$A$2:$A$27,0)),IF($B209="Cardboard Recycling",INDEX('Materials Master'!$I$2:$I$27,MATCH($C209,'Materials Master'!$A$2:$A$27,0)),IF($B209="Paper Recycling",INDEX('Materials Master'!$J$2:$J$27,MATCH($C209,'Materials Master'!$A$2:$A$27,0)),IF($B209="Terracycle",INDEX('Materials Master'!$K$2:$K$27,MATCH($C209,'Materials Master'!$A$2:$A$27,0)),"No"))))))="Yes",INDEX('Materials Master'!$E$2:$E$27,MATCH($C209,'Materials Master'!$A$2:$A$27,0))="Yes",$B209&lt;&gt;"Trash"),1,0)</f>
        <v>0</v>
      </c>
      <c r="H209" s="0" t="str">
        <f aca="false">INDEX('Materials Master'!$E$2:$E$27,MATCH($C209,'Materials Master'!$A$2:$A$27,0))</f>
        <v>No</v>
      </c>
      <c r="I209" s="0" t="str">
        <f aca="false">IFERROR(INDEX(Areas!$C$2:$C$6,MATCH($A209,Areas!$B$2:$B$6,0)),"")</f>
        <v>BOH</v>
      </c>
      <c r="J209" s="0" t="n">
        <f aca="false">IF(IF($B209="Trash",INDEX('Materials Master'!$F$2:$F$27,MATCH($C209,'Materials Master'!$A$2:$A$27,0)),IF($B209="GMPC Recycling",INDEX('Materials Master'!$G$2:$G$27,MATCH($C209,'Materials Master'!$A$2:$A$27,0)),IF($B209="Organics Recycling",INDEX('Materials Master'!$H$2:$H$27,MATCH($C209,'Materials Master'!$A$2:$A$27,0)),IF($B209="Cardboard Recycling",INDEX('Materials Master'!$I$2:$I$27,MATCH($C209,'Materials Master'!$A$2:$A$27,0)),IF($B209="Paper Recycling",INDEX('Materials Master'!$J$2:$J$27,MATCH($C209,'Materials Master'!$A$2:$A$27,0)),IF($B209="Terracycle",INDEX('Materials Master'!$K$2:$K$27,MATCH($C209,'Materials Master'!$A$2:$A$27,0)),"No"))))))="Yes",1,0)</f>
        <v>0</v>
      </c>
    </row>
    <row r="210" customFormat="false" ht="15" hidden="false" customHeight="false" outlineLevel="0" collapsed="false">
      <c r="A210" s="0" t="s">
        <v>94</v>
      </c>
      <c r="B210" s="0" t="s">
        <v>105</v>
      </c>
      <c r="C210" s="0" t="s">
        <v>26</v>
      </c>
      <c r="D210" s="0" t="str">
        <f aca="false">IFERROR(INDEX('Materials Master'!$B$2:$B$27,MATCH($C210,'Materials Master'!$A$2:$A$27,0)),"")</f>
        <v>Corrugated Cardboard</v>
      </c>
      <c r="E210" s="0" t="str">
        <f aca="false">IFERROR(INDEX('Materials Master'!$C$2:$C$27,MATCH($C210,'Materials Master'!$A$2:$A$27,0)),"")</f>
        <v>Fibers</v>
      </c>
      <c r="F210" s="0" t="n">
        <f aca="false">(SUMIFS(Fact_PreSortWeights!$E$2:$E$15,Fact_PreSortWeights!$C$2:$C$15,$A210,Fact_PreSortWeights!$B$2:$B$15,$B210,Fact_PreSortWeights!$F$2:$F$15,$C210))+(SUMIFS(Fact_SortedWeights!$E$2:$E$6,Fact_SortedWeights!$C$2:$C$6,$A210,Fact_SortedWeights!$B$2:$B$6,$B210,Fact_SortedWeights!$D$2:$D$6,$C210,Fact_SortedWeights!$L$2:$L$6,"Yes"))+IF((SUMIFS(Fact_SortedWeights!$E$2:$E$6,Fact_SortedWeights!$C$2:$C$6,$A210,Fact_SortedWeights!$B$2:$B$6,$B210,Fact_SortedWeights!$L$2:$L$6,"No"))=0,0,(SUMIFS(Fact_SortedWeights!$E$2:$E$6,Fact_SortedWeights!$C$2:$C$6,$A210,Fact_SortedWeights!$B$2:$B$6,$B210,Fact_SortedWeights!$D$2:$D$6,$C210,Fact_SortedWeights!$L$2:$L$6,"No"))/(SUMIFS(Fact_SortedWeights!$E$2:$E$6,Fact_SortedWeights!$C$2:$C$6,$A210,Fact_SortedWeights!$B$2:$B$6,$B210,Fact_SortedWeights!$L$2:$L$6,"No"))*((SUMIFS(Fact_PreSortWeights!$E$2:$E$15,Fact_PreSortWeights!$C$2:$C$15,$A210,Fact_PreSortWeights!$B$2:$B$15,$B210,Fact_PreSortWeights!$F$2:$F$15,""))-(SUMIFS(Fact_SortedWeights!$E$2:$E$6,Fact_SortedWeights!$C$2:$C$6,$A210,Fact_SortedWeights!$B$2:$B$6,$B210,Fact_SortedWeights!$L$2:$L$6,"Yes"))))</f>
        <v>0</v>
      </c>
      <c r="G210" s="0" t="n">
        <f aca="false">IF(AND(IF($B210="Trash",INDEX('Materials Master'!$F$2:$F$27,MATCH($C210,'Materials Master'!$A$2:$A$27,0)),IF($B210="GMPC Recycling",INDEX('Materials Master'!$G$2:$G$27,MATCH($C210,'Materials Master'!$A$2:$A$27,0)),IF($B210="Organics Recycling",INDEX('Materials Master'!$H$2:$H$27,MATCH($C210,'Materials Master'!$A$2:$A$27,0)),IF($B210="Cardboard Recycling",INDEX('Materials Master'!$I$2:$I$27,MATCH($C210,'Materials Master'!$A$2:$A$27,0)),IF($B210="Paper Recycling",INDEX('Materials Master'!$J$2:$J$27,MATCH($C210,'Materials Master'!$A$2:$A$27,0)),IF($B210="Terracycle",INDEX('Materials Master'!$K$2:$K$27,MATCH($C210,'Materials Master'!$A$2:$A$27,0)),"No"))))))="Yes",INDEX('Materials Master'!$E$2:$E$27,MATCH($C210,'Materials Master'!$A$2:$A$27,0))="Yes",$B210&lt;&gt;"Trash"),1,0)</f>
        <v>0</v>
      </c>
      <c r="H210" s="0" t="str">
        <f aca="false">INDEX('Materials Master'!$E$2:$E$27,MATCH($C210,'Materials Master'!$A$2:$A$27,0))</f>
        <v>Yes</v>
      </c>
      <c r="I210" s="0" t="str">
        <f aca="false">IFERROR(INDEX(Areas!$C$2:$C$6,MATCH($A210,Areas!$B$2:$B$6,0)),"")</f>
        <v>BOH</v>
      </c>
      <c r="J210" s="0" t="n">
        <f aca="false">IF(IF($B210="Trash",INDEX('Materials Master'!$F$2:$F$27,MATCH($C210,'Materials Master'!$A$2:$A$27,0)),IF($B210="GMPC Recycling",INDEX('Materials Master'!$G$2:$G$27,MATCH($C210,'Materials Master'!$A$2:$A$27,0)),IF($B210="Organics Recycling",INDEX('Materials Master'!$H$2:$H$27,MATCH($C210,'Materials Master'!$A$2:$A$27,0)),IF($B210="Cardboard Recycling",INDEX('Materials Master'!$I$2:$I$27,MATCH($C210,'Materials Master'!$A$2:$A$27,0)),IF($B210="Paper Recycling",INDEX('Materials Master'!$J$2:$J$27,MATCH($C210,'Materials Master'!$A$2:$A$27,0)),IF($B210="Terracycle",INDEX('Materials Master'!$K$2:$K$27,MATCH($C210,'Materials Master'!$A$2:$A$27,0)),"No"))))))="Yes",1,0)</f>
        <v>0</v>
      </c>
    </row>
    <row r="211" customFormat="false" ht="15" hidden="false" customHeight="false" outlineLevel="0" collapsed="false">
      <c r="A211" s="0" t="s">
        <v>94</v>
      </c>
      <c r="B211" s="0" t="s">
        <v>105</v>
      </c>
      <c r="C211" s="0" t="s">
        <v>31</v>
      </c>
      <c r="D211" s="0" t="str">
        <f aca="false">IFERROR(INDEX('Materials Master'!$B$2:$B$27,MATCH($C211,'Materials Master'!$A$2:$A$27,0)),"")</f>
        <v>Soiled Cardboard</v>
      </c>
      <c r="E211" s="0" t="str">
        <f aca="false">IFERROR(INDEX('Materials Master'!$C$2:$C$27,MATCH($C211,'Materials Master'!$A$2:$A$27,0)),"")</f>
        <v>Fibers</v>
      </c>
      <c r="F211" s="0" t="n">
        <f aca="false">(SUMIFS(Fact_PreSortWeights!$E$2:$E$15,Fact_PreSortWeights!$C$2:$C$15,$A211,Fact_PreSortWeights!$B$2:$B$15,$B211,Fact_PreSortWeights!$F$2:$F$15,$C211))+(SUMIFS(Fact_SortedWeights!$E$2:$E$6,Fact_SortedWeights!$C$2:$C$6,$A211,Fact_SortedWeights!$B$2:$B$6,$B211,Fact_SortedWeights!$D$2:$D$6,$C211,Fact_SortedWeights!$L$2:$L$6,"Yes"))+IF((SUMIFS(Fact_SortedWeights!$E$2:$E$6,Fact_SortedWeights!$C$2:$C$6,$A211,Fact_SortedWeights!$B$2:$B$6,$B211,Fact_SortedWeights!$L$2:$L$6,"No"))=0,0,(SUMIFS(Fact_SortedWeights!$E$2:$E$6,Fact_SortedWeights!$C$2:$C$6,$A211,Fact_SortedWeights!$B$2:$B$6,$B211,Fact_SortedWeights!$D$2:$D$6,$C211,Fact_SortedWeights!$L$2:$L$6,"No"))/(SUMIFS(Fact_SortedWeights!$E$2:$E$6,Fact_SortedWeights!$C$2:$C$6,$A211,Fact_SortedWeights!$B$2:$B$6,$B211,Fact_SortedWeights!$L$2:$L$6,"No"))*((SUMIFS(Fact_PreSortWeights!$E$2:$E$15,Fact_PreSortWeights!$C$2:$C$15,$A211,Fact_PreSortWeights!$B$2:$B$15,$B211,Fact_PreSortWeights!$F$2:$F$15,""))-(SUMIFS(Fact_SortedWeights!$E$2:$E$6,Fact_SortedWeights!$C$2:$C$6,$A211,Fact_SortedWeights!$B$2:$B$6,$B211,Fact_SortedWeights!$L$2:$L$6,"Yes"))))</f>
        <v>0</v>
      </c>
      <c r="G211" s="0" t="n">
        <f aca="false">IF(AND(IF($B211="Trash",INDEX('Materials Master'!$F$2:$F$27,MATCH($C211,'Materials Master'!$A$2:$A$27,0)),IF($B211="GMPC Recycling",INDEX('Materials Master'!$G$2:$G$27,MATCH($C211,'Materials Master'!$A$2:$A$27,0)),IF($B211="Organics Recycling",INDEX('Materials Master'!$H$2:$H$27,MATCH($C211,'Materials Master'!$A$2:$A$27,0)),IF($B211="Cardboard Recycling",INDEX('Materials Master'!$I$2:$I$27,MATCH($C211,'Materials Master'!$A$2:$A$27,0)),IF($B211="Paper Recycling",INDEX('Materials Master'!$J$2:$J$27,MATCH($C211,'Materials Master'!$A$2:$A$27,0)),IF($B211="Terracycle",INDEX('Materials Master'!$K$2:$K$27,MATCH($C211,'Materials Master'!$A$2:$A$27,0)),"No"))))))="Yes",INDEX('Materials Master'!$E$2:$E$27,MATCH($C211,'Materials Master'!$A$2:$A$27,0))="Yes",$B211&lt;&gt;"Trash"),1,0)</f>
        <v>0</v>
      </c>
      <c r="H211" s="0" t="str">
        <f aca="false">INDEX('Materials Master'!$E$2:$E$27,MATCH($C211,'Materials Master'!$A$2:$A$27,0))</f>
        <v>No</v>
      </c>
      <c r="I211" s="0" t="str">
        <f aca="false">IFERROR(INDEX(Areas!$C$2:$C$6,MATCH($A211,Areas!$B$2:$B$6,0)),"")</f>
        <v>BOH</v>
      </c>
      <c r="J211" s="0" t="n">
        <f aca="false">IF(IF($B211="Trash",INDEX('Materials Master'!$F$2:$F$27,MATCH($C211,'Materials Master'!$A$2:$A$27,0)),IF($B211="GMPC Recycling",INDEX('Materials Master'!$G$2:$G$27,MATCH($C211,'Materials Master'!$A$2:$A$27,0)),IF($B211="Organics Recycling",INDEX('Materials Master'!$H$2:$H$27,MATCH($C211,'Materials Master'!$A$2:$A$27,0)),IF($B211="Cardboard Recycling",INDEX('Materials Master'!$I$2:$I$27,MATCH($C211,'Materials Master'!$A$2:$A$27,0)),IF($B211="Paper Recycling",INDEX('Materials Master'!$J$2:$J$27,MATCH($C211,'Materials Master'!$A$2:$A$27,0)),IF($B211="Terracycle",INDEX('Materials Master'!$K$2:$K$27,MATCH($C211,'Materials Master'!$A$2:$A$27,0)),"No"))))))="Yes",1,0)</f>
        <v>0</v>
      </c>
    </row>
    <row r="212" customFormat="false" ht="15" hidden="false" customHeight="false" outlineLevel="0" collapsed="false">
      <c r="A212" s="0" t="s">
        <v>94</v>
      </c>
      <c r="B212" s="0" t="s">
        <v>105</v>
      </c>
      <c r="C212" s="0" t="s">
        <v>33</v>
      </c>
      <c r="D212" s="0" t="str">
        <f aca="false">IFERROR(INDEX('Materials Master'!$B$2:$B$27,MATCH($C212,'Materials Master'!$A$2:$A$27,0)),"")</f>
        <v>Waxed Cardboard</v>
      </c>
      <c r="E212" s="0" t="str">
        <f aca="false">IFERROR(INDEX('Materials Master'!$C$2:$C$27,MATCH($C212,'Materials Master'!$A$2:$A$27,0)),"")</f>
        <v>Fibers</v>
      </c>
      <c r="F212" s="0" t="n">
        <f aca="false">(SUMIFS(Fact_PreSortWeights!$E$2:$E$15,Fact_PreSortWeights!$C$2:$C$15,$A212,Fact_PreSortWeights!$B$2:$B$15,$B212,Fact_PreSortWeights!$F$2:$F$15,$C212))+(SUMIFS(Fact_SortedWeights!$E$2:$E$6,Fact_SortedWeights!$C$2:$C$6,$A212,Fact_SortedWeights!$B$2:$B$6,$B212,Fact_SortedWeights!$D$2:$D$6,$C212,Fact_SortedWeights!$L$2:$L$6,"Yes"))+IF((SUMIFS(Fact_SortedWeights!$E$2:$E$6,Fact_SortedWeights!$C$2:$C$6,$A212,Fact_SortedWeights!$B$2:$B$6,$B212,Fact_SortedWeights!$L$2:$L$6,"No"))=0,0,(SUMIFS(Fact_SortedWeights!$E$2:$E$6,Fact_SortedWeights!$C$2:$C$6,$A212,Fact_SortedWeights!$B$2:$B$6,$B212,Fact_SortedWeights!$D$2:$D$6,$C212,Fact_SortedWeights!$L$2:$L$6,"No"))/(SUMIFS(Fact_SortedWeights!$E$2:$E$6,Fact_SortedWeights!$C$2:$C$6,$A212,Fact_SortedWeights!$B$2:$B$6,$B212,Fact_SortedWeights!$L$2:$L$6,"No"))*((SUMIFS(Fact_PreSortWeights!$E$2:$E$15,Fact_PreSortWeights!$C$2:$C$15,$A212,Fact_PreSortWeights!$B$2:$B$15,$B212,Fact_PreSortWeights!$F$2:$F$15,""))-(SUMIFS(Fact_SortedWeights!$E$2:$E$6,Fact_SortedWeights!$C$2:$C$6,$A212,Fact_SortedWeights!$B$2:$B$6,$B212,Fact_SortedWeights!$L$2:$L$6,"Yes"))))</f>
        <v>0</v>
      </c>
      <c r="G212" s="0" t="n">
        <f aca="false">IF(AND(IF($B212="Trash",INDEX('Materials Master'!$F$2:$F$27,MATCH($C212,'Materials Master'!$A$2:$A$27,0)),IF($B212="GMPC Recycling",INDEX('Materials Master'!$G$2:$G$27,MATCH($C212,'Materials Master'!$A$2:$A$27,0)),IF($B212="Organics Recycling",INDEX('Materials Master'!$H$2:$H$27,MATCH($C212,'Materials Master'!$A$2:$A$27,0)),IF($B212="Cardboard Recycling",INDEX('Materials Master'!$I$2:$I$27,MATCH($C212,'Materials Master'!$A$2:$A$27,0)),IF($B212="Paper Recycling",INDEX('Materials Master'!$J$2:$J$27,MATCH($C212,'Materials Master'!$A$2:$A$27,0)),IF($B212="Terracycle",INDEX('Materials Master'!$K$2:$K$27,MATCH($C212,'Materials Master'!$A$2:$A$27,0)),"No"))))))="Yes",INDEX('Materials Master'!$E$2:$E$27,MATCH($C212,'Materials Master'!$A$2:$A$27,0))="Yes",$B212&lt;&gt;"Trash"),1,0)</f>
        <v>0</v>
      </c>
      <c r="H212" s="0" t="str">
        <f aca="false">INDEX('Materials Master'!$E$2:$E$27,MATCH($C212,'Materials Master'!$A$2:$A$27,0))</f>
        <v>No</v>
      </c>
      <c r="I212" s="0" t="str">
        <f aca="false">IFERROR(INDEX(Areas!$C$2:$C$6,MATCH($A212,Areas!$B$2:$B$6,0)),"")</f>
        <v>BOH</v>
      </c>
      <c r="J212" s="0" t="n">
        <f aca="false">IF(IF($B212="Trash",INDEX('Materials Master'!$F$2:$F$27,MATCH($C212,'Materials Master'!$A$2:$A$27,0)),IF($B212="GMPC Recycling",INDEX('Materials Master'!$G$2:$G$27,MATCH($C212,'Materials Master'!$A$2:$A$27,0)),IF($B212="Organics Recycling",INDEX('Materials Master'!$H$2:$H$27,MATCH($C212,'Materials Master'!$A$2:$A$27,0)),IF($B212="Cardboard Recycling",INDEX('Materials Master'!$I$2:$I$27,MATCH($C212,'Materials Master'!$A$2:$A$27,0)),IF($B212="Paper Recycling",INDEX('Materials Master'!$J$2:$J$27,MATCH($C212,'Materials Master'!$A$2:$A$27,0)),IF($B212="Terracycle",INDEX('Materials Master'!$K$2:$K$27,MATCH($C212,'Materials Master'!$A$2:$A$27,0)),"No"))))))="Yes",1,0)</f>
        <v>0</v>
      </c>
    </row>
    <row r="213" customFormat="false" ht="15" hidden="false" customHeight="false" outlineLevel="0" collapsed="false">
      <c r="A213" s="0" t="s">
        <v>94</v>
      </c>
      <c r="B213" s="0" t="s">
        <v>105</v>
      </c>
      <c r="C213" s="0" t="s">
        <v>35</v>
      </c>
      <c r="D213" s="0" t="str">
        <f aca="false">IFERROR(INDEX('Materials Master'!$B$2:$B$27,MATCH($C213,'Materials Master'!$A$2:$A$27,0)),"")</f>
        <v>Mixed Paper</v>
      </c>
      <c r="E213" s="0" t="str">
        <f aca="false">IFERROR(INDEX('Materials Master'!$C$2:$C$27,MATCH($C213,'Materials Master'!$A$2:$A$27,0)),"")</f>
        <v>Fibers</v>
      </c>
      <c r="F213" s="0" t="n">
        <f aca="false">(SUMIFS(Fact_PreSortWeights!$E$2:$E$15,Fact_PreSortWeights!$C$2:$C$15,$A213,Fact_PreSortWeights!$B$2:$B$15,$B213,Fact_PreSortWeights!$F$2:$F$15,$C213))+(SUMIFS(Fact_SortedWeights!$E$2:$E$6,Fact_SortedWeights!$C$2:$C$6,$A213,Fact_SortedWeights!$B$2:$B$6,$B213,Fact_SortedWeights!$D$2:$D$6,$C213,Fact_SortedWeights!$L$2:$L$6,"Yes"))+IF((SUMIFS(Fact_SortedWeights!$E$2:$E$6,Fact_SortedWeights!$C$2:$C$6,$A213,Fact_SortedWeights!$B$2:$B$6,$B213,Fact_SortedWeights!$L$2:$L$6,"No"))=0,0,(SUMIFS(Fact_SortedWeights!$E$2:$E$6,Fact_SortedWeights!$C$2:$C$6,$A213,Fact_SortedWeights!$B$2:$B$6,$B213,Fact_SortedWeights!$D$2:$D$6,$C213,Fact_SortedWeights!$L$2:$L$6,"No"))/(SUMIFS(Fact_SortedWeights!$E$2:$E$6,Fact_SortedWeights!$C$2:$C$6,$A213,Fact_SortedWeights!$B$2:$B$6,$B213,Fact_SortedWeights!$L$2:$L$6,"No"))*((SUMIFS(Fact_PreSortWeights!$E$2:$E$15,Fact_PreSortWeights!$C$2:$C$15,$A213,Fact_PreSortWeights!$B$2:$B$15,$B213,Fact_PreSortWeights!$F$2:$F$15,""))-(SUMIFS(Fact_SortedWeights!$E$2:$E$6,Fact_SortedWeights!$C$2:$C$6,$A213,Fact_SortedWeights!$B$2:$B$6,$B213,Fact_SortedWeights!$L$2:$L$6,"Yes"))))</f>
        <v>0</v>
      </c>
      <c r="G213" s="0" t="n">
        <f aca="false">IF(AND(IF($B213="Trash",INDEX('Materials Master'!$F$2:$F$27,MATCH($C213,'Materials Master'!$A$2:$A$27,0)),IF($B213="GMPC Recycling",INDEX('Materials Master'!$G$2:$G$27,MATCH($C213,'Materials Master'!$A$2:$A$27,0)),IF($B213="Organics Recycling",INDEX('Materials Master'!$H$2:$H$27,MATCH($C213,'Materials Master'!$A$2:$A$27,0)),IF($B213="Cardboard Recycling",INDEX('Materials Master'!$I$2:$I$27,MATCH($C213,'Materials Master'!$A$2:$A$27,0)),IF($B213="Paper Recycling",INDEX('Materials Master'!$J$2:$J$27,MATCH($C213,'Materials Master'!$A$2:$A$27,0)),IF($B213="Terracycle",INDEX('Materials Master'!$K$2:$K$27,MATCH($C213,'Materials Master'!$A$2:$A$27,0)),"No"))))))="Yes",INDEX('Materials Master'!$E$2:$E$27,MATCH($C213,'Materials Master'!$A$2:$A$27,0))="Yes",$B213&lt;&gt;"Trash"),1,0)</f>
        <v>1</v>
      </c>
      <c r="H213" s="0" t="str">
        <f aca="false">INDEX('Materials Master'!$E$2:$E$27,MATCH($C213,'Materials Master'!$A$2:$A$27,0))</f>
        <v>Yes</v>
      </c>
      <c r="I213" s="0" t="str">
        <f aca="false">IFERROR(INDEX(Areas!$C$2:$C$6,MATCH($A213,Areas!$B$2:$B$6,0)),"")</f>
        <v>BOH</v>
      </c>
      <c r="J213" s="0" t="n">
        <f aca="false">IF(IF($B213="Trash",INDEX('Materials Master'!$F$2:$F$27,MATCH($C213,'Materials Master'!$A$2:$A$27,0)),IF($B213="GMPC Recycling",INDEX('Materials Master'!$G$2:$G$27,MATCH($C213,'Materials Master'!$A$2:$A$27,0)),IF($B213="Organics Recycling",INDEX('Materials Master'!$H$2:$H$27,MATCH($C213,'Materials Master'!$A$2:$A$27,0)),IF($B213="Cardboard Recycling",INDEX('Materials Master'!$I$2:$I$27,MATCH($C213,'Materials Master'!$A$2:$A$27,0)),IF($B213="Paper Recycling",INDEX('Materials Master'!$J$2:$J$27,MATCH($C213,'Materials Master'!$A$2:$A$27,0)),IF($B213="Terracycle",INDEX('Materials Master'!$K$2:$K$27,MATCH($C213,'Materials Master'!$A$2:$A$27,0)),"No"))))))="Yes",1,0)</f>
        <v>1</v>
      </c>
    </row>
    <row r="214" customFormat="false" ht="15" hidden="false" customHeight="false" outlineLevel="0" collapsed="false">
      <c r="A214" s="0" t="s">
        <v>94</v>
      </c>
      <c r="B214" s="0" t="s">
        <v>105</v>
      </c>
      <c r="C214" s="0" t="s">
        <v>37</v>
      </c>
      <c r="D214" s="0" t="str">
        <f aca="false">IFERROR(INDEX('Materials Master'!$B$2:$B$27,MATCH($C214,'Materials Master'!$A$2:$A$27,0)),"")</f>
        <v>Soiled Paper</v>
      </c>
      <c r="E214" s="0" t="str">
        <f aca="false">IFERROR(INDEX('Materials Master'!$C$2:$C$27,MATCH($C214,'Materials Master'!$A$2:$A$27,0)),"")</f>
        <v>Fibers</v>
      </c>
      <c r="F214" s="0" t="n">
        <f aca="false">(SUMIFS(Fact_PreSortWeights!$E$2:$E$15,Fact_PreSortWeights!$C$2:$C$15,$A214,Fact_PreSortWeights!$B$2:$B$15,$B214,Fact_PreSortWeights!$F$2:$F$15,$C214))+(SUMIFS(Fact_SortedWeights!$E$2:$E$6,Fact_SortedWeights!$C$2:$C$6,$A214,Fact_SortedWeights!$B$2:$B$6,$B214,Fact_SortedWeights!$D$2:$D$6,$C214,Fact_SortedWeights!$L$2:$L$6,"Yes"))+IF((SUMIFS(Fact_SortedWeights!$E$2:$E$6,Fact_SortedWeights!$C$2:$C$6,$A214,Fact_SortedWeights!$B$2:$B$6,$B214,Fact_SortedWeights!$L$2:$L$6,"No"))=0,0,(SUMIFS(Fact_SortedWeights!$E$2:$E$6,Fact_SortedWeights!$C$2:$C$6,$A214,Fact_SortedWeights!$B$2:$B$6,$B214,Fact_SortedWeights!$D$2:$D$6,$C214,Fact_SortedWeights!$L$2:$L$6,"No"))/(SUMIFS(Fact_SortedWeights!$E$2:$E$6,Fact_SortedWeights!$C$2:$C$6,$A214,Fact_SortedWeights!$B$2:$B$6,$B214,Fact_SortedWeights!$L$2:$L$6,"No"))*((SUMIFS(Fact_PreSortWeights!$E$2:$E$15,Fact_PreSortWeights!$C$2:$C$15,$A214,Fact_PreSortWeights!$B$2:$B$15,$B214,Fact_PreSortWeights!$F$2:$F$15,""))-(SUMIFS(Fact_SortedWeights!$E$2:$E$6,Fact_SortedWeights!$C$2:$C$6,$A214,Fact_SortedWeights!$B$2:$B$6,$B214,Fact_SortedWeights!$L$2:$L$6,"Yes"))))</f>
        <v>0</v>
      </c>
      <c r="G214" s="0" t="n">
        <f aca="false">IF(AND(IF($B214="Trash",INDEX('Materials Master'!$F$2:$F$27,MATCH($C214,'Materials Master'!$A$2:$A$27,0)),IF($B214="GMPC Recycling",INDEX('Materials Master'!$G$2:$G$27,MATCH($C214,'Materials Master'!$A$2:$A$27,0)),IF($B214="Organics Recycling",INDEX('Materials Master'!$H$2:$H$27,MATCH($C214,'Materials Master'!$A$2:$A$27,0)),IF($B214="Cardboard Recycling",INDEX('Materials Master'!$I$2:$I$27,MATCH($C214,'Materials Master'!$A$2:$A$27,0)),IF($B214="Paper Recycling",INDEX('Materials Master'!$J$2:$J$27,MATCH($C214,'Materials Master'!$A$2:$A$27,0)),IF($B214="Terracycle",INDEX('Materials Master'!$K$2:$K$27,MATCH($C214,'Materials Master'!$A$2:$A$27,0)),"No"))))))="Yes",INDEX('Materials Master'!$E$2:$E$27,MATCH($C214,'Materials Master'!$A$2:$A$27,0))="Yes",$B214&lt;&gt;"Trash"),1,0)</f>
        <v>0</v>
      </c>
      <c r="H214" s="0" t="str">
        <f aca="false">INDEX('Materials Master'!$E$2:$E$27,MATCH($C214,'Materials Master'!$A$2:$A$27,0))</f>
        <v>No</v>
      </c>
      <c r="I214" s="0" t="str">
        <f aca="false">IFERROR(INDEX(Areas!$C$2:$C$6,MATCH($A214,Areas!$B$2:$B$6,0)),"")</f>
        <v>BOH</v>
      </c>
      <c r="J214" s="0" t="n">
        <f aca="false">IF(IF($B214="Trash",INDEX('Materials Master'!$F$2:$F$27,MATCH($C214,'Materials Master'!$A$2:$A$27,0)),IF($B214="GMPC Recycling",INDEX('Materials Master'!$G$2:$G$27,MATCH($C214,'Materials Master'!$A$2:$A$27,0)),IF($B214="Organics Recycling",INDEX('Materials Master'!$H$2:$H$27,MATCH($C214,'Materials Master'!$A$2:$A$27,0)),IF($B214="Cardboard Recycling",INDEX('Materials Master'!$I$2:$I$27,MATCH($C214,'Materials Master'!$A$2:$A$27,0)),IF($B214="Paper Recycling",INDEX('Materials Master'!$J$2:$J$27,MATCH($C214,'Materials Master'!$A$2:$A$27,0)),IF($B214="Terracycle",INDEX('Materials Master'!$K$2:$K$27,MATCH($C214,'Materials Master'!$A$2:$A$27,0)),"No"))))))="Yes",1,0)</f>
        <v>0</v>
      </c>
    </row>
    <row r="215" customFormat="false" ht="15" hidden="false" customHeight="false" outlineLevel="0" collapsed="false">
      <c r="A215" s="0" t="s">
        <v>94</v>
      </c>
      <c r="B215" s="0" t="s">
        <v>105</v>
      </c>
      <c r="C215" s="0" t="s">
        <v>39</v>
      </c>
      <c r="D215" s="0" t="str">
        <f aca="false">IFERROR(INDEX('Materials Master'!$B$2:$B$27,MATCH($C215,'Materials Master'!$A$2:$A$27,0)),"")</f>
        <v>Beverage Cartons</v>
      </c>
      <c r="E215" s="0" t="str">
        <f aca="false">IFERROR(INDEX('Materials Master'!$C$2:$C$27,MATCH($C215,'Materials Master'!$A$2:$A$27,0)),"")</f>
        <v>Fibers</v>
      </c>
      <c r="F215" s="0" t="n">
        <f aca="false">(SUMIFS(Fact_PreSortWeights!$E$2:$E$15,Fact_PreSortWeights!$C$2:$C$15,$A215,Fact_PreSortWeights!$B$2:$B$15,$B215,Fact_PreSortWeights!$F$2:$F$15,$C215))+(SUMIFS(Fact_SortedWeights!$E$2:$E$6,Fact_SortedWeights!$C$2:$C$6,$A215,Fact_SortedWeights!$B$2:$B$6,$B215,Fact_SortedWeights!$D$2:$D$6,$C215,Fact_SortedWeights!$L$2:$L$6,"Yes"))+IF((SUMIFS(Fact_SortedWeights!$E$2:$E$6,Fact_SortedWeights!$C$2:$C$6,$A215,Fact_SortedWeights!$B$2:$B$6,$B215,Fact_SortedWeights!$L$2:$L$6,"No"))=0,0,(SUMIFS(Fact_SortedWeights!$E$2:$E$6,Fact_SortedWeights!$C$2:$C$6,$A215,Fact_SortedWeights!$B$2:$B$6,$B215,Fact_SortedWeights!$D$2:$D$6,$C215,Fact_SortedWeights!$L$2:$L$6,"No"))/(SUMIFS(Fact_SortedWeights!$E$2:$E$6,Fact_SortedWeights!$C$2:$C$6,$A215,Fact_SortedWeights!$B$2:$B$6,$B215,Fact_SortedWeights!$L$2:$L$6,"No"))*((SUMIFS(Fact_PreSortWeights!$E$2:$E$15,Fact_PreSortWeights!$C$2:$C$15,$A215,Fact_PreSortWeights!$B$2:$B$15,$B215,Fact_PreSortWeights!$F$2:$F$15,""))-(SUMIFS(Fact_SortedWeights!$E$2:$E$6,Fact_SortedWeights!$C$2:$C$6,$A215,Fact_SortedWeights!$B$2:$B$6,$B215,Fact_SortedWeights!$L$2:$L$6,"Yes"))))</f>
        <v>0</v>
      </c>
      <c r="G215" s="0" t="n">
        <f aca="false">IF(AND(IF($B215="Trash",INDEX('Materials Master'!$F$2:$F$27,MATCH($C215,'Materials Master'!$A$2:$A$27,0)),IF($B215="GMPC Recycling",INDEX('Materials Master'!$G$2:$G$27,MATCH($C215,'Materials Master'!$A$2:$A$27,0)),IF($B215="Organics Recycling",INDEX('Materials Master'!$H$2:$H$27,MATCH($C215,'Materials Master'!$A$2:$A$27,0)),IF($B215="Cardboard Recycling",INDEX('Materials Master'!$I$2:$I$27,MATCH($C215,'Materials Master'!$A$2:$A$27,0)),IF($B215="Paper Recycling",INDEX('Materials Master'!$J$2:$J$27,MATCH($C215,'Materials Master'!$A$2:$A$27,0)),IF($B215="Terracycle",INDEX('Materials Master'!$K$2:$K$27,MATCH($C215,'Materials Master'!$A$2:$A$27,0)),"No"))))))="Yes",INDEX('Materials Master'!$E$2:$E$27,MATCH($C215,'Materials Master'!$A$2:$A$27,0))="Yes",$B215&lt;&gt;"Trash"),1,0)</f>
        <v>0</v>
      </c>
      <c r="H215" s="0" t="str">
        <f aca="false">INDEX('Materials Master'!$E$2:$E$27,MATCH($C215,'Materials Master'!$A$2:$A$27,0))</f>
        <v>Yes</v>
      </c>
      <c r="I215" s="0" t="str">
        <f aca="false">IFERROR(INDEX(Areas!$C$2:$C$6,MATCH($A215,Areas!$B$2:$B$6,0)),"")</f>
        <v>BOH</v>
      </c>
      <c r="J215" s="0" t="n">
        <f aca="false">IF(IF($B215="Trash",INDEX('Materials Master'!$F$2:$F$27,MATCH($C215,'Materials Master'!$A$2:$A$27,0)),IF($B215="GMPC Recycling",INDEX('Materials Master'!$G$2:$G$27,MATCH($C215,'Materials Master'!$A$2:$A$27,0)),IF($B215="Organics Recycling",INDEX('Materials Master'!$H$2:$H$27,MATCH($C215,'Materials Master'!$A$2:$A$27,0)),IF($B215="Cardboard Recycling",INDEX('Materials Master'!$I$2:$I$27,MATCH($C215,'Materials Master'!$A$2:$A$27,0)),IF($B215="Paper Recycling",INDEX('Materials Master'!$J$2:$J$27,MATCH($C215,'Materials Master'!$A$2:$A$27,0)),IF($B215="Terracycle",INDEX('Materials Master'!$K$2:$K$27,MATCH($C215,'Materials Master'!$A$2:$A$27,0)),"No"))))))="Yes",1,0)</f>
        <v>0</v>
      </c>
    </row>
    <row r="216" customFormat="false" ht="15" hidden="false" customHeight="false" outlineLevel="0" collapsed="false">
      <c r="A216" s="0" t="s">
        <v>94</v>
      </c>
      <c r="B216" s="0" t="s">
        <v>105</v>
      </c>
      <c r="C216" s="0" t="s">
        <v>41</v>
      </c>
      <c r="D216" s="0" t="str">
        <f aca="false">IFERROR(INDEX('Materials Master'!$B$2:$B$27,MATCH($C216,'Materials Master'!$A$2:$A$27,0)),"")</f>
        <v>Soiled Beverage Cartons</v>
      </c>
      <c r="E216" s="0" t="str">
        <f aca="false">IFERROR(INDEX('Materials Master'!$C$2:$C$27,MATCH($C216,'Materials Master'!$A$2:$A$27,0)),"")</f>
        <v>Fibers</v>
      </c>
      <c r="F216" s="0" t="n">
        <f aca="false">(SUMIFS(Fact_PreSortWeights!$E$2:$E$15,Fact_PreSortWeights!$C$2:$C$15,$A216,Fact_PreSortWeights!$B$2:$B$15,$B216,Fact_PreSortWeights!$F$2:$F$15,$C216))+(SUMIFS(Fact_SortedWeights!$E$2:$E$6,Fact_SortedWeights!$C$2:$C$6,$A216,Fact_SortedWeights!$B$2:$B$6,$B216,Fact_SortedWeights!$D$2:$D$6,$C216,Fact_SortedWeights!$L$2:$L$6,"Yes"))+IF((SUMIFS(Fact_SortedWeights!$E$2:$E$6,Fact_SortedWeights!$C$2:$C$6,$A216,Fact_SortedWeights!$B$2:$B$6,$B216,Fact_SortedWeights!$L$2:$L$6,"No"))=0,0,(SUMIFS(Fact_SortedWeights!$E$2:$E$6,Fact_SortedWeights!$C$2:$C$6,$A216,Fact_SortedWeights!$B$2:$B$6,$B216,Fact_SortedWeights!$D$2:$D$6,$C216,Fact_SortedWeights!$L$2:$L$6,"No"))/(SUMIFS(Fact_SortedWeights!$E$2:$E$6,Fact_SortedWeights!$C$2:$C$6,$A216,Fact_SortedWeights!$B$2:$B$6,$B216,Fact_SortedWeights!$L$2:$L$6,"No"))*((SUMIFS(Fact_PreSortWeights!$E$2:$E$15,Fact_PreSortWeights!$C$2:$C$15,$A216,Fact_PreSortWeights!$B$2:$B$15,$B216,Fact_PreSortWeights!$F$2:$F$15,""))-(SUMIFS(Fact_SortedWeights!$E$2:$E$6,Fact_SortedWeights!$C$2:$C$6,$A216,Fact_SortedWeights!$B$2:$B$6,$B216,Fact_SortedWeights!$L$2:$L$6,"Yes"))))</f>
        <v>0</v>
      </c>
      <c r="G216" s="0" t="n">
        <f aca="false">IF(AND(IF($B216="Trash",INDEX('Materials Master'!$F$2:$F$27,MATCH($C216,'Materials Master'!$A$2:$A$27,0)),IF($B216="GMPC Recycling",INDEX('Materials Master'!$G$2:$G$27,MATCH($C216,'Materials Master'!$A$2:$A$27,0)),IF($B216="Organics Recycling",INDEX('Materials Master'!$H$2:$H$27,MATCH($C216,'Materials Master'!$A$2:$A$27,0)),IF($B216="Cardboard Recycling",INDEX('Materials Master'!$I$2:$I$27,MATCH($C216,'Materials Master'!$A$2:$A$27,0)),IF($B216="Paper Recycling",INDEX('Materials Master'!$J$2:$J$27,MATCH($C216,'Materials Master'!$A$2:$A$27,0)),IF($B216="Terracycle",INDEX('Materials Master'!$K$2:$K$27,MATCH($C216,'Materials Master'!$A$2:$A$27,0)),"No"))))))="Yes",INDEX('Materials Master'!$E$2:$E$27,MATCH($C216,'Materials Master'!$A$2:$A$27,0))="Yes",$B216&lt;&gt;"Trash"),1,0)</f>
        <v>0</v>
      </c>
      <c r="H216" s="0" t="str">
        <f aca="false">INDEX('Materials Master'!$E$2:$E$27,MATCH($C216,'Materials Master'!$A$2:$A$27,0))</f>
        <v>No</v>
      </c>
      <c r="I216" s="0" t="str">
        <f aca="false">IFERROR(INDEX(Areas!$C$2:$C$6,MATCH($A216,Areas!$B$2:$B$6,0)),"")</f>
        <v>BOH</v>
      </c>
      <c r="J216" s="0" t="n">
        <f aca="false">IF(IF($B216="Trash",INDEX('Materials Master'!$F$2:$F$27,MATCH($C216,'Materials Master'!$A$2:$A$27,0)),IF($B216="GMPC Recycling",INDEX('Materials Master'!$G$2:$G$27,MATCH($C216,'Materials Master'!$A$2:$A$27,0)),IF($B216="Organics Recycling",INDEX('Materials Master'!$H$2:$H$27,MATCH($C216,'Materials Master'!$A$2:$A$27,0)),IF($B216="Cardboard Recycling",INDEX('Materials Master'!$I$2:$I$27,MATCH($C216,'Materials Master'!$A$2:$A$27,0)),IF($B216="Paper Recycling",INDEX('Materials Master'!$J$2:$J$27,MATCH($C216,'Materials Master'!$A$2:$A$27,0)),IF($B216="Terracycle",INDEX('Materials Master'!$K$2:$K$27,MATCH($C216,'Materials Master'!$A$2:$A$27,0)),"No"))))))="Yes",1,0)</f>
        <v>0</v>
      </c>
    </row>
    <row r="217" customFormat="false" ht="15" hidden="false" customHeight="false" outlineLevel="0" collapsed="false">
      <c r="A217" s="0" t="s">
        <v>94</v>
      </c>
      <c r="B217" s="0" t="s">
        <v>105</v>
      </c>
      <c r="C217" s="0" t="s">
        <v>43</v>
      </c>
      <c r="D217" s="0" t="str">
        <f aca="false">IFERROR(INDEX('Materials Master'!$B$2:$B$27,MATCH($C217,'Materials Master'!$A$2:$A$27,0)),"")</f>
        <v>Paper Cups / Other Coated Paper Containers</v>
      </c>
      <c r="E217" s="0" t="str">
        <f aca="false">IFERROR(INDEX('Materials Master'!$C$2:$C$27,MATCH($C217,'Materials Master'!$A$2:$A$27,0)),"")</f>
        <v>Fibers</v>
      </c>
      <c r="F217" s="0" t="n">
        <f aca="false">(SUMIFS(Fact_PreSortWeights!$E$2:$E$15,Fact_PreSortWeights!$C$2:$C$15,$A217,Fact_PreSortWeights!$B$2:$B$15,$B217,Fact_PreSortWeights!$F$2:$F$15,$C217))+(SUMIFS(Fact_SortedWeights!$E$2:$E$6,Fact_SortedWeights!$C$2:$C$6,$A217,Fact_SortedWeights!$B$2:$B$6,$B217,Fact_SortedWeights!$D$2:$D$6,$C217,Fact_SortedWeights!$L$2:$L$6,"Yes"))+IF((SUMIFS(Fact_SortedWeights!$E$2:$E$6,Fact_SortedWeights!$C$2:$C$6,$A217,Fact_SortedWeights!$B$2:$B$6,$B217,Fact_SortedWeights!$L$2:$L$6,"No"))=0,0,(SUMIFS(Fact_SortedWeights!$E$2:$E$6,Fact_SortedWeights!$C$2:$C$6,$A217,Fact_SortedWeights!$B$2:$B$6,$B217,Fact_SortedWeights!$D$2:$D$6,$C217,Fact_SortedWeights!$L$2:$L$6,"No"))/(SUMIFS(Fact_SortedWeights!$E$2:$E$6,Fact_SortedWeights!$C$2:$C$6,$A217,Fact_SortedWeights!$B$2:$B$6,$B217,Fact_SortedWeights!$L$2:$L$6,"No"))*((SUMIFS(Fact_PreSortWeights!$E$2:$E$15,Fact_PreSortWeights!$C$2:$C$15,$A217,Fact_PreSortWeights!$B$2:$B$15,$B217,Fact_PreSortWeights!$F$2:$F$15,""))-(SUMIFS(Fact_SortedWeights!$E$2:$E$6,Fact_SortedWeights!$C$2:$C$6,$A217,Fact_SortedWeights!$B$2:$B$6,$B217,Fact_SortedWeights!$L$2:$L$6,"Yes"))))</f>
        <v>0</v>
      </c>
      <c r="G217" s="0" t="n">
        <f aca="false">IF(AND(IF($B217="Trash",INDEX('Materials Master'!$F$2:$F$27,MATCH($C217,'Materials Master'!$A$2:$A$27,0)),IF($B217="GMPC Recycling",INDEX('Materials Master'!$G$2:$G$27,MATCH($C217,'Materials Master'!$A$2:$A$27,0)),IF($B217="Organics Recycling",INDEX('Materials Master'!$H$2:$H$27,MATCH($C217,'Materials Master'!$A$2:$A$27,0)),IF($B217="Cardboard Recycling",INDEX('Materials Master'!$I$2:$I$27,MATCH($C217,'Materials Master'!$A$2:$A$27,0)),IF($B217="Paper Recycling",INDEX('Materials Master'!$J$2:$J$27,MATCH($C217,'Materials Master'!$A$2:$A$27,0)),IF($B217="Terracycle",INDEX('Materials Master'!$K$2:$K$27,MATCH($C217,'Materials Master'!$A$2:$A$27,0)),"No"))))))="Yes",INDEX('Materials Master'!$E$2:$E$27,MATCH($C217,'Materials Master'!$A$2:$A$27,0))="Yes",$B217&lt;&gt;"Trash"),1,0)</f>
        <v>0</v>
      </c>
      <c r="H217" s="0" t="str">
        <f aca="false">INDEX('Materials Master'!$E$2:$E$27,MATCH($C217,'Materials Master'!$A$2:$A$27,0))</f>
        <v>No</v>
      </c>
      <c r="I217" s="0" t="str">
        <f aca="false">IFERROR(INDEX(Areas!$C$2:$C$6,MATCH($A217,Areas!$B$2:$B$6,0)),"")</f>
        <v>BOH</v>
      </c>
      <c r="J217" s="0" t="n">
        <f aca="false">IF(IF($B217="Trash",INDEX('Materials Master'!$F$2:$F$27,MATCH($C217,'Materials Master'!$A$2:$A$27,0)),IF($B217="GMPC Recycling",INDEX('Materials Master'!$G$2:$G$27,MATCH($C217,'Materials Master'!$A$2:$A$27,0)),IF($B217="Organics Recycling",INDEX('Materials Master'!$H$2:$H$27,MATCH($C217,'Materials Master'!$A$2:$A$27,0)),IF($B217="Cardboard Recycling",INDEX('Materials Master'!$I$2:$I$27,MATCH($C217,'Materials Master'!$A$2:$A$27,0)),IF($B217="Paper Recycling",INDEX('Materials Master'!$J$2:$J$27,MATCH($C217,'Materials Master'!$A$2:$A$27,0)),IF($B217="Terracycle",INDEX('Materials Master'!$K$2:$K$27,MATCH($C217,'Materials Master'!$A$2:$A$27,0)),"No"))))))="Yes",1,0)</f>
        <v>0</v>
      </c>
    </row>
    <row r="218" customFormat="false" ht="15" hidden="false" customHeight="false" outlineLevel="0" collapsed="false">
      <c r="A218" s="0" t="s">
        <v>94</v>
      </c>
      <c r="B218" s="0" t="s">
        <v>105</v>
      </c>
      <c r="C218" s="0" t="s">
        <v>45</v>
      </c>
      <c r="D218" s="0" t="str">
        <f aca="false">IFERROR(INDEX('Materials Master'!$B$2:$B$27,MATCH($C218,'Materials Master'!$A$2:$A$27,0)),"")</f>
        <v>Glass Bottles &amp; Jars</v>
      </c>
      <c r="E218" s="0" t="str">
        <f aca="false">IFERROR(INDEX('Materials Master'!$C$2:$C$27,MATCH($C218,'Materials Master'!$A$2:$A$27,0)),"")</f>
        <v>Glass</v>
      </c>
      <c r="F218" s="0" t="n">
        <f aca="false">(SUMIFS(Fact_PreSortWeights!$E$2:$E$15,Fact_PreSortWeights!$C$2:$C$15,$A218,Fact_PreSortWeights!$B$2:$B$15,$B218,Fact_PreSortWeights!$F$2:$F$15,$C218))+(SUMIFS(Fact_SortedWeights!$E$2:$E$6,Fact_SortedWeights!$C$2:$C$6,$A218,Fact_SortedWeights!$B$2:$B$6,$B218,Fact_SortedWeights!$D$2:$D$6,$C218,Fact_SortedWeights!$L$2:$L$6,"Yes"))+IF((SUMIFS(Fact_SortedWeights!$E$2:$E$6,Fact_SortedWeights!$C$2:$C$6,$A218,Fact_SortedWeights!$B$2:$B$6,$B218,Fact_SortedWeights!$L$2:$L$6,"No"))=0,0,(SUMIFS(Fact_SortedWeights!$E$2:$E$6,Fact_SortedWeights!$C$2:$C$6,$A218,Fact_SortedWeights!$B$2:$B$6,$B218,Fact_SortedWeights!$D$2:$D$6,$C218,Fact_SortedWeights!$L$2:$L$6,"No"))/(SUMIFS(Fact_SortedWeights!$E$2:$E$6,Fact_SortedWeights!$C$2:$C$6,$A218,Fact_SortedWeights!$B$2:$B$6,$B218,Fact_SortedWeights!$L$2:$L$6,"No"))*((SUMIFS(Fact_PreSortWeights!$E$2:$E$15,Fact_PreSortWeights!$C$2:$C$15,$A218,Fact_PreSortWeights!$B$2:$B$15,$B218,Fact_PreSortWeights!$F$2:$F$15,""))-(SUMIFS(Fact_SortedWeights!$E$2:$E$6,Fact_SortedWeights!$C$2:$C$6,$A218,Fact_SortedWeights!$B$2:$B$6,$B218,Fact_SortedWeights!$L$2:$L$6,"Yes"))))</f>
        <v>0</v>
      </c>
      <c r="G218" s="0" t="n">
        <f aca="false">IF(AND(IF($B218="Trash",INDEX('Materials Master'!$F$2:$F$27,MATCH($C218,'Materials Master'!$A$2:$A$27,0)),IF($B218="GMPC Recycling",INDEX('Materials Master'!$G$2:$G$27,MATCH($C218,'Materials Master'!$A$2:$A$27,0)),IF($B218="Organics Recycling",INDEX('Materials Master'!$H$2:$H$27,MATCH($C218,'Materials Master'!$A$2:$A$27,0)),IF($B218="Cardboard Recycling",INDEX('Materials Master'!$I$2:$I$27,MATCH($C218,'Materials Master'!$A$2:$A$27,0)),IF($B218="Paper Recycling",INDEX('Materials Master'!$J$2:$J$27,MATCH($C218,'Materials Master'!$A$2:$A$27,0)),IF($B218="Terracycle",INDEX('Materials Master'!$K$2:$K$27,MATCH($C218,'Materials Master'!$A$2:$A$27,0)),"No"))))))="Yes",INDEX('Materials Master'!$E$2:$E$27,MATCH($C218,'Materials Master'!$A$2:$A$27,0))="Yes",$B218&lt;&gt;"Trash"),1,0)</f>
        <v>0</v>
      </c>
      <c r="H218" s="0" t="str">
        <f aca="false">INDEX('Materials Master'!$E$2:$E$27,MATCH($C218,'Materials Master'!$A$2:$A$27,0))</f>
        <v>Yes</v>
      </c>
      <c r="I218" s="0" t="str">
        <f aca="false">IFERROR(INDEX(Areas!$C$2:$C$6,MATCH($A218,Areas!$B$2:$B$6,0)),"")</f>
        <v>BOH</v>
      </c>
      <c r="J218" s="0" t="n">
        <f aca="false">IF(IF($B218="Trash",INDEX('Materials Master'!$F$2:$F$27,MATCH($C218,'Materials Master'!$A$2:$A$27,0)),IF($B218="GMPC Recycling",INDEX('Materials Master'!$G$2:$G$27,MATCH($C218,'Materials Master'!$A$2:$A$27,0)),IF($B218="Organics Recycling",INDEX('Materials Master'!$H$2:$H$27,MATCH($C218,'Materials Master'!$A$2:$A$27,0)),IF($B218="Cardboard Recycling",INDEX('Materials Master'!$I$2:$I$27,MATCH($C218,'Materials Master'!$A$2:$A$27,0)),IF($B218="Paper Recycling",INDEX('Materials Master'!$J$2:$J$27,MATCH($C218,'Materials Master'!$A$2:$A$27,0)),IF($B218="Terracycle",INDEX('Materials Master'!$K$2:$K$27,MATCH($C218,'Materials Master'!$A$2:$A$27,0)),"No"))))))="Yes",1,0)</f>
        <v>0</v>
      </c>
    </row>
    <row r="219" customFormat="false" ht="15" hidden="false" customHeight="false" outlineLevel="0" collapsed="false">
      <c r="A219" s="0" t="s">
        <v>94</v>
      </c>
      <c r="B219" s="0" t="s">
        <v>105</v>
      </c>
      <c r="C219" s="0" t="s">
        <v>48</v>
      </c>
      <c r="D219" s="0" t="str">
        <f aca="false">IFERROR(INDEX('Materials Master'!$B$2:$B$27,MATCH($C219,'Materials Master'!$A$2:$A$27,0)),"")</f>
        <v>Soiled Glass</v>
      </c>
      <c r="E219" s="0" t="str">
        <f aca="false">IFERROR(INDEX('Materials Master'!$C$2:$C$27,MATCH($C219,'Materials Master'!$A$2:$A$27,0)),"")</f>
        <v>Glass</v>
      </c>
      <c r="F219" s="0" t="n">
        <f aca="false">(SUMIFS(Fact_PreSortWeights!$E$2:$E$15,Fact_PreSortWeights!$C$2:$C$15,$A219,Fact_PreSortWeights!$B$2:$B$15,$B219,Fact_PreSortWeights!$F$2:$F$15,$C219))+(SUMIFS(Fact_SortedWeights!$E$2:$E$6,Fact_SortedWeights!$C$2:$C$6,$A219,Fact_SortedWeights!$B$2:$B$6,$B219,Fact_SortedWeights!$D$2:$D$6,$C219,Fact_SortedWeights!$L$2:$L$6,"Yes"))+IF((SUMIFS(Fact_SortedWeights!$E$2:$E$6,Fact_SortedWeights!$C$2:$C$6,$A219,Fact_SortedWeights!$B$2:$B$6,$B219,Fact_SortedWeights!$L$2:$L$6,"No"))=0,0,(SUMIFS(Fact_SortedWeights!$E$2:$E$6,Fact_SortedWeights!$C$2:$C$6,$A219,Fact_SortedWeights!$B$2:$B$6,$B219,Fact_SortedWeights!$D$2:$D$6,$C219,Fact_SortedWeights!$L$2:$L$6,"No"))/(SUMIFS(Fact_SortedWeights!$E$2:$E$6,Fact_SortedWeights!$C$2:$C$6,$A219,Fact_SortedWeights!$B$2:$B$6,$B219,Fact_SortedWeights!$L$2:$L$6,"No"))*((SUMIFS(Fact_PreSortWeights!$E$2:$E$15,Fact_PreSortWeights!$C$2:$C$15,$A219,Fact_PreSortWeights!$B$2:$B$15,$B219,Fact_PreSortWeights!$F$2:$F$15,""))-(SUMIFS(Fact_SortedWeights!$E$2:$E$6,Fact_SortedWeights!$C$2:$C$6,$A219,Fact_SortedWeights!$B$2:$B$6,$B219,Fact_SortedWeights!$L$2:$L$6,"Yes"))))</f>
        <v>0</v>
      </c>
      <c r="G219" s="0" t="n">
        <f aca="false">IF(AND(IF($B219="Trash",INDEX('Materials Master'!$F$2:$F$27,MATCH($C219,'Materials Master'!$A$2:$A$27,0)),IF($B219="GMPC Recycling",INDEX('Materials Master'!$G$2:$G$27,MATCH($C219,'Materials Master'!$A$2:$A$27,0)),IF($B219="Organics Recycling",INDEX('Materials Master'!$H$2:$H$27,MATCH($C219,'Materials Master'!$A$2:$A$27,0)),IF($B219="Cardboard Recycling",INDEX('Materials Master'!$I$2:$I$27,MATCH($C219,'Materials Master'!$A$2:$A$27,0)),IF($B219="Paper Recycling",INDEX('Materials Master'!$J$2:$J$27,MATCH($C219,'Materials Master'!$A$2:$A$27,0)),IF($B219="Terracycle",INDEX('Materials Master'!$K$2:$K$27,MATCH($C219,'Materials Master'!$A$2:$A$27,0)),"No"))))))="Yes",INDEX('Materials Master'!$E$2:$E$27,MATCH($C219,'Materials Master'!$A$2:$A$27,0))="Yes",$B219&lt;&gt;"Trash"),1,0)</f>
        <v>0</v>
      </c>
      <c r="H219" s="0" t="str">
        <f aca="false">INDEX('Materials Master'!$E$2:$E$27,MATCH($C219,'Materials Master'!$A$2:$A$27,0))</f>
        <v>No</v>
      </c>
      <c r="I219" s="0" t="str">
        <f aca="false">IFERROR(INDEX(Areas!$C$2:$C$6,MATCH($A219,Areas!$B$2:$B$6,0)),"")</f>
        <v>BOH</v>
      </c>
      <c r="J219" s="0" t="n">
        <f aca="false">IF(IF($B219="Trash",INDEX('Materials Master'!$F$2:$F$27,MATCH($C219,'Materials Master'!$A$2:$A$27,0)),IF($B219="GMPC Recycling",INDEX('Materials Master'!$G$2:$G$27,MATCH($C219,'Materials Master'!$A$2:$A$27,0)),IF($B219="Organics Recycling",INDEX('Materials Master'!$H$2:$H$27,MATCH($C219,'Materials Master'!$A$2:$A$27,0)),IF($B219="Cardboard Recycling",INDEX('Materials Master'!$I$2:$I$27,MATCH($C219,'Materials Master'!$A$2:$A$27,0)),IF($B219="Paper Recycling",INDEX('Materials Master'!$J$2:$J$27,MATCH($C219,'Materials Master'!$A$2:$A$27,0)),IF($B219="Terracycle",INDEX('Materials Master'!$K$2:$K$27,MATCH($C219,'Materials Master'!$A$2:$A$27,0)),"No"))))))="Yes",1,0)</f>
        <v>0</v>
      </c>
    </row>
    <row r="220" customFormat="false" ht="15" hidden="false" customHeight="false" outlineLevel="0" collapsed="false">
      <c r="A220" s="0" t="s">
        <v>94</v>
      </c>
      <c r="B220" s="0" t="s">
        <v>105</v>
      </c>
      <c r="C220" s="0" t="s">
        <v>50</v>
      </c>
      <c r="D220" s="0" t="str">
        <f aca="false">IFERROR(INDEX('Materials Master'!$B$2:$B$27,MATCH($C220,'Materials Master'!$A$2:$A$27,0)),"")</f>
        <v>Aluminum &amp; Bi-Metal Containers</v>
      </c>
      <c r="E220" s="0" t="str">
        <f aca="false">IFERROR(INDEX('Materials Master'!$C$2:$C$27,MATCH($C220,'Materials Master'!$A$2:$A$27,0)),"")</f>
        <v>Metals</v>
      </c>
      <c r="F220" s="0" t="n">
        <f aca="false">(SUMIFS(Fact_PreSortWeights!$E$2:$E$15,Fact_PreSortWeights!$C$2:$C$15,$A220,Fact_PreSortWeights!$B$2:$B$15,$B220,Fact_PreSortWeights!$F$2:$F$15,$C220))+(SUMIFS(Fact_SortedWeights!$E$2:$E$6,Fact_SortedWeights!$C$2:$C$6,$A220,Fact_SortedWeights!$B$2:$B$6,$B220,Fact_SortedWeights!$D$2:$D$6,$C220,Fact_SortedWeights!$L$2:$L$6,"Yes"))+IF((SUMIFS(Fact_SortedWeights!$E$2:$E$6,Fact_SortedWeights!$C$2:$C$6,$A220,Fact_SortedWeights!$B$2:$B$6,$B220,Fact_SortedWeights!$L$2:$L$6,"No"))=0,0,(SUMIFS(Fact_SortedWeights!$E$2:$E$6,Fact_SortedWeights!$C$2:$C$6,$A220,Fact_SortedWeights!$B$2:$B$6,$B220,Fact_SortedWeights!$D$2:$D$6,$C220,Fact_SortedWeights!$L$2:$L$6,"No"))/(SUMIFS(Fact_SortedWeights!$E$2:$E$6,Fact_SortedWeights!$C$2:$C$6,$A220,Fact_SortedWeights!$B$2:$B$6,$B220,Fact_SortedWeights!$L$2:$L$6,"No"))*((SUMIFS(Fact_PreSortWeights!$E$2:$E$15,Fact_PreSortWeights!$C$2:$C$15,$A220,Fact_PreSortWeights!$B$2:$B$15,$B220,Fact_PreSortWeights!$F$2:$F$15,""))-(SUMIFS(Fact_SortedWeights!$E$2:$E$6,Fact_SortedWeights!$C$2:$C$6,$A220,Fact_SortedWeights!$B$2:$B$6,$B220,Fact_SortedWeights!$L$2:$L$6,"Yes"))))</f>
        <v>0</v>
      </c>
      <c r="G220" s="0" t="n">
        <f aca="false">IF(AND(IF($B220="Trash",INDEX('Materials Master'!$F$2:$F$27,MATCH($C220,'Materials Master'!$A$2:$A$27,0)),IF($B220="GMPC Recycling",INDEX('Materials Master'!$G$2:$G$27,MATCH($C220,'Materials Master'!$A$2:$A$27,0)),IF($B220="Organics Recycling",INDEX('Materials Master'!$H$2:$H$27,MATCH($C220,'Materials Master'!$A$2:$A$27,0)),IF($B220="Cardboard Recycling",INDEX('Materials Master'!$I$2:$I$27,MATCH($C220,'Materials Master'!$A$2:$A$27,0)),IF($B220="Paper Recycling",INDEX('Materials Master'!$J$2:$J$27,MATCH($C220,'Materials Master'!$A$2:$A$27,0)),IF($B220="Terracycle",INDEX('Materials Master'!$K$2:$K$27,MATCH($C220,'Materials Master'!$A$2:$A$27,0)),"No"))))))="Yes",INDEX('Materials Master'!$E$2:$E$27,MATCH($C220,'Materials Master'!$A$2:$A$27,0))="Yes",$B220&lt;&gt;"Trash"),1,0)</f>
        <v>0</v>
      </c>
      <c r="H220" s="0" t="str">
        <f aca="false">INDEX('Materials Master'!$E$2:$E$27,MATCH($C220,'Materials Master'!$A$2:$A$27,0))</f>
        <v>Yes</v>
      </c>
      <c r="I220" s="0" t="str">
        <f aca="false">IFERROR(INDEX(Areas!$C$2:$C$6,MATCH($A220,Areas!$B$2:$B$6,0)),"")</f>
        <v>BOH</v>
      </c>
      <c r="J220" s="0" t="n">
        <f aca="false">IF(IF($B220="Trash",INDEX('Materials Master'!$F$2:$F$27,MATCH($C220,'Materials Master'!$A$2:$A$27,0)),IF($B220="GMPC Recycling",INDEX('Materials Master'!$G$2:$G$27,MATCH($C220,'Materials Master'!$A$2:$A$27,0)),IF($B220="Organics Recycling",INDEX('Materials Master'!$H$2:$H$27,MATCH($C220,'Materials Master'!$A$2:$A$27,0)),IF($B220="Cardboard Recycling",INDEX('Materials Master'!$I$2:$I$27,MATCH($C220,'Materials Master'!$A$2:$A$27,0)),IF($B220="Paper Recycling",INDEX('Materials Master'!$J$2:$J$27,MATCH($C220,'Materials Master'!$A$2:$A$27,0)),IF($B220="Terracycle",INDEX('Materials Master'!$K$2:$K$27,MATCH($C220,'Materials Master'!$A$2:$A$27,0)),"No"))))))="Yes",1,0)</f>
        <v>0</v>
      </c>
    </row>
    <row r="221" customFormat="false" ht="15" hidden="false" customHeight="false" outlineLevel="0" collapsed="false">
      <c r="A221" s="0" t="s">
        <v>94</v>
      </c>
      <c r="B221" s="0" t="s">
        <v>105</v>
      </c>
      <c r="C221" s="0" t="s">
        <v>53</v>
      </c>
      <c r="D221" s="0" t="str">
        <f aca="false">IFERROR(INDEX('Materials Master'!$B$2:$B$27,MATCH($C221,'Materials Master'!$A$2:$A$27,0)),"")</f>
        <v>Soiled Metals</v>
      </c>
      <c r="E221" s="0" t="str">
        <f aca="false">IFERROR(INDEX('Materials Master'!$C$2:$C$27,MATCH($C221,'Materials Master'!$A$2:$A$27,0)),"")</f>
        <v>Metals</v>
      </c>
      <c r="F221" s="0" t="n">
        <f aca="false">(SUMIFS(Fact_PreSortWeights!$E$2:$E$15,Fact_PreSortWeights!$C$2:$C$15,$A221,Fact_PreSortWeights!$B$2:$B$15,$B221,Fact_PreSortWeights!$F$2:$F$15,$C221))+(SUMIFS(Fact_SortedWeights!$E$2:$E$6,Fact_SortedWeights!$C$2:$C$6,$A221,Fact_SortedWeights!$B$2:$B$6,$B221,Fact_SortedWeights!$D$2:$D$6,$C221,Fact_SortedWeights!$L$2:$L$6,"Yes"))+IF((SUMIFS(Fact_SortedWeights!$E$2:$E$6,Fact_SortedWeights!$C$2:$C$6,$A221,Fact_SortedWeights!$B$2:$B$6,$B221,Fact_SortedWeights!$L$2:$L$6,"No"))=0,0,(SUMIFS(Fact_SortedWeights!$E$2:$E$6,Fact_SortedWeights!$C$2:$C$6,$A221,Fact_SortedWeights!$B$2:$B$6,$B221,Fact_SortedWeights!$D$2:$D$6,$C221,Fact_SortedWeights!$L$2:$L$6,"No"))/(SUMIFS(Fact_SortedWeights!$E$2:$E$6,Fact_SortedWeights!$C$2:$C$6,$A221,Fact_SortedWeights!$B$2:$B$6,$B221,Fact_SortedWeights!$L$2:$L$6,"No"))*((SUMIFS(Fact_PreSortWeights!$E$2:$E$15,Fact_PreSortWeights!$C$2:$C$15,$A221,Fact_PreSortWeights!$B$2:$B$15,$B221,Fact_PreSortWeights!$F$2:$F$15,""))-(SUMIFS(Fact_SortedWeights!$E$2:$E$6,Fact_SortedWeights!$C$2:$C$6,$A221,Fact_SortedWeights!$B$2:$B$6,$B221,Fact_SortedWeights!$L$2:$L$6,"Yes"))))</f>
        <v>0</v>
      </c>
      <c r="G221" s="0" t="n">
        <f aca="false">IF(AND(IF($B221="Trash",INDEX('Materials Master'!$F$2:$F$27,MATCH($C221,'Materials Master'!$A$2:$A$27,0)),IF($B221="GMPC Recycling",INDEX('Materials Master'!$G$2:$G$27,MATCH($C221,'Materials Master'!$A$2:$A$27,0)),IF($B221="Organics Recycling",INDEX('Materials Master'!$H$2:$H$27,MATCH($C221,'Materials Master'!$A$2:$A$27,0)),IF($B221="Cardboard Recycling",INDEX('Materials Master'!$I$2:$I$27,MATCH($C221,'Materials Master'!$A$2:$A$27,0)),IF($B221="Paper Recycling",INDEX('Materials Master'!$J$2:$J$27,MATCH($C221,'Materials Master'!$A$2:$A$27,0)),IF($B221="Terracycle",INDEX('Materials Master'!$K$2:$K$27,MATCH($C221,'Materials Master'!$A$2:$A$27,0)),"No"))))))="Yes",INDEX('Materials Master'!$E$2:$E$27,MATCH($C221,'Materials Master'!$A$2:$A$27,0))="Yes",$B221&lt;&gt;"Trash"),1,0)</f>
        <v>0</v>
      </c>
      <c r="H221" s="0" t="str">
        <f aca="false">INDEX('Materials Master'!$E$2:$E$27,MATCH($C221,'Materials Master'!$A$2:$A$27,0))</f>
        <v>No</v>
      </c>
      <c r="I221" s="0" t="str">
        <f aca="false">IFERROR(INDEX(Areas!$C$2:$C$6,MATCH($A221,Areas!$B$2:$B$6,0)),"")</f>
        <v>BOH</v>
      </c>
      <c r="J221" s="0" t="n">
        <f aca="false">IF(IF($B221="Trash",INDEX('Materials Master'!$F$2:$F$27,MATCH($C221,'Materials Master'!$A$2:$A$27,0)),IF($B221="GMPC Recycling",INDEX('Materials Master'!$G$2:$G$27,MATCH($C221,'Materials Master'!$A$2:$A$27,0)),IF($B221="Organics Recycling",INDEX('Materials Master'!$H$2:$H$27,MATCH($C221,'Materials Master'!$A$2:$A$27,0)),IF($B221="Cardboard Recycling",INDEX('Materials Master'!$I$2:$I$27,MATCH($C221,'Materials Master'!$A$2:$A$27,0)),IF($B221="Paper Recycling",INDEX('Materials Master'!$J$2:$J$27,MATCH($C221,'Materials Master'!$A$2:$A$27,0)),IF($B221="Terracycle",INDEX('Materials Master'!$K$2:$K$27,MATCH($C221,'Materials Master'!$A$2:$A$27,0)),"No"))))))="Yes",1,0)</f>
        <v>0</v>
      </c>
    </row>
    <row r="222" customFormat="false" ht="15" hidden="false" customHeight="false" outlineLevel="0" collapsed="false">
      <c r="A222" s="0" t="s">
        <v>94</v>
      </c>
      <c r="B222" s="0" t="s">
        <v>105</v>
      </c>
      <c r="C222" s="0" t="s">
        <v>55</v>
      </c>
      <c r="D222" s="0" t="str">
        <f aca="false">IFERROR(INDEX('Materials Master'!$B$2:$B$27,MATCH($C222,'Materials Master'!$A$2:$A$27,0)),"")</f>
        <v>Rigid Plastics (1-6)</v>
      </c>
      <c r="E222" s="0" t="str">
        <f aca="false">IFERROR(INDEX('Materials Master'!$C$2:$C$27,MATCH($C222,'Materials Master'!$A$2:$A$27,0)),"")</f>
        <v>Plastics</v>
      </c>
      <c r="F222" s="0" t="n">
        <f aca="false">(SUMIFS(Fact_PreSortWeights!$E$2:$E$15,Fact_PreSortWeights!$C$2:$C$15,$A222,Fact_PreSortWeights!$B$2:$B$15,$B222,Fact_PreSortWeights!$F$2:$F$15,$C222))+(SUMIFS(Fact_SortedWeights!$E$2:$E$6,Fact_SortedWeights!$C$2:$C$6,$A222,Fact_SortedWeights!$B$2:$B$6,$B222,Fact_SortedWeights!$D$2:$D$6,$C222,Fact_SortedWeights!$L$2:$L$6,"Yes"))+IF((SUMIFS(Fact_SortedWeights!$E$2:$E$6,Fact_SortedWeights!$C$2:$C$6,$A222,Fact_SortedWeights!$B$2:$B$6,$B222,Fact_SortedWeights!$L$2:$L$6,"No"))=0,0,(SUMIFS(Fact_SortedWeights!$E$2:$E$6,Fact_SortedWeights!$C$2:$C$6,$A222,Fact_SortedWeights!$B$2:$B$6,$B222,Fact_SortedWeights!$D$2:$D$6,$C222,Fact_SortedWeights!$L$2:$L$6,"No"))/(SUMIFS(Fact_SortedWeights!$E$2:$E$6,Fact_SortedWeights!$C$2:$C$6,$A222,Fact_SortedWeights!$B$2:$B$6,$B222,Fact_SortedWeights!$L$2:$L$6,"No"))*((SUMIFS(Fact_PreSortWeights!$E$2:$E$15,Fact_PreSortWeights!$C$2:$C$15,$A222,Fact_PreSortWeights!$B$2:$B$15,$B222,Fact_PreSortWeights!$F$2:$F$15,""))-(SUMIFS(Fact_SortedWeights!$E$2:$E$6,Fact_SortedWeights!$C$2:$C$6,$A222,Fact_SortedWeights!$B$2:$B$6,$B222,Fact_SortedWeights!$L$2:$L$6,"Yes"))))</f>
        <v>0</v>
      </c>
      <c r="G222" s="0" t="n">
        <f aca="false">IF(AND(IF($B222="Trash",INDEX('Materials Master'!$F$2:$F$27,MATCH($C222,'Materials Master'!$A$2:$A$27,0)),IF($B222="GMPC Recycling",INDEX('Materials Master'!$G$2:$G$27,MATCH($C222,'Materials Master'!$A$2:$A$27,0)),IF($B222="Organics Recycling",INDEX('Materials Master'!$H$2:$H$27,MATCH($C222,'Materials Master'!$A$2:$A$27,0)),IF($B222="Cardboard Recycling",INDEX('Materials Master'!$I$2:$I$27,MATCH($C222,'Materials Master'!$A$2:$A$27,0)),IF($B222="Paper Recycling",INDEX('Materials Master'!$J$2:$J$27,MATCH($C222,'Materials Master'!$A$2:$A$27,0)),IF($B222="Terracycle",INDEX('Materials Master'!$K$2:$K$27,MATCH($C222,'Materials Master'!$A$2:$A$27,0)),"No"))))))="Yes",INDEX('Materials Master'!$E$2:$E$27,MATCH($C222,'Materials Master'!$A$2:$A$27,0))="Yes",$B222&lt;&gt;"Trash"),1,0)</f>
        <v>0</v>
      </c>
      <c r="H222" s="0" t="str">
        <f aca="false">INDEX('Materials Master'!$E$2:$E$27,MATCH($C222,'Materials Master'!$A$2:$A$27,0))</f>
        <v>Yes</v>
      </c>
      <c r="I222" s="0" t="str">
        <f aca="false">IFERROR(INDEX(Areas!$C$2:$C$6,MATCH($A222,Areas!$B$2:$B$6,0)),"")</f>
        <v>BOH</v>
      </c>
      <c r="J222" s="0" t="n">
        <f aca="false">IF(IF($B222="Trash",INDEX('Materials Master'!$F$2:$F$27,MATCH($C222,'Materials Master'!$A$2:$A$27,0)),IF($B222="GMPC Recycling",INDEX('Materials Master'!$G$2:$G$27,MATCH($C222,'Materials Master'!$A$2:$A$27,0)),IF($B222="Organics Recycling",INDEX('Materials Master'!$H$2:$H$27,MATCH($C222,'Materials Master'!$A$2:$A$27,0)),IF($B222="Cardboard Recycling",INDEX('Materials Master'!$I$2:$I$27,MATCH($C222,'Materials Master'!$A$2:$A$27,0)),IF($B222="Paper Recycling",INDEX('Materials Master'!$J$2:$J$27,MATCH($C222,'Materials Master'!$A$2:$A$27,0)),IF($B222="Terracycle",INDEX('Materials Master'!$K$2:$K$27,MATCH($C222,'Materials Master'!$A$2:$A$27,0)),"No"))))))="Yes",1,0)</f>
        <v>0</v>
      </c>
    </row>
    <row r="223" customFormat="false" ht="15" hidden="false" customHeight="false" outlineLevel="0" collapsed="false">
      <c r="A223" s="0" t="s">
        <v>94</v>
      </c>
      <c r="B223" s="0" t="s">
        <v>105</v>
      </c>
      <c r="C223" s="0" t="s">
        <v>58</v>
      </c>
      <c r="D223" s="0" t="str">
        <f aca="false">IFERROR(INDEX('Materials Master'!$B$2:$B$27,MATCH($C223,'Materials Master'!$A$2:$A$27,0)),"")</f>
        <v>Soiled Rigid Plastics</v>
      </c>
      <c r="E223" s="0" t="str">
        <f aca="false">IFERROR(INDEX('Materials Master'!$C$2:$C$27,MATCH($C223,'Materials Master'!$A$2:$A$27,0)),"")</f>
        <v>Plastics</v>
      </c>
      <c r="F223" s="0" t="n">
        <f aca="false">(SUMIFS(Fact_PreSortWeights!$E$2:$E$15,Fact_PreSortWeights!$C$2:$C$15,$A223,Fact_PreSortWeights!$B$2:$B$15,$B223,Fact_PreSortWeights!$F$2:$F$15,$C223))+(SUMIFS(Fact_SortedWeights!$E$2:$E$6,Fact_SortedWeights!$C$2:$C$6,$A223,Fact_SortedWeights!$B$2:$B$6,$B223,Fact_SortedWeights!$D$2:$D$6,$C223,Fact_SortedWeights!$L$2:$L$6,"Yes"))+IF((SUMIFS(Fact_SortedWeights!$E$2:$E$6,Fact_SortedWeights!$C$2:$C$6,$A223,Fact_SortedWeights!$B$2:$B$6,$B223,Fact_SortedWeights!$L$2:$L$6,"No"))=0,0,(SUMIFS(Fact_SortedWeights!$E$2:$E$6,Fact_SortedWeights!$C$2:$C$6,$A223,Fact_SortedWeights!$B$2:$B$6,$B223,Fact_SortedWeights!$D$2:$D$6,$C223,Fact_SortedWeights!$L$2:$L$6,"No"))/(SUMIFS(Fact_SortedWeights!$E$2:$E$6,Fact_SortedWeights!$C$2:$C$6,$A223,Fact_SortedWeights!$B$2:$B$6,$B223,Fact_SortedWeights!$L$2:$L$6,"No"))*((SUMIFS(Fact_PreSortWeights!$E$2:$E$15,Fact_PreSortWeights!$C$2:$C$15,$A223,Fact_PreSortWeights!$B$2:$B$15,$B223,Fact_PreSortWeights!$F$2:$F$15,""))-(SUMIFS(Fact_SortedWeights!$E$2:$E$6,Fact_SortedWeights!$C$2:$C$6,$A223,Fact_SortedWeights!$B$2:$B$6,$B223,Fact_SortedWeights!$L$2:$L$6,"Yes"))))</f>
        <v>0</v>
      </c>
      <c r="G223" s="0" t="n">
        <f aca="false">IF(AND(IF($B223="Trash",INDEX('Materials Master'!$F$2:$F$27,MATCH($C223,'Materials Master'!$A$2:$A$27,0)),IF($B223="GMPC Recycling",INDEX('Materials Master'!$G$2:$G$27,MATCH($C223,'Materials Master'!$A$2:$A$27,0)),IF($B223="Organics Recycling",INDEX('Materials Master'!$H$2:$H$27,MATCH($C223,'Materials Master'!$A$2:$A$27,0)),IF($B223="Cardboard Recycling",INDEX('Materials Master'!$I$2:$I$27,MATCH($C223,'Materials Master'!$A$2:$A$27,0)),IF($B223="Paper Recycling",INDEX('Materials Master'!$J$2:$J$27,MATCH($C223,'Materials Master'!$A$2:$A$27,0)),IF($B223="Terracycle",INDEX('Materials Master'!$K$2:$K$27,MATCH($C223,'Materials Master'!$A$2:$A$27,0)),"No"))))))="Yes",INDEX('Materials Master'!$E$2:$E$27,MATCH($C223,'Materials Master'!$A$2:$A$27,0))="Yes",$B223&lt;&gt;"Trash"),1,0)</f>
        <v>0</v>
      </c>
      <c r="H223" s="0" t="str">
        <f aca="false">INDEX('Materials Master'!$E$2:$E$27,MATCH($C223,'Materials Master'!$A$2:$A$27,0))</f>
        <v>No</v>
      </c>
      <c r="I223" s="0" t="str">
        <f aca="false">IFERROR(INDEX(Areas!$C$2:$C$6,MATCH($A223,Areas!$B$2:$B$6,0)),"")</f>
        <v>BOH</v>
      </c>
      <c r="J223" s="0" t="n">
        <f aca="false">IF(IF($B223="Trash",INDEX('Materials Master'!$F$2:$F$27,MATCH($C223,'Materials Master'!$A$2:$A$27,0)),IF($B223="GMPC Recycling",INDEX('Materials Master'!$G$2:$G$27,MATCH($C223,'Materials Master'!$A$2:$A$27,0)),IF($B223="Organics Recycling",INDEX('Materials Master'!$H$2:$H$27,MATCH($C223,'Materials Master'!$A$2:$A$27,0)),IF($B223="Cardboard Recycling",INDEX('Materials Master'!$I$2:$I$27,MATCH($C223,'Materials Master'!$A$2:$A$27,0)),IF($B223="Paper Recycling",INDEX('Materials Master'!$J$2:$J$27,MATCH($C223,'Materials Master'!$A$2:$A$27,0)),IF($B223="Terracycle",INDEX('Materials Master'!$K$2:$K$27,MATCH($C223,'Materials Master'!$A$2:$A$27,0)),"No"))))))="Yes",1,0)</f>
        <v>0</v>
      </c>
    </row>
    <row r="224" customFormat="false" ht="15" hidden="false" customHeight="false" outlineLevel="0" collapsed="false">
      <c r="A224" s="0" t="s">
        <v>94</v>
      </c>
      <c r="B224" s="0" t="s">
        <v>105</v>
      </c>
      <c r="C224" s="0" t="s">
        <v>60</v>
      </c>
      <c r="D224" s="0" t="str">
        <f aca="false">IFERROR(INDEX('Materials Master'!$B$2:$B$27,MATCH($C224,'Materials Master'!$A$2:$A$27,0)),"")</f>
        <v>Film Plastics</v>
      </c>
      <c r="E224" s="0" t="str">
        <f aca="false">IFERROR(INDEX('Materials Master'!$C$2:$C$27,MATCH($C224,'Materials Master'!$A$2:$A$27,0)),"")</f>
        <v>Plastics</v>
      </c>
      <c r="F224" s="0" t="n">
        <f aca="false">(SUMIFS(Fact_PreSortWeights!$E$2:$E$15,Fact_PreSortWeights!$C$2:$C$15,$A224,Fact_PreSortWeights!$B$2:$B$15,$B224,Fact_PreSortWeights!$F$2:$F$15,$C224))+(SUMIFS(Fact_SortedWeights!$E$2:$E$6,Fact_SortedWeights!$C$2:$C$6,$A224,Fact_SortedWeights!$B$2:$B$6,$B224,Fact_SortedWeights!$D$2:$D$6,$C224,Fact_SortedWeights!$L$2:$L$6,"Yes"))+IF((SUMIFS(Fact_SortedWeights!$E$2:$E$6,Fact_SortedWeights!$C$2:$C$6,$A224,Fact_SortedWeights!$B$2:$B$6,$B224,Fact_SortedWeights!$L$2:$L$6,"No"))=0,0,(SUMIFS(Fact_SortedWeights!$E$2:$E$6,Fact_SortedWeights!$C$2:$C$6,$A224,Fact_SortedWeights!$B$2:$B$6,$B224,Fact_SortedWeights!$D$2:$D$6,$C224,Fact_SortedWeights!$L$2:$L$6,"No"))/(SUMIFS(Fact_SortedWeights!$E$2:$E$6,Fact_SortedWeights!$C$2:$C$6,$A224,Fact_SortedWeights!$B$2:$B$6,$B224,Fact_SortedWeights!$L$2:$L$6,"No"))*((SUMIFS(Fact_PreSortWeights!$E$2:$E$15,Fact_PreSortWeights!$C$2:$C$15,$A224,Fact_PreSortWeights!$B$2:$B$15,$B224,Fact_PreSortWeights!$F$2:$F$15,""))-(SUMIFS(Fact_SortedWeights!$E$2:$E$6,Fact_SortedWeights!$C$2:$C$6,$A224,Fact_SortedWeights!$B$2:$B$6,$B224,Fact_SortedWeights!$L$2:$L$6,"Yes"))))</f>
        <v>0</v>
      </c>
      <c r="G224" s="0" t="n">
        <f aca="false">IF(AND(IF($B224="Trash",INDEX('Materials Master'!$F$2:$F$27,MATCH($C224,'Materials Master'!$A$2:$A$27,0)),IF($B224="GMPC Recycling",INDEX('Materials Master'!$G$2:$G$27,MATCH($C224,'Materials Master'!$A$2:$A$27,0)),IF($B224="Organics Recycling",INDEX('Materials Master'!$H$2:$H$27,MATCH($C224,'Materials Master'!$A$2:$A$27,0)),IF($B224="Cardboard Recycling",INDEX('Materials Master'!$I$2:$I$27,MATCH($C224,'Materials Master'!$A$2:$A$27,0)),IF($B224="Paper Recycling",INDEX('Materials Master'!$J$2:$J$27,MATCH($C224,'Materials Master'!$A$2:$A$27,0)),IF($B224="Terracycle",INDEX('Materials Master'!$K$2:$K$27,MATCH($C224,'Materials Master'!$A$2:$A$27,0)),"No"))))))="Yes",INDEX('Materials Master'!$E$2:$E$27,MATCH($C224,'Materials Master'!$A$2:$A$27,0))="Yes",$B224&lt;&gt;"Trash"),1,0)</f>
        <v>0</v>
      </c>
      <c r="H224" s="0" t="str">
        <f aca="false">INDEX('Materials Master'!$E$2:$E$27,MATCH($C224,'Materials Master'!$A$2:$A$27,0))</f>
        <v>No</v>
      </c>
      <c r="I224" s="0" t="str">
        <f aca="false">IFERROR(INDEX(Areas!$C$2:$C$6,MATCH($A224,Areas!$B$2:$B$6,0)),"")</f>
        <v>BOH</v>
      </c>
      <c r="J224" s="0" t="n">
        <f aca="false">IF(IF($B224="Trash",INDEX('Materials Master'!$F$2:$F$27,MATCH($C224,'Materials Master'!$A$2:$A$27,0)),IF($B224="GMPC Recycling",INDEX('Materials Master'!$G$2:$G$27,MATCH($C224,'Materials Master'!$A$2:$A$27,0)),IF($B224="Organics Recycling",INDEX('Materials Master'!$H$2:$H$27,MATCH($C224,'Materials Master'!$A$2:$A$27,0)),IF($B224="Cardboard Recycling",INDEX('Materials Master'!$I$2:$I$27,MATCH($C224,'Materials Master'!$A$2:$A$27,0)),IF($B224="Paper Recycling",INDEX('Materials Master'!$J$2:$J$27,MATCH($C224,'Materials Master'!$A$2:$A$27,0)),IF($B224="Terracycle",INDEX('Materials Master'!$K$2:$K$27,MATCH($C224,'Materials Master'!$A$2:$A$27,0)),"No"))))))="Yes",1,0)</f>
        <v>0</v>
      </c>
    </row>
    <row r="225" customFormat="false" ht="15" hidden="false" customHeight="false" outlineLevel="0" collapsed="false">
      <c r="A225" s="0" t="s">
        <v>94</v>
      </c>
      <c r="B225" s="0" t="s">
        <v>105</v>
      </c>
      <c r="C225" s="0" t="s">
        <v>62</v>
      </c>
      <c r="D225" s="0" t="str">
        <f aca="false">IFERROR(INDEX('Materials Master'!$B$2:$B$27,MATCH($C225,'Materials Master'!$A$2:$A$27,0)),"")</f>
        <v>Foams</v>
      </c>
      <c r="E225" s="0" t="str">
        <f aca="false">IFERROR(INDEX('Materials Master'!$C$2:$C$27,MATCH($C225,'Materials Master'!$A$2:$A$27,0)),"")</f>
        <v>Plastics</v>
      </c>
      <c r="F225" s="0" t="n">
        <f aca="false">(SUMIFS(Fact_PreSortWeights!$E$2:$E$15,Fact_PreSortWeights!$C$2:$C$15,$A225,Fact_PreSortWeights!$B$2:$B$15,$B225,Fact_PreSortWeights!$F$2:$F$15,$C225))+(SUMIFS(Fact_SortedWeights!$E$2:$E$6,Fact_SortedWeights!$C$2:$C$6,$A225,Fact_SortedWeights!$B$2:$B$6,$B225,Fact_SortedWeights!$D$2:$D$6,$C225,Fact_SortedWeights!$L$2:$L$6,"Yes"))+IF((SUMIFS(Fact_SortedWeights!$E$2:$E$6,Fact_SortedWeights!$C$2:$C$6,$A225,Fact_SortedWeights!$B$2:$B$6,$B225,Fact_SortedWeights!$L$2:$L$6,"No"))=0,0,(SUMIFS(Fact_SortedWeights!$E$2:$E$6,Fact_SortedWeights!$C$2:$C$6,$A225,Fact_SortedWeights!$B$2:$B$6,$B225,Fact_SortedWeights!$D$2:$D$6,$C225,Fact_SortedWeights!$L$2:$L$6,"No"))/(SUMIFS(Fact_SortedWeights!$E$2:$E$6,Fact_SortedWeights!$C$2:$C$6,$A225,Fact_SortedWeights!$B$2:$B$6,$B225,Fact_SortedWeights!$L$2:$L$6,"No"))*((SUMIFS(Fact_PreSortWeights!$E$2:$E$15,Fact_PreSortWeights!$C$2:$C$15,$A225,Fact_PreSortWeights!$B$2:$B$15,$B225,Fact_PreSortWeights!$F$2:$F$15,""))-(SUMIFS(Fact_SortedWeights!$E$2:$E$6,Fact_SortedWeights!$C$2:$C$6,$A225,Fact_SortedWeights!$B$2:$B$6,$B225,Fact_SortedWeights!$L$2:$L$6,"Yes"))))</f>
        <v>0</v>
      </c>
      <c r="G225" s="0" t="n">
        <f aca="false">IF(AND(IF($B225="Trash",INDEX('Materials Master'!$F$2:$F$27,MATCH($C225,'Materials Master'!$A$2:$A$27,0)),IF($B225="GMPC Recycling",INDEX('Materials Master'!$G$2:$G$27,MATCH($C225,'Materials Master'!$A$2:$A$27,0)),IF($B225="Organics Recycling",INDEX('Materials Master'!$H$2:$H$27,MATCH($C225,'Materials Master'!$A$2:$A$27,0)),IF($B225="Cardboard Recycling",INDEX('Materials Master'!$I$2:$I$27,MATCH($C225,'Materials Master'!$A$2:$A$27,0)),IF($B225="Paper Recycling",INDEX('Materials Master'!$J$2:$J$27,MATCH($C225,'Materials Master'!$A$2:$A$27,0)),IF($B225="Terracycle",INDEX('Materials Master'!$K$2:$K$27,MATCH($C225,'Materials Master'!$A$2:$A$27,0)),"No"))))))="Yes",INDEX('Materials Master'!$E$2:$E$27,MATCH($C225,'Materials Master'!$A$2:$A$27,0))="Yes",$B225&lt;&gt;"Trash"),1,0)</f>
        <v>0</v>
      </c>
      <c r="H225" s="0" t="str">
        <f aca="false">INDEX('Materials Master'!$E$2:$E$27,MATCH($C225,'Materials Master'!$A$2:$A$27,0))</f>
        <v>No</v>
      </c>
      <c r="I225" s="0" t="str">
        <f aca="false">IFERROR(INDEX(Areas!$C$2:$C$6,MATCH($A225,Areas!$B$2:$B$6,0)),"")</f>
        <v>BOH</v>
      </c>
      <c r="J225" s="0" t="n">
        <f aca="false">IF(IF($B225="Trash",INDEX('Materials Master'!$F$2:$F$27,MATCH($C225,'Materials Master'!$A$2:$A$27,0)),IF($B225="GMPC Recycling",INDEX('Materials Master'!$G$2:$G$27,MATCH($C225,'Materials Master'!$A$2:$A$27,0)),IF($B225="Organics Recycling",INDEX('Materials Master'!$H$2:$H$27,MATCH($C225,'Materials Master'!$A$2:$A$27,0)),IF($B225="Cardboard Recycling",INDEX('Materials Master'!$I$2:$I$27,MATCH($C225,'Materials Master'!$A$2:$A$27,0)),IF($B225="Paper Recycling",INDEX('Materials Master'!$J$2:$J$27,MATCH($C225,'Materials Master'!$A$2:$A$27,0)),IF($B225="Terracycle",INDEX('Materials Master'!$K$2:$K$27,MATCH($C225,'Materials Master'!$A$2:$A$27,0)),"No"))))))="Yes",1,0)</f>
        <v>0</v>
      </c>
    </row>
    <row r="226" customFormat="false" ht="15" hidden="false" customHeight="false" outlineLevel="0" collapsed="false">
      <c r="A226" s="0" t="s">
        <v>94</v>
      </c>
      <c r="B226" s="0" t="s">
        <v>105</v>
      </c>
      <c r="C226" s="0" t="s">
        <v>64</v>
      </c>
      <c r="D226" s="0" t="str">
        <f aca="false">IFERROR(INDEX('Materials Master'!$B$2:$B$27,MATCH($C226,'Materials Master'!$A$2:$A$27,0)),"")</f>
        <v>Food Waste</v>
      </c>
      <c r="E226" s="0" t="str">
        <f aca="false">IFERROR(INDEX('Materials Master'!$C$2:$C$27,MATCH($C226,'Materials Master'!$A$2:$A$27,0)),"")</f>
        <v>Organics</v>
      </c>
      <c r="F226" s="0" t="n">
        <f aca="false">(SUMIFS(Fact_PreSortWeights!$E$2:$E$15,Fact_PreSortWeights!$C$2:$C$15,$A226,Fact_PreSortWeights!$B$2:$B$15,$B226,Fact_PreSortWeights!$F$2:$F$15,$C226))+(SUMIFS(Fact_SortedWeights!$E$2:$E$6,Fact_SortedWeights!$C$2:$C$6,$A226,Fact_SortedWeights!$B$2:$B$6,$B226,Fact_SortedWeights!$D$2:$D$6,$C226,Fact_SortedWeights!$L$2:$L$6,"Yes"))+IF((SUMIFS(Fact_SortedWeights!$E$2:$E$6,Fact_SortedWeights!$C$2:$C$6,$A226,Fact_SortedWeights!$B$2:$B$6,$B226,Fact_SortedWeights!$L$2:$L$6,"No"))=0,0,(SUMIFS(Fact_SortedWeights!$E$2:$E$6,Fact_SortedWeights!$C$2:$C$6,$A226,Fact_SortedWeights!$B$2:$B$6,$B226,Fact_SortedWeights!$D$2:$D$6,$C226,Fact_SortedWeights!$L$2:$L$6,"No"))/(SUMIFS(Fact_SortedWeights!$E$2:$E$6,Fact_SortedWeights!$C$2:$C$6,$A226,Fact_SortedWeights!$B$2:$B$6,$B226,Fact_SortedWeights!$L$2:$L$6,"No"))*((SUMIFS(Fact_PreSortWeights!$E$2:$E$15,Fact_PreSortWeights!$C$2:$C$15,$A226,Fact_PreSortWeights!$B$2:$B$15,$B226,Fact_PreSortWeights!$F$2:$F$15,""))-(SUMIFS(Fact_SortedWeights!$E$2:$E$6,Fact_SortedWeights!$C$2:$C$6,$A226,Fact_SortedWeights!$B$2:$B$6,$B226,Fact_SortedWeights!$L$2:$L$6,"Yes"))))</f>
        <v>0</v>
      </c>
      <c r="G226" s="0" t="n">
        <f aca="false">IF(AND(IF($B226="Trash",INDEX('Materials Master'!$F$2:$F$27,MATCH($C226,'Materials Master'!$A$2:$A$27,0)),IF($B226="GMPC Recycling",INDEX('Materials Master'!$G$2:$G$27,MATCH($C226,'Materials Master'!$A$2:$A$27,0)),IF($B226="Organics Recycling",INDEX('Materials Master'!$H$2:$H$27,MATCH($C226,'Materials Master'!$A$2:$A$27,0)),IF($B226="Cardboard Recycling",INDEX('Materials Master'!$I$2:$I$27,MATCH($C226,'Materials Master'!$A$2:$A$27,0)),IF($B226="Paper Recycling",INDEX('Materials Master'!$J$2:$J$27,MATCH($C226,'Materials Master'!$A$2:$A$27,0)),IF($B226="Terracycle",INDEX('Materials Master'!$K$2:$K$27,MATCH($C226,'Materials Master'!$A$2:$A$27,0)),"No"))))))="Yes",INDEX('Materials Master'!$E$2:$E$27,MATCH($C226,'Materials Master'!$A$2:$A$27,0))="Yes",$B226&lt;&gt;"Trash"),1,0)</f>
        <v>1</v>
      </c>
      <c r="H226" s="0" t="str">
        <f aca="false">INDEX('Materials Master'!$E$2:$E$27,MATCH($C226,'Materials Master'!$A$2:$A$27,0))</f>
        <v>Yes</v>
      </c>
      <c r="I226" s="0" t="str">
        <f aca="false">IFERROR(INDEX(Areas!$C$2:$C$6,MATCH($A226,Areas!$B$2:$B$6,0)),"")</f>
        <v>BOH</v>
      </c>
      <c r="J226" s="0" t="n">
        <f aca="false">IF(IF($B226="Trash",INDEX('Materials Master'!$F$2:$F$27,MATCH($C226,'Materials Master'!$A$2:$A$27,0)),IF($B226="GMPC Recycling",INDEX('Materials Master'!$G$2:$G$27,MATCH($C226,'Materials Master'!$A$2:$A$27,0)),IF($B226="Organics Recycling",INDEX('Materials Master'!$H$2:$H$27,MATCH($C226,'Materials Master'!$A$2:$A$27,0)),IF($B226="Cardboard Recycling",INDEX('Materials Master'!$I$2:$I$27,MATCH($C226,'Materials Master'!$A$2:$A$27,0)),IF($B226="Paper Recycling",INDEX('Materials Master'!$J$2:$J$27,MATCH($C226,'Materials Master'!$A$2:$A$27,0)),IF($B226="Terracycle",INDEX('Materials Master'!$K$2:$K$27,MATCH($C226,'Materials Master'!$A$2:$A$27,0)),"No"))))))="Yes",1,0)</f>
        <v>1</v>
      </c>
    </row>
    <row r="227" customFormat="false" ht="15" hidden="false" customHeight="false" outlineLevel="0" collapsed="false">
      <c r="A227" s="0" t="s">
        <v>94</v>
      </c>
      <c r="B227" s="0" t="s">
        <v>105</v>
      </c>
      <c r="C227" s="0" t="s">
        <v>67</v>
      </c>
      <c r="D227" s="0" t="str">
        <f aca="false">IFERROR(INDEX('Materials Master'!$B$2:$B$27,MATCH($C227,'Materials Master'!$A$2:$A$27,0)),"")</f>
        <v>Paper Fibers and Food-Soiled Paper (FSP)</v>
      </c>
      <c r="E227" s="0" t="str">
        <f aca="false">IFERROR(INDEX('Materials Master'!$C$2:$C$27,MATCH($C227,'Materials Master'!$A$2:$A$27,0)),"")</f>
        <v>Organics</v>
      </c>
      <c r="F227" s="0" t="n">
        <f aca="false">(SUMIFS(Fact_PreSortWeights!$E$2:$E$15,Fact_PreSortWeights!$C$2:$C$15,$A227,Fact_PreSortWeights!$B$2:$B$15,$B227,Fact_PreSortWeights!$F$2:$F$15,$C227))+(SUMIFS(Fact_SortedWeights!$E$2:$E$6,Fact_SortedWeights!$C$2:$C$6,$A227,Fact_SortedWeights!$B$2:$B$6,$B227,Fact_SortedWeights!$D$2:$D$6,$C227,Fact_SortedWeights!$L$2:$L$6,"Yes"))+IF((SUMIFS(Fact_SortedWeights!$E$2:$E$6,Fact_SortedWeights!$C$2:$C$6,$A227,Fact_SortedWeights!$B$2:$B$6,$B227,Fact_SortedWeights!$L$2:$L$6,"No"))=0,0,(SUMIFS(Fact_SortedWeights!$E$2:$E$6,Fact_SortedWeights!$C$2:$C$6,$A227,Fact_SortedWeights!$B$2:$B$6,$B227,Fact_SortedWeights!$D$2:$D$6,$C227,Fact_SortedWeights!$L$2:$L$6,"No"))/(SUMIFS(Fact_SortedWeights!$E$2:$E$6,Fact_SortedWeights!$C$2:$C$6,$A227,Fact_SortedWeights!$B$2:$B$6,$B227,Fact_SortedWeights!$L$2:$L$6,"No"))*((SUMIFS(Fact_PreSortWeights!$E$2:$E$15,Fact_PreSortWeights!$C$2:$C$15,$A227,Fact_PreSortWeights!$B$2:$B$15,$B227,Fact_PreSortWeights!$F$2:$F$15,""))-(SUMIFS(Fact_SortedWeights!$E$2:$E$6,Fact_SortedWeights!$C$2:$C$6,$A227,Fact_SortedWeights!$B$2:$B$6,$B227,Fact_SortedWeights!$L$2:$L$6,"Yes"))))</f>
        <v>0</v>
      </c>
      <c r="G227" s="0" t="n">
        <f aca="false">IF(AND(IF($B227="Trash",INDEX('Materials Master'!$F$2:$F$27,MATCH($C227,'Materials Master'!$A$2:$A$27,0)),IF($B227="GMPC Recycling",INDEX('Materials Master'!$G$2:$G$27,MATCH($C227,'Materials Master'!$A$2:$A$27,0)),IF($B227="Organics Recycling",INDEX('Materials Master'!$H$2:$H$27,MATCH($C227,'Materials Master'!$A$2:$A$27,0)),IF($B227="Cardboard Recycling",INDEX('Materials Master'!$I$2:$I$27,MATCH($C227,'Materials Master'!$A$2:$A$27,0)),IF($B227="Paper Recycling",INDEX('Materials Master'!$J$2:$J$27,MATCH($C227,'Materials Master'!$A$2:$A$27,0)),IF($B227="Terracycle",INDEX('Materials Master'!$K$2:$K$27,MATCH($C227,'Materials Master'!$A$2:$A$27,0)),"No"))))))="Yes",INDEX('Materials Master'!$E$2:$E$27,MATCH($C227,'Materials Master'!$A$2:$A$27,0))="Yes",$B227&lt;&gt;"Trash"),1,0)</f>
        <v>0</v>
      </c>
      <c r="H227" s="0" t="str">
        <f aca="false">INDEX('Materials Master'!$E$2:$E$27,MATCH($C227,'Materials Master'!$A$2:$A$27,0))</f>
        <v>No</v>
      </c>
      <c r="I227" s="0" t="str">
        <f aca="false">IFERROR(INDEX(Areas!$C$2:$C$6,MATCH($A227,Areas!$B$2:$B$6,0)),"")</f>
        <v>BOH</v>
      </c>
      <c r="J227" s="0" t="n">
        <f aca="false">IF(IF($B227="Trash",INDEX('Materials Master'!$F$2:$F$27,MATCH($C227,'Materials Master'!$A$2:$A$27,0)),IF($B227="GMPC Recycling",INDEX('Materials Master'!$G$2:$G$27,MATCH($C227,'Materials Master'!$A$2:$A$27,0)),IF($B227="Organics Recycling",INDEX('Materials Master'!$H$2:$H$27,MATCH($C227,'Materials Master'!$A$2:$A$27,0)),IF($B227="Cardboard Recycling",INDEX('Materials Master'!$I$2:$I$27,MATCH($C227,'Materials Master'!$A$2:$A$27,0)),IF($B227="Paper Recycling",INDEX('Materials Master'!$J$2:$J$27,MATCH($C227,'Materials Master'!$A$2:$A$27,0)),IF($B227="Terracycle",INDEX('Materials Master'!$K$2:$K$27,MATCH($C227,'Materials Master'!$A$2:$A$27,0)),"No"))))))="Yes",1,0)</f>
        <v>0</v>
      </c>
    </row>
    <row r="228" customFormat="false" ht="15" hidden="false" customHeight="false" outlineLevel="0" collapsed="false">
      <c r="A228" s="0" t="s">
        <v>94</v>
      </c>
      <c r="B228" s="0" t="s">
        <v>105</v>
      </c>
      <c r="C228" s="0" t="s">
        <v>69</v>
      </c>
      <c r="D228" s="0" t="str">
        <f aca="false">IFERROR(INDEX('Materials Master'!$B$2:$B$27,MATCH($C228,'Materials Master'!$A$2:$A$27,0)),"")</f>
        <v>Fiber-based Compostable Serviceware</v>
      </c>
      <c r="E228" s="0" t="str">
        <f aca="false">IFERROR(INDEX('Materials Master'!$C$2:$C$27,MATCH($C228,'Materials Master'!$A$2:$A$27,0)),"")</f>
        <v>Organics</v>
      </c>
      <c r="F228" s="0" t="n">
        <f aca="false">(SUMIFS(Fact_PreSortWeights!$E$2:$E$15,Fact_PreSortWeights!$C$2:$C$15,$A228,Fact_PreSortWeights!$B$2:$B$15,$B228,Fact_PreSortWeights!$F$2:$F$15,$C228))+(SUMIFS(Fact_SortedWeights!$E$2:$E$6,Fact_SortedWeights!$C$2:$C$6,$A228,Fact_SortedWeights!$B$2:$B$6,$B228,Fact_SortedWeights!$D$2:$D$6,$C228,Fact_SortedWeights!$L$2:$L$6,"Yes"))+IF((SUMIFS(Fact_SortedWeights!$E$2:$E$6,Fact_SortedWeights!$C$2:$C$6,$A228,Fact_SortedWeights!$B$2:$B$6,$B228,Fact_SortedWeights!$L$2:$L$6,"No"))=0,0,(SUMIFS(Fact_SortedWeights!$E$2:$E$6,Fact_SortedWeights!$C$2:$C$6,$A228,Fact_SortedWeights!$B$2:$B$6,$B228,Fact_SortedWeights!$D$2:$D$6,$C228,Fact_SortedWeights!$L$2:$L$6,"No"))/(SUMIFS(Fact_SortedWeights!$E$2:$E$6,Fact_SortedWeights!$C$2:$C$6,$A228,Fact_SortedWeights!$B$2:$B$6,$B228,Fact_SortedWeights!$L$2:$L$6,"No"))*((SUMIFS(Fact_PreSortWeights!$E$2:$E$15,Fact_PreSortWeights!$C$2:$C$15,$A228,Fact_PreSortWeights!$B$2:$B$15,$B228,Fact_PreSortWeights!$F$2:$F$15,""))-(SUMIFS(Fact_SortedWeights!$E$2:$E$6,Fact_SortedWeights!$C$2:$C$6,$A228,Fact_SortedWeights!$B$2:$B$6,$B228,Fact_SortedWeights!$L$2:$L$6,"Yes"))))</f>
        <v>0</v>
      </c>
      <c r="G228" s="0" t="n">
        <f aca="false">IF(AND(IF($B228="Trash",INDEX('Materials Master'!$F$2:$F$27,MATCH($C228,'Materials Master'!$A$2:$A$27,0)),IF($B228="GMPC Recycling",INDEX('Materials Master'!$G$2:$G$27,MATCH($C228,'Materials Master'!$A$2:$A$27,0)),IF($B228="Organics Recycling",INDEX('Materials Master'!$H$2:$H$27,MATCH($C228,'Materials Master'!$A$2:$A$27,0)),IF($B228="Cardboard Recycling",INDEX('Materials Master'!$I$2:$I$27,MATCH($C228,'Materials Master'!$A$2:$A$27,0)),IF($B228="Paper Recycling",INDEX('Materials Master'!$J$2:$J$27,MATCH($C228,'Materials Master'!$A$2:$A$27,0)),IF($B228="Terracycle",INDEX('Materials Master'!$K$2:$K$27,MATCH($C228,'Materials Master'!$A$2:$A$27,0)),"No"))))))="Yes",INDEX('Materials Master'!$E$2:$E$27,MATCH($C228,'Materials Master'!$A$2:$A$27,0))="Yes",$B228&lt;&gt;"Trash"),1,0)</f>
        <v>0</v>
      </c>
      <c r="H228" s="0" t="str">
        <f aca="false">INDEX('Materials Master'!$E$2:$E$27,MATCH($C228,'Materials Master'!$A$2:$A$27,0))</f>
        <v>No</v>
      </c>
      <c r="I228" s="0" t="str">
        <f aca="false">IFERROR(INDEX(Areas!$C$2:$C$6,MATCH($A228,Areas!$B$2:$B$6,0)),"")</f>
        <v>BOH</v>
      </c>
      <c r="J228" s="0" t="n">
        <f aca="false">IF(IF($B228="Trash",INDEX('Materials Master'!$F$2:$F$27,MATCH($C228,'Materials Master'!$A$2:$A$27,0)),IF($B228="GMPC Recycling",INDEX('Materials Master'!$G$2:$G$27,MATCH($C228,'Materials Master'!$A$2:$A$27,0)),IF($B228="Organics Recycling",INDEX('Materials Master'!$H$2:$H$27,MATCH($C228,'Materials Master'!$A$2:$A$27,0)),IF($B228="Cardboard Recycling",INDEX('Materials Master'!$I$2:$I$27,MATCH($C228,'Materials Master'!$A$2:$A$27,0)),IF($B228="Paper Recycling",INDEX('Materials Master'!$J$2:$J$27,MATCH($C228,'Materials Master'!$A$2:$A$27,0)),IF($B228="Terracycle",INDEX('Materials Master'!$K$2:$K$27,MATCH($C228,'Materials Master'!$A$2:$A$27,0)),"No"))))))="Yes",1,0)</f>
        <v>0</v>
      </c>
    </row>
    <row r="229" customFormat="false" ht="15" hidden="false" customHeight="false" outlineLevel="0" collapsed="false">
      <c r="A229" s="0" t="s">
        <v>94</v>
      </c>
      <c r="B229" s="0" t="s">
        <v>105</v>
      </c>
      <c r="C229" s="0" t="s">
        <v>71</v>
      </c>
      <c r="D229" s="0" t="str">
        <f aca="false">IFERROR(INDEX('Materials Master'!$B$2:$B$27,MATCH($C229,'Materials Master'!$A$2:$A$27,0)),"")</f>
        <v>PLA Compostable Serviceware</v>
      </c>
      <c r="E229" s="0" t="str">
        <f aca="false">IFERROR(INDEX('Materials Master'!$C$2:$C$27,MATCH($C229,'Materials Master'!$A$2:$A$27,0)),"")</f>
        <v>Organics</v>
      </c>
      <c r="F229" s="0" t="n">
        <f aca="false">(SUMIFS(Fact_PreSortWeights!$E$2:$E$15,Fact_PreSortWeights!$C$2:$C$15,$A229,Fact_PreSortWeights!$B$2:$B$15,$B229,Fact_PreSortWeights!$F$2:$F$15,$C229))+(SUMIFS(Fact_SortedWeights!$E$2:$E$6,Fact_SortedWeights!$C$2:$C$6,$A229,Fact_SortedWeights!$B$2:$B$6,$B229,Fact_SortedWeights!$D$2:$D$6,$C229,Fact_SortedWeights!$L$2:$L$6,"Yes"))+IF((SUMIFS(Fact_SortedWeights!$E$2:$E$6,Fact_SortedWeights!$C$2:$C$6,$A229,Fact_SortedWeights!$B$2:$B$6,$B229,Fact_SortedWeights!$L$2:$L$6,"No"))=0,0,(SUMIFS(Fact_SortedWeights!$E$2:$E$6,Fact_SortedWeights!$C$2:$C$6,$A229,Fact_SortedWeights!$B$2:$B$6,$B229,Fact_SortedWeights!$D$2:$D$6,$C229,Fact_SortedWeights!$L$2:$L$6,"No"))/(SUMIFS(Fact_SortedWeights!$E$2:$E$6,Fact_SortedWeights!$C$2:$C$6,$A229,Fact_SortedWeights!$B$2:$B$6,$B229,Fact_SortedWeights!$L$2:$L$6,"No"))*((SUMIFS(Fact_PreSortWeights!$E$2:$E$15,Fact_PreSortWeights!$C$2:$C$15,$A229,Fact_PreSortWeights!$B$2:$B$15,$B229,Fact_PreSortWeights!$F$2:$F$15,""))-(SUMIFS(Fact_SortedWeights!$E$2:$E$6,Fact_SortedWeights!$C$2:$C$6,$A229,Fact_SortedWeights!$B$2:$B$6,$B229,Fact_SortedWeights!$L$2:$L$6,"Yes"))))</f>
        <v>0</v>
      </c>
      <c r="G229" s="0" t="n">
        <f aca="false">IF(AND(IF($B229="Trash",INDEX('Materials Master'!$F$2:$F$27,MATCH($C229,'Materials Master'!$A$2:$A$27,0)),IF($B229="GMPC Recycling",INDEX('Materials Master'!$G$2:$G$27,MATCH($C229,'Materials Master'!$A$2:$A$27,0)),IF($B229="Organics Recycling",INDEX('Materials Master'!$H$2:$H$27,MATCH($C229,'Materials Master'!$A$2:$A$27,0)),IF($B229="Cardboard Recycling",INDEX('Materials Master'!$I$2:$I$27,MATCH($C229,'Materials Master'!$A$2:$A$27,0)),IF($B229="Paper Recycling",INDEX('Materials Master'!$J$2:$J$27,MATCH($C229,'Materials Master'!$A$2:$A$27,0)),IF($B229="Terracycle",INDEX('Materials Master'!$K$2:$K$27,MATCH($C229,'Materials Master'!$A$2:$A$27,0)),"No"))))))="Yes",INDEX('Materials Master'!$E$2:$E$27,MATCH($C229,'Materials Master'!$A$2:$A$27,0))="Yes",$B229&lt;&gt;"Trash"),1,0)</f>
        <v>0</v>
      </c>
      <c r="H229" s="0" t="str">
        <f aca="false">INDEX('Materials Master'!$E$2:$E$27,MATCH($C229,'Materials Master'!$A$2:$A$27,0))</f>
        <v>No</v>
      </c>
      <c r="I229" s="0" t="str">
        <f aca="false">IFERROR(INDEX(Areas!$C$2:$C$6,MATCH($A229,Areas!$B$2:$B$6,0)),"")</f>
        <v>BOH</v>
      </c>
      <c r="J229" s="0" t="n">
        <f aca="false">IF(IF($B229="Trash",INDEX('Materials Master'!$F$2:$F$27,MATCH($C229,'Materials Master'!$A$2:$A$27,0)),IF($B229="GMPC Recycling",INDEX('Materials Master'!$G$2:$G$27,MATCH($C229,'Materials Master'!$A$2:$A$27,0)),IF($B229="Organics Recycling",INDEX('Materials Master'!$H$2:$H$27,MATCH($C229,'Materials Master'!$A$2:$A$27,0)),IF($B229="Cardboard Recycling",INDEX('Materials Master'!$I$2:$I$27,MATCH($C229,'Materials Master'!$A$2:$A$27,0)),IF($B229="Paper Recycling",INDEX('Materials Master'!$J$2:$J$27,MATCH($C229,'Materials Master'!$A$2:$A$27,0)),IF($B229="Terracycle",INDEX('Materials Master'!$K$2:$K$27,MATCH($C229,'Materials Master'!$A$2:$A$27,0)),"No"))))))="Yes",1,0)</f>
        <v>0</v>
      </c>
    </row>
    <row r="230" customFormat="false" ht="15" hidden="false" customHeight="false" outlineLevel="0" collapsed="false">
      <c r="A230" s="0" t="s">
        <v>94</v>
      </c>
      <c r="B230" s="0" t="s">
        <v>105</v>
      </c>
      <c r="C230" s="0" t="s">
        <v>73</v>
      </c>
      <c r="D230" s="0" t="str">
        <f aca="false">IFERROR(INDEX('Materials Master'!$B$2:$B$27,MATCH($C230,'Materials Master'!$A$2:$A$27,0)),"")</f>
        <v>E/U Waste</v>
      </c>
      <c r="E230" s="0" t="str">
        <f aca="false">IFERROR(INDEX('Materials Master'!$C$2:$C$27,MATCH($C230,'Materials Master'!$A$2:$A$27,0)),"")</f>
        <v>Unacceptable</v>
      </c>
      <c r="F230" s="0" t="n">
        <f aca="false">(SUMIFS(Fact_PreSortWeights!$E$2:$E$15,Fact_PreSortWeights!$C$2:$C$15,$A230,Fact_PreSortWeights!$B$2:$B$15,$B230,Fact_PreSortWeights!$F$2:$F$15,$C230))+(SUMIFS(Fact_SortedWeights!$E$2:$E$6,Fact_SortedWeights!$C$2:$C$6,$A230,Fact_SortedWeights!$B$2:$B$6,$B230,Fact_SortedWeights!$D$2:$D$6,$C230,Fact_SortedWeights!$L$2:$L$6,"Yes"))+IF((SUMIFS(Fact_SortedWeights!$E$2:$E$6,Fact_SortedWeights!$C$2:$C$6,$A230,Fact_SortedWeights!$B$2:$B$6,$B230,Fact_SortedWeights!$L$2:$L$6,"No"))=0,0,(SUMIFS(Fact_SortedWeights!$E$2:$E$6,Fact_SortedWeights!$C$2:$C$6,$A230,Fact_SortedWeights!$B$2:$B$6,$B230,Fact_SortedWeights!$D$2:$D$6,$C230,Fact_SortedWeights!$L$2:$L$6,"No"))/(SUMIFS(Fact_SortedWeights!$E$2:$E$6,Fact_SortedWeights!$C$2:$C$6,$A230,Fact_SortedWeights!$B$2:$B$6,$B230,Fact_SortedWeights!$L$2:$L$6,"No"))*((SUMIFS(Fact_PreSortWeights!$E$2:$E$15,Fact_PreSortWeights!$C$2:$C$15,$A230,Fact_PreSortWeights!$B$2:$B$15,$B230,Fact_PreSortWeights!$F$2:$F$15,""))-(SUMIFS(Fact_SortedWeights!$E$2:$E$6,Fact_SortedWeights!$C$2:$C$6,$A230,Fact_SortedWeights!$B$2:$B$6,$B230,Fact_SortedWeights!$L$2:$L$6,"Yes"))))</f>
        <v>0</v>
      </c>
      <c r="G230" s="0" t="n">
        <f aca="false">IF(AND(IF($B230="Trash",INDEX('Materials Master'!$F$2:$F$27,MATCH($C230,'Materials Master'!$A$2:$A$27,0)),IF($B230="GMPC Recycling",INDEX('Materials Master'!$G$2:$G$27,MATCH($C230,'Materials Master'!$A$2:$A$27,0)),IF($B230="Organics Recycling",INDEX('Materials Master'!$H$2:$H$27,MATCH($C230,'Materials Master'!$A$2:$A$27,0)),IF($B230="Cardboard Recycling",INDEX('Materials Master'!$I$2:$I$27,MATCH($C230,'Materials Master'!$A$2:$A$27,0)),IF($B230="Paper Recycling",INDEX('Materials Master'!$J$2:$J$27,MATCH($C230,'Materials Master'!$A$2:$A$27,0)),IF($B230="Terracycle",INDEX('Materials Master'!$K$2:$K$27,MATCH($C230,'Materials Master'!$A$2:$A$27,0)),"No"))))))="Yes",INDEX('Materials Master'!$E$2:$E$27,MATCH($C230,'Materials Master'!$A$2:$A$27,0))="Yes",$B230&lt;&gt;"Trash"),1,0)</f>
        <v>0</v>
      </c>
      <c r="H230" s="0" t="str">
        <f aca="false">INDEX('Materials Master'!$E$2:$E$27,MATCH($C230,'Materials Master'!$A$2:$A$27,0))</f>
        <v>No</v>
      </c>
      <c r="I230" s="0" t="str">
        <f aca="false">IFERROR(INDEX(Areas!$C$2:$C$6,MATCH($A230,Areas!$B$2:$B$6,0)),"")</f>
        <v>BOH</v>
      </c>
      <c r="J230" s="0" t="n">
        <f aca="false">IF(IF($B230="Trash",INDEX('Materials Master'!$F$2:$F$27,MATCH($C230,'Materials Master'!$A$2:$A$27,0)),IF($B230="GMPC Recycling",INDEX('Materials Master'!$G$2:$G$27,MATCH($C230,'Materials Master'!$A$2:$A$27,0)),IF($B230="Organics Recycling",INDEX('Materials Master'!$H$2:$H$27,MATCH($C230,'Materials Master'!$A$2:$A$27,0)),IF($B230="Cardboard Recycling",INDEX('Materials Master'!$I$2:$I$27,MATCH($C230,'Materials Master'!$A$2:$A$27,0)),IF($B230="Paper Recycling",INDEX('Materials Master'!$J$2:$J$27,MATCH($C230,'Materials Master'!$A$2:$A$27,0)),IF($B230="Terracycle",INDEX('Materials Master'!$K$2:$K$27,MATCH($C230,'Materials Master'!$A$2:$A$27,0)),"No"))))))="Yes",1,0)</f>
        <v>0</v>
      </c>
    </row>
    <row r="231" customFormat="false" ht="15" hidden="false" customHeight="false" outlineLevel="0" collapsed="false">
      <c r="A231" s="0" t="s">
        <v>94</v>
      </c>
      <c r="B231" s="0" t="s">
        <v>105</v>
      </c>
      <c r="C231" s="0" t="s">
        <v>76</v>
      </c>
      <c r="D231" s="0" t="str">
        <f aca="false">IFERROR(INDEX('Materials Master'!$B$2:$B$27,MATCH($C231,'Materials Master'!$A$2:$A$27,0)),"")</f>
        <v>Textiles</v>
      </c>
      <c r="E231" s="0" t="str">
        <f aca="false">IFERROR(INDEX('Materials Master'!$C$2:$C$27,MATCH($C231,'Materials Master'!$A$2:$A$27,0)),"")</f>
        <v>Unacceptable</v>
      </c>
      <c r="F231" s="0" t="n">
        <f aca="false">(SUMIFS(Fact_PreSortWeights!$E$2:$E$15,Fact_PreSortWeights!$C$2:$C$15,$A231,Fact_PreSortWeights!$B$2:$B$15,$B231,Fact_PreSortWeights!$F$2:$F$15,$C231))+(SUMIFS(Fact_SortedWeights!$E$2:$E$6,Fact_SortedWeights!$C$2:$C$6,$A231,Fact_SortedWeights!$B$2:$B$6,$B231,Fact_SortedWeights!$D$2:$D$6,$C231,Fact_SortedWeights!$L$2:$L$6,"Yes"))+IF((SUMIFS(Fact_SortedWeights!$E$2:$E$6,Fact_SortedWeights!$C$2:$C$6,$A231,Fact_SortedWeights!$B$2:$B$6,$B231,Fact_SortedWeights!$L$2:$L$6,"No"))=0,0,(SUMIFS(Fact_SortedWeights!$E$2:$E$6,Fact_SortedWeights!$C$2:$C$6,$A231,Fact_SortedWeights!$B$2:$B$6,$B231,Fact_SortedWeights!$D$2:$D$6,$C231,Fact_SortedWeights!$L$2:$L$6,"No"))/(SUMIFS(Fact_SortedWeights!$E$2:$E$6,Fact_SortedWeights!$C$2:$C$6,$A231,Fact_SortedWeights!$B$2:$B$6,$B231,Fact_SortedWeights!$L$2:$L$6,"No"))*((SUMIFS(Fact_PreSortWeights!$E$2:$E$15,Fact_PreSortWeights!$C$2:$C$15,$A231,Fact_PreSortWeights!$B$2:$B$15,$B231,Fact_PreSortWeights!$F$2:$F$15,""))-(SUMIFS(Fact_SortedWeights!$E$2:$E$6,Fact_SortedWeights!$C$2:$C$6,$A231,Fact_SortedWeights!$B$2:$B$6,$B231,Fact_SortedWeights!$L$2:$L$6,"Yes"))))</f>
        <v>0</v>
      </c>
      <c r="G231" s="0" t="n">
        <f aca="false">IF(AND(IF($B231="Trash",INDEX('Materials Master'!$F$2:$F$27,MATCH($C231,'Materials Master'!$A$2:$A$27,0)),IF($B231="GMPC Recycling",INDEX('Materials Master'!$G$2:$G$27,MATCH($C231,'Materials Master'!$A$2:$A$27,0)),IF($B231="Organics Recycling",INDEX('Materials Master'!$H$2:$H$27,MATCH($C231,'Materials Master'!$A$2:$A$27,0)),IF($B231="Cardboard Recycling",INDEX('Materials Master'!$I$2:$I$27,MATCH($C231,'Materials Master'!$A$2:$A$27,0)),IF($B231="Paper Recycling",INDEX('Materials Master'!$J$2:$J$27,MATCH($C231,'Materials Master'!$A$2:$A$27,0)),IF($B231="Terracycle",INDEX('Materials Master'!$K$2:$K$27,MATCH($C231,'Materials Master'!$A$2:$A$27,0)),"No"))))))="Yes",INDEX('Materials Master'!$E$2:$E$27,MATCH($C231,'Materials Master'!$A$2:$A$27,0))="Yes",$B231&lt;&gt;"Trash"),1,0)</f>
        <v>0</v>
      </c>
      <c r="H231" s="0" t="str">
        <f aca="false">INDEX('Materials Master'!$E$2:$E$27,MATCH($C231,'Materials Master'!$A$2:$A$27,0))</f>
        <v>No</v>
      </c>
      <c r="I231" s="0" t="str">
        <f aca="false">IFERROR(INDEX(Areas!$C$2:$C$6,MATCH($A231,Areas!$B$2:$B$6,0)),"")</f>
        <v>BOH</v>
      </c>
      <c r="J231" s="0" t="n">
        <f aca="false">IF(IF($B231="Trash",INDEX('Materials Master'!$F$2:$F$27,MATCH($C231,'Materials Master'!$A$2:$A$27,0)),IF($B231="GMPC Recycling",INDEX('Materials Master'!$G$2:$G$27,MATCH($C231,'Materials Master'!$A$2:$A$27,0)),IF($B231="Organics Recycling",INDEX('Materials Master'!$H$2:$H$27,MATCH($C231,'Materials Master'!$A$2:$A$27,0)),IF($B231="Cardboard Recycling",INDEX('Materials Master'!$I$2:$I$27,MATCH($C231,'Materials Master'!$A$2:$A$27,0)),IF($B231="Paper Recycling",INDEX('Materials Master'!$J$2:$J$27,MATCH($C231,'Materials Master'!$A$2:$A$27,0)),IF($B231="Terracycle",INDEX('Materials Master'!$K$2:$K$27,MATCH($C231,'Materials Master'!$A$2:$A$27,0)),"No"))))))="Yes",1,0)</f>
        <v>0</v>
      </c>
    </row>
    <row r="232" customFormat="false" ht="15" hidden="false" customHeight="false" outlineLevel="0" collapsed="false">
      <c r="A232" s="0" t="s">
        <v>94</v>
      </c>
      <c r="B232" s="0" t="s">
        <v>105</v>
      </c>
      <c r="C232" s="0" t="s">
        <v>78</v>
      </c>
      <c r="D232" s="0" t="str">
        <f aca="false">IFERROR(INDEX('Materials Master'!$B$2:$B$27,MATCH($C232,'Materials Master'!$A$2:$A$27,0)),"")</f>
        <v>Other Unacceptable (specify)</v>
      </c>
      <c r="E232" s="0" t="str">
        <f aca="false">IFERROR(INDEX('Materials Master'!$C$2:$C$27,MATCH($C232,'Materials Master'!$A$2:$A$27,0)),"")</f>
        <v>Unacceptable</v>
      </c>
      <c r="F232" s="0" t="n">
        <f aca="false">(SUMIFS(Fact_PreSortWeights!$E$2:$E$15,Fact_PreSortWeights!$C$2:$C$15,$A232,Fact_PreSortWeights!$B$2:$B$15,$B232,Fact_PreSortWeights!$F$2:$F$15,$C232))+(SUMIFS(Fact_SortedWeights!$E$2:$E$6,Fact_SortedWeights!$C$2:$C$6,$A232,Fact_SortedWeights!$B$2:$B$6,$B232,Fact_SortedWeights!$D$2:$D$6,$C232,Fact_SortedWeights!$L$2:$L$6,"Yes"))+IF((SUMIFS(Fact_SortedWeights!$E$2:$E$6,Fact_SortedWeights!$C$2:$C$6,$A232,Fact_SortedWeights!$B$2:$B$6,$B232,Fact_SortedWeights!$L$2:$L$6,"No"))=0,0,(SUMIFS(Fact_SortedWeights!$E$2:$E$6,Fact_SortedWeights!$C$2:$C$6,$A232,Fact_SortedWeights!$B$2:$B$6,$B232,Fact_SortedWeights!$D$2:$D$6,$C232,Fact_SortedWeights!$L$2:$L$6,"No"))/(SUMIFS(Fact_SortedWeights!$E$2:$E$6,Fact_SortedWeights!$C$2:$C$6,$A232,Fact_SortedWeights!$B$2:$B$6,$B232,Fact_SortedWeights!$L$2:$L$6,"No"))*((SUMIFS(Fact_PreSortWeights!$E$2:$E$15,Fact_PreSortWeights!$C$2:$C$15,$A232,Fact_PreSortWeights!$B$2:$B$15,$B232,Fact_PreSortWeights!$F$2:$F$15,""))-(SUMIFS(Fact_SortedWeights!$E$2:$E$6,Fact_SortedWeights!$C$2:$C$6,$A232,Fact_SortedWeights!$B$2:$B$6,$B232,Fact_SortedWeights!$L$2:$L$6,"Yes"))))</f>
        <v>0</v>
      </c>
      <c r="G232" s="0" t="n">
        <f aca="false">IF(AND(IF($B232="Trash",INDEX('Materials Master'!$F$2:$F$27,MATCH($C232,'Materials Master'!$A$2:$A$27,0)),IF($B232="GMPC Recycling",INDEX('Materials Master'!$G$2:$G$27,MATCH($C232,'Materials Master'!$A$2:$A$27,0)),IF($B232="Organics Recycling",INDEX('Materials Master'!$H$2:$H$27,MATCH($C232,'Materials Master'!$A$2:$A$27,0)),IF($B232="Cardboard Recycling",INDEX('Materials Master'!$I$2:$I$27,MATCH($C232,'Materials Master'!$A$2:$A$27,0)),IF($B232="Paper Recycling",INDEX('Materials Master'!$J$2:$J$27,MATCH($C232,'Materials Master'!$A$2:$A$27,0)),IF($B232="Terracycle",INDEX('Materials Master'!$K$2:$K$27,MATCH($C232,'Materials Master'!$A$2:$A$27,0)),"No"))))))="Yes",INDEX('Materials Master'!$E$2:$E$27,MATCH($C232,'Materials Master'!$A$2:$A$27,0))="Yes",$B232&lt;&gt;"Trash"),1,0)</f>
        <v>0</v>
      </c>
      <c r="H232" s="0" t="str">
        <f aca="false">INDEX('Materials Master'!$E$2:$E$27,MATCH($C232,'Materials Master'!$A$2:$A$27,0))</f>
        <v>No</v>
      </c>
      <c r="I232" s="0" t="str">
        <f aca="false">IFERROR(INDEX(Areas!$C$2:$C$6,MATCH($A232,Areas!$B$2:$B$6,0)),"")</f>
        <v>BOH</v>
      </c>
      <c r="J232" s="0" t="n">
        <f aca="false">IF(IF($B232="Trash",INDEX('Materials Master'!$F$2:$F$27,MATCH($C232,'Materials Master'!$A$2:$A$27,0)),IF($B232="GMPC Recycling",INDEX('Materials Master'!$G$2:$G$27,MATCH($C232,'Materials Master'!$A$2:$A$27,0)),IF($B232="Organics Recycling",INDEX('Materials Master'!$H$2:$H$27,MATCH($C232,'Materials Master'!$A$2:$A$27,0)),IF($B232="Cardboard Recycling",INDEX('Materials Master'!$I$2:$I$27,MATCH($C232,'Materials Master'!$A$2:$A$27,0)),IF($B232="Paper Recycling",INDEX('Materials Master'!$J$2:$J$27,MATCH($C232,'Materials Master'!$A$2:$A$27,0)),IF($B232="Terracycle",INDEX('Materials Master'!$K$2:$K$27,MATCH($C232,'Materials Master'!$A$2:$A$27,0)),"No"))))))="Yes",1,0)</f>
        <v>0</v>
      </c>
    </row>
    <row r="233" customFormat="false" ht="15" hidden="false" customHeight="false" outlineLevel="0" collapsed="false">
      <c r="A233" s="0" t="s">
        <v>94</v>
      </c>
      <c r="B233" s="0" t="s">
        <v>105</v>
      </c>
      <c r="C233" s="0" t="s">
        <v>80</v>
      </c>
      <c r="D233" s="0" t="str">
        <f aca="false">IFERROR(INDEX('Materials Master'!$B$2:$B$27,MATCH($C233,'Materials Master'!$A$2:$A$27,0)),"")</f>
        <v>Liquids</v>
      </c>
      <c r="E233" s="0" t="str">
        <f aca="false">IFERROR(INDEX('Materials Master'!$C$2:$C$27,MATCH($C233,'Materials Master'!$A$2:$A$27,0)),"")</f>
        <v>Unacceptable</v>
      </c>
      <c r="F233" s="0" t="n">
        <f aca="false">(SUMIFS(Fact_PreSortWeights!$E$2:$E$15,Fact_PreSortWeights!$C$2:$C$15,$A233,Fact_PreSortWeights!$B$2:$B$15,$B233,Fact_PreSortWeights!$F$2:$F$15,$C233))+(SUMIFS(Fact_SortedWeights!$E$2:$E$6,Fact_SortedWeights!$C$2:$C$6,$A233,Fact_SortedWeights!$B$2:$B$6,$B233,Fact_SortedWeights!$D$2:$D$6,$C233,Fact_SortedWeights!$L$2:$L$6,"Yes"))+IF((SUMIFS(Fact_SortedWeights!$E$2:$E$6,Fact_SortedWeights!$C$2:$C$6,$A233,Fact_SortedWeights!$B$2:$B$6,$B233,Fact_SortedWeights!$L$2:$L$6,"No"))=0,0,(SUMIFS(Fact_SortedWeights!$E$2:$E$6,Fact_SortedWeights!$C$2:$C$6,$A233,Fact_SortedWeights!$B$2:$B$6,$B233,Fact_SortedWeights!$D$2:$D$6,$C233,Fact_SortedWeights!$L$2:$L$6,"No"))/(SUMIFS(Fact_SortedWeights!$E$2:$E$6,Fact_SortedWeights!$C$2:$C$6,$A233,Fact_SortedWeights!$B$2:$B$6,$B233,Fact_SortedWeights!$L$2:$L$6,"No"))*((SUMIFS(Fact_PreSortWeights!$E$2:$E$15,Fact_PreSortWeights!$C$2:$C$15,$A233,Fact_PreSortWeights!$B$2:$B$15,$B233,Fact_PreSortWeights!$F$2:$F$15,""))-(SUMIFS(Fact_SortedWeights!$E$2:$E$6,Fact_SortedWeights!$C$2:$C$6,$A233,Fact_SortedWeights!$B$2:$B$6,$B233,Fact_SortedWeights!$L$2:$L$6,"Yes"))))</f>
        <v>0</v>
      </c>
      <c r="G233" s="0" t="n">
        <f aca="false">IF(AND(IF($B233="Trash",INDEX('Materials Master'!$F$2:$F$27,MATCH($C233,'Materials Master'!$A$2:$A$27,0)),IF($B233="GMPC Recycling",INDEX('Materials Master'!$G$2:$G$27,MATCH($C233,'Materials Master'!$A$2:$A$27,0)),IF($B233="Organics Recycling",INDEX('Materials Master'!$H$2:$H$27,MATCH($C233,'Materials Master'!$A$2:$A$27,0)),IF($B233="Cardboard Recycling",INDEX('Materials Master'!$I$2:$I$27,MATCH($C233,'Materials Master'!$A$2:$A$27,0)),IF($B233="Paper Recycling",INDEX('Materials Master'!$J$2:$J$27,MATCH($C233,'Materials Master'!$A$2:$A$27,0)),IF($B233="Terracycle",INDEX('Materials Master'!$K$2:$K$27,MATCH($C233,'Materials Master'!$A$2:$A$27,0)),"No"))))))="Yes",INDEX('Materials Master'!$E$2:$E$27,MATCH($C233,'Materials Master'!$A$2:$A$27,0))="Yes",$B233&lt;&gt;"Trash"),1,0)</f>
        <v>0</v>
      </c>
      <c r="H233" s="0" t="str">
        <f aca="false">INDEX('Materials Master'!$E$2:$E$27,MATCH($C233,'Materials Master'!$A$2:$A$27,0))</f>
        <v>No</v>
      </c>
      <c r="I233" s="0" t="str">
        <f aca="false">IFERROR(INDEX(Areas!$C$2:$C$6,MATCH($A233,Areas!$B$2:$B$6,0)),"")</f>
        <v>BOH</v>
      </c>
      <c r="J233" s="0" t="n">
        <f aca="false">IF(IF($B233="Trash",INDEX('Materials Master'!$F$2:$F$27,MATCH($C233,'Materials Master'!$A$2:$A$27,0)),IF($B233="GMPC Recycling",INDEX('Materials Master'!$G$2:$G$27,MATCH($C233,'Materials Master'!$A$2:$A$27,0)),IF($B233="Organics Recycling",INDEX('Materials Master'!$H$2:$H$27,MATCH($C233,'Materials Master'!$A$2:$A$27,0)),IF($B233="Cardboard Recycling",INDEX('Materials Master'!$I$2:$I$27,MATCH($C233,'Materials Master'!$A$2:$A$27,0)),IF($B233="Paper Recycling",INDEX('Materials Master'!$J$2:$J$27,MATCH($C233,'Materials Master'!$A$2:$A$27,0)),IF($B233="Terracycle",INDEX('Materials Master'!$K$2:$K$27,MATCH($C233,'Materials Master'!$A$2:$A$27,0)),"No"))))))="Yes",1,0)</f>
        <v>0</v>
      </c>
    </row>
    <row r="234" customFormat="false" ht="15" hidden="false" customHeight="false" outlineLevel="0" collapsed="false">
      <c r="A234" s="0" t="s">
        <v>94</v>
      </c>
      <c r="B234" s="0" t="s">
        <v>105</v>
      </c>
      <c r="C234" s="0" t="s">
        <v>82</v>
      </c>
      <c r="D234" s="0" t="str">
        <f aca="false">IFERROR(INDEX('Materials Master'!$B$2:$B$27,MATCH($C234,'Materials Master'!$A$2:$A$27,0)),"")</f>
        <v>Snack Wrappers (Composites)</v>
      </c>
      <c r="E234" s="0" t="str">
        <f aca="false">IFERROR(INDEX('Materials Master'!$C$2:$C$27,MATCH($C234,'Materials Master'!$A$2:$A$27,0)),"")</f>
        <v>Other</v>
      </c>
      <c r="F234" s="0" t="n">
        <f aca="false">(SUMIFS(Fact_PreSortWeights!$E$2:$E$15,Fact_PreSortWeights!$C$2:$C$15,$A234,Fact_PreSortWeights!$B$2:$B$15,$B234,Fact_PreSortWeights!$F$2:$F$15,$C234))+(SUMIFS(Fact_SortedWeights!$E$2:$E$6,Fact_SortedWeights!$C$2:$C$6,$A234,Fact_SortedWeights!$B$2:$B$6,$B234,Fact_SortedWeights!$D$2:$D$6,$C234,Fact_SortedWeights!$L$2:$L$6,"Yes"))+IF((SUMIFS(Fact_SortedWeights!$E$2:$E$6,Fact_SortedWeights!$C$2:$C$6,$A234,Fact_SortedWeights!$B$2:$B$6,$B234,Fact_SortedWeights!$L$2:$L$6,"No"))=0,0,(SUMIFS(Fact_SortedWeights!$E$2:$E$6,Fact_SortedWeights!$C$2:$C$6,$A234,Fact_SortedWeights!$B$2:$B$6,$B234,Fact_SortedWeights!$D$2:$D$6,$C234,Fact_SortedWeights!$L$2:$L$6,"No"))/(SUMIFS(Fact_SortedWeights!$E$2:$E$6,Fact_SortedWeights!$C$2:$C$6,$A234,Fact_SortedWeights!$B$2:$B$6,$B234,Fact_SortedWeights!$L$2:$L$6,"No"))*((SUMIFS(Fact_PreSortWeights!$E$2:$E$15,Fact_PreSortWeights!$C$2:$C$15,$A234,Fact_PreSortWeights!$B$2:$B$15,$B234,Fact_PreSortWeights!$F$2:$F$15,""))-(SUMIFS(Fact_SortedWeights!$E$2:$E$6,Fact_SortedWeights!$C$2:$C$6,$A234,Fact_SortedWeights!$B$2:$B$6,$B234,Fact_SortedWeights!$L$2:$L$6,"Yes"))))</f>
        <v>0</v>
      </c>
      <c r="G234" s="0" t="n">
        <f aca="false">IF(AND(IF($B234="Trash",INDEX('Materials Master'!$F$2:$F$27,MATCH($C234,'Materials Master'!$A$2:$A$27,0)),IF($B234="GMPC Recycling",INDEX('Materials Master'!$G$2:$G$27,MATCH($C234,'Materials Master'!$A$2:$A$27,0)),IF($B234="Organics Recycling",INDEX('Materials Master'!$H$2:$H$27,MATCH($C234,'Materials Master'!$A$2:$A$27,0)),IF($B234="Cardboard Recycling",INDEX('Materials Master'!$I$2:$I$27,MATCH($C234,'Materials Master'!$A$2:$A$27,0)),IF($B234="Paper Recycling",INDEX('Materials Master'!$J$2:$J$27,MATCH($C234,'Materials Master'!$A$2:$A$27,0)),IF($B234="Terracycle",INDEX('Materials Master'!$K$2:$K$27,MATCH($C234,'Materials Master'!$A$2:$A$27,0)),"No"))))))="Yes",INDEX('Materials Master'!$E$2:$E$27,MATCH($C234,'Materials Master'!$A$2:$A$27,0))="Yes",$B234&lt;&gt;"Trash"),1,0)</f>
        <v>0</v>
      </c>
      <c r="H234" s="0" t="str">
        <f aca="false">INDEX('Materials Master'!$E$2:$E$27,MATCH($C234,'Materials Master'!$A$2:$A$27,0))</f>
        <v>Yes</v>
      </c>
      <c r="I234" s="0" t="str">
        <f aca="false">IFERROR(INDEX(Areas!$C$2:$C$6,MATCH($A234,Areas!$B$2:$B$6,0)),"")</f>
        <v>BOH</v>
      </c>
      <c r="J234" s="0" t="n">
        <f aca="false">IF(IF($B234="Trash",INDEX('Materials Master'!$F$2:$F$27,MATCH($C234,'Materials Master'!$A$2:$A$27,0)),IF($B234="GMPC Recycling",INDEX('Materials Master'!$G$2:$G$27,MATCH($C234,'Materials Master'!$A$2:$A$27,0)),IF($B234="Organics Recycling",INDEX('Materials Master'!$H$2:$H$27,MATCH($C234,'Materials Master'!$A$2:$A$27,0)),IF($B234="Cardboard Recycling",INDEX('Materials Master'!$I$2:$I$27,MATCH($C234,'Materials Master'!$A$2:$A$27,0)),IF($B234="Paper Recycling",INDEX('Materials Master'!$J$2:$J$27,MATCH($C234,'Materials Master'!$A$2:$A$27,0)),IF($B234="Terracycle",INDEX('Materials Master'!$K$2:$K$27,MATCH($C234,'Materials Master'!$A$2:$A$27,0)),"No"))))))="Yes",1,0)</f>
        <v>0</v>
      </c>
    </row>
    <row r="235" customFormat="false" ht="15" hidden="false" customHeight="false" outlineLevel="0" collapsed="false">
      <c r="A235" s="0" t="s">
        <v>94</v>
      </c>
      <c r="B235" s="0" t="s">
        <v>105</v>
      </c>
      <c r="C235" s="0" t="s">
        <v>85</v>
      </c>
      <c r="D235" s="0" t="str">
        <f aca="false">IFERROR(INDEX('Materials Master'!$B$2:$B$27,MATCH($C235,'Materials Master'!$A$2:$A$27,0)),"")</f>
        <v>Other/Residual Materials</v>
      </c>
      <c r="E235" s="0" t="str">
        <f aca="false">IFERROR(INDEX('Materials Master'!$C$2:$C$27,MATCH($C235,'Materials Master'!$A$2:$A$27,0)),"")</f>
        <v>Other</v>
      </c>
      <c r="F235" s="0" t="n">
        <f aca="false">(SUMIFS(Fact_PreSortWeights!$E$2:$E$15,Fact_PreSortWeights!$C$2:$C$15,$A235,Fact_PreSortWeights!$B$2:$B$15,$B235,Fact_PreSortWeights!$F$2:$F$15,$C235))+(SUMIFS(Fact_SortedWeights!$E$2:$E$6,Fact_SortedWeights!$C$2:$C$6,$A235,Fact_SortedWeights!$B$2:$B$6,$B235,Fact_SortedWeights!$D$2:$D$6,$C235,Fact_SortedWeights!$L$2:$L$6,"Yes"))+IF((SUMIFS(Fact_SortedWeights!$E$2:$E$6,Fact_SortedWeights!$C$2:$C$6,$A235,Fact_SortedWeights!$B$2:$B$6,$B235,Fact_SortedWeights!$L$2:$L$6,"No"))=0,0,(SUMIFS(Fact_SortedWeights!$E$2:$E$6,Fact_SortedWeights!$C$2:$C$6,$A235,Fact_SortedWeights!$B$2:$B$6,$B235,Fact_SortedWeights!$D$2:$D$6,$C235,Fact_SortedWeights!$L$2:$L$6,"No"))/(SUMIFS(Fact_SortedWeights!$E$2:$E$6,Fact_SortedWeights!$C$2:$C$6,$A235,Fact_SortedWeights!$B$2:$B$6,$B235,Fact_SortedWeights!$L$2:$L$6,"No"))*((SUMIFS(Fact_PreSortWeights!$E$2:$E$15,Fact_PreSortWeights!$C$2:$C$15,$A235,Fact_PreSortWeights!$B$2:$B$15,$B235,Fact_PreSortWeights!$F$2:$F$15,""))-(SUMIFS(Fact_SortedWeights!$E$2:$E$6,Fact_SortedWeights!$C$2:$C$6,$A235,Fact_SortedWeights!$B$2:$B$6,$B235,Fact_SortedWeights!$L$2:$L$6,"Yes"))))</f>
        <v>0</v>
      </c>
      <c r="G235" s="0" t="n">
        <f aca="false">IF(AND(IF($B235="Trash",INDEX('Materials Master'!$F$2:$F$27,MATCH($C235,'Materials Master'!$A$2:$A$27,0)),IF($B235="GMPC Recycling",INDEX('Materials Master'!$G$2:$G$27,MATCH($C235,'Materials Master'!$A$2:$A$27,0)),IF($B235="Organics Recycling",INDEX('Materials Master'!$H$2:$H$27,MATCH($C235,'Materials Master'!$A$2:$A$27,0)),IF($B235="Cardboard Recycling",INDEX('Materials Master'!$I$2:$I$27,MATCH($C235,'Materials Master'!$A$2:$A$27,0)),IF($B235="Paper Recycling",INDEX('Materials Master'!$J$2:$J$27,MATCH($C235,'Materials Master'!$A$2:$A$27,0)),IF($B235="Terracycle",INDEX('Materials Master'!$K$2:$K$27,MATCH($C235,'Materials Master'!$A$2:$A$27,0)),"No"))))))="Yes",INDEX('Materials Master'!$E$2:$E$27,MATCH($C235,'Materials Master'!$A$2:$A$27,0))="Yes",$B235&lt;&gt;"Trash"),1,0)</f>
        <v>0</v>
      </c>
      <c r="H235" s="0" t="str">
        <f aca="false">INDEX('Materials Master'!$E$2:$E$27,MATCH($C235,'Materials Master'!$A$2:$A$27,0))</f>
        <v>No</v>
      </c>
      <c r="I235" s="0" t="str">
        <f aca="false">IFERROR(INDEX(Areas!$C$2:$C$6,MATCH($A235,Areas!$B$2:$B$6,0)),"")</f>
        <v>BOH</v>
      </c>
      <c r="J235" s="0" t="n">
        <f aca="false">IF(IF($B235="Trash",INDEX('Materials Master'!$F$2:$F$27,MATCH($C235,'Materials Master'!$A$2:$A$27,0)),IF($B235="GMPC Recycling",INDEX('Materials Master'!$G$2:$G$27,MATCH($C235,'Materials Master'!$A$2:$A$27,0)),IF($B235="Organics Recycling",INDEX('Materials Master'!$H$2:$H$27,MATCH($C235,'Materials Master'!$A$2:$A$27,0)),IF($B235="Cardboard Recycling",INDEX('Materials Master'!$I$2:$I$27,MATCH($C235,'Materials Master'!$A$2:$A$27,0)),IF($B235="Paper Recycling",INDEX('Materials Master'!$J$2:$J$27,MATCH($C235,'Materials Master'!$A$2:$A$27,0)),IF($B235="Terracycle",INDEX('Materials Master'!$K$2:$K$27,MATCH($C235,'Materials Master'!$A$2:$A$27,0)),"No"))))))="Yes",1,0)</f>
        <v>0</v>
      </c>
    </row>
    <row r="236" customFormat="false" ht="15" hidden="false" customHeight="false" outlineLevel="0" collapsed="false">
      <c r="A236" s="0" t="s">
        <v>94</v>
      </c>
      <c r="B236" s="0" t="s">
        <v>106</v>
      </c>
      <c r="C236" s="0" t="s">
        <v>26</v>
      </c>
      <c r="D236" s="0" t="str">
        <f aca="false">IFERROR(INDEX('Materials Master'!$B$2:$B$27,MATCH($C236,'Materials Master'!$A$2:$A$27,0)),"")</f>
        <v>Corrugated Cardboard</v>
      </c>
      <c r="E236" s="0" t="str">
        <f aca="false">IFERROR(INDEX('Materials Master'!$C$2:$C$27,MATCH($C236,'Materials Master'!$A$2:$A$27,0)),"")</f>
        <v>Fibers</v>
      </c>
      <c r="F236" s="0" t="n">
        <f aca="false">SUMIFS(Fact_SortedWeights!$E$2:$E$6,Fact_SortedWeights!$C$2:$C$6,$A236,Fact_SortedWeights!$B$2:$B$6,$B236,Fact_SortedWeights!$D$2:$D$6,$C236)</f>
        <v>0</v>
      </c>
      <c r="G236" s="0" t="n">
        <f aca="false">IF(AND(IF($B236="Trash",INDEX('Materials Master'!$F$2:$F$27,MATCH($C236,'Materials Master'!$A$2:$A$27,0)),IF($B236="GMPC Recycling",INDEX('Materials Master'!$G$2:$G$27,MATCH($C236,'Materials Master'!$A$2:$A$27,0)),IF($B236="Organics Recycling",INDEX('Materials Master'!$H$2:$H$27,MATCH($C236,'Materials Master'!$A$2:$A$27,0)),IF($B236="Cardboard Recycling",INDEX('Materials Master'!$I$2:$I$27,MATCH($C236,'Materials Master'!$A$2:$A$27,0)),IF($B236="Paper Recycling",INDEX('Materials Master'!$J$2:$J$27,MATCH($C236,'Materials Master'!$A$2:$A$27,0)),IF($B236="Terracycle",INDEX('Materials Master'!$K$2:$K$27,MATCH($C236,'Materials Master'!$A$2:$A$27,0)),"No"))))))="Yes",INDEX('Materials Master'!$E$2:$E$27,MATCH($C236,'Materials Master'!$A$2:$A$27,0))="Yes",$B236&lt;&gt;"Trash"),1,0)</f>
        <v>1</v>
      </c>
      <c r="H236" s="0" t="str">
        <f aca="false">INDEX('Materials Master'!$E$2:$E$27,MATCH($C236,'Materials Master'!$A$2:$A$27,0))</f>
        <v>Yes</v>
      </c>
      <c r="I236" s="0" t="str">
        <f aca="false">IFERROR(INDEX(Areas!$C$2:$C$6,MATCH($A236,Areas!$B$2:$B$6,0)),"")</f>
        <v>BOH</v>
      </c>
      <c r="J236" s="0" t="n">
        <f aca="false">IF(IF($B236="Trash",INDEX('Materials Master'!$F$2:$F$27,MATCH($C236,'Materials Master'!$A$2:$A$27,0)),IF($B236="GMPC Recycling",INDEX('Materials Master'!$G$2:$G$27,MATCH($C236,'Materials Master'!$A$2:$A$27,0)),IF($B236="Organics Recycling",INDEX('Materials Master'!$H$2:$H$27,MATCH($C236,'Materials Master'!$A$2:$A$27,0)),IF($B236="Cardboard Recycling",INDEX('Materials Master'!$I$2:$I$27,MATCH($C236,'Materials Master'!$A$2:$A$27,0)),IF($B236="Paper Recycling",INDEX('Materials Master'!$J$2:$J$27,MATCH($C236,'Materials Master'!$A$2:$A$27,0)),IF($B236="Terracycle",INDEX('Materials Master'!$K$2:$K$27,MATCH($C236,'Materials Master'!$A$2:$A$27,0)),"No"))))))="Yes",1,0)</f>
        <v>1</v>
      </c>
    </row>
    <row r="237" customFormat="false" ht="15" hidden="false" customHeight="false" outlineLevel="0" collapsed="false">
      <c r="A237" s="0" t="s">
        <v>94</v>
      </c>
      <c r="B237" s="0" t="s">
        <v>106</v>
      </c>
      <c r="C237" s="0" t="s">
        <v>31</v>
      </c>
      <c r="D237" s="0" t="str">
        <f aca="false">IFERROR(INDEX('Materials Master'!$B$2:$B$27,MATCH($C237,'Materials Master'!$A$2:$A$27,0)),"")</f>
        <v>Soiled Cardboard</v>
      </c>
      <c r="E237" s="0" t="str">
        <f aca="false">IFERROR(INDEX('Materials Master'!$C$2:$C$27,MATCH($C237,'Materials Master'!$A$2:$A$27,0)),"")</f>
        <v>Fibers</v>
      </c>
      <c r="F237" s="0" t="n">
        <f aca="false">SUMIFS(Fact_SortedWeights!$E$2:$E$6,Fact_SortedWeights!$C$2:$C$6,$A237,Fact_SortedWeights!$B$2:$B$6,$B237,Fact_SortedWeights!$D$2:$D$6,$C237)</f>
        <v>0</v>
      </c>
      <c r="G237" s="0" t="n">
        <f aca="false">IF(AND(IF($B237="Trash",INDEX('Materials Master'!$F$2:$F$27,MATCH($C237,'Materials Master'!$A$2:$A$27,0)),IF($B237="GMPC Recycling",INDEX('Materials Master'!$G$2:$G$27,MATCH($C237,'Materials Master'!$A$2:$A$27,0)),IF($B237="Organics Recycling",INDEX('Materials Master'!$H$2:$H$27,MATCH($C237,'Materials Master'!$A$2:$A$27,0)),IF($B237="Cardboard Recycling",INDEX('Materials Master'!$I$2:$I$27,MATCH($C237,'Materials Master'!$A$2:$A$27,0)),IF($B237="Paper Recycling",INDEX('Materials Master'!$J$2:$J$27,MATCH($C237,'Materials Master'!$A$2:$A$27,0)),IF($B237="Terracycle",INDEX('Materials Master'!$K$2:$K$27,MATCH($C237,'Materials Master'!$A$2:$A$27,0)),"No"))))))="Yes",INDEX('Materials Master'!$E$2:$E$27,MATCH($C237,'Materials Master'!$A$2:$A$27,0))="Yes",$B237&lt;&gt;"Trash"),1,0)</f>
        <v>0</v>
      </c>
      <c r="H237" s="0" t="str">
        <f aca="false">INDEX('Materials Master'!$E$2:$E$27,MATCH($C237,'Materials Master'!$A$2:$A$27,0))</f>
        <v>No</v>
      </c>
      <c r="I237" s="0" t="str">
        <f aca="false">IFERROR(INDEX(Areas!$C$2:$C$6,MATCH($A237,Areas!$B$2:$B$6,0)),"")</f>
        <v>BOH</v>
      </c>
      <c r="J237" s="0" t="n">
        <f aca="false">IF(IF($B237="Trash",INDEX('Materials Master'!$F$2:$F$27,MATCH($C237,'Materials Master'!$A$2:$A$27,0)),IF($B237="GMPC Recycling",INDEX('Materials Master'!$G$2:$G$27,MATCH($C237,'Materials Master'!$A$2:$A$27,0)),IF($B237="Organics Recycling",INDEX('Materials Master'!$H$2:$H$27,MATCH($C237,'Materials Master'!$A$2:$A$27,0)),IF($B237="Cardboard Recycling",INDEX('Materials Master'!$I$2:$I$27,MATCH($C237,'Materials Master'!$A$2:$A$27,0)),IF($B237="Paper Recycling",INDEX('Materials Master'!$J$2:$J$27,MATCH($C237,'Materials Master'!$A$2:$A$27,0)),IF($B237="Terracycle",INDEX('Materials Master'!$K$2:$K$27,MATCH($C237,'Materials Master'!$A$2:$A$27,0)),"No"))))))="Yes",1,0)</f>
        <v>0</v>
      </c>
    </row>
    <row r="238" customFormat="false" ht="15" hidden="false" customHeight="false" outlineLevel="0" collapsed="false">
      <c r="A238" s="0" t="s">
        <v>94</v>
      </c>
      <c r="B238" s="0" t="s">
        <v>106</v>
      </c>
      <c r="C238" s="0" t="s">
        <v>33</v>
      </c>
      <c r="D238" s="0" t="str">
        <f aca="false">IFERROR(INDEX('Materials Master'!$B$2:$B$27,MATCH($C238,'Materials Master'!$A$2:$A$27,0)),"")</f>
        <v>Waxed Cardboard</v>
      </c>
      <c r="E238" s="0" t="str">
        <f aca="false">IFERROR(INDEX('Materials Master'!$C$2:$C$27,MATCH($C238,'Materials Master'!$A$2:$A$27,0)),"")</f>
        <v>Fibers</v>
      </c>
      <c r="F238" s="0" t="n">
        <f aca="false">SUMIFS(Fact_SortedWeights!$E$2:$E$6,Fact_SortedWeights!$C$2:$C$6,$A238,Fact_SortedWeights!$B$2:$B$6,$B238,Fact_SortedWeights!$D$2:$D$6,$C238)</f>
        <v>0</v>
      </c>
      <c r="G238" s="0" t="n">
        <f aca="false">IF(AND(IF($B238="Trash",INDEX('Materials Master'!$F$2:$F$27,MATCH($C238,'Materials Master'!$A$2:$A$27,0)),IF($B238="GMPC Recycling",INDEX('Materials Master'!$G$2:$G$27,MATCH($C238,'Materials Master'!$A$2:$A$27,0)),IF($B238="Organics Recycling",INDEX('Materials Master'!$H$2:$H$27,MATCH($C238,'Materials Master'!$A$2:$A$27,0)),IF($B238="Cardboard Recycling",INDEX('Materials Master'!$I$2:$I$27,MATCH($C238,'Materials Master'!$A$2:$A$27,0)),IF($B238="Paper Recycling",INDEX('Materials Master'!$J$2:$J$27,MATCH($C238,'Materials Master'!$A$2:$A$27,0)),IF($B238="Terracycle",INDEX('Materials Master'!$K$2:$K$27,MATCH($C238,'Materials Master'!$A$2:$A$27,0)),"No"))))))="Yes",INDEX('Materials Master'!$E$2:$E$27,MATCH($C238,'Materials Master'!$A$2:$A$27,0))="Yes",$B238&lt;&gt;"Trash"),1,0)</f>
        <v>0</v>
      </c>
      <c r="H238" s="0" t="str">
        <f aca="false">INDEX('Materials Master'!$E$2:$E$27,MATCH($C238,'Materials Master'!$A$2:$A$27,0))</f>
        <v>No</v>
      </c>
      <c r="I238" s="0" t="str">
        <f aca="false">IFERROR(INDEX(Areas!$C$2:$C$6,MATCH($A238,Areas!$B$2:$B$6,0)),"")</f>
        <v>BOH</v>
      </c>
      <c r="J238" s="0" t="n">
        <f aca="false">IF(IF($B238="Trash",INDEX('Materials Master'!$F$2:$F$27,MATCH($C238,'Materials Master'!$A$2:$A$27,0)),IF($B238="GMPC Recycling",INDEX('Materials Master'!$G$2:$G$27,MATCH($C238,'Materials Master'!$A$2:$A$27,0)),IF($B238="Organics Recycling",INDEX('Materials Master'!$H$2:$H$27,MATCH($C238,'Materials Master'!$A$2:$A$27,0)),IF($B238="Cardboard Recycling",INDEX('Materials Master'!$I$2:$I$27,MATCH($C238,'Materials Master'!$A$2:$A$27,0)),IF($B238="Paper Recycling",INDEX('Materials Master'!$J$2:$J$27,MATCH($C238,'Materials Master'!$A$2:$A$27,0)),IF($B238="Terracycle",INDEX('Materials Master'!$K$2:$K$27,MATCH($C238,'Materials Master'!$A$2:$A$27,0)),"No"))))))="Yes",1,0)</f>
        <v>0</v>
      </c>
    </row>
    <row r="239" customFormat="false" ht="15" hidden="false" customHeight="false" outlineLevel="0" collapsed="false">
      <c r="A239" s="0" t="s">
        <v>94</v>
      </c>
      <c r="B239" s="0" t="s">
        <v>106</v>
      </c>
      <c r="C239" s="0" t="s">
        <v>35</v>
      </c>
      <c r="D239" s="0" t="str">
        <f aca="false">IFERROR(INDEX('Materials Master'!$B$2:$B$27,MATCH($C239,'Materials Master'!$A$2:$A$27,0)),"")</f>
        <v>Mixed Paper</v>
      </c>
      <c r="E239" s="0" t="str">
        <f aca="false">IFERROR(INDEX('Materials Master'!$C$2:$C$27,MATCH($C239,'Materials Master'!$A$2:$A$27,0)),"")</f>
        <v>Fibers</v>
      </c>
      <c r="F239" s="0" t="n">
        <f aca="false">SUMIFS(Fact_SortedWeights!$E$2:$E$6,Fact_SortedWeights!$C$2:$C$6,$A239,Fact_SortedWeights!$B$2:$B$6,$B239,Fact_SortedWeights!$D$2:$D$6,$C239)</f>
        <v>0</v>
      </c>
      <c r="G239" s="0" t="n">
        <f aca="false">IF(AND(IF($B239="Trash",INDEX('Materials Master'!$F$2:$F$27,MATCH($C239,'Materials Master'!$A$2:$A$27,0)),IF($B239="GMPC Recycling",INDEX('Materials Master'!$G$2:$G$27,MATCH($C239,'Materials Master'!$A$2:$A$27,0)),IF($B239="Organics Recycling",INDEX('Materials Master'!$H$2:$H$27,MATCH($C239,'Materials Master'!$A$2:$A$27,0)),IF($B239="Cardboard Recycling",INDEX('Materials Master'!$I$2:$I$27,MATCH($C239,'Materials Master'!$A$2:$A$27,0)),IF($B239="Paper Recycling",INDEX('Materials Master'!$J$2:$J$27,MATCH($C239,'Materials Master'!$A$2:$A$27,0)),IF($B239="Terracycle",INDEX('Materials Master'!$K$2:$K$27,MATCH($C239,'Materials Master'!$A$2:$A$27,0)),"No"))))))="Yes",INDEX('Materials Master'!$E$2:$E$27,MATCH($C239,'Materials Master'!$A$2:$A$27,0))="Yes",$B239&lt;&gt;"Trash"),1,0)</f>
        <v>0</v>
      </c>
      <c r="H239" s="0" t="str">
        <f aca="false">INDEX('Materials Master'!$E$2:$E$27,MATCH($C239,'Materials Master'!$A$2:$A$27,0))</f>
        <v>Yes</v>
      </c>
      <c r="I239" s="0" t="str">
        <f aca="false">IFERROR(INDEX(Areas!$C$2:$C$6,MATCH($A239,Areas!$B$2:$B$6,0)),"")</f>
        <v>BOH</v>
      </c>
      <c r="J239" s="0" t="n">
        <f aca="false">IF(IF($B239="Trash",INDEX('Materials Master'!$F$2:$F$27,MATCH($C239,'Materials Master'!$A$2:$A$27,0)),IF($B239="GMPC Recycling",INDEX('Materials Master'!$G$2:$G$27,MATCH($C239,'Materials Master'!$A$2:$A$27,0)),IF($B239="Organics Recycling",INDEX('Materials Master'!$H$2:$H$27,MATCH($C239,'Materials Master'!$A$2:$A$27,0)),IF($B239="Cardboard Recycling",INDEX('Materials Master'!$I$2:$I$27,MATCH($C239,'Materials Master'!$A$2:$A$27,0)),IF($B239="Paper Recycling",INDEX('Materials Master'!$J$2:$J$27,MATCH($C239,'Materials Master'!$A$2:$A$27,0)),IF($B239="Terracycle",INDEX('Materials Master'!$K$2:$K$27,MATCH($C239,'Materials Master'!$A$2:$A$27,0)),"No"))))))="Yes",1,0)</f>
        <v>0</v>
      </c>
    </row>
    <row r="240" customFormat="false" ht="15" hidden="false" customHeight="false" outlineLevel="0" collapsed="false">
      <c r="A240" s="0" t="s">
        <v>94</v>
      </c>
      <c r="B240" s="0" t="s">
        <v>106</v>
      </c>
      <c r="C240" s="0" t="s">
        <v>37</v>
      </c>
      <c r="D240" s="0" t="str">
        <f aca="false">IFERROR(INDEX('Materials Master'!$B$2:$B$27,MATCH($C240,'Materials Master'!$A$2:$A$27,0)),"")</f>
        <v>Soiled Paper</v>
      </c>
      <c r="E240" s="0" t="str">
        <f aca="false">IFERROR(INDEX('Materials Master'!$C$2:$C$27,MATCH($C240,'Materials Master'!$A$2:$A$27,0)),"")</f>
        <v>Fibers</v>
      </c>
      <c r="F240" s="0" t="n">
        <f aca="false">SUMIFS(Fact_SortedWeights!$E$2:$E$6,Fact_SortedWeights!$C$2:$C$6,$A240,Fact_SortedWeights!$B$2:$B$6,$B240,Fact_SortedWeights!$D$2:$D$6,$C240)</f>
        <v>0</v>
      </c>
      <c r="G240" s="0" t="n">
        <f aca="false">IF(AND(IF($B240="Trash",INDEX('Materials Master'!$F$2:$F$27,MATCH($C240,'Materials Master'!$A$2:$A$27,0)),IF($B240="GMPC Recycling",INDEX('Materials Master'!$G$2:$G$27,MATCH($C240,'Materials Master'!$A$2:$A$27,0)),IF($B240="Organics Recycling",INDEX('Materials Master'!$H$2:$H$27,MATCH($C240,'Materials Master'!$A$2:$A$27,0)),IF($B240="Cardboard Recycling",INDEX('Materials Master'!$I$2:$I$27,MATCH($C240,'Materials Master'!$A$2:$A$27,0)),IF($B240="Paper Recycling",INDEX('Materials Master'!$J$2:$J$27,MATCH($C240,'Materials Master'!$A$2:$A$27,0)),IF($B240="Terracycle",INDEX('Materials Master'!$K$2:$K$27,MATCH($C240,'Materials Master'!$A$2:$A$27,0)),"No"))))))="Yes",INDEX('Materials Master'!$E$2:$E$27,MATCH($C240,'Materials Master'!$A$2:$A$27,0))="Yes",$B240&lt;&gt;"Trash"),1,0)</f>
        <v>0</v>
      </c>
      <c r="H240" s="0" t="str">
        <f aca="false">INDEX('Materials Master'!$E$2:$E$27,MATCH($C240,'Materials Master'!$A$2:$A$27,0))</f>
        <v>No</v>
      </c>
      <c r="I240" s="0" t="str">
        <f aca="false">IFERROR(INDEX(Areas!$C$2:$C$6,MATCH($A240,Areas!$B$2:$B$6,0)),"")</f>
        <v>BOH</v>
      </c>
      <c r="J240" s="0" t="n">
        <f aca="false">IF(IF($B240="Trash",INDEX('Materials Master'!$F$2:$F$27,MATCH($C240,'Materials Master'!$A$2:$A$27,0)),IF($B240="GMPC Recycling",INDEX('Materials Master'!$G$2:$G$27,MATCH($C240,'Materials Master'!$A$2:$A$27,0)),IF($B240="Organics Recycling",INDEX('Materials Master'!$H$2:$H$27,MATCH($C240,'Materials Master'!$A$2:$A$27,0)),IF($B240="Cardboard Recycling",INDEX('Materials Master'!$I$2:$I$27,MATCH($C240,'Materials Master'!$A$2:$A$27,0)),IF($B240="Paper Recycling",INDEX('Materials Master'!$J$2:$J$27,MATCH($C240,'Materials Master'!$A$2:$A$27,0)),IF($B240="Terracycle",INDEX('Materials Master'!$K$2:$K$27,MATCH($C240,'Materials Master'!$A$2:$A$27,0)),"No"))))))="Yes",1,0)</f>
        <v>0</v>
      </c>
    </row>
    <row r="241" customFormat="false" ht="15" hidden="false" customHeight="false" outlineLevel="0" collapsed="false">
      <c r="A241" s="0" t="s">
        <v>94</v>
      </c>
      <c r="B241" s="0" t="s">
        <v>106</v>
      </c>
      <c r="C241" s="0" t="s">
        <v>39</v>
      </c>
      <c r="D241" s="0" t="str">
        <f aca="false">IFERROR(INDEX('Materials Master'!$B$2:$B$27,MATCH($C241,'Materials Master'!$A$2:$A$27,0)),"")</f>
        <v>Beverage Cartons</v>
      </c>
      <c r="E241" s="0" t="str">
        <f aca="false">IFERROR(INDEX('Materials Master'!$C$2:$C$27,MATCH($C241,'Materials Master'!$A$2:$A$27,0)),"")</f>
        <v>Fibers</v>
      </c>
      <c r="F241" s="0" t="n">
        <f aca="false">SUMIFS(Fact_SortedWeights!$E$2:$E$6,Fact_SortedWeights!$C$2:$C$6,$A241,Fact_SortedWeights!$B$2:$B$6,$B241,Fact_SortedWeights!$D$2:$D$6,$C241)</f>
        <v>0</v>
      </c>
      <c r="G241" s="0" t="n">
        <f aca="false">IF(AND(IF($B241="Trash",INDEX('Materials Master'!$F$2:$F$27,MATCH($C241,'Materials Master'!$A$2:$A$27,0)),IF($B241="GMPC Recycling",INDEX('Materials Master'!$G$2:$G$27,MATCH($C241,'Materials Master'!$A$2:$A$27,0)),IF($B241="Organics Recycling",INDEX('Materials Master'!$H$2:$H$27,MATCH($C241,'Materials Master'!$A$2:$A$27,0)),IF($B241="Cardboard Recycling",INDEX('Materials Master'!$I$2:$I$27,MATCH($C241,'Materials Master'!$A$2:$A$27,0)),IF($B241="Paper Recycling",INDEX('Materials Master'!$J$2:$J$27,MATCH($C241,'Materials Master'!$A$2:$A$27,0)),IF($B241="Terracycle",INDEX('Materials Master'!$K$2:$K$27,MATCH($C241,'Materials Master'!$A$2:$A$27,0)),"No"))))))="Yes",INDEX('Materials Master'!$E$2:$E$27,MATCH($C241,'Materials Master'!$A$2:$A$27,0))="Yes",$B241&lt;&gt;"Trash"),1,0)</f>
        <v>1</v>
      </c>
      <c r="H241" s="0" t="str">
        <f aca="false">INDEX('Materials Master'!$E$2:$E$27,MATCH($C241,'Materials Master'!$A$2:$A$27,0))</f>
        <v>Yes</v>
      </c>
      <c r="I241" s="0" t="str">
        <f aca="false">IFERROR(INDEX(Areas!$C$2:$C$6,MATCH($A241,Areas!$B$2:$B$6,0)),"")</f>
        <v>BOH</v>
      </c>
      <c r="J241" s="0" t="n">
        <f aca="false">IF(IF($B241="Trash",INDEX('Materials Master'!$F$2:$F$27,MATCH($C241,'Materials Master'!$A$2:$A$27,0)),IF($B241="GMPC Recycling",INDEX('Materials Master'!$G$2:$G$27,MATCH($C241,'Materials Master'!$A$2:$A$27,0)),IF($B241="Organics Recycling",INDEX('Materials Master'!$H$2:$H$27,MATCH($C241,'Materials Master'!$A$2:$A$27,0)),IF($B241="Cardboard Recycling",INDEX('Materials Master'!$I$2:$I$27,MATCH($C241,'Materials Master'!$A$2:$A$27,0)),IF($B241="Paper Recycling",INDEX('Materials Master'!$J$2:$J$27,MATCH($C241,'Materials Master'!$A$2:$A$27,0)),IF($B241="Terracycle",INDEX('Materials Master'!$K$2:$K$27,MATCH($C241,'Materials Master'!$A$2:$A$27,0)),"No"))))))="Yes",1,0)</f>
        <v>1</v>
      </c>
    </row>
    <row r="242" customFormat="false" ht="15" hidden="false" customHeight="false" outlineLevel="0" collapsed="false">
      <c r="A242" s="0" t="s">
        <v>94</v>
      </c>
      <c r="B242" s="0" t="s">
        <v>106</v>
      </c>
      <c r="C242" s="0" t="s">
        <v>41</v>
      </c>
      <c r="D242" s="0" t="str">
        <f aca="false">IFERROR(INDEX('Materials Master'!$B$2:$B$27,MATCH($C242,'Materials Master'!$A$2:$A$27,0)),"")</f>
        <v>Soiled Beverage Cartons</v>
      </c>
      <c r="E242" s="0" t="str">
        <f aca="false">IFERROR(INDEX('Materials Master'!$C$2:$C$27,MATCH($C242,'Materials Master'!$A$2:$A$27,0)),"")</f>
        <v>Fibers</v>
      </c>
      <c r="F242" s="0" t="n">
        <f aca="false">SUMIFS(Fact_SortedWeights!$E$2:$E$6,Fact_SortedWeights!$C$2:$C$6,$A242,Fact_SortedWeights!$B$2:$B$6,$B242,Fact_SortedWeights!$D$2:$D$6,$C242)</f>
        <v>0</v>
      </c>
      <c r="G242" s="0" t="n">
        <f aca="false">IF(AND(IF($B242="Trash",INDEX('Materials Master'!$F$2:$F$27,MATCH($C242,'Materials Master'!$A$2:$A$27,0)),IF($B242="GMPC Recycling",INDEX('Materials Master'!$G$2:$G$27,MATCH($C242,'Materials Master'!$A$2:$A$27,0)),IF($B242="Organics Recycling",INDEX('Materials Master'!$H$2:$H$27,MATCH($C242,'Materials Master'!$A$2:$A$27,0)),IF($B242="Cardboard Recycling",INDEX('Materials Master'!$I$2:$I$27,MATCH($C242,'Materials Master'!$A$2:$A$27,0)),IF($B242="Paper Recycling",INDEX('Materials Master'!$J$2:$J$27,MATCH($C242,'Materials Master'!$A$2:$A$27,0)),IF($B242="Terracycle",INDEX('Materials Master'!$K$2:$K$27,MATCH($C242,'Materials Master'!$A$2:$A$27,0)),"No"))))))="Yes",INDEX('Materials Master'!$E$2:$E$27,MATCH($C242,'Materials Master'!$A$2:$A$27,0))="Yes",$B242&lt;&gt;"Trash"),1,0)</f>
        <v>0</v>
      </c>
      <c r="H242" s="0" t="str">
        <f aca="false">INDEX('Materials Master'!$E$2:$E$27,MATCH($C242,'Materials Master'!$A$2:$A$27,0))</f>
        <v>No</v>
      </c>
      <c r="I242" s="0" t="str">
        <f aca="false">IFERROR(INDEX(Areas!$C$2:$C$6,MATCH($A242,Areas!$B$2:$B$6,0)),"")</f>
        <v>BOH</v>
      </c>
      <c r="J242" s="0" t="n">
        <f aca="false">IF(IF($B242="Trash",INDEX('Materials Master'!$F$2:$F$27,MATCH($C242,'Materials Master'!$A$2:$A$27,0)),IF($B242="GMPC Recycling",INDEX('Materials Master'!$G$2:$G$27,MATCH($C242,'Materials Master'!$A$2:$A$27,0)),IF($B242="Organics Recycling",INDEX('Materials Master'!$H$2:$H$27,MATCH($C242,'Materials Master'!$A$2:$A$27,0)),IF($B242="Cardboard Recycling",INDEX('Materials Master'!$I$2:$I$27,MATCH($C242,'Materials Master'!$A$2:$A$27,0)),IF($B242="Paper Recycling",INDEX('Materials Master'!$J$2:$J$27,MATCH($C242,'Materials Master'!$A$2:$A$27,0)),IF($B242="Terracycle",INDEX('Materials Master'!$K$2:$K$27,MATCH($C242,'Materials Master'!$A$2:$A$27,0)),"No"))))))="Yes",1,0)</f>
        <v>0</v>
      </c>
    </row>
    <row r="243" customFormat="false" ht="15" hidden="false" customHeight="false" outlineLevel="0" collapsed="false">
      <c r="A243" s="0" t="s">
        <v>94</v>
      </c>
      <c r="B243" s="0" t="s">
        <v>106</v>
      </c>
      <c r="C243" s="0" t="s">
        <v>43</v>
      </c>
      <c r="D243" s="0" t="str">
        <f aca="false">IFERROR(INDEX('Materials Master'!$B$2:$B$27,MATCH($C243,'Materials Master'!$A$2:$A$27,0)),"")</f>
        <v>Paper Cups / Other Coated Paper Containers</v>
      </c>
      <c r="E243" s="0" t="str">
        <f aca="false">IFERROR(INDEX('Materials Master'!$C$2:$C$27,MATCH($C243,'Materials Master'!$A$2:$A$27,0)),"")</f>
        <v>Fibers</v>
      </c>
      <c r="F243" s="0" t="n">
        <f aca="false">SUMIFS(Fact_SortedWeights!$E$2:$E$6,Fact_SortedWeights!$C$2:$C$6,$A243,Fact_SortedWeights!$B$2:$B$6,$B243,Fact_SortedWeights!$D$2:$D$6,$C243)</f>
        <v>0</v>
      </c>
      <c r="G243" s="0" t="n">
        <f aca="false">IF(AND(IF($B243="Trash",INDEX('Materials Master'!$F$2:$F$27,MATCH($C243,'Materials Master'!$A$2:$A$27,0)),IF($B243="GMPC Recycling",INDEX('Materials Master'!$G$2:$G$27,MATCH($C243,'Materials Master'!$A$2:$A$27,0)),IF($B243="Organics Recycling",INDEX('Materials Master'!$H$2:$H$27,MATCH($C243,'Materials Master'!$A$2:$A$27,0)),IF($B243="Cardboard Recycling",INDEX('Materials Master'!$I$2:$I$27,MATCH($C243,'Materials Master'!$A$2:$A$27,0)),IF($B243="Paper Recycling",INDEX('Materials Master'!$J$2:$J$27,MATCH($C243,'Materials Master'!$A$2:$A$27,0)),IF($B243="Terracycle",INDEX('Materials Master'!$K$2:$K$27,MATCH($C243,'Materials Master'!$A$2:$A$27,0)),"No"))))))="Yes",INDEX('Materials Master'!$E$2:$E$27,MATCH($C243,'Materials Master'!$A$2:$A$27,0))="Yes",$B243&lt;&gt;"Trash"),1,0)</f>
        <v>0</v>
      </c>
      <c r="H243" s="0" t="str">
        <f aca="false">INDEX('Materials Master'!$E$2:$E$27,MATCH($C243,'Materials Master'!$A$2:$A$27,0))</f>
        <v>No</v>
      </c>
      <c r="I243" s="0" t="str">
        <f aca="false">IFERROR(INDEX(Areas!$C$2:$C$6,MATCH($A243,Areas!$B$2:$B$6,0)),"")</f>
        <v>BOH</v>
      </c>
      <c r="J243" s="0" t="n">
        <f aca="false">IF(IF($B243="Trash",INDEX('Materials Master'!$F$2:$F$27,MATCH($C243,'Materials Master'!$A$2:$A$27,0)),IF($B243="GMPC Recycling",INDEX('Materials Master'!$G$2:$G$27,MATCH($C243,'Materials Master'!$A$2:$A$27,0)),IF($B243="Organics Recycling",INDEX('Materials Master'!$H$2:$H$27,MATCH($C243,'Materials Master'!$A$2:$A$27,0)),IF($B243="Cardboard Recycling",INDEX('Materials Master'!$I$2:$I$27,MATCH($C243,'Materials Master'!$A$2:$A$27,0)),IF($B243="Paper Recycling",INDEX('Materials Master'!$J$2:$J$27,MATCH($C243,'Materials Master'!$A$2:$A$27,0)),IF($B243="Terracycle",INDEX('Materials Master'!$K$2:$K$27,MATCH($C243,'Materials Master'!$A$2:$A$27,0)),"No"))))))="Yes",1,0)</f>
        <v>0</v>
      </c>
    </row>
    <row r="244" customFormat="false" ht="15" hidden="false" customHeight="false" outlineLevel="0" collapsed="false">
      <c r="A244" s="0" t="s">
        <v>94</v>
      </c>
      <c r="B244" s="0" t="s">
        <v>106</v>
      </c>
      <c r="C244" s="0" t="s">
        <v>45</v>
      </c>
      <c r="D244" s="0" t="str">
        <f aca="false">IFERROR(INDEX('Materials Master'!$B$2:$B$27,MATCH($C244,'Materials Master'!$A$2:$A$27,0)),"")</f>
        <v>Glass Bottles &amp; Jars</v>
      </c>
      <c r="E244" s="0" t="str">
        <f aca="false">IFERROR(INDEX('Materials Master'!$C$2:$C$27,MATCH($C244,'Materials Master'!$A$2:$A$27,0)),"")</f>
        <v>Glass</v>
      </c>
      <c r="F244" s="0" t="n">
        <f aca="false">SUMIFS(Fact_SortedWeights!$E$2:$E$6,Fact_SortedWeights!$C$2:$C$6,$A244,Fact_SortedWeights!$B$2:$B$6,$B244,Fact_SortedWeights!$D$2:$D$6,$C244)</f>
        <v>0</v>
      </c>
      <c r="G244" s="0" t="n">
        <f aca="false">IF(AND(IF($B244="Trash",INDEX('Materials Master'!$F$2:$F$27,MATCH($C244,'Materials Master'!$A$2:$A$27,0)),IF($B244="GMPC Recycling",INDEX('Materials Master'!$G$2:$G$27,MATCH($C244,'Materials Master'!$A$2:$A$27,0)),IF($B244="Organics Recycling",INDEX('Materials Master'!$H$2:$H$27,MATCH($C244,'Materials Master'!$A$2:$A$27,0)),IF($B244="Cardboard Recycling",INDEX('Materials Master'!$I$2:$I$27,MATCH($C244,'Materials Master'!$A$2:$A$27,0)),IF($B244="Paper Recycling",INDEX('Materials Master'!$J$2:$J$27,MATCH($C244,'Materials Master'!$A$2:$A$27,0)),IF($B244="Terracycle",INDEX('Materials Master'!$K$2:$K$27,MATCH($C244,'Materials Master'!$A$2:$A$27,0)),"No"))))))="Yes",INDEX('Materials Master'!$E$2:$E$27,MATCH($C244,'Materials Master'!$A$2:$A$27,0))="Yes",$B244&lt;&gt;"Trash"),1,0)</f>
        <v>1</v>
      </c>
      <c r="H244" s="0" t="str">
        <f aca="false">INDEX('Materials Master'!$E$2:$E$27,MATCH($C244,'Materials Master'!$A$2:$A$27,0))</f>
        <v>Yes</v>
      </c>
      <c r="I244" s="0" t="str">
        <f aca="false">IFERROR(INDEX(Areas!$C$2:$C$6,MATCH($A244,Areas!$B$2:$B$6,0)),"")</f>
        <v>BOH</v>
      </c>
      <c r="J244" s="0" t="n">
        <f aca="false">IF(IF($B244="Trash",INDEX('Materials Master'!$F$2:$F$27,MATCH($C244,'Materials Master'!$A$2:$A$27,0)),IF($B244="GMPC Recycling",INDEX('Materials Master'!$G$2:$G$27,MATCH($C244,'Materials Master'!$A$2:$A$27,0)),IF($B244="Organics Recycling",INDEX('Materials Master'!$H$2:$H$27,MATCH($C244,'Materials Master'!$A$2:$A$27,0)),IF($B244="Cardboard Recycling",INDEX('Materials Master'!$I$2:$I$27,MATCH($C244,'Materials Master'!$A$2:$A$27,0)),IF($B244="Paper Recycling",INDEX('Materials Master'!$J$2:$J$27,MATCH($C244,'Materials Master'!$A$2:$A$27,0)),IF($B244="Terracycle",INDEX('Materials Master'!$K$2:$K$27,MATCH($C244,'Materials Master'!$A$2:$A$27,0)),"No"))))))="Yes",1,0)</f>
        <v>1</v>
      </c>
    </row>
    <row r="245" customFormat="false" ht="15" hidden="false" customHeight="false" outlineLevel="0" collapsed="false">
      <c r="A245" s="0" t="s">
        <v>94</v>
      </c>
      <c r="B245" s="0" t="s">
        <v>106</v>
      </c>
      <c r="C245" s="0" t="s">
        <v>48</v>
      </c>
      <c r="D245" s="0" t="str">
        <f aca="false">IFERROR(INDEX('Materials Master'!$B$2:$B$27,MATCH($C245,'Materials Master'!$A$2:$A$27,0)),"")</f>
        <v>Soiled Glass</v>
      </c>
      <c r="E245" s="0" t="str">
        <f aca="false">IFERROR(INDEX('Materials Master'!$C$2:$C$27,MATCH($C245,'Materials Master'!$A$2:$A$27,0)),"")</f>
        <v>Glass</v>
      </c>
      <c r="F245" s="0" t="n">
        <f aca="false">SUMIFS(Fact_SortedWeights!$E$2:$E$6,Fact_SortedWeights!$C$2:$C$6,$A245,Fact_SortedWeights!$B$2:$B$6,$B245,Fact_SortedWeights!$D$2:$D$6,$C245)</f>
        <v>0</v>
      </c>
      <c r="G245" s="0" t="n">
        <f aca="false">IF(AND(IF($B245="Trash",INDEX('Materials Master'!$F$2:$F$27,MATCH($C245,'Materials Master'!$A$2:$A$27,0)),IF($B245="GMPC Recycling",INDEX('Materials Master'!$G$2:$G$27,MATCH($C245,'Materials Master'!$A$2:$A$27,0)),IF($B245="Organics Recycling",INDEX('Materials Master'!$H$2:$H$27,MATCH($C245,'Materials Master'!$A$2:$A$27,0)),IF($B245="Cardboard Recycling",INDEX('Materials Master'!$I$2:$I$27,MATCH($C245,'Materials Master'!$A$2:$A$27,0)),IF($B245="Paper Recycling",INDEX('Materials Master'!$J$2:$J$27,MATCH($C245,'Materials Master'!$A$2:$A$27,0)),IF($B245="Terracycle",INDEX('Materials Master'!$K$2:$K$27,MATCH($C245,'Materials Master'!$A$2:$A$27,0)),"No"))))))="Yes",INDEX('Materials Master'!$E$2:$E$27,MATCH($C245,'Materials Master'!$A$2:$A$27,0))="Yes",$B245&lt;&gt;"Trash"),1,0)</f>
        <v>0</v>
      </c>
      <c r="H245" s="0" t="str">
        <f aca="false">INDEX('Materials Master'!$E$2:$E$27,MATCH($C245,'Materials Master'!$A$2:$A$27,0))</f>
        <v>No</v>
      </c>
      <c r="I245" s="0" t="str">
        <f aca="false">IFERROR(INDEX(Areas!$C$2:$C$6,MATCH($A245,Areas!$B$2:$B$6,0)),"")</f>
        <v>BOH</v>
      </c>
      <c r="J245" s="0" t="n">
        <f aca="false">IF(IF($B245="Trash",INDEX('Materials Master'!$F$2:$F$27,MATCH($C245,'Materials Master'!$A$2:$A$27,0)),IF($B245="GMPC Recycling",INDEX('Materials Master'!$G$2:$G$27,MATCH($C245,'Materials Master'!$A$2:$A$27,0)),IF($B245="Organics Recycling",INDEX('Materials Master'!$H$2:$H$27,MATCH($C245,'Materials Master'!$A$2:$A$27,0)),IF($B245="Cardboard Recycling",INDEX('Materials Master'!$I$2:$I$27,MATCH($C245,'Materials Master'!$A$2:$A$27,0)),IF($B245="Paper Recycling",INDEX('Materials Master'!$J$2:$J$27,MATCH($C245,'Materials Master'!$A$2:$A$27,0)),IF($B245="Terracycle",INDEX('Materials Master'!$K$2:$K$27,MATCH($C245,'Materials Master'!$A$2:$A$27,0)),"No"))))))="Yes",1,0)</f>
        <v>0</v>
      </c>
    </row>
    <row r="246" customFormat="false" ht="15" hidden="false" customHeight="false" outlineLevel="0" collapsed="false">
      <c r="A246" s="0" t="s">
        <v>94</v>
      </c>
      <c r="B246" s="0" t="s">
        <v>106</v>
      </c>
      <c r="C246" s="0" t="s">
        <v>50</v>
      </c>
      <c r="D246" s="0" t="str">
        <f aca="false">IFERROR(INDEX('Materials Master'!$B$2:$B$27,MATCH($C246,'Materials Master'!$A$2:$A$27,0)),"")</f>
        <v>Aluminum &amp; Bi-Metal Containers</v>
      </c>
      <c r="E246" s="0" t="str">
        <f aca="false">IFERROR(INDEX('Materials Master'!$C$2:$C$27,MATCH($C246,'Materials Master'!$A$2:$A$27,0)),"")</f>
        <v>Metals</v>
      </c>
      <c r="F246" s="0" t="n">
        <f aca="false">SUMIFS(Fact_SortedWeights!$E$2:$E$6,Fact_SortedWeights!$C$2:$C$6,$A246,Fact_SortedWeights!$B$2:$B$6,$B246,Fact_SortedWeights!$D$2:$D$6,$C246)</f>
        <v>0</v>
      </c>
      <c r="G246" s="0" t="n">
        <f aca="false">IF(AND(IF($B246="Trash",INDEX('Materials Master'!$F$2:$F$27,MATCH($C246,'Materials Master'!$A$2:$A$27,0)),IF($B246="GMPC Recycling",INDEX('Materials Master'!$G$2:$G$27,MATCH($C246,'Materials Master'!$A$2:$A$27,0)),IF($B246="Organics Recycling",INDEX('Materials Master'!$H$2:$H$27,MATCH($C246,'Materials Master'!$A$2:$A$27,0)),IF($B246="Cardboard Recycling",INDEX('Materials Master'!$I$2:$I$27,MATCH($C246,'Materials Master'!$A$2:$A$27,0)),IF($B246="Paper Recycling",INDEX('Materials Master'!$J$2:$J$27,MATCH($C246,'Materials Master'!$A$2:$A$27,0)),IF($B246="Terracycle",INDEX('Materials Master'!$K$2:$K$27,MATCH($C246,'Materials Master'!$A$2:$A$27,0)),"No"))))))="Yes",INDEX('Materials Master'!$E$2:$E$27,MATCH($C246,'Materials Master'!$A$2:$A$27,0))="Yes",$B246&lt;&gt;"Trash"),1,0)</f>
        <v>1</v>
      </c>
      <c r="H246" s="0" t="str">
        <f aca="false">INDEX('Materials Master'!$E$2:$E$27,MATCH($C246,'Materials Master'!$A$2:$A$27,0))</f>
        <v>Yes</v>
      </c>
      <c r="I246" s="0" t="str">
        <f aca="false">IFERROR(INDEX(Areas!$C$2:$C$6,MATCH($A246,Areas!$B$2:$B$6,0)),"")</f>
        <v>BOH</v>
      </c>
      <c r="J246" s="0" t="n">
        <f aca="false">IF(IF($B246="Trash",INDEX('Materials Master'!$F$2:$F$27,MATCH($C246,'Materials Master'!$A$2:$A$27,0)),IF($B246="GMPC Recycling",INDEX('Materials Master'!$G$2:$G$27,MATCH($C246,'Materials Master'!$A$2:$A$27,0)),IF($B246="Organics Recycling",INDEX('Materials Master'!$H$2:$H$27,MATCH($C246,'Materials Master'!$A$2:$A$27,0)),IF($B246="Cardboard Recycling",INDEX('Materials Master'!$I$2:$I$27,MATCH($C246,'Materials Master'!$A$2:$A$27,0)),IF($B246="Paper Recycling",INDEX('Materials Master'!$J$2:$J$27,MATCH($C246,'Materials Master'!$A$2:$A$27,0)),IF($B246="Terracycle",INDEX('Materials Master'!$K$2:$K$27,MATCH($C246,'Materials Master'!$A$2:$A$27,0)),"No"))))))="Yes",1,0)</f>
        <v>1</v>
      </c>
    </row>
    <row r="247" customFormat="false" ht="15" hidden="false" customHeight="false" outlineLevel="0" collapsed="false">
      <c r="A247" s="0" t="s">
        <v>94</v>
      </c>
      <c r="B247" s="0" t="s">
        <v>106</v>
      </c>
      <c r="C247" s="0" t="s">
        <v>53</v>
      </c>
      <c r="D247" s="0" t="str">
        <f aca="false">IFERROR(INDEX('Materials Master'!$B$2:$B$27,MATCH($C247,'Materials Master'!$A$2:$A$27,0)),"")</f>
        <v>Soiled Metals</v>
      </c>
      <c r="E247" s="0" t="str">
        <f aca="false">IFERROR(INDEX('Materials Master'!$C$2:$C$27,MATCH($C247,'Materials Master'!$A$2:$A$27,0)),"")</f>
        <v>Metals</v>
      </c>
      <c r="F247" s="0" t="n">
        <f aca="false">SUMIFS(Fact_SortedWeights!$E$2:$E$6,Fact_SortedWeights!$C$2:$C$6,$A247,Fact_SortedWeights!$B$2:$B$6,$B247,Fact_SortedWeights!$D$2:$D$6,$C247)</f>
        <v>0</v>
      </c>
      <c r="G247" s="0" t="n">
        <f aca="false">IF(AND(IF($B247="Trash",INDEX('Materials Master'!$F$2:$F$27,MATCH($C247,'Materials Master'!$A$2:$A$27,0)),IF($B247="GMPC Recycling",INDEX('Materials Master'!$G$2:$G$27,MATCH($C247,'Materials Master'!$A$2:$A$27,0)),IF($B247="Organics Recycling",INDEX('Materials Master'!$H$2:$H$27,MATCH($C247,'Materials Master'!$A$2:$A$27,0)),IF($B247="Cardboard Recycling",INDEX('Materials Master'!$I$2:$I$27,MATCH($C247,'Materials Master'!$A$2:$A$27,0)),IF($B247="Paper Recycling",INDEX('Materials Master'!$J$2:$J$27,MATCH($C247,'Materials Master'!$A$2:$A$27,0)),IF($B247="Terracycle",INDEX('Materials Master'!$K$2:$K$27,MATCH($C247,'Materials Master'!$A$2:$A$27,0)),"No"))))))="Yes",INDEX('Materials Master'!$E$2:$E$27,MATCH($C247,'Materials Master'!$A$2:$A$27,0))="Yes",$B247&lt;&gt;"Trash"),1,0)</f>
        <v>0</v>
      </c>
      <c r="H247" s="0" t="str">
        <f aca="false">INDEX('Materials Master'!$E$2:$E$27,MATCH($C247,'Materials Master'!$A$2:$A$27,0))</f>
        <v>No</v>
      </c>
      <c r="I247" s="0" t="str">
        <f aca="false">IFERROR(INDEX(Areas!$C$2:$C$6,MATCH($A247,Areas!$B$2:$B$6,0)),"")</f>
        <v>BOH</v>
      </c>
      <c r="J247" s="0" t="n">
        <f aca="false">IF(IF($B247="Trash",INDEX('Materials Master'!$F$2:$F$27,MATCH($C247,'Materials Master'!$A$2:$A$27,0)),IF($B247="GMPC Recycling",INDEX('Materials Master'!$G$2:$G$27,MATCH($C247,'Materials Master'!$A$2:$A$27,0)),IF($B247="Organics Recycling",INDEX('Materials Master'!$H$2:$H$27,MATCH($C247,'Materials Master'!$A$2:$A$27,0)),IF($B247="Cardboard Recycling",INDEX('Materials Master'!$I$2:$I$27,MATCH($C247,'Materials Master'!$A$2:$A$27,0)),IF($B247="Paper Recycling",INDEX('Materials Master'!$J$2:$J$27,MATCH($C247,'Materials Master'!$A$2:$A$27,0)),IF($B247="Terracycle",INDEX('Materials Master'!$K$2:$K$27,MATCH($C247,'Materials Master'!$A$2:$A$27,0)),"No"))))))="Yes",1,0)</f>
        <v>0</v>
      </c>
    </row>
    <row r="248" customFormat="false" ht="15" hidden="false" customHeight="false" outlineLevel="0" collapsed="false">
      <c r="A248" s="0" t="s">
        <v>94</v>
      </c>
      <c r="B248" s="0" t="s">
        <v>106</v>
      </c>
      <c r="C248" s="0" t="s">
        <v>55</v>
      </c>
      <c r="D248" s="0" t="str">
        <f aca="false">IFERROR(INDEX('Materials Master'!$B$2:$B$27,MATCH($C248,'Materials Master'!$A$2:$A$27,0)),"")</f>
        <v>Rigid Plastics (1-6)</v>
      </c>
      <c r="E248" s="0" t="str">
        <f aca="false">IFERROR(INDEX('Materials Master'!$C$2:$C$27,MATCH($C248,'Materials Master'!$A$2:$A$27,0)),"")</f>
        <v>Plastics</v>
      </c>
      <c r="F248" s="0" t="n">
        <f aca="false">SUMIFS(Fact_SortedWeights!$E$2:$E$6,Fact_SortedWeights!$C$2:$C$6,$A248,Fact_SortedWeights!$B$2:$B$6,$B248,Fact_SortedWeights!$D$2:$D$6,$C248)</f>
        <v>0</v>
      </c>
      <c r="G248" s="0" t="n">
        <f aca="false">IF(AND(IF($B248="Trash",INDEX('Materials Master'!$F$2:$F$27,MATCH($C248,'Materials Master'!$A$2:$A$27,0)),IF($B248="GMPC Recycling",INDEX('Materials Master'!$G$2:$G$27,MATCH($C248,'Materials Master'!$A$2:$A$27,0)),IF($B248="Organics Recycling",INDEX('Materials Master'!$H$2:$H$27,MATCH($C248,'Materials Master'!$A$2:$A$27,0)),IF($B248="Cardboard Recycling",INDEX('Materials Master'!$I$2:$I$27,MATCH($C248,'Materials Master'!$A$2:$A$27,0)),IF($B248="Paper Recycling",INDEX('Materials Master'!$J$2:$J$27,MATCH($C248,'Materials Master'!$A$2:$A$27,0)),IF($B248="Terracycle",INDEX('Materials Master'!$K$2:$K$27,MATCH($C248,'Materials Master'!$A$2:$A$27,0)),"No"))))))="Yes",INDEX('Materials Master'!$E$2:$E$27,MATCH($C248,'Materials Master'!$A$2:$A$27,0))="Yes",$B248&lt;&gt;"Trash"),1,0)</f>
        <v>1</v>
      </c>
      <c r="H248" s="0" t="str">
        <f aca="false">INDEX('Materials Master'!$E$2:$E$27,MATCH($C248,'Materials Master'!$A$2:$A$27,0))</f>
        <v>Yes</v>
      </c>
      <c r="I248" s="0" t="str">
        <f aca="false">IFERROR(INDEX(Areas!$C$2:$C$6,MATCH($A248,Areas!$B$2:$B$6,0)),"")</f>
        <v>BOH</v>
      </c>
      <c r="J248" s="0" t="n">
        <f aca="false">IF(IF($B248="Trash",INDEX('Materials Master'!$F$2:$F$27,MATCH($C248,'Materials Master'!$A$2:$A$27,0)),IF($B248="GMPC Recycling",INDEX('Materials Master'!$G$2:$G$27,MATCH($C248,'Materials Master'!$A$2:$A$27,0)),IF($B248="Organics Recycling",INDEX('Materials Master'!$H$2:$H$27,MATCH($C248,'Materials Master'!$A$2:$A$27,0)),IF($B248="Cardboard Recycling",INDEX('Materials Master'!$I$2:$I$27,MATCH($C248,'Materials Master'!$A$2:$A$27,0)),IF($B248="Paper Recycling",INDEX('Materials Master'!$J$2:$J$27,MATCH($C248,'Materials Master'!$A$2:$A$27,0)),IF($B248="Terracycle",INDEX('Materials Master'!$K$2:$K$27,MATCH($C248,'Materials Master'!$A$2:$A$27,0)),"No"))))))="Yes",1,0)</f>
        <v>1</v>
      </c>
    </row>
    <row r="249" customFormat="false" ht="15" hidden="false" customHeight="false" outlineLevel="0" collapsed="false">
      <c r="A249" s="0" t="s">
        <v>94</v>
      </c>
      <c r="B249" s="0" t="s">
        <v>106</v>
      </c>
      <c r="C249" s="0" t="s">
        <v>58</v>
      </c>
      <c r="D249" s="0" t="str">
        <f aca="false">IFERROR(INDEX('Materials Master'!$B$2:$B$27,MATCH($C249,'Materials Master'!$A$2:$A$27,0)),"")</f>
        <v>Soiled Rigid Plastics</v>
      </c>
      <c r="E249" s="0" t="str">
        <f aca="false">IFERROR(INDEX('Materials Master'!$C$2:$C$27,MATCH($C249,'Materials Master'!$A$2:$A$27,0)),"")</f>
        <v>Plastics</v>
      </c>
      <c r="F249" s="0" t="n">
        <f aca="false">SUMIFS(Fact_SortedWeights!$E$2:$E$6,Fact_SortedWeights!$C$2:$C$6,$A249,Fact_SortedWeights!$B$2:$B$6,$B249,Fact_SortedWeights!$D$2:$D$6,$C249)</f>
        <v>0</v>
      </c>
      <c r="G249" s="0" t="n">
        <f aca="false">IF(AND(IF($B249="Trash",INDEX('Materials Master'!$F$2:$F$27,MATCH($C249,'Materials Master'!$A$2:$A$27,0)),IF($B249="GMPC Recycling",INDEX('Materials Master'!$G$2:$G$27,MATCH($C249,'Materials Master'!$A$2:$A$27,0)),IF($B249="Organics Recycling",INDEX('Materials Master'!$H$2:$H$27,MATCH($C249,'Materials Master'!$A$2:$A$27,0)),IF($B249="Cardboard Recycling",INDEX('Materials Master'!$I$2:$I$27,MATCH($C249,'Materials Master'!$A$2:$A$27,0)),IF($B249="Paper Recycling",INDEX('Materials Master'!$J$2:$J$27,MATCH($C249,'Materials Master'!$A$2:$A$27,0)),IF($B249="Terracycle",INDEX('Materials Master'!$K$2:$K$27,MATCH($C249,'Materials Master'!$A$2:$A$27,0)),"No"))))))="Yes",INDEX('Materials Master'!$E$2:$E$27,MATCH($C249,'Materials Master'!$A$2:$A$27,0))="Yes",$B249&lt;&gt;"Trash"),1,0)</f>
        <v>0</v>
      </c>
      <c r="H249" s="0" t="str">
        <f aca="false">INDEX('Materials Master'!$E$2:$E$27,MATCH($C249,'Materials Master'!$A$2:$A$27,0))</f>
        <v>No</v>
      </c>
      <c r="I249" s="0" t="str">
        <f aca="false">IFERROR(INDEX(Areas!$C$2:$C$6,MATCH($A249,Areas!$B$2:$B$6,0)),"")</f>
        <v>BOH</v>
      </c>
      <c r="J249" s="0" t="n">
        <f aca="false">IF(IF($B249="Trash",INDEX('Materials Master'!$F$2:$F$27,MATCH($C249,'Materials Master'!$A$2:$A$27,0)),IF($B249="GMPC Recycling",INDEX('Materials Master'!$G$2:$G$27,MATCH($C249,'Materials Master'!$A$2:$A$27,0)),IF($B249="Organics Recycling",INDEX('Materials Master'!$H$2:$H$27,MATCH($C249,'Materials Master'!$A$2:$A$27,0)),IF($B249="Cardboard Recycling",INDEX('Materials Master'!$I$2:$I$27,MATCH($C249,'Materials Master'!$A$2:$A$27,0)),IF($B249="Paper Recycling",INDEX('Materials Master'!$J$2:$J$27,MATCH($C249,'Materials Master'!$A$2:$A$27,0)),IF($B249="Terracycle",INDEX('Materials Master'!$K$2:$K$27,MATCH($C249,'Materials Master'!$A$2:$A$27,0)),"No"))))))="Yes",1,0)</f>
        <v>0</v>
      </c>
    </row>
    <row r="250" customFormat="false" ht="15" hidden="false" customHeight="false" outlineLevel="0" collapsed="false">
      <c r="A250" s="0" t="s">
        <v>94</v>
      </c>
      <c r="B250" s="0" t="s">
        <v>106</v>
      </c>
      <c r="C250" s="0" t="s">
        <v>60</v>
      </c>
      <c r="D250" s="0" t="str">
        <f aca="false">IFERROR(INDEX('Materials Master'!$B$2:$B$27,MATCH($C250,'Materials Master'!$A$2:$A$27,0)),"")</f>
        <v>Film Plastics</v>
      </c>
      <c r="E250" s="0" t="str">
        <f aca="false">IFERROR(INDEX('Materials Master'!$C$2:$C$27,MATCH($C250,'Materials Master'!$A$2:$A$27,0)),"")</f>
        <v>Plastics</v>
      </c>
      <c r="F250" s="0" t="n">
        <f aca="false">SUMIFS(Fact_SortedWeights!$E$2:$E$6,Fact_SortedWeights!$C$2:$C$6,$A250,Fact_SortedWeights!$B$2:$B$6,$B250,Fact_SortedWeights!$D$2:$D$6,$C250)</f>
        <v>0</v>
      </c>
      <c r="G250" s="0" t="n">
        <f aca="false">IF(AND(IF($B250="Trash",INDEX('Materials Master'!$F$2:$F$27,MATCH($C250,'Materials Master'!$A$2:$A$27,0)),IF($B250="GMPC Recycling",INDEX('Materials Master'!$G$2:$G$27,MATCH($C250,'Materials Master'!$A$2:$A$27,0)),IF($B250="Organics Recycling",INDEX('Materials Master'!$H$2:$H$27,MATCH($C250,'Materials Master'!$A$2:$A$27,0)),IF($B250="Cardboard Recycling",INDEX('Materials Master'!$I$2:$I$27,MATCH($C250,'Materials Master'!$A$2:$A$27,0)),IF($B250="Paper Recycling",INDEX('Materials Master'!$J$2:$J$27,MATCH($C250,'Materials Master'!$A$2:$A$27,0)),IF($B250="Terracycle",INDEX('Materials Master'!$K$2:$K$27,MATCH($C250,'Materials Master'!$A$2:$A$27,0)),"No"))))))="Yes",INDEX('Materials Master'!$E$2:$E$27,MATCH($C250,'Materials Master'!$A$2:$A$27,0))="Yes",$B250&lt;&gt;"Trash"),1,0)</f>
        <v>0</v>
      </c>
      <c r="H250" s="0" t="str">
        <f aca="false">INDEX('Materials Master'!$E$2:$E$27,MATCH($C250,'Materials Master'!$A$2:$A$27,0))</f>
        <v>No</v>
      </c>
      <c r="I250" s="0" t="str">
        <f aca="false">IFERROR(INDEX(Areas!$C$2:$C$6,MATCH($A250,Areas!$B$2:$B$6,0)),"")</f>
        <v>BOH</v>
      </c>
      <c r="J250" s="0" t="n">
        <f aca="false">IF(IF($B250="Trash",INDEX('Materials Master'!$F$2:$F$27,MATCH($C250,'Materials Master'!$A$2:$A$27,0)),IF($B250="GMPC Recycling",INDEX('Materials Master'!$G$2:$G$27,MATCH($C250,'Materials Master'!$A$2:$A$27,0)),IF($B250="Organics Recycling",INDEX('Materials Master'!$H$2:$H$27,MATCH($C250,'Materials Master'!$A$2:$A$27,0)),IF($B250="Cardboard Recycling",INDEX('Materials Master'!$I$2:$I$27,MATCH($C250,'Materials Master'!$A$2:$A$27,0)),IF($B250="Paper Recycling",INDEX('Materials Master'!$J$2:$J$27,MATCH($C250,'Materials Master'!$A$2:$A$27,0)),IF($B250="Terracycle",INDEX('Materials Master'!$K$2:$K$27,MATCH($C250,'Materials Master'!$A$2:$A$27,0)),"No"))))))="Yes",1,0)</f>
        <v>0</v>
      </c>
    </row>
    <row r="251" customFormat="false" ht="15" hidden="false" customHeight="false" outlineLevel="0" collapsed="false">
      <c r="A251" s="0" t="s">
        <v>94</v>
      </c>
      <c r="B251" s="0" t="s">
        <v>106</v>
      </c>
      <c r="C251" s="0" t="s">
        <v>62</v>
      </c>
      <c r="D251" s="0" t="str">
        <f aca="false">IFERROR(INDEX('Materials Master'!$B$2:$B$27,MATCH($C251,'Materials Master'!$A$2:$A$27,0)),"")</f>
        <v>Foams</v>
      </c>
      <c r="E251" s="0" t="str">
        <f aca="false">IFERROR(INDEX('Materials Master'!$C$2:$C$27,MATCH($C251,'Materials Master'!$A$2:$A$27,0)),"")</f>
        <v>Plastics</v>
      </c>
      <c r="F251" s="0" t="n">
        <f aca="false">SUMIFS(Fact_SortedWeights!$E$2:$E$6,Fact_SortedWeights!$C$2:$C$6,$A251,Fact_SortedWeights!$B$2:$B$6,$B251,Fact_SortedWeights!$D$2:$D$6,$C251)</f>
        <v>0</v>
      </c>
      <c r="G251" s="0" t="n">
        <f aca="false">IF(AND(IF($B251="Trash",INDEX('Materials Master'!$F$2:$F$27,MATCH($C251,'Materials Master'!$A$2:$A$27,0)),IF($B251="GMPC Recycling",INDEX('Materials Master'!$G$2:$G$27,MATCH($C251,'Materials Master'!$A$2:$A$27,0)),IF($B251="Organics Recycling",INDEX('Materials Master'!$H$2:$H$27,MATCH($C251,'Materials Master'!$A$2:$A$27,0)),IF($B251="Cardboard Recycling",INDEX('Materials Master'!$I$2:$I$27,MATCH($C251,'Materials Master'!$A$2:$A$27,0)),IF($B251="Paper Recycling",INDEX('Materials Master'!$J$2:$J$27,MATCH($C251,'Materials Master'!$A$2:$A$27,0)),IF($B251="Terracycle",INDEX('Materials Master'!$K$2:$K$27,MATCH($C251,'Materials Master'!$A$2:$A$27,0)),"No"))))))="Yes",INDEX('Materials Master'!$E$2:$E$27,MATCH($C251,'Materials Master'!$A$2:$A$27,0))="Yes",$B251&lt;&gt;"Trash"),1,0)</f>
        <v>0</v>
      </c>
      <c r="H251" s="0" t="str">
        <f aca="false">INDEX('Materials Master'!$E$2:$E$27,MATCH($C251,'Materials Master'!$A$2:$A$27,0))</f>
        <v>No</v>
      </c>
      <c r="I251" s="0" t="str">
        <f aca="false">IFERROR(INDEX(Areas!$C$2:$C$6,MATCH($A251,Areas!$B$2:$B$6,0)),"")</f>
        <v>BOH</v>
      </c>
      <c r="J251" s="0" t="n">
        <f aca="false">IF(IF($B251="Trash",INDEX('Materials Master'!$F$2:$F$27,MATCH($C251,'Materials Master'!$A$2:$A$27,0)),IF($B251="GMPC Recycling",INDEX('Materials Master'!$G$2:$G$27,MATCH($C251,'Materials Master'!$A$2:$A$27,0)),IF($B251="Organics Recycling",INDEX('Materials Master'!$H$2:$H$27,MATCH($C251,'Materials Master'!$A$2:$A$27,0)),IF($B251="Cardboard Recycling",INDEX('Materials Master'!$I$2:$I$27,MATCH($C251,'Materials Master'!$A$2:$A$27,0)),IF($B251="Paper Recycling",INDEX('Materials Master'!$J$2:$J$27,MATCH($C251,'Materials Master'!$A$2:$A$27,0)),IF($B251="Terracycle",INDEX('Materials Master'!$K$2:$K$27,MATCH($C251,'Materials Master'!$A$2:$A$27,0)),"No"))))))="Yes",1,0)</f>
        <v>0</v>
      </c>
    </row>
    <row r="252" customFormat="false" ht="15" hidden="false" customHeight="false" outlineLevel="0" collapsed="false">
      <c r="A252" s="0" t="s">
        <v>94</v>
      </c>
      <c r="B252" s="0" t="s">
        <v>106</v>
      </c>
      <c r="C252" s="0" t="s">
        <v>64</v>
      </c>
      <c r="D252" s="0" t="str">
        <f aca="false">IFERROR(INDEX('Materials Master'!$B$2:$B$27,MATCH($C252,'Materials Master'!$A$2:$A$27,0)),"")</f>
        <v>Food Waste</v>
      </c>
      <c r="E252" s="0" t="str">
        <f aca="false">IFERROR(INDEX('Materials Master'!$C$2:$C$27,MATCH($C252,'Materials Master'!$A$2:$A$27,0)),"")</f>
        <v>Organics</v>
      </c>
      <c r="F252" s="0" t="n">
        <f aca="false">SUMIFS(Fact_SortedWeights!$E$2:$E$6,Fact_SortedWeights!$C$2:$C$6,$A252,Fact_SortedWeights!$B$2:$B$6,$B252,Fact_SortedWeights!$D$2:$D$6,$C252)</f>
        <v>0</v>
      </c>
      <c r="G252" s="0" t="n">
        <f aca="false">IF(AND(IF($B252="Trash",INDEX('Materials Master'!$F$2:$F$27,MATCH($C252,'Materials Master'!$A$2:$A$27,0)),IF($B252="GMPC Recycling",INDEX('Materials Master'!$G$2:$G$27,MATCH($C252,'Materials Master'!$A$2:$A$27,0)),IF($B252="Organics Recycling",INDEX('Materials Master'!$H$2:$H$27,MATCH($C252,'Materials Master'!$A$2:$A$27,0)),IF($B252="Cardboard Recycling",INDEX('Materials Master'!$I$2:$I$27,MATCH($C252,'Materials Master'!$A$2:$A$27,0)),IF($B252="Paper Recycling",INDEX('Materials Master'!$J$2:$J$27,MATCH($C252,'Materials Master'!$A$2:$A$27,0)),IF($B252="Terracycle",INDEX('Materials Master'!$K$2:$K$27,MATCH($C252,'Materials Master'!$A$2:$A$27,0)),"No"))))))="Yes",INDEX('Materials Master'!$E$2:$E$27,MATCH($C252,'Materials Master'!$A$2:$A$27,0))="Yes",$B252&lt;&gt;"Trash"),1,0)</f>
        <v>0</v>
      </c>
      <c r="H252" s="0" t="str">
        <f aca="false">INDEX('Materials Master'!$E$2:$E$27,MATCH($C252,'Materials Master'!$A$2:$A$27,0))</f>
        <v>Yes</v>
      </c>
      <c r="I252" s="0" t="str">
        <f aca="false">IFERROR(INDEX(Areas!$C$2:$C$6,MATCH($A252,Areas!$B$2:$B$6,0)),"")</f>
        <v>BOH</v>
      </c>
      <c r="J252" s="0" t="n">
        <f aca="false">IF(IF($B252="Trash",INDEX('Materials Master'!$F$2:$F$27,MATCH($C252,'Materials Master'!$A$2:$A$27,0)),IF($B252="GMPC Recycling",INDEX('Materials Master'!$G$2:$G$27,MATCH($C252,'Materials Master'!$A$2:$A$27,0)),IF($B252="Organics Recycling",INDEX('Materials Master'!$H$2:$H$27,MATCH($C252,'Materials Master'!$A$2:$A$27,0)),IF($B252="Cardboard Recycling",INDEX('Materials Master'!$I$2:$I$27,MATCH($C252,'Materials Master'!$A$2:$A$27,0)),IF($B252="Paper Recycling",INDEX('Materials Master'!$J$2:$J$27,MATCH($C252,'Materials Master'!$A$2:$A$27,0)),IF($B252="Terracycle",INDEX('Materials Master'!$K$2:$K$27,MATCH($C252,'Materials Master'!$A$2:$A$27,0)),"No"))))))="Yes",1,0)</f>
        <v>0</v>
      </c>
    </row>
    <row r="253" customFormat="false" ht="15" hidden="false" customHeight="false" outlineLevel="0" collapsed="false">
      <c r="A253" s="0" t="s">
        <v>94</v>
      </c>
      <c r="B253" s="0" t="s">
        <v>106</v>
      </c>
      <c r="C253" s="0" t="s">
        <v>67</v>
      </c>
      <c r="D253" s="0" t="str">
        <f aca="false">IFERROR(INDEX('Materials Master'!$B$2:$B$27,MATCH($C253,'Materials Master'!$A$2:$A$27,0)),"")</f>
        <v>Paper Fibers and Food-Soiled Paper (FSP)</v>
      </c>
      <c r="E253" s="0" t="str">
        <f aca="false">IFERROR(INDEX('Materials Master'!$C$2:$C$27,MATCH($C253,'Materials Master'!$A$2:$A$27,0)),"")</f>
        <v>Organics</v>
      </c>
      <c r="F253" s="0" t="n">
        <f aca="false">SUMIFS(Fact_SortedWeights!$E$2:$E$6,Fact_SortedWeights!$C$2:$C$6,$A253,Fact_SortedWeights!$B$2:$B$6,$B253,Fact_SortedWeights!$D$2:$D$6,$C253)</f>
        <v>0</v>
      </c>
      <c r="G253" s="0" t="n">
        <f aca="false">IF(AND(IF($B253="Trash",INDEX('Materials Master'!$F$2:$F$27,MATCH($C253,'Materials Master'!$A$2:$A$27,0)),IF($B253="GMPC Recycling",INDEX('Materials Master'!$G$2:$G$27,MATCH($C253,'Materials Master'!$A$2:$A$27,0)),IF($B253="Organics Recycling",INDEX('Materials Master'!$H$2:$H$27,MATCH($C253,'Materials Master'!$A$2:$A$27,0)),IF($B253="Cardboard Recycling",INDEX('Materials Master'!$I$2:$I$27,MATCH($C253,'Materials Master'!$A$2:$A$27,0)),IF($B253="Paper Recycling",INDEX('Materials Master'!$J$2:$J$27,MATCH($C253,'Materials Master'!$A$2:$A$27,0)),IF($B253="Terracycle",INDEX('Materials Master'!$K$2:$K$27,MATCH($C253,'Materials Master'!$A$2:$A$27,0)),"No"))))))="Yes",INDEX('Materials Master'!$E$2:$E$27,MATCH($C253,'Materials Master'!$A$2:$A$27,0))="Yes",$B253&lt;&gt;"Trash"),1,0)</f>
        <v>0</v>
      </c>
      <c r="H253" s="0" t="str">
        <f aca="false">INDEX('Materials Master'!$E$2:$E$27,MATCH($C253,'Materials Master'!$A$2:$A$27,0))</f>
        <v>No</v>
      </c>
      <c r="I253" s="0" t="str">
        <f aca="false">IFERROR(INDEX(Areas!$C$2:$C$6,MATCH($A253,Areas!$B$2:$B$6,0)),"")</f>
        <v>BOH</v>
      </c>
      <c r="J253" s="0" t="n">
        <f aca="false">IF(IF($B253="Trash",INDEX('Materials Master'!$F$2:$F$27,MATCH($C253,'Materials Master'!$A$2:$A$27,0)),IF($B253="GMPC Recycling",INDEX('Materials Master'!$G$2:$G$27,MATCH($C253,'Materials Master'!$A$2:$A$27,0)),IF($B253="Organics Recycling",INDEX('Materials Master'!$H$2:$H$27,MATCH($C253,'Materials Master'!$A$2:$A$27,0)),IF($B253="Cardboard Recycling",INDEX('Materials Master'!$I$2:$I$27,MATCH($C253,'Materials Master'!$A$2:$A$27,0)),IF($B253="Paper Recycling",INDEX('Materials Master'!$J$2:$J$27,MATCH($C253,'Materials Master'!$A$2:$A$27,0)),IF($B253="Terracycle",INDEX('Materials Master'!$K$2:$K$27,MATCH($C253,'Materials Master'!$A$2:$A$27,0)),"No"))))))="Yes",1,0)</f>
        <v>0</v>
      </c>
    </row>
    <row r="254" customFormat="false" ht="15" hidden="false" customHeight="false" outlineLevel="0" collapsed="false">
      <c r="A254" s="0" t="s">
        <v>94</v>
      </c>
      <c r="B254" s="0" t="s">
        <v>106</v>
      </c>
      <c r="C254" s="0" t="s">
        <v>69</v>
      </c>
      <c r="D254" s="0" t="str">
        <f aca="false">IFERROR(INDEX('Materials Master'!$B$2:$B$27,MATCH($C254,'Materials Master'!$A$2:$A$27,0)),"")</f>
        <v>Fiber-based Compostable Serviceware</v>
      </c>
      <c r="E254" s="0" t="str">
        <f aca="false">IFERROR(INDEX('Materials Master'!$C$2:$C$27,MATCH($C254,'Materials Master'!$A$2:$A$27,0)),"")</f>
        <v>Organics</v>
      </c>
      <c r="F254" s="0" t="n">
        <f aca="false">SUMIFS(Fact_SortedWeights!$E$2:$E$6,Fact_SortedWeights!$C$2:$C$6,$A254,Fact_SortedWeights!$B$2:$B$6,$B254,Fact_SortedWeights!$D$2:$D$6,$C254)</f>
        <v>0</v>
      </c>
      <c r="G254" s="0" t="n">
        <f aca="false">IF(AND(IF($B254="Trash",INDEX('Materials Master'!$F$2:$F$27,MATCH($C254,'Materials Master'!$A$2:$A$27,0)),IF($B254="GMPC Recycling",INDEX('Materials Master'!$G$2:$G$27,MATCH($C254,'Materials Master'!$A$2:$A$27,0)),IF($B254="Organics Recycling",INDEX('Materials Master'!$H$2:$H$27,MATCH($C254,'Materials Master'!$A$2:$A$27,0)),IF($B254="Cardboard Recycling",INDEX('Materials Master'!$I$2:$I$27,MATCH($C254,'Materials Master'!$A$2:$A$27,0)),IF($B254="Paper Recycling",INDEX('Materials Master'!$J$2:$J$27,MATCH($C254,'Materials Master'!$A$2:$A$27,0)),IF($B254="Terracycle",INDEX('Materials Master'!$K$2:$K$27,MATCH($C254,'Materials Master'!$A$2:$A$27,0)),"No"))))))="Yes",INDEX('Materials Master'!$E$2:$E$27,MATCH($C254,'Materials Master'!$A$2:$A$27,0))="Yes",$B254&lt;&gt;"Trash"),1,0)</f>
        <v>0</v>
      </c>
      <c r="H254" s="0" t="str">
        <f aca="false">INDEX('Materials Master'!$E$2:$E$27,MATCH($C254,'Materials Master'!$A$2:$A$27,0))</f>
        <v>No</v>
      </c>
      <c r="I254" s="0" t="str">
        <f aca="false">IFERROR(INDEX(Areas!$C$2:$C$6,MATCH($A254,Areas!$B$2:$B$6,0)),"")</f>
        <v>BOH</v>
      </c>
      <c r="J254" s="0" t="n">
        <f aca="false">IF(IF($B254="Trash",INDEX('Materials Master'!$F$2:$F$27,MATCH($C254,'Materials Master'!$A$2:$A$27,0)),IF($B254="GMPC Recycling",INDEX('Materials Master'!$G$2:$G$27,MATCH($C254,'Materials Master'!$A$2:$A$27,0)),IF($B254="Organics Recycling",INDEX('Materials Master'!$H$2:$H$27,MATCH($C254,'Materials Master'!$A$2:$A$27,0)),IF($B254="Cardboard Recycling",INDEX('Materials Master'!$I$2:$I$27,MATCH($C254,'Materials Master'!$A$2:$A$27,0)),IF($B254="Paper Recycling",INDEX('Materials Master'!$J$2:$J$27,MATCH($C254,'Materials Master'!$A$2:$A$27,0)),IF($B254="Terracycle",INDEX('Materials Master'!$K$2:$K$27,MATCH($C254,'Materials Master'!$A$2:$A$27,0)),"No"))))))="Yes",1,0)</f>
        <v>0</v>
      </c>
    </row>
    <row r="255" customFormat="false" ht="15" hidden="false" customHeight="false" outlineLevel="0" collapsed="false">
      <c r="A255" s="0" t="s">
        <v>94</v>
      </c>
      <c r="B255" s="0" t="s">
        <v>106</v>
      </c>
      <c r="C255" s="0" t="s">
        <v>71</v>
      </c>
      <c r="D255" s="0" t="str">
        <f aca="false">IFERROR(INDEX('Materials Master'!$B$2:$B$27,MATCH($C255,'Materials Master'!$A$2:$A$27,0)),"")</f>
        <v>PLA Compostable Serviceware</v>
      </c>
      <c r="E255" s="0" t="str">
        <f aca="false">IFERROR(INDEX('Materials Master'!$C$2:$C$27,MATCH($C255,'Materials Master'!$A$2:$A$27,0)),"")</f>
        <v>Organics</v>
      </c>
      <c r="F255" s="0" t="n">
        <f aca="false">SUMIFS(Fact_SortedWeights!$E$2:$E$6,Fact_SortedWeights!$C$2:$C$6,$A255,Fact_SortedWeights!$B$2:$B$6,$B255,Fact_SortedWeights!$D$2:$D$6,$C255)</f>
        <v>0</v>
      </c>
      <c r="G255" s="0" t="n">
        <f aca="false">IF(AND(IF($B255="Trash",INDEX('Materials Master'!$F$2:$F$27,MATCH($C255,'Materials Master'!$A$2:$A$27,0)),IF($B255="GMPC Recycling",INDEX('Materials Master'!$G$2:$G$27,MATCH($C255,'Materials Master'!$A$2:$A$27,0)),IF($B255="Organics Recycling",INDEX('Materials Master'!$H$2:$H$27,MATCH($C255,'Materials Master'!$A$2:$A$27,0)),IF($B255="Cardboard Recycling",INDEX('Materials Master'!$I$2:$I$27,MATCH($C255,'Materials Master'!$A$2:$A$27,0)),IF($B255="Paper Recycling",INDEX('Materials Master'!$J$2:$J$27,MATCH($C255,'Materials Master'!$A$2:$A$27,0)),IF($B255="Terracycle",INDEX('Materials Master'!$K$2:$K$27,MATCH($C255,'Materials Master'!$A$2:$A$27,0)),"No"))))))="Yes",INDEX('Materials Master'!$E$2:$E$27,MATCH($C255,'Materials Master'!$A$2:$A$27,0))="Yes",$B255&lt;&gt;"Trash"),1,0)</f>
        <v>0</v>
      </c>
      <c r="H255" s="0" t="str">
        <f aca="false">INDEX('Materials Master'!$E$2:$E$27,MATCH($C255,'Materials Master'!$A$2:$A$27,0))</f>
        <v>No</v>
      </c>
      <c r="I255" s="0" t="str">
        <f aca="false">IFERROR(INDEX(Areas!$C$2:$C$6,MATCH($A255,Areas!$B$2:$B$6,0)),"")</f>
        <v>BOH</v>
      </c>
      <c r="J255" s="0" t="n">
        <f aca="false">IF(IF($B255="Trash",INDEX('Materials Master'!$F$2:$F$27,MATCH($C255,'Materials Master'!$A$2:$A$27,0)),IF($B255="GMPC Recycling",INDEX('Materials Master'!$G$2:$G$27,MATCH($C255,'Materials Master'!$A$2:$A$27,0)),IF($B255="Organics Recycling",INDEX('Materials Master'!$H$2:$H$27,MATCH($C255,'Materials Master'!$A$2:$A$27,0)),IF($B255="Cardboard Recycling",INDEX('Materials Master'!$I$2:$I$27,MATCH($C255,'Materials Master'!$A$2:$A$27,0)),IF($B255="Paper Recycling",INDEX('Materials Master'!$J$2:$J$27,MATCH($C255,'Materials Master'!$A$2:$A$27,0)),IF($B255="Terracycle",INDEX('Materials Master'!$K$2:$K$27,MATCH($C255,'Materials Master'!$A$2:$A$27,0)),"No"))))))="Yes",1,0)</f>
        <v>0</v>
      </c>
    </row>
    <row r="256" customFormat="false" ht="15" hidden="false" customHeight="false" outlineLevel="0" collapsed="false">
      <c r="A256" s="0" t="s">
        <v>94</v>
      </c>
      <c r="B256" s="0" t="s">
        <v>106</v>
      </c>
      <c r="C256" s="0" t="s">
        <v>73</v>
      </c>
      <c r="D256" s="0" t="str">
        <f aca="false">IFERROR(INDEX('Materials Master'!$B$2:$B$27,MATCH($C256,'Materials Master'!$A$2:$A$27,0)),"")</f>
        <v>E/U Waste</v>
      </c>
      <c r="E256" s="0" t="str">
        <f aca="false">IFERROR(INDEX('Materials Master'!$C$2:$C$27,MATCH($C256,'Materials Master'!$A$2:$A$27,0)),"")</f>
        <v>Unacceptable</v>
      </c>
      <c r="F256" s="0" t="n">
        <f aca="false">SUMIFS(Fact_SortedWeights!$E$2:$E$6,Fact_SortedWeights!$C$2:$C$6,$A256,Fact_SortedWeights!$B$2:$B$6,$B256,Fact_SortedWeights!$D$2:$D$6,$C256)</f>
        <v>0</v>
      </c>
      <c r="G256" s="0" t="n">
        <f aca="false">IF(AND(IF($B256="Trash",INDEX('Materials Master'!$F$2:$F$27,MATCH($C256,'Materials Master'!$A$2:$A$27,0)),IF($B256="GMPC Recycling",INDEX('Materials Master'!$G$2:$G$27,MATCH($C256,'Materials Master'!$A$2:$A$27,0)),IF($B256="Organics Recycling",INDEX('Materials Master'!$H$2:$H$27,MATCH($C256,'Materials Master'!$A$2:$A$27,0)),IF($B256="Cardboard Recycling",INDEX('Materials Master'!$I$2:$I$27,MATCH($C256,'Materials Master'!$A$2:$A$27,0)),IF($B256="Paper Recycling",INDEX('Materials Master'!$J$2:$J$27,MATCH($C256,'Materials Master'!$A$2:$A$27,0)),IF($B256="Terracycle",INDEX('Materials Master'!$K$2:$K$27,MATCH($C256,'Materials Master'!$A$2:$A$27,0)),"No"))))))="Yes",INDEX('Materials Master'!$E$2:$E$27,MATCH($C256,'Materials Master'!$A$2:$A$27,0))="Yes",$B256&lt;&gt;"Trash"),1,0)</f>
        <v>0</v>
      </c>
      <c r="H256" s="0" t="str">
        <f aca="false">INDEX('Materials Master'!$E$2:$E$27,MATCH($C256,'Materials Master'!$A$2:$A$27,0))</f>
        <v>No</v>
      </c>
      <c r="I256" s="0" t="str">
        <f aca="false">IFERROR(INDEX(Areas!$C$2:$C$6,MATCH($A256,Areas!$B$2:$B$6,0)),"")</f>
        <v>BOH</v>
      </c>
      <c r="J256" s="0" t="n">
        <f aca="false">IF(IF($B256="Trash",INDEX('Materials Master'!$F$2:$F$27,MATCH($C256,'Materials Master'!$A$2:$A$27,0)),IF($B256="GMPC Recycling",INDEX('Materials Master'!$G$2:$G$27,MATCH($C256,'Materials Master'!$A$2:$A$27,0)),IF($B256="Organics Recycling",INDEX('Materials Master'!$H$2:$H$27,MATCH($C256,'Materials Master'!$A$2:$A$27,0)),IF($B256="Cardboard Recycling",INDEX('Materials Master'!$I$2:$I$27,MATCH($C256,'Materials Master'!$A$2:$A$27,0)),IF($B256="Paper Recycling",INDEX('Materials Master'!$J$2:$J$27,MATCH($C256,'Materials Master'!$A$2:$A$27,0)),IF($B256="Terracycle",INDEX('Materials Master'!$K$2:$K$27,MATCH($C256,'Materials Master'!$A$2:$A$27,0)),"No"))))))="Yes",1,0)</f>
        <v>0</v>
      </c>
    </row>
    <row r="257" customFormat="false" ht="15" hidden="false" customHeight="false" outlineLevel="0" collapsed="false">
      <c r="A257" s="0" t="s">
        <v>94</v>
      </c>
      <c r="B257" s="0" t="s">
        <v>106</v>
      </c>
      <c r="C257" s="0" t="s">
        <v>76</v>
      </c>
      <c r="D257" s="0" t="str">
        <f aca="false">IFERROR(INDEX('Materials Master'!$B$2:$B$27,MATCH($C257,'Materials Master'!$A$2:$A$27,0)),"")</f>
        <v>Textiles</v>
      </c>
      <c r="E257" s="0" t="str">
        <f aca="false">IFERROR(INDEX('Materials Master'!$C$2:$C$27,MATCH($C257,'Materials Master'!$A$2:$A$27,0)),"")</f>
        <v>Unacceptable</v>
      </c>
      <c r="F257" s="0" t="n">
        <f aca="false">SUMIFS(Fact_SortedWeights!$E$2:$E$6,Fact_SortedWeights!$C$2:$C$6,$A257,Fact_SortedWeights!$B$2:$B$6,$B257,Fact_SortedWeights!$D$2:$D$6,$C257)</f>
        <v>0</v>
      </c>
      <c r="G257" s="0" t="n">
        <f aca="false">IF(AND(IF($B257="Trash",INDEX('Materials Master'!$F$2:$F$27,MATCH($C257,'Materials Master'!$A$2:$A$27,0)),IF($B257="GMPC Recycling",INDEX('Materials Master'!$G$2:$G$27,MATCH($C257,'Materials Master'!$A$2:$A$27,0)),IF($B257="Organics Recycling",INDEX('Materials Master'!$H$2:$H$27,MATCH($C257,'Materials Master'!$A$2:$A$27,0)),IF($B257="Cardboard Recycling",INDEX('Materials Master'!$I$2:$I$27,MATCH($C257,'Materials Master'!$A$2:$A$27,0)),IF($B257="Paper Recycling",INDEX('Materials Master'!$J$2:$J$27,MATCH($C257,'Materials Master'!$A$2:$A$27,0)),IF($B257="Terracycle",INDEX('Materials Master'!$K$2:$K$27,MATCH($C257,'Materials Master'!$A$2:$A$27,0)),"No"))))))="Yes",INDEX('Materials Master'!$E$2:$E$27,MATCH($C257,'Materials Master'!$A$2:$A$27,0))="Yes",$B257&lt;&gt;"Trash"),1,0)</f>
        <v>0</v>
      </c>
      <c r="H257" s="0" t="str">
        <f aca="false">INDEX('Materials Master'!$E$2:$E$27,MATCH($C257,'Materials Master'!$A$2:$A$27,0))</f>
        <v>No</v>
      </c>
      <c r="I257" s="0" t="str">
        <f aca="false">IFERROR(INDEX(Areas!$C$2:$C$6,MATCH($A257,Areas!$B$2:$B$6,0)),"")</f>
        <v>BOH</v>
      </c>
      <c r="J257" s="0" t="n">
        <f aca="false">IF(IF($B257="Trash",INDEX('Materials Master'!$F$2:$F$27,MATCH($C257,'Materials Master'!$A$2:$A$27,0)),IF($B257="GMPC Recycling",INDEX('Materials Master'!$G$2:$G$27,MATCH($C257,'Materials Master'!$A$2:$A$27,0)),IF($B257="Organics Recycling",INDEX('Materials Master'!$H$2:$H$27,MATCH($C257,'Materials Master'!$A$2:$A$27,0)),IF($B257="Cardboard Recycling",INDEX('Materials Master'!$I$2:$I$27,MATCH($C257,'Materials Master'!$A$2:$A$27,0)),IF($B257="Paper Recycling",INDEX('Materials Master'!$J$2:$J$27,MATCH($C257,'Materials Master'!$A$2:$A$27,0)),IF($B257="Terracycle",INDEX('Materials Master'!$K$2:$K$27,MATCH($C257,'Materials Master'!$A$2:$A$27,0)),"No"))))))="Yes",1,0)</f>
        <v>0</v>
      </c>
    </row>
    <row r="258" customFormat="false" ht="15" hidden="false" customHeight="false" outlineLevel="0" collapsed="false">
      <c r="A258" s="0" t="s">
        <v>94</v>
      </c>
      <c r="B258" s="0" t="s">
        <v>106</v>
      </c>
      <c r="C258" s="0" t="s">
        <v>78</v>
      </c>
      <c r="D258" s="0" t="str">
        <f aca="false">IFERROR(INDEX('Materials Master'!$B$2:$B$27,MATCH($C258,'Materials Master'!$A$2:$A$27,0)),"")</f>
        <v>Other Unacceptable (specify)</v>
      </c>
      <c r="E258" s="0" t="str">
        <f aca="false">IFERROR(INDEX('Materials Master'!$C$2:$C$27,MATCH($C258,'Materials Master'!$A$2:$A$27,0)),"")</f>
        <v>Unacceptable</v>
      </c>
      <c r="F258" s="0" t="n">
        <f aca="false">SUMIFS(Fact_SortedWeights!$E$2:$E$6,Fact_SortedWeights!$C$2:$C$6,$A258,Fact_SortedWeights!$B$2:$B$6,$B258,Fact_SortedWeights!$D$2:$D$6,$C258)</f>
        <v>0</v>
      </c>
      <c r="G258" s="0" t="n">
        <f aca="false">IF(AND(IF($B258="Trash",INDEX('Materials Master'!$F$2:$F$27,MATCH($C258,'Materials Master'!$A$2:$A$27,0)),IF($B258="GMPC Recycling",INDEX('Materials Master'!$G$2:$G$27,MATCH($C258,'Materials Master'!$A$2:$A$27,0)),IF($B258="Organics Recycling",INDEX('Materials Master'!$H$2:$H$27,MATCH($C258,'Materials Master'!$A$2:$A$27,0)),IF($B258="Cardboard Recycling",INDEX('Materials Master'!$I$2:$I$27,MATCH($C258,'Materials Master'!$A$2:$A$27,0)),IF($B258="Paper Recycling",INDEX('Materials Master'!$J$2:$J$27,MATCH($C258,'Materials Master'!$A$2:$A$27,0)),IF($B258="Terracycle",INDEX('Materials Master'!$K$2:$K$27,MATCH($C258,'Materials Master'!$A$2:$A$27,0)),"No"))))))="Yes",INDEX('Materials Master'!$E$2:$E$27,MATCH($C258,'Materials Master'!$A$2:$A$27,0))="Yes",$B258&lt;&gt;"Trash"),1,0)</f>
        <v>0</v>
      </c>
      <c r="H258" s="0" t="str">
        <f aca="false">INDEX('Materials Master'!$E$2:$E$27,MATCH($C258,'Materials Master'!$A$2:$A$27,0))</f>
        <v>No</v>
      </c>
      <c r="I258" s="0" t="str">
        <f aca="false">IFERROR(INDEX(Areas!$C$2:$C$6,MATCH($A258,Areas!$B$2:$B$6,0)),"")</f>
        <v>BOH</v>
      </c>
      <c r="J258" s="0" t="n">
        <f aca="false">IF(IF($B258="Trash",INDEX('Materials Master'!$F$2:$F$27,MATCH($C258,'Materials Master'!$A$2:$A$27,0)),IF($B258="GMPC Recycling",INDEX('Materials Master'!$G$2:$G$27,MATCH($C258,'Materials Master'!$A$2:$A$27,0)),IF($B258="Organics Recycling",INDEX('Materials Master'!$H$2:$H$27,MATCH($C258,'Materials Master'!$A$2:$A$27,0)),IF($B258="Cardboard Recycling",INDEX('Materials Master'!$I$2:$I$27,MATCH($C258,'Materials Master'!$A$2:$A$27,0)),IF($B258="Paper Recycling",INDEX('Materials Master'!$J$2:$J$27,MATCH($C258,'Materials Master'!$A$2:$A$27,0)),IF($B258="Terracycle",INDEX('Materials Master'!$K$2:$K$27,MATCH($C258,'Materials Master'!$A$2:$A$27,0)),"No"))))))="Yes",1,0)</f>
        <v>0</v>
      </c>
    </row>
    <row r="259" customFormat="false" ht="15" hidden="false" customHeight="false" outlineLevel="0" collapsed="false">
      <c r="A259" s="0" t="s">
        <v>94</v>
      </c>
      <c r="B259" s="0" t="s">
        <v>106</v>
      </c>
      <c r="C259" s="0" t="s">
        <v>80</v>
      </c>
      <c r="D259" s="0" t="str">
        <f aca="false">IFERROR(INDEX('Materials Master'!$B$2:$B$27,MATCH($C259,'Materials Master'!$A$2:$A$27,0)),"")</f>
        <v>Liquids</v>
      </c>
      <c r="E259" s="0" t="str">
        <f aca="false">IFERROR(INDEX('Materials Master'!$C$2:$C$27,MATCH($C259,'Materials Master'!$A$2:$A$27,0)),"")</f>
        <v>Unacceptable</v>
      </c>
      <c r="F259" s="0" t="n">
        <f aca="false">SUMIFS(Fact_SortedWeights!$E$2:$E$6,Fact_SortedWeights!$C$2:$C$6,$A259,Fact_SortedWeights!$B$2:$B$6,$B259,Fact_SortedWeights!$D$2:$D$6,$C259)</f>
        <v>0</v>
      </c>
      <c r="G259" s="0" t="n">
        <f aca="false">IF(AND(IF($B259="Trash",INDEX('Materials Master'!$F$2:$F$27,MATCH($C259,'Materials Master'!$A$2:$A$27,0)),IF($B259="GMPC Recycling",INDEX('Materials Master'!$G$2:$G$27,MATCH($C259,'Materials Master'!$A$2:$A$27,0)),IF($B259="Organics Recycling",INDEX('Materials Master'!$H$2:$H$27,MATCH($C259,'Materials Master'!$A$2:$A$27,0)),IF($B259="Cardboard Recycling",INDEX('Materials Master'!$I$2:$I$27,MATCH($C259,'Materials Master'!$A$2:$A$27,0)),IF($B259="Paper Recycling",INDEX('Materials Master'!$J$2:$J$27,MATCH($C259,'Materials Master'!$A$2:$A$27,0)),IF($B259="Terracycle",INDEX('Materials Master'!$K$2:$K$27,MATCH($C259,'Materials Master'!$A$2:$A$27,0)),"No"))))))="Yes",INDEX('Materials Master'!$E$2:$E$27,MATCH($C259,'Materials Master'!$A$2:$A$27,0))="Yes",$B259&lt;&gt;"Trash"),1,0)</f>
        <v>0</v>
      </c>
      <c r="H259" s="0" t="str">
        <f aca="false">INDEX('Materials Master'!$E$2:$E$27,MATCH($C259,'Materials Master'!$A$2:$A$27,0))</f>
        <v>No</v>
      </c>
      <c r="I259" s="0" t="str">
        <f aca="false">IFERROR(INDEX(Areas!$C$2:$C$6,MATCH($A259,Areas!$B$2:$B$6,0)),"")</f>
        <v>BOH</v>
      </c>
      <c r="J259" s="0" t="n">
        <f aca="false">IF(IF($B259="Trash",INDEX('Materials Master'!$F$2:$F$27,MATCH($C259,'Materials Master'!$A$2:$A$27,0)),IF($B259="GMPC Recycling",INDEX('Materials Master'!$G$2:$G$27,MATCH($C259,'Materials Master'!$A$2:$A$27,0)),IF($B259="Organics Recycling",INDEX('Materials Master'!$H$2:$H$27,MATCH($C259,'Materials Master'!$A$2:$A$27,0)),IF($B259="Cardboard Recycling",INDEX('Materials Master'!$I$2:$I$27,MATCH($C259,'Materials Master'!$A$2:$A$27,0)),IF($B259="Paper Recycling",INDEX('Materials Master'!$J$2:$J$27,MATCH($C259,'Materials Master'!$A$2:$A$27,0)),IF($B259="Terracycle",INDEX('Materials Master'!$K$2:$K$27,MATCH($C259,'Materials Master'!$A$2:$A$27,0)),"No"))))))="Yes",1,0)</f>
        <v>0</v>
      </c>
    </row>
    <row r="260" customFormat="false" ht="15" hidden="false" customHeight="false" outlineLevel="0" collapsed="false">
      <c r="A260" s="0" t="s">
        <v>94</v>
      </c>
      <c r="B260" s="0" t="s">
        <v>106</v>
      </c>
      <c r="C260" s="0" t="s">
        <v>82</v>
      </c>
      <c r="D260" s="0" t="str">
        <f aca="false">IFERROR(INDEX('Materials Master'!$B$2:$B$27,MATCH($C260,'Materials Master'!$A$2:$A$27,0)),"")</f>
        <v>Snack Wrappers (Composites)</v>
      </c>
      <c r="E260" s="0" t="str">
        <f aca="false">IFERROR(INDEX('Materials Master'!$C$2:$C$27,MATCH($C260,'Materials Master'!$A$2:$A$27,0)),"")</f>
        <v>Other</v>
      </c>
      <c r="F260" s="0" t="n">
        <f aca="false">SUMIFS(Fact_SortedWeights!$E$2:$E$6,Fact_SortedWeights!$C$2:$C$6,$A260,Fact_SortedWeights!$B$2:$B$6,$B260,Fact_SortedWeights!$D$2:$D$6,$C260)</f>
        <v>0</v>
      </c>
      <c r="G260" s="0" t="n">
        <f aca="false">IF(AND(IF($B260="Trash",INDEX('Materials Master'!$F$2:$F$27,MATCH($C260,'Materials Master'!$A$2:$A$27,0)),IF($B260="GMPC Recycling",INDEX('Materials Master'!$G$2:$G$27,MATCH($C260,'Materials Master'!$A$2:$A$27,0)),IF($B260="Organics Recycling",INDEX('Materials Master'!$H$2:$H$27,MATCH($C260,'Materials Master'!$A$2:$A$27,0)),IF($B260="Cardboard Recycling",INDEX('Materials Master'!$I$2:$I$27,MATCH($C260,'Materials Master'!$A$2:$A$27,0)),IF($B260="Paper Recycling",INDEX('Materials Master'!$J$2:$J$27,MATCH($C260,'Materials Master'!$A$2:$A$27,0)),IF($B260="Terracycle",INDEX('Materials Master'!$K$2:$K$27,MATCH($C260,'Materials Master'!$A$2:$A$27,0)),"No"))))))="Yes",INDEX('Materials Master'!$E$2:$E$27,MATCH($C260,'Materials Master'!$A$2:$A$27,0))="Yes",$B260&lt;&gt;"Trash"),1,0)</f>
        <v>0</v>
      </c>
      <c r="H260" s="0" t="str">
        <f aca="false">INDEX('Materials Master'!$E$2:$E$27,MATCH($C260,'Materials Master'!$A$2:$A$27,0))</f>
        <v>Yes</v>
      </c>
      <c r="I260" s="0" t="str">
        <f aca="false">IFERROR(INDEX(Areas!$C$2:$C$6,MATCH($A260,Areas!$B$2:$B$6,0)),"")</f>
        <v>BOH</v>
      </c>
      <c r="J260" s="0" t="n">
        <f aca="false">IF(IF($B260="Trash",INDEX('Materials Master'!$F$2:$F$27,MATCH($C260,'Materials Master'!$A$2:$A$27,0)),IF($B260="GMPC Recycling",INDEX('Materials Master'!$G$2:$G$27,MATCH($C260,'Materials Master'!$A$2:$A$27,0)),IF($B260="Organics Recycling",INDEX('Materials Master'!$H$2:$H$27,MATCH($C260,'Materials Master'!$A$2:$A$27,0)),IF($B260="Cardboard Recycling",INDEX('Materials Master'!$I$2:$I$27,MATCH($C260,'Materials Master'!$A$2:$A$27,0)),IF($B260="Paper Recycling",INDEX('Materials Master'!$J$2:$J$27,MATCH($C260,'Materials Master'!$A$2:$A$27,0)),IF($B260="Terracycle",INDEX('Materials Master'!$K$2:$K$27,MATCH($C260,'Materials Master'!$A$2:$A$27,0)),"No"))))))="Yes",1,0)</f>
        <v>0</v>
      </c>
    </row>
    <row r="261" customFormat="false" ht="15" hidden="false" customHeight="false" outlineLevel="0" collapsed="false">
      <c r="A261" s="0" t="s">
        <v>94</v>
      </c>
      <c r="B261" s="0" t="s">
        <v>106</v>
      </c>
      <c r="C261" s="0" t="s">
        <v>85</v>
      </c>
      <c r="D261" s="0" t="str">
        <f aca="false">IFERROR(INDEX('Materials Master'!$B$2:$B$27,MATCH($C261,'Materials Master'!$A$2:$A$27,0)),"")</f>
        <v>Other/Residual Materials</v>
      </c>
      <c r="E261" s="0" t="str">
        <f aca="false">IFERROR(INDEX('Materials Master'!$C$2:$C$27,MATCH($C261,'Materials Master'!$A$2:$A$27,0)),"")</f>
        <v>Other</v>
      </c>
      <c r="F261" s="0" t="n">
        <f aca="false">SUMIFS(Fact_SortedWeights!$E$2:$E$6,Fact_SortedWeights!$C$2:$C$6,$A261,Fact_SortedWeights!$B$2:$B$6,$B261,Fact_SortedWeights!$D$2:$D$6,$C261)</f>
        <v>0</v>
      </c>
      <c r="G261" s="0" t="n">
        <f aca="false">IF(AND(IF($B261="Trash",INDEX('Materials Master'!$F$2:$F$27,MATCH($C261,'Materials Master'!$A$2:$A$27,0)),IF($B261="GMPC Recycling",INDEX('Materials Master'!$G$2:$G$27,MATCH($C261,'Materials Master'!$A$2:$A$27,0)),IF($B261="Organics Recycling",INDEX('Materials Master'!$H$2:$H$27,MATCH($C261,'Materials Master'!$A$2:$A$27,0)),IF($B261="Cardboard Recycling",INDEX('Materials Master'!$I$2:$I$27,MATCH($C261,'Materials Master'!$A$2:$A$27,0)),IF($B261="Paper Recycling",INDEX('Materials Master'!$J$2:$J$27,MATCH($C261,'Materials Master'!$A$2:$A$27,0)),IF($B261="Terracycle",INDEX('Materials Master'!$K$2:$K$27,MATCH($C261,'Materials Master'!$A$2:$A$27,0)),"No"))))))="Yes",INDEX('Materials Master'!$E$2:$E$27,MATCH($C261,'Materials Master'!$A$2:$A$27,0))="Yes",$B261&lt;&gt;"Trash"),1,0)</f>
        <v>0</v>
      </c>
      <c r="H261" s="0" t="str">
        <f aca="false">INDEX('Materials Master'!$E$2:$E$27,MATCH($C261,'Materials Master'!$A$2:$A$27,0))</f>
        <v>No</v>
      </c>
      <c r="I261" s="0" t="str">
        <f aca="false">IFERROR(INDEX(Areas!$C$2:$C$6,MATCH($A261,Areas!$B$2:$B$6,0)),"")</f>
        <v>BOH</v>
      </c>
      <c r="J261" s="0" t="n">
        <f aca="false">IF(IF($B261="Trash",INDEX('Materials Master'!$F$2:$F$27,MATCH($C261,'Materials Master'!$A$2:$A$27,0)),IF($B261="GMPC Recycling",INDEX('Materials Master'!$G$2:$G$27,MATCH($C261,'Materials Master'!$A$2:$A$27,0)),IF($B261="Organics Recycling",INDEX('Materials Master'!$H$2:$H$27,MATCH($C261,'Materials Master'!$A$2:$A$27,0)),IF($B261="Cardboard Recycling",INDEX('Materials Master'!$I$2:$I$27,MATCH($C261,'Materials Master'!$A$2:$A$27,0)),IF($B261="Paper Recycling",INDEX('Materials Master'!$J$2:$J$27,MATCH($C261,'Materials Master'!$A$2:$A$27,0)),IF($B261="Terracycle",INDEX('Materials Master'!$K$2:$K$27,MATCH($C261,'Materials Master'!$A$2:$A$27,0)),"No"))))))="Yes",1,0)</f>
        <v>0</v>
      </c>
    </row>
    <row r="262" customFormat="false" ht="15" hidden="false" customHeight="false" outlineLevel="0" collapsed="false">
      <c r="A262" s="0" t="s">
        <v>94</v>
      </c>
      <c r="B262" s="0" t="s">
        <v>107</v>
      </c>
      <c r="C262" s="0" t="s">
        <v>26</v>
      </c>
      <c r="D262" s="0" t="str">
        <f aca="false">IFERROR(INDEX('Materials Master'!$B$2:$B$27,MATCH($C262,'Materials Master'!$A$2:$A$27,0)),"")</f>
        <v>Corrugated Cardboard</v>
      </c>
      <c r="E262" s="0" t="str">
        <f aca="false">IFERROR(INDEX('Materials Master'!$C$2:$C$27,MATCH($C262,'Materials Master'!$A$2:$A$27,0)),"")</f>
        <v>Fibers</v>
      </c>
      <c r="F262" s="0" t="n">
        <f aca="false">(SUMIFS(Fact_PreSortWeights!$E$2:$E$15,Fact_PreSortWeights!$C$2:$C$15,$A262,Fact_PreSortWeights!$B$2:$B$15,$B262,Fact_PreSortWeights!$F$2:$F$15,$C262))+(SUMIFS(Fact_SortedWeights!$E$2:$E$6,Fact_SortedWeights!$C$2:$C$6,$A262,Fact_SortedWeights!$B$2:$B$6,$B262,Fact_SortedWeights!$D$2:$D$6,$C262,Fact_SortedWeights!$L$2:$L$6,"Yes"))+IF((SUMIFS(Fact_SortedWeights!$E$2:$E$6,Fact_SortedWeights!$C$2:$C$6,$A262,Fact_SortedWeights!$B$2:$B$6,$B262,Fact_SortedWeights!$L$2:$L$6,"No"))=0,0,(SUMIFS(Fact_SortedWeights!$E$2:$E$6,Fact_SortedWeights!$C$2:$C$6,$A262,Fact_SortedWeights!$B$2:$B$6,$B262,Fact_SortedWeights!$D$2:$D$6,$C262,Fact_SortedWeights!$L$2:$L$6,"No"))/(SUMIFS(Fact_SortedWeights!$E$2:$E$6,Fact_SortedWeights!$C$2:$C$6,$A262,Fact_SortedWeights!$B$2:$B$6,$B262,Fact_SortedWeights!$L$2:$L$6,"No"))*((SUMIFS(Fact_PreSortWeights!$E$2:$E$15,Fact_PreSortWeights!$C$2:$C$15,$A262,Fact_PreSortWeights!$B$2:$B$15,$B262,Fact_PreSortWeights!$F$2:$F$15,""))-(SUMIFS(Fact_SortedWeights!$E$2:$E$6,Fact_SortedWeights!$C$2:$C$6,$A262,Fact_SortedWeights!$B$2:$B$6,$B262,Fact_SortedWeights!$L$2:$L$6,"Yes"))))</f>
        <v>0</v>
      </c>
      <c r="G262" s="0" t="n">
        <f aca="false">IF(AND(IF($B262="Trash",INDEX('Materials Master'!$F$2:$F$27,MATCH($C262,'Materials Master'!$A$2:$A$27,0)),IF($B262="GMPC Recycling",INDEX('Materials Master'!$G$2:$G$27,MATCH($C262,'Materials Master'!$A$2:$A$27,0)),IF($B262="Organics Recycling",INDEX('Materials Master'!$H$2:$H$27,MATCH($C262,'Materials Master'!$A$2:$A$27,0)),IF($B262="Cardboard Recycling",INDEX('Materials Master'!$I$2:$I$27,MATCH($C262,'Materials Master'!$A$2:$A$27,0)),IF($B262="Paper Recycling",INDEX('Materials Master'!$J$2:$J$27,MATCH($C262,'Materials Master'!$A$2:$A$27,0)),IF($B262="Terracycle",INDEX('Materials Master'!$K$2:$K$27,MATCH($C262,'Materials Master'!$A$2:$A$27,0)),"No"))))))="Yes",INDEX('Materials Master'!$E$2:$E$27,MATCH($C262,'Materials Master'!$A$2:$A$27,0))="Yes",$B262&lt;&gt;"Trash"),1,0)</f>
        <v>1</v>
      </c>
      <c r="H262" s="0" t="str">
        <f aca="false">INDEX('Materials Master'!$E$2:$E$27,MATCH($C262,'Materials Master'!$A$2:$A$27,0))</f>
        <v>Yes</v>
      </c>
      <c r="I262" s="0" t="str">
        <f aca="false">IFERROR(INDEX(Areas!$C$2:$C$6,MATCH($A262,Areas!$B$2:$B$6,0)),"")</f>
        <v>BOH</v>
      </c>
      <c r="J262" s="0" t="n">
        <f aca="false">IF(IF($B262="Trash",INDEX('Materials Master'!$F$2:$F$27,MATCH($C262,'Materials Master'!$A$2:$A$27,0)),IF($B262="GMPC Recycling",INDEX('Materials Master'!$G$2:$G$27,MATCH($C262,'Materials Master'!$A$2:$A$27,0)),IF($B262="Organics Recycling",INDEX('Materials Master'!$H$2:$H$27,MATCH($C262,'Materials Master'!$A$2:$A$27,0)),IF($B262="Cardboard Recycling",INDEX('Materials Master'!$I$2:$I$27,MATCH($C262,'Materials Master'!$A$2:$A$27,0)),IF($B262="Paper Recycling",INDEX('Materials Master'!$J$2:$J$27,MATCH($C262,'Materials Master'!$A$2:$A$27,0)),IF($B262="Terracycle",INDEX('Materials Master'!$K$2:$K$27,MATCH($C262,'Materials Master'!$A$2:$A$27,0)),"No"))))))="Yes",1,0)</f>
        <v>1</v>
      </c>
    </row>
    <row r="263" customFormat="false" ht="15" hidden="false" customHeight="false" outlineLevel="0" collapsed="false">
      <c r="A263" s="0" t="s">
        <v>94</v>
      </c>
      <c r="B263" s="0" t="s">
        <v>107</v>
      </c>
      <c r="C263" s="0" t="s">
        <v>31</v>
      </c>
      <c r="D263" s="0" t="str">
        <f aca="false">IFERROR(INDEX('Materials Master'!$B$2:$B$27,MATCH($C263,'Materials Master'!$A$2:$A$27,0)),"")</f>
        <v>Soiled Cardboard</v>
      </c>
      <c r="E263" s="0" t="str">
        <f aca="false">IFERROR(INDEX('Materials Master'!$C$2:$C$27,MATCH($C263,'Materials Master'!$A$2:$A$27,0)),"")</f>
        <v>Fibers</v>
      </c>
      <c r="F263" s="0" t="n">
        <f aca="false">(SUMIFS(Fact_PreSortWeights!$E$2:$E$15,Fact_PreSortWeights!$C$2:$C$15,$A263,Fact_PreSortWeights!$B$2:$B$15,$B263,Fact_PreSortWeights!$F$2:$F$15,$C263))+(SUMIFS(Fact_SortedWeights!$E$2:$E$6,Fact_SortedWeights!$C$2:$C$6,$A263,Fact_SortedWeights!$B$2:$B$6,$B263,Fact_SortedWeights!$D$2:$D$6,$C263,Fact_SortedWeights!$L$2:$L$6,"Yes"))+IF((SUMIFS(Fact_SortedWeights!$E$2:$E$6,Fact_SortedWeights!$C$2:$C$6,$A263,Fact_SortedWeights!$B$2:$B$6,$B263,Fact_SortedWeights!$L$2:$L$6,"No"))=0,0,(SUMIFS(Fact_SortedWeights!$E$2:$E$6,Fact_SortedWeights!$C$2:$C$6,$A263,Fact_SortedWeights!$B$2:$B$6,$B263,Fact_SortedWeights!$D$2:$D$6,$C263,Fact_SortedWeights!$L$2:$L$6,"No"))/(SUMIFS(Fact_SortedWeights!$E$2:$E$6,Fact_SortedWeights!$C$2:$C$6,$A263,Fact_SortedWeights!$B$2:$B$6,$B263,Fact_SortedWeights!$L$2:$L$6,"No"))*((SUMIFS(Fact_PreSortWeights!$E$2:$E$15,Fact_PreSortWeights!$C$2:$C$15,$A263,Fact_PreSortWeights!$B$2:$B$15,$B263,Fact_PreSortWeights!$F$2:$F$15,""))-(SUMIFS(Fact_SortedWeights!$E$2:$E$6,Fact_SortedWeights!$C$2:$C$6,$A263,Fact_SortedWeights!$B$2:$B$6,$B263,Fact_SortedWeights!$L$2:$L$6,"Yes"))))</f>
        <v>0</v>
      </c>
      <c r="G263" s="0" t="n">
        <f aca="false">IF(AND(IF($B263="Trash",INDEX('Materials Master'!$F$2:$F$27,MATCH($C263,'Materials Master'!$A$2:$A$27,0)),IF($B263="GMPC Recycling",INDEX('Materials Master'!$G$2:$G$27,MATCH($C263,'Materials Master'!$A$2:$A$27,0)),IF($B263="Organics Recycling",INDEX('Materials Master'!$H$2:$H$27,MATCH($C263,'Materials Master'!$A$2:$A$27,0)),IF($B263="Cardboard Recycling",INDEX('Materials Master'!$I$2:$I$27,MATCH($C263,'Materials Master'!$A$2:$A$27,0)),IF($B263="Paper Recycling",INDEX('Materials Master'!$J$2:$J$27,MATCH($C263,'Materials Master'!$A$2:$A$27,0)),IF($B263="Terracycle",INDEX('Materials Master'!$K$2:$K$27,MATCH($C263,'Materials Master'!$A$2:$A$27,0)),"No"))))))="Yes",INDEX('Materials Master'!$E$2:$E$27,MATCH($C263,'Materials Master'!$A$2:$A$27,0))="Yes",$B263&lt;&gt;"Trash"),1,0)</f>
        <v>0</v>
      </c>
      <c r="H263" s="0" t="str">
        <f aca="false">INDEX('Materials Master'!$E$2:$E$27,MATCH($C263,'Materials Master'!$A$2:$A$27,0))</f>
        <v>No</v>
      </c>
      <c r="I263" s="0" t="str">
        <f aca="false">IFERROR(INDEX(Areas!$C$2:$C$6,MATCH($A263,Areas!$B$2:$B$6,0)),"")</f>
        <v>BOH</v>
      </c>
      <c r="J263" s="0" t="n">
        <f aca="false">IF(IF($B263="Trash",INDEX('Materials Master'!$F$2:$F$27,MATCH($C263,'Materials Master'!$A$2:$A$27,0)),IF($B263="GMPC Recycling",INDEX('Materials Master'!$G$2:$G$27,MATCH($C263,'Materials Master'!$A$2:$A$27,0)),IF($B263="Organics Recycling",INDEX('Materials Master'!$H$2:$H$27,MATCH($C263,'Materials Master'!$A$2:$A$27,0)),IF($B263="Cardboard Recycling",INDEX('Materials Master'!$I$2:$I$27,MATCH($C263,'Materials Master'!$A$2:$A$27,0)),IF($B263="Paper Recycling",INDEX('Materials Master'!$J$2:$J$27,MATCH($C263,'Materials Master'!$A$2:$A$27,0)),IF($B263="Terracycle",INDEX('Materials Master'!$K$2:$K$27,MATCH($C263,'Materials Master'!$A$2:$A$27,0)),"No"))))))="Yes",1,0)</f>
        <v>0</v>
      </c>
    </row>
    <row r="264" customFormat="false" ht="15" hidden="false" customHeight="false" outlineLevel="0" collapsed="false">
      <c r="A264" s="0" t="s">
        <v>94</v>
      </c>
      <c r="B264" s="0" t="s">
        <v>107</v>
      </c>
      <c r="C264" s="0" t="s">
        <v>33</v>
      </c>
      <c r="D264" s="0" t="str">
        <f aca="false">IFERROR(INDEX('Materials Master'!$B$2:$B$27,MATCH($C264,'Materials Master'!$A$2:$A$27,0)),"")</f>
        <v>Waxed Cardboard</v>
      </c>
      <c r="E264" s="0" t="str">
        <f aca="false">IFERROR(INDEX('Materials Master'!$C$2:$C$27,MATCH($C264,'Materials Master'!$A$2:$A$27,0)),"")</f>
        <v>Fibers</v>
      </c>
      <c r="F264" s="0" t="n">
        <f aca="false">(SUMIFS(Fact_PreSortWeights!$E$2:$E$15,Fact_PreSortWeights!$C$2:$C$15,$A264,Fact_PreSortWeights!$B$2:$B$15,$B264,Fact_PreSortWeights!$F$2:$F$15,$C264))+(SUMIFS(Fact_SortedWeights!$E$2:$E$6,Fact_SortedWeights!$C$2:$C$6,$A264,Fact_SortedWeights!$B$2:$B$6,$B264,Fact_SortedWeights!$D$2:$D$6,$C264,Fact_SortedWeights!$L$2:$L$6,"Yes"))+IF((SUMIFS(Fact_SortedWeights!$E$2:$E$6,Fact_SortedWeights!$C$2:$C$6,$A264,Fact_SortedWeights!$B$2:$B$6,$B264,Fact_SortedWeights!$L$2:$L$6,"No"))=0,0,(SUMIFS(Fact_SortedWeights!$E$2:$E$6,Fact_SortedWeights!$C$2:$C$6,$A264,Fact_SortedWeights!$B$2:$B$6,$B264,Fact_SortedWeights!$D$2:$D$6,$C264,Fact_SortedWeights!$L$2:$L$6,"No"))/(SUMIFS(Fact_SortedWeights!$E$2:$E$6,Fact_SortedWeights!$C$2:$C$6,$A264,Fact_SortedWeights!$B$2:$B$6,$B264,Fact_SortedWeights!$L$2:$L$6,"No"))*((SUMIFS(Fact_PreSortWeights!$E$2:$E$15,Fact_PreSortWeights!$C$2:$C$15,$A264,Fact_PreSortWeights!$B$2:$B$15,$B264,Fact_PreSortWeights!$F$2:$F$15,""))-(SUMIFS(Fact_SortedWeights!$E$2:$E$6,Fact_SortedWeights!$C$2:$C$6,$A264,Fact_SortedWeights!$B$2:$B$6,$B264,Fact_SortedWeights!$L$2:$L$6,"Yes"))))</f>
        <v>0</v>
      </c>
      <c r="G264" s="0" t="n">
        <f aca="false">IF(AND(IF($B264="Trash",INDEX('Materials Master'!$F$2:$F$27,MATCH($C264,'Materials Master'!$A$2:$A$27,0)),IF($B264="GMPC Recycling",INDEX('Materials Master'!$G$2:$G$27,MATCH($C264,'Materials Master'!$A$2:$A$27,0)),IF($B264="Organics Recycling",INDEX('Materials Master'!$H$2:$H$27,MATCH($C264,'Materials Master'!$A$2:$A$27,0)),IF($B264="Cardboard Recycling",INDEX('Materials Master'!$I$2:$I$27,MATCH($C264,'Materials Master'!$A$2:$A$27,0)),IF($B264="Paper Recycling",INDEX('Materials Master'!$J$2:$J$27,MATCH($C264,'Materials Master'!$A$2:$A$27,0)),IF($B264="Terracycle",INDEX('Materials Master'!$K$2:$K$27,MATCH($C264,'Materials Master'!$A$2:$A$27,0)),"No"))))))="Yes",INDEX('Materials Master'!$E$2:$E$27,MATCH($C264,'Materials Master'!$A$2:$A$27,0))="Yes",$B264&lt;&gt;"Trash"),1,0)</f>
        <v>0</v>
      </c>
      <c r="H264" s="0" t="str">
        <f aca="false">INDEX('Materials Master'!$E$2:$E$27,MATCH($C264,'Materials Master'!$A$2:$A$27,0))</f>
        <v>No</v>
      </c>
      <c r="I264" s="0" t="str">
        <f aca="false">IFERROR(INDEX(Areas!$C$2:$C$6,MATCH($A264,Areas!$B$2:$B$6,0)),"")</f>
        <v>BOH</v>
      </c>
      <c r="J264" s="0" t="n">
        <f aca="false">IF(IF($B264="Trash",INDEX('Materials Master'!$F$2:$F$27,MATCH($C264,'Materials Master'!$A$2:$A$27,0)),IF($B264="GMPC Recycling",INDEX('Materials Master'!$G$2:$G$27,MATCH($C264,'Materials Master'!$A$2:$A$27,0)),IF($B264="Organics Recycling",INDEX('Materials Master'!$H$2:$H$27,MATCH($C264,'Materials Master'!$A$2:$A$27,0)),IF($B264="Cardboard Recycling",INDEX('Materials Master'!$I$2:$I$27,MATCH($C264,'Materials Master'!$A$2:$A$27,0)),IF($B264="Paper Recycling",INDEX('Materials Master'!$J$2:$J$27,MATCH($C264,'Materials Master'!$A$2:$A$27,0)),IF($B264="Terracycle",INDEX('Materials Master'!$K$2:$K$27,MATCH($C264,'Materials Master'!$A$2:$A$27,0)),"No"))))))="Yes",1,0)</f>
        <v>0</v>
      </c>
    </row>
    <row r="265" customFormat="false" ht="15" hidden="false" customHeight="false" outlineLevel="0" collapsed="false">
      <c r="A265" s="0" t="s">
        <v>94</v>
      </c>
      <c r="B265" s="0" t="s">
        <v>107</v>
      </c>
      <c r="C265" s="0" t="s">
        <v>35</v>
      </c>
      <c r="D265" s="0" t="str">
        <f aca="false">IFERROR(INDEX('Materials Master'!$B$2:$B$27,MATCH($C265,'Materials Master'!$A$2:$A$27,0)),"")</f>
        <v>Mixed Paper</v>
      </c>
      <c r="E265" s="0" t="str">
        <f aca="false">IFERROR(INDEX('Materials Master'!$C$2:$C$27,MATCH($C265,'Materials Master'!$A$2:$A$27,0)),"")</f>
        <v>Fibers</v>
      </c>
      <c r="F265" s="0" t="n">
        <f aca="false">(SUMIFS(Fact_PreSortWeights!$E$2:$E$15,Fact_PreSortWeights!$C$2:$C$15,$A265,Fact_PreSortWeights!$B$2:$B$15,$B265,Fact_PreSortWeights!$F$2:$F$15,$C265))+(SUMIFS(Fact_SortedWeights!$E$2:$E$6,Fact_SortedWeights!$C$2:$C$6,$A265,Fact_SortedWeights!$B$2:$B$6,$B265,Fact_SortedWeights!$D$2:$D$6,$C265,Fact_SortedWeights!$L$2:$L$6,"Yes"))+IF((SUMIFS(Fact_SortedWeights!$E$2:$E$6,Fact_SortedWeights!$C$2:$C$6,$A265,Fact_SortedWeights!$B$2:$B$6,$B265,Fact_SortedWeights!$L$2:$L$6,"No"))=0,0,(SUMIFS(Fact_SortedWeights!$E$2:$E$6,Fact_SortedWeights!$C$2:$C$6,$A265,Fact_SortedWeights!$B$2:$B$6,$B265,Fact_SortedWeights!$D$2:$D$6,$C265,Fact_SortedWeights!$L$2:$L$6,"No"))/(SUMIFS(Fact_SortedWeights!$E$2:$E$6,Fact_SortedWeights!$C$2:$C$6,$A265,Fact_SortedWeights!$B$2:$B$6,$B265,Fact_SortedWeights!$L$2:$L$6,"No"))*((SUMIFS(Fact_PreSortWeights!$E$2:$E$15,Fact_PreSortWeights!$C$2:$C$15,$A265,Fact_PreSortWeights!$B$2:$B$15,$B265,Fact_PreSortWeights!$F$2:$F$15,""))-(SUMIFS(Fact_SortedWeights!$E$2:$E$6,Fact_SortedWeights!$C$2:$C$6,$A265,Fact_SortedWeights!$B$2:$B$6,$B265,Fact_SortedWeights!$L$2:$L$6,"Yes"))))</f>
        <v>0</v>
      </c>
      <c r="G265" s="0" t="n">
        <f aca="false">IF(AND(IF($B265="Trash",INDEX('Materials Master'!$F$2:$F$27,MATCH($C265,'Materials Master'!$A$2:$A$27,0)),IF($B265="GMPC Recycling",INDEX('Materials Master'!$G$2:$G$27,MATCH($C265,'Materials Master'!$A$2:$A$27,0)),IF($B265="Organics Recycling",INDEX('Materials Master'!$H$2:$H$27,MATCH($C265,'Materials Master'!$A$2:$A$27,0)),IF($B265="Cardboard Recycling",INDEX('Materials Master'!$I$2:$I$27,MATCH($C265,'Materials Master'!$A$2:$A$27,0)),IF($B265="Paper Recycling",INDEX('Materials Master'!$J$2:$J$27,MATCH($C265,'Materials Master'!$A$2:$A$27,0)),IF($B265="Terracycle",INDEX('Materials Master'!$K$2:$K$27,MATCH($C265,'Materials Master'!$A$2:$A$27,0)),"No"))))))="Yes",INDEX('Materials Master'!$E$2:$E$27,MATCH($C265,'Materials Master'!$A$2:$A$27,0))="Yes",$B265&lt;&gt;"Trash"),1,0)</f>
        <v>0</v>
      </c>
      <c r="H265" s="0" t="str">
        <f aca="false">INDEX('Materials Master'!$E$2:$E$27,MATCH($C265,'Materials Master'!$A$2:$A$27,0))</f>
        <v>Yes</v>
      </c>
      <c r="I265" s="0" t="str">
        <f aca="false">IFERROR(INDEX(Areas!$C$2:$C$6,MATCH($A265,Areas!$B$2:$B$6,0)),"")</f>
        <v>BOH</v>
      </c>
      <c r="J265" s="0" t="n">
        <f aca="false">IF(IF($B265="Trash",INDEX('Materials Master'!$F$2:$F$27,MATCH($C265,'Materials Master'!$A$2:$A$27,0)),IF($B265="GMPC Recycling",INDEX('Materials Master'!$G$2:$G$27,MATCH($C265,'Materials Master'!$A$2:$A$27,0)),IF($B265="Organics Recycling",INDEX('Materials Master'!$H$2:$H$27,MATCH($C265,'Materials Master'!$A$2:$A$27,0)),IF($B265="Cardboard Recycling",INDEX('Materials Master'!$I$2:$I$27,MATCH($C265,'Materials Master'!$A$2:$A$27,0)),IF($B265="Paper Recycling",INDEX('Materials Master'!$J$2:$J$27,MATCH($C265,'Materials Master'!$A$2:$A$27,0)),IF($B265="Terracycle",INDEX('Materials Master'!$K$2:$K$27,MATCH($C265,'Materials Master'!$A$2:$A$27,0)),"No"))))))="Yes",1,0)</f>
        <v>0</v>
      </c>
    </row>
    <row r="266" customFormat="false" ht="15" hidden="false" customHeight="false" outlineLevel="0" collapsed="false">
      <c r="A266" s="0" t="s">
        <v>94</v>
      </c>
      <c r="B266" s="0" t="s">
        <v>107</v>
      </c>
      <c r="C266" s="0" t="s">
        <v>37</v>
      </c>
      <c r="D266" s="0" t="str">
        <f aca="false">IFERROR(INDEX('Materials Master'!$B$2:$B$27,MATCH($C266,'Materials Master'!$A$2:$A$27,0)),"")</f>
        <v>Soiled Paper</v>
      </c>
      <c r="E266" s="0" t="str">
        <f aca="false">IFERROR(INDEX('Materials Master'!$C$2:$C$27,MATCH($C266,'Materials Master'!$A$2:$A$27,0)),"")</f>
        <v>Fibers</v>
      </c>
      <c r="F266" s="0" t="n">
        <f aca="false">(SUMIFS(Fact_PreSortWeights!$E$2:$E$15,Fact_PreSortWeights!$C$2:$C$15,$A266,Fact_PreSortWeights!$B$2:$B$15,$B266,Fact_PreSortWeights!$F$2:$F$15,$C266))+(SUMIFS(Fact_SortedWeights!$E$2:$E$6,Fact_SortedWeights!$C$2:$C$6,$A266,Fact_SortedWeights!$B$2:$B$6,$B266,Fact_SortedWeights!$D$2:$D$6,$C266,Fact_SortedWeights!$L$2:$L$6,"Yes"))+IF((SUMIFS(Fact_SortedWeights!$E$2:$E$6,Fact_SortedWeights!$C$2:$C$6,$A266,Fact_SortedWeights!$B$2:$B$6,$B266,Fact_SortedWeights!$L$2:$L$6,"No"))=0,0,(SUMIFS(Fact_SortedWeights!$E$2:$E$6,Fact_SortedWeights!$C$2:$C$6,$A266,Fact_SortedWeights!$B$2:$B$6,$B266,Fact_SortedWeights!$D$2:$D$6,$C266,Fact_SortedWeights!$L$2:$L$6,"No"))/(SUMIFS(Fact_SortedWeights!$E$2:$E$6,Fact_SortedWeights!$C$2:$C$6,$A266,Fact_SortedWeights!$B$2:$B$6,$B266,Fact_SortedWeights!$L$2:$L$6,"No"))*((SUMIFS(Fact_PreSortWeights!$E$2:$E$15,Fact_PreSortWeights!$C$2:$C$15,$A266,Fact_PreSortWeights!$B$2:$B$15,$B266,Fact_PreSortWeights!$F$2:$F$15,""))-(SUMIFS(Fact_SortedWeights!$E$2:$E$6,Fact_SortedWeights!$C$2:$C$6,$A266,Fact_SortedWeights!$B$2:$B$6,$B266,Fact_SortedWeights!$L$2:$L$6,"Yes"))))</f>
        <v>0</v>
      </c>
      <c r="G266" s="0" t="n">
        <f aca="false">IF(AND(IF($B266="Trash",INDEX('Materials Master'!$F$2:$F$27,MATCH($C266,'Materials Master'!$A$2:$A$27,0)),IF($B266="GMPC Recycling",INDEX('Materials Master'!$G$2:$G$27,MATCH($C266,'Materials Master'!$A$2:$A$27,0)),IF($B266="Organics Recycling",INDEX('Materials Master'!$H$2:$H$27,MATCH($C266,'Materials Master'!$A$2:$A$27,0)),IF($B266="Cardboard Recycling",INDEX('Materials Master'!$I$2:$I$27,MATCH($C266,'Materials Master'!$A$2:$A$27,0)),IF($B266="Paper Recycling",INDEX('Materials Master'!$J$2:$J$27,MATCH($C266,'Materials Master'!$A$2:$A$27,0)),IF($B266="Terracycle",INDEX('Materials Master'!$K$2:$K$27,MATCH($C266,'Materials Master'!$A$2:$A$27,0)),"No"))))))="Yes",INDEX('Materials Master'!$E$2:$E$27,MATCH($C266,'Materials Master'!$A$2:$A$27,0))="Yes",$B266&lt;&gt;"Trash"),1,0)</f>
        <v>0</v>
      </c>
      <c r="H266" s="0" t="str">
        <f aca="false">INDEX('Materials Master'!$E$2:$E$27,MATCH($C266,'Materials Master'!$A$2:$A$27,0))</f>
        <v>No</v>
      </c>
      <c r="I266" s="0" t="str">
        <f aca="false">IFERROR(INDEX(Areas!$C$2:$C$6,MATCH($A266,Areas!$B$2:$B$6,0)),"")</f>
        <v>BOH</v>
      </c>
      <c r="J266" s="0" t="n">
        <f aca="false">IF(IF($B266="Trash",INDEX('Materials Master'!$F$2:$F$27,MATCH($C266,'Materials Master'!$A$2:$A$27,0)),IF($B266="GMPC Recycling",INDEX('Materials Master'!$G$2:$G$27,MATCH($C266,'Materials Master'!$A$2:$A$27,0)),IF($B266="Organics Recycling",INDEX('Materials Master'!$H$2:$H$27,MATCH($C266,'Materials Master'!$A$2:$A$27,0)),IF($B266="Cardboard Recycling",INDEX('Materials Master'!$I$2:$I$27,MATCH($C266,'Materials Master'!$A$2:$A$27,0)),IF($B266="Paper Recycling",INDEX('Materials Master'!$J$2:$J$27,MATCH($C266,'Materials Master'!$A$2:$A$27,0)),IF($B266="Terracycle",INDEX('Materials Master'!$K$2:$K$27,MATCH($C266,'Materials Master'!$A$2:$A$27,0)),"No"))))))="Yes",1,0)</f>
        <v>0</v>
      </c>
    </row>
    <row r="267" customFormat="false" ht="15" hidden="false" customHeight="false" outlineLevel="0" collapsed="false">
      <c r="A267" s="0" t="s">
        <v>94</v>
      </c>
      <c r="B267" s="0" t="s">
        <v>107</v>
      </c>
      <c r="C267" s="0" t="s">
        <v>39</v>
      </c>
      <c r="D267" s="0" t="str">
        <f aca="false">IFERROR(INDEX('Materials Master'!$B$2:$B$27,MATCH($C267,'Materials Master'!$A$2:$A$27,0)),"")</f>
        <v>Beverage Cartons</v>
      </c>
      <c r="E267" s="0" t="str">
        <f aca="false">IFERROR(INDEX('Materials Master'!$C$2:$C$27,MATCH($C267,'Materials Master'!$A$2:$A$27,0)),"")</f>
        <v>Fibers</v>
      </c>
      <c r="F267" s="0" t="n">
        <f aca="false">(SUMIFS(Fact_PreSortWeights!$E$2:$E$15,Fact_PreSortWeights!$C$2:$C$15,$A267,Fact_PreSortWeights!$B$2:$B$15,$B267,Fact_PreSortWeights!$F$2:$F$15,$C267))+(SUMIFS(Fact_SortedWeights!$E$2:$E$6,Fact_SortedWeights!$C$2:$C$6,$A267,Fact_SortedWeights!$B$2:$B$6,$B267,Fact_SortedWeights!$D$2:$D$6,$C267,Fact_SortedWeights!$L$2:$L$6,"Yes"))+IF((SUMIFS(Fact_SortedWeights!$E$2:$E$6,Fact_SortedWeights!$C$2:$C$6,$A267,Fact_SortedWeights!$B$2:$B$6,$B267,Fact_SortedWeights!$L$2:$L$6,"No"))=0,0,(SUMIFS(Fact_SortedWeights!$E$2:$E$6,Fact_SortedWeights!$C$2:$C$6,$A267,Fact_SortedWeights!$B$2:$B$6,$B267,Fact_SortedWeights!$D$2:$D$6,$C267,Fact_SortedWeights!$L$2:$L$6,"No"))/(SUMIFS(Fact_SortedWeights!$E$2:$E$6,Fact_SortedWeights!$C$2:$C$6,$A267,Fact_SortedWeights!$B$2:$B$6,$B267,Fact_SortedWeights!$L$2:$L$6,"No"))*((SUMIFS(Fact_PreSortWeights!$E$2:$E$15,Fact_PreSortWeights!$C$2:$C$15,$A267,Fact_PreSortWeights!$B$2:$B$15,$B267,Fact_PreSortWeights!$F$2:$F$15,""))-(SUMIFS(Fact_SortedWeights!$E$2:$E$6,Fact_SortedWeights!$C$2:$C$6,$A267,Fact_SortedWeights!$B$2:$B$6,$B267,Fact_SortedWeights!$L$2:$L$6,"Yes"))))</f>
        <v>0</v>
      </c>
      <c r="G267" s="0" t="n">
        <f aca="false">IF(AND(IF($B267="Trash",INDEX('Materials Master'!$F$2:$F$27,MATCH($C267,'Materials Master'!$A$2:$A$27,0)),IF($B267="GMPC Recycling",INDEX('Materials Master'!$G$2:$G$27,MATCH($C267,'Materials Master'!$A$2:$A$27,0)),IF($B267="Organics Recycling",INDEX('Materials Master'!$H$2:$H$27,MATCH($C267,'Materials Master'!$A$2:$A$27,0)),IF($B267="Cardboard Recycling",INDEX('Materials Master'!$I$2:$I$27,MATCH($C267,'Materials Master'!$A$2:$A$27,0)),IF($B267="Paper Recycling",INDEX('Materials Master'!$J$2:$J$27,MATCH($C267,'Materials Master'!$A$2:$A$27,0)),IF($B267="Terracycle",INDEX('Materials Master'!$K$2:$K$27,MATCH($C267,'Materials Master'!$A$2:$A$27,0)),"No"))))))="Yes",INDEX('Materials Master'!$E$2:$E$27,MATCH($C267,'Materials Master'!$A$2:$A$27,0))="Yes",$B267&lt;&gt;"Trash"),1,0)</f>
        <v>1</v>
      </c>
      <c r="H267" s="0" t="str">
        <f aca="false">INDEX('Materials Master'!$E$2:$E$27,MATCH($C267,'Materials Master'!$A$2:$A$27,0))</f>
        <v>Yes</v>
      </c>
      <c r="I267" s="0" t="str">
        <f aca="false">IFERROR(INDEX(Areas!$C$2:$C$6,MATCH($A267,Areas!$B$2:$B$6,0)),"")</f>
        <v>BOH</v>
      </c>
      <c r="J267" s="0" t="n">
        <f aca="false">IF(IF($B267="Trash",INDEX('Materials Master'!$F$2:$F$27,MATCH($C267,'Materials Master'!$A$2:$A$27,0)),IF($B267="GMPC Recycling",INDEX('Materials Master'!$G$2:$G$27,MATCH($C267,'Materials Master'!$A$2:$A$27,0)),IF($B267="Organics Recycling",INDEX('Materials Master'!$H$2:$H$27,MATCH($C267,'Materials Master'!$A$2:$A$27,0)),IF($B267="Cardboard Recycling",INDEX('Materials Master'!$I$2:$I$27,MATCH($C267,'Materials Master'!$A$2:$A$27,0)),IF($B267="Paper Recycling",INDEX('Materials Master'!$J$2:$J$27,MATCH($C267,'Materials Master'!$A$2:$A$27,0)),IF($B267="Terracycle",INDEX('Materials Master'!$K$2:$K$27,MATCH($C267,'Materials Master'!$A$2:$A$27,0)),"No"))))))="Yes",1,0)</f>
        <v>1</v>
      </c>
    </row>
    <row r="268" customFormat="false" ht="15" hidden="false" customHeight="false" outlineLevel="0" collapsed="false">
      <c r="A268" s="0" t="s">
        <v>94</v>
      </c>
      <c r="B268" s="0" t="s">
        <v>107</v>
      </c>
      <c r="C268" s="0" t="s">
        <v>41</v>
      </c>
      <c r="D268" s="0" t="str">
        <f aca="false">IFERROR(INDEX('Materials Master'!$B$2:$B$27,MATCH($C268,'Materials Master'!$A$2:$A$27,0)),"")</f>
        <v>Soiled Beverage Cartons</v>
      </c>
      <c r="E268" s="0" t="str">
        <f aca="false">IFERROR(INDEX('Materials Master'!$C$2:$C$27,MATCH($C268,'Materials Master'!$A$2:$A$27,0)),"")</f>
        <v>Fibers</v>
      </c>
      <c r="F268" s="0" t="n">
        <f aca="false">(SUMIFS(Fact_PreSortWeights!$E$2:$E$15,Fact_PreSortWeights!$C$2:$C$15,$A268,Fact_PreSortWeights!$B$2:$B$15,$B268,Fact_PreSortWeights!$F$2:$F$15,$C268))+(SUMIFS(Fact_SortedWeights!$E$2:$E$6,Fact_SortedWeights!$C$2:$C$6,$A268,Fact_SortedWeights!$B$2:$B$6,$B268,Fact_SortedWeights!$D$2:$D$6,$C268,Fact_SortedWeights!$L$2:$L$6,"Yes"))+IF((SUMIFS(Fact_SortedWeights!$E$2:$E$6,Fact_SortedWeights!$C$2:$C$6,$A268,Fact_SortedWeights!$B$2:$B$6,$B268,Fact_SortedWeights!$L$2:$L$6,"No"))=0,0,(SUMIFS(Fact_SortedWeights!$E$2:$E$6,Fact_SortedWeights!$C$2:$C$6,$A268,Fact_SortedWeights!$B$2:$B$6,$B268,Fact_SortedWeights!$D$2:$D$6,$C268,Fact_SortedWeights!$L$2:$L$6,"No"))/(SUMIFS(Fact_SortedWeights!$E$2:$E$6,Fact_SortedWeights!$C$2:$C$6,$A268,Fact_SortedWeights!$B$2:$B$6,$B268,Fact_SortedWeights!$L$2:$L$6,"No"))*((SUMIFS(Fact_PreSortWeights!$E$2:$E$15,Fact_PreSortWeights!$C$2:$C$15,$A268,Fact_PreSortWeights!$B$2:$B$15,$B268,Fact_PreSortWeights!$F$2:$F$15,""))-(SUMIFS(Fact_SortedWeights!$E$2:$E$6,Fact_SortedWeights!$C$2:$C$6,$A268,Fact_SortedWeights!$B$2:$B$6,$B268,Fact_SortedWeights!$L$2:$L$6,"Yes"))))</f>
        <v>0</v>
      </c>
      <c r="G268" s="0" t="n">
        <f aca="false">IF(AND(IF($B268="Trash",INDEX('Materials Master'!$F$2:$F$27,MATCH($C268,'Materials Master'!$A$2:$A$27,0)),IF($B268="GMPC Recycling",INDEX('Materials Master'!$G$2:$G$27,MATCH($C268,'Materials Master'!$A$2:$A$27,0)),IF($B268="Organics Recycling",INDEX('Materials Master'!$H$2:$H$27,MATCH($C268,'Materials Master'!$A$2:$A$27,0)),IF($B268="Cardboard Recycling",INDEX('Materials Master'!$I$2:$I$27,MATCH($C268,'Materials Master'!$A$2:$A$27,0)),IF($B268="Paper Recycling",INDEX('Materials Master'!$J$2:$J$27,MATCH($C268,'Materials Master'!$A$2:$A$27,0)),IF($B268="Terracycle",INDEX('Materials Master'!$K$2:$K$27,MATCH($C268,'Materials Master'!$A$2:$A$27,0)),"No"))))))="Yes",INDEX('Materials Master'!$E$2:$E$27,MATCH($C268,'Materials Master'!$A$2:$A$27,0))="Yes",$B268&lt;&gt;"Trash"),1,0)</f>
        <v>0</v>
      </c>
      <c r="H268" s="0" t="str">
        <f aca="false">INDEX('Materials Master'!$E$2:$E$27,MATCH($C268,'Materials Master'!$A$2:$A$27,0))</f>
        <v>No</v>
      </c>
      <c r="I268" s="0" t="str">
        <f aca="false">IFERROR(INDEX(Areas!$C$2:$C$6,MATCH($A268,Areas!$B$2:$B$6,0)),"")</f>
        <v>BOH</v>
      </c>
      <c r="J268" s="0" t="n">
        <f aca="false">IF(IF($B268="Trash",INDEX('Materials Master'!$F$2:$F$27,MATCH($C268,'Materials Master'!$A$2:$A$27,0)),IF($B268="GMPC Recycling",INDEX('Materials Master'!$G$2:$G$27,MATCH($C268,'Materials Master'!$A$2:$A$27,0)),IF($B268="Organics Recycling",INDEX('Materials Master'!$H$2:$H$27,MATCH($C268,'Materials Master'!$A$2:$A$27,0)),IF($B268="Cardboard Recycling",INDEX('Materials Master'!$I$2:$I$27,MATCH($C268,'Materials Master'!$A$2:$A$27,0)),IF($B268="Paper Recycling",INDEX('Materials Master'!$J$2:$J$27,MATCH($C268,'Materials Master'!$A$2:$A$27,0)),IF($B268="Terracycle",INDEX('Materials Master'!$K$2:$K$27,MATCH($C268,'Materials Master'!$A$2:$A$27,0)),"No"))))))="Yes",1,0)</f>
        <v>0</v>
      </c>
    </row>
    <row r="269" customFormat="false" ht="15" hidden="false" customHeight="false" outlineLevel="0" collapsed="false">
      <c r="A269" s="0" t="s">
        <v>94</v>
      </c>
      <c r="B269" s="0" t="s">
        <v>107</v>
      </c>
      <c r="C269" s="0" t="s">
        <v>43</v>
      </c>
      <c r="D269" s="0" t="str">
        <f aca="false">IFERROR(INDEX('Materials Master'!$B$2:$B$27,MATCH($C269,'Materials Master'!$A$2:$A$27,0)),"")</f>
        <v>Paper Cups / Other Coated Paper Containers</v>
      </c>
      <c r="E269" s="0" t="str">
        <f aca="false">IFERROR(INDEX('Materials Master'!$C$2:$C$27,MATCH($C269,'Materials Master'!$A$2:$A$27,0)),"")</f>
        <v>Fibers</v>
      </c>
      <c r="F269" s="0" t="n">
        <f aca="false">(SUMIFS(Fact_PreSortWeights!$E$2:$E$15,Fact_PreSortWeights!$C$2:$C$15,$A269,Fact_PreSortWeights!$B$2:$B$15,$B269,Fact_PreSortWeights!$F$2:$F$15,$C269))+(SUMIFS(Fact_SortedWeights!$E$2:$E$6,Fact_SortedWeights!$C$2:$C$6,$A269,Fact_SortedWeights!$B$2:$B$6,$B269,Fact_SortedWeights!$D$2:$D$6,$C269,Fact_SortedWeights!$L$2:$L$6,"Yes"))+IF((SUMIFS(Fact_SortedWeights!$E$2:$E$6,Fact_SortedWeights!$C$2:$C$6,$A269,Fact_SortedWeights!$B$2:$B$6,$B269,Fact_SortedWeights!$L$2:$L$6,"No"))=0,0,(SUMIFS(Fact_SortedWeights!$E$2:$E$6,Fact_SortedWeights!$C$2:$C$6,$A269,Fact_SortedWeights!$B$2:$B$6,$B269,Fact_SortedWeights!$D$2:$D$6,$C269,Fact_SortedWeights!$L$2:$L$6,"No"))/(SUMIFS(Fact_SortedWeights!$E$2:$E$6,Fact_SortedWeights!$C$2:$C$6,$A269,Fact_SortedWeights!$B$2:$B$6,$B269,Fact_SortedWeights!$L$2:$L$6,"No"))*((SUMIFS(Fact_PreSortWeights!$E$2:$E$15,Fact_PreSortWeights!$C$2:$C$15,$A269,Fact_PreSortWeights!$B$2:$B$15,$B269,Fact_PreSortWeights!$F$2:$F$15,""))-(SUMIFS(Fact_SortedWeights!$E$2:$E$6,Fact_SortedWeights!$C$2:$C$6,$A269,Fact_SortedWeights!$B$2:$B$6,$B269,Fact_SortedWeights!$L$2:$L$6,"Yes"))))</f>
        <v>0</v>
      </c>
      <c r="G269" s="0" t="n">
        <f aca="false">IF(AND(IF($B269="Trash",INDEX('Materials Master'!$F$2:$F$27,MATCH($C269,'Materials Master'!$A$2:$A$27,0)),IF($B269="GMPC Recycling",INDEX('Materials Master'!$G$2:$G$27,MATCH($C269,'Materials Master'!$A$2:$A$27,0)),IF($B269="Organics Recycling",INDEX('Materials Master'!$H$2:$H$27,MATCH($C269,'Materials Master'!$A$2:$A$27,0)),IF($B269="Cardboard Recycling",INDEX('Materials Master'!$I$2:$I$27,MATCH($C269,'Materials Master'!$A$2:$A$27,0)),IF($B269="Paper Recycling",INDEX('Materials Master'!$J$2:$J$27,MATCH($C269,'Materials Master'!$A$2:$A$27,0)),IF($B269="Terracycle",INDEX('Materials Master'!$K$2:$K$27,MATCH($C269,'Materials Master'!$A$2:$A$27,0)),"No"))))))="Yes",INDEX('Materials Master'!$E$2:$E$27,MATCH($C269,'Materials Master'!$A$2:$A$27,0))="Yes",$B269&lt;&gt;"Trash"),1,0)</f>
        <v>0</v>
      </c>
      <c r="H269" s="0" t="str">
        <f aca="false">INDEX('Materials Master'!$E$2:$E$27,MATCH($C269,'Materials Master'!$A$2:$A$27,0))</f>
        <v>No</v>
      </c>
      <c r="I269" s="0" t="str">
        <f aca="false">IFERROR(INDEX(Areas!$C$2:$C$6,MATCH($A269,Areas!$B$2:$B$6,0)),"")</f>
        <v>BOH</v>
      </c>
      <c r="J269" s="0" t="n">
        <f aca="false">IF(IF($B269="Trash",INDEX('Materials Master'!$F$2:$F$27,MATCH($C269,'Materials Master'!$A$2:$A$27,0)),IF($B269="GMPC Recycling",INDEX('Materials Master'!$G$2:$G$27,MATCH($C269,'Materials Master'!$A$2:$A$27,0)),IF($B269="Organics Recycling",INDEX('Materials Master'!$H$2:$H$27,MATCH($C269,'Materials Master'!$A$2:$A$27,0)),IF($B269="Cardboard Recycling",INDEX('Materials Master'!$I$2:$I$27,MATCH($C269,'Materials Master'!$A$2:$A$27,0)),IF($B269="Paper Recycling",INDEX('Materials Master'!$J$2:$J$27,MATCH($C269,'Materials Master'!$A$2:$A$27,0)),IF($B269="Terracycle",INDEX('Materials Master'!$K$2:$K$27,MATCH($C269,'Materials Master'!$A$2:$A$27,0)),"No"))))))="Yes",1,0)</f>
        <v>0</v>
      </c>
    </row>
    <row r="270" customFormat="false" ht="15" hidden="false" customHeight="false" outlineLevel="0" collapsed="false">
      <c r="A270" s="0" t="s">
        <v>94</v>
      </c>
      <c r="B270" s="0" t="s">
        <v>107</v>
      </c>
      <c r="C270" s="0" t="s">
        <v>45</v>
      </c>
      <c r="D270" s="0" t="str">
        <f aca="false">IFERROR(INDEX('Materials Master'!$B$2:$B$27,MATCH($C270,'Materials Master'!$A$2:$A$27,0)),"")</f>
        <v>Glass Bottles &amp; Jars</v>
      </c>
      <c r="E270" s="0" t="str">
        <f aca="false">IFERROR(INDEX('Materials Master'!$C$2:$C$27,MATCH($C270,'Materials Master'!$A$2:$A$27,0)),"")</f>
        <v>Glass</v>
      </c>
      <c r="F270" s="0" t="n">
        <f aca="false">(SUMIFS(Fact_PreSortWeights!$E$2:$E$15,Fact_PreSortWeights!$C$2:$C$15,$A270,Fact_PreSortWeights!$B$2:$B$15,$B270,Fact_PreSortWeights!$F$2:$F$15,$C270))+(SUMIFS(Fact_SortedWeights!$E$2:$E$6,Fact_SortedWeights!$C$2:$C$6,$A270,Fact_SortedWeights!$B$2:$B$6,$B270,Fact_SortedWeights!$D$2:$D$6,$C270,Fact_SortedWeights!$L$2:$L$6,"Yes"))+IF((SUMIFS(Fact_SortedWeights!$E$2:$E$6,Fact_SortedWeights!$C$2:$C$6,$A270,Fact_SortedWeights!$B$2:$B$6,$B270,Fact_SortedWeights!$L$2:$L$6,"No"))=0,0,(SUMIFS(Fact_SortedWeights!$E$2:$E$6,Fact_SortedWeights!$C$2:$C$6,$A270,Fact_SortedWeights!$B$2:$B$6,$B270,Fact_SortedWeights!$D$2:$D$6,$C270,Fact_SortedWeights!$L$2:$L$6,"No"))/(SUMIFS(Fact_SortedWeights!$E$2:$E$6,Fact_SortedWeights!$C$2:$C$6,$A270,Fact_SortedWeights!$B$2:$B$6,$B270,Fact_SortedWeights!$L$2:$L$6,"No"))*((SUMIFS(Fact_PreSortWeights!$E$2:$E$15,Fact_PreSortWeights!$C$2:$C$15,$A270,Fact_PreSortWeights!$B$2:$B$15,$B270,Fact_PreSortWeights!$F$2:$F$15,""))-(SUMIFS(Fact_SortedWeights!$E$2:$E$6,Fact_SortedWeights!$C$2:$C$6,$A270,Fact_SortedWeights!$B$2:$B$6,$B270,Fact_SortedWeights!$L$2:$L$6,"Yes"))))</f>
        <v>0</v>
      </c>
      <c r="G270" s="0" t="n">
        <f aca="false">IF(AND(IF($B270="Trash",INDEX('Materials Master'!$F$2:$F$27,MATCH($C270,'Materials Master'!$A$2:$A$27,0)),IF($B270="GMPC Recycling",INDEX('Materials Master'!$G$2:$G$27,MATCH($C270,'Materials Master'!$A$2:$A$27,0)),IF($B270="Organics Recycling",INDEX('Materials Master'!$H$2:$H$27,MATCH($C270,'Materials Master'!$A$2:$A$27,0)),IF($B270="Cardboard Recycling",INDEX('Materials Master'!$I$2:$I$27,MATCH($C270,'Materials Master'!$A$2:$A$27,0)),IF($B270="Paper Recycling",INDEX('Materials Master'!$J$2:$J$27,MATCH($C270,'Materials Master'!$A$2:$A$27,0)),IF($B270="Terracycle",INDEX('Materials Master'!$K$2:$K$27,MATCH($C270,'Materials Master'!$A$2:$A$27,0)),"No"))))))="Yes",INDEX('Materials Master'!$E$2:$E$27,MATCH($C270,'Materials Master'!$A$2:$A$27,0))="Yes",$B270&lt;&gt;"Trash"),1,0)</f>
        <v>1</v>
      </c>
      <c r="H270" s="0" t="str">
        <f aca="false">INDEX('Materials Master'!$E$2:$E$27,MATCH($C270,'Materials Master'!$A$2:$A$27,0))</f>
        <v>Yes</v>
      </c>
      <c r="I270" s="0" t="str">
        <f aca="false">IFERROR(INDEX(Areas!$C$2:$C$6,MATCH($A270,Areas!$B$2:$B$6,0)),"")</f>
        <v>BOH</v>
      </c>
      <c r="J270" s="0" t="n">
        <f aca="false">IF(IF($B270="Trash",INDEX('Materials Master'!$F$2:$F$27,MATCH($C270,'Materials Master'!$A$2:$A$27,0)),IF($B270="GMPC Recycling",INDEX('Materials Master'!$G$2:$G$27,MATCH($C270,'Materials Master'!$A$2:$A$27,0)),IF($B270="Organics Recycling",INDEX('Materials Master'!$H$2:$H$27,MATCH($C270,'Materials Master'!$A$2:$A$27,0)),IF($B270="Cardboard Recycling",INDEX('Materials Master'!$I$2:$I$27,MATCH($C270,'Materials Master'!$A$2:$A$27,0)),IF($B270="Paper Recycling",INDEX('Materials Master'!$J$2:$J$27,MATCH($C270,'Materials Master'!$A$2:$A$27,0)),IF($B270="Terracycle",INDEX('Materials Master'!$K$2:$K$27,MATCH($C270,'Materials Master'!$A$2:$A$27,0)),"No"))))))="Yes",1,0)</f>
        <v>1</v>
      </c>
    </row>
    <row r="271" customFormat="false" ht="15" hidden="false" customHeight="false" outlineLevel="0" collapsed="false">
      <c r="A271" s="0" t="s">
        <v>94</v>
      </c>
      <c r="B271" s="0" t="s">
        <v>107</v>
      </c>
      <c r="C271" s="0" t="s">
        <v>48</v>
      </c>
      <c r="D271" s="0" t="str">
        <f aca="false">IFERROR(INDEX('Materials Master'!$B$2:$B$27,MATCH($C271,'Materials Master'!$A$2:$A$27,0)),"")</f>
        <v>Soiled Glass</v>
      </c>
      <c r="E271" s="0" t="str">
        <f aca="false">IFERROR(INDEX('Materials Master'!$C$2:$C$27,MATCH($C271,'Materials Master'!$A$2:$A$27,0)),"")</f>
        <v>Glass</v>
      </c>
      <c r="F271" s="0" t="n">
        <f aca="false">(SUMIFS(Fact_PreSortWeights!$E$2:$E$15,Fact_PreSortWeights!$C$2:$C$15,$A271,Fact_PreSortWeights!$B$2:$B$15,$B271,Fact_PreSortWeights!$F$2:$F$15,$C271))+(SUMIFS(Fact_SortedWeights!$E$2:$E$6,Fact_SortedWeights!$C$2:$C$6,$A271,Fact_SortedWeights!$B$2:$B$6,$B271,Fact_SortedWeights!$D$2:$D$6,$C271,Fact_SortedWeights!$L$2:$L$6,"Yes"))+IF((SUMIFS(Fact_SortedWeights!$E$2:$E$6,Fact_SortedWeights!$C$2:$C$6,$A271,Fact_SortedWeights!$B$2:$B$6,$B271,Fact_SortedWeights!$L$2:$L$6,"No"))=0,0,(SUMIFS(Fact_SortedWeights!$E$2:$E$6,Fact_SortedWeights!$C$2:$C$6,$A271,Fact_SortedWeights!$B$2:$B$6,$B271,Fact_SortedWeights!$D$2:$D$6,$C271,Fact_SortedWeights!$L$2:$L$6,"No"))/(SUMIFS(Fact_SortedWeights!$E$2:$E$6,Fact_SortedWeights!$C$2:$C$6,$A271,Fact_SortedWeights!$B$2:$B$6,$B271,Fact_SortedWeights!$L$2:$L$6,"No"))*((SUMIFS(Fact_PreSortWeights!$E$2:$E$15,Fact_PreSortWeights!$C$2:$C$15,$A271,Fact_PreSortWeights!$B$2:$B$15,$B271,Fact_PreSortWeights!$F$2:$F$15,""))-(SUMIFS(Fact_SortedWeights!$E$2:$E$6,Fact_SortedWeights!$C$2:$C$6,$A271,Fact_SortedWeights!$B$2:$B$6,$B271,Fact_SortedWeights!$L$2:$L$6,"Yes"))))</f>
        <v>0</v>
      </c>
      <c r="G271" s="0" t="n">
        <f aca="false">IF(AND(IF($B271="Trash",INDEX('Materials Master'!$F$2:$F$27,MATCH($C271,'Materials Master'!$A$2:$A$27,0)),IF($B271="GMPC Recycling",INDEX('Materials Master'!$G$2:$G$27,MATCH($C271,'Materials Master'!$A$2:$A$27,0)),IF($B271="Organics Recycling",INDEX('Materials Master'!$H$2:$H$27,MATCH($C271,'Materials Master'!$A$2:$A$27,0)),IF($B271="Cardboard Recycling",INDEX('Materials Master'!$I$2:$I$27,MATCH($C271,'Materials Master'!$A$2:$A$27,0)),IF($B271="Paper Recycling",INDEX('Materials Master'!$J$2:$J$27,MATCH($C271,'Materials Master'!$A$2:$A$27,0)),IF($B271="Terracycle",INDEX('Materials Master'!$K$2:$K$27,MATCH($C271,'Materials Master'!$A$2:$A$27,0)),"No"))))))="Yes",INDEX('Materials Master'!$E$2:$E$27,MATCH($C271,'Materials Master'!$A$2:$A$27,0))="Yes",$B271&lt;&gt;"Trash"),1,0)</f>
        <v>0</v>
      </c>
      <c r="H271" s="0" t="str">
        <f aca="false">INDEX('Materials Master'!$E$2:$E$27,MATCH($C271,'Materials Master'!$A$2:$A$27,0))</f>
        <v>No</v>
      </c>
      <c r="I271" s="0" t="str">
        <f aca="false">IFERROR(INDEX(Areas!$C$2:$C$6,MATCH($A271,Areas!$B$2:$B$6,0)),"")</f>
        <v>BOH</v>
      </c>
      <c r="J271" s="0" t="n">
        <f aca="false">IF(IF($B271="Trash",INDEX('Materials Master'!$F$2:$F$27,MATCH($C271,'Materials Master'!$A$2:$A$27,0)),IF($B271="GMPC Recycling",INDEX('Materials Master'!$G$2:$G$27,MATCH($C271,'Materials Master'!$A$2:$A$27,0)),IF($B271="Organics Recycling",INDEX('Materials Master'!$H$2:$H$27,MATCH($C271,'Materials Master'!$A$2:$A$27,0)),IF($B271="Cardboard Recycling",INDEX('Materials Master'!$I$2:$I$27,MATCH($C271,'Materials Master'!$A$2:$A$27,0)),IF($B271="Paper Recycling",INDEX('Materials Master'!$J$2:$J$27,MATCH($C271,'Materials Master'!$A$2:$A$27,0)),IF($B271="Terracycle",INDEX('Materials Master'!$K$2:$K$27,MATCH($C271,'Materials Master'!$A$2:$A$27,0)),"No"))))))="Yes",1,0)</f>
        <v>0</v>
      </c>
    </row>
    <row r="272" customFormat="false" ht="15" hidden="false" customHeight="false" outlineLevel="0" collapsed="false">
      <c r="A272" s="0" t="s">
        <v>94</v>
      </c>
      <c r="B272" s="0" t="s">
        <v>107</v>
      </c>
      <c r="C272" s="0" t="s">
        <v>50</v>
      </c>
      <c r="D272" s="0" t="str">
        <f aca="false">IFERROR(INDEX('Materials Master'!$B$2:$B$27,MATCH($C272,'Materials Master'!$A$2:$A$27,0)),"")</f>
        <v>Aluminum &amp; Bi-Metal Containers</v>
      </c>
      <c r="E272" s="0" t="str">
        <f aca="false">IFERROR(INDEX('Materials Master'!$C$2:$C$27,MATCH($C272,'Materials Master'!$A$2:$A$27,0)),"")</f>
        <v>Metals</v>
      </c>
      <c r="F272" s="0" t="n">
        <f aca="false">(SUMIFS(Fact_PreSortWeights!$E$2:$E$15,Fact_PreSortWeights!$C$2:$C$15,$A272,Fact_PreSortWeights!$B$2:$B$15,$B272,Fact_PreSortWeights!$F$2:$F$15,$C272))+(SUMIFS(Fact_SortedWeights!$E$2:$E$6,Fact_SortedWeights!$C$2:$C$6,$A272,Fact_SortedWeights!$B$2:$B$6,$B272,Fact_SortedWeights!$D$2:$D$6,$C272,Fact_SortedWeights!$L$2:$L$6,"Yes"))+IF((SUMIFS(Fact_SortedWeights!$E$2:$E$6,Fact_SortedWeights!$C$2:$C$6,$A272,Fact_SortedWeights!$B$2:$B$6,$B272,Fact_SortedWeights!$L$2:$L$6,"No"))=0,0,(SUMIFS(Fact_SortedWeights!$E$2:$E$6,Fact_SortedWeights!$C$2:$C$6,$A272,Fact_SortedWeights!$B$2:$B$6,$B272,Fact_SortedWeights!$D$2:$D$6,$C272,Fact_SortedWeights!$L$2:$L$6,"No"))/(SUMIFS(Fact_SortedWeights!$E$2:$E$6,Fact_SortedWeights!$C$2:$C$6,$A272,Fact_SortedWeights!$B$2:$B$6,$B272,Fact_SortedWeights!$L$2:$L$6,"No"))*((SUMIFS(Fact_PreSortWeights!$E$2:$E$15,Fact_PreSortWeights!$C$2:$C$15,$A272,Fact_PreSortWeights!$B$2:$B$15,$B272,Fact_PreSortWeights!$F$2:$F$15,""))-(SUMIFS(Fact_SortedWeights!$E$2:$E$6,Fact_SortedWeights!$C$2:$C$6,$A272,Fact_SortedWeights!$B$2:$B$6,$B272,Fact_SortedWeights!$L$2:$L$6,"Yes"))))</f>
        <v>0</v>
      </c>
      <c r="G272" s="0" t="n">
        <f aca="false">IF(AND(IF($B272="Trash",INDEX('Materials Master'!$F$2:$F$27,MATCH($C272,'Materials Master'!$A$2:$A$27,0)),IF($B272="GMPC Recycling",INDEX('Materials Master'!$G$2:$G$27,MATCH($C272,'Materials Master'!$A$2:$A$27,0)),IF($B272="Organics Recycling",INDEX('Materials Master'!$H$2:$H$27,MATCH($C272,'Materials Master'!$A$2:$A$27,0)),IF($B272="Cardboard Recycling",INDEX('Materials Master'!$I$2:$I$27,MATCH($C272,'Materials Master'!$A$2:$A$27,0)),IF($B272="Paper Recycling",INDEX('Materials Master'!$J$2:$J$27,MATCH($C272,'Materials Master'!$A$2:$A$27,0)),IF($B272="Terracycle",INDEX('Materials Master'!$K$2:$K$27,MATCH($C272,'Materials Master'!$A$2:$A$27,0)),"No"))))))="Yes",INDEX('Materials Master'!$E$2:$E$27,MATCH($C272,'Materials Master'!$A$2:$A$27,0))="Yes",$B272&lt;&gt;"Trash"),1,0)</f>
        <v>1</v>
      </c>
      <c r="H272" s="0" t="str">
        <f aca="false">INDEX('Materials Master'!$E$2:$E$27,MATCH($C272,'Materials Master'!$A$2:$A$27,0))</f>
        <v>Yes</v>
      </c>
      <c r="I272" s="0" t="str">
        <f aca="false">IFERROR(INDEX(Areas!$C$2:$C$6,MATCH($A272,Areas!$B$2:$B$6,0)),"")</f>
        <v>BOH</v>
      </c>
      <c r="J272" s="0" t="n">
        <f aca="false">IF(IF($B272="Trash",INDEX('Materials Master'!$F$2:$F$27,MATCH($C272,'Materials Master'!$A$2:$A$27,0)),IF($B272="GMPC Recycling",INDEX('Materials Master'!$G$2:$G$27,MATCH($C272,'Materials Master'!$A$2:$A$27,0)),IF($B272="Organics Recycling",INDEX('Materials Master'!$H$2:$H$27,MATCH($C272,'Materials Master'!$A$2:$A$27,0)),IF($B272="Cardboard Recycling",INDEX('Materials Master'!$I$2:$I$27,MATCH($C272,'Materials Master'!$A$2:$A$27,0)),IF($B272="Paper Recycling",INDEX('Materials Master'!$J$2:$J$27,MATCH($C272,'Materials Master'!$A$2:$A$27,0)),IF($B272="Terracycle",INDEX('Materials Master'!$K$2:$K$27,MATCH($C272,'Materials Master'!$A$2:$A$27,0)),"No"))))))="Yes",1,0)</f>
        <v>1</v>
      </c>
    </row>
    <row r="273" customFormat="false" ht="15" hidden="false" customHeight="false" outlineLevel="0" collapsed="false">
      <c r="A273" s="0" t="s">
        <v>94</v>
      </c>
      <c r="B273" s="0" t="s">
        <v>107</v>
      </c>
      <c r="C273" s="0" t="s">
        <v>53</v>
      </c>
      <c r="D273" s="0" t="str">
        <f aca="false">IFERROR(INDEX('Materials Master'!$B$2:$B$27,MATCH($C273,'Materials Master'!$A$2:$A$27,0)),"")</f>
        <v>Soiled Metals</v>
      </c>
      <c r="E273" s="0" t="str">
        <f aca="false">IFERROR(INDEX('Materials Master'!$C$2:$C$27,MATCH($C273,'Materials Master'!$A$2:$A$27,0)),"")</f>
        <v>Metals</v>
      </c>
      <c r="F273" s="0" t="n">
        <f aca="false">(SUMIFS(Fact_PreSortWeights!$E$2:$E$15,Fact_PreSortWeights!$C$2:$C$15,$A273,Fact_PreSortWeights!$B$2:$B$15,$B273,Fact_PreSortWeights!$F$2:$F$15,$C273))+(SUMIFS(Fact_SortedWeights!$E$2:$E$6,Fact_SortedWeights!$C$2:$C$6,$A273,Fact_SortedWeights!$B$2:$B$6,$B273,Fact_SortedWeights!$D$2:$D$6,$C273,Fact_SortedWeights!$L$2:$L$6,"Yes"))+IF((SUMIFS(Fact_SortedWeights!$E$2:$E$6,Fact_SortedWeights!$C$2:$C$6,$A273,Fact_SortedWeights!$B$2:$B$6,$B273,Fact_SortedWeights!$L$2:$L$6,"No"))=0,0,(SUMIFS(Fact_SortedWeights!$E$2:$E$6,Fact_SortedWeights!$C$2:$C$6,$A273,Fact_SortedWeights!$B$2:$B$6,$B273,Fact_SortedWeights!$D$2:$D$6,$C273,Fact_SortedWeights!$L$2:$L$6,"No"))/(SUMIFS(Fact_SortedWeights!$E$2:$E$6,Fact_SortedWeights!$C$2:$C$6,$A273,Fact_SortedWeights!$B$2:$B$6,$B273,Fact_SortedWeights!$L$2:$L$6,"No"))*((SUMIFS(Fact_PreSortWeights!$E$2:$E$15,Fact_PreSortWeights!$C$2:$C$15,$A273,Fact_PreSortWeights!$B$2:$B$15,$B273,Fact_PreSortWeights!$F$2:$F$15,""))-(SUMIFS(Fact_SortedWeights!$E$2:$E$6,Fact_SortedWeights!$C$2:$C$6,$A273,Fact_SortedWeights!$B$2:$B$6,$B273,Fact_SortedWeights!$L$2:$L$6,"Yes"))))</f>
        <v>0</v>
      </c>
      <c r="G273" s="0" t="n">
        <f aca="false">IF(AND(IF($B273="Trash",INDEX('Materials Master'!$F$2:$F$27,MATCH($C273,'Materials Master'!$A$2:$A$27,0)),IF($B273="GMPC Recycling",INDEX('Materials Master'!$G$2:$G$27,MATCH($C273,'Materials Master'!$A$2:$A$27,0)),IF($B273="Organics Recycling",INDEX('Materials Master'!$H$2:$H$27,MATCH($C273,'Materials Master'!$A$2:$A$27,0)),IF($B273="Cardboard Recycling",INDEX('Materials Master'!$I$2:$I$27,MATCH($C273,'Materials Master'!$A$2:$A$27,0)),IF($B273="Paper Recycling",INDEX('Materials Master'!$J$2:$J$27,MATCH($C273,'Materials Master'!$A$2:$A$27,0)),IF($B273="Terracycle",INDEX('Materials Master'!$K$2:$K$27,MATCH($C273,'Materials Master'!$A$2:$A$27,0)),"No"))))))="Yes",INDEX('Materials Master'!$E$2:$E$27,MATCH($C273,'Materials Master'!$A$2:$A$27,0))="Yes",$B273&lt;&gt;"Trash"),1,0)</f>
        <v>0</v>
      </c>
      <c r="H273" s="0" t="str">
        <f aca="false">INDEX('Materials Master'!$E$2:$E$27,MATCH($C273,'Materials Master'!$A$2:$A$27,0))</f>
        <v>No</v>
      </c>
      <c r="I273" s="0" t="str">
        <f aca="false">IFERROR(INDEX(Areas!$C$2:$C$6,MATCH($A273,Areas!$B$2:$B$6,0)),"")</f>
        <v>BOH</v>
      </c>
      <c r="J273" s="0" t="n">
        <f aca="false">IF(IF($B273="Trash",INDEX('Materials Master'!$F$2:$F$27,MATCH($C273,'Materials Master'!$A$2:$A$27,0)),IF($B273="GMPC Recycling",INDEX('Materials Master'!$G$2:$G$27,MATCH($C273,'Materials Master'!$A$2:$A$27,0)),IF($B273="Organics Recycling",INDEX('Materials Master'!$H$2:$H$27,MATCH($C273,'Materials Master'!$A$2:$A$27,0)),IF($B273="Cardboard Recycling",INDEX('Materials Master'!$I$2:$I$27,MATCH($C273,'Materials Master'!$A$2:$A$27,0)),IF($B273="Paper Recycling",INDEX('Materials Master'!$J$2:$J$27,MATCH($C273,'Materials Master'!$A$2:$A$27,0)),IF($B273="Terracycle",INDEX('Materials Master'!$K$2:$K$27,MATCH($C273,'Materials Master'!$A$2:$A$27,0)),"No"))))))="Yes",1,0)</f>
        <v>0</v>
      </c>
    </row>
    <row r="274" customFormat="false" ht="15" hidden="false" customHeight="false" outlineLevel="0" collapsed="false">
      <c r="A274" s="0" t="s">
        <v>94</v>
      </c>
      <c r="B274" s="0" t="s">
        <v>107</v>
      </c>
      <c r="C274" s="0" t="s">
        <v>55</v>
      </c>
      <c r="D274" s="0" t="str">
        <f aca="false">IFERROR(INDEX('Materials Master'!$B$2:$B$27,MATCH($C274,'Materials Master'!$A$2:$A$27,0)),"")</f>
        <v>Rigid Plastics (1-6)</v>
      </c>
      <c r="E274" s="0" t="str">
        <f aca="false">IFERROR(INDEX('Materials Master'!$C$2:$C$27,MATCH($C274,'Materials Master'!$A$2:$A$27,0)),"")</f>
        <v>Plastics</v>
      </c>
      <c r="F274" s="0" t="n">
        <f aca="false">(SUMIFS(Fact_PreSortWeights!$E$2:$E$15,Fact_PreSortWeights!$C$2:$C$15,$A274,Fact_PreSortWeights!$B$2:$B$15,$B274,Fact_PreSortWeights!$F$2:$F$15,$C274))+(SUMIFS(Fact_SortedWeights!$E$2:$E$6,Fact_SortedWeights!$C$2:$C$6,$A274,Fact_SortedWeights!$B$2:$B$6,$B274,Fact_SortedWeights!$D$2:$D$6,$C274,Fact_SortedWeights!$L$2:$L$6,"Yes"))+IF((SUMIFS(Fact_SortedWeights!$E$2:$E$6,Fact_SortedWeights!$C$2:$C$6,$A274,Fact_SortedWeights!$B$2:$B$6,$B274,Fact_SortedWeights!$L$2:$L$6,"No"))=0,0,(SUMIFS(Fact_SortedWeights!$E$2:$E$6,Fact_SortedWeights!$C$2:$C$6,$A274,Fact_SortedWeights!$B$2:$B$6,$B274,Fact_SortedWeights!$D$2:$D$6,$C274,Fact_SortedWeights!$L$2:$L$6,"No"))/(SUMIFS(Fact_SortedWeights!$E$2:$E$6,Fact_SortedWeights!$C$2:$C$6,$A274,Fact_SortedWeights!$B$2:$B$6,$B274,Fact_SortedWeights!$L$2:$L$6,"No"))*((SUMIFS(Fact_PreSortWeights!$E$2:$E$15,Fact_PreSortWeights!$C$2:$C$15,$A274,Fact_PreSortWeights!$B$2:$B$15,$B274,Fact_PreSortWeights!$F$2:$F$15,""))-(SUMIFS(Fact_SortedWeights!$E$2:$E$6,Fact_SortedWeights!$C$2:$C$6,$A274,Fact_SortedWeights!$B$2:$B$6,$B274,Fact_SortedWeights!$L$2:$L$6,"Yes"))))</f>
        <v>0</v>
      </c>
      <c r="G274" s="0" t="n">
        <f aca="false">IF(AND(IF($B274="Trash",INDEX('Materials Master'!$F$2:$F$27,MATCH($C274,'Materials Master'!$A$2:$A$27,0)),IF($B274="GMPC Recycling",INDEX('Materials Master'!$G$2:$G$27,MATCH($C274,'Materials Master'!$A$2:$A$27,0)),IF($B274="Organics Recycling",INDEX('Materials Master'!$H$2:$H$27,MATCH($C274,'Materials Master'!$A$2:$A$27,0)),IF($B274="Cardboard Recycling",INDEX('Materials Master'!$I$2:$I$27,MATCH($C274,'Materials Master'!$A$2:$A$27,0)),IF($B274="Paper Recycling",INDEX('Materials Master'!$J$2:$J$27,MATCH($C274,'Materials Master'!$A$2:$A$27,0)),IF($B274="Terracycle",INDEX('Materials Master'!$K$2:$K$27,MATCH($C274,'Materials Master'!$A$2:$A$27,0)),"No"))))))="Yes",INDEX('Materials Master'!$E$2:$E$27,MATCH($C274,'Materials Master'!$A$2:$A$27,0))="Yes",$B274&lt;&gt;"Trash"),1,0)</f>
        <v>1</v>
      </c>
      <c r="H274" s="0" t="str">
        <f aca="false">INDEX('Materials Master'!$E$2:$E$27,MATCH($C274,'Materials Master'!$A$2:$A$27,0))</f>
        <v>Yes</v>
      </c>
      <c r="I274" s="0" t="str">
        <f aca="false">IFERROR(INDEX(Areas!$C$2:$C$6,MATCH($A274,Areas!$B$2:$B$6,0)),"")</f>
        <v>BOH</v>
      </c>
      <c r="J274" s="0" t="n">
        <f aca="false">IF(IF($B274="Trash",INDEX('Materials Master'!$F$2:$F$27,MATCH($C274,'Materials Master'!$A$2:$A$27,0)),IF($B274="GMPC Recycling",INDEX('Materials Master'!$G$2:$G$27,MATCH($C274,'Materials Master'!$A$2:$A$27,0)),IF($B274="Organics Recycling",INDEX('Materials Master'!$H$2:$H$27,MATCH($C274,'Materials Master'!$A$2:$A$27,0)),IF($B274="Cardboard Recycling",INDEX('Materials Master'!$I$2:$I$27,MATCH($C274,'Materials Master'!$A$2:$A$27,0)),IF($B274="Paper Recycling",INDEX('Materials Master'!$J$2:$J$27,MATCH($C274,'Materials Master'!$A$2:$A$27,0)),IF($B274="Terracycle",INDEX('Materials Master'!$K$2:$K$27,MATCH($C274,'Materials Master'!$A$2:$A$27,0)),"No"))))))="Yes",1,0)</f>
        <v>1</v>
      </c>
    </row>
    <row r="275" customFormat="false" ht="15" hidden="false" customHeight="false" outlineLevel="0" collapsed="false">
      <c r="A275" s="0" t="s">
        <v>94</v>
      </c>
      <c r="B275" s="0" t="s">
        <v>107</v>
      </c>
      <c r="C275" s="0" t="s">
        <v>58</v>
      </c>
      <c r="D275" s="0" t="str">
        <f aca="false">IFERROR(INDEX('Materials Master'!$B$2:$B$27,MATCH($C275,'Materials Master'!$A$2:$A$27,0)),"")</f>
        <v>Soiled Rigid Plastics</v>
      </c>
      <c r="E275" s="0" t="str">
        <f aca="false">IFERROR(INDEX('Materials Master'!$C$2:$C$27,MATCH($C275,'Materials Master'!$A$2:$A$27,0)),"")</f>
        <v>Plastics</v>
      </c>
      <c r="F275" s="0" t="n">
        <f aca="false">(SUMIFS(Fact_PreSortWeights!$E$2:$E$15,Fact_PreSortWeights!$C$2:$C$15,$A275,Fact_PreSortWeights!$B$2:$B$15,$B275,Fact_PreSortWeights!$F$2:$F$15,$C275))+(SUMIFS(Fact_SortedWeights!$E$2:$E$6,Fact_SortedWeights!$C$2:$C$6,$A275,Fact_SortedWeights!$B$2:$B$6,$B275,Fact_SortedWeights!$D$2:$D$6,$C275,Fact_SortedWeights!$L$2:$L$6,"Yes"))+IF((SUMIFS(Fact_SortedWeights!$E$2:$E$6,Fact_SortedWeights!$C$2:$C$6,$A275,Fact_SortedWeights!$B$2:$B$6,$B275,Fact_SortedWeights!$L$2:$L$6,"No"))=0,0,(SUMIFS(Fact_SortedWeights!$E$2:$E$6,Fact_SortedWeights!$C$2:$C$6,$A275,Fact_SortedWeights!$B$2:$B$6,$B275,Fact_SortedWeights!$D$2:$D$6,$C275,Fact_SortedWeights!$L$2:$L$6,"No"))/(SUMIFS(Fact_SortedWeights!$E$2:$E$6,Fact_SortedWeights!$C$2:$C$6,$A275,Fact_SortedWeights!$B$2:$B$6,$B275,Fact_SortedWeights!$L$2:$L$6,"No"))*((SUMIFS(Fact_PreSortWeights!$E$2:$E$15,Fact_PreSortWeights!$C$2:$C$15,$A275,Fact_PreSortWeights!$B$2:$B$15,$B275,Fact_PreSortWeights!$F$2:$F$15,""))-(SUMIFS(Fact_SortedWeights!$E$2:$E$6,Fact_SortedWeights!$C$2:$C$6,$A275,Fact_SortedWeights!$B$2:$B$6,$B275,Fact_SortedWeights!$L$2:$L$6,"Yes"))))</f>
        <v>0</v>
      </c>
      <c r="G275" s="0" t="n">
        <f aca="false">IF(AND(IF($B275="Trash",INDEX('Materials Master'!$F$2:$F$27,MATCH($C275,'Materials Master'!$A$2:$A$27,0)),IF($B275="GMPC Recycling",INDEX('Materials Master'!$G$2:$G$27,MATCH($C275,'Materials Master'!$A$2:$A$27,0)),IF($B275="Organics Recycling",INDEX('Materials Master'!$H$2:$H$27,MATCH($C275,'Materials Master'!$A$2:$A$27,0)),IF($B275="Cardboard Recycling",INDEX('Materials Master'!$I$2:$I$27,MATCH($C275,'Materials Master'!$A$2:$A$27,0)),IF($B275="Paper Recycling",INDEX('Materials Master'!$J$2:$J$27,MATCH($C275,'Materials Master'!$A$2:$A$27,0)),IF($B275="Terracycle",INDEX('Materials Master'!$K$2:$K$27,MATCH($C275,'Materials Master'!$A$2:$A$27,0)),"No"))))))="Yes",INDEX('Materials Master'!$E$2:$E$27,MATCH($C275,'Materials Master'!$A$2:$A$27,0))="Yes",$B275&lt;&gt;"Trash"),1,0)</f>
        <v>0</v>
      </c>
      <c r="H275" s="0" t="str">
        <f aca="false">INDEX('Materials Master'!$E$2:$E$27,MATCH($C275,'Materials Master'!$A$2:$A$27,0))</f>
        <v>No</v>
      </c>
      <c r="I275" s="0" t="str">
        <f aca="false">IFERROR(INDEX(Areas!$C$2:$C$6,MATCH($A275,Areas!$B$2:$B$6,0)),"")</f>
        <v>BOH</v>
      </c>
      <c r="J275" s="0" t="n">
        <f aca="false">IF(IF($B275="Trash",INDEX('Materials Master'!$F$2:$F$27,MATCH($C275,'Materials Master'!$A$2:$A$27,0)),IF($B275="GMPC Recycling",INDEX('Materials Master'!$G$2:$G$27,MATCH($C275,'Materials Master'!$A$2:$A$27,0)),IF($B275="Organics Recycling",INDEX('Materials Master'!$H$2:$H$27,MATCH($C275,'Materials Master'!$A$2:$A$27,0)),IF($B275="Cardboard Recycling",INDEX('Materials Master'!$I$2:$I$27,MATCH($C275,'Materials Master'!$A$2:$A$27,0)),IF($B275="Paper Recycling",INDEX('Materials Master'!$J$2:$J$27,MATCH($C275,'Materials Master'!$A$2:$A$27,0)),IF($B275="Terracycle",INDEX('Materials Master'!$K$2:$K$27,MATCH($C275,'Materials Master'!$A$2:$A$27,0)),"No"))))))="Yes",1,0)</f>
        <v>0</v>
      </c>
    </row>
    <row r="276" customFormat="false" ht="15" hidden="false" customHeight="false" outlineLevel="0" collapsed="false">
      <c r="A276" s="0" t="s">
        <v>94</v>
      </c>
      <c r="B276" s="0" t="s">
        <v>107</v>
      </c>
      <c r="C276" s="0" t="s">
        <v>60</v>
      </c>
      <c r="D276" s="0" t="str">
        <f aca="false">IFERROR(INDEX('Materials Master'!$B$2:$B$27,MATCH($C276,'Materials Master'!$A$2:$A$27,0)),"")</f>
        <v>Film Plastics</v>
      </c>
      <c r="E276" s="0" t="str">
        <f aca="false">IFERROR(INDEX('Materials Master'!$C$2:$C$27,MATCH($C276,'Materials Master'!$A$2:$A$27,0)),"")</f>
        <v>Plastics</v>
      </c>
      <c r="F276" s="0" t="n">
        <f aca="false">(SUMIFS(Fact_PreSortWeights!$E$2:$E$15,Fact_PreSortWeights!$C$2:$C$15,$A276,Fact_PreSortWeights!$B$2:$B$15,$B276,Fact_PreSortWeights!$F$2:$F$15,$C276))+(SUMIFS(Fact_SortedWeights!$E$2:$E$6,Fact_SortedWeights!$C$2:$C$6,$A276,Fact_SortedWeights!$B$2:$B$6,$B276,Fact_SortedWeights!$D$2:$D$6,$C276,Fact_SortedWeights!$L$2:$L$6,"Yes"))+IF((SUMIFS(Fact_SortedWeights!$E$2:$E$6,Fact_SortedWeights!$C$2:$C$6,$A276,Fact_SortedWeights!$B$2:$B$6,$B276,Fact_SortedWeights!$L$2:$L$6,"No"))=0,0,(SUMIFS(Fact_SortedWeights!$E$2:$E$6,Fact_SortedWeights!$C$2:$C$6,$A276,Fact_SortedWeights!$B$2:$B$6,$B276,Fact_SortedWeights!$D$2:$D$6,$C276,Fact_SortedWeights!$L$2:$L$6,"No"))/(SUMIFS(Fact_SortedWeights!$E$2:$E$6,Fact_SortedWeights!$C$2:$C$6,$A276,Fact_SortedWeights!$B$2:$B$6,$B276,Fact_SortedWeights!$L$2:$L$6,"No"))*((SUMIFS(Fact_PreSortWeights!$E$2:$E$15,Fact_PreSortWeights!$C$2:$C$15,$A276,Fact_PreSortWeights!$B$2:$B$15,$B276,Fact_PreSortWeights!$F$2:$F$15,""))-(SUMIFS(Fact_SortedWeights!$E$2:$E$6,Fact_SortedWeights!$C$2:$C$6,$A276,Fact_SortedWeights!$B$2:$B$6,$B276,Fact_SortedWeights!$L$2:$L$6,"Yes"))))</f>
        <v>0</v>
      </c>
      <c r="G276" s="0" t="n">
        <f aca="false">IF(AND(IF($B276="Trash",INDEX('Materials Master'!$F$2:$F$27,MATCH($C276,'Materials Master'!$A$2:$A$27,0)),IF($B276="GMPC Recycling",INDEX('Materials Master'!$G$2:$G$27,MATCH($C276,'Materials Master'!$A$2:$A$27,0)),IF($B276="Organics Recycling",INDEX('Materials Master'!$H$2:$H$27,MATCH($C276,'Materials Master'!$A$2:$A$27,0)),IF($B276="Cardboard Recycling",INDEX('Materials Master'!$I$2:$I$27,MATCH($C276,'Materials Master'!$A$2:$A$27,0)),IF($B276="Paper Recycling",INDEX('Materials Master'!$J$2:$J$27,MATCH($C276,'Materials Master'!$A$2:$A$27,0)),IF($B276="Terracycle",INDEX('Materials Master'!$K$2:$K$27,MATCH($C276,'Materials Master'!$A$2:$A$27,0)),"No"))))))="Yes",INDEX('Materials Master'!$E$2:$E$27,MATCH($C276,'Materials Master'!$A$2:$A$27,0))="Yes",$B276&lt;&gt;"Trash"),1,0)</f>
        <v>0</v>
      </c>
      <c r="H276" s="0" t="str">
        <f aca="false">INDEX('Materials Master'!$E$2:$E$27,MATCH($C276,'Materials Master'!$A$2:$A$27,0))</f>
        <v>No</v>
      </c>
      <c r="I276" s="0" t="str">
        <f aca="false">IFERROR(INDEX(Areas!$C$2:$C$6,MATCH($A276,Areas!$B$2:$B$6,0)),"")</f>
        <v>BOH</v>
      </c>
      <c r="J276" s="0" t="n">
        <f aca="false">IF(IF($B276="Trash",INDEX('Materials Master'!$F$2:$F$27,MATCH($C276,'Materials Master'!$A$2:$A$27,0)),IF($B276="GMPC Recycling",INDEX('Materials Master'!$G$2:$G$27,MATCH($C276,'Materials Master'!$A$2:$A$27,0)),IF($B276="Organics Recycling",INDEX('Materials Master'!$H$2:$H$27,MATCH($C276,'Materials Master'!$A$2:$A$27,0)),IF($B276="Cardboard Recycling",INDEX('Materials Master'!$I$2:$I$27,MATCH($C276,'Materials Master'!$A$2:$A$27,0)),IF($B276="Paper Recycling",INDEX('Materials Master'!$J$2:$J$27,MATCH($C276,'Materials Master'!$A$2:$A$27,0)),IF($B276="Terracycle",INDEX('Materials Master'!$K$2:$K$27,MATCH($C276,'Materials Master'!$A$2:$A$27,0)),"No"))))))="Yes",1,0)</f>
        <v>0</v>
      </c>
    </row>
    <row r="277" customFormat="false" ht="15" hidden="false" customHeight="false" outlineLevel="0" collapsed="false">
      <c r="A277" s="0" t="s">
        <v>94</v>
      </c>
      <c r="B277" s="0" t="s">
        <v>107</v>
      </c>
      <c r="C277" s="0" t="s">
        <v>62</v>
      </c>
      <c r="D277" s="0" t="str">
        <f aca="false">IFERROR(INDEX('Materials Master'!$B$2:$B$27,MATCH($C277,'Materials Master'!$A$2:$A$27,0)),"")</f>
        <v>Foams</v>
      </c>
      <c r="E277" s="0" t="str">
        <f aca="false">IFERROR(INDEX('Materials Master'!$C$2:$C$27,MATCH($C277,'Materials Master'!$A$2:$A$27,0)),"")</f>
        <v>Plastics</v>
      </c>
      <c r="F277" s="0" t="n">
        <f aca="false">(SUMIFS(Fact_PreSortWeights!$E$2:$E$15,Fact_PreSortWeights!$C$2:$C$15,$A277,Fact_PreSortWeights!$B$2:$B$15,$B277,Fact_PreSortWeights!$F$2:$F$15,$C277))+(SUMIFS(Fact_SortedWeights!$E$2:$E$6,Fact_SortedWeights!$C$2:$C$6,$A277,Fact_SortedWeights!$B$2:$B$6,$B277,Fact_SortedWeights!$D$2:$D$6,$C277,Fact_SortedWeights!$L$2:$L$6,"Yes"))+IF((SUMIFS(Fact_SortedWeights!$E$2:$E$6,Fact_SortedWeights!$C$2:$C$6,$A277,Fact_SortedWeights!$B$2:$B$6,$B277,Fact_SortedWeights!$L$2:$L$6,"No"))=0,0,(SUMIFS(Fact_SortedWeights!$E$2:$E$6,Fact_SortedWeights!$C$2:$C$6,$A277,Fact_SortedWeights!$B$2:$B$6,$B277,Fact_SortedWeights!$D$2:$D$6,$C277,Fact_SortedWeights!$L$2:$L$6,"No"))/(SUMIFS(Fact_SortedWeights!$E$2:$E$6,Fact_SortedWeights!$C$2:$C$6,$A277,Fact_SortedWeights!$B$2:$B$6,$B277,Fact_SortedWeights!$L$2:$L$6,"No"))*((SUMIFS(Fact_PreSortWeights!$E$2:$E$15,Fact_PreSortWeights!$C$2:$C$15,$A277,Fact_PreSortWeights!$B$2:$B$15,$B277,Fact_PreSortWeights!$F$2:$F$15,""))-(SUMIFS(Fact_SortedWeights!$E$2:$E$6,Fact_SortedWeights!$C$2:$C$6,$A277,Fact_SortedWeights!$B$2:$B$6,$B277,Fact_SortedWeights!$L$2:$L$6,"Yes"))))</f>
        <v>0</v>
      </c>
      <c r="G277" s="0" t="n">
        <f aca="false">IF(AND(IF($B277="Trash",INDEX('Materials Master'!$F$2:$F$27,MATCH($C277,'Materials Master'!$A$2:$A$27,0)),IF($B277="GMPC Recycling",INDEX('Materials Master'!$G$2:$G$27,MATCH($C277,'Materials Master'!$A$2:$A$27,0)),IF($B277="Organics Recycling",INDEX('Materials Master'!$H$2:$H$27,MATCH($C277,'Materials Master'!$A$2:$A$27,0)),IF($B277="Cardboard Recycling",INDEX('Materials Master'!$I$2:$I$27,MATCH($C277,'Materials Master'!$A$2:$A$27,0)),IF($B277="Paper Recycling",INDEX('Materials Master'!$J$2:$J$27,MATCH($C277,'Materials Master'!$A$2:$A$27,0)),IF($B277="Terracycle",INDEX('Materials Master'!$K$2:$K$27,MATCH($C277,'Materials Master'!$A$2:$A$27,0)),"No"))))))="Yes",INDEX('Materials Master'!$E$2:$E$27,MATCH($C277,'Materials Master'!$A$2:$A$27,0))="Yes",$B277&lt;&gt;"Trash"),1,0)</f>
        <v>0</v>
      </c>
      <c r="H277" s="0" t="str">
        <f aca="false">INDEX('Materials Master'!$E$2:$E$27,MATCH($C277,'Materials Master'!$A$2:$A$27,0))</f>
        <v>No</v>
      </c>
      <c r="I277" s="0" t="str">
        <f aca="false">IFERROR(INDEX(Areas!$C$2:$C$6,MATCH($A277,Areas!$B$2:$B$6,0)),"")</f>
        <v>BOH</v>
      </c>
      <c r="J277" s="0" t="n">
        <f aca="false">IF(IF($B277="Trash",INDEX('Materials Master'!$F$2:$F$27,MATCH($C277,'Materials Master'!$A$2:$A$27,0)),IF($B277="GMPC Recycling",INDEX('Materials Master'!$G$2:$G$27,MATCH($C277,'Materials Master'!$A$2:$A$27,0)),IF($B277="Organics Recycling",INDEX('Materials Master'!$H$2:$H$27,MATCH($C277,'Materials Master'!$A$2:$A$27,0)),IF($B277="Cardboard Recycling",INDEX('Materials Master'!$I$2:$I$27,MATCH($C277,'Materials Master'!$A$2:$A$27,0)),IF($B277="Paper Recycling",INDEX('Materials Master'!$J$2:$J$27,MATCH($C277,'Materials Master'!$A$2:$A$27,0)),IF($B277="Terracycle",INDEX('Materials Master'!$K$2:$K$27,MATCH($C277,'Materials Master'!$A$2:$A$27,0)),"No"))))))="Yes",1,0)</f>
        <v>0</v>
      </c>
    </row>
    <row r="278" customFormat="false" ht="15" hidden="false" customHeight="false" outlineLevel="0" collapsed="false">
      <c r="A278" s="0" t="s">
        <v>94</v>
      </c>
      <c r="B278" s="0" t="s">
        <v>107</v>
      </c>
      <c r="C278" s="0" t="s">
        <v>64</v>
      </c>
      <c r="D278" s="0" t="str">
        <f aca="false">IFERROR(INDEX('Materials Master'!$B$2:$B$27,MATCH($C278,'Materials Master'!$A$2:$A$27,0)),"")</f>
        <v>Food Waste</v>
      </c>
      <c r="E278" s="0" t="str">
        <f aca="false">IFERROR(INDEX('Materials Master'!$C$2:$C$27,MATCH($C278,'Materials Master'!$A$2:$A$27,0)),"")</f>
        <v>Organics</v>
      </c>
      <c r="F278" s="0" t="n">
        <f aca="false">(SUMIFS(Fact_PreSortWeights!$E$2:$E$15,Fact_PreSortWeights!$C$2:$C$15,$A278,Fact_PreSortWeights!$B$2:$B$15,$B278,Fact_PreSortWeights!$F$2:$F$15,$C278))+(SUMIFS(Fact_SortedWeights!$E$2:$E$6,Fact_SortedWeights!$C$2:$C$6,$A278,Fact_SortedWeights!$B$2:$B$6,$B278,Fact_SortedWeights!$D$2:$D$6,$C278,Fact_SortedWeights!$L$2:$L$6,"Yes"))+IF((SUMIFS(Fact_SortedWeights!$E$2:$E$6,Fact_SortedWeights!$C$2:$C$6,$A278,Fact_SortedWeights!$B$2:$B$6,$B278,Fact_SortedWeights!$L$2:$L$6,"No"))=0,0,(SUMIFS(Fact_SortedWeights!$E$2:$E$6,Fact_SortedWeights!$C$2:$C$6,$A278,Fact_SortedWeights!$B$2:$B$6,$B278,Fact_SortedWeights!$D$2:$D$6,$C278,Fact_SortedWeights!$L$2:$L$6,"No"))/(SUMIFS(Fact_SortedWeights!$E$2:$E$6,Fact_SortedWeights!$C$2:$C$6,$A278,Fact_SortedWeights!$B$2:$B$6,$B278,Fact_SortedWeights!$L$2:$L$6,"No"))*((SUMIFS(Fact_PreSortWeights!$E$2:$E$15,Fact_PreSortWeights!$C$2:$C$15,$A278,Fact_PreSortWeights!$B$2:$B$15,$B278,Fact_PreSortWeights!$F$2:$F$15,""))-(SUMIFS(Fact_SortedWeights!$E$2:$E$6,Fact_SortedWeights!$C$2:$C$6,$A278,Fact_SortedWeights!$B$2:$B$6,$B278,Fact_SortedWeights!$L$2:$L$6,"Yes"))))</f>
        <v>0</v>
      </c>
      <c r="G278" s="0" t="n">
        <f aca="false">IF(AND(IF($B278="Trash",INDEX('Materials Master'!$F$2:$F$27,MATCH($C278,'Materials Master'!$A$2:$A$27,0)),IF($B278="GMPC Recycling",INDEX('Materials Master'!$G$2:$G$27,MATCH($C278,'Materials Master'!$A$2:$A$27,0)),IF($B278="Organics Recycling",INDEX('Materials Master'!$H$2:$H$27,MATCH($C278,'Materials Master'!$A$2:$A$27,0)),IF($B278="Cardboard Recycling",INDEX('Materials Master'!$I$2:$I$27,MATCH($C278,'Materials Master'!$A$2:$A$27,0)),IF($B278="Paper Recycling",INDEX('Materials Master'!$J$2:$J$27,MATCH($C278,'Materials Master'!$A$2:$A$27,0)),IF($B278="Terracycle",INDEX('Materials Master'!$K$2:$K$27,MATCH($C278,'Materials Master'!$A$2:$A$27,0)),"No"))))))="Yes",INDEX('Materials Master'!$E$2:$E$27,MATCH($C278,'Materials Master'!$A$2:$A$27,0))="Yes",$B278&lt;&gt;"Trash"),1,0)</f>
        <v>0</v>
      </c>
      <c r="H278" s="0" t="str">
        <f aca="false">INDEX('Materials Master'!$E$2:$E$27,MATCH($C278,'Materials Master'!$A$2:$A$27,0))</f>
        <v>Yes</v>
      </c>
      <c r="I278" s="0" t="str">
        <f aca="false">IFERROR(INDEX(Areas!$C$2:$C$6,MATCH($A278,Areas!$B$2:$B$6,0)),"")</f>
        <v>BOH</v>
      </c>
      <c r="J278" s="0" t="n">
        <f aca="false">IF(IF($B278="Trash",INDEX('Materials Master'!$F$2:$F$27,MATCH($C278,'Materials Master'!$A$2:$A$27,0)),IF($B278="GMPC Recycling",INDEX('Materials Master'!$G$2:$G$27,MATCH($C278,'Materials Master'!$A$2:$A$27,0)),IF($B278="Organics Recycling",INDEX('Materials Master'!$H$2:$H$27,MATCH($C278,'Materials Master'!$A$2:$A$27,0)),IF($B278="Cardboard Recycling",INDEX('Materials Master'!$I$2:$I$27,MATCH($C278,'Materials Master'!$A$2:$A$27,0)),IF($B278="Paper Recycling",INDEX('Materials Master'!$J$2:$J$27,MATCH($C278,'Materials Master'!$A$2:$A$27,0)),IF($B278="Terracycle",INDEX('Materials Master'!$K$2:$K$27,MATCH($C278,'Materials Master'!$A$2:$A$27,0)),"No"))))))="Yes",1,0)</f>
        <v>0</v>
      </c>
    </row>
    <row r="279" customFormat="false" ht="15" hidden="false" customHeight="false" outlineLevel="0" collapsed="false">
      <c r="A279" s="0" t="s">
        <v>94</v>
      </c>
      <c r="B279" s="0" t="s">
        <v>107</v>
      </c>
      <c r="C279" s="0" t="s">
        <v>67</v>
      </c>
      <c r="D279" s="0" t="str">
        <f aca="false">IFERROR(INDEX('Materials Master'!$B$2:$B$27,MATCH($C279,'Materials Master'!$A$2:$A$27,0)),"")</f>
        <v>Paper Fibers and Food-Soiled Paper (FSP)</v>
      </c>
      <c r="E279" s="0" t="str">
        <f aca="false">IFERROR(INDEX('Materials Master'!$C$2:$C$27,MATCH($C279,'Materials Master'!$A$2:$A$27,0)),"")</f>
        <v>Organics</v>
      </c>
      <c r="F279" s="0" t="n">
        <f aca="false">(SUMIFS(Fact_PreSortWeights!$E$2:$E$15,Fact_PreSortWeights!$C$2:$C$15,$A279,Fact_PreSortWeights!$B$2:$B$15,$B279,Fact_PreSortWeights!$F$2:$F$15,$C279))+(SUMIFS(Fact_SortedWeights!$E$2:$E$6,Fact_SortedWeights!$C$2:$C$6,$A279,Fact_SortedWeights!$B$2:$B$6,$B279,Fact_SortedWeights!$D$2:$D$6,$C279,Fact_SortedWeights!$L$2:$L$6,"Yes"))+IF((SUMIFS(Fact_SortedWeights!$E$2:$E$6,Fact_SortedWeights!$C$2:$C$6,$A279,Fact_SortedWeights!$B$2:$B$6,$B279,Fact_SortedWeights!$L$2:$L$6,"No"))=0,0,(SUMIFS(Fact_SortedWeights!$E$2:$E$6,Fact_SortedWeights!$C$2:$C$6,$A279,Fact_SortedWeights!$B$2:$B$6,$B279,Fact_SortedWeights!$D$2:$D$6,$C279,Fact_SortedWeights!$L$2:$L$6,"No"))/(SUMIFS(Fact_SortedWeights!$E$2:$E$6,Fact_SortedWeights!$C$2:$C$6,$A279,Fact_SortedWeights!$B$2:$B$6,$B279,Fact_SortedWeights!$L$2:$L$6,"No"))*((SUMIFS(Fact_PreSortWeights!$E$2:$E$15,Fact_PreSortWeights!$C$2:$C$15,$A279,Fact_PreSortWeights!$B$2:$B$15,$B279,Fact_PreSortWeights!$F$2:$F$15,""))-(SUMIFS(Fact_SortedWeights!$E$2:$E$6,Fact_SortedWeights!$C$2:$C$6,$A279,Fact_SortedWeights!$B$2:$B$6,$B279,Fact_SortedWeights!$L$2:$L$6,"Yes"))))</f>
        <v>0</v>
      </c>
      <c r="G279" s="0" t="n">
        <f aca="false">IF(AND(IF($B279="Trash",INDEX('Materials Master'!$F$2:$F$27,MATCH($C279,'Materials Master'!$A$2:$A$27,0)),IF($B279="GMPC Recycling",INDEX('Materials Master'!$G$2:$G$27,MATCH($C279,'Materials Master'!$A$2:$A$27,0)),IF($B279="Organics Recycling",INDEX('Materials Master'!$H$2:$H$27,MATCH($C279,'Materials Master'!$A$2:$A$27,0)),IF($B279="Cardboard Recycling",INDEX('Materials Master'!$I$2:$I$27,MATCH($C279,'Materials Master'!$A$2:$A$27,0)),IF($B279="Paper Recycling",INDEX('Materials Master'!$J$2:$J$27,MATCH($C279,'Materials Master'!$A$2:$A$27,0)),IF($B279="Terracycle",INDEX('Materials Master'!$K$2:$K$27,MATCH($C279,'Materials Master'!$A$2:$A$27,0)),"No"))))))="Yes",INDEX('Materials Master'!$E$2:$E$27,MATCH($C279,'Materials Master'!$A$2:$A$27,0))="Yes",$B279&lt;&gt;"Trash"),1,0)</f>
        <v>0</v>
      </c>
      <c r="H279" s="0" t="str">
        <f aca="false">INDEX('Materials Master'!$E$2:$E$27,MATCH($C279,'Materials Master'!$A$2:$A$27,0))</f>
        <v>No</v>
      </c>
      <c r="I279" s="0" t="str">
        <f aca="false">IFERROR(INDEX(Areas!$C$2:$C$6,MATCH($A279,Areas!$B$2:$B$6,0)),"")</f>
        <v>BOH</v>
      </c>
      <c r="J279" s="0" t="n">
        <f aca="false">IF(IF($B279="Trash",INDEX('Materials Master'!$F$2:$F$27,MATCH($C279,'Materials Master'!$A$2:$A$27,0)),IF($B279="GMPC Recycling",INDEX('Materials Master'!$G$2:$G$27,MATCH($C279,'Materials Master'!$A$2:$A$27,0)),IF($B279="Organics Recycling",INDEX('Materials Master'!$H$2:$H$27,MATCH($C279,'Materials Master'!$A$2:$A$27,0)),IF($B279="Cardboard Recycling",INDEX('Materials Master'!$I$2:$I$27,MATCH($C279,'Materials Master'!$A$2:$A$27,0)),IF($B279="Paper Recycling",INDEX('Materials Master'!$J$2:$J$27,MATCH($C279,'Materials Master'!$A$2:$A$27,0)),IF($B279="Terracycle",INDEX('Materials Master'!$K$2:$K$27,MATCH($C279,'Materials Master'!$A$2:$A$27,0)),"No"))))))="Yes",1,0)</f>
        <v>0</v>
      </c>
    </row>
    <row r="280" customFormat="false" ht="15" hidden="false" customHeight="false" outlineLevel="0" collapsed="false">
      <c r="A280" s="0" t="s">
        <v>94</v>
      </c>
      <c r="B280" s="0" t="s">
        <v>107</v>
      </c>
      <c r="C280" s="0" t="s">
        <v>69</v>
      </c>
      <c r="D280" s="0" t="str">
        <f aca="false">IFERROR(INDEX('Materials Master'!$B$2:$B$27,MATCH($C280,'Materials Master'!$A$2:$A$27,0)),"")</f>
        <v>Fiber-based Compostable Serviceware</v>
      </c>
      <c r="E280" s="0" t="str">
        <f aca="false">IFERROR(INDEX('Materials Master'!$C$2:$C$27,MATCH($C280,'Materials Master'!$A$2:$A$27,0)),"")</f>
        <v>Organics</v>
      </c>
      <c r="F280" s="0" t="n">
        <f aca="false">(SUMIFS(Fact_PreSortWeights!$E$2:$E$15,Fact_PreSortWeights!$C$2:$C$15,$A280,Fact_PreSortWeights!$B$2:$B$15,$B280,Fact_PreSortWeights!$F$2:$F$15,$C280))+(SUMIFS(Fact_SortedWeights!$E$2:$E$6,Fact_SortedWeights!$C$2:$C$6,$A280,Fact_SortedWeights!$B$2:$B$6,$B280,Fact_SortedWeights!$D$2:$D$6,$C280,Fact_SortedWeights!$L$2:$L$6,"Yes"))+IF((SUMIFS(Fact_SortedWeights!$E$2:$E$6,Fact_SortedWeights!$C$2:$C$6,$A280,Fact_SortedWeights!$B$2:$B$6,$B280,Fact_SortedWeights!$L$2:$L$6,"No"))=0,0,(SUMIFS(Fact_SortedWeights!$E$2:$E$6,Fact_SortedWeights!$C$2:$C$6,$A280,Fact_SortedWeights!$B$2:$B$6,$B280,Fact_SortedWeights!$D$2:$D$6,$C280,Fact_SortedWeights!$L$2:$L$6,"No"))/(SUMIFS(Fact_SortedWeights!$E$2:$E$6,Fact_SortedWeights!$C$2:$C$6,$A280,Fact_SortedWeights!$B$2:$B$6,$B280,Fact_SortedWeights!$L$2:$L$6,"No"))*((SUMIFS(Fact_PreSortWeights!$E$2:$E$15,Fact_PreSortWeights!$C$2:$C$15,$A280,Fact_PreSortWeights!$B$2:$B$15,$B280,Fact_PreSortWeights!$F$2:$F$15,""))-(SUMIFS(Fact_SortedWeights!$E$2:$E$6,Fact_SortedWeights!$C$2:$C$6,$A280,Fact_SortedWeights!$B$2:$B$6,$B280,Fact_SortedWeights!$L$2:$L$6,"Yes"))))</f>
        <v>0</v>
      </c>
      <c r="G280" s="0" t="n">
        <f aca="false">IF(AND(IF($B280="Trash",INDEX('Materials Master'!$F$2:$F$27,MATCH($C280,'Materials Master'!$A$2:$A$27,0)),IF($B280="GMPC Recycling",INDEX('Materials Master'!$G$2:$G$27,MATCH($C280,'Materials Master'!$A$2:$A$27,0)),IF($B280="Organics Recycling",INDEX('Materials Master'!$H$2:$H$27,MATCH($C280,'Materials Master'!$A$2:$A$27,0)),IF($B280="Cardboard Recycling",INDEX('Materials Master'!$I$2:$I$27,MATCH($C280,'Materials Master'!$A$2:$A$27,0)),IF($B280="Paper Recycling",INDEX('Materials Master'!$J$2:$J$27,MATCH($C280,'Materials Master'!$A$2:$A$27,0)),IF($B280="Terracycle",INDEX('Materials Master'!$K$2:$K$27,MATCH($C280,'Materials Master'!$A$2:$A$27,0)),"No"))))))="Yes",INDEX('Materials Master'!$E$2:$E$27,MATCH($C280,'Materials Master'!$A$2:$A$27,0))="Yes",$B280&lt;&gt;"Trash"),1,0)</f>
        <v>0</v>
      </c>
      <c r="H280" s="0" t="str">
        <f aca="false">INDEX('Materials Master'!$E$2:$E$27,MATCH($C280,'Materials Master'!$A$2:$A$27,0))</f>
        <v>No</v>
      </c>
      <c r="I280" s="0" t="str">
        <f aca="false">IFERROR(INDEX(Areas!$C$2:$C$6,MATCH($A280,Areas!$B$2:$B$6,0)),"")</f>
        <v>BOH</v>
      </c>
      <c r="J280" s="0" t="n">
        <f aca="false">IF(IF($B280="Trash",INDEX('Materials Master'!$F$2:$F$27,MATCH($C280,'Materials Master'!$A$2:$A$27,0)),IF($B280="GMPC Recycling",INDEX('Materials Master'!$G$2:$G$27,MATCH($C280,'Materials Master'!$A$2:$A$27,0)),IF($B280="Organics Recycling",INDEX('Materials Master'!$H$2:$H$27,MATCH($C280,'Materials Master'!$A$2:$A$27,0)),IF($B280="Cardboard Recycling",INDEX('Materials Master'!$I$2:$I$27,MATCH($C280,'Materials Master'!$A$2:$A$27,0)),IF($B280="Paper Recycling",INDEX('Materials Master'!$J$2:$J$27,MATCH($C280,'Materials Master'!$A$2:$A$27,0)),IF($B280="Terracycle",INDEX('Materials Master'!$K$2:$K$27,MATCH($C280,'Materials Master'!$A$2:$A$27,0)),"No"))))))="Yes",1,0)</f>
        <v>0</v>
      </c>
    </row>
    <row r="281" customFormat="false" ht="15" hidden="false" customHeight="false" outlineLevel="0" collapsed="false">
      <c r="A281" s="0" t="s">
        <v>94</v>
      </c>
      <c r="B281" s="0" t="s">
        <v>107</v>
      </c>
      <c r="C281" s="0" t="s">
        <v>71</v>
      </c>
      <c r="D281" s="0" t="str">
        <f aca="false">IFERROR(INDEX('Materials Master'!$B$2:$B$27,MATCH($C281,'Materials Master'!$A$2:$A$27,0)),"")</f>
        <v>PLA Compostable Serviceware</v>
      </c>
      <c r="E281" s="0" t="str">
        <f aca="false">IFERROR(INDEX('Materials Master'!$C$2:$C$27,MATCH($C281,'Materials Master'!$A$2:$A$27,0)),"")</f>
        <v>Organics</v>
      </c>
      <c r="F281" s="0" t="n">
        <f aca="false">(SUMIFS(Fact_PreSortWeights!$E$2:$E$15,Fact_PreSortWeights!$C$2:$C$15,$A281,Fact_PreSortWeights!$B$2:$B$15,$B281,Fact_PreSortWeights!$F$2:$F$15,$C281))+(SUMIFS(Fact_SortedWeights!$E$2:$E$6,Fact_SortedWeights!$C$2:$C$6,$A281,Fact_SortedWeights!$B$2:$B$6,$B281,Fact_SortedWeights!$D$2:$D$6,$C281,Fact_SortedWeights!$L$2:$L$6,"Yes"))+IF((SUMIFS(Fact_SortedWeights!$E$2:$E$6,Fact_SortedWeights!$C$2:$C$6,$A281,Fact_SortedWeights!$B$2:$B$6,$B281,Fact_SortedWeights!$L$2:$L$6,"No"))=0,0,(SUMIFS(Fact_SortedWeights!$E$2:$E$6,Fact_SortedWeights!$C$2:$C$6,$A281,Fact_SortedWeights!$B$2:$B$6,$B281,Fact_SortedWeights!$D$2:$D$6,$C281,Fact_SortedWeights!$L$2:$L$6,"No"))/(SUMIFS(Fact_SortedWeights!$E$2:$E$6,Fact_SortedWeights!$C$2:$C$6,$A281,Fact_SortedWeights!$B$2:$B$6,$B281,Fact_SortedWeights!$L$2:$L$6,"No"))*((SUMIFS(Fact_PreSortWeights!$E$2:$E$15,Fact_PreSortWeights!$C$2:$C$15,$A281,Fact_PreSortWeights!$B$2:$B$15,$B281,Fact_PreSortWeights!$F$2:$F$15,""))-(SUMIFS(Fact_SortedWeights!$E$2:$E$6,Fact_SortedWeights!$C$2:$C$6,$A281,Fact_SortedWeights!$B$2:$B$6,$B281,Fact_SortedWeights!$L$2:$L$6,"Yes"))))</f>
        <v>0</v>
      </c>
      <c r="G281" s="0" t="n">
        <f aca="false">IF(AND(IF($B281="Trash",INDEX('Materials Master'!$F$2:$F$27,MATCH($C281,'Materials Master'!$A$2:$A$27,0)),IF($B281="GMPC Recycling",INDEX('Materials Master'!$G$2:$G$27,MATCH($C281,'Materials Master'!$A$2:$A$27,0)),IF($B281="Organics Recycling",INDEX('Materials Master'!$H$2:$H$27,MATCH($C281,'Materials Master'!$A$2:$A$27,0)),IF($B281="Cardboard Recycling",INDEX('Materials Master'!$I$2:$I$27,MATCH($C281,'Materials Master'!$A$2:$A$27,0)),IF($B281="Paper Recycling",INDEX('Materials Master'!$J$2:$J$27,MATCH($C281,'Materials Master'!$A$2:$A$27,0)),IF($B281="Terracycle",INDEX('Materials Master'!$K$2:$K$27,MATCH($C281,'Materials Master'!$A$2:$A$27,0)),"No"))))))="Yes",INDEX('Materials Master'!$E$2:$E$27,MATCH($C281,'Materials Master'!$A$2:$A$27,0))="Yes",$B281&lt;&gt;"Trash"),1,0)</f>
        <v>0</v>
      </c>
      <c r="H281" s="0" t="str">
        <f aca="false">INDEX('Materials Master'!$E$2:$E$27,MATCH($C281,'Materials Master'!$A$2:$A$27,0))</f>
        <v>No</v>
      </c>
      <c r="I281" s="0" t="str">
        <f aca="false">IFERROR(INDEX(Areas!$C$2:$C$6,MATCH($A281,Areas!$B$2:$B$6,0)),"")</f>
        <v>BOH</v>
      </c>
      <c r="J281" s="0" t="n">
        <f aca="false">IF(IF($B281="Trash",INDEX('Materials Master'!$F$2:$F$27,MATCH($C281,'Materials Master'!$A$2:$A$27,0)),IF($B281="GMPC Recycling",INDEX('Materials Master'!$G$2:$G$27,MATCH($C281,'Materials Master'!$A$2:$A$27,0)),IF($B281="Organics Recycling",INDEX('Materials Master'!$H$2:$H$27,MATCH($C281,'Materials Master'!$A$2:$A$27,0)),IF($B281="Cardboard Recycling",INDEX('Materials Master'!$I$2:$I$27,MATCH($C281,'Materials Master'!$A$2:$A$27,0)),IF($B281="Paper Recycling",INDEX('Materials Master'!$J$2:$J$27,MATCH($C281,'Materials Master'!$A$2:$A$27,0)),IF($B281="Terracycle",INDEX('Materials Master'!$K$2:$K$27,MATCH($C281,'Materials Master'!$A$2:$A$27,0)),"No"))))))="Yes",1,0)</f>
        <v>0</v>
      </c>
    </row>
    <row r="282" customFormat="false" ht="15" hidden="false" customHeight="false" outlineLevel="0" collapsed="false">
      <c r="A282" s="0" t="s">
        <v>94</v>
      </c>
      <c r="B282" s="0" t="s">
        <v>107</v>
      </c>
      <c r="C282" s="0" t="s">
        <v>73</v>
      </c>
      <c r="D282" s="0" t="str">
        <f aca="false">IFERROR(INDEX('Materials Master'!$B$2:$B$27,MATCH($C282,'Materials Master'!$A$2:$A$27,0)),"")</f>
        <v>E/U Waste</v>
      </c>
      <c r="E282" s="0" t="str">
        <f aca="false">IFERROR(INDEX('Materials Master'!$C$2:$C$27,MATCH($C282,'Materials Master'!$A$2:$A$27,0)),"")</f>
        <v>Unacceptable</v>
      </c>
      <c r="F282" s="0" t="n">
        <f aca="false">(SUMIFS(Fact_PreSortWeights!$E$2:$E$15,Fact_PreSortWeights!$C$2:$C$15,$A282,Fact_PreSortWeights!$B$2:$B$15,$B282,Fact_PreSortWeights!$F$2:$F$15,$C282))+(SUMIFS(Fact_SortedWeights!$E$2:$E$6,Fact_SortedWeights!$C$2:$C$6,$A282,Fact_SortedWeights!$B$2:$B$6,$B282,Fact_SortedWeights!$D$2:$D$6,$C282,Fact_SortedWeights!$L$2:$L$6,"Yes"))+IF((SUMIFS(Fact_SortedWeights!$E$2:$E$6,Fact_SortedWeights!$C$2:$C$6,$A282,Fact_SortedWeights!$B$2:$B$6,$B282,Fact_SortedWeights!$L$2:$L$6,"No"))=0,0,(SUMIFS(Fact_SortedWeights!$E$2:$E$6,Fact_SortedWeights!$C$2:$C$6,$A282,Fact_SortedWeights!$B$2:$B$6,$B282,Fact_SortedWeights!$D$2:$D$6,$C282,Fact_SortedWeights!$L$2:$L$6,"No"))/(SUMIFS(Fact_SortedWeights!$E$2:$E$6,Fact_SortedWeights!$C$2:$C$6,$A282,Fact_SortedWeights!$B$2:$B$6,$B282,Fact_SortedWeights!$L$2:$L$6,"No"))*((SUMIFS(Fact_PreSortWeights!$E$2:$E$15,Fact_PreSortWeights!$C$2:$C$15,$A282,Fact_PreSortWeights!$B$2:$B$15,$B282,Fact_PreSortWeights!$F$2:$F$15,""))-(SUMIFS(Fact_SortedWeights!$E$2:$E$6,Fact_SortedWeights!$C$2:$C$6,$A282,Fact_SortedWeights!$B$2:$B$6,$B282,Fact_SortedWeights!$L$2:$L$6,"Yes"))))</f>
        <v>0</v>
      </c>
      <c r="G282" s="0" t="n">
        <f aca="false">IF(AND(IF($B282="Trash",INDEX('Materials Master'!$F$2:$F$27,MATCH($C282,'Materials Master'!$A$2:$A$27,0)),IF($B282="GMPC Recycling",INDEX('Materials Master'!$G$2:$G$27,MATCH($C282,'Materials Master'!$A$2:$A$27,0)),IF($B282="Organics Recycling",INDEX('Materials Master'!$H$2:$H$27,MATCH($C282,'Materials Master'!$A$2:$A$27,0)),IF($B282="Cardboard Recycling",INDEX('Materials Master'!$I$2:$I$27,MATCH($C282,'Materials Master'!$A$2:$A$27,0)),IF($B282="Paper Recycling",INDEX('Materials Master'!$J$2:$J$27,MATCH($C282,'Materials Master'!$A$2:$A$27,0)),IF($B282="Terracycle",INDEX('Materials Master'!$K$2:$K$27,MATCH($C282,'Materials Master'!$A$2:$A$27,0)),"No"))))))="Yes",INDEX('Materials Master'!$E$2:$E$27,MATCH($C282,'Materials Master'!$A$2:$A$27,0))="Yes",$B282&lt;&gt;"Trash"),1,0)</f>
        <v>0</v>
      </c>
      <c r="H282" s="0" t="str">
        <f aca="false">INDEX('Materials Master'!$E$2:$E$27,MATCH($C282,'Materials Master'!$A$2:$A$27,0))</f>
        <v>No</v>
      </c>
      <c r="I282" s="0" t="str">
        <f aca="false">IFERROR(INDEX(Areas!$C$2:$C$6,MATCH($A282,Areas!$B$2:$B$6,0)),"")</f>
        <v>BOH</v>
      </c>
      <c r="J282" s="0" t="n">
        <f aca="false">IF(IF($B282="Trash",INDEX('Materials Master'!$F$2:$F$27,MATCH($C282,'Materials Master'!$A$2:$A$27,0)),IF($B282="GMPC Recycling",INDEX('Materials Master'!$G$2:$G$27,MATCH($C282,'Materials Master'!$A$2:$A$27,0)),IF($B282="Organics Recycling",INDEX('Materials Master'!$H$2:$H$27,MATCH($C282,'Materials Master'!$A$2:$A$27,0)),IF($B282="Cardboard Recycling",INDEX('Materials Master'!$I$2:$I$27,MATCH($C282,'Materials Master'!$A$2:$A$27,0)),IF($B282="Paper Recycling",INDEX('Materials Master'!$J$2:$J$27,MATCH($C282,'Materials Master'!$A$2:$A$27,0)),IF($B282="Terracycle",INDEX('Materials Master'!$K$2:$K$27,MATCH($C282,'Materials Master'!$A$2:$A$27,0)),"No"))))))="Yes",1,0)</f>
        <v>0</v>
      </c>
    </row>
    <row r="283" customFormat="false" ht="15" hidden="false" customHeight="false" outlineLevel="0" collapsed="false">
      <c r="A283" s="0" t="s">
        <v>94</v>
      </c>
      <c r="B283" s="0" t="s">
        <v>107</v>
      </c>
      <c r="C283" s="0" t="s">
        <v>76</v>
      </c>
      <c r="D283" s="0" t="str">
        <f aca="false">IFERROR(INDEX('Materials Master'!$B$2:$B$27,MATCH($C283,'Materials Master'!$A$2:$A$27,0)),"")</f>
        <v>Textiles</v>
      </c>
      <c r="E283" s="0" t="str">
        <f aca="false">IFERROR(INDEX('Materials Master'!$C$2:$C$27,MATCH($C283,'Materials Master'!$A$2:$A$27,0)),"")</f>
        <v>Unacceptable</v>
      </c>
      <c r="F283" s="0" t="n">
        <f aca="false">(SUMIFS(Fact_PreSortWeights!$E$2:$E$15,Fact_PreSortWeights!$C$2:$C$15,$A283,Fact_PreSortWeights!$B$2:$B$15,$B283,Fact_PreSortWeights!$F$2:$F$15,$C283))+(SUMIFS(Fact_SortedWeights!$E$2:$E$6,Fact_SortedWeights!$C$2:$C$6,$A283,Fact_SortedWeights!$B$2:$B$6,$B283,Fact_SortedWeights!$D$2:$D$6,$C283,Fact_SortedWeights!$L$2:$L$6,"Yes"))+IF((SUMIFS(Fact_SortedWeights!$E$2:$E$6,Fact_SortedWeights!$C$2:$C$6,$A283,Fact_SortedWeights!$B$2:$B$6,$B283,Fact_SortedWeights!$L$2:$L$6,"No"))=0,0,(SUMIFS(Fact_SortedWeights!$E$2:$E$6,Fact_SortedWeights!$C$2:$C$6,$A283,Fact_SortedWeights!$B$2:$B$6,$B283,Fact_SortedWeights!$D$2:$D$6,$C283,Fact_SortedWeights!$L$2:$L$6,"No"))/(SUMIFS(Fact_SortedWeights!$E$2:$E$6,Fact_SortedWeights!$C$2:$C$6,$A283,Fact_SortedWeights!$B$2:$B$6,$B283,Fact_SortedWeights!$L$2:$L$6,"No"))*((SUMIFS(Fact_PreSortWeights!$E$2:$E$15,Fact_PreSortWeights!$C$2:$C$15,$A283,Fact_PreSortWeights!$B$2:$B$15,$B283,Fact_PreSortWeights!$F$2:$F$15,""))-(SUMIFS(Fact_SortedWeights!$E$2:$E$6,Fact_SortedWeights!$C$2:$C$6,$A283,Fact_SortedWeights!$B$2:$B$6,$B283,Fact_SortedWeights!$L$2:$L$6,"Yes"))))</f>
        <v>0</v>
      </c>
      <c r="G283" s="0" t="n">
        <f aca="false">IF(AND(IF($B283="Trash",INDEX('Materials Master'!$F$2:$F$27,MATCH($C283,'Materials Master'!$A$2:$A$27,0)),IF($B283="GMPC Recycling",INDEX('Materials Master'!$G$2:$G$27,MATCH($C283,'Materials Master'!$A$2:$A$27,0)),IF($B283="Organics Recycling",INDEX('Materials Master'!$H$2:$H$27,MATCH($C283,'Materials Master'!$A$2:$A$27,0)),IF($B283="Cardboard Recycling",INDEX('Materials Master'!$I$2:$I$27,MATCH($C283,'Materials Master'!$A$2:$A$27,0)),IF($B283="Paper Recycling",INDEX('Materials Master'!$J$2:$J$27,MATCH($C283,'Materials Master'!$A$2:$A$27,0)),IF($B283="Terracycle",INDEX('Materials Master'!$K$2:$K$27,MATCH($C283,'Materials Master'!$A$2:$A$27,0)),"No"))))))="Yes",INDEX('Materials Master'!$E$2:$E$27,MATCH($C283,'Materials Master'!$A$2:$A$27,0))="Yes",$B283&lt;&gt;"Trash"),1,0)</f>
        <v>0</v>
      </c>
      <c r="H283" s="0" t="str">
        <f aca="false">INDEX('Materials Master'!$E$2:$E$27,MATCH($C283,'Materials Master'!$A$2:$A$27,0))</f>
        <v>No</v>
      </c>
      <c r="I283" s="0" t="str">
        <f aca="false">IFERROR(INDEX(Areas!$C$2:$C$6,MATCH($A283,Areas!$B$2:$B$6,0)),"")</f>
        <v>BOH</v>
      </c>
      <c r="J283" s="0" t="n">
        <f aca="false">IF(IF($B283="Trash",INDEX('Materials Master'!$F$2:$F$27,MATCH($C283,'Materials Master'!$A$2:$A$27,0)),IF($B283="GMPC Recycling",INDEX('Materials Master'!$G$2:$G$27,MATCH($C283,'Materials Master'!$A$2:$A$27,0)),IF($B283="Organics Recycling",INDEX('Materials Master'!$H$2:$H$27,MATCH($C283,'Materials Master'!$A$2:$A$27,0)),IF($B283="Cardboard Recycling",INDEX('Materials Master'!$I$2:$I$27,MATCH($C283,'Materials Master'!$A$2:$A$27,0)),IF($B283="Paper Recycling",INDEX('Materials Master'!$J$2:$J$27,MATCH($C283,'Materials Master'!$A$2:$A$27,0)),IF($B283="Terracycle",INDEX('Materials Master'!$K$2:$K$27,MATCH($C283,'Materials Master'!$A$2:$A$27,0)),"No"))))))="Yes",1,0)</f>
        <v>0</v>
      </c>
    </row>
    <row r="284" customFormat="false" ht="15" hidden="false" customHeight="false" outlineLevel="0" collapsed="false">
      <c r="A284" s="0" t="s">
        <v>94</v>
      </c>
      <c r="B284" s="0" t="s">
        <v>107</v>
      </c>
      <c r="C284" s="0" t="s">
        <v>78</v>
      </c>
      <c r="D284" s="0" t="str">
        <f aca="false">IFERROR(INDEX('Materials Master'!$B$2:$B$27,MATCH($C284,'Materials Master'!$A$2:$A$27,0)),"")</f>
        <v>Other Unacceptable (specify)</v>
      </c>
      <c r="E284" s="0" t="str">
        <f aca="false">IFERROR(INDEX('Materials Master'!$C$2:$C$27,MATCH($C284,'Materials Master'!$A$2:$A$27,0)),"")</f>
        <v>Unacceptable</v>
      </c>
      <c r="F284" s="0" t="n">
        <f aca="false">(SUMIFS(Fact_PreSortWeights!$E$2:$E$15,Fact_PreSortWeights!$C$2:$C$15,$A284,Fact_PreSortWeights!$B$2:$B$15,$B284,Fact_PreSortWeights!$F$2:$F$15,$C284))+(SUMIFS(Fact_SortedWeights!$E$2:$E$6,Fact_SortedWeights!$C$2:$C$6,$A284,Fact_SortedWeights!$B$2:$B$6,$B284,Fact_SortedWeights!$D$2:$D$6,$C284,Fact_SortedWeights!$L$2:$L$6,"Yes"))+IF((SUMIFS(Fact_SortedWeights!$E$2:$E$6,Fact_SortedWeights!$C$2:$C$6,$A284,Fact_SortedWeights!$B$2:$B$6,$B284,Fact_SortedWeights!$L$2:$L$6,"No"))=0,0,(SUMIFS(Fact_SortedWeights!$E$2:$E$6,Fact_SortedWeights!$C$2:$C$6,$A284,Fact_SortedWeights!$B$2:$B$6,$B284,Fact_SortedWeights!$D$2:$D$6,$C284,Fact_SortedWeights!$L$2:$L$6,"No"))/(SUMIFS(Fact_SortedWeights!$E$2:$E$6,Fact_SortedWeights!$C$2:$C$6,$A284,Fact_SortedWeights!$B$2:$B$6,$B284,Fact_SortedWeights!$L$2:$L$6,"No"))*((SUMIFS(Fact_PreSortWeights!$E$2:$E$15,Fact_PreSortWeights!$C$2:$C$15,$A284,Fact_PreSortWeights!$B$2:$B$15,$B284,Fact_PreSortWeights!$F$2:$F$15,""))-(SUMIFS(Fact_SortedWeights!$E$2:$E$6,Fact_SortedWeights!$C$2:$C$6,$A284,Fact_SortedWeights!$B$2:$B$6,$B284,Fact_SortedWeights!$L$2:$L$6,"Yes"))))</f>
        <v>0</v>
      </c>
      <c r="G284" s="0" t="n">
        <f aca="false">IF(AND(IF($B284="Trash",INDEX('Materials Master'!$F$2:$F$27,MATCH($C284,'Materials Master'!$A$2:$A$27,0)),IF($B284="GMPC Recycling",INDEX('Materials Master'!$G$2:$G$27,MATCH($C284,'Materials Master'!$A$2:$A$27,0)),IF($B284="Organics Recycling",INDEX('Materials Master'!$H$2:$H$27,MATCH($C284,'Materials Master'!$A$2:$A$27,0)),IF($B284="Cardboard Recycling",INDEX('Materials Master'!$I$2:$I$27,MATCH($C284,'Materials Master'!$A$2:$A$27,0)),IF($B284="Paper Recycling",INDEX('Materials Master'!$J$2:$J$27,MATCH($C284,'Materials Master'!$A$2:$A$27,0)),IF($B284="Terracycle",INDEX('Materials Master'!$K$2:$K$27,MATCH($C284,'Materials Master'!$A$2:$A$27,0)),"No"))))))="Yes",INDEX('Materials Master'!$E$2:$E$27,MATCH($C284,'Materials Master'!$A$2:$A$27,0))="Yes",$B284&lt;&gt;"Trash"),1,0)</f>
        <v>0</v>
      </c>
      <c r="H284" s="0" t="str">
        <f aca="false">INDEX('Materials Master'!$E$2:$E$27,MATCH($C284,'Materials Master'!$A$2:$A$27,0))</f>
        <v>No</v>
      </c>
      <c r="I284" s="0" t="str">
        <f aca="false">IFERROR(INDEX(Areas!$C$2:$C$6,MATCH($A284,Areas!$B$2:$B$6,0)),"")</f>
        <v>BOH</v>
      </c>
      <c r="J284" s="0" t="n">
        <f aca="false">IF(IF($B284="Trash",INDEX('Materials Master'!$F$2:$F$27,MATCH($C284,'Materials Master'!$A$2:$A$27,0)),IF($B284="GMPC Recycling",INDEX('Materials Master'!$G$2:$G$27,MATCH($C284,'Materials Master'!$A$2:$A$27,0)),IF($B284="Organics Recycling",INDEX('Materials Master'!$H$2:$H$27,MATCH($C284,'Materials Master'!$A$2:$A$27,0)),IF($B284="Cardboard Recycling",INDEX('Materials Master'!$I$2:$I$27,MATCH($C284,'Materials Master'!$A$2:$A$27,0)),IF($B284="Paper Recycling",INDEX('Materials Master'!$J$2:$J$27,MATCH($C284,'Materials Master'!$A$2:$A$27,0)),IF($B284="Terracycle",INDEX('Materials Master'!$K$2:$K$27,MATCH($C284,'Materials Master'!$A$2:$A$27,0)),"No"))))))="Yes",1,0)</f>
        <v>0</v>
      </c>
    </row>
    <row r="285" customFormat="false" ht="15" hidden="false" customHeight="false" outlineLevel="0" collapsed="false">
      <c r="A285" s="0" t="s">
        <v>94</v>
      </c>
      <c r="B285" s="0" t="s">
        <v>107</v>
      </c>
      <c r="C285" s="0" t="s">
        <v>80</v>
      </c>
      <c r="D285" s="0" t="str">
        <f aca="false">IFERROR(INDEX('Materials Master'!$B$2:$B$27,MATCH($C285,'Materials Master'!$A$2:$A$27,0)),"")</f>
        <v>Liquids</v>
      </c>
      <c r="E285" s="0" t="str">
        <f aca="false">IFERROR(INDEX('Materials Master'!$C$2:$C$27,MATCH($C285,'Materials Master'!$A$2:$A$27,0)),"")</f>
        <v>Unacceptable</v>
      </c>
      <c r="F285" s="0" t="n">
        <f aca="false">(SUMIFS(Fact_PreSortWeights!$E$2:$E$15,Fact_PreSortWeights!$C$2:$C$15,$A285,Fact_PreSortWeights!$B$2:$B$15,$B285,Fact_PreSortWeights!$F$2:$F$15,$C285))+(SUMIFS(Fact_SortedWeights!$E$2:$E$6,Fact_SortedWeights!$C$2:$C$6,$A285,Fact_SortedWeights!$B$2:$B$6,$B285,Fact_SortedWeights!$D$2:$D$6,$C285,Fact_SortedWeights!$L$2:$L$6,"Yes"))+IF((SUMIFS(Fact_SortedWeights!$E$2:$E$6,Fact_SortedWeights!$C$2:$C$6,$A285,Fact_SortedWeights!$B$2:$B$6,$B285,Fact_SortedWeights!$L$2:$L$6,"No"))=0,0,(SUMIFS(Fact_SortedWeights!$E$2:$E$6,Fact_SortedWeights!$C$2:$C$6,$A285,Fact_SortedWeights!$B$2:$B$6,$B285,Fact_SortedWeights!$D$2:$D$6,$C285,Fact_SortedWeights!$L$2:$L$6,"No"))/(SUMIFS(Fact_SortedWeights!$E$2:$E$6,Fact_SortedWeights!$C$2:$C$6,$A285,Fact_SortedWeights!$B$2:$B$6,$B285,Fact_SortedWeights!$L$2:$L$6,"No"))*((SUMIFS(Fact_PreSortWeights!$E$2:$E$15,Fact_PreSortWeights!$C$2:$C$15,$A285,Fact_PreSortWeights!$B$2:$B$15,$B285,Fact_PreSortWeights!$F$2:$F$15,""))-(SUMIFS(Fact_SortedWeights!$E$2:$E$6,Fact_SortedWeights!$C$2:$C$6,$A285,Fact_SortedWeights!$B$2:$B$6,$B285,Fact_SortedWeights!$L$2:$L$6,"Yes"))))</f>
        <v>0</v>
      </c>
      <c r="G285" s="0" t="n">
        <f aca="false">IF(AND(IF($B285="Trash",INDEX('Materials Master'!$F$2:$F$27,MATCH($C285,'Materials Master'!$A$2:$A$27,0)),IF($B285="GMPC Recycling",INDEX('Materials Master'!$G$2:$G$27,MATCH($C285,'Materials Master'!$A$2:$A$27,0)),IF($B285="Organics Recycling",INDEX('Materials Master'!$H$2:$H$27,MATCH($C285,'Materials Master'!$A$2:$A$27,0)),IF($B285="Cardboard Recycling",INDEX('Materials Master'!$I$2:$I$27,MATCH($C285,'Materials Master'!$A$2:$A$27,0)),IF($B285="Paper Recycling",INDEX('Materials Master'!$J$2:$J$27,MATCH($C285,'Materials Master'!$A$2:$A$27,0)),IF($B285="Terracycle",INDEX('Materials Master'!$K$2:$K$27,MATCH($C285,'Materials Master'!$A$2:$A$27,0)),"No"))))))="Yes",INDEX('Materials Master'!$E$2:$E$27,MATCH($C285,'Materials Master'!$A$2:$A$27,0))="Yes",$B285&lt;&gt;"Trash"),1,0)</f>
        <v>0</v>
      </c>
      <c r="H285" s="0" t="str">
        <f aca="false">INDEX('Materials Master'!$E$2:$E$27,MATCH($C285,'Materials Master'!$A$2:$A$27,0))</f>
        <v>No</v>
      </c>
      <c r="I285" s="0" t="str">
        <f aca="false">IFERROR(INDEX(Areas!$C$2:$C$6,MATCH($A285,Areas!$B$2:$B$6,0)),"")</f>
        <v>BOH</v>
      </c>
      <c r="J285" s="0" t="n">
        <f aca="false">IF(IF($B285="Trash",INDEX('Materials Master'!$F$2:$F$27,MATCH($C285,'Materials Master'!$A$2:$A$27,0)),IF($B285="GMPC Recycling",INDEX('Materials Master'!$G$2:$G$27,MATCH($C285,'Materials Master'!$A$2:$A$27,0)),IF($B285="Organics Recycling",INDEX('Materials Master'!$H$2:$H$27,MATCH($C285,'Materials Master'!$A$2:$A$27,0)),IF($B285="Cardboard Recycling",INDEX('Materials Master'!$I$2:$I$27,MATCH($C285,'Materials Master'!$A$2:$A$27,0)),IF($B285="Paper Recycling",INDEX('Materials Master'!$J$2:$J$27,MATCH($C285,'Materials Master'!$A$2:$A$27,0)),IF($B285="Terracycle",INDEX('Materials Master'!$K$2:$K$27,MATCH($C285,'Materials Master'!$A$2:$A$27,0)),"No"))))))="Yes",1,0)</f>
        <v>0</v>
      </c>
    </row>
    <row r="286" customFormat="false" ht="15" hidden="false" customHeight="false" outlineLevel="0" collapsed="false">
      <c r="A286" s="0" t="s">
        <v>94</v>
      </c>
      <c r="B286" s="0" t="s">
        <v>107</v>
      </c>
      <c r="C286" s="0" t="s">
        <v>82</v>
      </c>
      <c r="D286" s="0" t="str">
        <f aca="false">IFERROR(INDEX('Materials Master'!$B$2:$B$27,MATCH($C286,'Materials Master'!$A$2:$A$27,0)),"")</f>
        <v>Snack Wrappers (Composites)</v>
      </c>
      <c r="E286" s="0" t="str">
        <f aca="false">IFERROR(INDEX('Materials Master'!$C$2:$C$27,MATCH($C286,'Materials Master'!$A$2:$A$27,0)),"")</f>
        <v>Other</v>
      </c>
      <c r="F286" s="0" t="n">
        <f aca="false">(SUMIFS(Fact_PreSortWeights!$E$2:$E$15,Fact_PreSortWeights!$C$2:$C$15,$A286,Fact_PreSortWeights!$B$2:$B$15,$B286,Fact_PreSortWeights!$F$2:$F$15,$C286))+(SUMIFS(Fact_SortedWeights!$E$2:$E$6,Fact_SortedWeights!$C$2:$C$6,$A286,Fact_SortedWeights!$B$2:$B$6,$B286,Fact_SortedWeights!$D$2:$D$6,$C286,Fact_SortedWeights!$L$2:$L$6,"Yes"))+IF((SUMIFS(Fact_SortedWeights!$E$2:$E$6,Fact_SortedWeights!$C$2:$C$6,$A286,Fact_SortedWeights!$B$2:$B$6,$B286,Fact_SortedWeights!$L$2:$L$6,"No"))=0,0,(SUMIFS(Fact_SortedWeights!$E$2:$E$6,Fact_SortedWeights!$C$2:$C$6,$A286,Fact_SortedWeights!$B$2:$B$6,$B286,Fact_SortedWeights!$D$2:$D$6,$C286,Fact_SortedWeights!$L$2:$L$6,"No"))/(SUMIFS(Fact_SortedWeights!$E$2:$E$6,Fact_SortedWeights!$C$2:$C$6,$A286,Fact_SortedWeights!$B$2:$B$6,$B286,Fact_SortedWeights!$L$2:$L$6,"No"))*((SUMIFS(Fact_PreSortWeights!$E$2:$E$15,Fact_PreSortWeights!$C$2:$C$15,$A286,Fact_PreSortWeights!$B$2:$B$15,$B286,Fact_PreSortWeights!$F$2:$F$15,""))-(SUMIFS(Fact_SortedWeights!$E$2:$E$6,Fact_SortedWeights!$C$2:$C$6,$A286,Fact_SortedWeights!$B$2:$B$6,$B286,Fact_SortedWeights!$L$2:$L$6,"Yes"))))</f>
        <v>0</v>
      </c>
      <c r="G286" s="0" t="n">
        <f aca="false">IF(AND(IF($B286="Trash",INDEX('Materials Master'!$F$2:$F$27,MATCH($C286,'Materials Master'!$A$2:$A$27,0)),IF($B286="GMPC Recycling",INDEX('Materials Master'!$G$2:$G$27,MATCH($C286,'Materials Master'!$A$2:$A$27,0)),IF($B286="Organics Recycling",INDEX('Materials Master'!$H$2:$H$27,MATCH($C286,'Materials Master'!$A$2:$A$27,0)),IF($B286="Cardboard Recycling",INDEX('Materials Master'!$I$2:$I$27,MATCH($C286,'Materials Master'!$A$2:$A$27,0)),IF($B286="Paper Recycling",INDEX('Materials Master'!$J$2:$J$27,MATCH($C286,'Materials Master'!$A$2:$A$27,0)),IF($B286="Terracycle",INDEX('Materials Master'!$K$2:$K$27,MATCH($C286,'Materials Master'!$A$2:$A$27,0)),"No"))))))="Yes",INDEX('Materials Master'!$E$2:$E$27,MATCH($C286,'Materials Master'!$A$2:$A$27,0))="Yes",$B286&lt;&gt;"Trash"),1,0)</f>
        <v>0</v>
      </c>
      <c r="H286" s="0" t="str">
        <f aca="false">INDEX('Materials Master'!$E$2:$E$27,MATCH($C286,'Materials Master'!$A$2:$A$27,0))</f>
        <v>Yes</v>
      </c>
      <c r="I286" s="0" t="str">
        <f aca="false">IFERROR(INDEX(Areas!$C$2:$C$6,MATCH($A286,Areas!$B$2:$B$6,0)),"")</f>
        <v>BOH</v>
      </c>
      <c r="J286" s="0" t="n">
        <f aca="false">IF(IF($B286="Trash",INDEX('Materials Master'!$F$2:$F$27,MATCH($C286,'Materials Master'!$A$2:$A$27,0)),IF($B286="GMPC Recycling",INDEX('Materials Master'!$G$2:$G$27,MATCH($C286,'Materials Master'!$A$2:$A$27,0)),IF($B286="Organics Recycling",INDEX('Materials Master'!$H$2:$H$27,MATCH($C286,'Materials Master'!$A$2:$A$27,0)),IF($B286="Cardboard Recycling",INDEX('Materials Master'!$I$2:$I$27,MATCH($C286,'Materials Master'!$A$2:$A$27,0)),IF($B286="Paper Recycling",INDEX('Materials Master'!$J$2:$J$27,MATCH($C286,'Materials Master'!$A$2:$A$27,0)),IF($B286="Terracycle",INDEX('Materials Master'!$K$2:$K$27,MATCH($C286,'Materials Master'!$A$2:$A$27,0)),"No"))))))="Yes",1,0)</f>
        <v>0</v>
      </c>
    </row>
    <row r="287" customFormat="false" ht="15" hidden="false" customHeight="false" outlineLevel="0" collapsed="false">
      <c r="A287" s="0" t="s">
        <v>94</v>
      </c>
      <c r="B287" s="0" t="s">
        <v>107</v>
      </c>
      <c r="C287" s="0" t="s">
        <v>85</v>
      </c>
      <c r="D287" s="0" t="str">
        <f aca="false">IFERROR(INDEX('Materials Master'!$B$2:$B$27,MATCH($C287,'Materials Master'!$A$2:$A$27,0)),"")</f>
        <v>Other/Residual Materials</v>
      </c>
      <c r="E287" s="0" t="str">
        <f aca="false">IFERROR(INDEX('Materials Master'!$C$2:$C$27,MATCH($C287,'Materials Master'!$A$2:$A$27,0)),"")</f>
        <v>Other</v>
      </c>
      <c r="F287" s="0" t="n">
        <f aca="false">(SUMIFS(Fact_PreSortWeights!$E$2:$E$15,Fact_PreSortWeights!$C$2:$C$15,$A287,Fact_PreSortWeights!$B$2:$B$15,$B287,Fact_PreSortWeights!$F$2:$F$15,$C287))+(SUMIFS(Fact_SortedWeights!$E$2:$E$6,Fact_SortedWeights!$C$2:$C$6,$A287,Fact_SortedWeights!$B$2:$B$6,$B287,Fact_SortedWeights!$D$2:$D$6,$C287,Fact_SortedWeights!$L$2:$L$6,"Yes"))+IF((SUMIFS(Fact_SortedWeights!$E$2:$E$6,Fact_SortedWeights!$C$2:$C$6,$A287,Fact_SortedWeights!$B$2:$B$6,$B287,Fact_SortedWeights!$L$2:$L$6,"No"))=0,0,(SUMIFS(Fact_SortedWeights!$E$2:$E$6,Fact_SortedWeights!$C$2:$C$6,$A287,Fact_SortedWeights!$B$2:$B$6,$B287,Fact_SortedWeights!$D$2:$D$6,$C287,Fact_SortedWeights!$L$2:$L$6,"No"))/(SUMIFS(Fact_SortedWeights!$E$2:$E$6,Fact_SortedWeights!$C$2:$C$6,$A287,Fact_SortedWeights!$B$2:$B$6,$B287,Fact_SortedWeights!$L$2:$L$6,"No"))*((SUMIFS(Fact_PreSortWeights!$E$2:$E$15,Fact_PreSortWeights!$C$2:$C$15,$A287,Fact_PreSortWeights!$B$2:$B$15,$B287,Fact_PreSortWeights!$F$2:$F$15,""))-(SUMIFS(Fact_SortedWeights!$E$2:$E$6,Fact_SortedWeights!$C$2:$C$6,$A287,Fact_SortedWeights!$B$2:$B$6,$B287,Fact_SortedWeights!$L$2:$L$6,"Yes"))))</f>
        <v>0</v>
      </c>
      <c r="G287" s="0" t="n">
        <f aca="false">IF(AND(IF($B287="Trash",INDEX('Materials Master'!$F$2:$F$27,MATCH($C287,'Materials Master'!$A$2:$A$27,0)),IF($B287="GMPC Recycling",INDEX('Materials Master'!$G$2:$G$27,MATCH($C287,'Materials Master'!$A$2:$A$27,0)),IF($B287="Organics Recycling",INDEX('Materials Master'!$H$2:$H$27,MATCH($C287,'Materials Master'!$A$2:$A$27,0)),IF($B287="Cardboard Recycling",INDEX('Materials Master'!$I$2:$I$27,MATCH($C287,'Materials Master'!$A$2:$A$27,0)),IF($B287="Paper Recycling",INDEX('Materials Master'!$J$2:$J$27,MATCH($C287,'Materials Master'!$A$2:$A$27,0)),IF($B287="Terracycle",INDEX('Materials Master'!$K$2:$K$27,MATCH($C287,'Materials Master'!$A$2:$A$27,0)),"No"))))))="Yes",INDEX('Materials Master'!$E$2:$E$27,MATCH($C287,'Materials Master'!$A$2:$A$27,0))="Yes",$B287&lt;&gt;"Trash"),1,0)</f>
        <v>0</v>
      </c>
      <c r="H287" s="0" t="str">
        <f aca="false">INDEX('Materials Master'!$E$2:$E$27,MATCH($C287,'Materials Master'!$A$2:$A$27,0))</f>
        <v>No</v>
      </c>
      <c r="I287" s="0" t="str">
        <f aca="false">IFERROR(INDEX(Areas!$C$2:$C$6,MATCH($A287,Areas!$B$2:$B$6,0)),"")</f>
        <v>BOH</v>
      </c>
      <c r="J287" s="0" t="n">
        <f aca="false">IF(IF($B287="Trash",INDEX('Materials Master'!$F$2:$F$27,MATCH($C287,'Materials Master'!$A$2:$A$27,0)),IF($B287="GMPC Recycling",INDEX('Materials Master'!$G$2:$G$27,MATCH($C287,'Materials Master'!$A$2:$A$27,0)),IF($B287="Organics Recycling",INDEX('Materials Master'!$H$2:$H$27,MATCH($C287,'Materials Master'!$A$2:$A$27,0)),IF($B287="Cardboard Recycling",INDEX('Materials Master'!$I$2:$I$27,MATCH($C287,'Materials Master'!$A$2:$A$27,0)),IF($B287="Paper Recycling",INDEX('Materials Master'!$J$2:$J$27,MATCH($C287,'Materials Master'!$A$2:$A$27,0)),IF($B287="Terracycle",INDEX('Materials Master'!$K$2:$K$27,MATCH($C287,'Materials Master'!$A$2:$A$27,0)),"No"))))))="Yes",1,0)</f>
        <v>0</v>
      </c>
    </row>
    <row r="288" customFormat="false" ht="15" hidden="false" customHeight="false" outlineLevel="0" collapsed="false">
      <c r="A288" s="0" t="s">
        <v>94</v>
      </c>
      <c r="B288" s="0" t="s">
        <v>108</v>
      </c>
      <c r="C288" s="0" t="s">
        <v>26</v>
      </c>
      <c r="D288" s="0" t="str">
        <f aca="false">IFERROR(INDEX('Materials Master'!$B$2:$B$27,MATCH($C288,'Materials Master'!$A$2:$A$27,0)),"")</f>
        <v>Corrugated Cardboard</v>
      </c>
      <c r="E288" s="0" t="str">
        <f aca="false">IFERROR(INDEX('Materials Master'!$C$2:$C$27,MATCH($C288,'Materials Master'!$A$2:$A$27,0)),"")</f>
        <v>Fibers</v>
      </c>
      <c r="F288" s="0" t="n">
        <f aca="false">(SUMIFS(Fact_PreSortWeights!$E$2:$E$15,Fact_PreSortWeights!$C$2:$C$15,$A288,Fact_PreSortWeights!$B$2:$B$15,$B288,Fact_PreSortWeights!$F$2:$F$15,$C288))+(SUMIFS(Fact_SortedWeights!$E$2:$E$6,Fact_SortedWeights!$C$2:$C$6,$A288,Fact_SortedWeights!$B$2:$B$6,$B288,Fact_SortedWeights!$D$2:$D$6,$C288,Fact_SortedWeights!$L$2:$L$6,"Yes"))+IF((SUMIFS(Fact_SortedWeights!$E$2:$E$6,Fact_SortedWeights!$C$2:$C$6,$A288,Fact_SortedWeights!$B$2:$B$6,$B288,Fact_SortedWeights!$L$2:$L$6,"No"))=0,0,(SUMIFS(Fact_SortedWeights!$E$2:$E$6,Fact_SortedWeights!$C$2:$C$6,$A288,Fact_SortedWeights!$B$2:$B$6,$B288,Fact_SortedWeights!$D$2:$D$6,$C288,Fact_SortedWeights!$L$2:$L$6,"No"))/(SUMIFS(Fact_SortedWeights!$E$2:$E$6,Fact_SortedWeights!$C$2:$C$6,$A288,Fact_SortedWeights!$B$2:$B$6,$B288,Fact_SortedWeights!$L$2:$L$6,"No"))*((SUMIFS(Fact_PreSortWeights!$E$2:$E$15,Fact_PreSortWeights!$C$2:$C$15,$A288,Fact_PreSortWeights!$B$2:$B$15,$B288,Fact_PreSortWeights!$F$2:$F$15,""))-(SUMIFS(Fact_SortedWeights!$E$2:$E$6,Fact_SortedWeights!$C$2:$C$6,$A288,Fact_SortedWeights!$B$2:$B$6,$B288,Fact_SortedWeights!$L$2:$L$6,"Yes"))))</f>
        <v>0</v>
      </c>
      <c r="G288" s="0" t="n">
        <f aca="false">IF(AND(IF($B288="Trash",INDEX('Materials Master'!$F$2:$F$27,MATCH($C288,'Materials Master'!$A$2:$A$27,0)),IF($B288="GMPC Recycling",INDEX('Materials Master'!$G$2:$G$27,MATCH($C288,'Materials Master'!$A$2:$A$27,0)),IF($B288="Organics Recycling",INDEX('Materials Master'!$H$2:$H$27,MATCH($C288,'Materials Master'!$A$2:$A$27,0)),IF($B288="Cardboard Recycling",INDEX('Materials Master'!$I$2:$I$27,MATCH($C288,'Materials Master'!$A$2:$A$27,0)),IF($B288="Paper Recycling",INDEX('Materials Master'!$J$2:$J$27,MATCH($C288,'Materials Master'!$A$2:$A$27,0)),IF($B288="Terracycle",INDEX('Materials Master'!$K$2:$K$27,MATCH($C288,'Materials Master'!$A$2:$A$27,0)),"No"))))))="Yes",INDEX('Materials Master'!$E$2:$E$27,MATCH($C288,'Materials Master'!$A$2:$A$27,0))="Yes",$B288&lt;&gt;"Trash"),1,0)</f>
        <v>0</v>
      </c>
      <c r="H288" s="0" t="str">
        <f aca="false">INDEX('Materials Master'!$E$2:$E$27,MATCH($C288,'Materials Master'!$A$2:$A$27,0))</f>
        <v>Yes</v>
      </c>
      <c r="I288" s="0" t="str">
        <f aca="false">IFERROR(INDEX(Areas!$C$2:$C$6,MATCH($A288,Areas!$B$2:$B$6,0)),"")</f>
        <v>BOH</v>
      </c>
      <c r="J288" s="0" t="n">
        <f aca="false">IF(IF($B288="Trash",INDEX('Materials Master'!$F$2:$F$27,MATCH($C288,'Materials Master'!$A$2:$A$27,0)),IF($B288="GMPC Recycling",INDEX('Materials Master'!$G$2:$G$27,MATCH($C288,'Materials Master'!$A$2:$A$27,0)),IF($B288="Organics Recycling",INDEX('Materials Master'!$H$2:$H$27,MATCH($C288,'Materials Master'!$A$2:$A$27,0)),IF($B288="Cardboard Recycling",INDEX('Materials Master'!$I$2:$I$27,MATCH($C288,'Materials Master'!$A$2:$A$27,0)),IF($B288="Paper Recycling",INDEX('Materials Master'!$J$2:$J$27,MATCH($C288,'Materials Master'!$A$2:$A$27,0)),IF($B288="Terracycle",INDEX('Materials Master'!$K$2:$K$27,MATCH($C288,'Materials Master'!$A$2:$A$27,0)),"No"))))))="Yes",1,0)</f>
        <v>0</v>
      </c>
    </row>
    <row r="289" customFormat="false" ht="15" hidden="false" customHeight="false" outlineLevel="0" collapsed="false">
      <c r="A289" s="0" t="s">
        <v>94</v>
      </c>
      <c r="B289" s="0" t="s">
        <v>108</v>
      </c>
      <c r="C289" s="0" t="s">
        <v>31</v>
      </c>
      <c r="D289" s="0" t="str">
        <f aca="false">IFERROR(INDEX('Materials Master'!$B$2:$B$27,MATCH($C289,'Materials Master'!$A$2:$A$27,0)),"")</f>
        <v>Soiled Cardboard</v>
      </c>
      <c r="E289" s="0" t="str">
        <f aca="false">IFERROR(INDEX('Materials Master'!$C$2:$C$27,MATCH($C289,'Materials Master'!$A$2:$A$27,0)),"")</f>
        <v>Fibers</v>
      </c>
      <c r="F289" s="0" t="n">
        <f aca="false">(SUMIFS(Fact_PreSortWeights!$E$2:$E$15,Fact_PreSortWeights!$C$2:$C$15,$A289,Fact_PreSortWeights!$B$2:$B$15,$B289,Fact_PreSortWeights!$F$2:$F$15,$C289))+(SUMIFS(Fact_SortedWeights!$E$2:$E$6,Fact_SortedWeights!$C$2:$C$6,$A289,Fact_SortedWeights!$B$2:$B$6,$B289,Fact_SortedWeights!$D$2:$D$6,$C289,Fact_SortedWeights!$L$2:$L$6,"Yes"))+IF((SUMIFS(Fact_SortedWeights!$E$2:$E$6,Fact_SortedWeights!$C$2:$C$6,$A289,Fact_SortedWeights!$B$2:$B$6,$B289,Fact_SortedWeights!$L$2:$L$6,"No"))=0,0,(SUMIFS(Fact_SortedWeights!$E$2:$E$6,Fact_SortedWeights!$C$2:$C$6,$A289,Fact_SortedWeights!$B$2:$B$6,$B289,Fact_SortedWeights!$D$2:$D$6,$C289,Fact_SortedWeights!$L$2:$L$6,"No"))/(SUMIFS(Fact_SortedWeights!$E$2:$E$6,Fact_SortedWeights!$C$2:$C$6,$A289,Fact_SortedWeights!$B$2:$B$6,$B289,Fact_SortedWeights!$L$2:$L$6,"No"))*((SUMIFS(Fact_PreSortWeights!$E$2:$E$15,Fact_PreSortWeights!$C$2:$C$15,$A289,Fact_PreSortWeights!$B$2:$B$15,$B289,Fact_PreSortWeights!$F$2:$F$15,""))-(SUMIFS(Fact_SortedWeights!$E$2:$E$6,Fact_SortedWeights!$C$2:$C$6,$A289,Fact_SortedWeights!$B$2:$B$6,$B289,Fact_SortedWeights!$L$2:$L$6,"Yes"))))</f>
        <v>0</v>
      </c>
      <c r="G289" s="0" t="n">
        <f aca="false">IF(AND(IF($B289="Trash",INDEX('Materials Master'!$F$2:$F$27,MATCH($C289,'Materials Master'!$A$2:$A$27,0)),IF($B289="GMPC Recycling",INDEX('Materials Master'!$G$2:$G$27,MATCH($C289,'Materials Master'!$A$2:$A$27,0)),IF($B289="Organics Recycling",INDEX('Materials Master'!$H$2:$H$27,MATCH($C289,'Materials Master'!$A$2:$A$27,0)),IF($B289="Cardboard Recycling",INDEX('Materials Master'!$I$2:$I$27,MATCH($C289,'Materials Master'!$A$2:$A$27,0)),IF($B289="Paper Recycling",INDEX('Materials Master'!$J$2:$J$27,MATCH($C289,'Materials Master'!$A$2:$A$27,0)),IF($B289="Terracycle",INDEX('Materials Master'!$K$2:$K$27,MATCH($C289,'Materials Master'!$A$2:$A$27,0)),"No"))))))="Yes",INDEX('Materials Master'!$E$2:$E$27,MATCH($C289,'Materials Master'!$A$2:$A$27,0))="Yes",$B289&lt;&gt;"Trash"),1,0)</f>
        <v>0</v>
      </c>
      <c r="H289" s="0" t="str">
        <f aca="false">INDEX('Materials Master'!$E$2:$E$27,MATCH($C289,'Materials Master'!$A$2:$A$27,0))</f>
        <v>No</v>
      </c>
      <c r="I289" s="0" t="str">
        <f aca="false">IFERROR(INDEX(Areas!$C$2:$C$6,MATCH($A289,Areas!$B$2:$B$6,0)),"")</f>
        <v>BOH</v>
      </c>
      <c r="J289" s="0" t="n">
        <f aca="false">IF(IF($B289="Trash",INDEX('Materials Master'!$F$2:$F$27,MATCH($C289,'Materials Master'!$A$2:$A$27,0)),IF($B289="GMPC Recycling",INDEX('Materials Master'!$G$2:$G$27,MATCH($C289,'Materials Master'!$A$2:$A$27,0)),IF($B289="Organics Recycling",INDEX('Materials Master'!$H$2:$H$27,MATCH($C289,'Materials Master'!$A$2:$A$27,0)),IF($B289="Cardboard Recycling",INDEX('Materials Master'!$I$2:$I$27,MATCH($C289,'Materials Master'!$A$2:$A$27,0)),IF($B289="Paper Recycling",INDEX('Materials Master'!$J$2:$J$27,MATCH($C289,'Materials Master'!$A$2:$A$27,0)),IF($B289="Terracycle",INDEX('Materials Master'!$K$2:$K$27,MATCH($C289,'Materials Master'!$A$2:$A$27,0)),"No"))))))="Yes",1,0)</f>
        <v>0</v>
      </c>
    </row>
    <row r="290" customFormat="false" ht="15" hidden="false" customHeight="false" outlineLevel="0" collapsed="false">
      <c r="A290" s="0" t="s">
        <v>94</v>
      </c>
      <c r="B290" s="0" t="s">
        <v>108</v>
      </c>
      <c r="C290" s="0" t="s">
        <v>33</v>
      </c>
      <c r="D290" s="0" t="str">
        <f aca="false">IFERROR(INDEX('Materials Master'!$B$2:$B$27,MATCH($C290,'Materials Master'!$A$2:$A$27,0)),"")</f>
        <v>Waxed Cardboard</v>
      </c>
      <c r="E290" s="0" t="str">
        <f aca="false">IFERROR(INDEX('Materials Master'!$C$2:$C$27,MATCH($C290,'Materials Master'!$A$2:$A$27,0)),"")</f>
        <v>Fibers</v>
      </c>
      <c r="F290" s="0" t="n">
        <f aca="false">(SUMIFS(Fact_PreSortWeights!$E$2:$E$15,Fact_PreSortWeights!$C$2:$C$15,$A290,Fact_PreSortWeights!$B$2:$B$15,$B290,Fact_PreSortWeights!$F$2:$F$15,$C290))+(SUMIFS(Fact_SortedWeights!$E$2:$E$6,Fact_SortedWeights!$C$2:$C$6,$A290,Fact_SortedWeights!$B$2:$B$6,$B290,Fact_SortedWeights!$D$2:$D$6,$C290,Fact_SortedWeights!$L$2:$L$6,"Yes"))+IF((SUMIFS(Fact_SortedWeights!$E$2:$E$6,Fact_SortedWeights!$C$2:$C$6,$A290,Fact_SortedWeights!$B$2:$B$6,$B290,Fact_SortedWeights!$L$2:$L$6,"No"))=0,0,(SUMIFS(Fact_SortedWeights!$E$2:$E$6,Fact_SortedWeights!$C$2:$C$6,$A290,Fact_SortedWeights!$B$2:$B$6,$B290,Fact_SortedWeights!$D$2:$D$6,$C290,Fact_SortedWeights!$L$2:$L$6,"No"))/(SUMIFS(Fact_SortedWeights!$E$2:$E$6,Fact_SortedWeights!$C$2:$C$6,$A290,Fact_SortedWeights!$B$2:$B$6,$B290,Fact_SortedWeights!$L$2:$L$6,"No"))*((SUMIFS(Fact_PreSortWeights!$E$2:$E$15,Fact_PreSortWeights!$C$2:$C$15,$A290,Fact_PreSortWeights!$B$2:$B$15,$B290,Fact_PreSortWeights!$F$2:$F$15,""))-(SUMIFS(Fact_SortedWeights!$E$2:$E$6,Fact_SortedWeights!$C$2:$C$6,$A290,Fact_SortedWeights!$B$2:$B$6,$B290,Fact_SortedWeights!$L$2:$L$6,"Yes"))))</f>
        <v>0</v>
      </c>
      <c r="G290" s="0" t="n">
        <f aca="false">IF(AND(IF($B290="Trash",INDEX('Materials Master'!$F$2:$F$27,MATCH($C290,'Materials Master'!$A$2:$A$27,0)),IF($B290="GMPC Recycling",INDEX('Materials Master'!$G$2:$G$27,MATCH($C290,'Materials Master'!$A$2:$A$27,0)),IF($B290="Organics Recycling",INDEX('Materials Master'!$H$2:$H$27,MATCH($C290,'Materials Master'!$A$2:$A$27,0)),IF($B290="Cardboard Recycling",INDEX('Materials Master'!$I$2:$I$27,MATCH($C290,'Materials Master'!$A$2:$A$27,0)),IF($B290="Paper Recycling",INDEX('Materials Master'!$J$2:$J$27,MATCH($C290,'Materials Master'!$A$2:$A$27,0)),IF($B290="Terracycle",INDEX('Materials Master'!$K$2:$K$27,MATCH($C290,'Materials Master'!$A$2:$A$27,0)),"No"))))))="Yes",INDEX('Materials Master'!$E$2:$E$27,MATCH($C290,'Materials Master'!$A$2:$A$27,0))="Yes",$B290&lt;&gt;"Trash"),1,0)</f>
        <v>0</v>
      </c>
      <c r="H290" s="0" t="str">
        <f aca="false">INDEX('Materials Master'!$E$2:$E$27,MATCH($C290,'Materials Master'!$A$2:$A$27,0))</f>
        <v>No</v>
      </c>
      <c r="I290" s="0" t="str">
        <f aca="false">IFERROR(INDEX(Areas!$C$2:$C$6,MATCH($A290,Areas!$B$2:$B$6,0)),"")</f>
        <v>BOH</v>
      </c>
      <c r="J290" s="0" t="n">
        <f aca="false">IF(IF($B290="Trash",INDEX('Materials Master'!$F$2:$F$27,MATCH($C290,'Materials Master'!$A$2:$A$27,0)),IF($B290="GMPC Recycling",INDEX('Materials Master'!$G$2:$G$27,MATCH($C290,'Materials Master'!$A$2:$A$27,0)),IF($B290="Organics Recycling",INDEX('Materials Master'!$H$2:$H$27,MATCH($C290,'Materials Master'!$A$2:$A$27,0)),IF($B290="Cardboard Recycling",INDEX('Materials Master'!$I$2:$I$27,MATCH($C290,'Materials Master'!$A$2:$A$27,0)),IF($B290="Paper Recycling",INDEX('Materials Master'!$J$2:$J$27,MATCH($C290,'Materials Master'!$A$2:$A$27,0)),IF($B290="Terracycle",INDEX('Materials Master'!$K$2:$K$27,MATCH($C290,'Materials Master'!$A$2:$A$27,0)),"No"))))))="Yes",1,0)</f>
        <v>0</v>
      </c>
    </row>
    <row r="291" customFormat="false" ht="15" hidden="false" customHeight="false" outlineLevel="0" collapsed="false">
      <c r="A291" s="0" t="s">
        <v>94</v>
      </c>
      <c r="B291" s="0" t="s">
        <v>108</v>
      </c>
      <c r="C291" s="0" t="s">
        <v>35</v>
      </c>
      <c r="D291" s="0" t="str">
        <f aca="false">IFERROR(INDEX('Materials Master'!$B$2:$B$27,MATCH($C291,'Materials Master'!$A$2:$A$27,0)),"")</f>
        <v>Mixed Paper</v>
      </c>
      <c r="E291" s="0" t="str">
        <f aca="false">IFERROR(INDEX('Materials Master'!$C$2:$C$27,MATCH($C291,'Materials Master'!$A$2:$A$27,0)),"")</f>
        <v>Fibers</v>
      </c>
      <c r="F291" s="0" t="n">
        <f aca="false">(SUMIFS(Fact_PreSortWeights!$E$2:$E$15,Fact_PreSortWeights!$C$2:$C$15,$A291,Fact_PreSortWeights!$B$2:$B$15,$B291,Fact_PreSortWeights!$F$2:$F$15,$C291))+(SUMIFS(Fact_SortedWeights!$E$2:$E$6,Fact_SortedWeights!$C$2:$C$6,$A291,Fact_SortedWeights!$B$2:$B$6,$B291,Fact_SortedWeights!$D$2:$D$6,$C291,Fact_SortedWeights!$L$2:$L$6,"Yes"))+IF((SUMIFS(Fact_SortedWeights!$E$2:$E$6,Fact_SortedWeights!$C$2:$C$6,$A291,Fact_SortedWeights!$B$2:$B$6,$B291,Fact_SortedWeights!$L$2:$L$6,"No"))=0,0,(SUMIFS(Fact_SortedWeights!$E$2:$E$6,Fact_SortedWeights!$C$2:$C$6,$A291,Fact_SortedWeights!$B$2:$B$6,$B291,Fact_SortedWeights!$D$2:$D$6,$C291,Fact_SortedWeights!$L$2:$L$6,"No"))/(SUMIFS(Fact_SortedWeights!$E$2:$E$6,Fact_SortedWeights!$C$2:$C$6,$A291,Fact_SortedWeights!$B$2:$B$6,$B291,Fact_SortedWeights!$L$2:$L$6,"No"))*((SUMIFS(Fact_PreSortWeights!$E$2:$E$15,Fact_PreSortWeights!$C$2:$C$15,$A291,Fact_PreSortWeights!$B$2:$B$15,$B291,Fact_PreSortWeights!$F$2:$F$15,""))-(SUMIFS(Fact_SortedWeights!$E$2:$E$6,Fact_SortedWeights!$C$2:$C$6,$A291,Fact_SortedWeights!$B$2:$B$6,$B291,Fact_SortedWeights!$L$2:$L$6,"Yes"))))</f>
        <v>0</v>
      </c>
      <c r="G291" s="0" t="n">
        <f aca="false">IF(AND(IF($B291="Trash",INDEX('Materials Master'!$F$2:$F$27,MATCH($C291,'Materials Master'!$A$2:$A$27,0)),IF($B291="GMPC Recycling",INDEX('Materials Master'!$G$2:$G$27,MATCH($C291,'Materials Master'!$A$2:$A$27,0)),IF($B291="Organics Recycling",INDEX('Materials Master'!$H$2:$H$27,MATCH($C291,'Materials Master'!$A$2:$A$27,0)),IF($B291="Cardboard Recycling",INDEX('Materials Master'!$I$2:$I$27,MATCH($C291,'Materials Master'!$A$2:$A$27,0)),IF($B291="Paper Recycling",INDEX('Materials Master'!$J$2:$J$27,MATCH($C291,'Materials Master'!$A$2:$A$27,0)),IF($B291="Terracycle",INDEX('Materials Master'!$K$2:$K$27,MATCH($C291,'Materials Master'!$A$2:$A$27,0)),"No"))))))="Yes",INDEX('Materials Master'!$E$2:$E$27,MATCH($C291,'Materials Master'!$A$2:$A$27,0))="Yes",$B291&lt;&gt;"Trash"),1,0)</f>
        <v>0</v>
      </c>
      <c r="H291" s="0" t="str">
        <f aca="false">INDEX('Materials Master'!$E$2:$E$27,MATCH($C291,'Materials Master'!$A$2:$A$27,0))</f>
        <v>Yes</v>
      </c>
      <c r="I291" s="0" t="str">
        <f aca="false">IFERROR(INDEX(Areas!$C$2:$C$6,MATCH($A291,Areas!$B$2:$B$6,0)),"")</f>
        <v>BOH</v>
      </c>
      <c r="J291" s="0" t="n">
        <f aca="false">IF(IF($B291="Trash",INDEX('Materials Master'!$F$2:$F$27,MATCH($C291,'Materials Master'!$A$2:$A$27,0)),IF($B291="GMPC Recycling",INDEX('Materials Master'!$G$2:$G$27,MATCH($C291,'Materials Master'!$A$2:$A$27,0)),IF($B291="Organics Recycling",INDEX('Materials Master'!$H$2:$H$27,MATCH($C291,'Materials Master'!$A$2:$A$27,0)),IF($B291="Cardboard Recycling",INDEX('Materials Master'!$I$2:$I$27,MATCH($C291,'Materials Master'!$A$2:$A$27,0)),IF($B291="Paper Recycling",INDEX('Materials Master'!$J$2:$J$27,MATCH($C291,'Materials Master'!$A$2:$A$27,0)),IF($B291="Terracycle",INDEX('Materials Master'!$K$2:$K$27,MATCH($C291,'Materials Master'!$A$2:$A$27,0)),"No"))))))="Yes",1,0)</f>
        <v>0</v>
      </c>
    </row>
    <row r="292" customFormat="false" ht="15" hidden="false" customHeight="false" outlineLevel="0" collapsed="false">
      <c r="A292" s="0" t="s">
        <v>94</v>
      </c>
      <c r="B292" s="0" t="s">
        <v>108</v>
      </c>
      <c r="C292" s="0" t="s">
        <v>37</v>
      </c>
      <c r="D292" s="0" t="str">
        <f aca="false">IFERROR(INDEX('Materials Master'!$B$2:$B$27,MATCH($C292,'Materials Master'!$A$2:$A$27,0)),"")</f>
        <v>Soiled Paper</v>
      </c>
      <c r="E292" s="0" t="str">
        <f aca="false">IFERROR(INDEX('Materials Master'!$C$2:$C$27,MATCH($C292,'Materials Master'!$A$2:$A$27,0)),"")</f>
        <v>Fibers</v>
      </c>
      <c r="F292" s="0" t="n">
        <f aca="false">(SUMIFS(Fact_PreSortWeights!$E$2:$E$15,Fact_PreSortWeights!$C$2:$C$15,$A292,Fact_PreSortWeights!$B$2:$B$15,$B292,Fact_PreSortWeights!$F$2:$F$15,$C292))+(SUMIFS(Fact_SortedWeights!$E$2:$E$6,Fact_SortedWeights!$C$2:$C$6,$A292,Fact_SortedWeights!$B$2:$B$6,$B292,Fact_SortedWeights!$D$2:$D$6,$C292,Fact_SortedWeights!$L$2:$L$6,"Yes"))+IF((SUMIFS(Fact_SortedWeights!$E$2:$E$6,Fact_SortedWeights!$C$2:$C$6,$A292,Fact_SortedWeights!$B$2:$B$6,$B292,Fact_SortedWeights!$L$2:$L$6,"No"))=0,0,(SUMIFS(Fact_SortedWeights!$E$2:$E$6,Fact_SortedWeights!$C$2:$C$6,$A292,Fact_SortedWeights!$B$2:$B$6,$B292,Fact_SortedWeights!$D$2:$D$6,$C292,Fact_SortedWeights!$L$2:$L$6,"No"))/(SUMIFS(Fact_SortedWeights!$E$2:$E$6,Fact_SortedWeights!$C$2:$C$6,$A292,Fact_SortedWeights!$B$2:$B$6,$B292,Fact_SortedWeights!$L$2:$L$6,"No"))*((SUMIFS(Fact_PreSortWeights!$E$2:$E$15,Fact_PreSortWeights!$C$2:$C$15,$A292,Fact_PreSortWeights!$B$2:$B$15,$B292,Fact_PreSortWeights!$F$2:$F$15,""))-(SUMIFS(Fact_SortedWeights!$E$2:$E$6,Fact_SortedWeights!$C$2:$C$6,$A292,Fact_SortedWeights!$B$2:$B$6,$B292,Fact_SortedWeights!$L$2:$L$6,"Yes"))))</f>
        <v>0</v>
      </c>
      <c r="G292" s="0" t="n">
        <f aca="false">IF(AND(IF($B292="Trash",INDEX('Materials Master'!$F$2:$F$27,MATCH($C292,'Materials Master'!$A$2:$A$27,0)),IF($B292="GMPC Recycling",INDEX('Materials Master'!$G$2:$G$27,MATCH($C292,'Materials Master'!$A$2:$A$27,0)),IF($B292="Organics Recycling",INDEX('Materials Master'!$H$2:$H$27,MATCH($C292,'Materials Master'!$A$2:$A$27,0)),IF($B292="Cardboard Recycling",INDEX('Materials Master'!$I$2:$I$27,MATCH($C292,'Materials Master'!$A$2:$A$27,0)),IF($B292="Paper Recycling",INDEX('Materials Master'!$J$2:$J$27,MATCH($C292,'Materials Master'!$A$2:$A$27,0)),IF($B292="Terracycle",INDEX('Materials Master'!$K$2:$K$27,MATCH($C292,'Materials Master'!$A$2:$A$27,0)),"No"))))))="Yes",INDEX('Materials Master'!$E$2:$E$27,MATCH($C292,'Materials Master'!$A$2:$A$27,0))="Yes",$B292&lt;&gt;"Trash"),1,0)</f>
        <v>0</v>
      </c>
      <c r="H292" s="0" t="str">
        <f aca="false">INDEX('Materials Master'!$E$2:$E$27,MATCH($C292,'Materials Master'!$A$2:$A$27,0))</f>
        <v>No</v>
      </c>
      <c r="I292" s="0" t="str">
        <f aca="false">IFERROR(INDEX(Areas!$C$2:$C$6,MATCH($A292,Areas!$B$2:$B$6,0)),"")</f>
        <v>BOH</v>
      </c>
      <c r="J292" s="0" t="n">
        <f aca="false">IF(IF($B292="Trash",INDEX('Materials Master'!$F$2:$F$27,MATCH($C292,'Materials Master'!$A$2:$A$27,0)),IF($B292="GMPC Recycling",INDEX('Materials Master'!$G$2:$G$27,MATCH($C292,'Materials Master'!$A$2:$A$27,0)),IF($B292="Organics Recycling",INDEX('Materials Master'!$H$2:$H$27,MATCH($C292,'Materials Master'!$A$2:$A$27,0)),IF($B292="Cardboard Recycling",INDEX('Materials Master'!$I$2:$I$27,MATCH($C292,'Materials Master'!$A$2:$A$27,0)),IF($B292="Paper Recycling",INDEX('Materials Master'!$J$2:$J$27,MATCH($C292,'Materials Master'!$A$2:$A$27,0)),IF($B292="Terracycle",INDEX('Materials Master'!$K$2:$K$27,MATCH($C292,'Materials Master'!$A$2:$A$27,0)),"No"))))))="Yes",1,0)</f>
        <v>0</v>
      </c>
    </row>
    <row r="293" customFormat="false" ht="15" hidden="false" customHeight="false" outlineLevel="0" collapsed="false">
      <c r="A293" s="0" t="s">
        <v>94</v>
      </c>
      <c r="B293" s="0" t="s">
        <v>108</v>
      </c>
      <c r="C293" s="0" t="s">
        <v>39</v>
      </c>
      <c r="D293" s="0" t="str">
        <f aca="false">IFERROR(INDEX('Materials Master'!$B$2:$B$27,MATCH($C293,'Materials Master'!$A$2:$A$27,0)),"")</f>
        <v>Beverage Cartons</v>
      </c>
      <c r="E293" s="0" t="str">
        <f aca="false">IFERROR(INDEX('Materials Master'!$C$2:$C$27,MATCH($C293,'Materials Master'!$A$2:$A$27,0)),"")</f>
        <v>Fibers</v>
      </c>
      <c r="F293" s="0" t="n">
        <f aca="false">(SUMIFS(Fact_PreSortWeights!$E$2:$E$15,Fact_PreSortWeights!$C$2:$C$15,$A293,Fact_PreSortWeights!$B$2:$B$15,$B293,Fact_PreSortWeights!$F$2:$F$15,$C293))+(SUMIFS(Fact_SortedWeights!$E$2:$E$6,Fact_SortedWeights!$C$2:$C$6,$A293,Fact_SortedWeights!$B$2:$B$6,$B293,Fact_SortedWeights!$D$2:$D$6,$C293,Fact_SortedWeights!$L$2:$L$6,"Yes"))+IF((SUMIFS(Fact_SortedWeights!$E$2:$E$6,Fact_SortedWeights!$C$2:$C$6,$A293,Fact_SortedWeights!$B$2:$B$6,$B293,Fact_SortedWeights!$L$2:$L$6,"No"))=0,0,(SUMIFS(Fact_SortedWeights!$E$2:$E$6,Fact_SortedWeights!$C$2:$C$6,$A293,Fact_SortedWeights!$B$2:$B$6,$B293,Fact_SortedWeights!$D$2:$D$6,$C293,Fact_SortedWeights!$L$2:$L$6,"No"))/(SUMIFS(Fact_SortedWeights!$E$2:$E$6,Fact_SortedWeights!$C$2:$C$6,$A293,Fact_SortedWeights!$B$2:$B$6,$B293,Fact_SortedWeights!$L$2:$L$6,"No"))*((SUMIFS(Fact_PreSortWeights!$E$2:$E$15,Fact_PreSortWeights!$C$2:$C$15,$A293,Fact_PreSortWeights!$B$2:$B$15,$B293,Fact_PreSortWeights!$F$2:$F$15,""))-(SUMIFS(Fact_SortedWeights!$E$2:$E$6,Fact_SortedWeights!$C$2:$C$6,$A293,Fact_SortedWeights!$B$2:$B$6,$B293,Fact_SortedWeights!$L$2:$L$6,"Yes"))))</f>
        <v>0</v>
      </c>
      <c r="G293" s="0" t="n">
        <f aca="false">IF(AND(IF($B293="Trash",INDEX('Materials Master'!$F$2:$F$27,MATCH($C293,'Materials Master'!$A$2:$A$27,0)),IF($B293="GMPC Recycling",INDEX('Materials Master'!$G$2:$G$27,MATCH($C293,'Materials Master'!$A$2:$A$27,0)),IF($B293="Organics Recycling",INDEX('Materials Master'!$H$2:$H$27,MATCH($C293,'Materials Master'!$A$2:$A$27,0)),IF($B293="Cardboard Recycling",INDEX('Materials Master'!$I$2:$I$27,MATCH($C293,'Materials Master'!$A$2:$A$27,0)),IF($B293="Paper Recycling",INDEX('Materials Master'!$J$2:$J$27,MATCH($C293,'Materials Master'!$A$2:$A$27,0)),IF($B293="Terracycle",INDEX('Materials Master'!$K$2:$K$27,MATCH($C293,'Materials Master'!$A$2:$A$27,0)),"No"))))))="Yes",INDEX('Materials Master'!$E$2:$E$27,MATCH($C293,'Materials Master'!$A$2:$A$27,0))="Yes",$B293&lt;&gt;"Trash"),1,0)</f>
        <v>0</v>
      </c>
      <c r="H293" s="0" t="str">
        <f aca="false">INDEX('Materials Master'!$E$2:$E$27,MATCH($C293,'Materials Master'!$A$2:$A$27,0))</f>
        <v>Yes</v>
      </c>
      <c r="I293" s="0" t="str">
        <f aca="false">IFERROR(INDEX(Areas!$C$2:$C$6,MATCH($A293,Areas!$B$2:$B$6,0)),"")</f>
        <v>BOH</v>
      </c>
      <c r="J293" s="0" t="n">
        <f aca="false">IF(IF($B293="Trash",INDEX('Materials Master'!$F$2:$F$27,MATCH($C293,'Materials Master'!$A$2:$A$27,0)),IF($B293="GMPC Recycling",INDEX('Materials Master'!$G$2:$G$27,MATCH($C293,'Materials Master'!$A$2:$A$27,0)),IF($B293="Organics Recycling",INDEX('Materials Master'!$H$2:$H$27,MATCH($C293,'Materials Master'!$A$2:$A$27,0)),IF($B293="Cardboard Recycling",INDEX('Materials Master'!$I$2:$I$27,MATCH($C293,'Materials Master'!$A$2:$A$27,0)),IF($B293="Paper Recycling",INDEX('Materials Master'!$J$2:$J$27,MATCH($C293,'Materials Master'!$A$2:$A$27,0)),IF($B293="Terracycle",INDEX('Materials Master'!$K$2:$K$27,MATCH($C293,'Materials Master'!$A$2:$A$27,0)),"No"))))))="Yes",1,0)</f>
        <v>0</v>
      </c>
    </row>
    <row r="294" customFormat="false" ht="15" hidden="false" customHeight="false" outlineLevel="0" collapsed="false">
      <c r="A294" s="0" t="s">
        <v>94</v>
      </c>
      <c r="B294" s="0" t="s">
        <v>108</v>
      </c>
      <c r="C294" s="0" t="s">
        <v>41</v>
      </c>
      <c r="D294" s="0" t="str">
        <f aca="false">IFERROR(INDEX('Materials Master'!$B$2:$B$27,MATCH($C294,'Materials Master'!$A$2:$A$27,0)),"")</f>
        <v>Soiled Beverage Cartons</v>
      </c>
      <c r="E294" s="0" t="str">
        <f aca="false">IFERROR(INDEX('Materials Master'!$C$2:$C$27,MATCH($C294,'Materials Master'!$A$2:$A$27,0)),"")</f>
        <v>Fibers</v>
      </c>
      <c r="F294" s="0" t="n">
        <f aca="false">(SUMIFS(Fact_PreSortWeights!$E$2:$E$15,Fact_PreSortWeights!$C$2:$C$15,$A294,Fact_PreSortWeights!$B$2:$B$15,$B294,Fact_PreSortWeights!$F$2:$F$15,$C294))+(SUMIFS(Fact_SortedWeights!$E$2:$E$6,Fact_SortedWeights!$C$2:$C$6,$A294,Fact_SortedWeights!$B$2:$B$6,$B294,Fact_SortedWeights!$D$2:$D$6,$C294,Fact_SortedWeights!$L$2:$L$6,"Yes"))+IF((SUMIFS(Fact_SortedWeights!$E$2:$E$6,Fact_SortedWeights!$C$2:$C$6,$A294,Fact_SortedWeights!$B$2:$B$6,$B294,Fact_SortedWeights!$L$2:$L$6,"No"))=0,0,(SUMIFS(Fact_SortedWeights!$E$2:$E$6,Fact_SortedWeights!$C$2:$C$6,$A294,Fact_SortedWeights!$B$2:$B$6,$B294,Fact_SortedWeights!$D$2:$D$6,$C294,Fact_SortedWeights!$L$2:$L$6,"No"))/(SUMIFS(Fact_SortedWeights!$E$2:$E$6,Fact_SortedWeights!$C$2:$C$6,$A294,Fact_SortedWeights!$B$2:$B$6,$B294,Fact_SortedWeights!$L$2:$L$6,"No"))*((SUMIFS(Fact_PreSortWeights!$E$2:$E$15,Fact_PreSortWeights!$C$2:$C$15,$A294,Fact_PreSortWeights!$B$2:$B$15,$B294,Fact_PreSortWeights!$F$2:$F$15,""))-(SUMIFS(Fact_SortedWeights!$E$2:$E$6,Fact_SortedWeights!$C$2:$C$6,$A294,Fact_SortedWeights!$B$2:$B$6,$B294,Fact_SortedWeights!$L$2:$L$6,"Yes"))))</f>
        <v>0</v>
      </c>
      <c r="G294" s="0" t="n">
        <f aca="false">IF(AND(IF($B294="Trash",INDEX('Materials Master'!$F$2:$F$27,MATCH($C294,'Materials Master'!$A$2:$A$27,0)),IF($B294="GMPC Recycling",INDEX('Materials Master'!$G$2:$G$27,MATCH($C294,'Materials Master'!$A$2:$A$27,0)),IF($B294="Organics Recycling",INDEX('Materials Master'!$H$2:$H$27,MATCH($C294,'Materials Master'!$A$2:$A$27,0)),IF($B294="Cardboard Recycling",INDEX('Materials Master'!$I$2:$I$27,MATCH($C294,'Materials Master'!$A$2:$A$27,0)),IF($B294="Paper Recycling",INDEX('Materials Master'!$J$2:$J$27,MATCH($C294,'Materials Master'!$A$2:$A$27,0)),IF($B294="Terracycle",INDEX('Materials Master'!$K$2:$K$27,MATCH($C294,'Materials Master'!$A$2:$A$27,0)),"No"))))))="Yes",INDEX('Materials Master'!$E$2:$E$27,MATCH($C294,'Materials Master'!$A$2:$A$27,0))="Yes",$B294&lt;&gt;"Trash"),1,0)</f>
        <v>0</v>
      </c>
      <c r="H294" s="0" t="str">
        <f aca="false">INDEX('Materials Master'!$E$2:$E$27,MATCH($C294,'Materials Master'!$A$2:$A$27,0))</f>
        <v>No</v>
      </c>
      <c r="I294" s="0" t="str">
        <f aca="false">IFERROR(INDEX(Areas!$C$2:$C$6,MATCH($A294,Areas!$B$2:$B$6,0)),"")</f>
        <v>BOH</v>
      </c>
      <c r="J294" s="0" t="n">
        <f aca="false">IF(IF($B294="Trash",INDEX('Materials Master'!$F$2:$F$27,MATCH($C294,'Materials Master'!$A$2:$A$27,0)),IF($B294="GMPC Recycling",INDEX('Materials Master'!$G$2:$G$27,MATCH($C294,'Materials Master'!$A$2:$A$27,0)),IF($B294="Organics Recycling",INDEX('Materials Master'!$H$2:$H$27,MATCH($C294,'Materials Master'!$A$2:$A$27,0)),IF($B294="Cardboard Recycling",INDEX('Materials Master'!$I$2:$I$27,MATCH($C294,'Materials Master'!$A$2:$A$27,0)),IF($B294="Paper Recycling",INDEX('Materials Master'!$J$2:$J$27,MATCH($C294,'Materials Master'!$A$2:$A$27,0)),IF($B294="Terracycle",INDEX('Materials Master'!$K$2:$K$27,MATCH($C294,'Materials Master'!$A$2:$A$27,0)),"No"))))))="Yes",1,0)</f>
        <v>0</v>
      </c>
    </row>
    <row r="295" customFormat="false" ht="15" hidden="false" customHeight="false" outlineLevel="0" collapsed="false">
      <c r="A295" s="0" t="s">
        <v>94</v>
      </c>
      <c r="B295" s="0" t="s">
        <v>108</v>
      </c>
      <c r="C295" s="0" t="s">
        <v>43</v>
      </c>
      <c r="D295" s="0" t="str">
        <f aca="false">IFERROR(INDEX('Materials Master'!$B$2:$B$27,MATCH($C295,'Materials Master'!$A$2:$A$27,0)),"")</f>
        <v>Paper Cups / Other Coated Paper Containers</v>
      </c>
      <c r="E295" s="0" t="str">
        <f aca="false">IFERROR(INDEX('Materials Master'!$C$2:$C$27,MATCH($C295,'Materials Master'!$A$2:$A$27,0)),"")</f>
        <v>Fibers</v>
      </c>
      <c r="F295" s="0" t="n">
        <f aca="false">(SUMIFS(Fact_PreSortWeights!$E$2:$E$15,Fact_PreSortWeights!$C$2:$C$15,$A295,Fact_PreSortWeights!$B$2:$B$15,$B295,Fact_PreSortWeights!$F$2:$F$15,$C295))+(SUMIFS(Fact_SortedWeights!$E$2:$E$6,Fact_SortedWeights!$C$2:$C$6,$A295,Fact_SortedWeights!$B$2:$B$6,$B295,Fact_SortedWeights!$D$2:$D$6,$C295,Fact_SortedWeights!$L$2:$L$6,"Yes"))+IF((SUMIFS(Fact_SortedWeights!$E$2:$E$6,Fact_SortedWeights!$C$2:$C$6,$A295,Fact_SortedWeights!$B$2:$B$6,$B295,Fact_SortedWeights!$L$2:$L$6,"No"))=0,0,(SUMIFS(Fact_SortedWeights!$E$2:$E$6,Fact_SortedWeights!$C$2:$C$6,$A295,Fact_SortedWeights!$B$2:$B$6,$B295,Fact_SortedWeights!$D$2:$D$6,$C295,Fact_SortedWeights!$L$2:$L$6,"No"))/(SUMIFS(Fact_SortedWeights!$E$2:$E$6,Fact_SortedWeights!$C$2:$C$6,$A295,Fact_SortedWeights!$B$2:$B$6,$B295,Fact_SortedWeights!$L$2:$L$6,"No"))*((SUMIFS(Fact_PreSortWeights!$E$2:$E$15,Fact_PreSortWeights!$C$2:$C$15,$A295,Fact_PreSortWeights!$B$2:$B$15,$B295,Fact_PreSortWeights!$F$2:$F$15,""))-(SUMIFS(Fact_SortedWeights!$E$2:$E$6,Fact_SortedWeights!$C$2:$C$6,$A295,Fact_SortedWeights!$B$2:$B$6,$B295,Fact_SortedWeights!$L$2:$L$6,"Yes"))))</f>
        <v>0</v>
      </c>
      <c r="G295" s="0" t="n">
        <f aca="false">IF(AND(IF($B295="Trash",INDEX('Materials Master'!$F$2:$F$27,MATCH($C295,'Materials Master'!$A$2:$A$27,0)),IF($B295="GMPC Recycling",INDEX('Materials Master'!$G$2:$G$27,MATCH($C295,'Materials Master'!$A$2:$A$27,0)),IF($B295="Organics Recycling",INDEX('Materials Master'!$H$2:$H$27,MATCH($C295,'Materials Master'!$A$2:$A$27,0)),IF($B295="Cardboard Recycling",INDEX('Materials Master'!$I$2:$I$27,MATCH($C295,'Materials Master'!$A$2:$A$27,0)),IF($B295="Paper Recycling",INDEX('Materials Master'!$J$2:$J$27,MATCH($C295,'Materials Master'!$A$2:$A$27,0)),IF($B295="Terracycle",INDEX('Materials Master'!$K$2:$K$27,MATCH($C295,'Materials Master'!$A$2:$A$27,0)),"No"))))))="Yes",INDEX('Materials Master'!$E$2:$E$27,MATCH($C295,'Materials Master'!$A$2:$A$27,0))="Yes",$B295&lt;&gt;"Trash"),1,0)</f>
        <v>0</v>
      </c>
      <c r="H295" s="0" t="str">
        <f aca="false">INDEX('Materials Master'!$E$2:$E$27,MATCH($C295,'Materials Master'!$A$2:$A$27,0))</f>
        <v>No</v>
      </c>
      <c r="I295" s="0" t="str">
        <f aca="false">IFERROR(INDEX(Areas!$C$2:$C$6,MATCH($A295,Areas!$B$2:$B$6,0)),"")</f>
        <v>BOH</v>
      </c>
      <c r="J295" s="0" t="n">
        <f aca="false">IF(IF($B295="Trash",INDEX('Materials Master'!$F$2:$F$27,MATCH($C295,'Materials Master'!$A$2:$A$27,0)),IF($B295="GMPC Recycling",INDEX('Materials Master'!$G$2:$G$27,MATCH($C295,'Materials Master'!$A$2:$A$27,0)),IF($B295="Organics Recycling",INDEX('Materials Master'!$H$2:$H$27,MATCH($C295,'Materials Master'!$A$2:$A$27,0)),IF($B295="Cardboard Recycling",INDEX('Materials Master'!$I$2:$I$27,MATCH($C295,'Materials Master'!$A$2:$A$27,0)),IF($B295="Paper Recycling",INDEX('Materials Master'!$J$2:$J$27,MATCH($C295,'Materials Master'!$A$2:$A$27,0)),IF($B295="Terracycle",INDEX('Materials Master'!$K$2:$K$27,MATCH($C295,'Materials Master'!$A$2:$A$27,0)),"No"))))))="Yes",1,0)</f>
        <v>0</v>
      </c>
    </row>
    <row r="296" customFormat="false" ht="15" hidden="false" customHeight="false" outlineLevel="0" collapsed="false">
      <c r="A296" s="0" t="s">
        <v>94</v>
      </c>
      <c r="B296" s="0" t="s">
        <v>108</v>
      </c>
      <c r="C296" s="0" t="s">
        <v>45</v>
      </c>
      <c r="D296" s="0" t="str">
        <f aca="false">IFERROR(INDEX('Materials Master'!$B$2:$B$27,MATCH($C296,'Materials Master'!$A$2:$A$27,0)),"")</f>
        <v>Glass Bottles &amp; Jars</v>
      </c>
      <c r="E296" s="0" t="str">
        <f aca="false">IFERROR(INDEX('Materials Master'!$C$2:$C$27,MATCH($C296,'Materials Master'!$A$2:$A$27,0)),"")</f>
        <v>Glass</v>
      </c>
      <c r="F296" s="0" t="n">
        <f aca="false">(SUMIFS(Fact_PreSortWeights!$E$2:$E$15,Fact_PreSortWeights!$C$2:$C$15,$A296,Fact_PreSortWeights!$B$2:$B$15,$B296,Fact_PreSortWeights!$F$2:$F$15,$C296))+(SUMIFS(Fact_SortedWeights!$E$2:$E$6,Fact_SortedWeights!$C$2:$C$6,$A296,Fact_SortedWeights!$B$2:$B$6,$B296,Fact_SortedWeights!$D$2:$D$6,$C296,Fact_SortedWeights!$L$2:$L$6,"Yes"))+IF((SUMIFS(Fact_SortedWeights!$E$2:$E$6,Fact_SortedWeights!$C$2:$C$6,$A296,Fact_SortedWeights!$B$2:$B$6,$B296,Fact_SortedWeights!$L$2:$L$6,"No"))=0,0,(SUMIFS(Fact_SortedWeights!$E$2:$E$6,Fact_SortedWeights!$C$2:$C$6,$A296,Fact_SortedWeights!$B$2:$B$6,$B296,Fact_SortedWeights!$D$2:$D$6,$C296,Fact_SortedWeights!$L$2:$L$6,"No"))/(SUMIFS(Fact_SortedWeights!$E$2:$E$6,Fact_SortedWeights!$C$2:$C$6,$A296,Fact_SortedWeights!$B$2:$B$6,$B296,Fact_SortedWeights!$L$2:$L$6,"No"))*((SUMIFS(Fact_PreSortWeights!$E$2:$E$15,Fact_PreSortWeights!$C$2:$C$15,$A296,Fact_PreSortWeights!$B$2:$B$15,$B296,Fact_PreSortWeights!$F$2:$F$15,""))-(SUMIFS(Fact_SortedWeights!$E$2:$E$6,Fact_SortedWeights!$C$2:$C$6,$A296,Fact_SortedWeights!$B$2:$B$6,$B296,Fact_SortedWeights!$L$2:$L$6,"Yes"))))</f>
        <v>0</v>
      </c>
      <c r="G296" s="0" t="n">
        <f aca="false">IF(AND(IF($B296="Trash",INDEX('Materials Master'!$F$2:$F$27,MATCH($C296,'Materials Master'!$A$2:$A$27,0)),IF($B296="GMPC Recycling",INDEX('Materials Master'!$G$2:$G$27,MATCH($C296,'Materials Master'!$A$2:$A$27,0)),IF($B296="Organics Recycling",INDEX('Materials Master'!$H$2:$H$27,MATCH($C296,'Materials Master'!$A$2:$A$27,0)),IF($B296="Cardboard Recycling",INDEX('Materials Master'!$I$2:$I$27,MATCH($C296,'Materials Master'!$A$2:$A$27,0)),IF($B296="Paper Recycling",INDEX('Materials Master'!$J$2:$J$27,MATCH($C296,'Materials Master'!$A$2:$A$27,0)),IF($B296="Terracycle",INDEX('Materials Master'!$K$2:$K$27,MATCH($C296,'Materials Master'!$A$2:$A$27,0)),"No"))))))="Yes",INDEX('Materials Master'!$E$2:$E$27,MATCH($C296,'Materials Master'!$A$2:$A$27,0))="Yes",$B296&lt;&gt;"Trash"),1,0)</f>
        <v>0</v>
      </c>
      <c r="H296" s="0" t="str">
        <f aca="false">INDEX('Materials Master'!$E$2:$E$27,MATCH($C296,'Materials Master'!$A$2:$A$27,0))</f>
        <v>Yes</v>
      </c>
      <c r="I296" s="0" t="str">
        <f aca="false">IFERROR(INDEX(Areas!$C$2:$C$6,MATCH($A296,Areas!$B$2:$B$6,0)),"")</f>
        <v>BOH</v>
      </c>
      <c r="J296" s="0" t="n">
        <f aca="false">IF(IF($B296="Trash",INDEX('Materials Master'!$F$2:$F$27,MATCH($C296,'Materials Master'!$A$2:$A$27,0)),IF($B296="GMPC Recycling",INDEX('Materials Master'!$G$2:$G$27,MATCH($C296,'Materials Master'!$A$2:$A$27,0)),IF($B296="Organics Recycling",INDEX('Materials Master'!$H$2:$H$27,MATCH($C296,'Materials Master'!$A$2:$A$27,0)),IF($B296="Cardboard Recycling",INDEX('Materials Master'!$I$2:$I$27,MATCH($C296,'Materials Master'!$A$2:$A$27,0)),IF($B296="Paper Recycling",INDEX('Materials Master'!$J$2:$J$27,MATCH($C296,'Materials Master'!$A$2:$A$27,0)),IF($B296="Terracycle",INDEX('Materials Master'!$K$2:$K$27,MATCH($C296,'Materials Master'!$A$2:$A$27,0)),"No"))))))="Yes",1,0)</f>
        <v>0</v>
      </c>
    </row>
    <row r="297" customFormat="false" ht="15" hidden="false" customHeight="false" outlineLevel="0" collapsed="false">
      <c r="A297" s="0" t="s">
        <v>94</v>
      </c>
      <c r="B297" s="0" t="s">
        <v>108</v>
      </c>
      <c r="C297" s="0" t="s">
        <v>48</v>
      </c>
      <c r="D297" s="0" t="str">
        <f aca="false">IFERROR(INDEX('Materials Master'!$B$2:$B$27,MATCH($C297,'Materials Master'!$A$2:$A$27,0)),"")</f>
        <v>Soiled Glass</v>
      </c>
      <c r="E297" s="0" t="str">
        <f aca="false">IFERROR(INDEX('Materials Master'!$C$2:$C$27,MATCH($C297,'Materials Master'!$A$2:$A$27,0)),"")</f>
        <v>Glass</v>
      </c>
      <c r="F297" s="0" t="n">
        <f aca="false">(SUMIFS(Fact_PreSortWeights!$E$2:$E$15,Fact_PreSortWeights!$C$2:$C$15,$A297,Fact_PreSortWeights!$B$2:$B$15,$B297,Fact_PreSortWeights!$F$2:$F$15,$C297))+(SUMIFS(Fact_SortedWeights!$E$2:$E$6,Fact_SortedWeights!$C$2:$C$6,$A297,Fact_SortedWeights!$B$2:$B$6,$B297,Fact_SortedWeights!$D$2:$D$6,$C297,Fact_SortedWeights!$L$2:$L$6,"Yes"))+IF((SUMIFS(Fact_SortedWeights!$E$2:$E$6,Fact_SortedWeights!$C$2:$C$6,$A297,Fact_SortedWeights!$B$2:$B$6,$B297,Fact_SortedWeights!$L$2:$L$6,"No"))=0,0,(SUMIFS(Fact_SortedWeights!$E$2:$E$6,Fact_SortedWeights!$C$2:$C$6,$A297,Fact_SortedWeights!$B$2:$B$6,$B297,Fact_SortedWeights!$D$2:$D$6,$C297,Fact_SortedWeights!$L$2:$L$6,"No"))/(SUMIFS(Fact_SortedWeights!$E$2:$E$6,Fact_SortedWeights!$C$2:$C$6,$A297,Fact_SortedWeights!$B$2:$B$6,$B297,Fact_SortedWeights!$L$2:$L$6,"No"))*((SUMIFS(Fact_PreSortWeights!$E$2:$E$15,Fact_PreSortWeights!$C$2:$C$15,$A297,Fact_PreSortWeights!$B$2:$B$15,$B297,Fact_PreSortWeights!$F$2:$F$15,""))-(SUMIFS(Fact_SortedWeights!$E$2:$E$6,Fact_SortedWeights!$C$2:$C$6,$A297,Fact_SortedWeights!$B$2:$B$6,$B297,Fact_SortedWeights!$L$2:$L$6,"Yes"))))</f>
        <v>0</v>
      </c>
      <c r="G297" s="0" t="n">
        <f aca="false">IF(AND(IF($B297="Trash",INDEX('Materials Master'!$F$2:$F$27,MATCH($C297,'Materials Master'!$A$2:$A$27,0)),IF($B297="GMPC Recycling",INDEX('Materials Master'!$G$2:$G$27,MATCH($C297,'Materials Master'!$A$2:$A$27,0)),IF($B297="Organics Recycling",INDEX('Materials Master'!$H$2:$H$27,MATCH($C297,'Materials Master'!$A$2:$A$27,0)),IF($B297="Cardboard Recycling",INDEX('Materials Master'!$I$2:$I$27,MATCH($C297,'Materials Master'!$A$2:$A$27,0)),IF($B297="Paper Recycling",INDEX('Materials Master'!$J$2:$J$27,MATCH($C297,'Materials Master'!$A$2:$A$27,0)),IF($B297="Terracycle",INDEX('Materials Master'!$K$2:$K$27,MATCH($C297,'Materials Master'!$A$2:$A$27,0)),"No"))))))="Yes",INDEX('Materials Master'!$E$2:$E$27,MATCH($C297,'Materials Master'!$A$2:$A$27,0))="Yes",$B297&lt;&gt;"Trash"),1,0)</f>
        <v>0</v>
      </c>
      <c r="H297" s="0" t="str">
        <f aca="false">INDEX('Materials Master'!$E$2:$E$27,MATCH($C297,'Materials Master'!$A$2:$A$27,0))</f>
        <v>No</v>
      </c>
      <c r="I297" s="0" t="str">
        <f aca="false">IFERROR(INDEX(Areas!$C$2:$C$6,MATCH($A297,Areas!$B$2:$B$6,0)),"")</f>
        <v>BOH</v>
      </c>
      <c r="J297" s="0" t="n">
        <f aca="false">IF(IF($B297="Trash",INDEX('Materials Master'!$F$2:$F$27,MATCH($C297,'Materials Master'!$A$2:$A$27,0)),IF($B297="GMPC Recycling",INDEX('Materials Master'!$G$2:$G$27,MATCH($C297,'Materials Master'!$A$2:$A$27,0)),IF($B297="Organics Recycling",INDEX('Materials Master'!$H$2:$H$27,MATCH($C297,'Materials Master'!$A$2:$A$27,0)),IF($B297="Cardboard Recycling",INDEX('Materials Master'!$I$2:$I$27,MATCH($C297,'Materials Master'!$A$2:$A$27,0)),IF($B297="Paper Recycling",INDEX('Materials Master'!$J$2:$J$27,MATCH($C297,'Materials Master'!$A$2:$A$27,0)),IF($B297="Terracycle",INDEX('Materials Master'!$K$2:$K$27,MATCH($C297,'Materials Master'!$A$2:$A$27,0)),"No"))))))="Yes",1,0)</f>
        <v>0</v>
      </c>
    </row>
    <row r="298" customFormat="false" ht="15" hidden="false" customHeight="false" outlineLevel="0" collapsed="false">
      <c r="A298" s="0" t="s">
        <v>94</v>
      </c>
      <c r="B298" s="0" t="s">
        <v>108</v>
      </c>
      <c r="C298" s="0" t="s">
        <v>50</v>
      </c>
      <c r="D298" s="0" t="str">
        <f aca="false">IFERROR(INDEX('Materials Master'!$B$2:$B$27,MATCH($C298,'Materials Master'!$A$2:$A$27,0)),"")</f>
        <v>Aluminum &amp; Bi-Metal Containers</v>
      </c>
      <c r="E298" s="0" t="str">
        <f aca="false">IFERROR(INDEX('Materials Master'!$C$2:$C$27,MATCH($C298,'Materials Master'!$A$2:$A$27,0)),"")</f>
        <v>Metals</v>
      </c>
      <c r="F298" s="0" t="n">
        <f aca="false">(SUMIFS(Fact_PreSortWeights!$E$2:$E$15,Fact_PreSortWeights!$C$2:$C$15,$A298,Fact_PreSortWeights!$B$2:$B$15,$B298,Fact_PreSortWeights!$F$2:$F$15,$C298))+(SUMIFS(Fact_SortedWeights!$E$2:$E$6,Fact_SortedWeights!$C$2:$C$6,$A298,Fact_SortedWeights!$B$2:$B$6,$B298,Fact_SortedWeights!$D$2:$D$6,$C298,Fact_SortedWeights!$L$2:$L$6,"Yes"))+IF((SUMIFS(Fact_SortedWeights!$E$2:$E$6,Fact_SortedWeights!$C$2:$C$6,$A298,Fact_SortedWeights!$B$2:$B$6,$B298,Fact_SortedWeights!$L$2:$L$6,"No"))=0,0,(SUMIFS(Fact_SortedWeights!$E$2:$E$6,Fact_SortedWeights!$C$2:$C$6,$A298,Fact_SortedWeights!$B$2:$B$6,$B298,Fact_SortedWeights!$D$2:$D$6,$C298,Fact_SortedWeights!$L$2:$L$6,"No"))/(SUMIFS(Fact_SortedWeights!$E$2:$E$6,Fact_SortedWeights!$C$2:$C$6,$A298,Fact_SortedWeights!$B$2:$B$6,$B298,Fact_SortedWeights!$L$2:$L$6,"No"))*((SUMIFS(Fact_PreSortWeights!$E$2:$E$15,Fact_PreSortWeights!$C$2:$C$15,$A298,Fact_PreSortWeights!$B$2:$B$15,$B298,Fact_PreSortWeights!$F$2:$F$15,""))-(SUMIFS(Fact_SortedWeights!$E$2:$E$6,Fact_SortedWeights!$C$2:$C$6,$A298,Fact_SortedWeights!$B$2:$B$6,$B298,Fact_SortedWeights!$L$2:$L$6,"Yes"))))</f>
        <v>0</v>
      </c>
      <c r="G298" s="0" t="n">
        <f aca="false">IF(AND(IF($B298="Trash",INDEX('Materials Master'!$F$2:$F$27,MATCH($C298,'Materials Master'!$A$2:$A$27,0)),IF($B298="GMPC Recycling",INDEX('Materials Master'!$G$2:$G$27,MATCH($C298,'Materials Master'!$A$2:$A$27,0)),IF($B298="Organics Recycling",INDEX('Materials Master'!$H$2:$H$27,MATCH($C298,'Materials Master'!$A$2:$A$27,0)),IF($B298="Cardboard Recycling",INDEX('Materials Master'!$I$2:$I$27,MATCH($C298,'Materials Master'!$A$2:$A$27,0)),IF($B298="Paper Recycling",INDEX('Materials Master'!$J$2:$J$27,MATCH($C298,'Materials Master'!$A$2:$A$27,0)),IF($B298="Terracycle",INDEX('Materials Master'!$K$2:$K$27,MATCH($C298,'Materials Master'!$A$2:$A$27,0)),"No"))))))="Yes",INDEX('Materials Master'!$E$2:$E$27,MATCH($C298,'Materials Master'!$A$2:$A$27,0))="Yes",$B298&lt;&gt;"Trash"),1,0)</f>
        <v>0</v>
      </c>
      <c r="H298" s="0" t="str">
        <f aca="false">INDEX('Materials Master'!$E$2:$E$27,MATCH($C298,'Materials Master'!$A$2:$A$27,0))</f>
        <v>Yes</v>
      </c>
      <c r="I298" s="0" t="str">
        <f aca="false">IFERROR(INDEX(Areas!$C$2:$C$6,MATCH($A298,Areas!$B$2:$B$6,0)),"")</f>
        <v>BOH</v>
      </c>
      <c r="J298" s="0" t="n">
        <f aca="false">IF(IF($B298="Trash",INDEX('Materials Master'!$F$2:$F$27,MATCH($C298,'Materials Master'!$A$2:$A$27,0)),IF($B298="GMPC Recycling",INDEX('Materials Master'!$G$2:$G$27,MATCH($C298,'Materials Master'!$A$2:$A$27,0)),IF($B298="Organics Recycling",INDEX('Materials Master'!$H$2:$H$27,MATCH($C298,'Materials Master'!$A$2:$A$27,0)),IF($B298="Cardboard Recycling",INDEX('Materials Master'!$I$2:$I$27,MATCH($C298,'Materials Master'!$A$2:$A$27,0)),IF($B298="Paper Recycling",INDEX('Materials Master'!$J$2:$J$27,MATCH($C298,'Materials Master'!$A$2:$A$27,0)),IF($B298="Terracycle",INDEX('Materials Master'!$K$2:$K$27,MATCH($C298,'Materials Master'!$A$2:$A$27,0)),"No"))))))="Yes",1,0)</f>
        <v>0</v>
      </c>
    </row>
    <row r="299" customFormat="false" ht="15" hidden="false" customHeight="false" outlineLevel="0" collapsed="false">
      <c r="A299" s="0" t="s">
        <v>94</v>
      </c>
      <c r="B299" s="0" t="s">
        <v>108</v>
      </c>
      <c r="C299" s="0" t="s">
        <v>53</v>
      </c>
      <c r="D299" s="0" t="str">
        <f aca="false">IFERROR(INDEX('Materials Master'!$B$2:$B$27,MATCH($C299,'Materials Master'!$A$2:$A$27,0)),"")</f>
        <v>Soiled Metals</v>
      </c>
      <c r="E299" s="0" t="str">
        <f aca="false">IFERROR(INDEX('Materials Master'!$C$2:$C$27,MATCH($C299,'Materials Master'!$A$2:$A$27,0)),"")</f>
        <v>Metals</v>
      </c>
      <c r="F299" s="0" t="n">
        <f aca="false">(SUMIFS(Fact_PreSortWeights!$E$2:$E$15,Fact_PreSortWeights!$C$2:$C$15,$A299,Fact_PreSortWeights!$B$2:$B$15,$B299,Fact_PreSortWeights!$F$2:$F$15,$C299))+(SUMIFS(Fact_SortedWeights!$E$2:$E$6,Fact_SortedWeights!$C$2:$C$6,$A299,Fact_SortedWeights!$B$2:$B$6,$B299,Fact_SortedWeights!$D$2:$D$6,$C299,Fact_SortedWeights!$L$2:$L$6,"Yes"))+IF((SUMIFS(Fact_SortedWeights!$E$2:$E$6,Fact_SortedWeights!$C$2:$C$6,$A299,Fact_SortedWeights!$B$2:$B$6,$B299,Fact_SortedWeights!$L$2:$L$6,"No"))=0,0,(SUMIFS(Fact_SortedWeights!$E$2:$E$6,Fact_SortedWeights!$C$2:$C$6,$A299,Fact_SortedWeights!$B$2:$B$6,$B299,Fact_SortedWeights!$D$2:$D$6,$C299,Fact_SortedWeights!$L$2:$L$6,"No"))/(SUMIFS(Fact_SortedWeights!$E$2:$E$6,Fact_SortedWeights!$C$2:$C$6,$A299,Fact_SortedWeights!$B$2:$B$6,$B299,Fact_SortedWeights!$L$2:$L$6,"No"))*((SUMIFS(Fact_PreSortWeights!$E$2:$E$15,Fact_PreSortWeights!$C$2:$C$15,$A299,Fact_PreSortWeights!$B$2:$B$15,$B299,Fact_PreSortWeights!$F$2:$F$15,""))-(SUMIFS(Fact_SortedWeights!$E$2:$E$6,Fact_SortedWeights!$C$2:$C$6,$A299,Fact_SortedWeights!$B$2:$B$6,$B299,Fact_SortedWeights!$L$2:$L$6,"Yes"))))</f>
        <v>0</v>
      </c>
      <c r="G299" s="0" t="n">
        <f aca="false">IF(AND(IF($B299="Trash",INDEX('Materials Master'!$F$2:$F$27,MATCH($C299,'Materials Master'!$A$2:$A$27,0)),IF($B299="GMPC Recycling",INDEX('Materials Master'!$G$2:$G$27,MATCH($C299,'Materials Master'!$A$2:$A$27,0)),IF($B299="Organics Recycling",INDEX('Materials Master'!$H$2:$H$27,MATCH($C299,'Materials Master'!$A$2:$A$27,0)),IF($B299="Cardboard Recycling",INDEX('Materials Master'!$I$2:$I$27,MATCH($C299,'Materials Master'!$A$2:$A$27,0)),IF($B299="Paper Recycling",INDEX('Materials Master'!$J$2:$J$27,MATCH($C299,'Materials Master'!$A$2:$A$27,0)),IF($B299="Terracycle",INDEX('Materials Master'!$K$2:$K$27,MATCH($C299,'Materials Master'!$A$2:$A$27,0)),"No"))))))="Yes",INDEX('Materials Master'!$E$2:$E$27,MATCH($C299,'Materials Master'!$A$2:$A$27,0))="Yes",$B299&lt;&gt;"Trash"),1,0)</f>
        <v>0</v>
      </c>
      <c r="H299" s="0" t="str">
        <f aca="false">INDEX('Materials Master'!$E$2:$E$27,MATCH($C299,'Materials Master'!$A$2:$A$27,0))</f>
        <v>No</v>
      </c>
      <c r="I299" s="0" t="str">
        <f aca="false">IFERROR(INDEX(Areas!$C$2:$C$6,MATCH($A299,Areas!$B$2:$B$6,0)),"")</f>
        <v>BOH</v>
      </c>
      <c r="J299" s="0" t="n">
        <f aca="false">IF(IF($B299="Trash",INDEX('Materials Master'!$F$2:$F$27,MATCH($C299,'Materials Master'!$A$2:$A$27,0)),IF($B299="GMPC Recycling",INDEX('Materials Master'!$G$2:$G$27,MATCH($C299,'Materials Master'!$A$2:$A$27,0)),IF($B299="Organics Recycling",INDEX('Materials Master'!$H$2:$H$27,MATCH($C299,'Materials Master'!$A$2:$A$27,0)),IF($B299="Cardboard Recycling",INDEX('Materials Master'!$I$2:$I$27,MATCH($C299,'Materials Master'!$A$2:$A$27,0)),IF($B299="Paper Recycling",INDEX('Materials Master'!$J$2:$J$27,MATCH($C299,'Materials Master'!$A$2:$A$27,0)),IF($B299="Terracycle",INDEX('Materials Master'!$K$2:$K$27,MATCH($C299,'Materials Master'!$A$2:$A$27,0)),"No"))))))="Yes",1,0)</f>
        <v>0</v>
      </c>
    </row>
    <row r="300" customFormat="false" ht="15" hidden="false" customHeight="false" outlineLevel="0" collapsed="false">
      <c r="A300" s="0" t="s">
        <v>94</v>
      </c>
      <c r="B300" s="0" t="s">
        <v>108</v>
      </c>
      <c r="C300" s="0" t="s">
        <v>55</v>
      </c>
      <c r="D300" s="0" t="str">
        <f aca="false">IFERROR(INDEX('Materials Master'!$B$2:$B$27,MATCH($C300,'Materials Master'!$A$2:$A$27,0)),"")</f>
        <v>Rigid Plastics (1-6)</v>
      </c>
      <c r="E300" s="0" t="str">
        <f aca="false">IFERROR(INDEX('Materials Master'!$C$2:$C$27,MATCH($C300,'Materials Master'!$A$2:$A$27,0)),"")</f>
        <v>Plastics</v>
      </c>
      <c r="F300" s="0" t="n">
        <f aca="false">(SUMIFS(Fact_PreSortWeights!$E$2:$E$15,Fact_PreSortWeights!$C$2:$C$15,$A300,Fact_PreSortWeights!$B$2:$B$15,$B300,Fact_PreSortWeights!$F$2:$F$15,$C300))+(SUMIFS(Fact_SortedWeights!$E$2:$E$6,Fact_SortedWeights!$C$2:$C$6,$A300,Fact_SortedWeights!$B$2:$B$6,$B300,Fact_SortedWeights!$D$2:$D$6,$C300,Fact_SortedWeights!$L$2:$L$6,"Yes"))+IF((SUMIFS(Fact_SortedWeights!$E$2:$E$6,Fact_SortedWeights!$C$2:$C$6,$A300,Fact_SortedWeights!$B$2:$B$6,$B300,Fact_SortedWeights!$L$2:$L$6,"No"))=0,0,(SUMIFS(Fact_SortedWeights!$E$2:$E$6,Fact_SortedWeights!$C$2:$C$6,$A300,Fact_SortedWeights!$B$2:$B$6,$B300,Fact_SortedWeights!$D$2:$D$6,$C300,Fact_SortedWeights!$L$2:$L$6,"No"))/(SUMIFS(Fact_SortedWeights!$E$2:$E$6,Fact_SortedWeights!$C$2:$C$6,$A300,Fact_SortedWeights!$B$2:$B$6,$B300,Fact_SortedWeights!$L$2:$L$6,"No"))*((SUMIFS(Fact_PreSortWeights!$E$2:$E$15,Fact_PreSortWeights!$C$2:$C$15,$A300,Fact_PreSortWeights!$B$2:$B$15,$B300,Fact_PreSortWeights!$F$2:$F$15,""))-(SUMIFS(Fact_SortedWeights!$E$2:$E$6,Fact_SortedWeights!$C$2:$C$6,$A300,Fact_SortedWeights!$B$2:$B$6,$B300,Fact_SortedWeights!$L$2:$L$6,"Yes"))))</f>
        <v>0</v>
      </c>
      <c r="G300" s="0" t="n">
        <f aca="false">IF(AND(IF($B300="Trash",INDEX('Materials Master'!$F$2:$F$27,MATCH($C300,'Materials Master'!$A$2:$A$27,0)),IF($B300="GMPC Recycling",INDEX('Materials Master'!$G$2:$G$27,MATCH($C300,'Materials Master'!$A$2:$A$27,0)),IF($B300="Organics Recycling",INDEX('Materials Master'!$H$2:$H$27,MATCH($C300,'Materials Master'!$A$2:$A$27,0)),IF($B300="Cardboard Recycling",INDEX('Materials Master'!$I$2:$I$27,MATCH($C300,'Materials Master'!$A$2:$A$27,0)),IF($B300="Paper Recycling",INDEX('Materials Master'!$J$2:$J$27,MATCH($C300,'Materials Master'!$A$2:$A$27,0)),IF($B300="Terracycle",INDEX('Materials Master'!$K$2:$K$27,MATCH($C300,'Materials Master'!$A$2:$A$27,0)),"No"))))))="Yes",INDEX('Materials Master'!$E$2:$E$27,MATCH($C300,'Materials Master'!$A$2:$A$27,0))="Yes",$B300&lt;&gt;"Trash"),1,0)</f>
        <v>0</v>
      </c>
      <c r="H300" s="0" t="str">
        <f aca="false">INDEX('Materials Master'!$E$2:$E$27,MATCH($C300,'Materials Master'!$A$2:$A$27,0))</f>
        <v>Yes</v>
      </c>
      <c r="I300" s="0" t="str">
        <f aca="false">IFERROR(INDEX(Areas!$C$2:$C$6,MATCH($A300,Areas!$B$2:$B$6,0)),"")</f>
        <v>BOH</v>
      </c>
      <c r="J300" s="0" t="n">
        <f aca="false">IF(IF($B300="Trash",INDEX('Materials Master'!$F$2:$F$27,MATCH($C300,'Materials Master'!$A$2:$A$27,0)),IF($B300="GMPC Recycling",INDEX('Materials Master'!$G$2:$G$27,MATCH($C300,'Materials Master'!$A$2:$A$27,0)),IF($B300="Organics Recycling",INDEX('Materials Master'!$H$2:$H$27,MATCH($C300,'Materials Master'!$A$2:$A$27,0)),IF($B300="Cardboard Recycling",INDEX('Materials Master'!$I$2:$I$27,MATCH($C300,'Materials Master'!$A$2:$A$27,0)),IF($B300="Paper Recycling",INDEX('Materials Master'!$J$2:$J$27,MATCH($C300,'Materials Master'!$A$2:$A$27,0)),IF($B300="Terracycle",INDEX('Materials Master'!$K$2:$K$27,MATCH($C300,'Materials Master'!$A$2:$A$27,0)),"No"))))))="Yes",1,0)</f>
        <v>0</v>
      </c>
    </row>
    <row r="301" customFormat="false" ht="15" hidden="false" customHeight="false" outlineLevel="0" collapsed="false">
      <c r="A301" s="0" t="s">
        <v>94</v>
      </c>
      <c r="B301" s="0" t="s">
        <v>108</v>
      </c>
      <c r="C301" s="0" t="s">
        <v>58</v>
      </c>
      <c r="D301" s="0" t="str">
        <f aca="false">IFERROR(INDEX('Materials Master'!$B$2:$B$27,MATCH($C301,'Materials Master'!$A$2:$A$27,0)),"")</f>
        <v>Soiled Rigid Plastics</v>
      </c>
      <c r="E301" s="0" t="str">
        <f aca="false">IFERROR(INDEX('Materials Master'!$C$2:$C$27,MATCH($C301,'Materials Master'!$A$2:$A$27,0)),"")</f>
        <v>Plastics</v>
      </c>
      <c r="F301" s="0" t="n">
        <f aca="false">(SUMIFS(Fact_PreSortWeights!$E$2:$E$15,Fact_PreSortWeights!$C$2:$C$15,$A301,Fact_PreSortWeights!$B$2:$B$15,$B301,Fact_PreSortWeights!$F$2:$F$15,$C301))+(SUMIFS(Fact_SortedWeights!$E$2:$E$6,Fact_SortedWeights!$C$2:$C$6,$A301,Fact_SortedWeights!$B$2:$B$6,$B301,Fact_SortedWeights!$D$2:$D$6,$C301,Fact_SortedWeights!$L$2:$L$6,"Yes"))+IF((SUMIFS(Fact_SortedWeights!$E$2:$E$6,Fact_SortedWeights!$C$2:$C$6,$A301,Fact_SortedWeights!$B$2:$B$6,$B301,Fact_SortedWeights!$L$2:$L$6,"No"))=0,0,(SUMIFS(Fact_SortedWeights!$E$2:$E$6,Fact_SortedWeights!$C$2:$C$6,$A301,Fact_SortedWeights!$B$2:$B$6,$B301,Fact_SortedWeights!$D$2:$D$6,$C301,Fact_SortedWeights!$L$2:$L$6,"No"))/(SUMIFS(Fact_SortedWeights!$E$2:$E$6,Fact_SortedWeights!$C$2:$C$6,$A301,Fact_SortedWeights!$B$2:$B$6,$B301,Fact_SortedWeights!$L$2:$L$6,"No"))*((SUMIFS(Fact_PreSortWeights!$E$2:$E$15,Fact_PreSortWeights!$C$2:$C$15,$A301,Fact_PreSortWeights!$B$2:$B$15,$B301,Fact_PreSortWeights!$F$2:$F$15,""))-(SUMIFS(Fact_SortedWeights!$E$2:$E$6,Fact_SortedWeights!$C$2:$C$6,$A301,Fact_SortedWeights!$B$2:$B$6,$B301,Fact_SortedWeights!$L$2:$L$6,"Yes"))))</f>
        <v>0</v>
      </c>
      <c r="G301" s="0" t="n">
        <f aca="false">IF(AND(IF($B301="Trash",INDEX('Materials Master'!$F$2:$F$27,MATCH($C301,'Materials Master'!$A$2:$A$27,0)),IF($B301="GMPC Recycling",INDEX('Materials Master'!$G$2:$G$27,MATCH($C301,'Materials Master'!$A$2:$A$27,0)),IF($B301="Organics Recycling",INDEX('Materials Master'!$H$2:$H$27,MATCH($C301,'Materials Master'!$A$2:$A$27,0)),IF($B301="Cardboard Recycling",INDEX('Materials Master'!$I$2:$I$27,MATCH($C301,'Materials Master'!$A$2:$A$27,0)),IF($B301="Paper Recycling",INDEX('Materials Master'!$J$2:$J$27,MATCH($C301,'Materials Master'!$A$2:$A$27,0)),IF($B301="Terracycle",INDEX('Materials Master'!$K$2:$K$27,MATCH($C301,'Materials Master'!$A$2:$A$27,0)),"No"))))))="Yes",INDEX('Materials Master'!$E$2:$E$27,MATCH($C301,'Materials Master'!$A$2:$A$27,0))="Yes",$B301&lt;&gt;"Trash"),1,0)</f>
        <v>0</v>
      </c>
      <c r="H301" s="0" t="str">
        <f aca="false">INDEX('Materials Master'!$E$2:$E$27,MATCH($C301,'Materials Master'!$A$2:$A$27,0))</f>
        <v>No</v>
      </c>
      <c r="I301" s="0" t="str">
        <f aca="false">IFERROR(INDEX(Areas!$C$2:$C$6,MATCH($A301,Areas!$B$2:$B$6,0)),"")</f>
        <v>BOH</v>
      </c>
      <c r="J301" s="0" t="n">
        <f aca="false">IF(IF($B301="Trash",INDEX('Materials Master'!$F$2:$F$27,MATCH($C301,'Materials Master'!$A$2:$A$27,0)),IF($B301="GMPC Recycling",INDEX('Materials Master'!$G$2:$G$27,MATCH($C301,'Materials Master'!$A$2:$A$27,0)),IF($B301="Organics Recycling",INDEX('Materials Master'!$H$2:$H$27,MATCH($C301,'Materials Master'!$A$2:$A$27,0)),IF($B301="Cardboard Recycling",INDEX('Materials Master'!$I$2:$I$27,MATCH($C301,'Materials Master'!$A$2:$A$27,0)),IF($B301="Paper Recycling",INDEX('Materials Master'!$J$2:$J$27,MATCH($C301,'Materials Master'!$A$2:$A$27,0)),IF($B301="Terracycle",INDEX('Materials Master'!$K$2:$K$27,MATCH($C301,'Materials Master'!$A$2:$A$27,0)),"No"))))))="Yes",1,0)</f>
        <v>0</v>
      </c>
    </row>
    <row r="302" customFormat="false" ht="15" hidden="false" customHeight="false" outlineLevel="0" collapsed="false">
      <c r="A302" s="0" t="s">
        <v>94</v>
      </c>
      <c r="B302" s="0" t="s">
        <v>108</v>
      </c>
      <c r="C302" s="0" t="s">
        <v>60</v>
      </c>
      <c r="D302" s="0" t="str">
        <f aca="false">IFERROR(INDEX('Materials Master'!$B$2:$B$27,MATCH($C302,'Materials Master'!$A$2:$A$27,0)),"")</f>
        <v>Film Plastics</v>
      </c>
      <c r="E302" s="0" t="str">
        <f aca="false">IFERROR(INDEX('Materials Master'!$C$2:$C$27,MATCH($C302,'Materials Master'!$A$2:$A$27,0)),"")</f>
        <v>Plastics</v>
      </c>
      <c r="F302" s="0" t="n">
        <f aca="false">(SUMIFS(Fact_PreSortWeights!$E$2:$E$15,Fact_PreSortWeights!$C$2:$C$15,$A302,Fact_PreSortWeights!$B$2:$B$15,$B302,Fact_PreSortWeights!$F$2:$F$15,$C302))+(SUMIFS(Fact_SortedWeights!$E$2:$E$6,Fact_SortedWeights!$C$2:$C$6,$A302,Fact_SortedWeights!$B$2:$B$6,$B302,Fact_SortedWeights!$D$2:$D$6,$C302,Fact_SortedWeights!$L$2:$L$6,"Yes"))+IF((SUMIFS(Fact_SortedWeights!$E$2:$E$6,Fact_SortedWeights!$C$2:$C$6,$A302,Fact_SortedWeights!$B$2:$B$6,$B302,Fact_SortedWeights!$L$2:$L$6,"No"))=0,0,(SUMIFS(Fact_SortedWeights!$E$2:$E$6,Fact_SortedWeights!$C$2:$C$6,$A302,Fact_SortedWeights!$B$2:$B$6,$B302,Fact_SortedWeights!$D$2:$D$6,$C302,Fact_SortedWeights!$L$2:$L$6,"No"))/(SUMIFS(Fact_SortedWeights!$E$2:$E$6,Fact_SortedWeights!$C$2:$C$6,$A302,Fact_SortedWeights!$B$2:$B$6,$B302,Fact_SortedWeights!$L$2:$L$6,"No"))*((SUMIFS(Fact_PreSortWeights!$E$2:$E$15,Fact_PreSortWeights!$C$2:$C$15,$A302,Fact_PreSortWeights!$B$2:$B$15,$B302,Fact_PreSortWeights!$F$2:$F$15,""))-(SUMIFS(Fact_SortedWeights!$E$2:$E$6,Fact_SortedWeights!$C$2:$C$6,$A302,Fact_SortedWeights!$B$2:$B$6,$B302,Fact_SortedWeights!$L$2:$L$6,"Yes"))))</f>
        <v>0</v>
      </c>
      <c r="G302" s="0" t="n">
        <f aca="false">IF(AND(IF($B302="Trash",INDEX('Materials Master'!$F$2:$F$27,MATCH($C302,'Materials Master'!$A$2:$A$27,0)),IF($B302="GMPC Recycling",INDEX('Materials Master'!$G$2:$G$27,MATCH($C302,'Materials Master'!$A$2:$A$27,0)),IF($B302="Organics Recycling",INDEX('Materials Master'!$H$2:$H$27,MATCH($C302,'Materials Master'!$A$2:$A$27,0)),IF($B302="Cardboard Recycling",INDEX('Materials Master'!$I$2:$I$27,MATCH($C302,'Materials Master'!$A$2:$A$27,0)),IF($B302="Paper Recycling",INDEX('Materials Master'!$J$2:$J$27,MATCH($C302,'Materials Master'!$A$2:$A$27,0)),IF($B302="Terracycle",INDEX('Materials Master'!$K$2:$K$27,MATCH($C302,'Materials Master'!$A$2:$A$27,0)),"No"))))))="Yes",INDEX('Materials Master'!$E$2:$E$27,MATCH($C302,'Materials Master'!$A$2:$A$27,0))="Yes",$B302&lt;&gt;"Trash"),1,0)</f>
        <v>0</v>
      </c>
      <c r="H302" s="0" t="str">
        <f aca="false">INDEX('Materials Master'!$E$2:$E$27,MATCH($C302,'Materials Master'!$A$2:$A$27,0))</f>
        <v>No</v>
      </c>
      <c r="I302" s="0" t="str">
        <f aca="false">IFERROR(INDEX(Areas!$C$2:$C$6,MATCH($A302,Areas!$B$2:$B$6,0)),"")</f>
        <v>BOH</v>
      </c>
      <c r="J302" s="0" t="n">
        <f aca="false">IF(IF($B302="Trash",INDEX('Materials Master'!$F$2:$F$27,MATCH($C302,'Materials Master'!$A$2:$A$27,0)),IF($B302="GMPC Recycling",INDEX('Materials Master'!$G$2:$G$27,MATCH($C302,'Materials Master'!$A$2:$A$27,0)),IF($B302="Organics Recycling",INDEX('Materials Master'!$H$2:$H$27,MATCH($C302,'Materials Master'!$A$2:$A$27,0)),IF($B302="Cardboard Recycling",INDEX('Materials Master'!$I$2:$I$27,MATCH($C302,'Materials Master'!$A$2:$A$27,0)),IF($B302="Paper Recycling",INDEX('Materials Master'!$J$2:$J$27,MATCH($C302,'Materials Master'!$A$2:$A$27,0)),IF($B302="Terracycle",INDEX('Materials Master'!$K$2:$K$27,MATCH($C302,'Materials Master'!$A$2:$A$27,0)),"No"))))))="Yes",1,0)</f>
        <v>0</v>
      </c>
    </row>
    <row r="303" customFormat="false" ht="15" hidden="false" customHeight="false" outlineLevel="0" collapsed="false">
      <c r="A303" s="0" t="s">
        <v>94</v>
      </c>
      <c r="B303" s="0" t="s">
        <v>108</v>
      </c>
      <c r="C303" s="0" t="s">
        <v>62</v>
      </c>
      <c r="D303" s="0" t="str">
        <f aca="false">IFERROR(INDEX('Materials Master'!$B$2:$B$27,MATCH($C303,'Materials Master'!$A$2:$A$27,0)),"")</f>
        <v>Foams</v>
      </c>
      <c r="E303" s="0" t="str">
        <f aca="false">IFERROR(INDEX('Materials Master'!$C$2:$C$27,MATCH($C303,'Materials Master'!$A$2:$A$27,0)),"")</f>
        <v>Plastics</v>
      </c>
      <c r="F303" s="0" t="n">
        <f aca="false">(SUMIFS(Fact_PreSortWeights!$E$2:$E$15,Fact_PreSortWeights!$C$2:$C$15,$A303,Fact_PreSortWeights!$B$2:$B$15,$B303,Fact_PreSortWeights!$F$2:$F$15,$C303))+(SUMIFS(Fact_SortedWeights!$E$2:$E$6,Fact_SortedWeights!$C$2:$C$6,$A303,Fact_SortedWeights!$B$2:$B$6,$B303,Fact_SortedWeights!$D$2:$D$6,$C303,Fact_SortedWeights!$L$2:$L$6,"Yes"))+IF((SUMIFS(Fact_SortedWeights!$E$2:$E$6,Fact_SortedWeights!$C$2:$C$6,$A303,Fact_SortedWeights!$B$2:$B$6,$B303,Fact_SortedWeights!$L$2:$L$6,"No"))=0,0,(SUMIFS(Fact_SortedWeights!$E$2:$E$6,Fact_SortedWeights!$C$2:$C$6,$A303,Fact_SortedWeights!$B$2:$B$6,$B303,Fact_SortedWeights!$D$2:$D$6,$C303,Fact_SortedWeights!$L$2:$L$6,"No"))/(SUMIFS(Fact_SortedWeights!$E$2:$E$6,Fact_SortedWeights!$C$2:$C$6,$A303,Fact_SortedWeights!$B$2:$B$6,$B303,Fact_SortedWeights!$L$2:$L$6,"No"))*((SUMIFS(Fact_PreSortWeights!$E$2:$E$15,Fact_PreSortWeights!$C$2:$C$15,$A303,Fact_PreSortWeights!$B$2:$B$15,$B303,Fact_PreSortWeights!$F$2:$F$15,""))-(SUMIFS(Fact_SortedWeights!$E$2:$E$6,Fact_SortedWeights!$C$2:$C$6,$A303,Fact_SortedWeights!$B$2:$B$6,$B303,Fact_SortedWeights!$L$2:$L$6,"Yes"))))</f>
        <v>0</v>
      </c>
      <c r="G303" s="0" t="n">
        <f aca="false">IF(AND(IF($B303="Trash",INDEX('Materials Master'!$F$2:$F$27,MATCH($C303,'Materials Master'!$A$2:$A$27,0)),IF($B303="GMPC Recycling",INDEX('Materials Master'!$G$2:$G$27,MATCH($C303,'Materials Master'!$A$2:$A$27,0)),IF($B303="Organics Recycling",INDEX('Materials Master'!$H$2:$H$27,MATCH($C303,'Materials Master'!$A$2:$A$27,0)),IF($B303="Cardboard Recycling",INDEX('Materials Master'!$I$2:$I$27,MATCH($C303,'Materials Master'!$A$2:$A$27,0)),IF($B303="Paper Recycling",INDEX('Materials Master'!$J$2:$J$27,MATCH($C303,'Materials Master'!$A$2:$A$27,0)),IF($B303="Terracycle",INDEX('Materials Master'!$K$2:$K$27,MATCH($C303,'Materials Master'!$A$2:$A$27,0)),"No"))))))="Yes",INDEX('Materials Master'!$E$2:$E$27,MATCH($C303,'Materials Master'!$A$2:$A$27,0))="Yes",$B303&lt;&gt;"Trash"),1,0)</f>
        <v>0</v>
      </c>
      <c r="H303" s="0" t="str">
        <f aca="false">INDEX('Materials Master'!$E$2:$E$27,MATCH($C303,'Materials Master'!$A$2:$A$27,0))</f>
        <v>No</v>
      </c>
      <c r="I303" s="0" t="str">
        <f aca="false">IFERROR(INDEX(Areas!$C$2:$C$6,MATCH($A303,Areas!$B$2:$B$6,0)),"")</f>
        <v>BOH</v>
      </c>
      <c r="J303" s="0" t="n">
        <f aca="false">IF(IF($B303="Trash",INDEX('Materials Master'!$F$2:$F$27,MATCH($C303,'Materials Master'!$A$2:$A$27,0)),IF($B303="GMPC Recycling",INDEX('Materials Master'!$G$2:$G$27,MATCH($C303,'Materials Master'!$A$2:$A$27,0)),IF($B303="Organics Recycling",INDEX('Materials Master'!$H$2:$H$27,MATCH($C303,'Materials Master'!$A$2:$A$27,0)),IF($B303="Cardboard Recycling",INDEX('Materials Master'!$I$2:$I$27,MATCH($C303,'Materials Master'!$A$2:$A$27,0)),IF($B303="Paper Recycling",INDEX('Materials Master'!$J$2:$J$27,MATCH($C303,'Materials Master'!$A$2:$A$27,0)),IF($B303="Terracycle",INDEX('Materials Master'!$K$2:$K$27,MATCH($C303,'Materials Master'!$A$2:$A$27,0)),"No"))))))="Yes",1,0)</f>
        <v>0</v>
      </c>
    </row>
    <row r="304" customFormat="false" ht="15" hidden="false" customHeight="false" outlineLevel="0" collapsed="false">
      <c r="A304" s="0" t="s">
        <v>94</v>
      </c>
      <c r="B304" s="0" t="s">
        <v>108</v>
      </c>
      <c r="C304" s="0" t="s">
        <v>64</v>
      </c>
      <c r="D304" s="0" t="str">
        <f aca="false">IFERROR(INDEX('Materials Master'!$B$2:$B$27,MATCH($C304,'Materials Master'!$A$2:$A$27,0)),"")</f>
        <v>Food Waste</v>
      </c>
      <c r="E304" s="0" t="str">
        <f aca="false">IFERROR(INDEX('Materials Master'!$C$2:$C$27,MATCH($C304,'Materials Master'!$A$2:$A$27,0)),"")</f>
        <v>Organics</v>
      </c>
      <c r="F304" s="0" t="n">
        <f aca="false">(SUMIFS(Fact_PreSortWeights!$E$2:$E$15,Fact_PreSortWeights!$C$2:$C$15,$A304,Fact_PreSortWeights!$B$2:$B$15,$B304,Fact_PreSortWeights!$F$2:$F$15,$C304))+(SUMIFS(Fact_SortedWeights!$E$2:$E$6,Fact_SortedWeights!$C$2:$C$6,$A304,Fact_SortedWeights!$B$2:$B$6,$B304,Fact_SortedWeights!$D$2:$D$6,$C304,Fact_SortedWeights!$L$2:$L$6,"Yes"))+IF((SUMIFS(Fact_SortedWeights!$E$2:$E$6,Fact_SortedWeights!$C$2:$C$6,$A304,Fact_SortedWeights!$B$2:$B$6,$B304,Fact_SortedWeights!$L$2:$L$6,"No"))=0,0,(SUMIFS(Fact_SortedWeights!$E$2:$E$6,Fact_SortedWeights!$C$2:$C$6,$A304,Fact_SortedWeights!$B$2:$B$6,$B304,Fact_SortedWeights!$D$2:$D$6,$C304,Fact_SortedWeights!$L$2:$L$6,"No"))/(SUMIFS(Fact_SortedWeights!$E$2:$E$6,Fact_SortedWeights!$C$2:$C$6,$A304,Fact_SortedWeights!$B$2:$B$6,$B304,Fact_SortedWeights!$L$2:$L$6,"No"))*((SUMIFS(Fact_PreSortWeights!$E$2:$E$15,Fact_PreSortWeights!$C$2:$C$15,$A304,Fact_PreSortWeights!$B$2:$B$15,$B304,Fact_PreSortWeights!$F$2:$F$15,""))-(SUMIFS(Fact_SortedWeights!$E$2:$E$6,Fact_SortedWeights!$C$2:$C$6,$A304,Fact_SortedWeights!$B$2:$B$6,$B304,Fact_SortedWeights!$L$2:$L$6,"Yes"))))</f>
        <v>0</v>
      </c>
      <c r="G304" s="0" t="n">
        <f aca="false">IF(AND(IF($B304="Trash",INDEX('Materials Master'!$F$2:$F$27,MATCH($C304,'Materials Master'!$A$2:$A$27,0)),IF($B304="GMPC Recycling",INDEX('Materials Master'!$G$2:$G$27,MATCH($C304,'Materials Master'!$A$2:$A$27,0)),IF($B304="Organics Recycling",INDEX('Materials Master'!$H$2:$H$27,MATCH($C304,'Materials Master'!$A$2:$A$27,0)),IF($B304="Cardboard Recycling",INDEX('Materials Master'!$I$2:$I$27,MATCH($C304,'Materials Master'!$A$2:$A$27,0)),IF($B304="Paper Recycling",INDEX('Materials Master'!$J$2:$J$27,MATCH($C304,'Materials Master'!$A$2:$A$27,0)),IF($B304="Terracycle",INDEX('Materials Master'!$K$2:$K$27,MATCH($C304,'Materials Master'!$A$2:$A$27,0)),"No"))))))="Yes",INDEX('Materials Master'!$E$2:$E$27,MATCH($C304,'Materials Master'!$A$2:$A$27,0))="Yes",$B304&lt;&gt;"Trash"),1,0)</f>
        <v>0</v>
      </c>
      <c r="H304" s="0" t="str">
        <f aca="false">INDEX('Materials Master'!$E$2:$E$27,MATCH($C304,'Materials Master'!$A$2:$A$27,0))</f>
        <v>Yes</v>
      </c>
      <c r="I304" s="0" t="str">
        <f aca="false">IFERROR(INDEX(Areas!$C$2:$C$6,MATCH($A304,Areas!$B$2:$B$6,0)),"")</f>
        <v>BOH</v>
      </c>
      <c r="J304" s="0" t="n">
        <f aca="false">IF(IF($B304="Trash",INDEX('Materials Master'!$F$2:$F$27,MATCH($C304,'Materials Master'!$A$2:$A$27,0)),IF($B304="GMPC Recycling",INDEX('Materials Master'!$G$2:$G$27,MATCH($C304,'Materials Master'!$A$2:$A$27,0)),IF($B304="Organics Recycling",INDEX('Materials Master'!$H$2:$H$27,MATCH($C304,'Materials Master'!$A$2:$A$27,0)),IF($B304="Cardboard Recycling",INDEX('Materials Master'!$I$2:$I$27,MATCH($C304,'Materials Master'!$A$2:$A$27,0)),IF($B304="Paper Recycling",INDEX('Materials Master'!$J$2:$J$27,MATCH($C304,'Materials Master'!$A$2:$A$27,0)),IF($B304="Terracycle",INDEX('Materials Master'!$K$2:$K$27,MATCH($C304,'Materials Master'!$A$2:$A$27,0)),"No"))))))="Yes",1,0)</f>
        <v>0</v>
      </c>
    </row>
    <row r="305" customFormat="false" ht="15" hidden="false" customHeight="false" outlineLevel="0" collapsed="false">
      <c r="A305" s="0" t="s">
        <v>94</v>
      </c>
      <c r="B305" s="0" t="s">
        <v>108</v>
      </c>
      <c r="C305" s="0" t="s">
        <v>67</v>
      </c>
      <c r="D305" s="0" t="str">
        <f aca="false">IFERROR(INDEX('Materials Master'!$B$2:$B$27,MATCH($C305,'Materials Master'!$A$2:$A$27,0)),"")</f>
        <v>Paper Fibers and Food-Soiled Paper (FSP)</v>
      </c>
      <c r="E305" s="0" t="str">
        <f aca="false">IFERROR(INDEX('Materials Master'!$C$2:$C$27,MATCH($C305,'Materials Master'!$A$2:$A$27,0)),"")</f>
        <v>Organics</v>
      </c>
      <c r="F305" s="0" t="n">
        <f aca="false">(SUMIFS(Fact_PreSortWeights!$E$2:$E$15,Fact_PreSortWeights!$C$2:$C$15,$A305,Fact_PreSortWeights!$B$2:$B$15,$B305,Fact_PreSortWeights!$F$2:$F$15,$C305))+(SUMIFS(Fact_SortedWeights!$E$2:$E$6,Fact_SortedWeights!$C$2:$C$6,$A305,Fact_SortedWeights!$B$2:$B$6,$B305,Fact_SortedWeights!$D$2:$D$6,$C305,Fact_SortedWeights!$L$2:$L$6,"Yes"))+IF((SUMIFS(Fact_SortedWeights!$E$2:$E$6,Fact_SortedWeights!$C$2:$C$6,$A305,Fact_SortedWeights!$B$2:$B$6,$B305,Fact_SortedWeights!$L$2:$L$6,"No"))=0,0,(SUMIFS(Fact_SortedWeights!$E$2:$E$6,Fact_SortedWeights!$C$2:$C$6,$A305,Fact_SortedWeights!$B$2:$B$6,$B305,Fact_SortedWeights!$D$2:$D$6,$C305,Fact_SortedWeights!$L$2:$L$6,"No"))/(SUMIFS(Fact_SortedWeights!$E$2:$E$6,Fact_SortedWeights!$C$2:$C$6,$A305,Fact_SortedWeights!$B$2:$B$6,$B305,Fact_SortedWeights!$L$2:$L$6,"No"))*((SUMIFS(Fact_PreSortWeights!$E$2:$E$15,Fact_PreSortWeights!$C$2:$C$15,$A305,Fact_PreSortWeights!$B$2:$B$15,$B305,Fact_PreSortWeights!$F$2:$F$15,""))-(SUMIFS(Fact_SortedWeights!$E$2:$E$6,Fact_SortedWeights!$C$2:$C$6,$A305,Fact_SortedWeights!$B$2:$B$6,$B305,Fact_SortedWeights!$L$2:$L$6,"Yes"))))</f>
        <v>0</v>
      </c>
      <c r="G305" s="0" t="n">
        <f aca="false">IF(AND(IF($B305="Trash",INDEX('Materials Master'!$F$2:$F$27,MATCH($C305,'Materials Master'!$A$2:$A$27,0)),IF($B305="GMPC Recycling",INDEX('Materials Master'!$G$2:$G$27,MATCH($C305,'Materials Master'!$A$2:$A$27,0)),IF($B305="Organics Recycling",INDEX('Materials Master'!$H$2:$H$27,MATCH($C305,'Materials Master'!$A$2:$A$27,0)),IF($B305="Cardboard Recycling",INDEX('Materials Master'!$I$2:$I$27,MATCH($C305,'Materials Master'!$A$2:$A$27,0)),IF($B305="Paper Recycling",INDEX('Materials Master'!$J$2:$J$27,MATCH($C305,'Materials Master'!$A$2:$A$27,0)),IF($B305="Terracycle",INDEX('Materials Master'!$K$2:$K$27,MATCH($C305,'Materials Master'!$A$2:$A$27,0)),"No"))))))="Yes",INDEX('Materials Master'!$E$2:$E$27,MATCH($C305,'Materials Master'!$A$2:$A$27,0))="Yes",$B305&lt;&gt;"Trash"),1,0)</f>
        <v>0</v>
      </c>
      <c r="H305" s="0" t="str">
        <f aca="false">INDEX('Materials Master'!$E$2:$E$27,MATCH($C305,'Materials Master'!$A$2:$A$27,0))</f>
        <v>No</v>
      </c>
      <c r="I305" s="0" t="str">
        <f aca="false">IFERROR(INDEX(Areas!$C$2:$C$6,MATCH($A305,Areas!$B$2:$B$6,0)),"")</f>
        <v>BOH</v>
      </c>
      <c r="J305" s="0" t="n">
        <f aca="false">IF(IF($B305="Trash",INDEX('Materials Master'!$F$2:$F$27,MATCH($C305,'Materials Master'!$A$2:$A$27,0)),IF($B305="GMPC Recycling",INDEX('Materials Master'!$G$2:$G$27,MATCH($C305,'Materials Master'!$A$2:$A$27,0)),IF($B305="Organics Recycling",INDEX('Materials Master'!$H$2:$H$27,MATCH($C305,'Materials Master'!$A$2:$A$27,0)),IF($B305="Cardboard Recycling",INDEX('Materials Master'!$I$2:$I$27,MATCH($C305,'Materials Master'!$A$2:$A$27,0)),IF($B305="Paper Recycling",INDEX('Materials Master'!$J$2:$J$27,MATCH($C305,'Materials Master'!$A$2:$A$27,0)),IF($B305="Terracycle",INDEX('Materials Master'!$K$2:$K$27,MATCH($C305,'Materials Master'!$A$2:$A$27,0)),"No"))))))="Yes",1,0)</f>
        <v>0</v>
      </c>
    </row>
    <row r="306" customFormat="false" ht="15" hidden="false" customHeight="false" outlineLevel="0" collapsed="false">
      <c r="A306" s="0" t="s">
        <v>94</v>
      </c>
      <c r="B306" s="0" t="s">
        <v>108</v>
      </c>
      <c r="C306" s="0" t="s">
        <v>69</v>
      </c>
      <c r="D306" s="0" t="str">
        <f aca="false">IFERROR(INDEX('Materials Master'!$B$2:$B$27,MATCH($C306,'Materials Master'!$A$2:$A$27,0)),"")</f>
        <v>Fiber-based Compostable Serviceware</v>
      </c>
      <c r="E306" s="0" t="str">
        <f aca="false">IFERROR(INDEX('Materials Master'!$C$2:$C$27,MATCH($C306,'Materials Master'!$A$2:$A$27,0)),"")</f>
        <v>Organics</v>
      </c>
      <c r="F306" s="0" t="n">
        <f aca="false">(SUMIFS(Fact_PreSortWeights!$E$2:$E$15,Fact_PreSortWeights!$C$2:$C$15,$A306,Fact_PreSortWeights!$B$2:$B$15,$B306,Fact_PreSortWeights!$F$2:$F$15,$C306))+(SUMIFS(Fact_SortedWeights!$E$2:$E$6,Fact_SortedWeights!$C$2:$C$6,$A306,Fact_SortedWeights!$B$2:$B$6,$B306,Fact_SortedWeights!$D$2:$D$6,$C306,Fact_SortedWeights!$L$2:$L$6,"Yes"))+IF((SUMIFS(Fact_SortedWeights!$E$2:$E$6,Fact_SortedWeights!$C$2:$C$6,$A306,Fact_SortedWeights!$B$2:$B$6,$B306,Fact_SortedWeights!$L$2:$L$6,"No"))=0,0,(SUMIFS(Fact_SortedWeights!$E$2:$E$6,Fact_SortedWeights!$C$2:$C$6,$A306,Fact_SortedWeights!$B$2:$B$6,$B306,Fact_SortedWeights!$D$2:$D$6,$C306,Fact_SortedWeights!$L$2:$L$6,"No"))/(SUMIFS(Fact_SortedWeights!$E$2:$E$6,Fact_SortedWeights!$C$2:$C$6,$A306,Fact_SortedWeights!$B$2:$B$6,$B306,Fact_SortedWeights!$L$2:$L$6,"No"))*((SUMIFS(Fact_PreSortWeights!$E$2:$E$15,Fact_PreSortWeights!$C$2:$C$15,$A306,Fact_PreSortWeights!$B$2:$B$15,$B306,Fact_PreSortWeights!$F$2:$F$15,""))-(SUMIFS(Fact_SortedWeights!$E$2:$E$6,Fact_SortedWeights!$C$2:$C$6,$A306,Fact_SortedWeights!$B$2:$B$6,$B306,Fact_SortedWeights!$L$2:$L$6,"Yes"))))</f>
        <v>0</v>
      </c>
      <c r="G306" s="0" t="n">
        <f aca="false">IF(AND(IF($B306="Trash",INDEX('Materials Master'!$F$2:$F$27,MATCH($C306,'Materials Master'!$A$2:$A$27,0)),IF($B306="GMPC Recycling",INDEX('Materials Master'!$G$2:$G$27,MATCH($C306,'Materials Master'!$A$2:$A$27,0)),IF($B306="Organics Recycling",INDEX('Materials Master'!$H$2:$H$27,MATCH($C306,'Materials Master'!$A$2:$A$27,0)),IF($B306="Cardboard Recycling",INDEX('Materials Master'!$I$2:$I$27,MATCH($C306,'Materials Master'!$A$2:$A$27,0)),IF($B306="Paper Recycling",INDEX('Materials Master'!$J$2:$J$27,MATCH($C306,'Materials Master'!$A$2:$A$27,0)),IF($B306="Terracycle",INDEX('Materials Master'!$K$2:$K$27,MATCH($C306,'Materials Master'!$A$2:$A$27,0)),"No"))))))="Yes",INDEX('Materials Master'!$E$2:$E$27,MATCH($C306,'Materials Master'!$A$2:$A$27,0))="Yes",$B306&lt;&gt;"Trash"),1,0)</f>
        <v>0</v>
      </c>
      <c r="H306" s="0" t="str">
        <f aca="false">INDEX('Materials Master'!$E$2:$E$27,MATCH($C306,'Materials Master'!$A$2:$A$27,0))</f>
        <v>No</v>
      </c>
      <c r="I306" s="0" t="str">
        <f aca="false">IFERROR(INDEX(Areas!$C$2:$C$6,MATCH($A306,Areas!$B$2:$B$6,0)),"")</f>
        <v>BOH</v>
      </c>
      <c r="J306" s="0" t="n">
        <f aca="false">IF(IF($B306="Trash",INDEX('Materials Master'!$F$2:$F$27,MATCH($C306,'Materials Master'!$A$2:$A$27,0)),IF($B306="GMPC Recycling",INDEX('Materials Master'!$G$2:$G$27,MATCH($C306,'Materials Master'!$A$2:$A$27,0)),IF($B306="Organics Recycling",INDEX('Materials Master'!$H$2:$H$27,MATCH($C306,'Materials Master'!$A$2:$A$27,0)),IF($B306="Cardboard Recycling",INDEX('Materials Master'!$I$2:$I$27,MATCH($C306,'Materials Master'!$A$2:$A$27,0)),IF($B306="Paper Recycling",INDEX('Materials Master'!$J$2:$J$27,MATCH($C306,'Materials Master'!$A$2:$A$27,0)),IF($B306="Terracycle",INDEX('Materials Master'!$K$2:$K$27,MATCH($C306,'Materials Master'!$A$2:$A$27,0)),"No"))))))="Yes",1,0)</f>
        <v>0</v>
      </c>
    </row>
    <row r="307" customFormat="false" ht="15" hidden="false" customHeight="false" outlineLevel="0" collapsed="false">
      <c r="A307" s="0" t="s">
        <v>94</v>
      </c>
      <c r="B307" s="0" t="s">
        <v>108</v>
      </c>
      <c r="C307" s="0" t="s">
        <v>71</v>
      </c>
      <c r="D307" s="0" t="str">
        <f aca="false">IFERROR(INDEX('Materials Master'!$B$2:$B$27,MATCH($C307,'Materials Master'!$A$2:$A$27,0)),"")</f>
        <v>PLA Compostable Serviceware</v>
      </c>
      <c r="E307" s="0" t="str">
        <f aca="false">IFERROR(INDEX('Materials Master'!$C$2:$C$27,MATCH($C307,'Materials Master'!$A$2:$A$27,0)),"")</f>
        <v>Organics</v>
      </c>
      <c r="F307" s="0" t="n">
        <f aca="false">(SUMIFS(Fact_PreSortWeights!$E$2:$E$15,Fact_PreSortWeights!$C$2:$C$15,$A307,Fact_PreSortWeights!$B$2:$B$15,$B307,Fact_PreSortWeights!$F$2:$F$15,$C307))+(SUMIFS(Fact_SortedWeights!$E$2:$E$6,Fact_SortedWeights!$C$2:$C$6,$A307,Fact_SortedWeights!$B$2:$B$6,$B307,Fact_SortedWeights!$D$2:$D$6,$C307,Fact_SortedWeights!$L$2:$L$6,"Yes"))+IF((SUMIFS(Fact_SortedWeights!$E$2:$E$6,Fact_SortedWeights!$C$2:$C$6,$A307,Fact_SortedWeights!$B$2:$B$6,$B307,Fact_SortedWeights!$L$2:$L$6,"No"))=0,0,(SUMIFS(Fact_SortedWeights!$E$2:$E$6,Fact_SortedWeights!$C$2:$C$6,$A307,Fact_SortedWeights!$B$2:$B$6,$B307,Fact_SortedWeights!$D$2:$D$6,$C307,Fact_SortedWeights!$L$2:$L$6,"No"))/(SUMIFS(Fact_SortedWeights!$E$2:$E$6,Fact_SortedWeights!$C$2:$C$6,$A307,Fact_SortedWeights!$B$2:$B$6,$B307,Fact_SortedWeights!$L$2:$L$6,"No"))*((SUMIFS(Fact_PreSortWeights!$E$2:$E$15,Fact_PreSortWeights!$C$2:$C$15,$A307,Fact_PreSortWeights!$B$2:$B$15,$B307,Fact_PreSortWeights!$F$2:$F$15,""))-(SUMIFS(Fact_SortedWeights!$E$2:$E$6,Fact_SortedWeights!$C$2:$C$6,$A307,Fact_SortedWeights!$B$2:$B$6,$B307,Fact_SortedWeights!$L$2:$L$6,"Yes"))))</f>
        <v>0</v>
      </c>
      <c r="G307" s="0" t="n">
        <f aca="false">IF(AND(IF($B307="Trash",INDEX('Materials Master'!$F$2:$F$27,MATCH($C307,'Materials Master'!$A$2:$A$27,0)),IF($B307="GMPC Recycling",INDEX('Materials Master'!$G$2:$G$27,MATCH($C307,'Materials Master'!$A$2:$A$27,0)),IF($B307="Organics Recycling",INDEX('Materials Master'!$H$2:$H$27,MATCH($C307,'Materials Master'!$A$2:$A$27,0)),IF($B307="Cardboard Recycling",INDEX('Materials Master'!$I$2:$I$27,MATCH($C307,'Materials Master'!$A$2:$A$27,0)),IF($B307="Paper Recycling",INDEX('Materials Master'!$J$2:$J$27,MATCH($C307,'Materials Master'!$A$2:$A$27,0)),IF($B307="Terracycle",INDEX('Materials Master'!$K$2:$K$27,MATCH($C307,'Materials Master'!$A$2:$A$27,0)),"No"))))))="Yes",INDEX('Materials Master'!$E$2:$E$27,MATCH($C307,'Materials Master'!$A$2:$A$27,0))="Yes",$B307&lt;&gt;"Trash"),1,0)</f>
        <v>0</v>
      </c>
      <c r="H307" s="0" t="str">
        <f aca="false">INDEX('Materials Master'!$E$2:$E$27,MATCH($C307,'Materials Master'!$A$2:$A$27,0))</f>
        <v>No</v>
      </c>
      <c r="I307" s="0" t="str">
        <f aca="false">IFERROR(INDEX(Areas!$C$2:$C$6,MATCH($A307,Areas!$B$2:$B$6,0)),"")</f>
        <v>BOH</v>
      </c>
      <c r="J307" s="0" t="n">
        <f aca="false">IF(IF($B307="Trash",INDEX('Materials Master'!$F$2:$F$27,MATCH($C307,'Materials Master'!$A$2:$A$27,0)),IF($B307="GMPC Recycling",INDEX('Materials Master'!$G$2:$G$27,MATCH($C307,'Materials Master'!$A$2:$A$27,0)),IF($B307="Organics Recycling",INDEX('Materials Master'!$H$2:$H$27,MATCH($C307,'Materials Master'!$A$2:$A$27,0)),IF($B307="Cardboard Recycling",INDEX('Materials Master'!$I$2:$I$27,MATCH($C307,'Materials Master'!$A$2:$A$27,0)),IF($B307="Paper Recycling",INDEX('Materials Master'!$J$2:$J$27,MATCH($C307,'Materials Master'!$A$2:$A$27,0)),IF($B307="Terracycle",INDEX('Materials Master'!$K$2:$K$27,MATCH($C307,'Materials Master'!$A$2:$A$27,0)),"No"))))))="Yes",1,0)</f>
        <v>0</v>
      </c>
    </row>
    <row r="308" customFormat="false" ht="15" hidden="false" customHeight="false" outlineLevel="0" collapsed="false">
      <c r="A308" s="0" t="s">
        <v>94</v>
      </c>
      <c r="B308" s="0" t="s">
        <v>108</v>
      </c>
      <c r="C308" s="0" t="s">
        <v>73</v>
      </c>
      <c r="D308" s="0" t="str">
        <f aca="false">IFERROR(INDEX('Materials Master'!$B$2:$B$27,MATCH($C308,'Materials Master'!$A$2:$A$27,0)),"")</f>
        <v>E/U Waste</v>
      </c>
      <c r="E308" s="0" t="str">
        <f aca="false">IFERROR(INDEX('Materials Master'!$C$2:$C$27,MATCH($C308,'Materials Master'!$A$2:$A$27,0)),"")</f>
        <v>Unacceptable</v>
      </c>
      <c r="F308" s="0" t="n">
        <f aca="false">(SUMIFS(Fact_PreSortWeights!$E$2:$E$15,Fact_PreSortWeights!$C$2:$C$15,$A308,Fact_PreSortWeights!$B$2:$B$15,$B308,Fact_PreSortWeights!$F$2:$F$15,$C308))+(SUMIFS(Fact_SortedWeights!$E$2:$E$6,Fact_SortedWeights!$C$2:$C$6,$A308,Fact_SortedWeights!$B$2:$B$6,$B308,Fact_SortedWeights!$D$2:$D$6,$C308,Fact_SortedWeights!$L$2:$L$6,"Yes"))+IF((SUMIFS(Fact_SortedWeights!$E$2:$E$6,Fact_SortedWeights!$C$2:$C$6,$A308,Fact_SortedWeights!$B$2:$B$6,$B308,Fact_SortedWeights!$L$2:$L$6,"No"))=0,0,(SUMIFS(Fact_SortedWeights!$E$2:$E$6,Fact_SortedWeights!$C$2:$C$6,$A308,Fact_SortedWeights!$B$2:$B$6,$B308,Fact_SortedWeights!$D$2:$D$6,$C308,Fact_SortedWeights!$L$2:$L$6,"No"))/(SUMIFS(Fact_SortedWeights!$E$2:$E$6,Fact_SortedWeights!$C$2:$C$6,$A308,Fact_SortedWeights!$B$2:$B$6,$B308,Fact_SortedWeights!$L$2:$L$6,"No"))*((SUMIFS(Fact_PreSortWeights!$E$2:$E$15,Fact_PreSortWeights!$C$2:$C$15,$A308,Fact_PreSortWeights!$B$2:$B$15,$B308,Fact_PreSortWeights!$F$2:$F$15,""))-(SUMIFS(Fact_SortedWeights!$E$2:$E$6,Fact_SortedWeights!$C$2:$C$6,$A308,Fact_SortedWeights!$B$2:$B$6,$B308,Fact_SortedWeights!$L$2:$L$6,"Yes"))))</f>
        <v>0</v>
      </c>
      <c r="G308" s="0" t="n">
        <f aca="false">IF(AND(IF($B308="Trash",INDEX('Materials Master'!$F$2:$F$27,MATCH($C308,'Materials Master'!$A$2:$A$27,0)),IF($B308="GMPC Recycling",INDEX('Materials Master'!$G$2:$G$27,MATCH($C308,'Materials Master'!$A$2:$A$27,0)),IF($B308="Organics Recycling",INDEX('Materials Master'!$H$2:$H$27,MATCH($C308,'Materials Master'!$A$2:$A$27,0)),IF($B308="Cardboard Recycling",INDEX('Materials Master'!$I$2:$I$27,MATCH($C308,'Materials Master'!$A$2:$A$27,0)),IF($B308="Paper Recycling",INDEX('Materials Master'!$J$2:$J$27,MATCH($C308,'Materials Master'!$A$2:$A$27,0)),IF($B308="Terracycle",INDEX('Materials Master'!$K$2:$K$27,MATCH($C308,'Materials Master'!$A$2:$A$27,0)),"No"))))))="Yes",INDEX('Materials Master'!$E$2:$E$27,MATCH($C308,'Materials Master'!$A$2:$A$27,0))="Yes",$B308&lt;&gt;"Trash"),1,0)</f>
        <v>0</v>
      </c>
      <c r="H308" s="0" t="str">
        <f aca="false">INDEX('Materials Master'!$E$2:$E$27,MATCH($C308,'Materials Master'!$A$2:$A$27,0))</f>
        <v>No</v>
      </c>
      <c r="I308" s="0" t="str">
        <f aca="false">IFERROR(INDEX(Areas!$C$2:$C$6,MATCH($A308,Areas!$B$2:$B$6,0)),"")</f>
        <v>BOH</v>
      </c>
      <c r="J308" s="0" t="n">
        <f aca="false">IF(IF($B308="Trash",INDEX('Materials Master'!$F$2:$F$27,MATCH($C308,'Materials Master'!$A$2:$A$27,0)),IF($B308="GMPC Recycling",INDEX('Materials Master'!$G$2:$G$27,MATCH($C308,'Materials Master'!$A$2:$A$27,0)),IF($B308="Organics Recycling",INDEX('Materials Master'!$H$2:$H$27,MATCH($C308,'Materials Master'!$A$2:$A$27,0)),IF($B308="Cardboard Recycling",INDEX('Materials Master'!$I$2:$I$27,MATCH($C308,'Materials Master'!$A$2:$A$27,0)),IF($B308="Paper Recycling",INDEX('Materials Master'!$J$2:$J$27,MATCH($C308,'Materials Master'!$A$2:$A$27,0)),IF($B308="Terracycle",INDEX('Materials Master'!$K$2:$K$27,MATCH($C308,'Materials Master'!$A$2:$A$27,0)),"No"))))))="Yes",1,0)</f>
        <v>0</v>
      </c>
    </row>
    <row r="309" customFormat="false" ht="15" hidden="false" customHeight="false" outlineLevel="0" collapsed="false">
      <c r="A309" s="0" t="s">
        <v>94</v>
      </c>
      <c r="B309" s="0" t="s">
        <v>108</v>
      </c>
      <c r="C309" s="0" t="s">
        <v>76</v>
      </c>
      <c r="D309" s="0" t="str">
        <f aca="false">IFERROR(INDEX('Materials Master'!$B$2:$B$27,MATCH($C309,'Materials Master'!$A$2:$A$27,0)),"")</f>
        <v>Textiles</v>
      </c>
      <c r="E309" s="0" t="str">
        <f aca="false">IFERROR(INDEX('Materials Master'!$C$2:$C$27,MATCH($C309,'Materials Master'!$A$2:$A$27,0)),"")</f>
        <v>Unacceptable</v>
      </c>
      <c r="F309" s="0" t="n">
        <f aca="false">(SUMIFS(Fact_PreSortWeights!$E$2:$E$15,Fact_PreSortWeights!$C$2:$C$15,$A309,Fact_PreSortWeights!$B$2:$B$15,$B309,Fact_PreSortWeights!$F$2:$F$15,$C309))+(SUMIFS(Fact_SortedWeights!$E$2:$E$6,Fact_SortedWeights!$C$2:$C$6,$A309,Fact_SortedWeights!$B$2:$B$6,$B309,Fact_SortedWeights!$D$2:$D$6,$C309,Fact_SortedWeights!$L$2:$L$6,"Yes"))+IF((SUMIFS(Fact_SortedWeights!$E$2:$E$6,Fact_SortedWeights!$C$2:$C$6,$A309,Fact_SortedWeights!$B$2:$B$6,$B309,Fact_SortedWeights!$L$2:$L$6,"No"))=0,0,(SUMIFS(Fact_SortedWeights!$E$2:$E$6,Fact_SortedWeights!$C$2:$C$6,$A309,Fact_SortedWeights!$B$2:$B$6,$B309,Fact_SortedWeights!$D$2:$D$6,$C309,Fact_SortedWeights!$L$2:$L$6,"No"))/(SUMIFS(Fact_SortedWeights!$E$2:$E$6,Fact_SortedWeights!$C$2:$C$6,$A309,Fact_SortedWeights!$B$2:$B$6,$B309,Fact_SortedWeights!$L$2:$L$6,"No"))*((SUMIFS(Fact_PreSortWeights!$E$2:$E$15,Fact_PreSortWeights!$C$2:$C$15,$A309,Fact_PreSortWeights!$B$2:$B$15,$B309,Fact_PreSortWeights!$F$2:$F$15,""))-(SUMIFS(Fact_SortedWeights!$E$2:$E$6,Fact_SortedWeights!$C$2:$C$6,$A309,Fact_SortedWeights!$B$2:$B$6,$B309,Fact_SortedWeights!$L$2:$L$6,"Yes"))))</f>
        <v>0</v>
      </c>
      <c r="G309" s="0" t="n">
        <f aca="false">IF(AND(IF($B309="Trash",INDEX('Materials Master'!$F$2:$F$27,MATCH($C309,'Materials Master'!$A$2:$A$27,0)),IF($B309="GMPC Recycling",INDEX('Materials Master'!$G$2:$G$27,MATCH($C309,'Materials Master'!$A$2:$A$27,0)),IF($B309="Organics Recycling",INDEX('Materials Master'!$H$2:$H$27,MATCH($C309,'Materials Master'!$A$2:$A$27,0)),IF($B309="Cardboard Recycling",INDEX('Materials Master'!$I$2:$I$27,MATCH($C309,'Materials Master'!$A$2:$A$27,0)),IF($B309="Paper Recycling",INDEX('Materials Master'!$J$2:$J$27,MATCH($C309,'Materials Master'!$A$2:$A$27,0)),IF($B309="Terracycle",INDEX('Materials Master'!$K$2:$K$27,MATCH($C309,'Materials Master'!$A$2:$A$27,0)),"No"))))))="Yes",INDEX('Materials Master'!$E$2:$E$27,MATCH($C309,'Materials Master'!$A$2:$A$27,0))="Yes",$B309&lt;&gt;"Trash"),1,0)</f>
        <v>0</v>
      </c>
      <c r="H309" s="0" t="str">
        <f aca="false">INDEX('Materials Master'!$E$2:$E$27,MATCH($C309,'Materials Master'!$A$2:$A$27,0))</f>
        <v>No</v>
      </c>
      <c r="I309" s="0" t="str">
        <f aca="false">IFERROR(INDEX(Areas!$C$2:$C$6,MATCH($A309,Areas!$B$2:$B$6,0)),"")</f>
        <v>BOH</v>
      </c>
      <c r="J309" s="0" t="n">
        <f aca="false">IF(IF($B309="Trash",INDEX('Materials Master'!$F$2:$F$27,MATCH($C309,'Materials Master'!$A$2:$A$27,0)),IF($B309="GMPC Recycling",INDEX('Materials Master'!$G$2:$G$27,MATCH($C309,'Materials Master'!$A$2:$A$27,0)),IF($B309="Organics Recycling",INDEX('Materials Master'!$H$2:$H$27,MATCH($C309,'Materials Master'!$A$2:$A$27,0)),IF($B309="Cardboard Recycling",INDEX('Materials Master'!$I$2:$I$27,MATCH($C309,'Materials Master'!$A$2:$A$27,0)),IF($B309="Paper Recycling",INDEX('Materials Master'!$J$2:$J$27,MATCH($C309,'Materials Master'!$A$2:$A$27,0)),IF($B309="Terracycle",INDEX('Materials Master'!$K$2:$K$27,MATCH($C309,'Materials Master'!$A$2:$A$27,0)),"No"))))))="Yes",1,0)</f>
        <v>0</v>
      </c>
    </row>
    <row r="310" customFormat="false" ht="15" hidden="false" customHeight="false" outlineLevel="0" collapsed="false">
      <c r="A310" s="0" t="s">
        <v>94</v>
      </c>
      <c r="B310" s="0" t="s">
        <v>108</v>
      </c>
      <c r="C310" s="0" t="s">
        <v>78</v>
      </c>
      <c r="D310" s="0" t="str">
        <f aca="false">IFERROR(INDEX('Materials Master'!$B$2:$B$27,MATCH($C310,'Materials Master'!$A$2:$A$27,0)),"")</f>
        <v>Other Unacceptable (specify)</v>
      </c>
      <c r="E310" s="0" t="str">
        <f aca="false">IFERROR(INDEX('Materials Master'!$C$2:$C$27,MATCH($C310,'Materials Master'!$A$2:$A$27,0)),"")</f>
        <v>Unacceptable</v>
      </c>
      <c r="F310" s="0" t="n">
        <f aca="false">(SUMIFS(Fact_PreSortWeights!$E$2:$E$15,Fact_PreSortWeights!$C$2:$C$15,$A310,Fact_PreSortWeights!$B$2:$B$15,$B310,Fact_PreSortWeights!$F$2:$F$15,$C310))+(SUMIFS(Fact_SortedWeights!$E$2:$E$6,Fact_SortedWeights!$C$2:$C$6,$A310,Fact_SortedWeights!$B$2:$B$6,$B310,Fact_SortedWeights!$D$2:$D$6,$C310,Fact_SortedWeights!$L$2:$L$6,"Yes"))+IF((SUMIFS(Fact_SortedWeights!$E$2:$E$6,Fact_SortedWeights!$C$2:$C$6,$A310,Fact_SortedWeights!$B$2:$B$6,$B310,Fact_SortedWeights!$L$2:$L$6,"No"))=0,0,(SUMIFS(Fact_SortedWeights!$E$2:$E$6,Fact_SortedWeights!$C$2:$C$6,$A310,Fact_SortedWeights!$B$2:$B$6,$B310,Fact_SortedWeights!$D$2:$D$6,$C310,Fact_SortedWeights!$L$2:$L$6,"No"))/(SUMIFS(Fact_SortedWeights!$E$2:$E$6,Fact_SortedWeights!$C$2:$C$6,$A310,Fact_SortedWeights!$B$2:$B$6,$B310,Fact_SortedWeights!$L$2:$L$6,"No"))*((SUMIFS(Fact_PreSortWeights!$E$2:$E$15,Fact_PreSortWeights!$C$2:$C$15,$A310,Fact_PreSortWeights!$B$2:$B$15,$B310,Fact_PreSortWeights!$F$2:$F$15,""))-(SUMIFS(Fact_SortedWeights!$E$2:$E$6,Fact_SortedWeights!$C$2:$C$6,$A310,Fact_SortedWeights!$B$2:$B$6,$B310,Fact_SortedWeights!$L$2:$L$6,"Yes"))))</f>
        <v>0</v>
      </c>
      <c r="G310" s="0" t="n">
        <f aca="false">IF(AND(IF($B310="Trash",INDEX('Materials Master'!$F$2:$F$27,MATCH($C310,'Materials Master'!$A$2:$A$27,0)),IF($B310="GMPC Recycling",INDEX('Materials Master'!$G$2:$G$27,MATCH($C310,'Materials Master'!$A$2:$A$27,0)),IF($B310="Organics Recycling",INDEX('Materials Master'!$H$2:$H$27,MATCH($C310,'Materials Master'!$A$2:$A$27,0)),IF($B310="Cardboard Recycling",INDEX('Materials Master'!$I$2:$I$27,MATCH($C310,'Materials Master'!$A$2:$A$27,0)),IF($B310="Paper Recycling",INDEX('Materials Master'!$J$2:$J$27,MATCH($C310,'Materials Master'!$A$2:$A$27,0)),IF($B310="Terracycle",INDEX('Materials Master'!$K$2:$K$27,MATCH($C310,'Materials Master'!$A$2:$A$27,0)),"No"))))))="Yes",INDEX('Materials Master'!$E$2:$E$27,MATCH($C310,'Materials Master'!$A$2:$A$27,0))="Yes",$B310&lt;&gt;"Trash"),1,0)</f>
        <v>0</v>
      </c>
      <c r="H310" s="0" t="str">
        <f aca="false">INDEX('Materials Master'!$E$2:$E$27,MATCH($C310,'Materials Master'!$A$2:$A$27,0))</f>
        <v>No</v>
      </c>
      <c r="I310" s="0" t="str">
        <f aca="false">IFERROR(INDEX(Areas!$C$2:$C$6,MATCH($A310,Areas!$B$2:$B$6,0)),"")</f>
        <v>BOH</v>
      </c>
      <c r="J310" s="0" t="n">
        <f aca="false">IF(IF($B310="Trash",INDEX('Materials Master'!$F$2:$F$27,MATCH($C310,'Materials Master'!$A$2:$A$27,0)),IF($B310="GMPC Recycling",INDEX('Materials Master'!$G$2:$G$27,MATCH($C310,'Materials Master'!$A$2:$A$27,0)),IF($B310="Organics Recycling",INDEX('Materials Master'!$H$2:$H$27,MATCH($C310,'Materials Master'!$A$2:$A$27,0)),IF($B310="Cardboard Recycling",INDEX('Materials Master'!$I$2:$I$27,MATCH($C310,'Materials Master'!$A$2:$A$27,0)),IF($B310="Paper Recycling",INDEX('Materials Master'!$J$2:$J$27,MATCH($C310,'Materials Master'!$A$2:$A$27,0)),IF($B310="Terracycle",INDEX('Materials Master'!$K$2:$K$27,MATCH($C310,'Materials Master'!$A$2:$A$27,0)),"No"))))))="Yes",1,0)</f>
        <v>0</v>
      </c>
    </row>
    <row r="311" customFormat="false" ht="15" hidden="false" customHeight="false" outlineLevel="0" collapsed="false">
      <c r="A311" s="0" t="s">
        <v>94</v>
      </c>
      <c r="B311" s="0" t="s">
        <v>108</v>
      </c>
      <c r="C311" s="0" t="s">
        <v>80</v>
      </c>
      <c r="D311" s="0" t="str">
        <f aca="false">IFERROR(INDEX('Materials Master'!$B$2:$B$27,MATCH($C311,'Materials Master'!$A$2:$A$27,0)),"")</f>
        <v>Liquids</v>
      </c>
      <c r="E311" s="0" t="str">
        <f aca="false">IFERROR(INDEX('Materials Master'!$C$2:$C$27,MATCH($C311,'Materials Master'!$A$2:$A$27,0)),"")</f>
        <v>Unacceptable</v>
      </c>
      <c r="F311" s="0" t="n">
        <f aca="false">(SUMIFS(Fact_PreSortWeights!$E$2:$E$15,Fact_PreSortWeights!$C$2:$C$15,$A311,Fact_PreSortWeights!$B$2:$B$15,$B311,Fact_PreSortWeights!$F$2:$F$15,$C311))+(SUMIFS(Fact_SortedWeights!$E$2:$E$6,Fact_SortedWeights!$C$2:$C$6,$A311,Fact_SortedWeights!$B$2:$B$6,$B311,Fact_SortedWeights!$D$2:$D$6,$C311,Fact_SortedWeights!$L$2:$L$6,"Yes"))+IF((SUMIFS(Fact_SortedWeights!$E$2:$E$6,Fact_SortedWeights!$C$2:$C$6,$A311,Fact_SortedWeights!$B$2:$B$6,$B311,Fact_SortedWeights!$L$2:$L$6,"No"))=0,0,(SUMIFS(Fact_SortedWeights!$E$2:$E$6,Fact_SortedWeights!$C$2:$C$6,$A311,Fact_SortedWeights!$B$2:$B$6,$B311,Fact_SortedWeights!$D$2:$D$6,$C311,Fact_SortedWeights!$L$2:$L$6,"No"))/(SUMIFS(Fact_SortedWeights!$E$2:$E$6,Fact_SortedWeights!$C$2:$C$6,$A311,Fact_SortedWeights!$B$2:$B$6,$B311,Fact_SortedWeights!$L$2:$L$6,"No"))*((SUMIFS(Fact_PreSortWeights!$E$2:$E$15,Fact_PreSortWeights!$C$2:$C$15,$A311,Fact_PreSortWeights!$B$2:$B$15,$B311,Fact_PreSortWeights!$F$2:$F$15,""))-(SUMIFS(Fact_SortedWeights!$E$2:$E$6,Fact_SortedWeights!$C$2:$C$6,$A311,Fact_SortedWeights!$B$2:$B$6,$B311,Fact_SortedWeights!$L$2:$L$6,"Yes"))))</f>
        <v>0</v>
      </c>
      <c r="G311" s="0" t="n">
        <f aca="false">IF(AND(IF($B311="Trash",INDEX('Materials Master'!$F$2:$F$27,MATCH($C311,'Materials Master'!$A$2:$A$27,0)),IF($B311="GMPC Recycling",INDEX('Materials Master'!$G$2:$G$27,MATCH($C311,'Materials Master'!$A$2:$A$27,0)),IF($B311="Organics Recycling",INDEX('Materials Master'!$H$2:$H$27,MATCH($C311,'Materials Master'!$A$2:$A$27,0)),IF($B311="Cardboard Recycling",INDEX('Materials Master'!$I$2:$I$27,MATCH($C311,'Materials Master'!$A$2:$A$27,0)),IF($B311="Paper Recycling",INDEX('Materials Master'!$J$2:$J$27,MATCH($C311,'Materials Master'!$A$2:$A$27,0)),IF($B311="Terracycle",INDEX('Materials Master'!$K$2:$K$27,MATCH($C311,'Materials Master'!$A$2:$A$27,0)),"No"))))))="Yes",INDEX('Materials Master'!$E$2:$E$27,MATCH($C311,'Materials Master'!$A$2:$A$27,0))="Yes",$B311&lt;&gt;"Trash"),1,0)</f>
        <v>0</v>
      </c>
      <c r="H311" s="0" t="str">
        <f aca="false">INDEX('Materials Master'!$E$2:$E$27,MATCH($C311,'Materials Master'!$A$2:$A$27,0))</f>
        <v>No</v>
      </c>
      <c r="I311" s="0" t="str">
        <f aca="false">IFERROR(INDEX(Areas!$C$2:$C$6,MATCH($A311,Areas!$B$2:$B$6,0)),"")</f>
        <v>BOH</v>
      </c>
      <c r="J311" s="0" t="n">
        <f aca="false">IF(IF($B311="Trash",INDEX('Materials Master'!$F$2:$F$27,MATCH($C311,'Materials Master'!$A$2:$A$27,0)),IF($B311="GMPC Recycling",INDEX('Materials Master'!$G$2:$G$27,MATCH($C311,'Materials Master'!$A$2:$A$27,0)),IF($B311="Organics Recycling",INDEX('Materials Master'!$H$2:$H$27,MATCH($C311,'Materials Master'!$A$2:$A$27,0)),IF($B311="Cardboard Recycling",INDEX('Materials Master'!$I$2:$I$27,MATCH($C311,'Materials Master'!$A$2:$A$27,0)),IF($B311="Paper Recycling",INDEX('Materials Master'!$J$2:$J$27,MATCH($C311,'Materials Master'!$A$2:$A$27,0)),IF($B311="Terracycle",INDEX('Materials Master'!$K$2:$K$27,MATCH($C311,'Materials Master'!$A$2:$A$27,0)),"No"))))))="Yes",1,0)</f>
        <v>0</v>
      </c>
    </row>
    <row r="312" customFormat="false" ht="15" hidden="false" customHeight="false" outlineLevel="0" collapsed="false">
      <c r="A312" s="0" t="s">
        <v>94</v>
      </c>
      <c r="B312" s="0" t="s">
        <v>108</v>
      </c>
      <c r="C312" s="0" t="s">
        <v>82</v>
      </c>
      <c r="D312" s="0" t="str">
        <f aca="false">IFERROR(INDEX('Materials Master'!$B$2:$B$27,MATCH($C312,'Materials Master'!$A$2:$A$27,0)),"")</f>
        <v>Snack Wrappers (Composites)</v>
      </c>
      <c r="E312" s="0" t="str">
        <f aca="false">IFERROR(INDEX('Materials Master'!$C$2:$C$27,MATCH($C312,'Materials Master'!$A$2:$A$27,0)),"")</f>
        <v>Other</v>
      </c>
      <c r="F312" s="0" t="n">
        <f aca="false">(SUMIFS(Fact_PreSortWeights!$E$2:$E$15,Fact_PreSortWeights!$C$2:$C$15,$A312,Fact_PreSortWeights!$B$2:$B$15,$B312,Fact_PreSortWeights!$F$2:$F$15,$C312))+(SUMIFS(Fact_SortedWeights!$E$2:$E$6,Fact_SortedWeights!$C$2:$C$6,$A312,Fact_SortedWeights!$B$2:$B$6,$B312,Fact_SortedWeights!$D$2:$D$6,$C312,Fact_SortedWeights!$L$2:$L$6,"Yes"))+IF((SUMIFS(Fact_SortedWeights!$E$2:$E$6,Fact_SortedWeights!$C$2:$C$6,$A312,Fact_SortedWeights!$B$2:$B$6,$B312,Fact_SortedWeights!$L$2:$L$6,"No"))=0,0,(SUMIFS(Fact_SortedWeights!$E$2:$E$6,Fact_SortedWeights!$C$2:$C$6,$A312,Fact_SortedWeights!$B$2:$B$6,$B312,Fact_SortedWeights!$D$2:$D$6,$C312,Fact_SortedWeights!$L$2:$L$6,"No"))/(SUMIFS(Fact_SortedWeights!$E$2:$E$6,Fact_SortedWeights!$C$2:$C$6,$A312,Fact_SortedWeights!$B$2:$B$6,$B312,Fact_SortedWeights!$L$2:$L$6,"No"))*((SUMIFS(Fact_PreSortWeights!$E$2:$E$15,Fact_PreSortWeights!$C$2:$C$15,$A312,Fact_PreSortWeights!$B$2:$B$15,$B312,Fact_PreSortWeights!$F$2:$F$15,""))-(SUMIFS(Fact_SortedWeights!$E$2:$E$6,Fact_SortedWeights!$C$2:$C$6,$A312,Fact_SortedWeights!$B$2:$B$6,$B312,Fact_SortedWeights!$L$2:$L$6,"Yes"))))</f>
        <v>0</v>
      </c>
      <c r="G312" s="0" t="n">
        <f aca="false">IF(AND(IF($B312="Trash",INDEX('Materials Master'!$F$2:$F$27,MATCH($C312,'Materials Master'!$A$2:$A$27,0)),IF($B312="GMPC Recycling",INDEX('Materials Master'!$G$2:$G$27,MATCH($C312,'Materials Master'!$A$2:$A$27,0)),IF($B312="Organics Recycling",INDEX('Materials Master'!$H$2:$H$27,MATCH($C312,'Materials Master'!$A$2:$A$27,0)),IF($B312="Cardboard Recycling",INDEX('Materials Master'!$I$2:$I$27,MATCH($C312,'Materials Master'!$A$2:$A$27,0)),IF($B312="Paper Recycling",INDEX('Materials Master'!$J$2:$J$27,MATCH($C312,'Materials Master'!$A$2:$A$27,0)),IF($B312="Terracycle",INDEX('Materials Master'!$K$2:$K$27,MATCH($C312,'Materials Master'!$A$2:$A$27,0)),"No"))))))="Yes",INDEX('Materials Master'!$E$2:$E$27,MATCH($C312,'Materials Master'!$A$2:$A$27,0))="Yes",$B312&lt;&gt;"Trash"),1,0)</f>
        <v>1</v>
      </c>
      <c r="H312" s="0" t="str">
        <f aca="false">INDEX('Materials Master'!$E$2:$E$27,MATCH($C312,'Materials Master'!$A$2:$A$27,0))</f>
        <v>Yes</v>
      </c>
      <c r="I312" s="0" t="str">
        <f aca="false">IFERROR(INDEX(Areas!$C$2:$C$6,MATCH($A312,Areas!$B$2:$B$6,0)),"")</f>
        <v>BOH</v>
      </c>
      <c r="J312" s="0" t="n">
        <f aca="false">IF(IF($B312="Trash",INDEX('Materials Master'!$F$2:$F$27,MATCH($C312,'Materials Master'!$A$2:$A$27,0)),IF($B312="GMPC Recycling",INDEX('Materials Master'!$G$2:$G$27,MATCH($C312,'Materials Master'!$A$2:$A$27,0)),IF($B312="Organics Recycling",INDEX('Materials Master'!$H$2:$H$27,MATCH($C312,'Materials Master'!$A$2:$A$27,0)),IF($B312="Cardboard Recycling",INDEX('Materials Master'!$I$2:$I$27,MATCH($C312,'Materials Master'!$A$2:$A$27,0)),IF($B312="Paper Recycling",INDEX('Materials Master'!$J$2:$J$27,MATCH($C312,'Materials Master'!$A$2:$A$27,0)),IF($B312="Terracycle",INDEX('Materials Master'!$K$2:$K$27,MATCH($C312,'Materials Master'!$A$2:$A$27,0)),"No"))))))="Yes",1,0)</f>
        <v>1</v>
      </c>
    </row>
    <row r="313" customFormat="false" ht="15" hidden="false" customHeight="false" outlineLevel="0" collapsed="false">
      <c r="A313" s="0" t="s">
        <v>94</v>
      </c>
      <c r="B313" s="0" t="s">
        <v>108</v>
      </c>
      <c r="C313" s="0" t="s">
        <v>85</v>
      </c>
      <c r="D313" s="0" t="str">
        <f aca="false">IFERROR(INDEX('Materials Master'!$B$2:$B$27,MATCH($C313,'Materials Master'!$A$2:$A$27,0)),"")</f>
        <v>Other/Residual Materials</v>
      </c>
      <c r="E313" s="0" t="str">
        <f aca="false">IFERROR(INDEX('Materials Master'!$C$2:$C$27,MATCH($C313,'Materials Master'!$A$2:$A$27,0)),"")</f>
        <v>Other</v>
      </c>
      <c r="F313" s="0" t="n">
        <f aca="false">(SUMIFS(Fact_PreSortWeights!$E$2:$E$15,Fact_PreSortWeights!$C$2:$C$15,$A313,Fact_PreSortWeights!$B$2:$B$15,$B313,Fact_PreSortWeights!$F$2:$F$15,$C313))+(SUMIFS(Fact_SortedWeights!$E$2:$E$6,Fact_SortedWeights!$C$2:$C$6,$A313,Fact_SortedWeights!$B$2:$B$6,$B313,Fact_SortedWeights!$D$2:$D$6,$C313,Fact_SortedWeights!$L$2:$L$6,"Yes"))+IF((SUMIFS(Fact_SortedWeights!$E$2:$E$6,Fact_SortedWeights!$C$2:$C$6,$A313,Fact_SortedWeights!$B$2:$B$6,$B313,Fact_SortedWeights!$L$2:$L$6,"No"))=0,0,(SUMIFS(Fact_SortedWeights!$E$2:$E$6,Fact_SortedWeights!$C$2:$C$6,$A313,Fact_SortedWeights!$B$2:$B$6,$B313,Fact_SortedWeights!$D$2:$D$6,$C313,Fact_SortedWeights!$L$2:$L$6,"No"))/(SUMIFS(Fact_SortedWeights!$E$2:$E$6,Fact_SortedWeights!$C$2:$C$6,$A313,Fact_SortedWeights!$B$2:$B$6,$B313,Fact_SortedWeights!$L$2:$L$6,"No"))*((SUMIFS(Fact_PreSortWeights!$E$2:$E$15,Fact_PreSortWeights!$C$2:$C$15,$A313,Fact_PreSortWeights!$B$2:$B$15,$B313,Fact_PreSortWeights!$F$2:$F$15,""))-(SUMIFS(Fact_SortedWeights!$E$2:$E$6,Fact_SortedWeights!$C$2:$C$6,$A313,Fact_SortedWeights!$B$2:$B$6,$B313,Fact_SortedWeights!$L$2:$L$6,"Yes"))))</f>
        <v>0</v>
      </c>
      <c r="G313" s="0" t="n">
        <f aca="false">IF(AND(IF($B313="Trash",INDEX('Materials Master'!$F$2:$F$27,MATCH($C313,'Materials Master'!$A$2:$A$27,0)),IF($B313="GMPC Recycling",INDEX('Materials Master'!$G$2:$G$27,MATCH($C313,'Materials Master'!$A$2:$A$27,0)),IF($B313="Organics Recycling",INDEX('Materials Master'!$H$2:$H$27,MATCH($C313,'Materials Master'!$A$2:$A$27,0)),IF($B313="Cardboard Recycling",INDEX('Materials Master'!$I$2:$I$27,MATCH($C313,'Materials Master'!$A$2:$A$27,0)),IF($B313="Paper Recycling",INDEX('Materials Master'!$J$2:$J$27,MATCH($C313,'Materials Master'!$A$2:$A$27,0)),IF($B313="Terracycle",INDEX('Materials Master'!$K$2:$K$27,MATCH($C313,'Materials Master'!$A$2:$A$27,0)),"No"))))))="Yes",INDEX('Materials Master'!$E$2:$E$27,MATCH($C313,'Materials Master'!$A$2:$A$27,0))="Yes",$B313&lt;&gt;"Trash"),1,0)</f>
        <v>0</v>
      </c>
      <c r="H313" s="0" t="str">
        <f aca="false">INDEX('Materials Master'!$E$2:$E$27,MATCH($C313,'Materials Master'!$A$2:$A$27,0))</f>
        <v>No</v>
      </c>
      <c r="I313" s="0" t="str">
        <f aca="false">IFERROR(INDEX(Areas!$C$2:$C$6,MATCH($A313,Areas!$B$2:$B$6,0)),"")</f>
        <v>BOH</v>
      </c>
      <c r="J313" s="0" t="n">
        <f aca="false">IF(IF($B313="Trash",INDEX('Materials Master'!$F$2:$F$27,MATCH($C313,'Materials Master'!$A$2:$A$27,0)),IF($B313="GMPC Recycling",INDEX('Materials Master'!$G$2:$G$27,MATCH($C313,'Materials Master'!$A$2:$A$27,0)),IF($B313="Organics Recycling",INDEX('Materials Master'!$H$2:$H$27,MATCH($C313,'Materials Master'!$A$2:$A$27,0)),IF($B313="Cardboard Recycling",INDEX('Materials Master'!$I$2:$I$27,MATCH($C313,'Materials Master'!$A$2:$A$27,0)),IF($B313="Paper Recycling",INDEX('Materials Master'!$J$2:$J$27,MATCH($C313,'Materials Master'!$A$2:$A$27,0)),IF($B313="Terracycle",INDEX('Materials Master'!$K$2:$K$27,MATCH($C313,'Materials Master'!$A$2:$A$27,0)),"No"))))))="Yes",1,0)</f>
        <v>0</v>
      </c>
    </row>
    <row r="314" customFormat="false" ht="15" hidden="false" customHeight="false" outlineLevel="0" collapsed="false">
      <c r="A314" s="0" t="s">
        <v>97</v>
      </c>
      <c r="B314" s="0" t="s">
        <v>103</v>
      </c>
      <c r="C314" s="0" t="s">
        <v>26</v>
      </c>
      <c r="D314" s="0" t="str">
        <f aca="false">IFERROR(INDEX('Materials Master'!$B$2:$B$27,MATCH($C314,'Materials Master'!$A$2:$A$27,0)),"")</f>
        <v>Corrugated Cardboard</v>
      </c>
      <c r="E314" s="0" t="str">
        <f aca="false">IFERROR(INDEX('Materials Master'!$C$2:$C$27,MATCH($C314,'Materials Master'!$A$2:$A$27,0)),"")</f>
        <v>Fibers</v>
      </c>
      <c r="F314" s="0" t="n">
        <f aca="false">(SUMIFS(Fact_PreSortWeights!$E$2:$E$15,Fact_PreSortWeights!$C$2:$C$15,$A314,Fact_PreSortWeights!$B$2:$B$15,$B314,Fact_PreSortWeights!$F$2:$F$15,$C314))+(SUMIFS(Fact_SortedWeights!$E$2:$E$6,Fact_SortedWeights!$C$2:$C$6,$A314,Fact_SortedWeights!$B$2:$B$6,$B314,Fact_SortedWeights!$D$2:$D$6,$C314,Fact_SortedWeights!$L$2:$L$6,"Yes"))+IF((SUMIFS(Fact_SortedWeights!$E$2:$E$6,Fact_SortedWeights!$C$2:$C$6,$A314,Fact_SortedWeights!$B$2:$B$6,$B314,Fact_SortedWeights!$L$2:$L$6,"No"))=0,0,(SUMIFS(Fact_SortedWeights!$E$2:$E$6,Fact_SortedWeights!$C$2:$C$6,$A314,Fact_SortedWeights!$B$2:$B$6,$B314,Fact_SortedWeights!$D$2:$D$6,$C314,Fact_SortedWeights!$L$2:$L$6,"No"))/(SUMIFS(Fact_SortedWeights!$E$2:$E$6,Fact_SortedWeights!$C$2:$C$6,$A314,Fact_SortedWeights!$B$2:$B$6,$B314,Fact_SortedWeights!$L$2:$L$6,"No"))*((SUMIFS(Fact_PreSortWeights!$E$2:$E$15,Fact_PreSortWeights!$C$2:$C$15,$A314,Fact_PreSortWeights!$B$2:$B$15,$B314,Fact_PreSortWeights!$F$2:$F$15,""))-(SUMIFS(Fact_SortedWeights!$E$2:$E$6,Fact_SortedWeights!$C$2:$C$6,$A314,Fact_SortedWeights!$B$2:$B$6,$B314,Fact_SortedWeights!$L$2:$L$6,"Yes"))))</f>
        <v>0</v>
      </c>
      <c r="G314" s="0" t="n">
        <f aca="false">IF(AND(IF($B314="Trash",INDEX('Materials Master'!$F$2:$F$27,MATCH($C314,'Materials Master'!$A$2:$A$27,0)),IF($B314="GMPC Recycling",INDEX('Materials Master'!$G$2:$G$27,MATCH($C314,'Materials Master'!$A$2:$A$27,0)),IF($B314="Organics Recycling",INDEX('Materials Master'!$H$2:$H$27,MATCH($C314,'Materials Master'!$A$2:$A$27,0)),IF($B314="Cardboard Recycling",INDEX('Materials Master'!$I$2:$I$27,MATCH($C314,'Materials Master'!$A$2:$A$27,0)),IF($B314="Paper Recycling",INDEX('Materials Master'!$J$2:$J$27,MATCH($C314,'Materials Master'!$A$2:$A$27,0)),IF($B314="Terracycle",INDEX('Materials Master'!$K$2:$K$27,MATCH($C314,'Materials Master'!$A$2:$A$27,0)),"No"))))))="Yes",INDEX('Materials Master'!$E$2:$E$27,MATCH($C314,'Materials Master'!$A$2:$A$27,0))="Yes",$B314&lt;&gt;"Trash"),1,0)</f>
        <v>0</v>
      </c>
      <c r="H314" s="0" t="str">
        <f aca="false">INDEX('Materials Master'!$E$2:$E$27,MATCH($C314,'Materials Master'!$A$2:$A$27,0))</f>
        <v>Yes</v>
      </c>
      <c r="I314" s="0" t="str">
        <f aca="false">IFERROR(INDEX(Areas!$C$2:$C$6,MATCH($A314,Areas!$B$2:$B$6,0)),"")</f>
        <v>Rest of Building</v>
      </c>
      <c r="J314" s="0" t="n">
        <f aca="false">IF(IF($B314="Trash",INDEX('Materials Master'!$F$2:$F$27,MATCH($C314,'Materials Master'!$A$2:$A$27,0)),IF($B314="GMPC Recycling",INDEX('Materials Master'!$G$2:$G$27,MATCH($C314,'Materials Master'!$A$2:$A$27,0)),IF($B314="Organics Recycling",INDEX('Materials Master'!$H$2:$H$27,MATCH($C314,'Materials Master'!$A$2:$A$27,0)),IF($B314="Cardboard Recycling",INDEX('Materials Master'!$I$2:$I$27,MATCH($C314,'Materials Master'!$A$2:$A$27,0)),IF($B314="Paper Recycling",INDEX('Materials Master'!$J$2:$J$27,MATCH($C314,'Materials Master'!$A$2:$A$27,0)),IF($B314="Terracycle",INDEX('Materials Master'!$K$2:$K$27,MATCH($C314,'Materials Master'!$A$2:$A$27,0)),"No"))))))="Yes",1,0)</f>
        <v>0</v>
      </c>
    </row>
    <row r="315" customFormat="false" ht="15" hidden="false" customHeight="false" outlineLevel="0" collapsed="false">
      <c r="A315" s="0" t="s">
        <v>97</v>
      </c>
      <c r="B315" s="0" t="s">
        <v>103</v>
      </c>
      <c r="C315" s="0" t="s">
        <v>31</v>
      </c>
      <c r="D315" s="0" t="str">
        <f aca="false">IFERROR(INDEX('Materials Master'!$B$2:$B$27,MATCH($C315,'Materials Master'!$A$2:$A$27,0)),"")</f>
        <v>Soiled Cardboard</v>
      </c>
      <c r="E315" s="0" t="str">
        <f aca="false">IFERROR(INDEX('Materials Master'!$C$2:$C$27,MATCH($C315,'Materials Master'!$A$2:$A$27,0)),"")</f>
        <v>Fibers</v>
      </c>
      <c r="F315" s="0" t="n">
        <f aca="false">(SUMIFS(Fact_PreSortWeights!$E$2:$E$15,Fact_PreSortWeights!$C$2:$C$15,$A315,Fact_PreSortWeights!$B$2:$B$15,$B315,Fact_PreSortWeights!$F$2:$F$15,$C315))+(SUMIFS(Fact_SortedWeights!$E$2:$E$6,Fact_SortedWeights!$C$2:$C$6,$A315,Fact_SortedWeights!$B$2:$B$6,$B315,Fact_SortedWeights!$D$2:$D$6,$C315,Fact_SortedWeights!$L$2:$L$6,"Yes"))+IF((SUMIFS(Fact_SortedWeights!$E$2:$E$6,Fact_SortedWeights!$C$2:$C$6,$A315,Fact_SortedWeights!$B$2:$B$6,$B315,Fact_SortedWeights!$L$2:$L$6,"No"))=0,0,(SUMIFS(Fact_SortedWeights!$E$2:$E$6,Fact_SortedWeights!$C$2:$C$6,$A315,Fact_SortedWeights!$B$2:$B$6,$B315,Fact_SortedWeights!$D$2:$D$6,$C315,Fact_SortedWeights!$L$2:$L$6,"No"))/(SUMIFS(Fact_SortedWeights!$E$2:$E$6,Fact_SortedWeights!$C$2:$C$6,$A315,Fact_SortedWeights!$B$2:$B$6,$B315,Fact_SortedWeights!$L$2:$L$6,"No"))*((SUMIFS(Fact_PreSortWeights!$E$2:$E$15,Fact_PreSortWeights!$C$2:$C$15,$A315,Fact_PreSortWeights!$B$2:$B$15,$B315,Fact_PreSortWeights!$F$2:$F$15,""))-(SUMIFS(Fact_SortedWeights!$E$2:$E$6,Fact_SortedWeights!$C$2:$C$6,$A315,Fact_SortedWeights!$B$2:$B$6,$B315,Fact_SortedWeights!$L$2:$L$6,"Yes"))))</f>
        <v>0</v>
      </c>
      <c r="G315" s="0" t="n">
        <f aca="false">IF(AND(IF($B315="Trash",INDEX('Materials Master'!$F$2:$F$27,MATCH($C315,'Materials Master'!$A$2:$A$27,0)),IF($B315="GMPC Recycling",INDEX('Materials Master'!$G$2:$G$27,MATCH($C315,'Materials Master'!$A$2:$A$27,0)),IF($B315="Organics Recycling",INDEX('Materials Master'!$H$2:$H$27,MATCH($C315,'Materials Master'!$A$2:$A$27,0)),IF($B315="Cardboard Recycling",INDEX('Materials Master'!$I$2:$I$27,MATCH($C315,'Materials Master'!$A$2:$A$27,0)),IF($B315="Paper Recycling",INDEX('Materials Master'!$J$2:$J$27,MATCH($C315,'Materials Master'!$A$2:$A$27,0)),IF($B315="Terracycle",INDEX('Materials Master'!$K$2:$K$27,MATCH($C315,'Materials Master'!$A$2:$A$27,0)),"No"))))))="Yes",INDEX('Materials Master'!$E$2:$E$27,MATCH($C315,'Materials Master'!$A$2:$A$27,0))="Yes",$B315&lt;&gt;"Trash"),1,0)</f>
        <v>0</v>
      </c>
      <c r="H315" s="0" t="str">
        <f aca="false">INDEX('Materials Master'!$E$2:$E$27,MATCH($C315,'Materials Master'!$A$2:$A$27,0))</f>
        <v>No</v>
      </c>
      <c r="I315" s="0" t="str">
        <f aca="false">IFERROR(INDEX(Areas!$C$2:$C$6,MATCH($A315,Areas!$B$2:$B$6,0)),"")</f>
        <v>Rest of Building</v>
      </c>
      <c r="J315" s="0" t="n">
        <f aca="false">IF(IF($B315="Trash",INDEX('Materials Master'!$F$2:$F$27,MATCH($C315,'Materials Master'!$A$2:$A$27,0)),IF($B315="GMPC Recycling",INDEX('Materials Master'!$G$2:$G$27,MATCH($C315,'Materials Master'!$A$2:$A$27,0)),IF($B315="Organics Recycling",INDEX('Materials Master'!$H$2:$H$27,MATCH($C315,'Materials Master'!$A$2:$A$27,0)),IF($B315="Cardboard Recycling",INDEX('Materials Master'!$I$2:$I$27,MATCH($C315,'Materials Master'!$A$2:$A$27,0)),IF($B315="Paper Recycling",INDEX('Materials Master'!$J$2:$J$27,MATCH($C315,'Materials Master'!$A$2:$A$27,0)),IF($B315="Terracycle",INDEX('Materials Master'!$K$2:$K$27,MATCH($C315,'Materials Master'!$A$2:$A$27,0)),"No"))))))="Yes",1,0)</f>
        <v>1</v>
      </c>
    </row>
    <row r="316" customFormat="false" ht="15" hidden="false" customHeight="false" outlineLevel="0" collapsed="false">
      <c r="A316" s="0" t="s">
        <v>97</v>
      </c>
      <c r="B316" s="0" t="s">
        <v>103</v>
      </c>
      <c r="C316" s="0" t="s">
        <v>33</v>
      </c>
      <c r="D316" s="0" t="str">
        <f aca="false">IFERROR(INDEX('Materials Master'!$B$2:$B$27,MATCH($C316,'Materials Master'!$A$2:$A$27,0)),"")</f>
        <v>Waxed Cardboard</v>
      </c>
      <c r="E316" s="0" t="str">
        <f aca="false">IFERROR(INDEX('Materials Master'!$C$2:$C$27,MATCH($C316,'Materials Master'!$A$2:$A$27,0)),"")</f>
        <v>Fibers</v>
      </c>
      <c r="F316" s="0" t="n">
        <f aca="false">(SUMIFS(Fact_PreSortWeights!$E$2:$E$15,Fact_PreSortWeights!$C$2:$C$15,$A316,Fact_PreSortWeights!$B$2:$B$15,$B316,Fact_PreSortWeights!$F$2:$F$15,$C316))+(SUMIFS(Fact_SortedWeights!$E$2:$E$6,Fact_SortedWeights!$C$2:$C$6,$A316,Fact_SortedWeights!$B$2:$B$6,$B316,Fact_SortedWeights!$D$2:$D$6,$C316,Fact_SortedWeights!$L$2:$L$6,"Yes"))+IF((SUMIFS(Fact_SortedWeights!$E$2:$E$6,Fact_SortedWeights!$C$2:$C$6,$A316,Fact_SortedWeights!$B$2:$B$6,$B316,Fact_SortedWeights!$L$2:$L$6,"No"))=0,0,(SUMIFS(Fact_SortedWeights!$E$2:$E$6,Fact_SortedWeights!$C$2:$C$6,$A316,Fact_SortedWeights!$B$2:$B$6,$B316,Fact_SortedWeights!$D$2:$D$6,$C316,Fact_SortedWeights!$L$2:$L$6,"No"))/(SUMIFS(Fact_SortedWeights!$E$2:$E$6,Fact_SortedWeights!$C$2:$C$6,$A316,Fact_SortedWeights!$B$2:$B$6,$B316,Fact_SortedWeights!$L$2:$L$6,"No"))*((SUMIFS(Fact_PreSortWeights!$E$2:$E$15,Fact_PreSortWeights!$C$2:$C$15,$A316,Fact_PreSortWeights!$B$2:$B$15,$B316,Fact_PreSortWeights!$F$2:$F$15,""))-(SUMIFS(Fact_SortedWeights!$E$2:$E$6,Fact_SortedWeights!$C$2:$C$6,$A316,Fact_SortedWeights!$B$2:$B$6,$B316,Fact_SortedWeights!$L$2:$L$6,"Yes"))))</f>
        <v>0</v>
      </c>
      <c r="G316" s="0" t="n">
        <f aca="false">IF(AND(IF($B316="Trash",INDEX('Materials Master'!$F$2:$F$27,MATCH($C316,'Materials Master'!$A$2:$A$27,0)),IF($B316="GMPC Recycling",INDEX('Materials Master'!$G$2:$G$27,MATCH($C316,'Materials Master'!$A$2:$A$27,0)),IF($B316="Organics Recycling",INDEX('Materials Master'!$H$2:$H$27,MATCH($C316,'Materials Master'!$A$2:$A$27,0)),IF($B316="Cardboard Recycling",INDEX('Materials Master'!$I$2:$I$27,MATCH($C316,'Materials Master'!$A$2:$A$27,0)),IF($B316="Paper Recycling",INDEX('Materials Master'!$J$2:$J$27,MATCH($C316,'Materials Master'!$A$2:$A$27,0)),IF($B316="Terracycle",INDEX('Materials Master'!$K$2:$K$27,MATCH($C316,'Materials Master'!$A$2:$A$27,0)),"No"))))))="Yes",INDEX('Materials Master'!$E$2:$E$27,MATCH($C316,'Materials Master'!$A$2:$A$27,0))="Yes",$B316&lt;&gt;"Trash"),1,0)</f>
        <v>0</v>
      </c>
      <c r="H316" s="0" t="str">
        <f aca="false">INDEX('Materials Master'!$E$2:$E$27,MATCH($C316,'Materials Master'!$A$2:$A$27,0))</f>
        <v>No</v>
      </c>
      <c r="I316" s="0" t="str">
        <f aca="false">IFERROR(INDEX(Areas!$C$2:$C$6,MATCH($A316,Areas!$B$2:$B$6,0)),"")</f>
        <v>Rest of Building</v>
      </c>
      <c r="J316" s="0" t="n">
        <f aca="false">IF(IF($B316="Trash",INDEX('Materials Master'!$F$2:$F$27,MATCH($C316,'Materials Master'!$A$2:$A$27,0)),IF($B316="GMPC Recycling",INDEX('Materials Master'!$G$2:$G$27,MATCH($C316,'Materials Master'!$A$2:$A$27,0)),IF($B316="Organics Recycling",INDEX('Materials Master'!$H$2:$H$27,MATCH($C316,'Materials Master'!$A$2:$A$27,0)),IF($B316="Cardboard Recycling",INDEX('Materials Master'!$I$2:$I$27,MATCH($C316,'Materials Master'!$A$2:$A$27,0)),IF($B316="Paper Recycling",INDEX('Materials Master'!$J$2:$J$27,MATCH($C316,'Materials Master'!$A$2:$A$27,0)),IF($B316="Terracycle",INDEX('Materials Master'!$K$2:$K$27,MATCH($C316,'Materials Master'!$A$2:$A$27,0)),"No"))))))="Yes",1,0)</f>
        <v>1</v>
      </c>
    </row>
    <row r="317" customFormat="false" ht="15" hidden="false" customHeight="false" outlineLevel="0" collapsed="false">
      <c r="A317" s="0" t="s">
        <v>97</v>
      </c>
      <c r="B317" s="0" t="s">
        <v>103</v>
      </c>
      <c r="C317" s="0" t="s">
        <v>35</v>
      </c>
      <c r="D317" s="0" t="str">
        <f aca="false">IFERROR(INDEX('Materials Master'!$B$2:$B$27,MATCH($C317,'Materials Master'!$A$2:$A$27,0)),"")</f>
        <v>Mixed Paper</v>
      </c>
      <c r="E317" s="0" t="str">
        <f aca="false">IFERROR(INDEX('Materials Master'!$C$2:$C$27,MATCH($C317,'Materials Master'!$A$2:$A$27,0)),"")</f>
        <v>Fibers</v>
      </c>
      <c r="F317" s="0" t="n">
        <f aca="false">(SUMIFS(Fact_PreSortWeights!$E$2:$E$15,Fact_PreSortWeights!$C$2:$C$15,$A317,Fact_PreSortWeights!$B$2:$B$15,$B317,Fact_PreSortWeights!$F$2:$F$15,$C317))+(SUMIFS(Fact_SortedWeights!$E$2:$E$6,Fact_SortedWeights!$C$2:$C$6,$A317,Fact_SortedWeights!$B$2:$B$6,$B317,Fact_SortedWeights!$D$2:$D$6,$C317,Fact_SortedWeights!$L$2:$L$6,"Yes"))+IF((SUMIFS(Fact_SortedWeights!$E$2:$E$6,Fact_SortedWeights!$C$2:$C$6,$A317,Fact_SortedWeights!$B$2:$B$6,$B317,Fact_SortedWeights!$L$2:$L$6,"No"))=0,0,(SUMIFS(Fact_SortedWeights!$E$2:$E$6,Fact_SortedWeights!$C$2:$C$6,$A317,Fact_SortedWeights!$B$2:$B$6,$B317,Fact_SortedWeights!$D$2:$D$6,$C317,Fact_SortedWeights!$L$2:$L$6,"No"))/(SUMIFS(Fact_SortedWeights!$E$2:$E$6,Fact_SortedWeights!$C$2:$C$6,$A317,Fact_SortedWeights!$B$2:$B$6,$B317,Fact_SortedWeights!$L$2:$L$6,"No"))*((SUMIFS(Fact_PreSortWeights!$E$2:$E$15,Fact_PreSortWeights!$C$2:$C$15,$A317,Fact_PreSortWeights!$B$2:$B$15,$B317,Fact_PreSortWeights!$F$2:$F$15,""))-(SUMIFS(Fact_SortedWeights!$E$2:$E$6,Fact_SortedWeights!$C$2:$C$6,$A317,Fact_SortedWeights!$B$2:$B$6,$B317,Fact_SortedWeights!$L$2:$L$6,"Yes"))))</f>
        <v>0</v>
      </c>
      <c r="G317" s="0" t="n">
        <f aca="false">IF(AND(IF($B317="Trash",INDEX('Materials Master'!$F$2:$F$27,MATCH($C317,'Materials Master'!$A$2:$A$27,0)),IF($B317="GMPC Recycling",INDEX('Materials Master'!$G$2:$G$27,MATCH($C317,'Materials Master'!$A$2:$A$27,0)),IF($B317="Organics Recycling",INDEX('Materials Master'!$H$2:$H$27,MATCH($C317,'Materials Master'!$A$2:$A$27,0)),IF($B317="Cardboard Recycling",INDEX('Materials Master'!$I$2:$I$27,MATCH($C317,'Materials Master'!$A$2:$A$27,0)),IF($B317="Paper Recycling",INDEX('Materials Master'!$J$2:$J$27,MATCH($C317,'Materials Master'!$A$2:$A$27,0)),IF($B317="Terracycle",INDEX('Materials Master'!$K$2:$K$27,MATCH($C317,'Materials Master'!$A$2:$A$27,0)),"No"))))))="Yes",INDEX('Materials Master'!$E$2:$E$27,MATCH($C317,'Materials Master'!$A$2:$A$27,0))="Yes",$B317&lt;&gt;"Trash"),1,0)</f>
        <v>0</v>
      </c>
      <c r="H317" s="0" t="str">
        <f aca="false">INDEX('Materials Master'!$E$2:$E$27,MATCH($C317,'Materials Master'!$A$2:$A$27,0))</f>
        <v>Yes</v>
      </c>
      <c r="I317" s="0" t="str">
        <f aca="false">IFERROR(INDEX(Areas!$C$2:$C$6,MATCH($A317,Areas!$B$2:$B$6,0)),"")</f>
        <v>Rest of Building</v>
      </c>
      <c r="J317" s="0" t="n">
        <f aca="false">IF(IF($B317="Trash",INDEX('Materials Master'!$F$2:$F$27,MATCH($C317,'Materials Master'!$A$2:$A$27,0)),IF($B317="GMPC Recycling",INDEX('Materials Master'!$G$2:$G$27,MATCH($C317,'Materials Master'!$A$2:$A$27,0)),IF($B317="Organics Recycling",INDEX('Materials Master'!$H$2:$H$27,MATCH($C317,'Materials Master'!$A$2:$A$27,0)),IF($B317="Cardboard Recycling",INDEX('Materials Master'!$I$2:$I$27,MATCH($C317,'Materials Master'!$A$2:$A$27,0)),IF($B317="Paper Recycling",INDEX('Materials Master'!$J$2:$J$27,MATCH($C317,'Materials Master'!$A$2:$A$27,0)),IF($B317="Terracycle",INDEX('Materials Master'!$K$2:$K$27,MATCH($C317,'Materials Master'!$A$2:$A$27,0)),"No"))))))="Yes",1,0)</f>
        <v>0</v>
      </c>
    </row>
    <row r="318" customFormat="false" ht="15" hidden="false" customHeight="false" outlineLevel="0" collapsed="false">
      <c r="A318" s="0" t="s">
        <v>97</v>
      </c>
      <c r="B318" s="0" t="s">
        <v>103</v>
      </c>
      <c r="C318" s="0" t="s">
        <v>37</v>
      </c>
      <c r="D318" s="0" t="str">
        <f aca="false">IFERROR(INDEX('Materials Master'!$B$2:$B$27,MATCH($C318,'Materials Master'!$A$2:$A$27,0)),"")</f>
        <v>Soiled Paper</v>
      </c>
      <c r="E318" s="0" t="str">
        <f aca="false">IFERROR(INDEX('Materials Master'!$C$2:$C$27,MATCH($C318,'Materials Master'!$A$2:$A$27,0)),"")</f>
        <v>Fibers</v>
      </c>
      <c r="F318" s="0" t="n">
        <f aca="false">(SUMIFS(Fact_PreSortWeights!$E$2:$E$15,Fact_PreSortWeights!$C$2:$C$15,$A318,Fact_PreSortWeights!$B$2:$B$15,$B318,Fact_PreSortWeights!$F$2:$F$15,$C318))+(SUMIFS(Fact_SortedWeights!$E$2:$E$6,Fact_SortedWeights!$C$2:$C$6,$A318,Fact_SortedWeights!$B$2:$B$6,$B318,Fact_SortedWeights!$D$2:$D$6,$C318,Fact_SortedWeights!$L$2:$L$6,"Yes"))+IF((SUMIFS(Fact_SortedWeights!$E$2:$E$6,Fact_SortedWeights!$C$2:$C$6,$A318,Fact_SortedWeights!$B$2:$B$6,$B318,Fact_SortedWeights!$L$2:$L$6,"No"))=0,0,(SUMIFS(Fact_SortedWeights!$E$2:$E$6,Fact_SortedWeights!$C$2:$C$6,$A318,Fact_SortedWeights!$B$2:$B$6,$B318,Fact_SortedWeights!$D$2:$D$6,$C318,Fact_SortedWeights!$L$2:$L$6,"No"))/(SUMIFS(Fact_SortedWeights!$E$2:$E$6,Fact_SortedWeights!$C$2:$C$6,$A318,Fact_SortedWeights!$B$2:$B$6,$B318,Fact_SortedWeights!$L$2:$L$6,"No"))*((SUMIFS(Fact_PreSortWeights!$E$2:$E$15,Fact_PreSortWeights!$C$2:$C$15,$A318,Fact_PreSortWeights!$B$2:$B$15,$B318,Fact_PreSortWeights!$F$2:$F$15,""))-(SUMIFS(Fact_SortedWeights!$E$2:$E$6,Fact_SortedWeights!$C$2:$C$6,$A318,Fact_SortedWeights!$B$2:$B$6,$B318,Fact_SortedWeights!$L$2:$L$6,"Yes"))))</f>
        <v>0</v>
      </c>
      <c r="G318" s="0" t="n">
        <f aca="false">IF(AND(IF($B318="Trash",INDEX('Materials Master'!$F$2:$F$27,MATCH($C318,'Materials Master'!$A$2:$A$27,0)),IF($B318="GMPC Recycling",INDEX('Materials Master'!$G$2:$G$27,MATCH($C318,'Materials Master'!$A$2:$A$27,0)),IF($B318="Organics Recycling",INDEX('Materials Master'!$H$2:$H$27,MATCH($C318,'Materials Master'!$A$2:$A$27,0)),IF($B318="Cardboard Recycling",INDEX('Materials Master'!$I$2:$I$27,MATCH($C318,'Materials Master'!$A$2:$A$27,0)),IF($B318="Paper Recycling",INDEX('Materials Master'!$J$2:$J$27,MATCH($C318,'Materials Master'!$A$2:$A$27,0)),IF($B318="Terracycle",INDEX('Materials Master'!$K$2:$K$27,MATCH($C318,'Materials Master'!$A$2:$A$27,0)),"No"))))))="Yes",INDEX('Materials Master'!$E$2:$E$27,MATCH($C318,'Materials Master'!$A$2:$A$27,0))="Yes",$B318&lt;&gt;"Trash"),1,0)</f>
        <v>0</v>
      </c>
      <c r="H318" s="0" t="str">
        <f aca="false">INDEX('Materials Master'!$E$2:$E$27,MATCH($C318,'Materials Master'!$A$2:$A$27,0))</f>
        <v>No</v>
      </c>
      <c r="I318" s="0" t="str">
        <f aca="false">IFERROR(INDEX(Areas!$C$2:$C$6,MATCH($A318,Areas!$B$2:$B$6,0)),"")</f>
        <v>Rest of Building</v>
      </c>
      <c r="J318" s="0" t="n">
        <f aca="false">IF(IF($B318="Trash",INDEX('Materials Master'!$F$2:$F$27,MATCH($C318,'Materials Master'!$A$2:$A$27,0)),IF($B318="GMPC Recycling",INDEX('Materials Master'!$G$2:$G$27,MATCH($C318,'Materials Master'!$A$2:$A$27,0)),IF($B318="Organics Recycling",INDEX('Materials Master'!$H$2:$H$27,MATCH($C318,'Materials Master'!$A$2:$A$27,0)),IF($B318="Cardboard Recycling",INDEX('Materials Master'!$I$2:$I$27,MATCH($C318,'Materials Master'!$A$2:$A$27,0)),IF($B318="Paper Recycling",INDEX('Materials Master'!$J$2:$J$27,MATCH($C318,'Materials Master'!$A$2:$A$27,0)),IF($B318="Terracycle",INDEX('Materials Master'!$K$2:$K$27,MATCH($C318,'Materials Master'!$A$2:$A$27,0)),"No"))))))="Yes",1,0)</f>
        <v>1</v>
      </c>
    </row>
    <row r="319" customFormat="false" ht="15" hidden="false" customHeight="false" outlineLevel="0" collapsed="false">
      <c r="A319" s="0" t="s">
        <v>97</v>
      </c>
      <c r="B319" s="0" t="s">
        <v>103</v>
      </c>
      <c r="C319" s="0" t="s">
        <v>39</v>
      </c>
      <c r="D319" s="0" t="str">
        <f aca="false">IFERROR(INDEX('Materials Master'!$B$2:$B$27,MATCH($C319,'Materials Master'!$A$2:$A$27,0)),"")</f>
        <v>Beverage Cartons</v>
      </c>
      <c r="E319" s="0" t="str">
        <f aca="false">IFERROR(INDEX('Materials Master'!$C$2:$C$27,MATCH($C319,'Materials Master'!$A$2:$A$27,0)),"")</f>
        <v>Fibers</v>
      </c>
      <c r="F319" s="0" t="n">
        <f aca="false">(SUMIFS(Fact_PreSortWeights!$E$2:$E$15,Fact_PreSortWeights!$C$2:$C$15,$A319,Fact_PreSortWeights!$B$2:$B$15,$B319,Fact_PreSortWeights!$F$2:$F$15,$C319))+(SUMIFS(Fact_SortedWeights!$E$2:$E$6,Fact_SortedWeights!$C$2:$C$6,$A319,Fact_SortedWeights!$B$2:$B$6,$B319,Fact_SortedWeights!$D$2:$D$6,$C319,Fact_SortedWeights!$L$2:$L$6,"Yes"))+IF((SUMIFS(Fact_SortedWeights!$E$2:$E$6,Fact_SortedWeights!$C$2:$C$6,$A319,Fact_SortedWeights!$B$2:$B$6,$B319,Fact_SortedWeights!$L$2:$L$6,"No"))=0,0,(SUMIFS(Fact_SortedWeights!$E$2:$E$6,Fact_SortedWeights!$C$2:$C$6,$A319,Fact_SortedWeights!$B$2:$B$6,$B319,Fact_SortedWeights!$D$2:$D$6,$C319,Fact_SortedWeights!$L$2:$L$6,"No"))/(SUMIFS(Fact_SortedWeights!$E$2:$E$6,Fact_SortedWeights!$C$2:$C$6,$A319,Fact_SortedWeights!$B$2:$B$6,$B319,Fact_SortedWeights!$L$2:$L$6,"No"))*((SUMIFS(Fact_PreSortWeights!$E$2:$E$15,Fact_PreSortWeights!$C$2:$C$15,$A319,Fact_PreSortWeights!$B$2:$B$15,$B319,Fact_PreSortWeights!$F$2:$F$15,""))-(SUMIFS(Fact_SortedWeights!$E$2:$E$6,Fact_SortedWeights!$C$2:$C$6,$A319,Fact_SortedWeights!$B$2:$B$6,$B319,Fact_SortedWeights!$L$2:$L$6,"Yes"))))</f>
        <v>0</v>
      </c>
      <c r="G319" s="0" t="n">
        <f aca="false">IF(AND(IF($B319="Trash",INDEX('Materials Master'!$F$2:$F$27,MATCH($C319,'Materials Master'!$A$2:$A$27,0)),IF($B319="GMPC Recycling",INDEX('Materials Master'!$G$2:$G$27,MATCH($C319,'Materials Master'!$A$2:$A$27,0)),IF($B319="Organics Recycling",INDEX('Materials Master'!$H$2:$H$27,MATCH($C319,'Materials Master'!$A$2:$A$27,0)),IF($B319="Cardboard Recycling",INDEX('Materials Master'!$I$2:$I$27,MATCH($C319,'Materials Master'!$A$2:$A$27,0)),IF($B319="Paper Recycling",INDEX('Materials Master'!$J$2:$J$27,MATCH($C319,'Materials Master'!$A$2:$A$27,0)),IF($B319="Terracycle",INDEX('Materials Master'!$K$2:$K$27,MATCH($C319,'Materials Master'!$A$2:$A$27,0)),"No"))))))="Yes",INDEX('Materials Master'!$E$2:$E$27,MATCH($C319,'Materials Master'!$A$2:$A$27,0))="Yes",$B319&lt;&gt;"Trash"),1,0)</f>
        <v>0</v>
      </c>
      <c r="H319" s="0" t="str">
        <f aca="false">INDEX('Materials Master'!$E$2:$E$27,MATCH($C319,'Materials Master'!$A$2:$A$27,0))</f>
        <v>Yes</v>
      </c>
      <c r="I319" s="0" t="str">
        <f aca="false">IFERROR(INDEX(Areas!$C$2:$C$6,MATCH($A319,Areas!$B$2:$B$6,0)),"")</f>
        <v>Rest of Building</v>
      </c>
      <c r="J319" s="0" t="n">
        <f aca="false">IF(IF($B319="Trash",INDEX('Materials Master'!$F$2:$F$27,MATCH($C319,'Materials Master'!$A$2:$A$27,0)),IF($B319="GMPC Recycling",INDEX('Materials Master'!$G$2:$G$27,MATCH($C319,'Materials Master'!$A$2:$A$27,0)),IF($B319="Organics Recycling",INDEX('Materials Master'!$H$2:$H$27,MATCH($C319,'Materials Master'!$A$2:$A$27,0)),IF($B319="Cardboard Recycling",INDEX('Materials Master'!$I$2:$I$27,MATCH($C319,'Materials Master'!$A$2:$A$27,0)),IF($B319="Paper Recycling",INDEX('Materials Master'!$J$2:$J$27,MATCH($C319,'Materials Master'!$A$2:$A$27,0)),IF($B319="Terracycle",INDEX('Materials Master'!$K$2:$K$27,MATCH($C319,'Materials Master'!$A$2:$A$27,0)),"No"))))))="Yes",1,0)</f>
        <v>0</v>
      </c>
    </row>
    <row r="320" customFormat="false" ht="15" hidden="false" customHeight="false" outlineLevel="0" collapsed="false">
      <c r="A320" s="0" t="s">
        <v>97</v>
      </c>
      <c r="B320" s="0" t="s">
        <v>103</v>
      </c>
      <c r="C320" s="0" t="s">
        <v>41</v>
      </c>
      <c r="D320" s="0" t="str">
        <f aca="false">IFERROR(INDEX('Materials Master'!$B$2:$B$27,MATCH($C320,'Materials Master'!$A$2:$A$27,0)),"")</f>
        <v>Soiled Beverage Cartons</v>
      </c>
      <c r="E320" s="0" t="str">
        <f aca="false">IFERROR(INDEX('Materials Master'!$C$2:$C$27,MATCH($C320,'Materials Master'!$A$2:$A$27,0)),"")</f>
        <v>Fibers</v>
      </c>
      <c r="F320" s="0" t="n">
        <f aca="false">(SUMIFS(Fact_PreSortWeights!$E$2:$E$15,Fact_PreSortWeights!$C$2:$C$15,$A320,Fact_PreSortWeights!$B$2:$B$15,$B320,Fact_PreSortWeights!$F$2:$F$15,$C320))+(SUMIFS(Fact_SortedWeights!$E$2:$E$6,Fact_SortedWeights!$C$2:$C$6,$A320,Fact_SortedWeights!$B$2:$B$6,$B320,Fact_SortedWeights!$D$2:$D$6,$C320,Fact_SortedWeights!$L$2:$L$6,"Yes"))+IF((SUMIFS(Fact_SortedWeights!$E$2:$E$6,Fact_SortedWeights!$C$2:$C$6,$A320,Fact_SortedWeights!$B$2:$B$6,$B320,Fact_SortedWeights!$L$2:$L$6,"No"))=0,0,(SUMIFS(Fact_SortedWeights!$E$2:$E$6,Fact_SortedWeights!$C$2:$C$6,$A320,Fact_SortedWeights!$B$2:$B$6,$B320,Fact_SortedWeights!$D$2:$D$6,$C320,Fact_SortedWeights!$L$2:$L$6,"No"))/(SUMIFS(Fact_SortedWeights!$E$2:$E$6,Fact_SortedWeights!$C$2:$C$6,$A320,Fact_SortedWeights!$B$2:$B$6,$B320,Fact_SortedWeights!$L$2:$L$6,"No"))*((SUMIFS(Fact_PreSortWeights!$E$2:$E$15,Fact_PreSortWeights!$C$2:$C$15,$A320,Fact_PreSortWeights!$B$2:$B$15,$B320,Fact_PreSortWeights!$F$2:$F$15,""))-(SUMIFS(Fact_SortedWeights!$E$2:$E$6,Fact_SortedWeights!$C$2:$C$6,$A320,Fact_SortedWeights!$B$2:$B$6,$B320,Fact_SortedWeights!$L$2:$L$6,"Yes"))))</f>
        <v>0</v>
      </c>
      <c r="G320" s="0" t="n">
        <f aca="false">IF(AND(IF($B320="Trash",INDEX('Materials Master'!$F$2:$F$27,MATCH($C320,'Materials Master'!$A$2:$A$27,0)),IF($B320="GMPC Recycling",INDEX('Materials Master'!$G$2:$G$27,MATCH($C320,'Materials Master'!$A$2:$A$27,0)),IF($B320="Organics Recycling",INDEX('Materials Master'!$H$2:$H$27,MATCH($C320,'Materials Master'!$A$2:$A$27,0)),IF($B320="Cardboard Recycling",INDEX('Materials Master'!$I$2:$I$27,MATCH($C320,'Materials Master'!$A$2:$A$27,0)),IF($B320="Paper Recycling",INDEX('Materials Master'!$J$2:$J$27,MATCH($C320,'Materials Master'!$A$2:$A$27,0)),IF($B320="Terracycle",INDEX('Materials Master'!$K$2:$K$27,MATCH($C320,'Materials Master'!$A$2:$A$27,0)),"No"))))))="Yes",INDEX('Materials Master'!$E$2:$E$27,MATCH($C320,'Materials Master'!$A$2:$A$27,0))="Yes",$B320&lt;&gt;"Trash"),1,0)</f>
        <v>0</v>
      </c>
      <c r="H320" s="0" t="str">
        <f aca="false">INDEX('Materials Master'!$E$2:$E$27,MATCH($C320,'Materials Master'!$A$2:$A$27,0))</f>
        <v>No</v>
      </c>
      <c r="I320" s="0" t="str">
        <f aca="false">IFERROR(INDEX(Areas!$C$2:$C$6,MATCH($A320,Areas!$B$2:$B$6,0)),"")</f>
        <v>Rest of Building</v>
      </c>
      <c r="J320" s="0" t="n">
        <f aca="false">IF(IF($B320="Trash",INDEX('Materials Master'!$F$2:$F$27,MATCH($C320,'Materials Master'!$A$2:$A$27,0)),IF($B320="GMPC Recycling",INDEX('Materials Master'!$G$2:$G$27,MATCH($C320,'Materials Master'!$A$2:$A$27,0)),IF($B320="Organics Recycling",INDEX('Materials Master'!$H$2:$H$27,MATCH($C320,'Materials Master'!$A$2:$A$27,0)),IF($B320="Cardboard Recycling",INDEX('Materials Master'!$I$2:$I$27,MATCH($C320,'Materials Master'!$A$2:$A$27,0)),IF($B320="Paper Recycling",INDEX('Materials Master'!$J$2:$J$27,MATCH($C320,'Materials Master'!$A$2:$A$27,0)),IF($B320="Terracycle",INDEX('Materials Master'!$K$2:$K$27,MATCH($C320,'Materials Master'!$A$2:$A$27,0)),"No"))))))="Yes",1,0)</f>
        <v>1</v>
      </c>
    </row>
    <row r="321" customFormat="false" ht="15" hidden="false" customHeight="false" outlineLevel="0" collapsed="false">
      <c r="A321" s="0" t="s">
        <v>97</v>
      </c>
      <c r="B321" s="0" t="s">
        <v>103</v>
      </c>
      <c r="C321" s="0" t="s">
        <v>43</v>
      </c>
      <c r="D321" s="0" t="str">
        <f aca="false">IFERROR(INDEX('Materials Master'!$B$2:$B$27,MATCH($C321,'Materials Master'!$A$2:$A$27,0)),"")</f>
        <v>Paper Cups / Other Coated Paper Containers</v>
      </c>
      <c r="E321" s="0" t="str">
        <f aca="false">IFERROR(INDEX('Materials Master'!$C$2:$C$27,MATCH($C321,'Materials Master'!$A$2:$A$27,0)),"")</f>
        <v>Fibers</v>
      </c>
      <c r="F321" s="0" t="n">
        <f aca="false">(SUMIFS(Fact_PreSortWeights!$E$2:$E$15,Fact_PreSortWeights!$C$2:$C$15,$A321,Fact_PreSortWeights!$B$2:$B$15,$B321,Fact_PreSortWeights!$F$2:$F$15,$C321))+(SUMIFS(Fact_SortedWeights!$E$2:$E$6,Fact_SortedWeights!$C$2:$C$6,$A321,Fact_SortedWeights!$B$2:$B$6,$B321,Fact_SortedWeights!$D$2:$D$6,$C321,Fact_SortedWeights!$L$2:$L$6,"Yes"))+IF((SUMIFS(Fact_SortedWeights!$E$2:$E$6,Fact_SortedWeights!$C$2:$C$6,$A321,Fact_SortedWeights!$B$2:$B$6,$B321,Fact_SortedWeights!$L$2:$L$6,"No"))=0,0,(SUMIFS(Fact_SortedWeights!$E$2:$E$6,Fact_SortedWeights!$C$2:$C$6,$A321,Fact_SortedWeights!$B$2:$B$6,$B321,Fact_SortedWeights!$D$2:$D$6,$C321,Fact_SortedWeights!$L$2:$L$6,"No"))/(SUMIFS(Fact_SortedWeights!$E$2:$E$6,Fact_SortedWeights!$C$2:$C$6,$A321,Fact_SortedWeights!$B$2:$B$6,$B321,Fact_SortedWeights!$L$2:$L$6,"No"))*((SUMIFS(Fact_PreSortWeights!$E$2:$E$15,Fact_PreSortWeights!$C$2:$C$15,$A321,Fact_PreSortWeights!$B$2:$B$15,$B321,Fact_PreSortWeights!$F$2:$F$15,""))-(SUMIFS(Fact_SortedWeights!$E$2:$E$6,Fact_SortedWeights!$C$2:$C$6,$A321,Fact_SortedWeights!$B$2:$B$6,$B321,Fact_SortedWeights!$L$2:$L$6,"Yes"))))</f>
        <v>0</v>
      </c>
      <c r="G321" s="0" t="n">
        <f aca="false">IF(AND(IF($B321="Trash",INDEX('Materials Master'!$F$2:$F$27,MATCH($C321,'Materials Master'!$A$2:$A$27,0)),IF($B321="GMPC Recycling",INDEX('Materials Master'!$G$2:$G$27,MATCH($C321,'Materials Master'!$A$2:$A$27,0)),IF($B321="Organics Recycling",INDEX('Materials Master'!$H$2:$H$27,MATCH($C321,'Materials Master'!$A$2:$A$27,0)),IF($B321="Cardboard Recycling",INDEX('Materials Master'!$I$2:$I$27,MATCH($C321,'Materials Master'!$A$2:$A$27,0)),IF($B321="Paper Recycling",INDEX('Materials Master'!$J$2:$J$27,MATCH($C321,'Materials Master'!$A$2:$A$27,0)),IF($B321="Terracycle",INDEX('Materials Master'!$K$2:$K$27,MATCH($C321,'Materials Master'!$A$2:$A$27,0)),"No"))))))="Yes",INDEX('Materials Master'!$E$2:$E$27,MATCH($C321,'Materials Master'!$A$2:$A$27,0))="Yes",$B321&lt;&gt;"Trash"),1,0)</f>
        <v>0</v>
      </c>
      <c r="H321" s="0" t="str">
        <f aca="false">INDEX('Materials Master'!$E$2:$E$27,MATCH($C321,'Materials Master'!$A$2:$A$27,0))</f>
        <v>No</v>
      </c>
      <c r="I321" s="0" t="str">
        <f aca="false">IFERROR(INDEX(Areas!$C$2:$C$6,MATCH($A321,Areas!$B$2:$B$6,0)),"")</f>
        <v>Rest of Building</v>
      </c>
      <c r="J321" s="0" t="n">
        <f aca="false">IF(IF($B321="Trash",INDEX('Materials Master'!$F$2:$F$27,MATCH($C321,'Materials Master'!$A$2:$A$27,0)),IF($B321="GMPC Recycling",INDEX('Materials Master'!$G$2:$G$27,MATCH($C321,'Materials Master'!$A$2:$A$27,0)),IF($B321="Organics Recycling",INDEX('Materials Master'!$H$2:$H$27,MATCH($C321,'Materials Master'!$A$2:$A$27,0)),IF($B321="Cardboard Recycling",INDEX('Materials Master'!$I$2:$I$27,MATCH($C321,'Materials Master'!$A$2:$A$27,0)),IF($B321="Paper Recycling",INDEX('Materials Master'!$J$2:$J$27,MATCH($C321,'Materials Master'!$A$2:$A$27,0)),IF($B321="Terracycle",INDEX('Materials Master'!$K$2:$K$27,MATCH($C321,'Materials Master'!$A$2:$A$27,0)),"No"))))))="Yes",1,0)</f>
        <v>1</v>
      </c>
    </row>
    <row r="322" customFormat="false" ht="15" hidden="false" customHeight="false" outlineLevel="0" collapsed="false">
      <c r="A322" s="0" t="s">
        <v>97</v>
      </c>
      <c r="B322" s="0" t="s">
        <v>103</v>
      </c>
      <c r="C322" s="0" t="s">
        <v>45</v>
      </c>
      <c r="D322" s="0" t="str">
        <f aca="false">IFERROR(INDEX('Materials Master'!$B$2:$B$27,MATCH($C322,'Materials Master'!$A$2:$A$27,0)),"")</f>
        <v>Glass Bottles &amp; Jars</v>
      </c>
      <c r="E322" s="0" t="str">
        <f aca="false">IFERROR(INDEX('Materials Master'!$C$2:$C$27,MATCH($C322,'Materials Master'!$A$2:$A$27,0)),"")</f>
        <v>Glass</v>
      </c>
      <c r="F322" s="0" t="n">
        <f aca="false">(SUMIFS(Fact_PreSortWeights!$E$2:$E$15,Fact_PreSortWeights!$C$2:$C$15,$A322,Fact_PreSortWeights!$B$2:$B$15,$B322,Fact_PreSortWeights!$F$2:$F$15,$C322))+(SUMIFS(Fact_SortedWeights!$E$2:$E$6,Fact_SortedWeights!$C$2:$C$6,$A322,Fact_SortedWeights!$B$2:$B$6,$B322,Fact_SortedWeights!$D$2:$D$6,$C322,Fact_SortedWeights!$L$2:$L$6,"Yes"))+IF((SUMIFS(Fact_SortedWeights!$E$2:$E$6,Fact_SortedWeights!$C$2:$C$6,$A322,Fact_SortedWeights!$B$2:$B$6,$B322,Fact_SortedWeights!$L$2:$L$6,"No"))=0,0,(SUMIFS(Fact_SortedWeights!$E$2:$E$6,Fact_SortedWeights!$C$2:$C$6,$A322,Fact_SortedWeights!$B$2:$B$6,$B322,Fact_SortedWeights!$D$2:$D$6,$C322,Fact_SortedWeights!$L$2:$L$6,"No"))/(SUMIFS(Fact_SortedWeights!$E$2:$E$6,Fact_SortedWeights!$C$2:$C$6,$A322,Fact_SortedWeights!$B$2:$B$6,$B322,Fact_SortedWeights!$L$2:$L$6,"No"))*((SUMIFS(Fact_PreSortWeights!$E$2:$E$15,Fact_PreSortWeights!$C$2:$C$15,$A322,Fact_PreSortWeights!$B$2:$B$15,$B322,Fact_PreSortWeights!$F$2:$F$15,""))-(SUMIFS(Fact_SortedWeights!$E$2:$E$6,Fact_SortedWeights!$C$2:$C$6,$A322,Fact_SortedWeights!$B$2:$B$6,$B322,Fact_SortedWeights!$L$2:$L$6,"Yes"))))</f>
        <v>0</v>
      </c>
      <c r="G322" s="0" t="n">
        <f aca="false">IF(AND(IF($B322="Trash",INDEX('Materials Master'!$F$2:$F$27,MATCH($C322,'Materials Master'!$A$2:$A$27,0)),IF($B322="GMPC Recycling",INDEX('Materials Master'!$G$2:$G$27,MATCH($C322,'Materials Master'!$A$2:$A$27,0)),IF($B322="Organics Recycling",INDEX('Materials Master'!$H$2:$H$27,MATCH($C322,'Materials Master'!$A$2:$A$27,0)),IF($B322="Cardboard Recycling",INDEX('Materials Master'!$I$2:$I$27,MATCH($C322,'Materials Master'!$A$2:$A$27,0)),IF($B322="Paper Recycling",INDEX('Materials Master'!$J$2:$J$27,MATCH($C322,'Materials Master'!$A$2:$A$27,0)),IF($B322="Terracycle",INDEX('Materials Master'!$K$2:$K$27,MATCH($C322,'Materials Master'!$A$2:$A$27,0)),"No"))))))="Yes",INDEX('Materials Master'!$E$2:$E$27,MATCH($C322,'Materials Master'!$A$2:$A$27,0))="Yes",$B322&lt;&gt;"Trash"),1,0)</f>
        <v>0</v>
      </c>
      <c r="H322" s="0" t="str">
        <f aca="false">INDEX('Materials Master'!$E$2:$E$27,MATCH($C322,'Materials Master'!$A$2:$A$27,0))</f>
        <v>Yes</v>
      </c>
      <c r="I322" s="0" t="str">
        <f aca="false">IFERROR(INDEX(Areas!$C$2:$C$6,MATCH($A322,Areas!$B$2:$B$6,0)),"")</f>
        <v>Rest of Building</v>
      </c>
      <c r="J322" s="0" t="n">
        <f aca="false">IF(IF($B322="Trash",INDEX('Materials Master'!$F$2:$F$27,MATCH($C322,'Materials Master'!$A$2:$A$27,0)),IF($B322="GMPC Recycling",INDEX('Materials Master'!$G$2:$G$27,MATCH($C322,'Materials Master'!$A$2:$A$27,0)),IF($B322="Organics Recycling",INDEX('Materials Master'!$H$2:$H$27,MATCH($C322,'Materials Master'!$A$2:$A$27,0)),IF($B322="Cardboard Recycling",INDEX('Materials Master'!$I$2:$I$27,MATCH($C322,'Materials Master'!$A$2:$A$27,0)),IF($B322="Paper Recycling",INDEX('Materials Master'!$J$2:$J$27,MATCH($C322,'Materials Master'!$A$2:$A$27,0)),IF($B322="Terracycle",INDEX('Materials Master'!$K$2:$K$27,MATCH($C322,'Materials Master'!$A$2:$A$27,0)),"No"))))))="Yes",1,0)</f>
        <v>0</v>
      </c>
    </row>
    <row r="323" customFormat="false" ht="15" hidden="false" customHeight="false" outlineLevel="0" collapsed="false">
      <c r="A323" s="0" t="s">
        <v>97</v>
      </c>
      <c r="B323" s="0" t="s">
        <v>103</v>
      </c>
      <c r="C323" s="0" t="s">
        <v>48</v>
      </c>
      <c r="D323" s="0" t="str">
        <f aca="false">IFERROR(INDEX('Materials Master'!$B$2:$B$27,MATCH($C323,'Materials Master'!$A$2:$A$27,0)),"")</f>
        <v>Soiled Glass</v>
      </c>
      <c r="E323" s="0" t="str">
        <f aca="false">IFERROR(INDEX('Materials Master'!$C$2:$C$27,MATCH($C323,'Materials Master'!$A$2:$A$27,0)),"")</f>
        <v>Glass</v>
      </c>
      <c r="F323" s="0" t="n">
        <f aca="false">(SUMIFS(Fact_PreSortWeights!$E$2:$E$15,Fact_PreSortWeights!$C$2:$C$15,$A323,Fact_PreSortWeights!$B$2:$B$15,$B323,Fact_PreSortWeights!$F$2:$F$15,$C323))+(SUMIFS(Fact_SortedWeights!$E$2:$E$6,Fact_SortedWeights!$C$2:$C$6,$A323,Fact_SortedWeights!$B$2:$B$6,$B323,Fact_SortedWeights!$D$2:$D$6,$C323,Fact_SortedWeights!$L$2:$L$6,"Yes"))+IF((SUMIFS(Fact_SortedWeights!$E$2:$E$6,Fact_SortedWeights!$C$2:$C$6,$A323,Fact_SortedWeights!$B$2:$B$6,$B323,Fact_SortedWeights!$L$2:$L$6,"No"))=0,0,(SUMIFS(Fact_SortedWeights!$E$2:$E$6,Fact_SortedWeights!$C$2:$C$6,$A323,Fact_SortedWeights!$B$2:$B$6,$B323,Fact_SortedWeights!$D$2:$D$6,$C323,Fact_SortedWeights!$L$2:$L$6,"No"))/(SUMIFS(Fact_SortedWeights!$E$2:$E$6,Fact_SortedWeights!$C$2:$C$6,$A323,Fact_SortedWeights!$B$2:$B$6,$B323,Fact_SortedWeights!$L$2:$L$6,"No"))*((SUMIFS(Fact_PreSortWeights!$E$2:$E$15,Fact_PreSortWeights!$C$2:$C$15,$A323,Fact_PreSortWeights!$B$2:$B$15,$B323,Fact_PreSortWeights!$F$2:$F$15,""))-(SUMIFS(Fact_SortedWeights!$E$2:$E$6,Fact_SortedWeights!$C$2:$C$6,$A323,Fact_SortedWeights!$B$2:$B$6,$B323,Fact_SortedWeights!$L$2:$L$6,"Yes"))))</f>
        <v>0</v>
      </c>
      <c r="G323" s="0" t="n">
        <f aca="false">IF(AND(IF($B323="Trash",INDEX('Materials Master'!$F$2:$F$27,MATCH($C323,'Materials Master'!$A$2:$A$27,0)),IF($B323="GMPC Recycling",INDEX('Materials Master'!$G$2:$G$27,MATCH($C323,'Materials Master'!$A$2:$A$27,0)),IF($B323="Organics Recycling",INDEX('Materials Master'!$H$2:$H$27,MATCH($C323,'Materials Master'!$A$2:$A$27,0)),IF($B323="Cardboard Recycling",INDEX('Materials Master'!$I$2:$I$27,MATCH($C323,'Materials Master'!$A$2:$A$27,0)),IF($B323="Paper Recycling",INDEX('Materials Master'!$J$2:$J$27,MATCH($C323,'Materials Master'!$A$2:$A$27,0)),IF($B323="Terracycle",INDEX('Materials Master'!$K$2:$K$27,MATCH($C323,'Materials Master'!$A$2:$A$27,0)),"No"))))))="Yes",INDEX('Materials Master'!$E$2:$E$27,MATCH($C323,'Materials Master'!$A$2:$A$27,0))="Yes",$B323&lt;&gt;"Trash"),1,0)</f>
        <v>0</v>
      </c>
      <c r="H323" s="0" t="str">
        <f aca="false">INDEX('Materials Master'!$E$2:$E$27,MATCH($C323,'Materials Master'!$A$2:$A$27,0))</f>
        <v>No</v>
      </c>
      <c r="I323" s="0" t="str">
        <f aca="false">IFERROR(INDEX(Areas!$C$2:$C$6,MATCH($A323,Areas!$B$2:$B$6,0)),"")</f>
        <v>Rest of Building</v>
      </c>
      <c r="J323" s="0" t="n">
        <f aca="false">IF(IF($B323="Trash",INDEX('Materials Master'!$F$2:$F$27,MATCH($C323,'Materials Master'!$A$2:$A$27,0)),IF($B323="GMPC Recycling",INDEX('Materials Master'!$G$2:$G$27,MATCH($C323,'Materials Master'!$A$2:$A$27,0)),IF($B323="Organics Recycling",INDEX('Materials Master'!$H$2:$H$27,MATCH($C323,'Materials Master'!$A$2:$A$27,0)),IF($B323="Cardboard Recycling",INDEX('Materials Master'!$I$2:$I$27,MATCH($C323,'Materials Master'!$A$2:$A$27,0)),IF($B323="Paper Recycling",INDEX('Materials Master'!$J$2:$J$27,MATCH($C323,'Materials Master'!$A$2:$A$27,0)),IF($B323="Terracycle",INDEX('Materials Master'!$K$2:$K$27,MATCH($C323,'Materials Master'!$A$2:$A$27,0)),"No"))))))="Yes",1,0)</f>
        <v>1</v>
      </c>
    </row>
    <row r="324" customFormat="false" ht="15" hidden="false" customHeight="false" outlineLevel="0" collapsed="false">
      <c r="A324" s="0" t="s">
        <v>97</v>
      </c>
      <c r="B324" s="0" t="s">
        <v>103</v>
      </c>
      <c r="C324" s="0" t="s">
        <v>50</v>
      </c>
      <c r="D324" s="0" t="str">
        <f aca="false">IFERROR(INDEX('Materials Master'!$B$2:$B$27,MATCH($C324,'Materials Master'!$A$2:$A$27,0)),"")</f>
        <v>Aluminum &amp; Bi-Metal Containers</v>
      </c>
      <c r="E324" s="0" t="str">
        <f aca="false">IFERROR(INDEX('Materials Master'!$C$2:$C$27,MATCH($C324,'Materials Master'!$A$2:$A$27,0)),"")</f>
        <v>Metals</v>
      </c>
      <c r="F324" s="0" t="n">
        <f aca="false">(SUMIFS(Fact_PreSortWeights!$E$2:$E$15,Fact_PreSortWeights!$C$2:$C$15,$A324,Fact_PreSortWeights!$B$2:$B$15,$B324,Fact_PreSortWeights!$F$2:$F$15,$C324))+(SUMIFS(Fact_SortedWeights!$E$2:$E$6,Fact_SortedWeights!$C$2:$C$6,$A324,Fact_SortedWeights!$B$2:$B$6,$B324,Fact_SortedWeights!$D$2:$D$6,$C324,Fact_SortedWeights!$L$2:$L$6,"Yes"))+IF((SUMIFS(Fact_SortedWeights!$E$2:$E$6,Fact_SortedWeights!$C$2:$C$6,$A324,Fact_SortedWeights!$B$2:$B$6,$B324,Fact_SortedWeights!$L$2:$L$6,"No"))=0,0,(SUMIFS(Fact_SortedWeights!$E$2:$E$6,Fact_SortedWeights!$C$2:$C$6,$A324,Fact_SortedWeights!$B$2:$B$6,$B324,Fact_SortedWeights!$D$2:$D$6,$C324,Fact_SortedWeights!$L$2:$L$6,"No"))/(SUMIFS(Fact_SortedWeights!$E$2:$E$6,Fact_SortedWeights!$C$2:$C$6,$A324,Fact_SortedWeights!$B$2:$B$6,$B324,Fact_SortedWeights!$L$2:$L$6,"No"))*((SUMIFS(Fact_PreSortWeights!$E$2:$E$15,Fact_PreSortWeights!$C$2:$C$15,$A324,Fact_PreSortWeights!$B$2:$B$15,$B324,Fact_PreSortWeights!$F$2:$F$15,""))-(SUMIFS(Fact_SortedWeights!$E$2:$E$6,Fact_SortedWeights!$C$2:$C$6,$A324,Fact_SortedWeights!$B$2:$B$6,$B324,Fact_SortedWeights!$L$2:$L$6,"Yes"))))</f>
        <v>0</v>
      </c>
      <c r="G324" s="0" t="n">
        <f aca="false">IF(AND(IF($B324="Trash",INDEX('Materials Master'!$F$2:$F$27,MATCH($C324,'Materials Master'!$A$2:$A$27,0)),IF($B324="GMPC Recycling",INDEX('Materials Master'!$G$2:$G$27,MATCH($C324,'Materials Master'!$A$2:$A$27,0)),IF($B324="Organics Recycling",INDEX('Materials Master'!$H$2:$H$27,MATCH($C324,'Materials Master'!$A$2:$A$27,0)),IF($B324="Cardboard Recycling",INDEX('Materials Master'!$I$2:$I$27,MATCH($C324,'Materials Master'!$A$2:$A$27,0)),IF($B324="Paper Recycling",INDEX('Materials Master'!$J$2:$J$27,MATCH($C324,'Materials Master'!$A$2:$A$27,0)),IF($B324="Terracycle",INDEX('Materials Master'!$K$2:$K$27,MATCH($C324,'Materials Master'!$A$2:$A$27,0)),"No"))))))="Yes",INDEX('Materials Master'!$E$2:$E$27,MATCH($C324,'Materials Master'!$A$2:$A$27,0))="Yes",$B324&lt;&gt;"Trash"),1,0)</f>
        <v>0</v>
      </c>
      <c r="H324" s="0" t="str">
        <f aca="false">INDEX('Materials Master'!$E$2:$E$27,MATCH($C324,'Materials Master'!$A$2:$A$27,0))</f>
        <v>Yes</v>
      </c>
      <c r="I324" s="0" t="str">
        <f aca="false">IFERROR(INDEX(Areas!$C$2:$C$6,MATCH($A324,Areas!$B$2:$B$6,0)),"")</f>
        <v>Rest of Building</v>
      </c>
      <c r="J324" s="0" t="n">
        <f aca="false">IF(IF($B324="Trash",INDEX('Materials Master'!$F$2:$F$27,MATCH($C324,'Materials Master'!$A$2:$A$27,0)),IF($B324="GMPC Recycling",INDEX('Materials Master'!$G$2:$G$27,MATCH($C324,'Materials Master'!$A$2:$A$27,0)),IF($B324="Organics Recycling",INDEX('Materials Master'!$H$2:$H$27,MATCH($C324,'Materials Master'!$A$2:$A$27,0)),IF($B324="Cardboard Recycling",INDEX('Materials Master'!$I$2:$I$27,MATCH($C324,'Materials Master'!$A$2:$A$27,0)),IF($B324="Paper Recycling",INDEX('Materials Master'!$J$2:$J$27,MATCH($C324,'Materials Master'!$A$2:$A$27,0)),IF($B324="Terracycle",INDEX('Materials Master'!$K$2:$K$27,MATCH($C324,'Materials Master'!$A$2:$A$27,0)),"No"))))))="Yes",1,0)</f>
        <v>0</v>
      </c>
    </row>
    <row r="325" customFormat="false" ht="15" hidden="false" customHeight="false" outlineLevel="0" collapsed="false">
      <c r="A325" s="0" t="s">
        <v>97</v>
      </c>
      <c r="B325" s="0" t="s">
        <v>103</v>
      </c>
      <c r="C325" s="0" t="s">
        <v>53</v>
      </c>
      <c r="D325" s="0" t="str">
        <f aca="false">IFERROR(INDEX('Materials Master'!$B$2:$B$27,MATCH($C325,'Materials Master'!$A$2:$A$27,0)),"")</f>
        <v>Soiled Metals</v>
      </c>
      <c r="E325" s="0" t="str">
        <f aca="false">IFERROR(INDEX('Materials Master'!$C$2:$C$27,MATCH($C325,'Materials Master'!$A$2:$A$27,0)),"")</f>
        <v>Metals</v>
      </c>
      <c r="F325" s="0" t="n">
        <f aca="false">(SUMIFS(Fact_PreSortWeights!$E$2:$E$15,Fact_PreSortWeights!$C$2:$C$15,$A325,Fact_PreSortWeights!$B$2:$B$15,$B325,Fact_PreSortWeights!$F$2:$F$15,$C325))+(SUMIFS(Fact_SortedWeights!$E$2:$E$6,Fact_SortedWeights!$C$2:$C$6,$A325,Fact_SortedWeights!$B$2:$B$6,$B325,Fact_SortedWeights!$D$2:$D$6,$C325,Fact_SortedWeights!$L$2:$L$6,"Yes"))+IF((SUMIFS(Fact_SortedWeights!$E$2:$E$6,Fact_SortedWeights!$C$2:$C$6,$A325,Fact_SortedWeights!$B$2:$B$6,$B325,Fact_SortedWeights!$L$2:$L$6,"No"))=0,0,(SUMIFS(Fact_SortedWeights!$E$2:$E$6,Fact_SortedWeights!$C$2:$C$6,$A325,Fact_SortedWeights!$B$2:$B$6,$B325,Fact_SortedWeights!$D$2:$D$6,$C325,Fact_SortedWeights!$L$2:$L$6,"No"))/(SUMIFS(Fact_SortedWeights!$E$2:$E$6,Fact_SortedWeights!$C$2:$C$6,$A325,Fact_SortedWeights!$B$2:$B$6,$B325,Fact_SortedWeights!$L$2:$L$6,"No"))*((SUMIFS(Fact_PreSortWeights!$E$2:$E$15,Fact_PreSortWeights!$C$2:$C$15,$A325,Fact_PreSortWeights!$B$2:$B$15,$B325,Fact_PreSortWeights!$F$2:$F$15,""))-(SUMIFS(Fact_SortedWeights!$E$2:$E$6,Fact_SortedWeights!$C$2:$C$6,$A325,Fact_SortedWeights!$B$2:$B$6,$B325,Fact_SortedWeights!$L$2:$L$6,"Yes"))))</f>
        <v>0</v>
      </c>
      <c r="G325" s="0" t="n">
        <f aca="false">IF(AND(IF($B325="Trash",INDEX('Materials Master'!$F$2:$F$27,MATCH($C325,'Materials Master'!$A$2:$A$27,0)),IF($B325="GMPC Recycling",INDEX('Materials Master'!$G$2:$G$27,MATCH($C325,'Materials Master'!$A$2:$A$27,0)),IF($B325="Organics Recycling",INDEX('Materials Master'!$H$2:$H$27,MATCH($C325,'Materials Master'!$A$2:$A$27,0)),IF($B325="Cardboard Recycling",INDEX('Materials Master'!$I$2:$I$27,MATCH($C325,'Materials Master'!$A$2:$A$27,0)),IF($B325="Paper Recycling",INDEX('Materials Master'!$J$2:$J$27,MATCH($C325,'Materials Master'!$A$2:$A$27,0)),IF($B325="Terracycle",INDEX('Materials Master'!$K$2:$K$27,MATCH($C325,'Materials Master'!$A$2:$A$27,0)),"No"))))))="Yes",INDEX('Materials Master'!$E$2:$E$27,MATCH($C325,'Materials Master'!$A$2:$A$27,0))="Yes",$B325&lt;&gt;"Trash"),1,0)</f>
        <v>0</v>
      </c>
      <c r="H325" s="0" t="str">
        <f aca="false">INDEX('Materials Master'!$E$2:$E$27,MATCH($C325,'Materials Master'!$A$2:$A$27,0))</f>
        <v>No</v>
      </c>
      <c r="I325" s="0" t="str">
        <f aca="false">IFERROR(INDEX(Areas!$C$2:$C$6,MATCH($A325,Areas!$B$2:$B$6,0)),"")</f>
        <v>Rest of Building</v>
      </c>
      <c r="J325" s="0" t="n">
        <f aca="false">IF(IF($B325="Trash",INDEX('Materials Master'!$F$2:$F$27,MATCH($C325,'Materials Master'!$A$2:$A$27,0)),IF($B325="GMPC Recycling",INDEX('Materials Master'!$G$2:$G$27,MATCH($C325,'Materials Master'!$A$2:$A$27,0)),IF($B325="Organics Recycling",INDEX('Materials Master'!$H$2:$H$27,MATCH($C325,'Materials Master'!$A$2:$A$27,0)),IF($B325="Cardboard Recycling",INDEX('Materials Master'!$I$2:$I$27,MATCH($C325,'Materials Master'!$A$2:$A$27,0)),IF($B325="Paper Recycling",INDEX('Materials Master'!$J$2:$J$27,MATCH($C325,'Materials Master'!$A$2:$A$27,0)),IF($B325="Terracycle",INDEX('Materials Master'!$K$2:$K$27,MATCH($C325,'Materials Master'!$A$2:$A$27,0)),"No"))))))="Yes",1,0)</f>
        <v>1</v>
      </c>
    </row>
    <row r="326" customFormat="false" ht="15" hidden="false" customHeight="false" outlineLevel="0" collapsed="false">
      <c r="A326" s="0" t="s">
        <v>97</v>
      </c>
      <c r="B326" s="0" t="s">
        <v>103</v>
      </c>
      <c r="C326" s="0" t="s">
        <v>55</v>
      </c>
      <c r="D326" s="0" t="str">
        <f aca="false">IFERROR(INDEX('Materials Master'!$B$2:$B$27,MATCH($C326,'Materials Master'!$A$2:$A$27,0)),"")</f>
        <v>Rigid Plastics (1-6)</v>
      </c>
      <c r="E326" s="0" t="str">
        <f aca="false">IFERROR(INDEX('Materials Master'!$C$2:$C$27,MATCH($C326,'Materials Master'!$A$2:$A$27,0)),"")</f>
        <v>Plastics</v>
      </c>
      <c r="F326" s="0" t="n">
        <f aca="false">(SUMIFS(Fact_PreSortWeights!$E$2:$E$15,Fact_PreSortWeights!$C$2:$C$15,$A326,Fact_PreSortWeights!$B$2:$B$15,$B326,Fact_PreSortWeights!$F$2:$F$15,$C326))+(SUMIFS(Fact_SortedWeights!$E$2:$E$6,Fact_SortedWeights!$C$2:$C$6,$A326,Fact_SortedWeights!$B$2:$B$6,$B326,Fact_SortedWeights!$D$2:$D$6,$C326,Fact_SortedWeights!$L$2:$L$6,"Yes"))+IF((SUMIFS(Fact_SortedWeights!$E$2:$E$6,Fact_SortedWeights!$C$2:$C$6,$A326,Fact_SortedWeights!$B$2:$B$6,$B326,Fact_SortedWeights!$L$2:$L$6,"No"))=0,0,(SUMIFS(Fact_SortedWeights!$E$2:$E$6,Fact_SortedWeights!$C$2:$C$6,$A326,Fact_SortedWeights!$B$2:$B$6,$B326,Fact_SortedWeights!$D$2:$D$6,$C326,Fact_SortedWeights!$L$2:$L$6,"No"))/(SUMIFS(Fact_SortedWeights!$E$2:$E$6,Fact_SortedWeights!$C$2:$C$6,$A326,Fact_SortedWeights!$B$2:$B$6,$B326,Fact_SortedWeights!$L$2:$L$6,"No"))*((SUMIFS(Fact_PreSortWeights!$E$2:$E$15,Fact_PreSortWeights!$C$2:$C$15,$A326,Fact_PreSortWeights!$B$2:$B$15,$B326,Fact_PreSortWeights!$F$2:$F$15,""))-(SUMIFS(Fact_SortedWeights!$E$2:$E$6,Fact_SortedWeights!$C$2:$C$6,$A326,Fact_SortedWeights!$B$2:$B$6,$B326,Fact_SortedWeights!$L$2:$L$6,"Yes"))))</f>
        <v>0</v>
      </c>
      <c r="G326" s="0" t="n">
        <f aca="false">IF(AND(IF($B326="Trash",INDEX('Materials Master'!$F$2:$F$27,MATCH($C326,'Materials Master'!$A$2:$A$27,0)),IF($B326="GMPC Recycling",INDEX('Materials Master'!$G$2:$G$27,MATCH($C326,'Materials Master'!$A$2:$A$27,0)),IF($B326="Organics Recycling",INDEX('Materials Master'!$H$2:$H$27,MATCH($C326,'Materials Master'!$A$2:$A$27,0)),IF($B326="Cardboard Recycling",INDEX('Materials Master'!$I$2:$I$27,MATCH($C326,'Materials Master'!$A$2:$A$27,0)),IF($B326="Paper Recycling",INDEX('Materials Master'!$J$2:$J$27,MATCH($C326,'Materials Master'!$A$2:$A$27,0)),IF($B326="Terracycle",INDEX('Materials Master'!$K$2:$K$27,MATCH($C326,'Materials Master'!$A$2:$A$27,0)),"No"))))))="Yes",INDEX('Materials Master'!$E$2:$E$27,MATCH($C326,'Materials Master'!$A$2:$A$27,0))="Yes",$B326&lt;&gt;"Trash"),1,0)</f>
        <v>0</v>
      </c>
      <c r="H326" s="0" t="str">
        <f aca="false">INDEX('Materials Master'!$E$2:$E$27,MATCH($C326,'Materials Master'!$A$2:$A$27,0))</f>
        <v>Yes</v>
      </c>
      <c r="I326" s="0" t="str">
        <f aca="false">IFERROR(INDEX(Areas!$C$2:$C$6,MATCH($A326,Areas!$B$2:$B$6,0)),"")</f>
        <v>Rest of Building</v>
      </c>
      <c r="J326" s="0" t="n">
        <f aca="false">IF(IF($B326="Trash",INDEX('Materials Master'!$F$2:$F$27,MATCH($C326,'Materials Master'!$A$2:$A$27,0)),IF($B326="GMPC Recycling",INDEX('Materials Master'!$G$2:$G$27,MATCH($C326,'Materials Master'!$A$2:$A$27,0)),IF($B326="Organics Recycling",INDEX('Materials Master'!$H$2:$H$27,MATCH($C326,'Materials Master'!$A$2:$A$27,0)),IF($B326="Cardboard Recycling",INDEX('Materials Master'!$I$2:$I$27,MATCH($C326,'Materials Master'!$A$2:$A$27,0)),IF($B326="Paper Recycling",INDEX('Materials Master'!$J$2:$J$27,MATCH($C326,'Materials Master'!$A$2:$A$27,0)),IF($B326="Terracycle",INDEX('Materials Master'!$K$2:$K$27,MATCH($C326,'Materials Master'!$A$2:$A$27,0)),"No"))))))="Yes",1,0)</f>
        <v>0</v>
      </c>
    </row>
    <row r="327" customFormat="false" ht="15" hidden="false" customHeight="false" outlineLevel="0" collapsed="false">
      <c r="A327" s="0" t="s">
        <v>97</v>
      </c>
      <c r="B327" s="0" t="s">
        <v>103</v>
      </c>
      <c r="C327" s="0" t="s">
        <v>58</v>
      </c>
      <c r="D327" s="0" t="str">
        <f aca="false">IFERROR(INDEX('Materials Master'!$B$2:$B$27,MATCH($C327,'Materials Master'!$A$2:$A$27,0)),"")</f>
        <v>Soiled Rigid Plastics</v>
      </c>
      <c r="E327" s="0" t="str">
        <f aca="false">IFERROR(INDEX('Materials Master'!$C$2:$C$27,MATCH($C327,'Materials Master'!$A$2:$A$27,0)),"")</f>
        <v>Plastics</v>
      </c>
      <c r="F327" s="0" t="n">
        <f aca="false">(SUMIFS(Fact_PreSortWeights!$E$2:$E$15,Fact_PreSortWeights!$C$2:$C$15,$A327,Fact_PreSortWeights!$B$2:$B$15,$B327,Fact_PreSortWeights!$F$2:$F$15,$C327))+(SUMIFS(Fact_SortedWeights!$E$2:$E$6,Fact_SortedWeights!$C$2:$C$6,$A327,Fact_SortedWeights!$B$2:$B$6,$B327,Fact_SortedWeights!$D$2:$D$6,$C327,Fact_SortedWeights!$L$2:$L$6,"Yes"))+IF((SUMIFS(Fact_SortedWeights!$E$2:$E$6,Fact_SortedWeights!$C$2:$C$6,$A327,Fact_SortedWeights!$B$2:$B$6,$B327,Fact_SortedWeights!$L$2:$L$6,"No"))=0,0,(SUMIFS(Fact_SortedWeights!$E$2:$E$6,Fact_SortedWeights!$C$2:$C$6,$A327,Fact_SortedWeights!$B$2:$B$6,$B327,Fact_SortedWeights!$D$2:$D$6,$C327,Fact_SortedWeights!$L$2:$L$6,"No"))/(SUMIFS(Fact_SortedWeights!$E$2:$E$6,Fact_SortedWeights!$C$2:$C$6,$A327,Fact_SortedWeights!$B$2:$B$6,$B327,Fact_SortedWeights!$L$2:$L$6,"No"))*((SUMIFS(Fact_PreSortWeights!$E$2:$E$15,Fact_PreSortWeights!$C$2:$C$15,$A327,Fact_PreSortWeights!$B$2:$B$15,$B327,Fact_PreSortWeights!$F$2:$F$15,""))-(SUMIFS(Fact_SortedWeights!$E$2:$E$6,Fact_SortedWeights!$C$2:$C$6,$A327,Fact_SortedWeights!$B$2:$B$6,$B327,Fact_SortedWeights!$L$2:$L$6,"Yes"))))</f>
        <v>0</v>
      </c>
      <c r="G327" s="0" t="n">
        <f aca="false">IF(AND(IF($B327="Trash",INDEX('Materials Master'!$F$2:$F$27,MATCH($C327,'Materials Master'!$A$2:$A$27,0)),IF($B327="GMPC Recycling",INDEX('Materials Master'!$G$2:$G$27,MATCH($C327,'Materials Master'!$A$2:$A$27,0)),IF($B327="Organics Recycling",INDEX('Materials Master'!$H$2:$H$27,MATCH($C327,'Materials Master'!$A$2:$A$27,0)),IF($B327="Cardboard Recycling",INDEX('Materials Master'!$I$2:$I$27,MATCH($C327,'Materials Master'!$A$2:$A$27,0)),IF($B327="Paper Recycling",INDEX('Materials Master'!$J$2:$J$27,MATCH($C327,'Materials Master'!$A$2:$A$27,0)),IF($B327="Terracycle",INDEX('Materials Master'!$K$2:$K$27,MATCH($C327,'Materials Master'!$A$2:$A$27,0)),"No"))))))="Yes",INDEX('Materials Master'!$E$2:$E$27,MATCH($C327,'Materials Master'!$A$2:$A$27,0))="Yes",$B327&lt;&gt;"Trash"),1,0)</f>
        <v>0</v>
      </c>
      <c r="H327" s="0" t="str">
        <f aca="false">INDEX('Materials Master'!$E$2:$E$27,MATCH($C327,'Materials Master'!$A$2:$A$27,0))</f>
        <v>No</v>
      </c>
      <c r="I327" s="0" t="str">
        <f aca="false">IFERROR(INDEX(Areas!$C$2:$C$6,MATCH($A327,Areas!$B$2:$B$6,0)),"")</f>
        <v>Rest of Building</v>
      </c>
      <c r="J327" s="0" t="n">
        <f aca="false">IF(IF($B327="Trash",INDEX('Materials Master'!$F$2:$F$27,MATCH($C327,'Materials Master'!$A$2:$A$27,0)),IF($B327="GMPC Recycling",INDEX('Materials Master'!$G$2:$G$27,MATCH($C327,'Materials Master'!$A$2:$A$27,0)),IF($B327="Organics Recycling",INDEX('Materials Master'!$H$2:$H$27,MATCH($C327,'Materials Master'!$A$2:$A$27,0)),IF($B327="Cardboard Recycling",INDEX('Materials Master'!$I$2:$I$27,MATCH($C327,'Materials Master'!$A$2:$A$27,0)),IF($B327="Paper Recycling",INDEX('Materials Master'!$J$2:$J$27,MATCH($C327,'Materials Master'!$A$2:$A$27,0)),IF($B327="Terracycle",INDEX('Materials Master'!$K$2:$K$27,MATCH($C327,'Materials Master'!$A$2:$A$27,0)),"No"))))))="Yes",1,0)</f>
        <v>1</v>
      </c>
    </row>
    <row r="328" customFormat="false" ht="15" hidden="false" customHeight="false" outlineLevel="0" collapsed="false">
      <c r="A328" s="0" t="s">
        <v>97</v>
      </c>
      <c r="B328" s="0" t="s">
        <v>103</v>
      </c>
      <c r="C328" s="0" t="s">
        <v>60</v>
      </c>
      <c r="D328" s="0" t="str">
        <f aca="false">IFERROR(INDEX('Materials Master'!$B$2:$B$27,MATCH($C328,'Materials Master'!$A$2:$A$27,0)),"")</f>
        <v>Film Plastics</v>
      </c>
      <c r="E328" s="0" t="str">
        <f aca="false">IFERROR(INDEX('Materials Master'!$C$2:$C$27,MATCH($C328,'Materials Master'!$A$2:$A$27,0)),"")</f>
        <v>Plastics</v>
      </c>
      <c r="F328" s="0" t="n">
        <f aca="false">(SUMIFS(Fact_PreSortWeights!$E$2:$E$15,Fact_PreSortWeights!$C$2:$C$15,$A328,Fact_PreSortWeights!$B$2:$B$15,$B328,Fact_PreSortWeights!$F$2:$F$15,$C328))+(SUMIFS(Fact_SortedWeights!$E$2:$E$6,Fact_SortedWeights!$C$2:$C$6,$A328,Fact_SortedWeights!$B$2:$B$6,$B328,Fact_SortedWeights!$D$2:$D$6,$C328,Fact_SortedWeights!$L$2:$L$6,"Yes"))+IF((SUMIFS(Fact_SortedWeights!$E$2:$E$6,Fact_SortedWeights!$C$2:$C$6,$A328,Fact_SortedWeights!$B$2:$B$6,$B328,Fact_SortedWeights!$L$2:$L$6,"No"))=0,0,(SUMIFS(Fact_SortedWeights!$E$2:$E$6,Fact_SortedWeights!$C$2:$C$6,$A328,Fact_SortedWeights!$B$2:$B$6,$B328,Fact_SortedWeights!$D$2:$D$6,$C328,Fact_SortedWeights!$L$2:$L$6,"No"))/(SUMIFS(Fact_SortedWeights!$E$2:$E$6,Fact_SortedWeights!$C$2:$C$6,$A328,Fact_SortedWeights!$B$2:$B$6,$B328,Fact_SortedWeights!$L$2:$L$6,"No"))*((SUMIFS(Fact_PreSortWeights!$E$2:$E$15,Fact_PreSortWeights!$C$2:$C$15,$A328,Fact_PreSortWeights!$B$2:$B$15,$B328,Fact_PreSortWeights!$F$2:$F$15,""))-(SUMIFS(Fact_SortedWeights!$E$2:$E$6,Fact_SortedWeights!$C$2:$C$6,$A328,Fact_SortedWeights!$B$2:$B$6,$B328,Fact_SortedWeights!$L$2:$L$6,"Yes"))))</f>
        <v>0</v>
      </c>
      <c r="G328" s="0" t="n">
        <f aca="false">IF(AND(IF($B328="Trash",INDEX('Materials Master'!$F$2:$F$27,MATCH($C328,'Materials Master'!$A$2:$A$27,0)),IF($B328="GMPC Recycling",INDEX('Materials Master'!$G$2:$G$27,MATCH($C328,'Materials Master'!$A$2:$A$27,0)),IF($B328="Organics Recycling",INDEX('Materials Master'!$H$2:$H$27,MATCH($C328,'Materials Master'!$A$2:$A$27,0)),IF($B328="Cardboard Recycling",INDEX('Materials Master'!$I$2:$I$27,MATCH($C328,'Materials Master'!$A$2:$A$27,0)),IF($B328="Paper Recycling",INDEX('Materials Master'!$J$2:$J$27,MATCH($C328,'Materials Master'!$A$2:$A$27,0)),IF($B328="Terracycle",INDEX('Materials Master'!$K$2:$K$27,MATCH($C328,'Materials Master'!$A$2:$A$27,0)),"No"))))))="Yes",INDEX('Materials Master'!$E$2:$E$27,MATCH($C328,'Materials Master'!$A$2:$A$27,0))="Yes",$B328&lt;&gt;"Trash"),1,0)</f>
        <v>0</v>
      </c>
      <c r="H328" s="0" t="str">
        <f aca="false">INDEX('Materials Master'!$E$2:$E$27,MATCH($C328,'Materials Master'!$A$2:$A$27,0))</f>
        <v>No</v>
      </c>
      <c r="I328" s="0" t="str">
        <f aca="false">IFERROR(INDEX(Areas!$C$2:$C$6,MATCH($A328,Areas!$B$2:$B$6,0)),"")</f>
        <v>Rest of Building</v>
      </c>
      <c r="J328" s="0" t="n">
        <f aca="false">IF(IF($B328="Trash",INDEX('Materials Master'!$F$2:$F$27,MATCH($C328,'Materials Master'!$A$2:$A$27,0)),IF($B328="GMPC Recycling",INDEX('Materials Master'!$G$2:$G$27,MATCH($C328,'Materials Master'!$A$2:$A$27,0)),IF($B328="Organics Recycling",INDEX('Materials Master'!$H$2:$H$27,MATCH($C328,'Materials Master'!$A$2:$A$27,0)),IF($B328="Cardboard Recycling",INDEX('Materials Master'!$I$2:$I$27,MATCH($C328,'Materials Master'!$A$2:$A$27,0)),IF($B328="Paper Recycling",INDEX('Materials Master'!$J$2:$J$27,MATCH($C328,'Materials Master'!$A$2:$A$27,0)),IF($B328="Terracycle",INDEX('Materials Master'!$K$2:$K$27,MATCH($C328,'Materials Master'!$A$2:$A$27,0)),"No"))))))="Yes",1,0)</f>
        <v>1</v>
      </c>
    </row>
    <row r="329" customFormat="false" ht="15" hidden="false" customHeight="false" outlineLevel="0" collapsed="false">
      <c r="A329" s="0" t="s">
        <v>97</v>
      </c>
      <c r="B329" s="0" t="s">
        <v>103</v>
      </c>
      <c r="C329" s="0" t="s">
        <v>62</v>
      </c>
      <c r="D329" s="0" t="str">
        <f aca="false">IFERROR(INDEX('Materials Master'!$B$2:$B$27,MATCH($C329,'Materials Master'!$A$2:$A$27,0)),"")</f>
        <v>Foams</v>
      </c>
      <c r="E329" s="0" t="str">
        <f aca="false">IFERROR(INDEX('Materials Master'!$C$2:$C$27,MATCH($C329,'Materials Master'!$A$2:$A$27,0)),"")</f>
        <v>Plastics</v>
      </c>
      <c r="F329" s="0" t="n">
        <f aca="false">(SUMIFS(Fact_PreSortWeights!$E$2:$E$15,Fact_PreSortWeights!$C$2:$C$15,$A329,Fact_PreSortWeights!$B$2:$B$15,$B329,Fact_PreSortWeights!$F$2:$F$15,$C329))+(SUMIFS(Fact_SortedWeights!$E$2:$E$6,Fact_SortedWeights!$C$2:$C$6,$A329,Fact_SortedWeights!$B$2:$B$6,$B329,Fact_SortedWeights!$D$2:$D$6,$C329,Fact_SortedWeights!$L$2:$L$6,"Yes"))+IF((SUMIFS(Fact_SortedWeights!$E$2:$E$6,Fact_SortedWeights!$C$2:$C$6,$A329,Fact_SortedWeights!$B$2:$B$6,$B329,Fact_SortedWeights!$L$2:$L$6,"No"))=0,0,(SUMIFS(Fact_SortedWeights!$E$2:$E$6,Fact_SortedWeights!$C$2:$C$6,$A329,Fact_SortedWeights!$B$2:$B$6,$B329,Fact_SortedWeights!$D$2:$D$6,$C329,Fact_SortedWeights!$L$2:$L$6,"No"))/(SUMIFS(Fact_SortedWeights!$E$2:$E$6,Fact_SortedWeights!$C$2:$C$6,$A329,Fact_SortedWeights!$B$2:$B$6,$B329,Fact_SortedWeights!$L$2:$L$6,"No"))*((SUMIFS(Fact_PreSortWeights!$E$2:$E$15,Fact_PreSortWeights!$C$2:$C$15,$A329,Fact_PreSortWeights!$B$2:$B$15,$B329,Fact_PreSortWeights!$F$2:$F$15,""))-(SUMIFS(Fact_SortedWeights!$E$2:$E$6,Fact_SortedWeights!$C$2:$C$6,$A329,Fact_SortedWeights!$B$2:$B$6,$B329,Fact_SortedWeights!$L$2:$L$6,"Yes"))))</f>
        <v>0</v>
      </c>
      <c r="G329" s="0" t="n">
        <f aca="false">IF(AND(IF($B329="Trash",INDEX('Materials Master'!$F$2:$F$27,MATCH($C329,'Materials Master'!$A$2:$A$27,0)),IF($B329="GMPC Recycling",INDEX('Materials Master'!$G$2:$G$27,MATCH($C329,'Materials Master'!$A$2:$A$27,0)),IF($B329="Organics Recycling",INDEX('Materials Master'!$H$2:$H$27,MATCH($C329,'Materials Master'!$A$2:$A$27,0)),IF($B329="Cardboard Recycling",INDEX('Materials Master'!$I$2:$I$27,MATCH($C329,'Materials Master'!$A$2:$A$27,0)),IF($B329="Paper Recycling",INDEX('Materials Master'!$J$2:$J$27,MATCH($C329,'Materials Master'!$A$2:$A$27,0)),IF($B329="Terracycle",INDEX('Materials Master'!$K$2:$K$27,MATCH($C329,'Materials Master'!$A$2:$A$27,0)),"No"))))))="Yes",INDEX('Materials Master'!$E$2:$E$27,MATCH($C329,'Materials Master'!$A$2:$A$27,0))="Yes",$B329&lt;&gt;"Trash"),1,0)</f>
        <v>0</v>
      </c>
      <c r="H329" s="0" t="str">
        <f aca="false">INDEX('Materials Master'!$E$2:$E$27,MATCH($C329,'Materials Master'!$A$2:$A$27,0))</f>
        <v>No</v>
      </c>
      <c r="I329" s="0" t="str">
        <f aca="false">IFERROR(INDEX(Areas!$C$2:$C$6,MATCH($A329,Areas!$B$2:$B$6,0)),"")</f>
        <v>Rest of Building</v>
      </c>
      <c r="J329" s="0" t="n">
        <f aca="false">IF(IF($B329="Trash",INDEX('Materials Master'!$F$2:$F$27,MATCH($C329,'Materials Master'!$A$2:$A$27,0)),IF($B329="GMPC Recycling",INDEX('Materials Master'!$G$2:$G$27,MATCH($C329,'Materials Master'!$A$2:$A$27,0)),IF($B329="Organics Recycling",INDEX('Materials Master'!$H$2:$H$27,MATCH($C329,'Materials Master'!$A$2:$A$27,0)),IF($B329="Cardboard Recycling",INDEX('Materials Master'!$I$2:$I$27,MATCH($C329,'Materials Master'!$A$2:$A$27,0)),IF($B329="Paper Recycling",INDEX('Materials Master'!$J$2:$J$27,MATCH($C329,'Materials Master'!$A$2:$A$27,0)),IF($B329="Terracycle",INDEX('Materials Master'!$K$2:$K$27,MATCH($C329,'Materials Master'!$A$2:$A$27,0)),"No"))))))="Yes",1,0)</f>
        <v>1</v>
      </c>
    </row>
    <row r="330" customFormat="false" ht="15" hidden="false" customHeight="false" outlineLevel="0" collapsed="false">
      <c r="A330" s="0" t="s">
        <v>97</v>
      </c>
      <c r="B330" s="0" t="s">
        <v>103</v>
      </c>
      <c r="C330" s="0" t="s">
        <v>64</v>
      </c>
      <c r="D330" s="0" t="str">
        <f aca="false">IFERROR(INDEX('Materials Master'!$B$2:$B$27,MATCH($C330,'Materials Master'!$A$2:$A$27,0)),"")</f>
        <v>Food Waste</v>
      </c>
      <c r="E330" s="0" t="str">
        <f aca="false">IFERROR(INDEX('Materials Master'!$C$2:$C$27,MATCH($C330,'Materials Master'!$A$2:$A$27,0)),"")</f>
        <v>Organics</v>
      </c>
      <c r="F330" s="0" t="n">
        <f aca="false">(SUMIFS(Fact_PreSortWeights!$E$2:$E$15,Fact_PreSortWeights!$C$2:$C$15,$A330,Fact_PreSortWeights!$B$2:$B$15,$B330,Fact_PreSortWeights!$F$2:$F$15,$C330))+(SUMIFS(Fact_SortedWeights!$E$2:$E$6,Fact_SortedWeights!$C$2:$C$6,$A330,Fact_SortedWeights!$B$2:$B$6,$B330,Fact_SortedWeights!$D$2:$D$6,$C330,Fact_SortedWeights!$L$2:$L$6,"Yes"))+IF((SUMIFS(Fact_SortedWeights!$E$2:$E$6,Fact_SortedWeights!$C$2:$C$6,$A330,Fact_SortedWeights!$B$2:$B$6,$B330,Fact_SortedWeights!$L$2:$L$6,"No"))=0,0,(SUMIFS(Fact_SortedWeights!$E$2:$E$6,Fact_SortedWeights!$C$2:$C$6,$A330,Fact_SortedWeights!$B$2:$B$6,$B330,Fact_SortedWeights!$D$2:$D$6,$C330,Fact_SortedWeights!$L$2:$L$6,"No"))/(SUMIFS(Fact_SortedWeights!$E$2:$E$6,Fact_SortedWeights!$C$2:$C$6,$A330,Fact_SortedWeights!$B$2:$B$6,$B330,Fact_SortedWeights!$L$2:$L$6,"No"))*((SUMIFS(Fact_PreSortWeights!$E$2:$E$15,Fact_PreSortWeights!$C$2:$C$15,$A330,Fact_PreSortWeights!$B$2:$B$15,$B330,Fact_PreSortWeights!$F$2:$F$15,""))-(SUMIFS(Fact_SortedWeights!$E$2:$E$6,Fact_SortedWeights!$C$2:$C$6,$A330,Fact_SortedWeights!$B$2:$B$6,$B330,Fact_SortedWeights!$L$2:$L$6,"Yes"))))</f>
        <v>0</v>
      </c>
      <c r="G330" s="0" t="n">
        <f aca="false">IF(AND(IF($B330="Trash",INDEX('Materials Master'!$F$2:$F$27,MATCH($C330,'Materials Master'!$A$2:$A$27,0)),IF($B330="GMPC Recycling",INDEX('Materials Master'!$G$2:$G$27,MATCH($C330,'Materials Master'!$A$2:$A$27,0)),IF($B330="Organics Recycling",INDEX('Materials Master'!$H$2:$H$27,MATCH($C330,'Materials Master'!$A$2:$A$27,0)),IF($B330="Cardboard Recycling",INDEX('Materials Master'!$I$2:$I$27,MATCH($C330,'Materials Master'!$A$2:$A$27,0)),IF($B330="Paper Recycling",INDEX('Materials Master'!$J$2:$J$27,MATCH($C330,'Materials Master'!$A$2:$A$27,0)),IF($B330="Terracycle",INDEX('Materials Master'!$K$2:$K$27,MATCH($C330,'Materials Master'!$A$2:$A$27,0)),"No"))))))="Yes",INDEX('Materials Master'!$E$2:$E$27,MATCH($C330,'Materials Master'!$A$2:$A$27,0))="Yes",$B330&lt;&gt;"Trash"),1,0)</f>
        <v>0</v>
      </c>
      <c r="H330" s="0" t="str">
        <f aca="false">INDEX('Materials Master'!$E$2:$E$27,MATCH($C330,'Materials Master'!$A$2:$A$27,0))</f>
        <v>Yes</v>
      </c>
      <c r="I330" s="0" t="str">
        <f aca="false">IFERROR(INDEX(Areas!$C$2:$C$6,MATCH($A330,Areas!$B$2:$B$6,0)),"")</f>
        <v>Rest of Building</v>
      </c>
      <c r="J330" s="0" t="n">
        <f aca="false">IF(IF($B330="Trash",INDEX('Materials Master'!$F$2:$F$27,MATCH($C330,'Materials Master'!$A$2:$A$27,0)),IF($B330="GMPC Recycling",INDEX('Materials Master'!$G$2:$G$27,MATCH($C330,'Materials Master'!$A$2:$A$27,0)),IF($B330="Organics Recycling",INDEX('Materials Master'!$H$2:$H$27,MATCH($C330,'Materials Master'!$A$2:$A$27,0)),IF($B330="Cardboard Recycling",INDEX('Materials Master'!$I$2:$I$27,MATCH($C330,'Materials Master'!$A$2:$A$27,0)),IF($B330="Paper Recycling",INDEX('Materials Master'!$J$2:$J$27,MATCH($C330,'Materials Master'!$A$2:$A$27,0)),IF($B330="Terracycle",INDEX('Materials Master'!$K$2:$K$27,MATCH($C330,'Materials Master'!$A$2:$A$27,0)),"No"))))))="Yes",1,0)</f>
        <v>0</v>
      </c>
    </row>
    <row r="331" customFormat="false" ht="15" hidden="false" customHeight="false" outlineLevel="0" collapsed="false">
      <c r="A331" s="0" t="s">
        <v>97</v>
      </c>
      <c r="B331" s="0" t="s">
        <v>103</v>
      </c>
      <c r="C331" s="0" t="s">
        <v>67</v>
      </c>
      <c r="D331" s="0" t="str">
        <f aca="false">IFERROR(INDEX('Materials Master'!$B$2:$B$27,MATCH($C331,'Materials Master'!$A$2:$A$27,0)),"")</f>
        <v>Paper Fibers and Food-Soiled Paper (FSP)</v>
      </c>
      <c r="E331" s="0" t="str">
        <f aca="false">IFERROR(INDEX('Materials Master'!$C$2:$C$27,MATCH($C331,'Materials Master'!$A$2:$A$27,0)),"")</f>
        <v>Organics</v>
      </c>
      <c r="F331" s="0" t="n">
        <f aca="false">(SUMIFS(Fact_PreSortWeights!$E$2:$E$15,Fact_PreSortWeights!$C$2:$C$15,$A331,Fact_PreSortWeights!$B$2:$B$15,$B331,Fact_PreSortWeights!$F$2:$F$15,$C331))+(SUMIFS(Fact_SortedWeights!$E$2:$E$6,Fact_SortedWeights!$C$2:$C$6,$A331,Fact_SortedWeights!$B$2:$B$6,$B331,Fact_SortedWeights!$D$2:$D$6,$C331,Fact_SortedWeights!$L$2:$L$6,"Yes"))+IF((SUMIFS(Fact_SortedWeights!$E$2:$E$6,Fact_SortedWeights!$C$2:$C$6,$A331,Fact_SortedWeights!$B$2:$B$6,$B331,Fact_SortedWeights!$L$2:$L$6,"No"))=0,0,(SUMIFS(Fact_SortedWeights!$E$2:$E$6,Fact_SortedWeights!$C$2:$C$6,$A331,Fact_SortedWeights!$B$2:$B$6,$B331,Fact_SortedWeights!$D$2:$D$6,$C331,Fact_SortedWeights!$L$2:$L$6,"No"))/(SUMIFS(Fact_SortedWeights!$E$2:$E$6,Fact_SortedWeights!$C$2:$C$6,$A331,Fact_SortedWeights!$B$2:$B$6,$B331,Fact_SortedWeights!$L$2:$L$6,"No"))*((SUMIFS(Fact_PreSortWeights!$E$2:$E$15,Fact_PreSortWeights!$C$2:$C$15,$A331,Fact_PreSortWeights!$B$2:$B$15,$B331,Fact_PreSortWeights!$F$2:$F$15,""))-(SUMIFS(Fact_SortedWeights!$E$2:$E$6,Fact_SortedWeights!$C$2:$C$6,$A331,Fact_SortedWeights!$B$2:$B$6,$B331,Fact_SortedWeights!$L$2:$L$6,"Yes"))))</f>
        <v>0</v>
      </c>
      <c r="G331" s="0" t="n">
        <f aca="false">IF(AND(IF($B331="Trash",INDEX('Materials Master'!$F$2:$F$27,MATCH($C331,'Materials Master'!$A$2:$A$27,0)),IF($B331="GMPC Recycling",INDEX('Materials Master'!$G$2:$G$27,MATCH($C331,'Materials Master'!$A$2:$A$27,0)),IF($B331="Organics Recycling",INDEX('Materials Master'!$H$2:$H$27,MATCH($C331,'Materials Master'!$A$2:$A$27,0)),IF($B331="Cardboard Recycling",INDEX('Materials Master'!$I$2:$I$27,MATCH($C331,'Materials Master'!$A$2:$A$27,0)),IF($B331="Paper Recycling",INDEX('Materials Master'!$J$2:$J$27,MATCH($C331,'Materials Master'!$A$2:$A$27,0)),IF($B331="Terracycle",INDEX('Materials Master'!$K$2:$K$27,MATCH($C331,'Materials Master'!$A$2:$A$27,0)),"No"))))))="Yes",INDEX('Materials Master'!$E$2:$E$27,MATCH($C331,'Materials Master'!$A$2:$A$27,0))="Yes",$B331&lt;&gt;"Trash"),1,0)</f>
        <v>0</v>
      </c>
      <c r="H331" s="0" t="str">
        <f aca="false">INDEX('Materials Master'!$E$2:$E$27,MATCH($C331,'Materials Master'!$A$2:$A$27,0))</f>
        <v>No</v>
      </c>
      <c r="I331" s="0" t="str">
        <f aca="false">IFERROR(INDEX(Areas!$C$2:$C$6,MATCH($A331,Areas!$B$2:$B$6,0)),"")</f>
        <v>Rest of Building</v>
      </c>
      <c r="J331" s="0" t="n">
        <f aca="false">IF(IF($B331="Trash",INDEX('Materials Master'!$F$2:$F$27,MATCH($C331,'Materials Master'!$A$2:$A$27,0)),IF($B331="GMPC Recycling",INDEX('Materials Master'!$G$2:$G$27,MATCH($C331,'Materials Master'!$A$2:$A$27,0)),IF($B331="Organics Recycling",INDEX('Materials Master'!$H$2:$H$27,MATCH($C331,'Materials Master'!$A$2:$A$27,0)),IF($B331="Cardboard Recycling",INDEX('Materials Master'!$I$2:$I$27,MATCH($C331,'Materials Master'!$A$2:$A$27,0)),IF($B331="Paper Recycling",INDEX('Materials Master'!$J$2:$J$27,MATCH($C331,'Materials Master'!$A$2:$A$27,0)),IF($B331="Terracycle",INDEX('Materials Master'!$K$2:$K$27,MATCH($C331,'Materials Master'!$A$2:$A$27,0)),"No"))))))="Yes",1,0)</f>
        <v>1</v>
      </c>
    </row>
    <row r="332" customFormat="false" ht="15" hidden="false" customHeight="false" outlineLevel="0" collapsed="false">
      <c r="A332" s="0" t="s">
        <v>97</v>
      </c>
      <c r="B332" s="0" t="s">
        <v>103</v>
      </c>
      <c r="C332" s="0" t="s">
        <v>69</v>
      </c>
      <c r="D332" s="0" t="str">
        <f aca="false">IFERROR(INDEX('Materials Master'!$B$2:$B$27,MATCH($C332,'Materials Master'!$A$2:$A$27,0)),"")</f>
        <v>Fiber-based Compostable Serviceware</v>
      </c>
      <c r="E332" s="0" t="str">
        <f aca="false">IFERROR(INDEX('Materials Master'!$C$2:$C$27,MATCH($C332,'Materials Master'!$A$2:$A$27,0)),"")</f>
        <v>Organics</v>
      </c>
      <c r="F332" s="0" t="n">
        <f aca="false">(SUMIFS(Fact_PreSortWeights!$E$2:$E$15,Fact_PreSortWeights!$C$2:$C$15,$A332,Fact_PreSortWeights!$B$2:$B$15,$B332,Fact_PreSortWeights!$F$2:$F$15,$C332))+(SUMIFS(Fact_SortedWeights!$E$2:$E$6,Fact_SortedWeights!$C$2:$C$6,$A332,Fact_SortedWeights!$B$2:$B$6,$B332,Fact_SortedWeights!$D$2:$D$6,$C332,Fact_SortedWeights!$L$2:$L$6,"Yes"))+IF((SUMIFS(Fact_SortedWeights!$E$2:$E$6,Fact_SortedWeights!$C$2:$C$6,$A332,Fact_SortedWeights!$B$2:$B$6,$B332,Fact_SortedWeights!$L$2:$L$6,"No"))=0,0,(SUMIFS(Fact_SortedWeights!$E$2:$E$6,Fact_SortedWeights!$C$2:$C$6,$A332,Fact_SortedWeights!$B$2:$B$6,$B332,Fact_SortedWeights!$D$2:$D$6,$C332,Fact_SortedWeights!$L$2:$L$6,"No"))/(SUMIFS(Fact_SortedWeights!$E$2:$E$6,Fact_SortedWeights!$C$2:$C$6,$A332,Fact_SortedWeights!$B$2:$B$6,$B332,Fact_SortedWeights!$L$2:$L$6,"No"))*((SUMIFS(Fact_PreSortWeights!$E$2:$E$15,Fact_PreSortWeights!$C$2:$C$15,$A332,Fact_PreSortWeights!$B$2:$B$15,$B332,Fact_PreSortWeights!$F$2:$F$15,""))-(SUMIFS(Fact_SortedWeights!$E$2:$E$6,Fact_SortedWeights!$C$2:$C$6,$A332,Fact_SortedWeights!$B$2:$B$6,$B332,Fact_SortedWeights!$L$2:$L$6,"Yes"))))</f>
        <v>0</v>
      </c>
      <c r="G332" s="0" t="n">
        <f aca="false">IF(AND(IF($B332="Trash",INDEX('Materials Master'!$F$2:$F$27,MATCH($C332,'Materials Master'!$A$2:$A$27,0)),IF($B332="GMPC Recycling",INDEX('Materials Master'!$G$2:$G$27,MATCH($C332,'Materials Master'!$A$2:$A$27,0)),IF($B332="Organics Recycling",INDEX('Materials Master'!$H$2:$H$27,MATCH($C332,'Materials Master'!$A$2:$A$27,0)),IF($B332="Cardboard Recycling",INDEX('Materials Master'!$I$2:$I$27,MATCH($C332,'Materials Master'!$A$2:$A$27,0)),IF($B332="Paper Recycling",INDEX('Materials Master'!$J$2:$J$27,MATCH($C332,'Materials Master'!$A$2:$A$27,0)),IF($B332="Terracycle",INDEX('Materials Master'!$K$2:$K$27,MATCH($C332,'Materials Master'!$A$2:$A$27,0)),"No"))))))="Yes",INDEX('Materials Master'!$E$2:$E$27,MATCH($C332,'Materials Master'!$A$2:$A$27,0))="Yes",$B332&lt;&gt;"Trash"),1,0)</f>
        <v>0</v>
      </c>
      <c r="H332" s="0" t="str">
        <f aca="false">INDEX('Materials Master'!$E$2:$E$27,MATCH($C332,'Materials Master'!$A$2:$A$27,0))</f>
        <v>No</v>
      </c>
      <c r="I332" s="0" t="str">
        <f aca="false">IFERROR(INDEX(Areas!$C$2:$C$6,MATCH($A332,Areas!$B$2:$B$6,0)),"")</f>
        <v>Rest of Building</v>
      </c>
      <c r="J332" s="0" t="n">
        <f aca="false">IF(IF($B332="Trash",INDEX('Materials Master'!$F$2:$F$27,MATCH($C332,'Materials Master'!$A$2:$A$27,0)),IF($B332="GMPC Recycling",INDEX('Materials Master'!$G$2:$G$27,MATCH($C332,'Materials Master'!$A$2:$A$27,0)),IF($B332="Organics Recycling",INDEX('Materials Master'!$H$2:$H$27,MATCH($C332,'Materials Master'!$A$2:$A$27,0)),IF($B332="Cardboard Recycling",INDEX('Materials Master'!$I$2:$I$27,MATCH($C332,'Materials Master'!$A$2:$A$27,0)),IF($B332="Paper Recycling",INDEX('Materials Master'!$J$2:$J$27,MATCH($C332,'Materials Master'!$A$2:$A$27,0)),IF($B332="Terracycle",INDEX('Materials Master'!$K$2:$K$27,MATCH($C332,'Materials Master'!$A$2:$A$27,0)),"No"))))))="Yes",1,0)</f>
        <v>1</v>
      </c>
    </row>
    <row r="333" customFormat="false" ht="15" hidden="false" customHeight="false" outlineLevel="0" collapsed="false">
      <c r="A333" s="0" t="s">
        <v>97</v>
      </c>
      <c r="B333" s="0" t="s">
        <v>103</v>
      </c>
      <c r="C333" s="0" t="s">
        <v>71</v>
      </c>
      <c r="D333" s="0" t="str">
        <f aca="false">IFERROR(INDEX('Materials Master'!$B$2:$B$27,MATCH($C333,'Materials Master'!$A$2:$A$27,0)),"")</f>
        <v>PLA Compostable Serviceware</v>
      </c>
      <c r="E333" s="0" t="str">
        <f aca="false">IFERROR(INDEX('Materials Master'!$C$2:$C$27,MATCH($C333,'Materials Master'!$A$2:$A$27,0)),"")</f>
        <v>Organics</v>
      </c>
      <c r="F333" s="0" t="n">
        <f aca="false">(SUMIFS(Fact_PreSortWeights!$E$2:$E$15,Fact_PreSortWeights!$C$2:$C$15,$A333,Fact_PreSortWeights!$B$2:$B$15,$B333,Fact_PreSortWeights!$F$2:$F$15,$C333))+(SUMIFS(Fact_SortedWeights!$E$2:$E$6,Fact_SortedWeights!$C$2:$C$6,$A333,Fact_SortedWeights!$B$2:$B$6,$B333,Fact_SortedWeights!$D$2:$D$6,$C333,Fact_SortedWeights!$L$2:$L$6,"Yes"))+IF((SUMIFS(Fact_SortedWeights!$E$2:$E$6,Fact_SortedWeights!$C$2:$C$6,$A333,Fact_SortedWeights!$B$2:$B$6,$B333,Fact_SortedWeights!$L$2:$L$6,"No"))=0,0,(SUMIFS(Fact_SortedWeights!$E$2:$E$6,Fact_SortedWeights!$C$2:$C$6,$A333,Fact_SortedWeights!$B$2:$B$6,$B333,Fact_SortedWeights!$D$2:$D$6,$C333,Fact_SortedWeights!$L$2:$L$6,"No"))/(SUMIFS(Fact_SortedWeights!$E$2:$E$6,Fact_SortedWeights!$C$2:$C$6,$A333,Fact_SortedWeights!$B$2:$B$6,$B333,Fact_SortedWeights!$L$2:$L$6,"No"))*((SUMIFS(Fact_PreSortWeights!$E$2:$E$15,Fact_PreSortWeights!$C$2:$C$15,$A333,Fact_PreSortWeights!$B$2:$B$15,$B333,Fact_PreSortWeights!$F$2:$F$15,""))-(SUMIFS(Fact_SortedWeights!$E$2:$E$6,Fact_SortedWeights!$C$2:$C$6,$A333,Fact_SortedWeights!$B$2:$B$6,$B333,Fact_SortedWeights!$L$2:$L$6,"Yes"))))</f>
        <v>0</v>
      </c>
      <c r="G333" s="0" t="n">
        <f aca="false">IF(AND(IF($B333="Trash",INDEX('Materials Master'!$F$2:$F$27,MATCH($C333,'Materials Master'!$A$2:$A$27,0)),IF($B333="GMPC Recycling",INDEX('Materials Master'!$G$2:$G$27,MATCH($C333,'Materials Master'!$A$2:$A$27,0)),IF($B333="Organics Recycling",INDEX('Materials Master'!$H$2:$H$27,MATCH($C333,'Materials Master'!$A$2:$A$27,0)),IF($B333="Cardboard Recycling",INDEX('Materials Master'!$I$2:$I$27,MATCH($C333,'Materials Master'!$A$2:$A$27,0)),IF($B333="Paper Recycling",INDEX('Materials Master'!$J$2:$J$27,MATCH($C333,'Materials Master'!$A$2:$A$27,0)),IF($B333="Terracycle",INDEX('Materials Master'!$K$2:$K$27,MATCH($C333,'Materials Master'!$A$2:$A$27,0)),"No"))))))="Yes",INDEX('Materials Master'!$E$2:$E$27,MATCH($C333,'Materials Master'!$A$2:$A$27,0))="Yes",$B333&lt;&gt;"Trash"),1,0)</f>
        <v>0</v>
      </c>
      <c r="H333" s="0" t="str">
        <f aca="false">INDEX('Materials Master'!$E$2:$E$27,MATCH($C333,'Materials Master'!$A$2:$A$27,0))</f>
        <v>No</v>
      </c>
      <c r="I333" s="0" t="str">
        <f aca="false">IFERROR(INDEX(Areas!$C$2:$C$6,MATCH($A333,Areas!$B$2:$B$6,0)),"")</f>
        <v>Rest of Building</v>
      </c>
      <c r="J333" s="0" t="n">
        <f aca="false">IF(IF($B333="Trash",INDEX('Materials Master'!$F$2:$F$27,MATCH($C333,'Materials Master'!$A$2:$A$27,0)),IF($B333="GMPC Recycling",INDEX('Materials Master'!$G$2:$G$27,MATCH($C333,'Materials Master'!$A$2:$A$27,0)),IF($B333="Organics Recycling",INDEX('Materials Master'!$H$2:$H$27,MATCH($C333,'Materials Master'!$A$2:$A$27,0)),IF($B333="Cardboard Recycling",INDEX('Materials Master'!$I$2:$I$27,MATCH($C333,'Materials Master'!$A$2:$A$27,0)),IF($B333="Paper Recycling",INDEX('Materials Master'!$J$2:$J$27,MATCH($C333,'Materials Master'!$A$2:$A$27,0)),IF($B333="Terracycle",INDEX('Materials Master'!$K$2:$K$27,MATCH($C333,'Materials Master'!$A$2:$A$27,0)),"No"))))))="Yes",1,0)</f>
        <v>1</v>
      </c>
    </row>
    <row r="334" customFormat="false" ht="15" hidden="false" customHeight="false" outlineLevel="0" collapsed="false">
      <c r="A334" s="0" t="s">
        <v>97</v>
      </c>
      <c r="B334" s="0" t="s">
        <v>103</v>
      </c>
      <c r="C334" s="0" t="s">
        <v>73</v>
      </c>
      <c r="D334" s="0" t="str">
        <f aca="false">IFERROR(INDEX('Materials Master'!$B$2:$B$27,MATCH($C334,'Materials Master'!$A$2:$A$27,0)),"")</f>
        <v>E/U Waste</v>
      </c>
      <c r="E334" s="0" t="str">
        <f aca="false">IFERROR(INDEX('Materials Master'!$C$2:$C$27,MATCH($C334,'Materials Master'!$A$2:$A$27,0)),"")</f>
        <v>Unacceptable</v>
      </c>
      <c r="F334" s="0" t="n">
        <f aca="false">(SUMIFS(Fact_PreSortWeights!$E$2:$E$15,Fact_PreSortWeights!$C$2:$C$15,$A334,Fact_PreSortWeights!$B$2:$B$15,$B334,Fact_PreSortWeights!$F$2:$F$15,$C334))+(SUMIFS(Fact_SortedWeights!$E$2:$E$6,Fact_SortedWeights!$C$2:$C$6,$A334,Fact_SortedWeights!$B$2:$B$6,$B334,Fact_SortedWeights!$D$2:$D$6,$C334,Fact_SortedWeights!$L$2:$L$6,"Yes"))+IF((SUMIFS(Fact_SortedWeights!$E$2:$E$6,Fact_SortedWeights!$C$2:$C$6,$A334,Fact_SortedWeights!$B$2:$B$6,$B334,Fact_SortedWeights!$L$2:$L$6,"No"))=0,0,(SUMIFS(Fact_SortedWeights!$E$2:$E$6,Fact_SortedWeights!$C$2:$C$6,$A334,Fact_SortedWeights!$B$2:$B$6,$B334,Fact_SortedWeights!$D$2:$D$6,$C334,Fact_SortedWeights!$L$2:$L$6,"No"))/(SUMIFS(Fact_SortedWeights!$E$2:$E$6,Fact_SortedWeights!$C$2:$C$6,$A334,Fact_SortedWeights!$B$2:$B$6,$B334,Fact_SortedWeights!$L$2:$L$6,"No"))*((SUMIFS(Fact_PreSortWeights!$E$2:$E$15,Fact_PreSortWeights!$C$2:$C$15,$A334,Fact_PreSortWeights!$B$2:$B$15,$B334,Fact_PreSortWeights!$F$2:$F$15,""))-(SUMIFS(Fact_SortedWeights!$E$2:$E$6,Fact_SortedWeights!$C$2:$C$6,$A334,Fact_SortedWeights!$B$2:$B$6,$B334,Fact_SortedWeights!$L$2:$L$6,"Yes"))))</f>
        <v>0</v>
      </c>
      <c r="G334" s="0" t="n">
        <f aca="false">IF(AND(IF($B334="Trash",INDEX('Materials Master'!$F$2:$F$27,MATCH($C334,'Materials Master'!$A$2:$A$27,0)),IF($B334="GMPC Recycling",INDEX('Materials Master'!$G$2:$G$27,MATCH($C334,'Materials Master'!$A$2:$A$27,0)),IF($B334="Organics Recycling",INDEX('Materials Master'!$H$2:$H$27,MATCH($C334,'Materials Master'!$A$2:$A$27,0)),IF($B334="Cardboard Recycling",INDEX('Materials Master'!$I$2:$I$27,MATCH($C334,'Materials Master'!$A$2:$A$27,0)),IF($B334="Paper Recycling",INDEX('Materials Master'!$J$2:$J$27,MATCH($C334,'Materials Master'!$A$2:$A$27,0)),IF($B334="Terracycle",INDEX('Materials Master'!$K$2:$K$27,MATCH($C334,'Materials Master'!$A$2:$A$27,0)),"No"))))))="Yes",INDEX('Materials Master'!$E$2:$E$27,MATCH($C334,'Materials Master'!$A$2:$A$27,0))="Yes",$B334&lt;&gt;"Trash"),1,0)</f>
        <v>0</v>
      </c>
      <c r="H334" s="0" t="str">
        <f aca="false">INDEX('Materials Master'!$E$2:$E$27,MATCH($C334,'Materials Master'!$A$2:$A$27,0))</f>
        <v>No</v>
      </c>
      <c r="I334" s="0" t="str">
        <f aca="false">IFERROR(INDEX(Areas!$C$2:$C$6,MATCH($A334,Areas!$B$2:$B$6,0)),"")</f>
        <v>Rest of Building</v>
      </c>
      <c r="J334" s="0" t="n">
        <f aca="false">IF(IF($B334="Trash",INDEX('Materials Master'!$F$2:$F$27,MATCH($C334,'Materials Master'!$A$2:$A$27,0)),IF($B334="GMPC Recycling",INDEX('Materials Master'!$G$2:$G$27,MATCH($C334,'Materials Master'!$A$2:$A$27,0)),IF($B334="Organics Recycling",INDEX('Materials Master'!$H$2:$H$27,MATCH($C334,'Materials Master'!$A$2:$A$27,0)),IF($B334="Cardboard Recycling",INDEX('Materials Master'!$I$2:$I$27,MATCH($C334,'Materials Master'!$A$2:$A$27,0)),IF($B334="Paper Recycling",INDEX('Materials Master'!$J$2:$J$27,MATCH($C334,'Materials Master'!$A$2:$A$27,0)),IF($B334="Terracycle",INDEX('Materials Master'!$K$2:$K$27,MATCH($C334,'Materials Master'!$A$2:$A$27,0)),"No"))))))="Yes",1,0)</f>
        <v>1</v>
      </c>
    </row>
    <row r="335" customFormat="false" ht="15" hidden="false" customHeight="false" outlineLevel="0" collapsed="false">
      <c r="A335" s="0" t="s">
        <v>97</v>
      </c>
      <c r="B335" s="0" t="s">
        <v>103</v>
      </c>
      <c r="C335" s="0" t="s">
        <v>76</v>
      </c>
      <c r="D335" s="0" t="str">
        <f aca="false">IFERROR(INDEX('Materials Master'!$B$2:$B$27,MATCH($C335,'Materials Master'!$A$2:$A$27,0)),"")</f>
        <v>Textiles</v>
      </c>
      <c r="E335" s="0" t="str">
        <f aca="false">IFERROR(INDEX('Materials Master'!$C$2:$C$27,MATCH($C335,'Materials Master'!$A$2:$A$27,0)),"")</f>
        <v>Unacceptable</v>
      </c>
      <c r="F335" s="0" t="n">
        <f aca="false">(SUMIFS(Fact_PreSortWeights!$E$2:$E$15,Fact_PreSortWeights!$C$2:$C$15,$A335,Fact_PreSortWeights!$B$2:$B$15,$B335,Fact_PreSortWeights!$F$2:$F$15,$C335))+(SUMIFS(Fact_SortedWeights!$E$2:$E$6,Fact_SortedWeights!$C$2:$C$6,$A335,Fact_SortedWeights!$B$2:$B$6,$B335,Fact_SortedWeights!$D$2:$D$6,$C335,Fact_SortedWeights!$L$2:$L$6,"Yes"))+IF((SUMIFS(Fact_SortedWeights!$E$2:$E$6,Fact_SortedWeights!$C$2:$C$6,$A335,Fact_SortedWeights!$B$2:$B$6,$B335,Fact_SortedWeights!$L$2:$L$6,"No"))=0,0,(SUMIFS(Fact_SortedWeights!$E$2:$E$6,Fact_SortedWeights!$C$2:$C$6,$A335,Fact_SortedWeights!$B$2:$B$6,$B335,Fact_SortedWeights!$D$2:$D$6,$C335,Fact_SortedWeights!$L$2:$L$6,"No"))/(SUMIFS(Fact_SortedWeights!$E$2:$E$6,Fact_SortedWeights!$C$2:$C$6,$A335,Fact_SortedWeights!$B$2:$B$6,$B335,Fact_SortedWeights!$L$2:$L$6,"No"))*((SUMIFS(Fact_PreSortWeights!$E$2:$E$15,Fact_PreSortWeights!$C$2:$C$15,$A335,Fact_PreSortWeights!$B$2:$B$15,$B335,Fact_PreSortWeights!$F$2:$F$15,""))-(SUMIFS(Fact_SortedWeights!$E$2:$E$6,Fact_SortedWeights!$C$2:$C$6,$A335,Fact_SortedWeights!$B$2:$B$6,$B335,Fact_SortedWeights!$L$2:$L$6,"Yes"))))</f>
        <v>0</v>
      </c>
      <c r="G335" s="0" t="n">
        <f aca="false">IF(AND(IF($B335="Trash",INDEX('Materials Master'!$F$2:$F$27,MATCH($C335,'Materials Master'!$A$2:$A$27,0)),IF($B335="GMPC Recycling",INDEX('Materials Master'!$G$2:$G$27,MATCH($C335,'Materials Master'!$A$2:$A$27,0)),IF($B335="Organics Recycling",INDEX('Materials Master'!$H$2:$H$27,MATCH($C335,'Materials Master'!$A$2:$A$27,0)),IF($B335="Cardboard Recycling",INDEX('Materials Master'!$I$2:$I$27,MATCH($C335,'Materials Master'!$A$2:$A$27,0)),IF($B335="Paper Recycling",INDEX('Materials Master'!$J$2:$J$27,MATCH($C335,'Materials Master'!$A$2:$A$27,0)),IF($B335="Terracycle",INDEX('Materials Master'!$K$2:$K$27,MATCH($C335,'Materials Master'!$A$2:$A$27,0)),"No"))))))="Yes",INDEX('Materials Master'!$E$2:$E$27,MATCH($C335,'Materials Master'!$A$2:$A$27,0))="Yes",$B335&lt;&gt;"Trash"),1,0)</f>
        <v>0</v>
      </c>
      <c r="H335" s="0" t="str">
        <f aca="false">INDEX('Materials Master'!$E$2:$E$27,MATCH($C335,'Materials Master'!$A$2:$A$27,0))</f>
        <v>No</v>
      </c>
      <c r="I335" s="0" t="str">
        <f aca="false">IFERROR(INDEX(Areas!$C$2:$C$6,MATCH($A335,Areas!$B$2:$B$6,0)),"")</f>
        <v>Rest of Building</v>
      </c>
      <c r="J335" s="0" t="n">
        <f aca="false">IF(IF($B335="Trash",INDEX('Materials Master'!$F$2:$F$27,MATCH($C335,'Materials Master'!$A$2:$A$27,0)),IF($B335="GMPC Recycling",INDEX('Materials Master'!$G$2:$G$27,MATCH($C335,'Materials Master'!$A$2:$A$27,0)),IF($B335="Organics Recycling",INDEX('Materials Master'!$H$2:$H$27,MATCH($C335,'Materials Master'!$A$2:$A$27,0)),IF($B335="Cardboard Recycling",INDEX('Materials Master'!$I$2:$I$27,MATCH($C335,'Materials Master'!$A$2:$A$27,0)),IF($B335="Paper Recycling",INDEX('Materials Master'!$J$2:$J$27,MATCH($C335,'Materials Master'!$A$2:$A$27,0)),IF($B335="Terracycle",INDEX('Materials Master'!$K$2:$K$27,MATCH($C335,'Materials Master'!$A$2:$A$27,0)),"No"))))))="Yes",1,0)</f>
        <v>1</v>
      </c>
    </row>
    <row r="336" customFormat="false" ht="15" hidden="false" customHeight="false" outlineLevel="0" collapsed="false">
      <c r="A336" s="0" t="s">
        <v>97</v>
      </c>
      <c r="B336" s="0" t="s">
        <v>103</v>
      </c>
      <c r="C336" s="0" t="s">
        <v>78</v>
      </c>
      <c r="D336" s="0" t="str">
        <f aca="false">IFERROR(INDEX('Materials Master'!$B$2:$B$27,MATCH($C336,'Materials Master'!$A$2:$A$27,0)),"")</f>
        <v>Other Unacceptable (specify)</v>
      </c>
      <c r="E336" s="0" t="str">
        <f aca="false">IFERROR(INDEX('Materials Master'!$C$2:$C$27,MATCH($C336,'Materials Master'!$A$2:$A$27,0)),"")</f>
        <v>Unacceptable</v>
      </c>
      <c r="F336" s="0" t="n">
        <f aca="false">(SUMIFS(Fact_PreSortWeights!$E$2:$E$15,Fact_PreSortWeights!$C$2:$C$15,$A336,Fact_PreSortWeights!$B$2:$B$15,$B336,Fact_PreSortWeights!$F$2:$F$15,$C336))+(SUMIFS(Fact_SortedWeights!$E$2:$E$6,Fact_SortedWeights!$C$2:$C$6,$A336,Fact_SortedWeights!$B$2:$B$6,$B336,Fact_SortedWeights!$D$2:$D$6,$C336,Fact_SortedWeights!$L$2:$L$6,"Yes"))+IF((SUMIFS(Fact_SortedWeights!$E$2:$E$6,Fact_SortedWeights!$C$2:$C$6,$A336,Fact_SortedWeights!$B$2:$B$6,$B336,Fact_SortedWeights!$L$2:$L$6,"No"))=0,0,(SUMIFS(Fact_SortedWeights!$E$2:$E$6,Fact_SortedWeights!$C$2:$C$6,$A336,Fact_SortedWeights!$B$2:$B$6,$B336,Fact_SortedWeights!$D$2:$D$6,$C336,Fact_SortedWeights!$L$2:$L$6,"No"))/(SUMIFS(Fact_SortedWeights!$E$2:$E$6,Fact_SortedWeights!$C$2:$C$6,$A336,Fact_SortedWeights!$B$2:$B$6,$B336,Fact_SortedWeights!$L$2:$L$6,"No"))*((SUMIFS(Fact_PreSortWeights!$E$2:$E$15,Fact_PreSortWeights!$C$2:$C$15,$A336,Fact_PreSortWeights!$B$2:$B$15,$B336,Fact_PreSortWeights!$F$2:$F$15,""))-(SUMIFS(Fact_SortedWeights!$E$2:$E$6,Fact_SortedWeights!$C$2:$C$6,$A336,Fact_SortedWeights!$B$2:$B$6,$B336,Fact_SortedWeights!$L$2:$L$6,"Yes"))))</f>
        <v>0</v>
      </c>
      <c r="G336" s="0" t="n">
        <f aca="false">IF(AND(IF($B336="Trash",INDEX('Materials Master'!$F$2:$F$27,MATCH($C336,'Materials Master'!$A$2:$A$27,0)),IF($B336="GMPC Recycling",INDEX('Materials Master'!$G$2:$G$27,MATCH($C336,'Materials Master'!$A$2:$A$27,0)),IF($B336="Organics Recycling",INDEX('Materials Master'!$H$2:$H$27,MATCH($C336,'Materials Master'!$A$2:$A$27,0)),IF($B336="Cardboard Recycling",INDEX('Materials Master'!$I$2:$I$27,MATCH($C336,'Materials Master'!$A$2:$A$27,0)),IF($B336="Paper Recycling",INDEX('Materials Master'!$J$2:$J$27,MATCH($C336,'Materials Master'!$A$2:$A$27,0)),IF($B336="Terracycle",INDEX('Materials Master'!$K$2:$K$27,MATCH($C336,'Materials Master'!$A$2:$A$27,0)),"No"))))))="Yes",INDEX('Materials Master'!$E$2:$E$27,MATCH($C336,'Materials Master'!$A$2:$A$27,0))="Yes",$B336&lt;&gt;"Trash"),1,0)</f>
        <v>0</v>
      </c>
      <c r="H336" s="0" t="str">
        <f aca="false">INDEX('Materials Master'!$E$2:$E$27,MATCH($C336,'Materials Master'!$A$2:$A$27,0))</f>
        <v>No</v>
      </c>
      <c r="I336" s="0" t="str">
        <f aca="false">IFERROR(INDEX(Areas!$C$2:$C$6,MATCH($A336,Areas!$B$2:$B$6,0)),"")</f>
        <v>Rest of Building</v>
      </c>
      <c r="J336" s="0" t="n">
        <f aca="false">IF(IF($B336="Trash",INDEX('Materials Master'!$F$2:$F$27,MATCH($C336,'Materials Master'!$A$2:$A$27,0)),IF($B336="GMPC Recycling",INDEX('Materials Master'!$G$2:$G$27,MATCH($C336,'Materials Master'!$A$2:$A$27,0)),IF($B336="Organics Recycling",INDEX('Materials Master'!$H$2:$H$27,MATCH($C336,'Materials Master'!$A$2:$A$27,0)),IF($B336="Cardboard Recycling",INDEX('Materials Master'!$I$2:$I$27,MATCH($C336,'Materials Master'!$A$2:$A$27,0)),IF($B336="Paper Recycling",INDEX('Materials Master'!$J$2:$J$27,MATCH($C336,'Materials Master'!$A$2:$A$27,0)),IF($B336="Terracycle",INDEX('Materials Master'!$K$2:$K$27,MATCH($C336,'Materials Master'!$A$2:$A$27,0)),"No"))))))="Yes",1,0)</f>
        <v>1</v>
      </c>
    </row>
    <row r="337" customFormat="false" ht="15" hidden="false" customHeight="false" outlineLevel="0" collapsed="false">
      <c r="A337" s="0" t="s">
        <v>97</v>
      </c>
      <c r="B337" s="0" t="s">
        <v>103</v>
      </c>
      <c r="C337" s="0" t="s">
        <v>80</v>
      </c>
      <c r="D337" s="0" t="str">
        <f aca="false">IFERROR(INDEX('Materials Master'!$B$2:$B$27,MATCH($C337,'Materials Master'!$A$2:$A$27,0)),"")</f>
        <v>Liquids</v>
      </c>
      <c r="E337" s="0" t="str">
        <f aca="false">IFERROR(INDEX('Materials Master'!$C$2:$C$27,MATCH($C337,'Materials Master'!$A$2:$A$27,0)),"")</f>
        <v>Unacceptable</v>
      </c>
      <c r="F337" s="0" t="n">
        <f aca="false">(SUMIFS(Fact_PreSortWeights!$E$2:$E$15,Fact_PreSortWeights!$C$2:$C$15,$A337,Fact_PreSortWeights!$B$2:$B$15,$B337,Fact_PreSortWeights!$F$2:$F$15,$C337))+(SUMIFS(Fact_SortedWeights!$E$2:$E$6,Fact_SortedWeights!$C$2:$C$6,$A337,Fact_SortedWeights!$B$2:$B$6,$B337,Fact_SortedWeights!$D$2:$D$6,$C337,Fact_SortedWeights!$L$2:$L$6,"Yes"))+IF((SUMIFS(Fact_SortedWeights!$E$2:$E$6,Fact_SortedWeights!$C$2:$C$6,$A337,Fact_SortedWeights!$B$2:$B$6,$B337,Fact_SortedWeights!$L$2:$L$6,"No"))=0,0,(SUMIFS(Fact_SortedWeights!$E$2:$E$6,Fact_SortedWeights!$C$2:$C$6,$A337,Fact_SortedWeights!$B$2:$B$6,$B337,Fact_SortedWeights!$D$2:$D$6,$C337,Fact_SortedWeights!$L$2:$L$6,"No"))/(SUMIFS(Fact_SortedWeights!$E$2:$E$6,Fact_SortedWeights!$C$2:$C$6,$A337,Fact_SortedWeights!$B$2:$B$6,$B337,Fact_SortedWeights!$L$2:$L$6,"No"))*((SUMIFS(Fact_PreSortWeights!$E$2:$E$15,Fact_PreSortWeights!$C$2:$C$15,$A337,Fact_PreSortWeights!$B$2:$B$15,$B337,Fact_PreSortWeights!$F$2:$F$15,""))-(SUMIFS(Fact_SortedWeights!$E$2:$E$6,Fact_SortedWeights!$C$2:$C$6,$A337,Fact_SortedWeights!$B$2:$B$6,$B337,Fact_SortedWeights!$L$2:$L$6,"Yes"))))</f>
        <v>0</v>
      </c>
      <c r="G337" s="0" t="n">
        <f aca="false">IF(AND(IF($B337="Trash",INDEX('Materials Master'!$F$2:$F$27,MATCH($C337,'Materials Master'!$A$2:$A$27,0)),IF($B337="GMPC Recycling",INDEX('Materials Master'!$G$2:$G$27,MATCH($C337,'Materials Master'!$A$2:$A$27,0)),IF($B337="Organics Recycling",INDEX('Materials Master'!$H$2:$H$27,MATCH($C337,'Materials Master'!$A$2:$A$27,0)),IF($B337="Cardboard Recycling",INDEX('Materials Master'!$I$2:$I$27,MATCH($C337,'Materials Master'!$A$2:$A$27,0)),IF($B337="Paper Recycling",INDEX('Materials Master'!$J$2:$J$27,MATCH($C337,'Materials Master'!$A$2:$A$27,0)),IF($B337="Terracycle",INDEX('Materials Master'!$K$2:$K$27,MATCH($C337,'Materials Master'!$A$2:$A$27,0)),"No"))))))="Yes",INDEX('Materials Master'!$E$2:$E$27,MATCH($C337,'Materials Master'!$A$2:$A$27,0))="Yes",$B337&lt;&gt;"Trash"),1,0)</f>
        <v>0</v>
      </c>
      <c r="H337" s="0" t="str">
        <f aca="false">INDEX('Materials Master'!$E$2:$E$27,MATCH($C337,'Materials Master'!$A$2:$A$27,0))</f>
        <v>No</v>
      </c>
      <c r="I337" s="0" t="str">
        <f aca="false">IFERROR(INDEX(Areas!$C$2:$C$6,MATCH($A337,Areas!$B$2:$B$6,0)),"")</f>
        <v>Rest of Building</v>
      </c>
      <c r="J337" s="0" t="n">
        <f aca="false">IF(IF($B337="Trash",INDEX('Materials Master'!$F$2:$F$27,MATCH($C337,'Materials Master'!$A$2:$A$27,0)),IF($B337="GMPC Recycling",INDEX('Materials Master'!$G$2:$G$27,MATCH($C337,'Materials Master'!$A$2:$A$27,0)),IF($B337="Organics Recycling",INDEX('Materials Master'!$H$2:$H$27,MATCH($C337,'Materials Master'!$A$2:$A$27,0)),IF($B337="Cardboard Recycling",INDEX('Materials Master'!$I$2:$I$27,MATCH($C337,'Materials Master'!$A$2:$A$27,0)),IF($B337="Paper Recycling",INDEX('Materials Master'!$J$2:$J$27,MATCH($C337,'Materials Master'!$A$2:$A$27,0)),IF($B337="Terracycle",INDEX('Materials Master'!$K$2:$K$27,MATCH($C337,'Materials Master'!$A$2:$A$27,0)),"No"))))))="Yes",1,0)</f>
        <v>1</v>
      </c>
    </row>
    <row r="338" customFormat="false" ht="15" hidden="false" customHeight="false" outlineLevel="0" collapsed="false">
      <c r="A338" s="0" t="s">
        <v>97</v>
      </c>
      <c r="B338" s="0" t="s">
        <v>103</v>
      </c>
      <c r="C338" s="0" t="s">
        <v>82</v>
      </c>
      <c r="D338" s="0" t="str">
        <f aca="false">IFERROR(INDEX('Materials Master'!$B$2:$B$27,MATCH($C338,'Materials Master'!$A$2:$A$27,0)),"")</f>
        <v>Snack Wrappers (Composites)</v>
      </c>
      <c r="E338" s="0" t="str">
        <f aca="false">IFERROR(INDEX('Materials Master'!$C$2:$C$27,MATCH($C338,'Materials Master'!$A$2:$A$27,0)),"")</f>
        <v>Other</v>
      </c>
      <c r="F338" s="0" t="n">
        <f aca="false">(SUMIFS(Fact_PreSortWeights!$E$2:$E$15,Fact_PreSortWeights!$C$2:$C$15,$A338,Fact_PreSortWeights!$B$2:$B$15,$B338,Fact_PreSortWeights!$F$2:$F$15,$C338))+(SUMIFS(Fact_SortedWeights!$E$2:$E$6,Fact_SortedWeights!$C$2:$C$6,$A338,Fact_SortedWeights!$B$2:$B$6,$B338,Fact_SortedWeights!$D$2:$D$6,$C338,Fact_SortedWeights!$L$2:$L$6,"Yes"))+IF((SUMIFS(Fact_SortedWeights!$E$2:$E$6,Fact_SortedWeights!$C$2:$C$6,$A338,Fact_SortedWeights!$B$2:$B$6,$B338,Fact_SortedWeights!$L$2:$L$6,"No"))=0,0,(SUMIFS(Fact_SortedWeights!$E$2:$E$6,Fact_SortedWeights!$C$2:$C$6,$A338,Fact_SortedWeights!$B$2:$B$6,$B338,Fact_SortedWeights!$D$2:$D$6,$C338,Fact_SortedWeights!$L$2:$L$6,"No"))/(SUMIFS(Fact_SortedWeights!$E$2:$E$6,Fact_SortedWeights!$C$2:$C$6,$A338,Fact_SortedWeights!$B$2:$B$6,$B338,Fact_SortedWeights!$L$2:$L$6,"No"))*((SUMIFS(Fact_PreSortWeights!$E$2:$E$15,Fact_PreSortWeights!$C$2:$C$15,$A338,Fact_PreSortWeights!$B$2:$B$15,$B338,Fact_PreSortWeights!$F$2:$F$15,""))-(SUMIFS(Fact_SortedWeights!$E$2:$E$6,Fact_SortedWeights!$C$2:$C$6,$A338,Fact_SortedWeights!$B$2:$B$6,$B338,Fact_SortedWeights!$L$2:$L$6,"Yes"))))</f>
        <v>0</v>
      </c>
      <c r="G338" s="0" t="n">
        <f aca="false">IF(AND(IF($B338="Trash",INDEX('Materials Master'!$F$2:$F$27,MATCH($C338,'Materials Master'!$A$2:$A$27,0)),IF($B338="GMPC Recycling",INDEX('Materials Master'!$G$2:$G$27,MATCH($C338,'Materials Master'!$A$2:$A$27,0)),IF($B338="Organics Recycling",INDEX('Materials Master'!$H$2:$H$27,MATCH($C338,'Materials Master'!$A$2:$A$27,0)),IF($B338="Cardboard Recycling",INDEX('Materials Master'!$I$2:$I$27,MATCH($C338,'Materials Master'!$A$2:$A$27,0)),IF($B338="Paper Recycling",INDEX('Materials Master'!$J$2:$J$27,MATCH($C338,'Materials Master'!$A$2:$A$27,0)),IF($B338="Terracycle",INDEX('Materials Master'!$K$2:$K$27,MATCH($C338,'Materials Master'!$A$2:$A$27,0)),"No"))))))="Yes",INDEX('Materials Master'!$E$2:$E$27,MATCH($C338,'Materials Master'!$A$2:$A$27,0))="Yes",$B338&lt;&gt;"Trash"),1,0)</f>
        <v>0</v>
      </c>
      <c r="H338" s="0" t="str">
        <f aca="false">INDEX('Materials Master'!$E$2:$E$27,MATCH($C338,'Materials Master'!$A$2:$A$27,0))</f>
        <v>Yes</v>
      </c>
      <c r="I338" s="0" t="str">
        <f aca="false">IFERROR(INDEX(Areas!$C$2:$C$6,MATCH($A338,Areas!$B$2:$B$6,0)),"")</f>
        <v>Rest of Building</v>
      </c>
      <c r="J338" s="0" t="n">
        <f aca="false">IF(IF($B338="Trash",INDEX('Materials Master'!$F$2:$F$27,MATCH($C338,'Materials Master'!$A$2:$A$27,0)),IF($B338="GMPC Recycling",INDEX('Materials Master'!$G$2:$G$27,MATCH($C338,'Materials Master'!$A$2:$A$27,0)),IF($B338="Organics Recycling",INDEX('Materials Master'!$H$2:$H$27,MATCH($C338,'Materials Master'!$A$2:$A$27,0)),IF($B338="Cardboard Recycling",INDEX('Materials Master'!$I$2:$I$27,MATCH($C338,'Materials Master'!$A$2:$A$27,0)),IF($B338="Paper Recycling",INDEX('Materials Master'!$J$2:$J$27,MATCH($C338,'Materials Master'!$A$2:$A$27,0)),IF($B338="Terracycle",INDEX('Materials Master'!$K$2:$K$27,MATCH($C338,'Materials Master'!$A$2:$A$27,0)),"No"))))))="Yes",1,0)</f>
        <v>0</v>
      </c>
    </row>
    <row r="339" customFormat="false" ht="15" hidden="false" customHeight="false" outlineLevel="0" collapsed="false">
      <c r="A339" s="0" t="s">
        <v>97</v>
      </c>
      <c r="B339" s="0" t="s">
        <v>103</v>
      </c>
      <c r="C339" s="0" t="s">
        <v>85</v>
      </c>
      <c r="D339" s="0" t="str">
        <f aca="false">IFERROR(INDEX('Materials Master'!$B$2:$B$27,MATCH($C339,'Materials Master'!$A$2:$A$27,0)),"")</f>
        <v>Other/Residual Materials</v>
      </c>
      <c r="E339" s="0" t="str">
        <f aca="false">IFERROR(INDEX('Materials Master'!$C$2:$C$27,MATCH($C339,'Materials Master'!$A$2:$A$27,0)),"")</f>
        <v>Other</v>
      </c>
      <c r="F339" s="0" t="n">
        <f aca="false">(SUMIFS(Fact_PreSortWeights!$E$2:$E$15,Fact_PreSortWeights!$C$2:$C$15,$A339,Fact_PreSortWeights!$B$2:$B$15,$B339,Fact_PreSortWeights!$F$2:$F$15,$C339))+(SUMIFS(Fact_SortedWeights!$E$2:$E$6,Fact_SortedWeights!$C$2:$C$6,$A339,Fact_SortedWeights!$B$2:$B$6,$B339,Fact_SortedWeights!$D$2:$D$6,$C339,Fact_SortedWeights!$L$2:$L$6,"Yes"))+IF((SUMIFS(Fact_SortedWeights!$E$2:$E$6,Fact_SortedWeights!$C$2:$C$6,$A339,Fact_SortedWeights!$B$2:$B$6,$B339,Fact_SortedWeights!$L$2:$L$6,"No"))=0,0,(SUMIFS(Fact_SortedWeights!$E$2:$E$6,Fact_SortedWeights!$C$2:$C$6,$A339,Fact_SortedWeights!$B$2:$B$6,$B339,Fact_SortedWeights!$D$2:$D$6,$C339,Fact_SortedWeights!$L$2:$L$6,"No"))/(SUMIFS(Fact_SortedWeights!$E$2:$E$6,Fact_SortedWeights!$C$2:$C$6,$A339,Fact_SortedWeights!$B$2:$B$6,$B339,Fact_SortedWeights!$L$2:$L$6,"No"))*((SUMIFS(Fact_PreSortWeights!$E$2:$E$15,Fact_PreSortWeights!$C$2:$C$15,$A339,Fact_PreSortWeights!$B$2:$B$15,$B339,Fact_PreSortWeights!$F$2:$F$15,""))-(SUMIFS(Fact_SortedWeights!$E$2:$E$6,Fact_SortedWeights!$C$2:$C$6,$A339,Fact_SortedWeights!$B$2:$B$6,$B339,Fact_SortedWeights!$L$2:$L$6,"Yes"))))</f>
        <v>0</v>
      </c>
      <c r="G339" s="0" t="n">
        <f aca="false">IF(AND(IF($B339="Trash",INDEX('Materials Master'!$F$2:$F$27,MATCH($C339,'Materials Master'!$A$2:$A$27,0)),IF($B339="GMPC Recycling",INDEX('Materials Master'!$G$2:$G$27,MATCH($C339,'Materials Master'!$A$2:$A$27,0)),IF($B339="Organics Recycling",INDEX('Materials Master'!$H$2:$H$27,MATCH($C339,'Materials Master'!$A$2:$A$27,0)),IF($B339="Cardboard Recycling",INDEX('Materials Master'!$I$2:$I$27,MATCH($C339,'Materials Master'!$A$2:$A$27,0)),IF($B339="Paper Recycling",INDEX('Materials Master'!$J$2:$J$27,MATCH($C339,'Materials Master'!$A$2:$A$27,0)),IF($B339="Terracycle",INDEX('Materials Master'!$K$2:$K$27,MATCH($C339,'Materials Master'!$A$2:$A$27,0)),"No"))))))="Yes",INDEX('Materials Master'!$E$2:$E$27,MATCH($C339,'Materials Master'!$A$2:$A$27,0))="Yes",$B339&lt;&gt;"Trash"),1,0)</f>
        <v>0</v>
      </c>
      <c r="H339" s="0" t="str">
        <f aca="false">INDEX('Materials Master'!$E$2:$E$27,MATCH($C339,'Materials Master'!$A$2:$A$27,0))</f>
        <v>No</v>
      </c>
      <c r="I339" s="0" t="str">
        <f aca="false">IFERROR(INDEX(Areas!$C$2:$C$6,MATCH($A339,Areas!$B$2:$B$6,0)),"")</f>
        <v>Rest of Building</v>
      </c>
      <c r="J339" s="0" t="n">
        <f aca="false">IF(IF($B339="Trash",INDEX('Materials Master'!$F$2:$F$27,MATCH($C339,'Materials Master'!$A$2:$A$27,0)),IF($B339="GMPC Recycling",INDEX('Materials Master'!$G$2:$G$27,MATCH($C339,'Materials Master'!$A$2:$A$27,0)),IF($B339="Organics Recycling",INDEX('Materials Master'!$H$2:$H$27,MATCH($C339,'Materials Master'!$A$2:$A$27,0)),IF($B339="Cardboard Recycling",INDEX('Materials Master'!$I$2:$I$27,MATCH($C339,'Materials Master'!$A$2:$A$27,0)),IF($B339="Paper Recycling",INDEX('Materials Master'!$J$2:$J$27,MATCH($C339,'Materials Master'!$A$2:$A$27,0)),IF($B339="Terracycle",INDEX('Materials Master'!$K$2:$K$27,MATCH($C339,'Materials Master'!$A$2:$A$27,0)),"No"))))))="Yes",1,0)</f>
        <v>1</v>
      </c>
    </row>
    <row r="340" customFormat="false" ht="15" hidden="false" customHeight="false" outlineLevel="0" collapsed="false">
      <c r="A340" s="0" t="s">
        <v>97</v>
      </c>
      <c r="B340" s="0" t="s">
        <v>104</v>
      </c>
      <c r="C340" s="0" t="s">
        <v>26</v>
      </c>
      <c r="D340" s="0" t="str">
        <f aca="false">IFERROR(INDEX('Materials Master'!$B$2:$B$27,MATCH($C340,'Materials Master'!$A$2:$A$27,0)),"")</f>
        <v>Corrugated Cardboard</v>
      </c>
      <c r="E340" s="0" t="str">
        <f aca="false">IFERROR(INDEX('Materials Master'!$C$2:$C$27,MATCH($C340,'Materials Master'!$A$2:$A$27,0)),"")</f>
        <v>Fibers</v>
      </c>
      <c r="F340" s="0" t="n">
        <f aca="false">(SUMIFS(Fact_PreSortWeights!$E$2:$E$15,Fact_PreSortWeights!$C$2:$C$15,$A340,Fact_PreSortWeights!$B$2:$B$15,$B340,Fact_PreSortWeights!$F$2:$F$15,$C340))+(SUMIFS(Fact_SortedWeights!$E$2:$E$6,Fact_SortedWeights!$C$2:$C$6,$A340,Fact_SortedWeights!$B$2:$B$6,$B340,Fact_SortedWeights!$D$2:$D$6,$C340,Fact_SortedWeights!$L$2:$L$6,"Yes"))+IF((SUMIFS(Fact_SortedWeights!$E$2:$E$6,Fact_SortedWeights!$C$2:$C$6,$A340,Fact_SortedWeights!$B$2:$B$6,$B340,Fact_SortedWeights!$L$2:$L$6,"No"))=0,0,(SUMIFS(Fact_SortedWeights!$E$2:$E$6,Fact_SortedWeights!$C$2:$C$6,$A340,Fact_SortedWeights!$B$2:$B$6,$B340,Fact_SortedWeights!$D$2:$D$6,$C340,Fact_SortedWeights!$L$2:$L$6,"No"))/(SUMIFS(Fact_SortedWeights!$E$2:$E$6,Fact_SortedWeights!$C$2:$C$6,$A340,Fact_SortedWeights!$B$2:$B$6,$B340,Fact_SortedWeights!$L$2:$L$6,"No"))*((SUMIFS(Fact_PreSortWeights!$E$2:$E$15,Fact_PreSortWeights!$C$2:$C$15,$A340,Fact_PreSortWeights!$B$2:$B$15,$B340,Fact_PreSortWeights!$F$2:$F$15,""))-(SUMIFS(Fact_SortedWeights!$E$2:$E$6,Fact_SortedWeights!$C$2:$C$6,$A340,Fact_SortedWeights!$B$2:$B$6,$B340,Fact_SortedWeights!$L$2:$L$6,"Yes"))))</f>
        <v>0</v>
      </c>
      <c r="G340" s="0" t="n">
        <f aca="false">IF(AND(IF($B340="Trash",INDEX('Materials Master'!$F$2:$F$27,MATCH($C340,'Materials Master'!$A$2:$A$27,0)),IF($B340="GMPC Recycling",INDEX('Materials Master'!$G$2:$G$27,MATCH($C340,'Materials Master'!$A$2:$A$27,0)),IF($B340="Organics Recycling",INDEX('Materials Master'!$H$2:$H$27,MATCH($C340,'Materials Master'!$A$2:$A$27,0)),IF($B340="Cardboard Recycling",INDEX('Materials Master'!$I$2:$I$27,MATCH($C340,'Materials Master'!$A$2:$A$27,0)),IF($B340="Paper Recycling",INDEX('Materials Master'!$J$2:$J$27,MATCH($C340,'Materials Master'!$A$2:$A$27,0)),IF($B340="Terracycle",INDEX('Materials Master'!$K$2:$K$27,MATCH($C340,'Materials Master'!$A$2:$A$27,0)),"No"))))))="Yes",INDEX('Materials Master'!$E$2:$E$27,MATCH($C340,'Materials Master'!$A$2:$A$27,0))="Yes",$B340&lt;&gt;"Trash"),1,0)</f>
        <v>1</v>
      </c>
      <c r="H340" s="0" t="str">
        <f aca="false">INDEX('Materials Master'!$E$2:$E$27,MATCH($C340,'Materials Master'!$A$2:$A$27,0))</f>
        <v>Yes</v>
      </c>
      <c r="I340" s="0" t="str">
        <f aca="false">IFERROR(INDEX(Areas!$C$2:$C$6,MATCH($A340,Areas!$B$2:$B$6,0)),"")</f>
        <v>Rest of Building</v>
      </c>
      <c r="J340" s="0" t="n">
        <f aca="false">IF(IF($B340="Trash",INDEX('Materials Master'!$F$2:$F$27,MATCH($C340,'Materials Master'!$A$2:$A$27,0)),IF($B340="GMPC Recycling",INDEX('Materials Master'!$G$2:$G$27,MATCH($C340,'Materials Master'!$A$2:$A$27,0)),IF($B340="Organics Recycling",INDEX('Materials Master'!$H$2:$H$27,MATCH($C340,'Materials Master'!$A$2:$A$27,0)),IF($B340="Cardboard Recycling",INDEX('Materials Master'!$I$2:$I$27,MATCH($C340,'Materials Master'!$A$2:$A$27,0)),IF($B340="Paper Recycling",INDEX('Materials Master'!$J$2:$J$27,MATCH($C340,'Materials Master'!$A$2:$A$27,0)),IF($B340="Terracycle",INDEX('Materials Master'!$K$2:$K$27,MATCH($C340,'Materials Master'!$A$2:$A$27,0)),"No"))))))="Yes",1,0)</f>
        <v>1</v>
      </c>
    </row>
    <row r="341" customFormat="false" ht="15" hidden="false" customHeight="false" outlineLevel="0" collapsed="false">
      <c r="A341" s="0" t="s">
        <v>97</v>
      </c>
      <c r="B341" s="0" t="s">
        <v>104</v>
      </c>
      <c r="C341" s="0" t="s">
        <v>31</v>
      </c>
      <c r="D341" s="0" t="str">
        <f aca="false">IFERROR(INDEX('Materials Master'!$B$2:$B$27,MATCH($C341,'Materials Master'!$A$2:$A$27,0)),"")</f>
        <v>Soiled Cardboard</v>
      </c>
      <c r="E341" s="0" t="str">
        <f aca="false">IFERROR(INDEX('Materials Master'!$C$2:$C$27,MATCH($C341,'Materials Master'!$A$2:$A$27,0)),"")</f>
        <v>Fibers</v>
      </c>
      <c r="F341" s="0" t="n">
        <f aca="false">(SUMIFS(Fact_PreSortWeights!$E$2:$E$15,Fact_PreSortWeights!$C$2:$C$15,$A341,Fact_PreSortWeights!$B$2:$B$15,$B341,Fact_PreSortWeights!$F$2:$F$15,$C341))+(SUMIFS(Fact_SortedWeights!$E$2:$E$6,Fact_SortedWeights!$C$2:$C$6,$A341,Fact_SortedWeights!$B$2:$B$6,$B341,Fact_SortedWeights!$D$2:$D$6,$C341,Fact_SortedWeights!$L$2:$L$6,"Yes"))+IF((SUMIFS(Fact_SortedWeights!$E$2:$E$6,Fact_SortedWeights!$C$2:$C$6,$A341,Fact_SortedWeights!$B$2:$B$6,$B341,Fact_SortedWeights!$L$2:$L$6,"No"))=0,0,(SUMIFS(Fact_SortedWeights!$E$2:$E$6,Fact_SortedWeights!$C$2:$C$6,$A341,Fact_SortedWeights!$B$2:$B$6,$B341,Fact_SortedWeights!$D$2:$D$6,$C341,Fact_SortedWeights!$L$2:$L$6,"No"))/(SUMIFS(Fact_SortedWeights!$E$2:$E$6,Fact_SortedWeights!$C$2:$C$6,$A341,Fact_SortedWeights!$B$2:$B$6,$B341,Fact_SortedWeights!$L$2:$L$6,"No"))*((SUMIFS(Fact_PreSortWeights!$E$2:$E$15,Fact_PreSortWeights!$C$2:$C$15,$A341,Fact_PreSortWeights!$B$2:$B$15,$B341,Fact_PreSortWeights!$F$2:$F$15,""))-(SUMIFS(Fact_SortedWeights!$E$2:$E$6,Fact_SortedWeights!$C$2:$C$6,$A341,Fact_SortedWeights!$B$2:$B$6,$B341,Fact_SortedWeights!$L$2:$L$6,"Yes"))))</f>
        <v>0</v>
      </c>
      <c r="G341" s="0" t="n">
        <f aca="false">IF(AND(IF($B341="Trash",INDEX('Materials Master'!$F$2:$F$27,MATCH($C341,'Materials Master'!$A$2:$A$27,0)),IF($B341="GMPC Recycling",INDEX('Materials Master'!$G$2:$G$27,MATCH($C341,'Materials Master'!$A$2:$A$27,0)),IF($B341="Organics Recycling",INDEX('Materials Master'!$H$2:$H$27,MATCH($C341,'Materials Master'!$A$2:$A$27,0)),IF($B341="Cardboard Recycling",INDEX('Materials Master'!$I$2:$I$27,MATCH($C341,'Materials Master'!$A$2:$A$27,0)),IF($B341="Paper Recycling",INDEX('Materials Master'!$J$2:$J$27,MATCH($C341,'Materials Master'!$A$2:$A$27,0)),IF($B341="Terracycle",INDEX('Materials Master'!$K$2:$K$27,MATCH($C341,'Materials Master'!$A$2:$A$27,0)),"No"))))))="Yes",INDEX('Materials Master'!$E$2:$E$27,MATCH($C341,'Materials Master'!$A$2:$A$27,0))="Yes",$B341&lt;&gt;"Trash"),1,0)</f>
        <v>0</v>
      </c>
      <c r="H341" s="0" t="str">
        <f aca="false">INDEX('Materials Master'!$E$2:$E$27,MATCH($C341,'Materials Master'!$A$2:$A$27,0))</f>
        <v>No</v>
      </c>
      <c r="I341" s="0" t="str">
        <f aca="false">IFERROR(INDEX(Areas!$C$2:$C$6,MATCH($A341,Areas!$B$2:$B$6,0)),"")</f>
        <v>Rest of Building</v>
      </c>
      <c r="J341" s="0" t="n">
        <f aca="false">IF(IF($B341="Trash",INDEX('Materials Master'!$F$2:$F$27,MATCH($C341,'Materials Master'!$A$2:$A$27,0)),IF($B341="GMPC Recycling",INDEX('Materials Master'!$G$2:$G$27,MATCH($C341,'Materials Master'!$A$2:$A$27,0)),IF($B341="Organics Recycling",INDEX('Materials Master'!$H$2:$H$27,MATCH($C341,'Materials Master'!$A$2:$A$27,0)),IF($B341="Cardboard Recycling",INDEX('Materials Master'!$I$2:$I$27,MATCH($C341,'Materials Master'!$A$2:$A$27,0)),IF($B341="Paper Recycling",INDEX('Materials Master'!$J$2:$J$27,MATCH($C341,'Materials Master'!$A$2:$A$27,0)),IF($B341="Terracycle",INDEX('Materials Master'!$K$2:$K$27,MATCH($C341,'Materials Master'!$A$2:$A$27,0)),"No"))))))="Yes",1,0)</f>
        <v>0</v>
      </c>
    </row>
    <row r="342" customFormat="false" ht="15" hidden="false" customHeight="false" outlineLevel="0" collapsed="false">
      <c r="A342" s="0" t="s">
        <v>97</v>
      </c>
      <c r="B342" s="0" t="s">
        <v>104</v>
      </c>
      <c r="C342" s="0" t="s">
        <v>33</v>
      </c>
      <c r="D342" s="0" t="str">
        <f aca="false">IFERROR(INDEX('Materials Master'!$B$2:$B$27,MATCH($C342,'Materials Master'!$A$2:$A$27,0)),"")</f>
        <v>Waxed Cardboard</v>
      </c>
      <c r="E342" s="0" t="str">
        <f aca="false">IFERROR(INDEX('Materials Master'!$C$2:$C$27,MATCH($C342,'Materials Master'!$A$2:$A$27,0)),"")</f>
        <v>Fibers</v>
      </c>
      <c r="F342" s="0" t="n">
        <f aca="false">(SUMIFS(Fact_PreSortWeights!$E$2:$E$15,Fact_PreSortWeights!$C$2:$C$15,$A342,Fact_PreSortWeights!$B$2:$B$15,$B342,Fact_PreSortWeights!$F$2:$F$15,$C342))+(SUMIFS(Fact_SortedWeights!$E$2:$E$6,Fact_SortedWeights!$C$2:$C$6,$A342,Fact_SortedWeights!$B$2:$B$6,$B342,Fact_SortedWeights!$D$2:$D$6,$C342,Fact_SortedWeights!$L$2:$L$6,"Yes"))+IF((SUMIFS(Fact_SortedWeights!$E$2:$E$6,Fact_SortedWeights!$C$2:$C$6,$A342,Fact_SortedWeights!$B$2:$B$6,$B342,Fact_SortedWeights!$L$2:$L$6,"No"))=0,0,(SUMIFS(Fact_SortedWeights!$E$2:$E$6,Fact_SortedWeights!$C$2:$C$6,$A342,Fact_SortedWeights!$B$2:$B$6,$B342,Fact_SortedWeights!$D$2:$D$6,$C342,Fact_SortedWeights!$L$2:$L$6,"No"))/(SUMIFS(Fact_SortedWeights!$E$2:$E$6,Fact_SortedWeights!$C$2:$C$6,$A342,Fact_SortedWeights!$B$2:$B$6,$B342,Fact_SortedWeights!$L$2:$L$6,"No"))*((SUMIFS(Fact_PreSortWeights!$E$2:$E$15,Fact_PreSortWeights!$C$2:$C$15,$A342,Fact_PreSortWeights!$B$2:$B$15,$B342,Fact_PreSortWeights!$F$2:$F$15,""))-(SUMIFS(Fact_SortedWeights!$E$2:$E$6,Fact_SortedWeights!$C$2:$C$6,$A342,Fact_SortedWeights!$B$2:$B$6,$B342,Fact_SortedWeights!$L$2:$L$6,"Yes"))))</f>
        <v>0</v>
      </c>
      <c r="G342" s="0" t="n">
        <f aca="false">IF(AND(IF($B342="Trash",INDEX('Materials Master'!$F$2:$F$27,MATCH($C342,'Materials Master'!$A$2:$A$27,0)),IF($B342="GMPC Recycling",INDEX('Materials Master'!$G$2:$G$27,MATCH($C342,'Materials Master'!$A$2:$A$27,0)),IF($B342="Organics Recycling",INDEX('Materials Master'!$H$2:$H$27,MATCH($C342,'Materials Master'!$A$2:$A$27,0)),IF($B342="Cardboard Recycling",INDEX('Materials Master'!$I$2:$I$27,MATCH($C342,'Materials Master'!$A$2:$A$27,0)),IF($B342="Paper Recycling",INDEX('Materials Master'!$J$2:$J$27,MATCH($C342,'Materials Master'!$A$2:$A$27,0)),IF($B342="Terracycle",INDEX('Materials Master'!$K$2:$K$27,MATCH($C342,'Materials Master'!$A$2:$A$27,0)),"No"))))))="Yes",INDEX('Materials Master'!$E$2:$E$27,MATCH($C342,'Materials Master'!$A$2:$A$27,0))="Yes",$B342&lt;&gt;"Trash"),1,0)</f>
        <v>0</v>
      </c>
      <c r="H342" s="0" t="str">
        <f aca="false">INDEX('Materials Master'!$E$2:$E$27,MATCH($C342,'Materials Master'!$A$2:$A$27,0))</f>
        <v>No</v>
      </c>
      <c r="I342" s="0" t="str">
        <f aca="false">IFERROR(INDEX(Areas!$C$2:$C$6,MATCH($A342,Areas!$B$2:$B$6,0)),"")</f>
        <v>Rest of Building</v>
      </c>
      <c r="J342" s="0" t="n">
        <f aca="false">IF(IF($B342="Trash",INDEX('Materials Master'!$F$2:$F$27,MATCH($C342,'Materials Master'!$A$2:$A$27,0)),IF($B342="GMPC Recycling",INDEX('Materials Master'!$G$2:$G$27,MATCH($C342,'Materials Master'!$A$2:$A$27,0)),IF($B342="Organics Recycling",INDEX('Materials Master'!$H$2:$H$27,MATCH($C342,'Materials Master'!$A$2:$A$27,0)),IF($B342="Cardboard Recycling",INDEX('Materials Master'!$I$2:$I$27,MATCH($C342,'Materials Master'!$A$2:$A$27,0)),IF($B342="Paper Recycling",INDEX('Materials Master'!$J$2:$J$27,MATCH($C342,'Materials Master'!$A$2:$A$27,0)),IF($B342="Terracycle",INDEX('Materials Master'!$K$2:$K$27,MATCH($C342,'Materials Master'!$A$2:$A$27,0)),"No"))))))="Yes",1,0)</f>
        <v>0</v>
      </c>
    </row>
    <row r="343" customFormat="false" ht="15" hidden="false" customHeight="false" outlineLevel="0" collapsed="false">
      <c r="A343" s="0" t="s">
        <v>97</v>
      </c>
      <c r="B343" s="0" t="s">
        <v>104</v>
      </c>
      <c r="C343" s="0" t="s">
        <v>35</v>
      </c>
      <c r="D343" s="0" t="str">
        <f aca="false">IFERROR(INDEX('Materials Master'!$B$2:$B$27,MATCH($C343,'Materials Master'!$A$2:$A$27,0)),"")</f>
        <v>Mixed Paper</v>
      </c>
      <c r="E343" s="0" t="str">
        <f aca="false">IFERROR(INDEX('Materials Master'!$C$2:$C$27,MATCH($C343,'Materials Master'!$A$2:$A$27,0)),"")</f>
        <v>Fibers</v>
      </c>
      <c r="F343" s="0" t="n">
        <f aca="false">(SUMIFS(Fact_PreSortWeights!$E$2:$E$15,Fact_PreSortWeights!$C$2:$C$15,$A343,Fact_PreSortWeights!$B$2:$B$15,$B343,Fact_PreSortWeights!$F$2:$F$15,$C343))+(SUMIFS(Fact_SortedWeights!$E$2:$E$6,Fact_SortedWeights!$C$2:$C$6,$A343,Fact_SortedWeights!$B$2:$B$6,$B343,Fact_SortedWeights!$D$2:$D$6,$C343,Fact_SortedWeights!$L$2:$L$6,"Yes"))+IF((SUMIFS(Fact_SortedWeights!$E$2:$E$6,Fact_SortedWeights!$C$2:$C$6,$A343,Fact_SortedWeights!$B$2:$B$6,$B343,Fact_SortedWeights!$L$2:$L$6,"No"))=0,0,(SUMIFS(Fact_SortedWeights!$E$2:$E$6,Fact_SortedWeights!$C$2:$C$6,$A343,Fact_SortedWeights!$B$2:$B$6,$B343,Fact_SortedWeights!$D$2:$D$6,$C343,Fact_SortedWeights!$L$2:$L$6,"No"))/(SUMIFS(Fact_SortedWeights!$E$2:$E$6,Fact_SortedWeights!$C$2:$C$6,$A343,Fact_SortedWeights!$B$2:$B$6,$B343,Fact_SortedWeights!$L$2:$L$6,"No"))*((SUMIFS(Fact_PreSortWeights!$E$2:$E$15,Fact_PreSortWeights!$C$2:$C$15,$A343,Fact_PreSortWeights!$B$2:$B$15,$B343,Fact_PreSortWeights!$F$2:$F$15,""))-(SUMIFS(Fact_SortedWeights!$E$2:$E$6,Fact_SortedWeights!$C$2:$C$6,$A343,Fact_SortedWeights!$B$2:$B$6,$B343,Fact_SortedWeights!$L$2:$L$6,"Yes"))))</f>
        <v>0</v>
      </c>
      <c r="G343" s="0" t="n">
        <f aca="false">IF(AND(IF($B343="Trash",INDEX('Materials Master'!$F$2:$F$27,MATCH($C343,'Materials Master'!$A$2:$A$27,0)),IF($B343="GMPC Recycling",INDEX('Materials Master'!$G$2:$G$27,MATCH($C343,'Materials Master'!$A$2:$A$27,0)),IF($B343="Organics Recycling",INDEX('Materials Master'!$H$2:$H$27,MATCH($C343,'Materials Master'!$A$2:$A$27,0)),IF($B343="Cardboard Recycling",INDEX('Materials Master'!$I$2:$I$27,MATCH($C343,'Materials Master'!$A$2:$A$27,0)),IF($B343="Paper Recycling",INDEX('Materials Master'!$J$2:$J$27,MATCH($C343,'Materials Master'!$A$2:$A$27,0)),IF($B343="Terracycle",INDEX('Materials Master'!$K$2:$K$27,MATCH($C343,'Materials Master'!$A$2:$A$27,0)),"No"))))))="Yes",INDEX('Materials Master'!$E$2:$E$27,MATCH($C343,'Materials Master'!$A$2:$A$27,0))="Yes",$B343&lt;&gt;"Trash"),1,0)</f>
        <v>1</v>
      </c>
      <c r="H343" s="0" t="str">
        <f aca="false">INDEX('Materials Master'!$E$2:$E$27,MATCH($C343,'Materials Master'!$A$2:$A$27,0))</f>
        <v>Yes</v>
      </c>
      <c r="I343" s="0" t="str">
        <f aca="false">IFERROR(INDEX(Areas!$C$2:$C$6,MATCH($A343,Areas!$B$2:$B$6,0)),"")</f>
        <v>Rest of Building</v>
      </c>
      <c r="J343" s="0" t="n">
        <f aca="false">IF(IF($B343="Trash",INDEX('Materials Master'!$F$2:$F$27,MATCH($C343,'Materials Master'!$A$2:$A$27,0)),IF($B343="GMPC Recycling",INDEX('Materials Master'!$G$2:$G$27,MATCH($C343,'Materials Master'!$A$2:$A$27,0)),IF($B343="Organics Recycling",INDEX('Materials Master'!$H$2:$H$27,MATCH($C343,'Materials Master'!$A$2:$A$27,0)),IF($B343="Cardboard Recycling",INDEX('Materials Master'!$I$2:$I$27,MATCH($C343,'Materials Master'!$A$2:$A$27,0)),IF($B343="Paper Recycling",INDEX('Materials Master'!$J$2:$J$27,MATCH($C343,'Materials Master'!$A$2:$A$27,0)),IF($B343="Terracycle",INDEX('Materials Master'!$K$2:$K$27,MATCH($C343,'Materials Master'!$A$2:$A$27,0)),"No"))))))="Yes",1,0)</f>
        <v>1</v>
      </c>
    </row>
    <row r="344" customFormat="false" ht="15" hidden="false" customHeight="false" outlineLevel="0" collapsed="false">
      <c r="A344" s="0" t="s">
        <v>97</v>
      </c>
      <c r="B344" s="0" t="s">
        <v>104</v>
      </c>
      <c r="C344" s="0" t="s">
        <v>37</v>
      </c>
      <c r="D344" s="0" t="str">
        <f aca="false">IFERROR(INDEX('Materials Master'!$B$2:$B$27,MATCH($C344,'Materials Master'!$A$2:$A$27,0)),"")</f>
        <v>Soiled Paper</v>
      </c>
      <c r="E344" s="0" t="str">
        <f aca="false">IFERROR(INDEX('Materials Master'!$C$2:$C$27,MATCH($C344,'Materials Master'!$A$2:$A$27,0)),"")</f>
        <v>Fibers</v>
      </c>
      <c r="F344" s="0" t="n">
        <f aca="false">(SUMIFS(Fact_PreSortWeights!$E$2:$E$15,Fact_PreSortWeights!$C$2:$C$15,$A344,Fact_PreSortWeights!$B$2:$B$15,$B344,Fact_PreSortWeights!$F$2:$F$15,$C344))+(SUMIFS(Fact_SortedWeights!$E$2:$E$6,Fact_SortedWeights!$C$2:$C$6,$A344,Fact_SortedWeights!$B$2:$B$6,$B344,Fact_SortedWeights!$D$2:$D$6,$C344,Fact_SortedWeights!$L$2:$L$6,"Yes"))+IF((SUMIFS(Fact_SortedWeights!$E$2:$E$6,Fact_SortedWeights!$C$2:$C$6,$A344,Fact_SortedWeights!$B$2:$B$6,$B344,Fact_SortedWeights!$L$2:$L$6,"No"))=0,0,(SUMIFS(Fact_SortedWeights!$E$2:$E$6,Fact_SortedWeights!$C$2:$C$6,$A344,Fact_SortedWeights!$B$2:$B$6,$B344,Fact_SortedWeights!$D$2:$D$6,$C344,Fact_SortedWeights!$L$2:$L$6,"No"))/(SUMIFS(Fact_SortedWeights!$E$2:$E$6,Fact_SortedWeights!$C$2:$C$6,$A344,Fact_SortedWeights!$B$2:$B$6,$B344,Fact_SortedWeights!$L$2:$L$6,"No"))*((SUMIFS(Fact_PreSortWeights!$E$2:$E$15,Fact_PreSortWeights!$C$2:$C$15,$A344,Fact_PreSortWeights!$B$2:$B$15,$B344,Fact_PreSortWeights!$F$2:$F$15,""))-(SUMIFS(Fact_SortedWeights!$E$2:$E$6,Fact_SortedWeights!$C$2:$C$6,$A344,Fact_SortedWeights!$B$2:$B$6,$B344,Fact_SortedWeights!$L$2:$L$6,"Yes"))))</f>
        <v>0</v>
      </c>
      <c r="G344" s="0" t="n">
        <f aca="false">IF(AND(IF($B344="Trash",INDEX('Materials Master'!$F$2:$F$27,MATCH($C344,'Materials Master'!$A$2:$A$27,0)),IF($B344="GMPC Recycling",INDEX('Materials Master'!$G$2:$G$27,MATCH($C344,'Materials Master'!$A$2:$A$27,0)),IF($B344="Organics Recycling",INDEX('Materials Master'!$H$2:$H$27,MATCH($C344,'Materials Master'!$A$2:$A$27,0)),IF($B344="Cardboard Recycling",INDEX('Materials Master'!$I$2:$I$27,MATCH($C344,'Materials Master'!$A$2:$A$27,0)),IF($B344="Paper Recycling",INDEX('Materials Master'!$J$2:$J$27,MATCH($C344,'Materials Master'!$A$2:$A$27,0)),IF($B344="Terracycle",INDEX('Materials Master'!$K$2:$K$27,MATCH($C344,'Materials Master'!$A$2:$A$27,0)),"No"))))))="Yes",INDEX('Materials Master'!$E$2:$E$27,MATCH($C344,'Materials Master'!$A$2:$A$27,0))="Yes",$B344&lt;&gt;"Trash"),1,0)</f>
        <v>0</v>
      </c>
      <c r="H344" s="0" t="str">
        <f aca="false">INDEX('Materials Master'!$E$2:$E$27,MATCH($C344,'Materials Master'!$A$2:$A$27,0))</f>
        <v>No</v>
      </c>
      <c r="I344" s="0" t="str">
        <f aca="false">IFERROR(INDEX(Areas!$C$2:$C$6,MATCH($A344,Areas!$B$2:$B$6,0)),"")</f>
        <v>Rest of Building</v>
      </c>
      <c r="J344" s="0" t="n">
        <f aca="false">IF(IF($B344="Trash",INDEX('Materials Master'!$F$2:$F$27,MATCH($C344,'Materials Master'!$A$2:$A$27,0)),IF($B344="GMPC Recycling",INDEX('Materials Master'!$G$2:$G$27,MATCH($C344,'Materials Master'!$A$2:$A$27,0)),IF($B344="Organics Recycling",INDEX('Materials Master'!$H$2:$H$27,MATCH($C344,'Materials Master'!$A$2:$A$27,0)),IF($B344="Cardboard Recycling",INDEX('Materials Master'!$I$2:$I$27,MATCH($C344,'Materials Master'!$A$2:$A$27,0)),IF($B344="Paper Recycling",INDEX('Materials Master'!$J$2:$J$27,MATCH($C344,'Materials Master'!$A$2:$A$27,0)),IF($B344="Terracycle",INDEX('Materials Master'!$K$2:$K$27,MATCH($C344,'Materials Master'!$A$2:$A$27,0)),"No"))))))="Yes",1,0)</f>
        <v>0</v>
      </c>
    </row>
    <row r="345" customFormat="false" ht="15" hidden="false" customHeight="false" outlineLevel="0" collapsed="false">
      <c r="A345" s="0" t="s">
        <v>97</v>
      </c>
      <c r="B345" s="0" t="s">
        <v>104</v>
      </c>
      <c r="C345" s="0" t="s">
        <v>39</v>
      </c>
      <c r="D345" s="0" t="str">
        <f aca="false">IFERROR(INDEX('Materials Master'!$B$2:$B$27,MATCH($C345,'Materials Master'!$A$2:$A$27,0)),"")</f>
        <v>Beverage Cartons</v>
      </c>
      <c r="E345" s="0" t="str">
        <f aca="false">IFERROR(INDEX('Materials Master'!$C$2:$C$27,MATCH($C345,'Materials Master'!$A$2:$A$27,0)),"")</f>
        <v>Fibers</v>
      </c>
      <c r="F345" s="0" t="n">
        <f aca="false">(SUMIFS(Fact_PreSortWeights!$E$2:$E$15,Fact_PreSortWeights!$C$2:$C$15,$A345,Fact_PreSortWeights!$B$2:$B$15,$B345,Fact_PreSortWeights!$F$2:$F$15,$C345))+(SUMIFS(Fact_SortedWeights!$E$2:$E$6,Fact_SortedWeights!$C$2:$C$6,$A345,Fact_SortedWeights!$B$2:$B$6,$B345,Fact_SortedWeights!$D$2:$D$6,$C345,Fact_SortedWeights!$L$2:$L$6,"Yes"))+IF((SUMIFS(Fact_SortedWeights!$E$2:$E$6,Fact_SortedWeights!$C$2:$C$6,$A345,Fact_SortedWeights!$B$2:$B$6,$B345,Fact_SortedWeights!$L$2:$L$6,"No"))=0,0,(SUMIFS(Fact_SortedWeights!$E$2:$E$6,Fact_SortedWeights!$C$2:$C$6,$A345,Fact_SortedWeights!$B$2:$B$6,$B345,Fact_SortedWeights!$D$2:$D$6,$C345,Fact_SortedWeights!$L$2:$L$6,"No"))/(SUMIFS(Fact_SortedWeights!$E$2:$E$6,Fact_SortedWeights!$C$2:$C$6,$A345,Fact_SortedWeights!$B$2:$B$6,$B345,Fact_SortedWeights!$L$2:$L$6,"No"))*((SUMIFS(Fact_PreSortWeights!$E$2:$E$15,Fact_PreSortWeights!$C$2:$C$15,$A345,Fact_PreSortWeights!$B$2:$B$15,$B345,Fact_PreSortWeights!$F$2:$F$15,""))-(SUMIFS(Fact_SortedWeights!$E$2:$E$6,Fact_SortedWeights!$C$2:$C$6,$A345,Fact_SortedWeights!$B$2:$B$6,$B345,Fact_SortedWeights!$L$2:$L$6,"Yes"))))</f>
        <v>0</v>
      </c>
      <c r="G345" s="0" t="n">
        <f aca="false">IF(AND(IF($B345="Trash",INDEX('Materials Master'!$F$2:$F$27,MATCH($C345,'Materials Master'!$A$2:$A$27,0)),IF($B345="GMPC Recycling",INDEX('Materials Master'!$G$2:$G$27,MATCH($C345,'Materials Master'!$A$2:$A$27,0)),IF($B345="Organics Recycling",INDEX('Materials Master'!$H$2:$H$27,MATCH($C345,'Materials Master'!$A$2:$A$27,0)),IF($B345="Cardboard Recycling",INDEX('Materials Master'!$I$2:$I$27,MATCH($C345,'Materials Master'!$A$2:$A$27,0)),IF($B345="Paper Recycling",INDEX('Materials Master'!$J$2:$J$27,MATCH($C345,'Materials Master'!$A$2:$A$27,0)),IF($B345="Terracycle",INDEX('Materials Master'!$K$2:$K$27,MATCH($C345,'Materials Master'!$A$2:$A$27,0)),"No"))))))="Yes",INDEX('Materials Master'!$E$2:$E$27,MATCH($C345,'Materials Master'!$A$2:$A$27,0))="Yes",$B345&lt;&gt;"Trash"),1,0)</f>
        <v>1</v>
      </c>
      <c r="H345" s="0" t="str">
        <f aca="false">INDEX('Materials Master'!$E$2:$E$27,MATCH($C345,'Materials Master'!$A$2:$A$27,0))</f>
        <v>Yes</v>
      </c>
      <c r="I345" s="0" t="str">
        <f aca="false">IFERROR(INDEX(Areas!$C$2:$C$6,MATCH($A345,Areas!$B$2:$B$6,0)),"")</f>
        <v>Rest of Building</v>
      </c>
      <c r="J345" s="0" t="n">
        <f aca="false">IF(IF($B345="Trash",INDEX('Materials Master'!$F$2:$F$27,MATCH($C345,'Materials Master'!$A$2:$A$27,0)),IF($B345="GMPC Recycling",INDEX('Materials Master'!$G$2:$G$27,MATCH($C345,'Materials Master'!$A$2:$A$27,0)),IF($B345="Organics Recycling",INDEX('Materials Master'!$H$2:$H$27,MATCH($C345,'Materials Master'!$A$2:$A$27,0)),IF($B345="Cardboard Recycling",INDEX('Materials Master'!$I$2:$I$27,MATCH($C345,'Materials Master'!$A$2:$A$27,0)),IF($B345="Paper Recycling",INDEX('Materials Master'!$J$2:$J$27,MATCH($C345,'Materials Master'!$A$2:$A$27,0)),IF($B345="Terracycle",INDEX('Materials Master'!$K$2:$K$27,MATCH($C345,'Materials Master'!$A$2:$A$27,0)),"No"))))))="Yes",1,0)</f>
        <v>1</v>
      </c>
    </row>
    <row r="346" customFormat="false" ht="15" hidden="false" customHeight="false" outlineLevel="0" collapsed="false">
      <c r="A346" s="0" t="s">
        <v>97</v>
      </c>
      <c r="B346" s="0" t="s">
        <v>104</v>
      </c>
      <c r="C346" s="0" t="s">
        <v>41</v>
      </c>
      <c r="D346" s="0" t="str">
        <f aca="false">IFERROR(INDEX('Materials Master'!$B$2:$B$27,MATCH($C346,'Materials Master'!$A$2:$A$27,0)),"")</f>
        <v>Soiled Beverage Cartons</v>
      </c>
      <c r="E346" s="0" t="str">
        <f aca="false">IFERROR(INDEX('Materials Master'!$C$2:$C$27,MATCH($C346,'Materials Master'!$A$2:$A$27,0)),"")</f>
        <v>Fibers</v>
      </c>
      <c r="F346" s="0" t="n">
        <f aca="false">(SUMIFS(Fact_PreSortWeights!$E$2:$E$15,Fact_PreSortWeights!$C$2:$C$15,$A346,Fact_PreSortWeights!$B$2:$B$15,$B346,Fact_PreSortWeights!$F$2:$F$15,$C346))+(SUMIFS(Fact_SortedWeights!$E$2:$E$6,Fact_SortedWeights!$C$2:$C$6,$A346,Fact_SortedWeights!$B$2:$B$6,$B346,Fact_SortedWeights!$D$2:$D$6,$C346,Fact_SortedWeights!$L$2:$L$6,"Yes"))+IF((SUMIFS(Fact_SortedWeights!$E$2:$E$6,Fact_SortedWeights!$C$2:$C$6,$A346,Fact_SortedWeights!$B$2:$B$6,$B346,Fact_SortedWeights!$L$2:$L$6,"No"))=0,0,(SUMIFS(Fact_SortedWeights!$E$2:$E$6,Fact_SortedWeights!$C$2:$C$6,$A346,Fact_SortedWeights!$B$2:$B$6,$B346,Fact_SortedWeights!$D$2:$D$6,$C346,Fact_SortedWeights!$L$2:$L$6,"No"))/(SUMIFS(Fact_SortedWeights!$E$2:$E$6,Fact_SortedWeights!$C$2:$C$6,$A346,Fact_SortedWeights!$B$2:$B$6,$B346,Fact_SortedWeights!$L$2:$L$6,"No"))*((SUMIFS(Fact_PreSortWeights!$E$2:$E$15,Fact_PreSortWeights!$C$2:$C$15,$A346,Fact_PreSortWeights!$B$2:$B$15,$B346,Fact_PreSortWeights!$F$2:$F$15,""))-(SUMIFS(Fact_SortedWeights!$E$2:$E$6,Fact_SortedWeights!$C$2:$C$6,$A346,Fact_SortedWeights!$B$2:$B$6,$B346,Fact_SortedWeights!$L$2:$L$6,"Yes"))))</f>
        <v>0</v>
      </c>
      <c r="G346" s="0" t="n">
        <f aca="false">IF(AND(IF($B346="Trash",INDEX('Materials Master'!$F$2:$F$27,MATCH($C346,'Materials Master'!$A$2:$A$27,0)),IF($B346="GMPC Recycling",INDEX('Materials Master'!$G$2:$G$27,MATCH($C346,'Materials Master'!$A$2:$A$27,0)),IF($B346="Organics Recycling",INDEX('Materials Master'!$H$2:$H$27,MATCH($C346,'Materials Master'!$A$2:$A$27,0)),IF($B346="Cardboard Recycling",INDEX('Materials Master'!$I$2:$I$27,MATCH($C346,'Materials Master'!$A$2:$A$27,0)),IF($B346="Paper Recycling",INDEX('Materials Master'!$J$2:$J$27,MATCH($C346,'Materials Master'!$A$2:$A$27,0)),IF($B346="Terracycle",INDEX('Materials Master'!$K$2:$K$27,MATCH($C346,'Materials Master'!$A$2:$A$27,0)),"No"))))))="Yes",INDEX('Materials Master'!$E$2:$E$27,MATCH($C346,'Materials Master'!$A$2:$A$27,0))="Yes",$B346&lt;&gt;"Trash"),1,0)</f>
        <v>0</v>
      </c>
      <c r="H346" s="0" t="str">
        <f aca="false">INDEX('Materials Master'!$E$2:$E$27,MATCH($C346,'Materials Master'!$A$2:$A$27,0))</f>
        <v>No</v>
      </c>
      <c r="I346" s="0" t="str">
        <f aca="false">IFERROR(INDEX(Areas!$C$2:$C$6,MATCH($A346,Areas!$B$2:$B$6,0)),"")</f>
        <v>Rest of Building</v>
      </c>
      <c r="J346" s="0" t="n">
        <f aca="false">IF(IF($B346="Trash",INDEX('Materials Master'!$F$2:$F$27,MATCH($C346,'Materials Master'!$A$2:$A$27,0)),IF($B346="GMPC Recycling",INDEX('Materials Master'!$G$2:$G$27,MATCH($C346,'Materials Master'!$A$2:$A$27,0)),IF($B346="Organics Recycling",INDEX('Materials Master'!$H$2:$H$27,MATCH($C346,'Materials Master'!$A$2:$A$27,0)),IF($B346="Cardboard Recycling",INDEX('Materials Master'!$I$2:$I$27,MATCH($C346,'Materials Master'!$A$2:$A$27,0)),IF($B346="Paper Recycling",INDEX('Materials Master'!$J$2:$J$27,MATCH($C346,'Materials Master'!$A$2:$A$27,0)),IF($B346="Terracycle",INDEX('Materials Master'!$K$2:$K$27,MATCH($C346,'Materials Master'!$A$2:$A$27,0)),"No"))))))="Yes",1,0)</f>
        <v>0</v>
      </c>
    </row>
    <row r="347" customFormat="false" ht="15" hidden="false" customHeight="false" outlineLevel="0" collapsed="false">
      <c r="A347" s="0" t="s">
        <v>97</v>
      </c>
      <c r="B347" s="0" t="s">
        <v>104</v>
      </c>
      <c r="C347" s="0" t="s">
        <v>43</v>
      </c>
      <c r="D347" s="0" t="str">
        <f aca="false">IFERROR(INDEX('Materials Master'!$B$2:$B$27,MATCH($C347,'Materials Master'!$A$2:$A$27,0)),"")</f>
        <v>Paper Cups / Other Coated Paper Containers</v>
      </c>
      <c r="E347" s="0" t="str">
        <f aca="false">IFERROR(INDEX('Materials Master'!$C$2:$C$27,MATCH($C347,'Materials Master'!$A$2:$A$27,0)),"")</f>
        <v>Fibers</v>
      </c>
      <c r="F347" s="0" t="n">
        <f aca="false">(SUMIFS(Fact_PreSortWeights!$E$2:$E$15,Fact_PreSortWeights!$C$2:$C$15,$A347,Fact_PreSortWeights!$B$2:$B$15,$B347,Fact_PreSortWeights!$F$2:$F$15,$C347))+(SUMIFS(Fact_SortedWeights!$E$2:$E$6,Fact_SortedWeights!$C$2:$C$6,$A347,Fact_SortedWeights!$B$2:$B$6,$B347,Fact_SortedWeights!$D$2:$D$6,$C347,Fact_SortedWeights!$L$2:$L$6,"Yes"))+IF((SUMIFS(Fact_SortedWeights!$E$2:$E$6,Fact_SortedWeights!$C$2:$C$6,$A347,Fact_SortedWeights!$B$2:$B$6,$B347,Fact_SortedWeights!$L$2:$L$6,"No"))=0,0,(SUMIFS(Fact_SortedWeights!$E$2:$E$6,Fact_SortedWeights!$C$2:$C$6,$A347,Fact_SortedWeights!$B$2:$B$6,$B347,Fact_SortedWeights!$D$2:$D$6,$C347,Fact_SortedWeights!$L$2:$L$6,"No"))/(SUMIFS(Fact_SortedWeights!$E$2:$E$6,Fact_SortedWeights!$C$2:$C$6,$A347,Fact_SortedWeights!$B$2:$B$6,$B347,Fact_SortedWeights!$L$2:$L$6,"No"))*((SUMIFS(Fact_PreSortWeights!$E$2:$E$15,Fact_PreSortWeights!$C$2:$C$15,$A347,Fact_PreSortWeights!$B$2:$B$15,$B347,Fact_PreSortWeights!$F$2:$F$15,""))-(SUMIFS(Fact_SortedWeights!$E$2:$E$6,Fact_SortedWeights!$C$2:$C$6,$A347,Fact_SortedWeights!$B$2:$B$6,$B347,Fact_SortedWeights!$L$2:$L$6,"Yes"))))</f>
        <v>0</v>
      </c>
      <c r="G347" s="0" t="n">
        <f aca="false">IF(AND(IF($B347="Trash",INDEX('Materials Master'!$F$2:$F$27,MATCH($C347,'Materials Master'!$A$2:$A$27,0)),IF($B347="GMPC Recycling",INDEX('Materials Master'!$G$2:$G$27,MATCH($C347,'Materials Master'!$A$2:$A$27,0)),IF($B347="Organics Recycling",INDEX('Materials Master'!$H$2:$H$27,MATCH($C347,'Materials Master'!$A$2:$A$27,0)),IF($B347="Cardboard Recycling",INDEX('Materials Master'!$I$2:$I$27,MATCH($C347,'Materials Master'!$A$2:$A$27,0)),IF($B347="Paper Recycling",INDEX('Materials Master'!$J$2:$J$27,MATCH($C347,'Materials Master'!$A$2:$A$27,0)),IF($B347="Terracycle",INDEX('Materials Master'!$K$2:$K$27,MATCH($C347,'Materials Master'!$A$2:$A$27,0)),"No"))))))="Yes",INDEX('Materials Master'!$E$2:$E$27,MATCH($C347,'Materials Master'!$A$2:$A$27,0))="Yes",$B347&lt;&gt;"Trash"),1,0)</f>
        <v>0</v>
      </c>
      <c r="H347" s="0" t="str">
        <f aca="false">INDEX('Materials Master'!$E$2:$E$27,MATCH($C347,'Materials Master'!$A$2:$A$27,0))</f>
        <v>No</v>
      </c>
      <c r="I347" s="0" t="str">
        <f aca="false">IFERROR(INDEX(Areas!$C$2:$C$6,MATCH($A347,Areas!$B$2:$B$6,0)),"")</f>
        <v>Rest of Building</v>
      </c>
      <c r="J347" s="0" t="n">
        <f aca="false">IF(IF($B347="Trash",INDEX('Materials Master'!$F$2:$F$27,MATCH($C347,'Materials Master'!$A$2:$A$27,0)),IF($B347="GMPC Recycling",INDEX('Materials Master'!$G$2:$G$27,MATCH($C347,'Materials Master'!$A$2:$A$27,0)),IF($B347="Organics Recycling",INDEX('Materials Master'!$H$2:$H$27,MATCH($C347,'Materials Master'!$A$2:$A$27,0)),IF($B347="Cardboard Recycling",INDEX('Materials Master'!$I$2:$I$27,MATCH($C347,'Materials Master'!$A$2:$A$27,0)),IF($B347="Paper Recycling",INDEX('Materials Master'!$J$2:$J$27,MATCH($C347,'Materials Master'!$A$2:$A$27,0)),IF($B347="Terracycle",INDEX('Materials Master'!$K$2:$K$27,MATCH($C347,'Materials Master'!$A$2:$A$27,0)),"No"))))))="Yes",1,0)</f>
        <v>0</v>
      </c>
    </row>
    <row r="348" customFormat="false" ht="15" hidden="false" customHeight="false" outlineLevel="0" collapsed="false">
      <c r="A348" s="0" t="s">
        <v>97</v>
      </c>
      <c r="B348" s="0" t="s">
        <v>104</v>
      </c>
      <c r="C348" s="0" t="s">
        <v>45</v>
      </c>
      <c r="D348" s="0" t="str">
        <f aca="false">IFERROR(INDEX('Materials Master'!$B$2:$B$27,MATCH($C348,'Materials Master'!$A$2:$A$27,0)),"")</f>
        <v>Glass Bottles &amp; Jars</v>
      </c>
      <c r="E348" s="0" t="str">
        <f aca="false">IFERROR(INDEX('Materials Master'!$C$2:$C$27,MATCH($C348,'Materials Master'!$A$2:$A$27,0)),"")</f>
        <v>Glass</v>
      </c>
      <c r="F348" s="0" t="n">
        <f aca="false">(SUMIFS(Fact_PreSortWeights!$E$2:$E$15,Fact_PreSortWeights!$C$2:$C$15,$A348,Fact_PreSortWeights!$B$2:$B$15,$B348,Fact_PreSortWeights!$F$2:$F$15,$C348))+(SUMIFS(Fact_SortedWeights!$E$2:$E$6,Fact_SortedWeights!$C$2:$C$6,$A348,Fact_SortedWeights!$B$2:$B$6,$B348,Fact_SortedWeights!$D$2:$D$6,$C348,Fact_SortedWeights!$L$2:$L$6,"Yes"))+IF((SUMIFS(Fact_SortedWeights!$E$2:$E$6,Fact_SortedWeights!$C$2:$C$6,$A348,Fact_SortedWeights!$B$2:$B$6,$B348,Fact_SortedWeights!$L$2:$L$6,"No"))=0,0,(SUMIFS(Fact_SortedWeights!$E$2:$E$6,Fact_SortedWeights!$C$2:$C$6,$A348,Fact_SortedWeights!$B$2:$B$6,$B348,Fact_SortedWeights!$D$2:$D$6,$C348,Fact_SortedWeights!$L$2:$L$6,"No"))/(SUMIFS(Fact_SortedWeights!$E$2:$E$6,Fact_SortedWeights!$C$2:$C$6,$A348,Fact_SortedWeights!$B$2:$B$6,$B348,Fact_SortedWeights!$L$2:$L$6,"No"))*((SUMIFS(Fact_PreSortWeights!$E$2:$E$15,Fact_PreSortWeights!$C$2:$C$15,$A348,Fact_PreSortWeights!$B$2:$B$15,$B348,Fact_PreSortWeights!$F$2:$F$15,""))-(SUMIFS(Fact_SortedWeights!$E$2:$E$6,Fact_SortedWeights!$C$2:$C$6,$A348,Fact_SortedWeights!$B$2:$B$6,$B348,Fact_SortedWeights!$L$2:$L$6,"Yes"))))</f>
        <v>0</v>
      </c>
      <c r="G348" s="0" t="n">
        <f aca="false">IF(AND(IF($B348="Trash",INDEX('Materials Master'!$F$2:$F$27,MATCH($C348,'Materials Master'!$A$2:$A$27,0)),IF($B348="GMPC Recycling",INDEX('Materials Master'!$G$2:$G$27,MATCH($C348,'Materials Master'!$A$2:$A$27,0)),IF($B348="Organics Recycling",INDEX('Materials Master'!$H$2:$H$27,MATCH($C348,'Materials Master'!$A$2:$A$27,0)),IF($B348="Cardboard Recycling",INDEX('Materials Master'!$I$2:$I$27,MATCH($C348,'Materials Master'!$A$2:$A$27,0)),IF($B348="Paper Recycling",INDEX('Materials Master'!$J$2:$J$27,MATCH($C348,'Materials Master'!$A$2:$A$27,0)),IF($B348="Terracycle",INDEX('Materials Master'!$K$2:$K$27,MATCH($C348,'Materials Master'!$A$2:$A$27,0)),"No"))))))="Yes",INDEX('Materials Master'!$E$2:$E$27,MATCH($C348,'Materials Master'!$A$2:$A$27,0))="Yes",$B348&lt;&gt;"Trash"),1,0)</f>
        <v>1</v>
      </c>
      <c r="H348" s="0" t="str">
        <f aca="false">INDEX('Materials Master'!$E$2:$E$27,MATCH($C348,'Materials Master'!$A$2:$A$27,0))</f>
        <v>Yes</v>
      </c>
      <c r="I348" s="0" t="str">
        <f aca="false">IFERROR(INDEX(Areas!$C$2:$C$6,MATCH($A348,Areas!$B$2:$B$6,0)),"")</f>
        <v>Rest of Building</v>
      </c>
      <c r="J348" s="0" t="n">
        <f aca="false">IF(IF($B348="Trash",INDEX('Materials Master'!$F$2:$F$27,MATCH($C348,'Materials Master'!$A$2:$A$27,0)),IF($B348="GMPC Recycling",INDEX('Materials Master'!$G$2:$G$27,MATCH($C348,'Materials Master'!$A$2:$A$27,0)),IF($B348="Organics Recycling",INDEX('Materials Master'!$H$2:$H$27,MATCH($C348,'Materials Master'!$A$2:$A$27,0)),IF($B348="Cardboard Recycling",INDEX('Materials Master'!$I$2:$I$27,MATCH($C348,'Materials Master'!$A$2:$A$27,0)),IF($B348="Paper Recycling",INDEX('Materials Master'!$J$2:$J$27,MATCH($C348,'Materials Master'!$A$2:$A$27,0)),IF($B348="Terracycle",INDEX('Materials Master'!$K$2:$K$27,MATCH($C348,'Materials Master'!$A$2:$A$27,0)),"No"))))))="Yes",1,0)</f>
        <v>1</v>
      </c>
    </row>
    <row r="349" customFormat="false" ht="15" hidden="false" customHeight="false" outlineLevel="0" collapsed="false">
      <c r="A349" s="0" t="s">
        <v>97</v>
      </c>
      <c r="B349" s="0" t="s">
        <v>104</v>
      </c>
      <c r="C349" s="0" t="s">
        <v>48</v>
      </c>
      <c r="D349" s="0" t="str">
        <f aca="false">IFERROR(INDEX('Materials Master'!$B$2:$B$27,MATCH($C349,'Materials Master'!$A$2:$A$27,0)),"")</f>
        <v>Soiled Glass</v>
      </c>
      <c r="E349" s="0" t="str">
        <f aca="false">IFERROR(INDEX('Materials Master'!$C$2:$C$27,MATCH($C349,'Materials Master'!$A$2:$A$27,0)),"")</f>
        <v>Glass</v>
      </c>
      <c r="F349" s="0" t="n">
        <f aca="false">(SUMIFS(Fact_PreSortWeights!$E$2:$E$15,Fact_PreSortWeights!$C$2:$C$15,$A349,Fact_PreSortWeights!$B$2:$B$15,$B349,Fact_PreSortWeights!$F$2:$F$15,$C349))+(SUMIFS(Fact_SortedWeights!$E$2:$E$6,Fact_SortedWeights!$C$2:$C$6,$A349,Fact_SortedWeights!$B$2:$B$6,$B349,Fact_SortedWeights!$D$2:$D$6,$C349,Fact_SortedWeights!$L$2:$L$6,"Yes"))+IF((SUMIFS(Fact_SortedWeights!$E$2:$E$6,Fact_SortedWeights!$C$2:$C$6,$A349,Fact_SortedWeights!$B$2:$B$6,$B349,Fact_SortedWeights!$L$2:$L$6,"No"))=0,0,(SUMIFS(Fact_SortedWeights!$E$2:$E$6,Fact_SortedWeights!$C$2:$C$6,$A349,Fact_SortedWeights!$B$2:$B$6,$B349,Fact_SortedWeights!$D$2:$D$6,$C349,Fact_SortedWeights!$L$2:$L$6,"No"))/(SUMIFS(Fact_SortedWeights!$E$2:$E$6,Fact_SortedWeights!$C$2:$C$6,$A349,Fact_SortedWeights!$B$2:$B$6,$B349,Fact_SortedWeights!$L$2:$L$6,"No"))*((SUMIFS(Fact_PreSortWeights!$E$2:$E$15,Fact_PreSortWeights!$C$2:$C$15,$A349,Fact_PreSortWeights!$B$2:$B$15,$B349,Fact_PreSortWeights!$F$2:$F$15,""))-(SUMIFS(Fact_SortedWeights!$E$2:$E$6,Fact_SortedWeights!$C$2:$C$6,$A349,Fact_SortedWeights!$B$2:$B$6,$B349,Fact_SortedWeights!$L$2:$L$6,"Yes"))))</f>
        <v>0</v>
      </c>
      <c r="G349" s="0" t="n">
        <f aca="false">IF(AND(IF($B349="Trash",INDEX('Materials Master'!$F$2:$F$27,MATCH($C349,'Materials Master'!$A$2:$A$27,0)),IF($B349="GMPC Recycling",INDEX('Materials Master'!$G$2:$G$27,MATCH($C349,'Materials Master'!$A$2:$A$27,0)),IF($B349="Organics Recycling",INDEX('Materials Master'!$H$2:$H$27,MATCH($C349,'Materials Master'!$A$2:$A$27,0)),IF($B349="Cardboard Recycling",INDEX('Materials Master'!$I$2:$I$27,MATCH($C349,'Materials Master'!$A$2:$A$27,0)),IF($B349="Paper Recycling",INDEX('Materials Master'!$J$2:$J$27,MATCH($C349,'Materials Master'!$A$2:$A$27,0)),IF($B349="Terracycle",INDEX('Materials Master'!$K$2:$K$27,MATCH($C349,'Materials Master'!$A$2:$A$27,0)),"No"))))))="Yes",INDEX('Materials Master'!$E$2:$E$27,MATCH($C349,'Materials Master'!$A$2:$A$27,0))="Yes",$B349&lt;&gt;"Trash"),1,0)</f>
        <v>0</v>
      </c>
      <c r="H349" s="0" t="str">
        <f aca="false">INDEX('Materials Master'!$E$2:$E$27,MATCH($C349,'Materials Master'!$A$2:$A$27,0))</f>
        <v>No</v>
      </c>
      <c r="I349" s="0" t="str">
        <f aca="false">IFERROR(INDEX(Areas!$C$2:$C$6,MATCH($A349,Areas!$B$2:$B$6,0)),"")</f>
        <v>Rest of Building</v>
      </c>
      <c r="J349" s="0" t="n">
        <f aca="false">IF(IF($B349="Trash",INDEX('Materials Master'!$F$2:$F$27,MATCH($C349,'Materials Master'!$A$2:$A$27,0)),IF($B349="GMPC Recycling",INDEX('Materials Master'!$G$2:$G$27,MATCH($C349,'Materials Master'!$A$2:$A$27,0)),IF($B349="Organics Recycling",INDEX('Materials Master'!$H$2:$H$27,MATCH($C349,'Materials Master'!$A$2:$A$27,0)),IF($B349="Cardboard Recycling",INDEX('Materials Master'!$I$2:$I$27,MATCH($C349,'Materials Master'!$A$2:$A$27,0)),IF($B349="Paper Recycling",INDEX('Materials Master'!$J$2:$J$27,MATCH($C349,'Materials Master'!$A$2:$A$27,0)),IF($B349="Terracycle",INDEX('Materials Master'!$K$2:$K$27,MATCH($C349,'Materials Master'!$A$2:$A$27,0)),"No"))))))="Yes",1,0)</f>
        <v>0</v>
      </c>
    </row>
    <row r="350" customFormat="false" ht="15" hidden="false" customHeight="false" outlineLevel="0" collapsed="false">
      <c r="A350" s="0" t="s">
        <v>97</v>
      </c>
      <c r="B350" s="0" t="s">
        <v>104</v>
      </c>
      <c r="C350" s="0" t="s">
        <v>50</v>
      </c>
      <c r="D350" s="0" t="str">
        <f aca="false">IFERROR(INDEX('Materials Master'!$B$2:$B$27,MATCH($C350,'Materials Master'!$A$2:$A$27,0)),"")</f>
        <v>Aluminum &amp; Bi-Metal Containers</v>
      </c>
      <c r="E350" s="0" t="str">
        <f aca="false">IFERROR(INDEX('Materials Master'!$C$2:$C$27,MATCH($C350,'Materials Master'!$A$2:$A$27,0)),"")</f>
        <v>Metals</v>
      </c>
      <c r="F350" s="0" t="n">
        <f aca="false">(SUMIFS(Fact_PreSortWeights!$E$2:$E$15,Fact_PreSortWeights!$C$2:$C$15,$A350,Fact_PreSortWeights!$B$2:$B$15,$B350,Fact_PreSortWeights!$F$2:$F$15,$C350))+(SUMIFS(Fact_SortedWeights!$E$2:$E$6,Fact_SortedWeights!$C$2:$C$6,$A350,Fact_SortedWeights!$B$2:$B$6,$B350,Fact_SortedWeights!$D$2:$D$6,$C350,Fact_SortedWeights!$L$2:$L$6,"Yes"))+IF((SUMIFS(Fact_SortedWeights!$E$2:$E$6,Fact_SortedWeights!$C$2:$C$6,$A350,Fact_SortedWeights!$B$2:$B$6,$B350,Fact_SortedWeights!$L$2:$L$6,"No"))=0,0,(SUMIFS(Fact_SortedWeights!$E$2:$E$6,Fact_SortedWeights!$C$2:$C$6,$A350,Fact_SortedWeights!$B$2:$B$6,$B350,Fact_SortedWeights!$D$2:$D$6,$C350,Fact_SortedWeights!$L$2:$L$6,"No"))/(SUMIFS(Fact_SortedWeights!$E$2:$E$6,Fact_SortedWeights!$C$2:$C$6,$A350,Fact_SortedWeights!$B$2:$B$6,$B350,Fact_SortedWeights!$L$2:$L$6,"No"))*((SUMIFS(Fact_PreSortWeights!$E$2:$E$15,Fact_PreSortWeights!$C$2:$C$15,$A350,Fact_PreSortWeights!$B$2:$B$15,$B350,Fact_PreSortWeights!$F$2:$F$15,""))-(SUMIFS(Fact_SortedWeights!$E$2:$E$6,Fact_SortedWeights!$C$2:$C$6,$A350,Fact_SortedWeights!$B$2:$B$6,$B350,Fact_SortedWeights!$L$2:$L$6,"Yes"))))</f>
        <v>0</v>
      </c>
      <c r="G350" s="0" t="n">
        <f aca="false">IF(AND(IF($B350="Trash",INDEX('Materials Master'!$F$2:$F$27,MATCH($C350,'Materials Master'!$A$2:$A$27,0)),IF($B350="GMPC Recycling",INDEX('Materials Master'!$G$2:$G$27,MATCH($C350,'Materials Master'!$A$2:$A$27,0)),IF($B350="Organics Recycling",INDEX('Materials Master'!$H$2:$H$27,MATCH($C350,'Materials Master'!$A$2:$A$27,0)),IF($B350="Cardboard Recycling",INDEX('Materials Master'!$I$2:$I$27,MATCH($C350,'Materials Master'!$A$2:$A$27,0)),IF($B350="Paper Recycling",INDEX('Materials Master'!$J$2:$J$27,MATCH($C350,'Materials Master'!$A$2:$A$27,0)),IF($B350="Terracycle",INDEX('Materials Master'!$K$2:$K$27,MATCH($C350,'Materials Master'!$A$2:$A$27,0)),"No"))))))="Yes",INDEX('Materials Master'!$E$2:$E$27,MATCH($C350,'Materials Master'!$A$2:$A$27,0))="Yes",$B350&lt;&gt;"Trash"),1,0)</f>
        <v>1</v>
      </c>
      <c r="H350" s="0" t="str">
        <f aca="false">INDEX('Materials Master'!$E$2:$E$27,MATCH($C350,'Materials Master'!$A$2:$A$27,0))</f>
        <v>Yes</v>
      </c>
      <c r="I350" s="0" t="str">
        <f aca="false">IFERROR(INDEX(Areas!$C$2:$C$6,MATCH($A350,Areas!$B$2:$B$6,0)),"")</f>
        <v>Rest of Building</v>
      </c>
      <c r="J350" s="0" t="n">
        <f aca="false">IF(IF($B350="Trash",INDEX('Materials Master'!$F$2:$F$27,MATCH($C350,'Materials Master'!$A$2:$A$27,0)),IF($B350="GMPC Recycling",INDEX('Materials Master'!$G$2:$G$27,MATCH($C350,'Materials Master'!$A$2:$A$27,0)),IF($B350="Organics Recycling",INDEX('Materials Master'!$H$2:$H$27,MATCH($C350,'Materials Master'!$A$2:$A$27,0)),IF($B350="Cardboard Recycling",INDEX('Materials Master'!$I$2:$I$27,MATCH($C350,'Materials Master'!$A$2:$A$27,0)),IF($B350="Paper Recycling",INDEX('Materials Master'!$J$2:$J$27,MATCH($C350,'Materials Master'!$A$2:$A$27,0)),IF($B350="Terracycle",INDEX('Materials Master'!$K$2:$K$27,MATCH($C350,'Materials Master'!$A$2:$A$27,0)),"No"))))))="Yes",1,0)</f>
        <v>1</v>
      </c>
    </row>
    <row r="351" customFormat="false" ht="15" hidden="false" customHeight="false" outlineLevel="0" collapsed="false">
      <c r="A351" s="0" t="s">
        <v>97</v>
      </c>
      <c r="B351" s="0" t="s">
        <v>104</v>
      </c>
      <c r="C351" s="0" t="s">
        <v>53</v>
      </c>
      <c r="D351" s="0" t="str">
        <f aca="false">IFERROR(INDEX('Materials Master'!$B$2:$B$27,MATCH($C351,'Materials Master'!$A$2:$A$27,0)),"")</f>
        <v>Soiled Metals</v>
      </c>
      <c r="E351" s="0" t="str">
        <f aca="false">IFERROR(INDEX('Materials Master'!$C$2:$C$27,MATCH($C351,'Materials Master'!$A$2:$A$27,0)),"")</f>
        <v>Metals</v>
      </c>
      <c r="F351" s="0" t="n">
        <f aca="false">(SUMIFS(Fact_PreSortWeights!$E$2:$E$15,Fact_PreSortWeights!$C$2:$C$15,$A351,Fact_PreSortWeights!$B$2:$B$15,$B351,Fact_PreSortWeights!$F$2:$F$15,$C351))+(SUMIFS(Fact_SortedWeights!$E$2:$E$6,Fact_SortedWeights!$C$2:$C$6,$A351,Fact_SortedWeights!$B$2:$B$6,$B351,Fact_SortedWeights!$D$2:$D$6,$C351,Fact_SortedWeights!$L$2:$L$6,"Yes"))+IF((SUMIFS(Fact_SortedWeights!$E$2:$E$6,Fact_SortedWeights!$C$2:$C$6,$A351,Fact_SortedWeights!$B$2:$B$6,$B351,Fact_SortedWeights!$L$2:$L$6,"No"))=0,0,(SUMIFS(Fact_SortedWeights!$E$2:$E$6,Fact_SortedWeights!$C$2:$C$6,$A351,Fact_SortedWeights!$B$2:$B$6,$B351,Fact_SortedWeights!$D$2:$D$6,$C351,Fact_SortedWeights!$L$2:$L$6,"No"))/(SUMIFS(Fact_SortedWeights!$E$2:$E$6,Fact_SortedWeights!$C$2:$C$6,$A351,Fact_SortedWeights!$B$2:$B$6,$B351,Fact_SortedWeights!$L$2:$L$6,"No"))*((SUMIFS(Fact_PreSortWeights!$E$2:$E$15,Fact_PreSortWeights!$C$2:$C$15,$A351,Fact_PreSortWeights!$B$2:$B$15,$B351,Fact_PreSortWeights!$F$2:$F$15,""))-(SUMIFS(Fact_SortedWeights!$E$2:$E$6,Fact_SortedWeights!$C$2:$C$6,$A351,Fact_SortedWeights!$B$2:$B$6,$B351,Fact_SortedWeights!$L$2:$L$6,"Yes"))))</f>
        <v>0</v>
      </c>
      <c r="G351" s="0" t="n">
        <f aca="false">IF(AND(IF($B351="Trash",INDEX('Materials Master'!$F$2:$F$27,MATCH($C351,'Materials Master'!$A$2:$A$27,0)),IF($B351="GMPC Recycling",INDEX('Materials Master'!$G$2:$G$27,MATCH($C351,'Materials Master'!$A$2:$A$27,0)),IF($B351="Organics Recycling",INDEX('Materials Master'!$H$2:$H$27,MATCH($C351,'Materials Master'!$A$2:$A$27,0)),IF($B351="Cardboard Recycling",INDEX('Materials Master'!$I$2:$I$27,MATCH($C351,'Materials Master'!$A$2:$A$27,0)),IF($B351="Paper Recycling",INDEX('Materials Master'!$J$2:$J$27,MATCH($C351,'Materials Master'!$A$2:$A$27,0)),IF($B351="Terracycle",INDEX('Materials Master'!$K$2:$K$27,MATCH($C351,'Materials Master'!$A$2:$A$27,0)),"No"))))))="Yes",INDEX('Materials Master'!$E$2:$E$27,MATCH($C351,'Materials Master'!$A$2:$A$27,0))="Yes",$B351&lt;&gt;"Trash"),1,0)</f>
        <v>0</v>
      </c>
      <c r="H351" s="0" t="str">
        <f aca="false">INDEX('Materials Master'!$E$2:$E$27,MATCH($C351,'Materials Master'!$A$2:$A$27,0))</f>
        <v>No</v>
      </c>
      <c r="I351" s="0" t="str">
        <f aca="false">IFERROR(INDEX(Areas!$C$2:$C$6,MATCH($A351,Areas!$B$2:$B$6,0)),"")</f>
        <v>Rest of Building</v>
      </c>
      <c r="J351" s="0" t="n">
        <f aca="false">IF(IF($B351="Trash",INDEX('Materials Master'!$F$2:$F$27,MATCH($C351,'Materials Master'!$A$2:$A$27,0)),IF($B351="GMPC Recycling",INDEX('Materials Master'!$G$2:$G$27,MATCH($C351,'Materials Master'!$A$2:$A$27,0)),IF($B351="Organics Recycling",INDEX('Materials Master'!$H$2:$H$27,MATCH($C351,'Materials Master'!$A$2:$A$27,0)),IF($B351="Cardboard Recycling",INDEX('Materials Master'!$I$2:$I$27,MATCH($C351,'Materials Master'!$A$2:$A$27,0)),IF($B351="Paper Recycling",INDEX('Materials Master'!$J$2:$J$27,MATCH($C351,'Materials Master'!$A$2:$A$27,0)),IF($B351="Terracycle",INDEX('Materials Master'!$K$2:$K$27,MATCH($C351,'Materials Master'!$A$2:$A$27,0)),"No"))))))="Yes",1,0)</f>
        <v>0</v>
      </c>
    </row>
    <row r="352" customFormat="false" ht="15" hidden="false" customHeight="false" outlineLevel="0" collapsed="false">
      <c r="A352" s="0" t="s">
        <v>97</v>
      </c>
      <c r="B352" s="0" t="s">
        <v>104</v>
      </c>
      <c r="C352" s="0" t="s">
        <v>55</v>
      </c>
      <c r="D352" s="0" t="str">
        <f aca="false">IFERROR(INDEX('Materials Master'!$B$2:$B$27,MATCH($C352,'Materials Master'!$A$2:$A$27,0)),"")</f>
        <v>Rigid Plastics (1-6)</v>
      </c>
      <c r="E352" s="0" t="str">
        <f aca="false">IFERROR(INDEX('Materials Master'!$C$2:$C$27,MATCH($C352,'Materials Master'!$A$2:$A$27,0)),"")</f>
        <v>Plastics</v>
      </c>
      <c r="F352" s="0" t="n">
        <f aca="false">(SUMIFS(Fact_PreSortWeights!$E$2:$E$15,Fact_PreSortWeights!$C$2:$C$15,$A352,Fact_PreSortWeights!$B$2:$B$15,$B352,Fact_PreSortWeights!$F$2:$F$15,$C352))+(SUMIFS(Fact_SortedWeights!$E$2:$E$6,Fact_SortedWeights!$C$2:$C$6,$A352,Fact_SortedWeights!$B$2:$B$6,$B352,Fact_SortedWeights!$D$2:$D$6,$C352,Fact_SortedWeights!$L$2:$L$6,"Yes"))+IF((SUMIFS(Fact_SortedWeights!$E$2:$E$6,Fact_SortedWeights!$C$2:$C$6,$A352,Fact_SortedWeights!$B$2:$B$6,$B352,Fact_SortedWeights!$L$2:$L$6,"No"))=0,0,(SUMIFS(Fact_SortedWeights!$E$2:$E$6,Fact_SortedWeights!$C$2:$C$6,$A352,Fact_SortedWeights!$B$2:$B$6,$B352,Fact_SortedWeights!$D$2:$D$6,$C352,Fact_SortedWeights!$L$2:$L$6,"No"))/(SUMIFS(Fact_SortedWeights!$E$2:$E$6,Fact_SortedWeights!$C$2:$C$6,$A352,Fact_SortedWeights!$B$2:$B$6,$B352,Fact_SortedWeights!$L$2:$L$6,"No"))*((SUMIFS(Fact_PreSortWeights!$E$2:$E$15,Fact_PreSortWeights!$C$2:$C$15,$A352,Fact_PreSortWeights!$B$2:$B$15,$B352,Fact_PreSortWeights!$F$2:$F$15,""))-(SUMIFS(Fact_SortedWeights!$E$2:$E$6,Fact_SortedWeights!$C$2:$C$6,$A352,Fact_SortedWeights!$B$2:$B$6,$B352,Fact_SortedWeights!$L$2:$L$6,"Yes"))))</f>
        <v>0</v>
      </c>
      <c r="G352" s="0" t="n">
        <f aca="false">IF(AND(IF($B352="Trash",INDEX('Materials Master'!$F$2:$F$27,MATCH($C352,'Materials Master'!$A$2:$A$27,0)),IF($B352="GMPC Recycling",INDEX('Materials Master'!$G$2:$G$27,MATCH($C352,'Materials Master'!$A$2:$A$27,0)),IF($B352="Organics Recycling",INDEX('Materials Master'!$H$2:$H$27,MATCH($C352,'Materials Master'!$A$2:$A$27,0)),IF($B352="Cardboard Recycling",INDEX('Materials Master'!$I$2:$I$27,MATCH($C352,'Materials Master'!$A$2:$A$27,0)),IF($B352="Paper Recycling",INDEX('Materials Master'!$J$2:$J$27,MATCH($C352,'Materials Master'!$A$2:$A$27,0)),IF($B352="Terracycle",INDEX('Materials Master'!$K$2:$K$27,MATCH($C352,'Materials Master'!$A$2:$A$27,0)),"No"))))))="Yes",INDEX('Materials Master'!$E$2:$E$27,MATCH($C352,'Materials Master'!$A$2:$A$27,0))="Yes",$B352&lt;&gt;"Trash"),1,0)</f>
        <v>1</v>
      </c>
      <c r="H352" s="0" t="str">
        <f aca="false">INDEX('Materials Master'!$E$2:$E$27,MATCH($C352,'Materials Master'!$A$2:$A$27,0))</f>
        <v>Yes</v>
      </c>
      <c r="I352" s="0" t="str">
        <f aca="false">IFERROR(INDEX(Areas!$C$2:$C$6,MATCH($A352,Areas!$B$2:$B$6,0)),"")</f>
        <v>Rest of Building</v>
      </c>
      <c r="J352" s="0" t="n">
        <f aca="false">IF(IF($B352="Trash",INDEX('Materials Master'!$F$2:$F$27,MATCH($C352,'Materials Master'!$A$2:$A$27,0)),IF($B352="GMPC Recycling",INDEX('Materials Master'!$G$2:$G$27,MATCH($C352,'Materials Master'!$A$2:$A$27,0)),IF($B352="Organics Recycling",INDEX('Materials Master'!$H$2:$H$27,MATCH($C352,'Materials Master'!$A$2:$A$27,0)),IF($B352="Cardboard Recycling",INDEX('Materials Master'!$I$2:$I$27,MATCH($C352,'Materials Master'!$A$2:$A$27,0)),IF($B352="Paper Recycling",INDEX('Materials Master'!$J$2:$J$27,MATCH($C352,'Materials Master'!$A$2:$A$27,0)),IF($B352="Terracycle",INDEX('Materials Master'!$K$2:$K$27,MATCH($C352,'Materials Master'!$A$2:$A$27,0)),"No"))))))="Yes",1,0)</f>
        <v>1</v>
      </c>
    </row>
    <row r="353" customFormat="false" ht="15" hidden="false" customHeight="false" outlineLevel="0" collapsed="false">
      <c r="A353" s="0" t="s">
        <v>97</v>
      </c>
      <c r="B353" s="0" t="s">
        <v>104</v>
      </c>
      <c r="C353" s="0" t="s">
        <v>58</v>
      </c>
      <c r="D353" s="0" t="str">
        <f aca="false">IFERROR(INDEX('Materials Master'!$B$2:$B$27,MATCH($C353,'Materials Master'!$A$2:$A$27,0)),"")</f>
        <v>Soiled Rigid Plastics</v>
      </c>
      <c r="E353" s="0" t="str">
        <f aca="false">IFERROR(INDEX('Materials Master'!$C$2:$C$27,MATCH($C353,'Materials Master'!$A$2:$A$27,0)),"")</f>
        <v>Plastics</v>
      </c>
      <c r="F353" s="0" t="n">
        <f aca="false">(SUMIFS(Fact_PreSortWeights!$E$2:$E$15,Fact_PreSortWeights!$C$2:$C$15,$A353,Fact_PreSortWeights!$B$2:$B$15,$B353,Fact_PreSortWeights!$F$2:$F$15,$C353))+(SUMIFS(Fact_SortedWeights!$E$2:$E$6,Fact_SortedWeights!$C$2:$C$6,$A353,Fact_SortedWeights!$B$2:$B$6,$B353,Fact_SortedWeights!$D$2:$D$6,$C353,Fact_SortedWeights!$L$2:$L$6,"Yes"))+IF((SUMIFS(Fact_SortedWeights!$E$2:$E$6,Fact_SortedWeights!$C$2:$C$6,$A353,Fact_SortedWeights!$B$2:$B$6,$B353,Fact_SortedWeights!$L$2:$L$6,"No"))=0,0,(SUMIFS(Fact_SortedWeights!$E$2:$E$6,Fact_SortedWeights!$C$2:$C$6,$A353,Fact_SortedWeights!$B$2:$B$6,$B353,Fact_SortedWeights!$D$2:$D$6,$C353,Fact_SortedWeights!$L$2:$L$6,"No"))/(SUMIFS(Fact_SortedWeights!$E$2:$E$6,Fact_SortedWeights!$C$2:$C$6,$A353,Fact_SortedWeights!$B$2:$B$6,$B353,Fact_SortedWeights!$L$2:$L$6,"No"))*((SUMIFS(Fact_PreSortWeights!$E$2:$E$15,Fact_PreSortWeights!$C$2:$C$15,$A353,Fact_PreSortWeights!$B$2:$B$15,$B353,Fact_PreSortWeights!$F$2:$F$15,""))-(SUMIFS(Fact_SortedWeights!$E$2:$E$6,Fact_SortedWeights!$C$2:$C$6,$A353,Fact_SortedWeights!$B$2:$B$6,$B353,Fact_SortedWeights!$L$2:$L$6,"Yes"))))</f>
        <v>0</v>
      </c>
      <c r="G353" s="0" t="n">
        <f aca="false">IF(AND(IF($B353="Trash",INDEX('Materials Master'!$F$2:$F$27,MATCH($C353,'Materials Master'!$A$2:$A$27,0)),IF($B353="GMPC Recycling",INDEX('Materials Master'!$G$2:$G$27,MATCH($C353,'Materials Master'!$A$2:$A$27,0)),IF($B353="Organics Recycling",INDEX('Materials Master'!$H$2:$H$27,MATCH($C353,'Materials Master'!$A$2:$A$27,0)),IF($B353="Cardboard Recycling",INDEX('Materials Master'!$I$2:$I$27,MATCH($C353,'Materials Master'!$A$2:$A$27,0)),IF($B353="Paper Recycling",INDEX('Materials Master'!$J$2:$J$27,MATCH($C353,'Materials Master'!$A$2:$A$27,0)),IF($B353="Terracycle",INDEX('Materials Master'!$K$2:$K$27,MATCH($C353,'Materials Master'!$A$2:$A$27,0)),"No"))))))="Yes",INDEX('Materials Master'!$E$2:$E$27,MATCH($C353,'Materials Master'!$A$2:$A$27,0))="Yes",$B353&lt;&gt;"Trash"),1,0)</f>
        <v>0</v>
      </c>
      <c r="H353" s="0" t="str">
        <f aca="false">INDEX('Materials Master'!$E$2:$E$27,MATCH($C353,'Materials Master'!$A$2:$A$27,0))</f>
        <v>No</v>
      </c>
      <c r="I353" s="0" t="str">
        <f aca="false">IFERROR(INDEX(Areas!$C$2:$C$6,MATCH($A353,Areas!$B$2:$B$6,0)),"")</f>
        <v>Rest of Building</v>
      </c>
      <c r="J353" s="0" t="n">
        <f aca="false">IF(IF($B353="Trash",INDEX('Materials Master'!$F$2:$F$27,MATCH($C353,'Materials Master'!$A$2:$A$27,0)),IF($B353="GMPC Recycling",INDEX('Materials Master'!$G$2:$G$27,MATCH($C353,'Materials Master'!$A$2:$A$27,0)),IF($B353="Organics Recycling",INDEX('Materials Master'!$H$2:$H$27,MATCH($C353,'Materials Master'!$A$2:$A$27,0)),IF($B353="Cardboard Recycling",INDEX('Materials Master'!$I$2:$I$27,MATCH($C353,'Materials Master'!$A$2:$A$27,0)),IF($B353="Paper Recycling",INDEX('Materials Master'!$J$2:$J$27,MATCH($C353,'Materials Master'!$A$2:$A$27,0)),IF($B353="Terracycle",INDEX('Materials Master'!$K$2:$K$27,MATCH($C353,'Materials Master'!$A$2:$A$27,0)),"No"))))))="Yes",1,0)</f>
        <v>0</v>
      </c>
    </row>
    <row r="354" customFormat="false" ht="15" hidden="false" customHeight="false" outlineLevel="0" collapsed="false">
      <c r="A354" s="0" t="s">
        <v>97</v>
      </c>
      <c r="B354" s="0" t="s">
        <v>104</v>
      </c>
      <c r="C354" s="0" t="s">
        <v>60</v>
      </c>
      <c r="D354" s="0" t="str">
        <f aca="false">IFERROR(INDEX('Materials Master'!$B$2:$B$27,MATCH($C354,'Materials Master'!$A$2:$A$27,0)),"")</f>
        <v>Film Plastics</v>
      </c>
      <c r="E354" s="0" t="str">
        <f aca="false">IFERROR(INDEX('Materials Master'!$C$2:$C$27,MATCH($C354,'Materials Master'!$A$2:$A$27,0)),"")</f>
        <v>Plastics</v>
      </c>
      <c r="F354" s="0" t="n">
        <f aca="false">(SUMIFS(Fact_PreSortWeights!$E$2:$E$15,Fact_PreSortWeights!$C$2:$C$15,$A354,Fact_PreSortWeights!$B$2:$B$15,$B354,Fact_PreSortWeights!$F$2:$F$15,$C354))+(SUMIFS(Fact_SortedWeights!$E$2:$E$6,Fact_SortedWeights!$C$2:$C$6,$A354,Fact_SortedWeights!$B$2:$B$6,$B354,Fact_SortedWeights!$D$2:$D$6,$C354,Fact_SortedWeights!$L$2:$L$6,"Yes"))+IF((SUMIFS(Fact_SortedWeights!$E$2:$E$6,Fact_SortedWeights!$C$2:$C$6,$A354,Fact_SortedWeights!$B$2:$B$6,$B354,Fact_SortedWeights!$L$2:$L$6,"No"))=0,0,(SUMIFS(Fact_SortedWeights!$E$2:$E$6,Fact_SortedWeights!$C$2:$C$6,$A354,Fact_SortedWeights!$B$2:$B$6,$B354,Fact_SortedWeights!$D$2:$D$6,$C354,Fact_SortedWeights!$L$2:$L$6,"No"))/(SUMIFS(Fact_SortedWeights!$E$2:$E$6,Fact_SortedWeights!$C$2:$C$6,$A354,Fact_SortedWeights!$B$2:$B$6,$B354,Fact_SortedWeights!$L$2:$L$6,"No"))*((SUMIFS(Fact_PreSortWeights!$E$2:$E$15,Fact_PreSortWeights!$C$2:$C$15,$A354,Fact_PreSortWeights!$B$2:$B$15,$B354,Fact_PreSortWeights!$F$2:$F$15,""))-(SUMIFS(Fact_SortedWeights!$E$2:$E$6,Fact_SortedWeights!$C$2:$C$6,$A354,Fact_SortedWeights!$B$2:$B$6,$B354,Fact_SortedWeights!$L$2:$L$6,"Yes"))))</f>
        <v>0</v>
      </c>
      <c r="G354" s="0" t="n">
        <f aca="false">IF(AND(IF($B354="Trash",INDEX('Materials Master'!$F$2:$F$27,MATCH($C354,'Materials Master'!$A$2:$A$27,0)),IF($B354="GMPC Recycling",INDEX('Materials Master'!$G$2:$G$27,MATCH($C354,'Materials Master'!$A$2:$A$27,0)),IF($B354="Organics Recycling",INDEX('Materials Master'!$H$2:$H$27,MATCH($C354,'Materials Master'!$A$2:$A$27,0)),IF($B354="Cardboard Recycling",INDEX('Materials Master'!$I$2:$I$27,MATCH($C354,'Materials Master'!$A$2:$A$27,0)),IF($B354="Paper Recycling",INDEX('Materials Master'!$J$2:$J$27,MATCH($C354,'Materials Master'!$A$2:$A$27,0)),IF($B354="Terracycle",INDEX('Materials Master'!$K$2:$K$27,MATCH($C354,'Materials Master'!$A$2:$A$27,0)),"No"))))))="Yes",INDEX('Materials Master'!$E$2:$E$27,MATCH($C354,'Materials Master'!$A$2:$A$27,0))="Yes",$B354&lt;&gt;"Trash"),1,0)</f>
        <v>0</v>
      </c>
      <c r="H354" s="0" t="str">
        <f aca="false">INDEX('Materials Master'!$E$2:$E$27,MATCH($C354,'Materials Master'!$A$2:$A$27,0))</f>
        <v>No</v>
      </c>
      <c r="I354" s="0" t="str">
        <f aca="false">IFERROR(INDEX(Areas!$C$2:$C$6,MATCH($A354,Areas!$B$2:$B$6,0)),"")</f>
        <v>Rest of Building</v>
      </c>
      <c r="J354" s="0" t="n">
        <f aca="false">IF(IF($B354="Trash",INDEX('Materials Master'!$F$2:$F$27,MATCH($C354,'Materials Master'!$A$2:$A$27,0)),IF($B354="GMPC Recycling",INDEX('Materials Master'!$G$2:$G$27,MATCH($C354,'Materials Master'!$A$2:$A$27,0)),IF($B354="Organics Recycling",INDEX('Materials Master'!$H$2:$H$27,MATCH($C354,'Materials Master'!$A$2:$A$27,0)),IF($B354="Cardboard Recycling",INDEX('Materials Master'!$I$2:$I$27,MATCH($C354,'Materials Master'!$A$2:$A$27,0)),IF($B354="Paper Recycling",INDEX('Materials Master'!$J$2:$J$27,MATCH($C354,'Materials Master'!$A$2:$A$27,0)),IF($B354="Terracycle",INDEX('Materials Master'!$K$2:$K$27,MATCH($C354,'Materials Master'!$A$2:$A$27,0)),"No"))))))="Yes",1,0)</f>
        <v>0</v>
      </c>
    </row>
    <row r="355" customFormat="false" ht="15" hidden="false" customHeight="false" outlineLevel="0" collapsed="false">
      <c r="A355" s="0" t="s">
        <v>97</v>
      </c>
      <c r="B355" s="0" t="s">
        <v>104</v>
      </c>
      <c r="C355" s="0" t="s">
        <v>62</v>
      </c>
      <c r="D355" s="0" t="str">
        <f aca="false">IFERROR(INDEX('Materials Master'!$B$2:$B$27,MATCH($C355,'Materials Master'!$A$2:$A$27,0)),"")</f>
        <v>Foams</v>
      </c>
      <c r="E355" s="0" t="str">
        <f aca="false">IFERROR(INDEX('Materials Master'!$C$2:$C$27,MATCH($C355,'Materials Master'!$A$2:$A$27,0)),"")</f>
        <v>Plastics</v>
      </c>
      <c r="F355" s="0" t="n">
        <f aca="false">(SUMIFS(Fact_PreSortWeights!$E$2:$E$15,Fact_PreSortWeights!$C$2:$C$15,$A355,Fact_PreSortWeights!$B$2:$B$15,$B355,Fact_PreSortWeights!$F$2:$F$15,$C355))+(SUMIFS(Fact_SortedWeights!$E$2:$E$6,Fact_SortedWeights!$C$2:$C$6,$A355,Fact_SortedWeights!$B$2:$B$6,$B355,Fact_SortedWeights!$D$2:$D$6,$C355,Fact_SortedWeights!$L$2:$L$6,"Yes"))+IF((SUMIFS(Fact_SortedWeights!$E$2:$E$6,Fact_SortedWeights!$C$2:$C$6,$A355,Fact_SortedWeights!$B$2:$B$6,$B355,Fact_SortedWeights!$L$2:$L$6,"No"))=0,0,(SUMIFS(Fact_SortedWeights!$E$2:$E$6,Fact_SortedWeights!$C$2:$C$6,$A355,Fact_SortedWeights!$B$2:$B$6,$B355,Fact_SortedWeights!$D$2:$D$6,$C355,Fact_SortedWeights!$L$2:$L$6,"No"))/(SUMIFS(Fact_SortedWeights!$E$2:$E$6,Fact_SortedWeights!$C$2:$C$6,$A355,Fact_SortedWeights!$B$2:$B$6,$B355,Fact_SortedWeights!$L$2:$L$6,"No"))*((SUMIFS(Fact_PreSortWeights!$E$2:$E$15,Fact_PreSortWeights!$C$2:$C$15,$A355,Fact_PreSortWeights!$B$2:$B$15,$B355,Fact_PreSortWeights!$F$2:$F$15,""))-(SUMIFS(Fact_SortedWeights!$E$2:$E$6,Fact_SortedWeights!$C$2:$C$6,$A355,Fact_SortedWeights!$B$2:$B$6,$B355,Fact_SortedWeights!$L$2:$L$6,"Yes"))))</f>
        <v>0</v>
      </c>
      <c r="G355" s="0" t="n">
        <f aca="false">IF(AND(IF($B355="Trash",INDEX('Materials Master'!$F$2:$F$27,MATCH($C355,'Materials Master'!$A$2:$A$27,0)),IF($B355="GMPC Recycling",INDEX('Materials Master'!$G$2:$G$27,MATCH($C355,'Materials Master'!$A$2:$A$27,0)),IF($B355="Organics Recycling",INDEX('Materials Master'!$H$2:$H$27,MATCH($C355,'Materials Master'!$A$2:$A$27,0)),IF($B355="Cardboard Recycling",INDEX('Materials Master'!$I$2:$I$27,MATCH($C355,'Materials Master'!$A$2:$A$27,0)),IF($B355="Paper Recycling",INDEX('Materials Master'!$J$2:$J$27,MATCH($C355,'Materials Master'!$A$2:$A$27,0)),IF($B355="Terracycle",INDEX('Materials Master'!$K$2:$K$27,MATCH($C355,'Materials Master'!$A$2:$A$27,0)),"No"))))))="Yes",INDEX('Materials Master'!$E$2:$E$27,MATCH($C355,'Materials Master'!$A$2:$A$27,0))="Yes",$B355&lt;&gt;"Trash"),1,0)</f>
        <v>0</v>
      </c>
      <c r="H355" s="0" t="str">
        <f aca="false">INDEX('Materials Master'!$E$2:$E$27,MATCH($C355,'Materials Master'!$A$2:$A$27,0))</f>
        <v>No</v>
      </c>
      <c r="I355" s="0" t="str">
        <f aca="false">IFERROR(INDEX(Areas!$C$2:$C$6,MATCH($A355,Areas!$B$2:$B$6,0)),"")</f>
        <v>Rest of Building</v>
      </c>
      <c r="J355" s="0" t="n">
        <f aca="false">IF(IF($B355="Trash",INDEX('Materials Master'!$F$2:$F$27,MATCH($C355,'Materials Master'!$A$2:$A$27,0)),IF($B355="GMPC Recycling",INDEX('Materials Master'!$G$2:$G$27,MATCH($C355,'Materials Master'!$A$2:$A$27,0)),IF($B355="Organics Recycling",INDEX('Materials Master'!$H$2:$H$27,MATCH($C355,'Materials Master'!$A$2:$A$27,0)),IF($B355="Cardboard Recycling",INDEX('Materials Master'!$I$2:$I$27,MATCH($C355,'Materials Master'!$A$2:$A$27,0)),IF($B355="Paper Recycling",INDEX('Materials Master'!$J$2:$J$27,MATCH($C355,'Materials Master'!$A$2:$A$27,0)),IF($B355="Terracycle",INDEX('Materials Master'!$K$2:$K$27,MATCH($C355,'Materials Master'!$A$2:$A$27,0)),"No"))))))="Yes",1,0)</f>
        <v>0</v>
      </c>
    </row>
    <row r="356" customFormat="false" ht="15" hidden="false" customHeight="false" outlineLevel="0" collapsed="false">
      <c r="A356" s="0" t="s">
        <v>97</v>
      </c>
      <c r="B356" s="0" t="s">
        <v>104</v>
      </c>
      <c r="C356" s="0" t="s">
        <v>64</v>
      </c>
      <c r="D356" s="0" t="str">
        <f aca="false">IFERROR(INDEX('Materials Master'!$B$2:$B$27,MATCH($C356,'Materials Master'!$A$2:$A$27,0)),"")</f>
        <v>Food Waste</v>
      </c>
      <c r="E356" s="0" t="str">
        <f aca="false">IFERROR(INDEX('Materials Master'!$C$2:$C$27,MATCH($C356,'Materials Master'!$A$2:$A$27,0)),"")</f>
        <v>Organics</v>
      </c>
      <c r="F356" s="0" t="n">
        <f aca="false">(SUMIFS(Fact_PreSortWeights!$E$2:$E$15,Fact_PreSortWeights!$C$2:$C$15,$A356,Fact_PreSortWeights!$B$2:$B$15,$B356,Fact_PreSortWeights!$F$2:$F$15,$C356))+(SUMIFS(Fact_SortedWeights!$E$2:$E$6,Fact_SortedWeights!$C$2:$C$6,$A356,Fact_SortedWeights!$B$2:$B$6,$B356,Fact_SortedWeights!$D$2:$D$6,$C356,Fact_SortedWeights!$L$2:$L$6,"Yes"))+IF((SUMIFS(Fact_SortedWeights!$E$2:$E$6,Fact_SortedWeights!$C$2:$C$6,$A356,Fact_SortedWeights!$B$2:$B$6,$B356,Fact_SortedWeights!$L$2:$L$6,"No"))=0,0,(SUMIFS(Fact_SortedWeights!$E$2:$E$6,Fact_SortedWeights!$C$2:$C$6,$A356,Fact_SortedWeights!$B$2:$B$6,$B356,Fact_SortedWeights!$D$2:$D$6,$C356,Fact_SortedWeights!$L$2:$L$6,"No"))/(SUMIFS(Fact_SortedWeights!$E$2:$E$6,Fact_SortedWeights!$C$2:$C$6,$A356,Fact_SortedWeights!$B$2:$B$6,$B356,Fact_SortedWeights!$L$2:$L$6,"No"))*((SUMIFS(Fact_PreSortWeights!$E$2:$E$15,Fact_PreSortWeights!$C$2:$C$15,$A356,Fact_PreSortWeights!$B$2:$B$15,$B356,Fact_PreSortWeights!$F$2:$F$15,""))-(SUMIFS(Fact_SortedWeights!$E$2:$E$6,Fact_SortedWeights!$C$2:$C$6,$A356,Fact_SortedWeights!$B$2:$B$6,$B356,Fact_SortedWeights!$L$2:$L$6,"Yes"))))</f>
        <v>0</v>
      </c>
      <c r="G356" s="0" t="n">
        <f aca="false">IF(AND(IF($B356="Trash",INDEX('Materials Master'!$F$2:$F$27,MATCH($C356,'Materials Master'!$A$2:$A$27,0)),IF($B356="GMPC Recycling",INDEX('Materials Master'!$G$2:$G$27,MATCH($C356,'Materials Master'!$A$2:$A$27,0)),IF($B356="Organics Recycling",INDEX('Materials Master'!$H$2:$H$27,MATCH($C356,'Materials Master'!$A$2:$A$27,0)),IF($B356="Cardboard Recycling",INDEX('Materials Master'!$I$2:$I$27,MATCH($C356,'Materials Master'!$A$2:$A$27,0)),IF($B356="Paper Recycling",INDEX('Materials Master'!$J$2:$J$27,MATCH($C356,'Materials Master'!$A$2:$A$27,0)),IF($B356="Terracycle",INDEX('Materials Master'!$K$2:$K$27,MATCH($C356,'Materials Master'!$A$2:$A$27,0)),"No"))))))="Yes",INDEX('Materials Master'!$E$2:$E$27,MATCH($C356,'Materials Master'!$A$2:$A$27,0))="Yes",$B356&lt;&gt;"Trash"),1,0)</f>
        <v>0</v>
      </c>
      <c r="H356" s="0" t="str">
        <f aca="false">INDEX('Materials Master'!$E$2:$E$27,MATCH($C356,'Materials Master'!$A$2:$A$27,0))</f>
        <v>Yes</v>
      </c>
      <c r="I356" s="0" t="str">
        <f aca="false">IFERROR(INDEX(Areas!$C$2:$C$6,MATCH($A356,Areas!$B$2:$B$6,0)),"")</f>
        <v>Rest of Building</v>
      </c>
      <c r="J356" s="0" t="n">
        <f aca="false">IF(IF($B356="Trash",INDEX('Materials Master'!$F$2:$F$27,MATCH($C356,'Materials Master'!$A$2:$A$27,0)),IF($B356="GMPC Recycling",INDEX('Materials Master'!$G$2:$G$27,MATCH($C356,'Materials Master'!$A$2:$A$27,0)),IF($B356="Organics Recycling",INDEX('Materials Master'!$H$2:$H$27,MATCH($C356,'Materials Master'!$A$2:$A$27,0)),IF($B356="Cardboard Recycling",INDEX('Materials Master'!$I$2:$I$27,MATCH($C356,'Materials Master'!$A$2:$A$27,0)),IF($B356="Paper Recycling",INDEX('Materials Master'!$J$2:$J$27,MATCH($C356,'Materials Master'!$A$2:$A$27,0)),IF($B356="Terracycle",INDEX('Materials Master'!$K$2:$K$27,MATCH($C356,'Materials Master'!$A$2:$A$27,0)),"No"))))))="Yes",1,0)</f>
        <v>0</v>
      </c>
    </row>
    <row r="357" customFormat="false" ht="15" hidden="false" customHeight="false" outlineLevel="0" collapsed="false">
      <c r="A357" s="0" t="s">
        <v>97</v>
      </c>
      <c r="B357" s="0" t="s">
        <v>104</v>
      </c>
      <c r="C357" s="0" t="s">
        <v>67</v>
      </c>
      <c r="D357" s="0" t="str">
        <f aca="false">IFERROR(INDEX('Materials Master'!$B$2:$B$27,MATCH($C357,'Materials Master'!$A$2:$A$27,0)),"")</f>
        <v>Paper Fibers and Food-Soiled Paper (FSP)</v>
      </c>
      <c r="E357" s="0" t="str">
        <f aca="false">IFERROR(INDEX('Materials Master'!$C$2:$C$27,MATCH($C357,'Materials Master'!$A$2:$A$27,0)),"")</f>
        <v>Organics</v>
      </c>
      <c r="F357" s="0" t="n">
        <f aca="false">(SUMIFS(Fact_PreSortWeights!$E$2:$E$15,Fact_PreSortWeights!$C$2:$C$15,$A357,Fact_PreSortWeights!$B$2:$B$15,$B357,Fact_PreSortWeights!$F$2:$F$15,$C357))+(SUMIFS(Fact_SortedWeights!$E$2:$E$6,Fact_SortedWeights!$C$2:$C$6,$A357,Fact_SortedWeights!$B$2:$B$6,$B357,Fact_SortedWeights!$D$2:$D$6,$C357,Fact_SortedWeights!$L$2:$L$6,"Yes"))+IF((SUMIFS(Fact_SortedWeights!$E$2:$E$6,Fact_SortedWeights!$C$2:$C$6,$A357,Fact_SortedWeights!$B$2:$B$6,$B357,Fact_SortedWeights!$L$2:$L$6,"No"))=0,0,(SUMIFS(Fact_SortedWeights!$E$2:$E$6,Fact_SortedWeights!$C$2:$C$6,$A357,Fact_SortedWeights!$B$2:$B$6,$B357,Fact_SortedWeights!$D$2:$D$6,$C357,Fact_SortedWeights!$L$2:$L$6,"No"))/(SUMIFS(Fact_SortedWeights!$E$2:$E$6,Fact_SortedWeights!$C$2:$C$6,$A357,Fact_SortedWeights!$B$2:$B$6,$B357,Fact_SortedWeights!$L$2:$L$6,"No"))*((SUMIFS(Fact_PreSortWeights!$E$2:$E$15,Fact_PreSortWeights!$C$2:$C$15,$A357,Fact_PreSortWeights!$B$2:$B$15,$B357,Fact_PreSortWeights!$F$2:$F$15,""))-(SUMIFS(Fact_SortedWeights!$E$2:$E$6,Fact_SortedWeights!$C$2:$C$6,$A357,Fact_SortedWeights!$B$2:$B$6,$B357,Fact_SortedWeights!$L$2:$L$6,"Yes"))))</f>
        <v>0</v>
      </c>
      <c r="G357" s="0" t="n">
        <f aca="false">IF(AND(IF($B357="Trash",INDEX('Materials Master'!$F$2:$F$27,MATCH($C357,'Materials Master'!$A$2:$A$27,0)),IF($B357="GMPC Recycling",INDEX('Materials Master'!$G$2:$G$27,MATCH($C357,'Materials Master'!$A$2:$A$27,0)),IF($B357="Organics Recycling",INDEX('Materials Master'!$H$2:$H$27,MATCH($C357,'Materials Master'!$A$2:$A$27,0)),IF($B357="Cardboard Recycling",INDEX('Materials Master'!$I$2:$I$27,MATCH($C357,'Materials Master'!$A$2:$A$27,0)),IF($B357="Paper Recycling",INDEX('Materials Master'!$J$2:$J$27,MATCH($C357,'Materials Master'!$A$2:$A$27,0)),IF($B357="Terracycle",INDEX('Materials Master'!$K$2:$K$27,MATCH($C357,'Materials Master'!$A$2:$A$27,0)),"No"))))))="Yes",INDEX('Materials Master'!$E$2:$E$27,MATCH($C357,'Materials Master'!$A$2:$A$27,0))="Yes",$B357&lt;&gt;"Trash"),1,0)</f>
        <v>0</v>
      </c>
      <c r="H357" s="0" t="str">
        <f aca="false">INDEX('Materials Master'!$E$2:$E$27,MATCH($C357,'Materials Master'!$A$2:$A$27,0))</f>
        <v>No</v>
      </c>
      <c r="I357" s="0" t="str">
        <f aca="false">IFERROR(INDEX(Areas!$C$2:$C$6,MATCH($A357,Areas!$B$2:$B$6,0)),"")</f>
        <v>Rest of Building</v>
      </c>
      <c r="J357" s="0" t="n">
        <f aca="false">IF(IF($B357="Trash",INDEX('Materials Master'!$F$2:$F$27,MATCH($C357,'Materials Master'!$A$2:$A$27,0)),IF($B357="GMPC Recycling",INDEX('Materials Master'!$G$2:$G$27,MATCH($C357,'Materials Master'!$A$2:$A$27,0)),IF($B357="Organics Recycling",INDEX('Materials Master'!$H$2:$H$27,MATCH($C357,'Materials Master'!$A$2:$A$27,0)),IF($B357="Cardboard Recycling",INDEX('Materials Master'!$I$2:$I$27,MATCH($C357,'Materials Master'!$A$2:$A$27,0)),IF($B357="Paper Recycling",INDEX('Materials Master'!$J$2:$J$27,MATCH($C357,'Materials Master'!$A$2:$A$27,0)),IF($B357="Terracycle",INDEX('Materials Master'!$K$2:$K$27,MATCH($C357,'Materials Master'!$A$2:$A$27,0)),"No"))))))="Yes",1,0)</f>
        <v>0</v>
      </c>
    </row>
    <row r="358" customFormat="false" ht="15" hidden="false" customHeight="false" outlineLevel="0" collapsed="false">
      <c r="A358" s="0" t="s">
        <v>97</v>
      </c>
      <c r="B358" s="0" t="s">
        <v>104</v>
      </c>
      <c r="C358" s="0" t="s">
        <v>69</v>
      </c>
      <c r="D358" s="0" t="str">
        <f aca="false">IFERROR(INDEX('Materials Master'!$B$2:$B$27,MATCH($C358,'Materials Master'!$A$2:$A$27,0)),"")</f>
        <v>Fiber-based Compostable Serviceware</v>
      </c>
      <c r="E358" s="0" t="str">
        <f aca="false">IFERROR(INDEX('Materials Master'!$C$2:$C$27,MATCH($C358,'Materials Master'!$A$2:$A$27,0)),"")</f>
        <v>Organics</v>
      </c>
      <c r="F358" s="0" t="n">
        <f aca="false">(SUMIFS(Fact_PreSortWeights!$E$2:$E$15,Fact_PreSortWeights!$C$2:$C$15,$A358,Fact_PreSortWeights!$B$2:$B$15,$B358,Fact_PreSortWeights!$F$2:$F$15,$C358))+(SUMIFS(Fact_SortedWeights!$E$2:$E$6,Fact_SortedWeights!$C$2:$C$6,$A358,Fact_SortedWeights!$B$2:$B$6,$B358,Fact_SortedWeights!$D$2:$D$6,$C358,Fact_SortedWeights!$L$2:$L$6,"Yes"))+IF((SUMIFS(Fact_SortedWeights!$E$2:$E$6,Fact_SortedWeights!$C$2:$C$6,$A358,Fact_SortedWeights!$B$2:$B$6,$B358,Fact_SortedWeights!$L$2:$L$6,"No"))=0,0,(SUMIFS(Fact_SortedWeights!$E$2:$E$6,Fact_SortedWeights!$C$2:$C$6,$A358,Fact_SortedWeights!$B$2:$B$6,$B358,Fact_SortedWeights!$D$2:$D$6,$C358,Fact_SortedWeights!$L$2:$L$6,"No"))/(SUMIFS(Fact_SortedWeights!$E$2:$E$6,Fact_SortedWeights!$C$2:$C$6,$A358,Fact_SortedWeights!$B$2:$B$6,$B358,Fact_SortedWeights!$L$2:$L$6,"No"))*((SUMIFS(Fact_PreSortWeights!$E$2:$E$15,Fact_PreSortWeights!$C$2:$C$15,$A358,Fact_PreSortWeights!$B$2:$B$15,$B358,Fact_PreSortWeights!$F$2:$F$15,""))-(SUMIFS(Fact_SortedWeights!$E$2:$E$6,Fact_SortedWeights!$C$2:$C$6,$A358,Fact_SortedWeights!$B$2:$B$6,$B358,Fact_SortedWeights!$L$2:$L$6,"Yes"))))</f>
        <v>0</v>
      </c>
      <c r="G358" s="0" t="n">
        <f aca="false">IF(AND(IF($B358="Trash",INDEX('Materials Master'!$F$2:$F$27,MATCH($C358,'Materials Master'!$A$2:$A$27,0)),IF($B358="GMPC Recycling",INDEX('Materials Master'!$G$2:$G$27,MATCH($C358,'Materials Master'!$A$2:$A$27,0)),IF($B358="Organics Recycling",INDEX('Materials Master'!$H$2:$H$27,MATCH($C358,'Materials Master'!$A$2:$A$27,0)),IF($B358="Cardboard Recycling",INDEX('Materials Master'!$I$2:$I$27,MATCH($C358,'Materials Master'!$A$2:$A$27,0)),IF($B358="Paper Recycling",INDEX('Materials Master'!$J$2:$J$27,MATCH($C358,'Materials Master'!$A$2:$A$27,0)),IF($B358="Terracycle",INDEX('Materials Master'!$K$2:$K$27,MATCH($C358,'Materials Master'!$A$2:$A$27,0)),"No"))))))="Yes",INDEX('Materials Master'!$E$2:$E$27,MATCH($C358,'Materials Master'!$A$2:$A$27,0))="Yes",$B358&lt;&gt;"Trash"),1,0)</f>
        <v>0</v>
      </c>
      <c r="H358" s="0" t="str">
        <f aca="false">INDEX('Materials Master'!$E$2:$E$27,MATCH($C358,'Materials Master'!$A$2:$A$27,0))</f>
        <v>No</v>
      </c>
      <c r="I358" s="0" t="str">
        <f aca="false">IFERROR(INDEX(Areas!$C$2:$C$6,MATCH($A358,Areas!$B$2:$B$6,0)),"")</f>
        <v>Rest of Building</v>
      </c>
      <c r="J358" s="0" t="n">
        <f aca="false">IF(IF($B358="Trash",INDEX('Materials Master'!$F$2:$F$27,MATCH($C358,'Materials Master'!$A$2:$A$27,0)),IF($B358="GMPC Recycling",INDEX('Materials Master'!$G$2:$G$27,MATCH($C358,'Materials Master'!$A$2:$A$27,0)),IF($B358="Organics Recycling",INDEX('Materials Master'!$H$2:$H$27,MATCH($C358,'Materials Master'!$A$2:$A$27,0)),IF($B358="Cardboard Recycling",INDEX('Materials Master'!$I$2:$I$27,MATCH($C358,'Materials Master'!$A$2:$A$27,0)),IF($B358="Paper Recycling",INDEX('Materials Master'!$J$2:$J$27,MATCH($C358,'Materials Master'!$A$2:$A$27,0)),IF($B358="Terracycle",INDEX('Materials Master'!$K$2:$K$27,MATCH($C358,'Materials Master'!$A$2:$A$27,0)),"No"))))))="Yes",1,0)</f>
        <v>0</v>
      </c>
    </row>
    <row r="359" customFormat="false" ht="15" hidden="false" customHeight="false" outlineLevel="0" collapsed="false">
      <c r="A359" s="0" t="s">
        <v>97</v>
      </c>
      <c r="B359" s="0" t="s">
        <v>104</v>
      </c>
      <c r="C359" s="0" t="s">
        <v>71</v>
      </c>
      <c r="D359" s="0" t="str">
        <f aca="false">IFERROR(INDEX('Materials Master'!$B$2:$B$27,MATCH($C359,'Materials Master'!$A$2:$A$27,0)),"")</f>
        <v>PLA Compostable Serviceware</v>
      </c>
      <c r="E359" s="0" t="str">
        <f aca="false">IFERROR(INDEX('Materials Master'!$C$2:$C$27,MATCH($C359,'Materials Master'!$A$2:$A$27,0)),"")</f>
        <v>Organics</v>
      </c>
      <c r="F359" s="0" t="n">
        <f aca="false">(SUMIFS(Fact_PreSortWeights!$E$2:$E$15,Fact_PreSortWeights!$C$2:$C$15,$A359,Fact_PreSortWeights!$B$2:$B$15,$B359,Fact_PreSortWeights!$F$2:$F$15,$C359))+(SUMIFS(Fact_SortedWeights!$E$2:$E$6,Fact_SortedWeights!$C$2:$C$6,$A359,Fact_SortedWeights!$B$2:$B$6,$B359,Fact_SortedWeights!$D$2:$D$6,$C359,Fact_SortedWeights!$L$2:$L$6,"Yes"))+IF((SUMIFS(Fact_SortedWeights!$E$2:$E$6,Fact_SortedWeights!$C$2:$C$6,$A359,Fact_SortedWeights!$B$2:$B$6,$B359,Fact_SortedWeights!$L$2:$L$6,"No"))=0,0,(SUMIFS(Fact_SortedWeights!$E$2:$E$6,Fact_SortedWeights!$C$2:$C$6,$A359,Fact_SortedWeights!$B$2:$B$6,$B359,Fact_SortedWeights!$D$2:$D$6,$C359,Fact_SortedWeights!$L$2:$L$6,"No"))/(SUMIFS(Fact_SortedWeights!$E$2:$E$6,Fact_SortedWeights!$C$2:$C$6,$A359,Fact_SortedWeights!$B$2:$B$6,$B359,Fact_SortedWeights!$L$2:$L$6,"No"))*((SUMIFS(Fact_PreSortWeights!$E$2:$E$15,Fact_PreSortWeights!$C$2:$C$15,$A359,Fact_PreSortWeights!$B$2:$B$15,$B359,Fact_PreSortWeights!$F$2:$F$15,""))-(SUMIFS(Fact_SortedWeights!$E$2:$E$6,Fact_SortedWeights!$C$2:$C$6,$A359,Fact_SortedWeights!$B$2:$B$6,$B359,Fact_SortedWeights!$L$2:$L$6,"Yes"))))</f>
        <v>0</v>
      </c>
      <c r="G359" s="0" t="n">
        <f aca="false">IF(AND(IF($B359="Trash",INDEX('Materials Master'!$F$2:$F$27,MATCH($C359,'Materials Master'!$A$2:$A$27,0)),IF($B359="GMPC Recycling",INDEX('Materials Master'!$G$2:$G$27,MATCH($C359,'Materials Master'!$A$2:$A$27,0)),IF($B359="Organics Recycling",INDEX('Materials Master'!$H$2:$H$27,MATCH($C359,'Materials Master'!$A$2:$A$27,0)),IF($B359="Cardboard Recycling",INDEX('Materials Master'!$I$2:$I$27,MATCH($C359,'Materials Master'!$A$2:$A$27,0)),IF($B359="Paper Recycling",INDEX('Materials Master'!$J$2:$J$27,MATCH($C359,'Materials Master'!$A$2:$A$27,0)),IF($B359="Terracycle",INDEX('Materials Master'!$K$2:$K$27,MATCH($C359,'Materials Master'!$A$2:$A$27,0)),"No"))))))="Yes",INDEX('Materials Master'!$E$2:$E$27,MATCH($C359,'Materials Master'!$A$2:$A$27,0))="Yes",$B359&lt;&gt;"Trash"),1,0)</f>
        <v>0</v>
      </c>
      <c r="H359" s="0" t="str">
        <f aca="false">INDEX('Materials Master'!$E$2:$E$27,MATCH($C359,'Materials Master'!$A$2:$A$27,0))</f>
        <v>No</v>
      </c>
      <c r="I359" s="0" t="str">
        <f aca="false">IFERROR(INDEX(Areas!$C$2:$C$6,MATCH($A359,Areas!$B$2:$B$6,0)),"")</f>
        <v>Rest of Building</v>
      </c>
      <c r="J359" s="0" t="n">
        <f aca="false">IF(IF($B359="Trash",INDEX('Materials Master'!$F$2:$F$27,MATCH($C359,'Materials Master'!$A$2:$A$27,0)),IF($B359="GMPC Recycling",INDEX('Materials Master'!$G$2:$G$27,MATCH($C359,'Materials Master'!$A$2:$A$27,0)),IF($B359="Organics Recycling",INDEX('Materials Master'!$H$2:$H$27,MATCH($C359,'Materials Master'!$A$2:$A$27,0)),IF($B359="Cardboard Recycling",INDEX('Materials Master'!$I$2:$I$27,MATCH($C359,'Materials Master'!$A$2:$A$27,0)),IF($B359="Paper Recycling",INDEX('Materials Master'!$J$2:$J$27,MATCH($C359,'Materials Master'!$A$2:$A$27,0)),IF($B359="Terracycle",INDEX('Materials Master'!$K$2:$K$27,MATCH($C359,'Materials Master'!$A$2:$A$27,0)),"No"))))))="Yes",1,0)</f>
        <v>0</v>
      </c>
    </row>
    <row r="360" customFormat="false" ht="15" hidden="false" customHeight="false" outlineLevel="0" collapsed="false">
      <c r="A360" s="0" t="s">
        <v>97</v>
      </c>
      <c r="B360" s="0" t="s">
        <v>104</v>
      </c>
      <c r="C360" s="0" t="s">
        <v>73</v>
      </c>
      <c r="D360" s="0" t="str">
        <f aca="false">IFERROR(INDEX('Materials Master'!$B$2:$B$27,MATCH($C360,'Materials Master'!$A$2:$A$27,0)),"")</f>
        <v>E/U Waste</v>
      </c>
      <c r="E360" s="0" t="str">
        <f aca="false">IFERROR(INDEX('Materials Master'!$C$2:$C$27,MATCH($C360,'Materials Master'!$A$2:$A$27,0)),"")</f>
        <v>Unacceptable</v>
      </c>
      <c r="F360" s="0" t="n">
        <f aca="false">(SUMIFS(Fact_PreSortWeights!$E$2:$E$15,Fact_PreSortWeights!$C$2:$C$15,$A360,Fact_PreSortWeights!$B$2:$B$15,$B360,Fact_PreSortWeights!$F$2:$F$15,$C360))+(SUMIFS(Fact_SortedWeights!$E$2:$E$6,Fact_SortedWeights!$C$2:$C$6,$A360,Fact_SortedWeights!$B$2:$B$6,$B360,Fact_SortedWeights!$D$2:$D$6,$C360,Fact_SortedWeights!$L$2:$L$6,"Yes"))+IF((SUMIFS(Fact_SortedWeights!$E$2:$E$6,Fact_SortedWeights!$C$2:$C$6,$A360,Fact_SortedWeights!$B$2:$B$6,$B360,Fact_SortedWeights!$L$2:$L$6,"No"))=0,0,(SUMIFS(Fact_SortedWeights!$E$2:$E$6,Fact_SortedWeights!$C$2:$C$6,$A360,Fact_SortedWeights!$B$2:$B$6,$B360,Fact_SortedWeights!$D$2:$D$6,$C360,Fact_SortedWeights!$L$2:$L$6,"No"))/(SUMIFS(Fact_SortedWeights!$E$2:$E$6,Fact_SortedWeights!$C$2:$C$6,$A360,Fact_SortedWeights!$B$2:$B$6,$B360,Fact_SortedWeights!$L$2:$L$6,"No"))*((SUMIFS(Fact_PreSortWeights!$E$2:$E$15,Fact_PreSortWeights!$C$2:$C$15,$A360,Fact_PreSortWeights!$B$2:$B$15,$B360,Fact_PreSortWeights!$F$2:$F$15,""))-(SUMIFS(Fact_SortedWeights!$E$2:$E$6,Fact_SortedWeights!$C$2:$C$6,$A360,Fact_SortedWeights!$B$2:$B$6,$B360,Fact_SortedWeights!$L$2:$L$6,"Yes"))))</f>
        <v>0</v>
      </c>
      <c r="G360" s="0" t="n">
        <f aca="false">IF(AND(IF($B360="Trash",INDEX('Materials Master'!$F$2:$F$27,MATCH($C360,'Materials Master'!$A$2:$A$27,0)),IF($B360="GMPC Recycling",INDEX('Materials Master'!$G$2:$G$27,MATCH($C360,'Materials Master'!$A$2:$A$27,0)),IF($B360="Organics Recycling",INDEX('Materials Master'!$H$2:$H$27,MATCH($C360,'Materials Master'!$A$2:$A$27,0)),IF($B360="Cardboard Recycling",INDEX('Materials Master'!$I$2:$I$27,MATCH($C360,'Materials Master'!$A$2:$A$27,0)),IF($B360="Paper Recycling",INDEX('Materials Master'!$J$2:$J$27,MATCH($C360,'Materials Master'!$A$2:$A$27,0)),IF($B360="Terracycle",INDEX('Materials Master'!$K$2:$K$27,MATCH($C360,'Materials Master'!$A$2:$A$27,0)),"No"))))))="Yes",INDEX('Materials Master'!$E$2:$E$27,MATCH($C360,'Materials Master'!$A$2:$A$27,0))="Yes",$B360&lt;&gt;"Trash"),1,0)</f>
        <v>0</v>
      </c>
      <c r="H360" s="0" t="str">
        <f aca="false">INDEX('Materials Master'!$E$2:$E$27,MATCH($C360,'Materials Master'!$A$2:$A$27,0))</f>
        <v>No</v>
      </c>
      <c r="I360" s="0" t="str">
        <f aca="false">IFERROR(INDEX(Areas!$C$2:$C$6,MATCH($A360,Areas!$B$2:$B$6,0)),"")</f>
        <v>Rest of Building</v>
      </c>
      <c r="J360" s="0" t="n">
        <f aca="false">IF(IF($B360="Trash",INDEX('Materials Master'!$F$2:$F$27,MATCH($C360,'Materials Master'!$A$2:$A$27,0)),IF($B360="GMPC Recycling",INDEX('Materials Master'!$G$2:$G$27,MATCH($C360,'Materials Master'!$A$2:$A$27,0)),IF($B360="Organics Recycling",INDEX('Materials Master'!$H$2:$H$27,MATCH($C360,'Materials Master'!$A$2:$A$27,0)),IF($B360="Cardboard Recycling",INDEX('Materials Master'!$I$2:$I$27,MATCH($C360,'Materials Master'!$A$2:$A$27,0)),IF($B360="Paper Recycling",INDEX('Materials Master'!$J$2:$J$27,MATCH($C360,'Materials Master'!$A$2:$A$27,0)),IF($B360="Terracycle",INDEX('Materials Master'!$K$2:$K$27,MATCH($C360,'Materials Master'!$A$2:$A$27,0)),"No"))))))="Yes",1,0)</f>
        <v>0</v>
      </c>
    </row>
    <row r="361" customFormat="false" ht="15" hidden="false" customHeight="false" outlineLevel="0" collapsed="false">
      <c r="A361" s="0" t="s">
        <v>97</v>
      </c>
      <c r="B361" s="0" t="s">
        <v>104</v>
      </c>
      <c r="C361" s="0" t="s">
        <v>76</v>
      </c>
      <c r="D361" s="0" t="str">
        <f aca="false">IFERROR(INDEX('Materials Master'!$B$2:$B$27,MATCH($C361,'Materials Master'!$A$2:$A$27,0)),"")</f>
        <v>Textiles</v>
      </c>
      <c r="E361" s="0" t="str">
        <f aca="false">IFERROR(INDEX('Materials Master'!$C$2:$C$27,MATCH($C361,'Materials Master'!$A$2:$A$27,0)),"")</f>
        <v>Unacceptable</v>
      </c>
      <c r="F361" s="0" t="n">
        <f aca="false">(SUMIFS(Fact_PreSortWeights!$E$2:$E$15,Fact_PreSortWeights!$C$2:$C$15,$A361,Fact_PreSortWeights!$B$2:$B$15,$B361,Fact_PreSortWeights!$F$2:$F$15,$C361))+(SUMIFS(Fact_SortedWeights!$E$2:$E$6,Fact_SortedWeights!$C$2:$C$6,$A361,Fact_SortedWeights!$B$2:$B$6,$B361,Fact_SortedWeights!$D$2:$D$6,$C361,Fact_SortedWeights!$L$2:$L$6,"Yes"))+IF((SUMIFS(Fact_SortedWeights!$E$2:$E$6,Fact_SortedWeights!$C$2:$C$6,$A361,Fact_SortedWeights!$B$2:$B$6,$B361,Fact_SortedWeights!$L$2:$L$6,"No"))=0,0,(SUMIFS(Fact_SortedWeights!$E$2:$E$6,Fact_SortedWeights!$C$2:$C$6,$A361,Fact_SortedWeights!$B$2:$B$6,$B361,Fact_SortedWeights!$D$2:$D$6,$C361,Fact_SortedWeights!$L$2:$L$6,"No"))/(SUMIFS(Fact_SortedWeights!$E$2:$E$6,Fact_SortedWeights!$C$2:$C$6,$A361,Fact_SortedWeights!$B$2:$B$6,$B361,Fact_SortedWeights!$L$2:$L$6,"No"))*((SUMIFS(Fact_PreSortWeights!$E$2:$E$15,Fact_PreSortWeights!$C$2:$C$15,$A361,Fact_PreSortWeights!$B$2:$B$15,$B361,Fact_PreSortWeights!$F$2:$F$15,""))-(SUMIFS(Fact_SortedWeights!$E$2:$E$6,Fact_SortedWeights!$C$2:$C$6,$A361,Fact_SortedWeights!$B$2:$B$6,$B361,Fact_SortedWeights!$L$2:$L$6,"Yes"))))</f>
        <v>0</v>
      </c>
      <c r="G361" s="0" t="n">
        <f aca="false">IF(AND(IF($B361="Trash",INDEX('Materials Master'!$F$2:$F$27,MATCH($C361,'Materials Master'!$A$2:$A$27,0)),IF($B361="GMPC Recycling",INDEX('Materials Master'!$G$2:$G$27,MATCH($C361,'Materials Master'!$A$2:$A$27,0)),IF($B361="Organics Recycling",INDEX('Materials Master'!$H$2:$H$27,MATCH($C361,'Materials Master'!$A$2:$A$27,0)),IF($B361="Cardboard Recycling",INDEX('Materials Master'!$I$2:$I$27,MATCH($C361,'Materials Master'!$A$2:$A$27,0)),IF($B361="Paper Recycling",INDEX('Materials Master'!$J$2:$J$27,MATCH($C361,'Materials Master'!$A$2:$A$27,0)),IF($B361="Terracycle",INDEX('Materials Master'!$K$2:$K$27,MATCH($C361,'Materials Master'!$A$2:$A$27,0)),"No"))))))="Yes",INDEX('Materials Master'!$E$2:$E$27,MATCH($C361,'Materials Master'!$A$2:$A$27,0))="Yes",$B361&lt;&gt;"Trash"),1,0)</f>
        <v>0</v>
      </c>
      <c r="H361" s="0" t="str">
        <f aca="false">INDEX('Materials Master'!$E$2:$E$27,MATCH($C361,'Materials Master'!$A$2:$A$27,0))</f>
        <v>No</v>
      </c>
      <c r="I361" s="0" t="str">
        <f aca="false">IFERROR(INDEX(Areas!$C$2:$C$6,MATCH($A361,Areas!$B$2:$B$6,0)),"")</f>
        <v>Rest of Building</v>
      </c>
      <c r="J361" s="0" t="n">
        <f aca="false">IF(IF($B361="Trash",INDEX('Materials Master'!$F$2:$F$27,MATCH($C361,'Materials Master'!$A$2:$A$27,0)),IF($B361="GMPC Recycling",INDEX('Materials Master'!$G$2:$G$27,MATCH($C361,'Materials Master'!$A$2:$A$27,0)),IF($B361="Organics Recycling",INDEX('Materials Master'!$H$2:$H$27,MATCH($C361,'Materials Master'!$A$2:$A$27,0)),IF($B361="Cardboard Recycling",INDEX('Materials Master'!$I$2:$I$27,MATCH($C361,'Materials Master'!$A$2:$A$27,0)),IF($B361="Paper Recycling",INDEX('Materials Master'!$J$2:$J$27,MATCH($C361,'Materials Master'!$A$2:$A$27,0)),IF($B361="Terracycle",INDEX('Materials Master'!$K$2:$K$27,MATCH($C361,'Materials Master'!$A$2:$A$27,0)),"No"))))))="Yes",1,0)</f>
        <v>0</v>
      </c>
    </row>
    <row r="362" customFormat="false" ht="15" hidden="false" customHeight="false" outlineLevel="0" collapsed="false">
      <c r="A362" s="0" t="s">
        <v>97</v>
      </c>
      <c r="B362" s="0" t="s">
        <v>104</v>
      </c>
      <c r="C362" s="0" t="s">
        <v>78</v>
      </c>
      <c r="D362" s="0" t="str">
        <f aca="false">IFERROR(INDEX('Materials Master'!$B$2:$B$27,MATCH($C362,'Materials Master'!$A$2:$A$27,0)),"")</f>
        <v>Other Unacceptable (specify)</v>
      </c>
      <c r="E362" s="0" t="str">
        <f aca="false">IFERROR(INDEX('Materials Master'!$C$2:$C$27,MATCH($C362,'Materials Master'!$A$2:$A$27,0)),"")</f>
        <v>Unacceptable</v>
      </c>
      <c r="F362" s="0" t="n">
        <f aca="false">(SUMIFS(Fact_PreSortWeights!$E$2:$E$15,Fact_PreSortWeights!$C$2:$C$15,$A362,Fact_PreSortWeights!$B$2:$B$15,$B362,Fact_PreSortWeights!$F$2:$F$15,$C362))+(SUMIFS(Fact_SortedWeights!$E$2:$E$6,Fact_SortedWeights!$C$2:$C$6,$A362,Fact_SortedWeights!$B$2:$B$6,$B362,Fact_SortedWeights!$D$2:$D$6,$C362,Fact_SortedWeights!$L$2:$L$6,"Yes"))+IF((SUMIFS(Fact_SortedWeights!$E$2:$E$6,Fact_SortedWeights!$C$2:$C$6,$A362,Fact_SortedWeights!$B$2:$B$6,$B362,Fact_SortedWeights!$L$2:$L$6,"No"))=0,0,(SUMIFS(Fact_SortedWeights!$E$2:$E$6,Fact_SortedWeights!$C$2:$C$6,$A362,Fact_SortedWeights!$B$2:$B$6,$B362,Fact_SortedWeights!$D$2:$D$6,$C362,Fact_SortedWeights!$L$2:$L$6,"No"))/(SUMIFS(Fact_SortedWeights!$E$2:$E$6,Fact_SortedWeights!$C$2:$C$6,$A362,Fact_SortedWeights!$B$2:$B$6,$B362,Fact_SortedWeights!$L$2:$L$6,"No"))*((SUMIFS(Fact_PreSortWeights!$E$2:$E$15,Fact_PreSortWeights!$C$2:$C$15,$A362,Fact_PreSortWeights!$B$2:$B$15,$B362,Fact_PreSortWeights!$F$2:$F$15,""))-(SUMIFS(Fact_SortedWeights!$E$2:$E$6,Fact_SortedWeights!$C$2:$C$6,$A362,Fact_SortedWeights!$B$2:$B$6,$B362,Fact_SortedWeights!$L$2:$L$6,"Yes"))))</f>
        <v>0</v>
      </c>
      <c r="G362" s="0" t="n">
        <f aca="false">IF(AND(IF($B362="Trash",INDEX('Materials Master'!$F$2:$F$27,MATCH($C362,'Materials Master'!$A$2:$A$27,0)),IF($B362="GMPC Recycling",INDEX('Materials Master'!$G$2:$G$27,MATCH($C362,'Materials Master'!$A$2:$A$27,0)),IF($B362="Organics Recycling",INDEX('Materials Master'!$H$2:$H$27,MATCH($C362,'Materials Master'!$A$2:$A$27,0)),IF($B362="Cardboard Recycling",INDEX('Materials Master'!$I$2:$I$27,MATCH($C362,'Materials Master'!$A$2:$A$27,0)),IF($B362="Paper Recycling",INDEX('Materials Master'!$J$2:$J$27,MATCH($C362,'Materials Master'!$A$2:$A$27,0)),IF($B362="Terracycle",INDEX('Materials Master'!$K$2:$K$27,MATCH($C362,'Materials Master'!$A$2:$A$27,0)),"No"))))))="Yes",INDEX('Materials Master'!$E$2:$E$27,MATCH($C362,'Materials Master'!$A$2:$A$27,0))="Yes",$B362&lt;&gt;"Trash"),1,0)</f>
        <v>0</v>
      </c>
      <c r="H362" s="0" t="str">
        <f aca="false">INDEX('Materials Master'!$E$2:$E$27,MATCH($C362,'Materials Master'!$A$2:$A$27,0))</f>
        <v>No</v>
      </c>
      <c r="I362" s="0" t="str">
        <f aca="false">IFERROR(INDEX(Areas!$C$2:$C$6,MATCH($A362,Areas!$B$2:$B$6,0)),"")</f>
        <v>Rest of Building</v>
      </c>
      <c r="J362" s="0" t="n">
        <f aca="false">IF(IF($B362="Trash",INDEX('Materials Master'!$F$2:$F$27,MATCH($C362,'Materials Master'!$A$2:$A$27,0)),IF($B362="GMPC Recycling",INDEX('Materials Master'!$G$2:$G$27,MATCH($C362,'Materials Master'!$A$2:$A$27,0)),IF($B362="Organics Recycling",INDEX('Materials Master'!$H$2:$H$27,MATCH($C362,'Materials Master'!$A$2:$A$27,0)),IF($B362="Cardboard Recycling",INDEX('Materials Master'!$I$2:$I$27,MATCH($C362,'Materials Master'!$A$2:$A$27,0)),IF($B362="Paper Recycling",INDEX('Materials Master'!$J$2:$J$27,MATCH($C362,'Materials Master'!$A$2:$A$27,0)),IF($B362="Terracycle",INDEX('Materials Master'!$K$2:$K$27,MATCH($C362,'Materials Master'!$A$2:$A$27,0)),"No"))))))="Yes",1,0)</f>
        <v>0</v>
      </c>
    </row>
    <row r="363" customFormat="false" ht="15" hidden="false" customHeight="false" outlineLevel="0" collapsed="false">
      <c r="A363" s="0" t="s">
        <v>97</v>
      </c>
      <c r="B363" s="0" t="s">
        <v>104</v>
      </c>
      <c r="C363" s="0" t="s">
        <v>80</v>
      </c>
      <c r="D363" s="0" t="str">
        <f aca="false">IFERROR(INDEX('Materials Master'!$B$2:$B$27,MATCH($C363,'Materials Master'!$A$2:$A$27,0)),"")</f>
        <v>Liquids</v>
      </c>
      <c r="E363" s="0" t="str">
        <f aca="false">IFERROR(INDEX('Materials Master'!$C$2:$C$27,MATCH($C363,'Materials Master'!$A$2:$A$27,0)),"")</f>
        <v>Unacceptable</v>
      </c>
      <c r="F363" s="0" t="n">
        <f aca="false">(SUMIFS(Fact_PreSortWeights!$E$2:$E$15,Fact_PreSortWeights!$C$2:$C$15,$A363,Fact_PreSortWeights!$B$2:$B$15,$B363,Fact_PreSortWeights!$F$2:$F$15,$C363))+(SUMIFS(Fact_SortedWeights!$E$2:$E$6,Fact_SortedWeights!$C$2:$C$6,$A363,Fact_SortedWeights!$B$2:$B$6,$B363,Fact_SortedWeights!$D$2:$D$6,$C363,Fact_SortedWeights!$L$2:$L$6,"Yes"))+IF((SUMIFS(Fact_SortedWeights!$E$2:$E$6,Fact_SortedWeights!$C$2:$C$6,$A363,Fact_SortedWeights!$B$2:$B$6,$B363,Fact_SortedWeights!$L$2:$L$6,"No"))=0,0,(SUMIFS(Fact_SortedWeights!$E$2:$E$6,Fact_SortedWeights!$C$2:$C$6,$A363,Fact_SortedWeights!$B$2:$B$6,$B363,Fact_SortedWeights!$D$2:$D$6,$C363,Fact_SortedWeights!$L$2:$L$6,"No"))/(SUMIFS(Fact_SortedWeights!$E$2:$E$6,Fact_SortedWeights!$C$2:$C$6,$A363,Fact_SortedWeights!$B$2:$B$6,$B363,Fact_SortedWeights!$L$2:$L$6,"No"))*((SUMIFS(Fact_PreSortWeights!$E$2:$E$15,Fact_PreSortWeights!$C$2:$C$15,$A363,Fact_PreSortWeights!$B$2:$B$15,$B363,Fact_PreSortWeights!$F$2:$F$15,""))-(SUMIFS(Fact_SortedWeights!$E$2:$E$6,Fact_SortedWeights!$C$2:$C$6,$A363,Fact_SortedWeights!$B$2:$B$6,$B363,Fact_SortedWeights!$L$2:$L$6,"Yes"))))</f>
        <v>0</v>
      </c>
      <c r="G363" s="0" t="n">
        <f aca="false">IF(AND(IF($B363="Trash",INDEX('Materials Master'!$F$2:$F$27,MATCH($C363,'Materials Master'!$A$2:$A$27,0)),IF($B363="GMPC Recycling",INDEX('Materials Master'!$G$2:$G$27,MATCH($C363,'Materials Master'!$A$2:$A$27,0)),IF($B363="Organics Recycling",INDEX('Materials Master'!$H$2:$H$27,MATCH($C363,'Materials Master'!$A$2:$A$27,0)),IF($B363="Cardboard Recycling",INDEX('Materials Master'!$I$2:$I$27,MATCH($C363,'Materials Master'!$A$2:$A$27,0)),IF($B363="Paper Recycling",INDEX('Materials Master'!$J$2:$J$27,MATCH($C363,'Materials Master'!$A$2:$A$27,0)),IF($B363="Terracycle",INDEX('Materials Master'!$K$2:$K$27,MATCH($C363,'Materials Master'!$A$2:$A$27,0)),"No"))))))="Yes",INDEX('Materials Master'!$E$2:$E$27,MATCH($C363,'Materials Master'!$A$2:$A$27,0))="Yes",$B363&lt;&gt;"Trash"),1,0)</f>
        <v>0</v>
      </c>
      <c r="H363" s="0" t="str">
        <f aca="false">INDEX('Materials Master'!$E$2:$E$27,MATCH($C363,'Materials Master'!$A$2:$A$27,0))</f>
        <v>No</v>
      </c>
      <c r="I363" s="0" t="str">
        <f aca="false">IFERROR(INDEX(Areas!$C$2:$C$6,MATCH($A363,Areas!$B$2:$B$6,0)),"")</f>
        <v>Rest of Building</v>
      </c>
      <c r="J363" s="0" t="n">
        <f aca="false">IF(IF($B363="Trash",INDEX('Materials Master'!$F$2:$F$27,MATCH($C363,'Materials Master'!$A$2:$A$27,0)),IF($B363="GMPC Recycling",INDEX('Materials Master'!$G$2:$G$27,MATCH($C363,'Materials Master'!$A$2:$A$27,0)),IF($B363="Organics Recycling",INDEX('Materials Master'!$H$2:$H$27,MATCH($C363,'Materials Master'!$A$2:$A$27,0)),IF($B363="Cardboard Recycling",INDEX('Materials Master'!$I$2:$I$27,MATCH($C363,'Materials Master'!$A$2:$A$27,0)),IF($B363="Paper Recycling",INDEX('Materials Master'!$J$2:$J$27,MATCH($C363,'Materials Master'!$A$2:$A$27,0)),IF($B363="Terracycle",INDEX('Materials Master'!$K$2:$K$27,MATCH($C363,'Materials Master'!$A$2:$A$27,0)),"No"))))))="Yes",1,0)</f>
        <v>0</v>
      </c>
    </row>
    <row r="364" customFormat="false" ht="15" hidden="false" customHeight="false" outlineLevel="0" collapsed="false">
      <c r="A364" s="0" t="s">
        <v>97</v>
      </c>
      <c r="B364" s="0" t="s">
        <v>104</v>
      </c>
      <c r="C364" s="0" t="s">
        <v>82</v>
      </c>
      <c r="D364" s="0" t="str">
        <f aca="false">IFERROR(INDEX('Materials Master'!$B$2:$B$27,MATCH($C364,'Materials Master'!$A$2:$A$27,0)),"")</f>
        <v>Snack Wrappers (Composites)</v>
      </c>
      <c r="E364" s="0" t="str">
        <f aca="false">IFERROR(INDEX('Materials Master'!$C$2:$C$27,MATCH($C364,'Materials Master'!$A$2:$A$27,0)),"")</f>
        <v>Other</v>
      </c>
      <c r="F364" s="0" t="n">
        <f aca="false">(SUMIFS(Fact_PreSortWeights!$E$2:$E$15,Fact_PreSortWeights!$C$2:$C$15,$A364,Fact_PreSortWeights!$B$2:$B$15,$B364,Fact_PreSortWeights!$F$2:$F$15,$C364))+(SUMIFS(Fact_SortedWeights!$E$2:$E$6,Fact_SortedWeights!$C$2:$C$6,$A364,Fact_SortedWeights!$B$2:$B$6,$B364,Fact_SortedWeights!$D$2:$D$6,$C364,Fact_SortedWeights!$L$2:$L$6,"Yes"))+IF((SUMIFS(Fact_SortedWeights!$E$2:$E$6,Fact_SortedWeights!$C$2:$C$6,$A364,Fact_SortedWeights!$B$2:$B$6,$B364,Fact_SortedWeights!$L$2:$L$6,"No"))=0,0,(SUMIFS(Fact_SortedWeights!$E$2:$E$6,Fact_SortedWeights!$C$2:$C$6,$A364,Fact_SortedWeights!$B$2:$B$6,$B364,Fact_SortedWeights!$D$2:$D$6,$C364,Fact_SortedWeights!$L$2:$L$6,"No"))/(SUMIFS(Fact_SortedWeights!$E$2:$E$6,Fact_SortedWeights!$C$2:$C$6,$A364,Fact_SortedWeights!$B$2:$B$6,$B364,Fact_SortedWeights!$L$2:$L$6,"No"))*((SUMIFS(Fact_PreSortWeights!$E$2:$E$15,Fact_PreSortWeights!$C$2:$C$15,$A364,Fact_PreSortWeights!$B$2:$B$15,$B364,Fact_PreSortWeights!$F$2:$F$15,""))-(SUMIFS(Fact_SortedWeights!$E$2:$E$6,Fact_SortedWeights!$C$2:$C$6,$A364,Fact_SortedWeights!$B$2:$B$6,$B364,Fact_SortedWeights!$L$2:$L$6,"Yes"))))</f>
        <v>0</v>
      </c>
      <c r="G364" s="0" t="n">
        <f aca="false">IF(AND(IF($B364="Trash",INDEX('Materials Master'!$F$2:$F$27,MATCH($C364,'Materials Master'!$A$2:$A$27,0)),IF($B364="GMPC Recycling",INDEX('Materials Master'!$G$2:$G$27,MATCH($C364,'Materials Master'!$A$2:$A$27,0)),IF($B364="Organics Recycling",INDEX('Materials Master'!$H$2:$H$27,MATCH($C364,'Materials Master'!$A$2:$A$27,0)),IF($B364="Cardboard Recycling",INDEX('Materials Master'!$I$2:$I$27,MATCH($C364,'Materials Master'!$A$2:$A$27,0)),IF($B364="Paper Recycling",INDEX('Materials Master'!$J$2:$J$27,MATCH($C364,'Materials Master'!$A$2:$A$27,0)),IF($B364="Terracycle",INDEX('Materials Master'!$K$2:$K$27,MATCH($C364,'Materials Master'!$A$2:$A$27,0)),"No"))))))="Yes",INDEX('Materials Master'!$E$2:$E$27,MATCH($C364,'Materials Master'!$A$2:$A$27,0))="Yes",$B364&lt;&gt;"Trash"),1,0)</f>
        <v>0</v>
      </c>
      <c r="H364" s="0" t="str">
        <f aca="false">INDEX('Materials Master'!$E$2:$E$27,MATCH($C364,'Materials Master'!$A$2:$A$27,0))</f>
        <v>Yes</v>
      </c>
      <c r="I364" s="0" t="str">
        <f aca="false">IFERROR(INDEX(Areas!$C$2:$C$6,MATCH($A364,Areas!$B$2:$B$6,0)),"")</f>
        <v>Rest of Building</v>
      </c>
      <c r="J364" s="0" t="n">
        <f aca="false">IF(IF($B364="Trash",INDEX('Materials Master'!$F$2:$F$27,MATCH($C364,'Materials Master'!$A$2:$A$27,0)),IF($B364="GMPC Recycling",INDEX('Materials Master'!$G$2:$G$27,MATCH($C364,'Materials Master'!$A$2:$A$27,0)),IF($B364="Organics Recycling",INDEX('Materials Master'!$H$2:$H$27,MATCH($C364,'Materials Master'!$A$2:$A$27,0)),IF($B364="Cardboard Recycling",INDEX('Materials Master'!$I$2:$I$27,MATCH($C364,'Materials Master'!$A$2:$A$27,0)),IF($B364="Paper Recycling",INDEX('Materials Master'!$J$2:$J$27,MATCH($C364,'Materials Master'!$A$2:$A$27,0)),IF($B364="Terracycle",INDEX('Materials Master'!$K$2:$K$27,MATCH($C364,'Materials Master'!$A$2:$A$27,0)),"No"))))))="Yes",1,0)</f>
        <v>0</v>
      </c>
    </row>
    <row r="365" customFormat="false" ht="15" hidden="false" customHeight="false" outlineLevel="0" collapsed="false">
      <c r="A365" s="0" t="s">
        <v>97</v>
      </c>
      <c r="B365" s="0" t="s">
        <v>104</v>
      </c>
      <c r="C365" s="0" t="s">
        <v>85</v>
      </c>
      <c r="D365" s="0" t="str">
        <f aca="false">IFERROR(INDEX('Materials Master'!$B$2:$B$27,MATCH($C365,'Materials Master'!$A$2:$A$27,0)),"")</f>
        <v>Other/Residual Materials</v>
      </c>
      <c r="E365" s="0" t="str">
        <f aca="false">IFERROR(INDEX('Materials Master'!$C$2:$C$27,MATCH($C365,'Materials Master'!$A$2:$A$27,0)),"")</f>
        <v>Other</v>
      </c>
      <c r="F365" s="0" t="n">
        <f aca="false">(SUMIFS(Fact_PreSortWeights!$E$2:$E$15,Fact_PreSortWeights!$C$2:$C$15,$A365,Fact_PreSortWeights!$B$2:$B$15,$B365,Fact_PreSortWeights!$F$2:$F$15,$C365))+(SUMIFS(Fact_SortedWeights!$E$2:$E$6,Fact_SortedWeights!$C$2:$C$6,$A365,Fact_SortedWeights!$B$2:$B$6,$B365,Fact_SortedWeights!$D$2:$D$6,$C365,Fact_SortedWeights!$L$2:$L$6,"Yes"))+IF((SUMIFS(Fact_SortedWeights!$E$2:$E$6,Fact_SortedWeights!$C$2:$C$6,$A365,Fact_SortedWeights!$B$2:$B$6,$B365,Fact_SortedWeights!$L$2:$L$6,"No"))=0,0,(SUMIFS(Fact_SortedWeights!$E$2:$E$6,Fact_SortedWeights!$C$2:$C$6,$A365,Fact_SortedWeights!$B$2:$B$6,$B365,Fact_SortedWeights!$D$2:$D$6,$C365,Fact_SortedWeights!$L$2:$L$6,"No"))/(SUMIFS(Fact_SortedWeights!$E$2:$E$6,Fact_SortedWeights!$C$2:$C$6,$A365,Fact_SortedWeights!$B$2:$B$6,$B365,Fact_SortedWeights!$L$2:$L$6,"No"))*((SUMIFS(Fact_PreSortWeights!$E$2:$E$15,Fact_PreSortWeights!$C$2:$C$15,$A365,Fact_PreSortWeights!$B$2:$B$15,$B365,Fact_PreSortWeights!$F$2:$F$15,""))-(SUMIFS(Fact_SortedWeights!$E$2:$E$6,Fact_SortedWeights!$C$2:$C$6,$A365,Fact_SortedWeights!$B$2:$B$6,$B365,Fact_SortedWeights!$L$2:$L$6,"Yes"))))</f>
        <v>0</v>
      </c>
      <c r="G365" s="0" t="n">
        <f aca="false">IF(AND(IF($B365="Trash",INDEX('Materials Master'!$F$2:$F$27,MATCH($C365,'Materials Master'!$A$2:$A$27,0)),IF($B365="GMPC Recycling",INDEX('Materials Master'!$G$2:$G$27,MATCH($C365,'Materials Master'!$A$2:$A$27,0)),IF($B365="Organics Recycling",INDEX('Materials Master'!$H$2:$H$27,MATCH($C365,'Materials Master'!$A$2:$A$27,0)),IF($B365="Cardboard Recycling",INDEX('Materials Master'!$I$2:$I$27,MATCH($C365,'Materials Master'!$A$2:$A$27,0)),IF($B365="Paper Recycling",INDEX('Materials Master'!$J$2:$J$27,MATCH($C365,'Materials Master'!$A$2:$A$27,0)),IF($B365="Terracycle",INDEX('Materials Master'!$K$2:$K$27,MATCH($C365,'Materials Master'!$A$2:$A$27,0)),"No"))))))="Yes",INDEX('Materials Master'!$E$2:$E$27,MATCH($C365,'Materials Master'!$A$2:$A$27,0))="Yes",$B365&lt;&gt;"Trash"),1,0)</f>
        <v>0</v>
      </c>
      <c r="H365" s="0" t="str">
        <f aca="false">INDEX('Materials Master'!$E$2:$E$27,MATCH($C365,'Materials Master'!$A$2:$A$27,0))</f>
        <v>No</v>
      </c>
      <c r="I365" s="0" t="str">
        <f aca="false">IFERROR(INDEX(Areas!$C$2:$C$6,MATCH($A365,Areas!$B$2:$B$6,0)),"")</f>
        <v>Rest of Building</v>
      </c>
      <c r="J365" s="0" t="n">
        <f aca="false">IF(IF($B365="Trash",INDEX('Materials Master'!$F$2:$F$27,MATCH($C365,'Materials Master'!$A$2:$A$27,0)),IF($B365="GMPC Recycling",INDEX('Materials Master'!$G$2:$G$27,MATCH($C365,'Materials Master'!$A$2:$A$27,0)),IF($B365="Organics Recycling",INDEX('Materials Master'!$H$2:$H$27,MATCH($C365,'Materials Master'!$A$2:$A$27,0)),IF($B365="Cardboard Recycling",INDEX('Materials Master'!$I$2:$I$27,MATCH($C365,'Materials Master'!$A$2:$A$27,0)),IF($B365="Paper Recycling",INDEX('Materials Master'!$J$2:$J$27,MATCH($C365,'Materials Master'!$A$2:$A$27,0)),IF($B365="Terracycle",INDEX('Materials Master'!$K$2:$K$27,MATCH($C365,'Materials Master'!$A$2:$A$27,0)),"No"))))))="Yes",1,0)</f>
        <v>0</v>
      </c>
    </row>
    <row r="366" customFormat="false" ht="15" hidden="false" customHeight="false" outlineLevel="0" collapsed="false">
      <c r="A366" s="0" t="s">
        <v>97</v>
      </c>
      <c r="B366" s="0" t="s">
        <v>105</v>
      </c>
      <c r="C366" s="0" t="s">
        <v>26</v>
      </c>
      <c r="D366" s="0" t="str">
        <f aca="false">IFERROR(INDEX('Materials Master'!$B$2:$B$27,MATCH($C366,'Materials Master'!$A$2:$A$27,0)),"")</f>
        <v>Corrugated Cardboard</v>
      </c>
      <c r="E366" s="0" t="str">
        <f aca="false">IFERROR(INDEX('Materials Master'!$C$2:$C$27,MATCH($C366,'Materials Master'!$A$2:$A$27,0)),"")</f>
        <v>Fibers</v>
      </c>
      <c r="F366" s="0" t="n">
        <f aca="false">(SUMIFS(Fact_PreSortWeights!$E$2:$E$15,Fact_PreSortWeights!$C$2:$C$15,$A366,Fact_PreSortWeights!$B$2:$B$15,$B366,Fact_PreSortWeights!$F$2:$F$15,$C366))+(SUMIFS(Fact_SortedWeights!$E$2:$E$6,Fact_SortedWeights!$C$2:$C$6,$A366,Fact_SortedWeights!$B$2:$B$6,$B366,Fact_SortedWeights!$D$2:$D$6,$C366,Fact_SortedWeights!$L$2:$L$6,"Yes"))+IF((SUMIFS(Fact_SortedWeights!$E$2:$E$6,Fact_SortedWeights!$C$2:$C$6,$A366,Fact_SortedWeights!$B$2:$B$6,$B366,Fact_SortedWeights!$L$2:$L$6,"No"))=0,0,(SUMIFS(Fact_SortedWeights!$E$2:$E$6,Fact_SortedWeights!$C$2:$C$6,$A366,Fact_SortedWeights!$B$2:$B$6,$B366,Fact_SortedWeights!$D$2:$D$6,$C366,Fact_SortedWeights!$L$2:$L$6,"No"))/(SUMIFS(Fact_SortedWeights!$E$2:$E$6,Fact_SortedWeights!$C$2:$C$6,$A366,Fact_SortedWeights!$B$2:$B$6,$B366,Fact_SortedWeights!$L$2:$L$6,"No"))*((SUMIFS(Fact_PreSortWeights!$E$2:$E$15,Fact_PreSortWeights!$C$2:$C$15,$A366,Fact_PreSortWeights!$B$2:$B$15,$B366,Fact_PreSortWeights!$F$2:$F$15,""))-(SUMIFS(Fact_SortedWeights!$E$2:$E$6,Fact_SortedWeights!$C$2:$C$6,$A366,Fact_SortedWeights!$B$2:$B$6,$B366,Fact_SortedWeights!$L$2:$L$6,"Yes"))))</f>
        <v>0</v>
      </c>
      <c r="G366" s="0" t="n">
        <f aca="false">IF(AND(IF($B366="Trash",INDEX('Materials Master'!$F$2:$F$27,MATCH($C366,'Materials Master'!$A$2:$A$27,0)),IF($B366="GMPC Recycling",INDEX('Materials Master'!$G$2:$G$27,MATCH($C366,'Materials Master'!$A$2:$A$27,0)),IF($B366="Organics Recycling",INDEX('Materials Master'!$H$2:$H$27,MATCH($C366,'Materials Master'!$A$2:$A$27,0)),IF($B366="Cardboard Recycling",INDEX('Materials Master'!$I$2:$I$27,MATCH($C366,'Materials Master'!$A$2:$A$27,0)),IF($B366="Paper Recycling",INDEX('Materials Master'!$J$2:$J$27,MATCH($C366,'Materials Master'!$A$2:$A$27,0)),IF($B366="Terracycle",INDEX('Materials Master'!$K$2:$K$27,MATCH($C366,'Materials Master'!$A$2:$A$27,0)),"No"))))))="Yes",INDEX('Materials Master'!$E$2:$E$27,MATCH($C366,'Materials Master'!$A$2:$A$27,0))="Yes",$B366&lt;&gt;"Trash"),1,0)</f>
        <v>0</v>
      </c>
      <c r="H366" s="0" t="str">
        <f aca="false">INDEX('Materials Master'!$E$2:$E$27,MATCH($C366,'Materials Master'!$A$2:$A$27,0))</f>
        <v>Yes</v>
      </c>
      <c r="I366" s="0" t="str">
        <f aca="false">IFERROR(INDEX(Areas!$C$2:$C$6,MATCH($A366,Areas!$B$2:$B$6,0)),"")</f>
        <v>Rest of Building</v>
      </c>
      <c r="J366" s="0" t="n">
        <f aca="false">IF(IF($B366="Trash",INDEX('Materials Master'!$F$2:$F$27,MATCH($C366,'Materials Master'!$A$2:$A$27,0)),IF($B366="GMPC Recycling",INDEX('Materials Master'!$G$2:$G$27,MATCH($C366,'Materials Master'!$A$2:$A$27,0)),IF($B366="Organics Recycling",INDEX('Materials Master'!$H$2:$H$27,MATCH($C366,'Materials Master'!$A$2:$A$27,0)),IF($B366="Cardboard Recycling",INDEX('Materials Master'!$I$2:$I$27,MATCH($C366,'Materials Master'!$A$2:$A$27,0)),IF($B366="Paper Recycling",INDEX('Materials Master'!$J$2:$J$27,MATCH($C366,'Materials Master'!$A$2:$A$27,0)),IF($B366="Terracycle",INDEX('Materials Master'!$K$2:$K$27,MATCH($C366,'Materials Master'!$A$2:$A$27,0)),"No"))))))="Yes",1,0)</f>
        <v>0</v>
      </c>
    </row>
    <row r="367" customFormat="false" ht="15" hidden="false" customHeight="false" outlineLevel="0" collapsed="false">
      <c r="A367" s="0" t="s">
        <v>97</v>
      </c>
      <c r="B367" s="0" t="s">
        <v>105</v>
      </c>
      <c r="C367" s="0" t="s">
        <v>31</v>
      </c>
      <c r="D367" s="0" t="str">
        <f aca="false">IFERROR(INDEX('Materials Master'!$B$2:$B$27,MATCH($C367,'Materials Master'!$A$2:$A$27,0)),"")</f>
        <v>Soiled Cardboard</v>
      </c>
      <c r="E367" s="0" t="str">
        <f aca="false">IFERROR(INDEX('Materials Master'!$C$2:$C$27,MATCH($C367,'Materials Master'!$A$2:$A$27,0)),"")</f>
        <v>Fibers</v>
      </c>
      <c r="F367" s="0" t="n">
        <f aca="false">(SUMIFS(Fact_PreSortWeights!$E$2:$E$15,Fact_PreSortWeights!$C$2:$C$15,$A367,Fact_PreSortWeights!$B$2:$B$15,$B367,Fact_PreSortWeights!$F$2:$F$15,$C367))+(SUMIFS(Fact_SortedWeights!$E$2:$E$6,Fact_SortedWeights!$C$2:$C$6,$A367,Fact_SortedWeights!$B$2:$B$6,$B367,Fact_SortedWeights!$D$2:$D$6,$C367,Fact_SortedWeights!$L$2:$L$6,"Yes"))+IF((SUMIFS(Fact_SortedWeights!$E$2:$E$6,Fact_SortedWeights!$C$2:$C$6,$A367,Fact_SortedWeights!$B$2:$B$6,$B367,Fact_SortedWeights!$L$2:$L$6,"No"))=0,0,(SUMIFS(Fact_SortedWeights!$E$2:$E$6,Fact_SortedWeights!$C$2:$C$6,$A367,Fact_SortedWeights!$B$2:$B$6,$B367,Fact_SortedWeights!$D$2:$D$6,$C367,Fact_SortedWeights!$L$2:$L$6,"No"))/(SUMIFS(Fact_SortedWeights!$E$2:$E$6,Fact_SortedWeights!$C$2:$C$6,$A367,Fact_SortedWeights!$B$2:$B$6,$B367,Fact_SortedWeights!$L$2:$L$6,"No"))*((SUMIFS(Fact_PreSortWeights!$E$2:$E$15,Fact_PreSortWeights!$C$2:$C$15,$A367,Fact_PreSortWeights!$B$2:$B$15,$B367,Fact_PreSortWeights!$F$2:$F$15,""))-(SUMIFS(Fact_SortedWeights!$E$2:$E$6,Fact_SortedWeights!$C$2:$C$6,$A367,Fact_SortedWeights!$B$2:$B$6,$B367,Fact_SortedWeights!$L$2:$L$6,"Yes"))))</f>
        <v>0</v>
      </c>
      <c r="G367" s="0" t="n">
        <f aca="false">IF(AND(IF($B367="Trash",INDEX('Materials Master'!$F$2:$F$27,MATCH($C367,'Materials Master'!$A$2:$A$27,0)),IF($B367="GMPC Recycling",INDEX('Materials Master'!$G$2:$G$27,MATCH($C367,'Materials Master'!$A$2:$A$27,0)),IF($B367="Organics Recycling",INDEX('Materials Master'!$H$2:$H$27,MATCH($C367,'Materials Master'!$A$2:$A$27,0)),IF($B367="Cardboard Recycling",INDEX('Materials Master'!$I$2:$I$27,MATCH($C367,'Materials Master'!$A$2:$A$27,0)),IF($B367="Paper Recycling",INDEX('Materials Master'!$J$2:$J$27,MATCH($C367,'Materials Master'!$A$2:$A$27,0)),IF($B367="Terracycle",INDEX('Materials Master'!$K$2:$K$27,MATCH($C367,'Materials Master'!$A$2:$A$27,0)),"No"))))))="Yes",INDEX('Materials Master'!$E$2:$E$27,MATCH($C367,'Materials Master'!$A$2:$A$27,0))="Yes",$B367&lt;&gt;"Trash"),1,0)</f>
        <v>0</v>
      </c>
      <c r="H367" s="0" t="str">
        <f aca="false">INDEX('Materials Master'!$E$2:$E$27,MATCH($C367,'Materials Master'!$A$2:$A$27,0))</f>
        <v>No</v>
      </c>
      <c r="I367" s="0" t="str">
        <f aca="false">IFERROR(INDEX(Areas!$C$2:$C$6,MATCH($A367,Areas!$B$2:$B$6,0)),"")</f>
        <v>Rest of Building</v>
      </c>
      <c r="J367" s="0" t="n">
        <f aca="false">IF(IF($B367="Trash",INDEX('Materials Master'!$F$2:$F$27,MATCH($C367,'Materials Master'!$A$2:$A$27,0)),IF($B367="GMPC Recycling",INDEX('Materials Master'!$G$2:$G$27,MATCH($C367,'Materials Master'!$A$2:$A$27,0)),IF($B367="Organics Recycling",INDEX('Materials Master'!$H$2:$H$27,MATCH($C367,'Materials Master'!$A$2:$A$27,0)),IF($B367="Cardboard Recycling",INDEX('Materials Master'!$I$2:$I$27,MATCH($C367,'Materials Master'!$A$2:$A$27,0)),IF($B367="Paper Recycling",INDEX('Materials Master'!$J$2:$J$27,MATCH($C367,'Materials Master'!$A$2:$A$27,0)),IF($B367="Terracycle",INDEX('Materials Master'!$K$2:$K$27,MATCH($C367,'Materials Master'!$A$2:$A$27,0)),"No"))))))="Yes",1,0)</f>
        <v>0</v>
      </c>
    </row>
    <row r="368" customFormat="false" ht="15" hidden="false" customHeight="false" outlineLevel="0" collapsed="false">
      <c r="A368" s="0" t="s">
        <v>97</v>
      </c>
      <c r="B368" s="0" t="s">
        <v>105</v>
      </c>
      <c r="C368" s="0" t="s">
        <v>33</v>
      </c>
      <c r="D368" s="0" t="str">
        <f aca="false">IFERROR(INDEX('Materials Master'!$B$2:$B$27,MATCH($C368,'Materials Master'!$A$2:$A$27,0)),"")</f>
        <v>Waxed Cardboard</v>
      </c>
      <c r="E368" s="0" t="str">
        <f aca="false">IFERROR(INDEX('Materials Master'!$C$2:$C$27,MATCH($C368,'Materials Master'!$A$2:$A$27,0)),"")</f>
        <v>Fibers</v>
      </c>
      <c r="F368" s="0" t="n">
        <f aca="false">(SUMIFS(Fact_PreSortWeights!$E$2:$E$15,Fact_PreSortWeights!$C$2:$C$15,$A368,Fact_PreSortWeights!$B$2:$B$15,$B368,Fact_PreSortWeights!$F$2:$F$15,$C368))+(SUMIFS(Fact_SortedWeights!$E$2:$E$6,Fact_SortedWeights!$C$2:$C$6,$A368,Fact_SortedWeights!$B$2:$B$6,$B368,Fact_SortedWeights!$D$2:$D$6,$C368,Fact_SortedWeights!$L$2:$L$6,"Yes"))+IF((SUMIFS(Fact_SortedWeights!$E$2:$E$6,Fact_SortedWeights!$C$2:$C$6,$A368,Fact_SortedWeights!$B$2:$B$6,$B368,Fact_SortedWeights!$L$2:$L$6,"No"))=0,0,(SUMIFS(Fact_SortedWeights!$E$2:$E$6,Fact_SortedWeights!$C$2:$C$6,$A368,Fact_SortedWeights!$B$2:$B$6,$B368,Fact_SortedWeights!$D$2:$D$6,$C368,Fact_SortedWeights!$L$2:$L$6,"No"))/(SUMIFS(Fact_SortedWeights!$E$2:$E$6,Fact_SortedWeights!$C$2:$C$6,$A368,Fact_SortedWeights!$B$2:$B$6,$B368,Fact_SortedWeights!$L$2:$L$6,"No"))*((SUMIFS(Fact_PreSortWeights!$E$2:$E$15,Fact_PreSortWeights!$C$2:$C$15,$A368,Fact_PreSortWeights!$B$2:$B$15,$B368,Fact_PreSortWeights!$F$2:$F$15,""))-(SUMIFS(Fact_SortedWeights!$E$2:$E$6,Fact_SortedWeights!$C$2:$C$6,$A368,Fact_SortedWeights!$B$2:$B$6,$B368,Fact_SortedWeights!$L$2:$L$6,"Yes"))))</f>
        <v>0</v>
      </c>
      <c r="G368" s="0" t="n">
        <f aca="false">IF(AND(IF($B368="Trash",INDEX('Materials Master'!$F$2:$F$27,MATCH($C368,'Materials Master'!$A$2:$A$27,0)),IF($B368="GMPC Recycling",INDEX('Materials Master'!$G$2:$G$27,MATCH($C368,'Materials Master'!$A$2:$A$27,0)),IF($B368="Organics Recycling",INDEX('Materials Master'!$H$2:$H$27,MATCH($C368,'Materials Master'!$A$2:$A$27,0)),IF($B368="Cardboard Recycling",INDEX('Materials Master'!$I$2:$I$27,MATCH($C368,'Materials Master'!$A$2:$A$27,0)),IF($B368="Paper Recycling",INDEX('Materials Master'!$J$2:$J$27,MATCH($C368,'Materials Master'!$A$2:$A$27,0)),IF($B368="Terracycle",INDEX('Materials Master'!$K$2:$K$27,MATCH($C368,'Materials Master'!$A$2:$A$27,0)),"No"))))))="Yes",INDEX('Materials Master'!$E$2:$E$27,MATCH($C368,'Materials Master'!$A$2:$A$27,0))="Yes",$B368&lt;&gt;"Trash"),1,0)</f>
        <v>0</v>
      </c>
      <c r="H368" s="0" t="str">
        <f aca="false">INDEX('Materials Master'!$E$2:$E$27,MATCH($C368,'Materials Master'!$A$2:$A$27,0))</f>
        <v>No</v>
      </c>
      <c r="I368" s="0" t="str">
        <f aca="false">IFERROR(INDEX(Areas!$C$2:$C$6,MATCH($A368,Areas!$B$2:$B$6,0)),"")</f>
        <v>Rest of Building</v>
      </c>
      <c r="J368" s="0" t="n">
        <f aca="false">IF(IF($B368="Trash",INDEX('Materials Master'!$F$2:$F$27,MATCH($C368,'Materials Master'!$A$2:$A$27,0)),IF($B368="GMPC Recycling",INDEX('Materials Master'!$G$2:$G$27,MATCH($C368,'Materials Master'!$A$2:$A$27,0)),IF($B368="Organics Recycling",INDEX('Materials Master'!$H$2:$H$27,MATCH($C368,'Materials Master'!$A$2:$A$27,0)),IF($B368="Cardboard Recycling",INDEX('Materials Master'!$I$2:$I$27,MATCH($C368,'Materials Master'!$A$2:$A$27,0)),IF($B368="Paper Recycling",INDEX('Materials Master'!$J$2:$J$27,MATCH($C368,'Materials Master'!$A$2:$A$27,0)),IF($B368="Terracycle",INDEX('Materials Master'!$K$2:$K$27,MATCH($C368,'Materials Master'!$A$2:$A$27,0)),"No"))))))="Yes",1,0)</f>
        <v>0</v>
      </c>
    </row>
    <row r="369" customFormat="false" ht="15" hidden="false" customHeight="false" outlineLevel="0" collapsed="false">
      <c r="A369" s="0" t="s">
        <v>97</v>
      </c>
      <c r="B369" s="0" t="s">
        <v>105</v>
      </c>
      <c r="C369" s="0" t="s">
        <v>35</v>
      </c>
      <c r="D369" s="0" t="str">
        <f aca="false">IFERROR(INDEX('Materials Master'!$B$2:$B$27,MATCH($C369,'Materials Master'!$A$2:$A$27,0)),"")</f>
        <v>Mixed Paper</v>
      </c>
      <c r="E369" s="0" t="str">
        <f aca="false">IFERROR(INDEX('Materials Master'!$C$2:$C$27,MATCH($C369,'Materials Master'!$A$2:$A$27,0)),"")</f>
        <v>Fibers</v>
      </c>
      <c r="F369" s="0" t="n">
        <f aca="false">(SUMIFS(Fact_PreSortWeights!$E$2:$E$15,Fact_PreSortWeights!$C$2:$C$15,$A369,Fact_PreSortWeights!$B$2:$B$15,$B369,Fact_PreSortWeights!$F$2:$F$15,$C369))+(SUMIFS(Fact_SortedWeights!$E$2:$E$6,Fact_SortedWeights!$C$2:$C$6,$A369,Fact_SortedWeights!$B$2:$B$6,$B369,Fact_SortedWeights!$D$2:$D$6,$C369,Fact_SortedWeights!$L$2:$L$6,"Yes"))+IF((SUMIFS(Fact_SortedWeights!$E$2:$E$6,Fact_SortedWeights!$C$2:$C$6,$A369,Fact_SortedWeights!$B$2:$B$6,$B369,Fact_SortedWeights!$L$2:$L$6,"No"))=0,0,(SUMIFS(Fact_SortedWeights!$E$2:$E$6,Fact_SortedWeights!$C$2:$C$6,$A369,Fact_SortedWeights!$B$2:$B$6,$B369,Fact_SortedWeights!$D$2:$D$6,$C369,Fact_SortedWeights!$L$2:$L$6,"No"))/(SUMIFS(Fact_SortedWeights!$E$2:$E$6,Fact_SortedWeights!$C$2:$C$6,$A369,Fact_SortedWeights!$B$2:$B$6,$B369,Fact_SortedWeights!$L$2:$L$6,"No"))*((SUMIFS(Fact_PreSortWeights!$E$2:$E$15,Fact_PreSortWeights!$C$2:$C$15,$A369,Fact_PreSortWeights!$B$2:$B$15,$B369,Fact_PreSortWeights!$F$2:$F$15,""))-(SUMIFS(Fact_SortedWeights!$E$2:$E$6,Fact_SortedWeights!$C$2:$C$6,$A369,Fact_SortedWeights!$B$2:$B$6,$B369,Fact_SortedWeights!$L$2:$L$6,"Yes"))))</f>
        <v>0</v>
      </c>
      <c r="G369" s="0" t="n">
        <f aca="false">IF(AND(IF($B369="Trash",INDEX('Materials Master'!$F$2:$F$27,MATCH($C369,'Materials Master'!$A$2:$A$27,0)),IF($B369="GMPC Recycling",INDEX('Materials Master'!$G$2:$G$27,MATCH($C369,'Materials Master'!$A$2:$A$27,0)),IF($B369="Organics Recycling",INDEX('Materials Master'!$H$2:$H$27,MATCH($C369,'Materials Master'!$A$2:$A$27,0)),IF($B369="Cardboard Recycling",INDEX('Materials Master'!$I$2:$I$27,MATCH($C369,'Materials Master'!$A$2:$A$27,0)),IF($B369="Paper Recycling",INDEX('Materials Master'!$J$2:$J$27,MATCH($C369,'Materials Master'!$A$2:$A$27,0)),IF($B369="Terracycle",INDEX('Materials Master'!$K$2:$K$27,MATCH($C369,'Materials Master'!$A$2:$A$27,0)),"No"))))))="Yes",INDEX('Materials Master'!$E$2:$E$27,MATCH($C369,'Materials Master'!$A$2:$A$27,0))="Yes",$B369&lt;&gt;"Trash"),1,0)</f>
        <v>1</v>
      </c>
      <c r="H369" s="0" t="str">
        <f aca="false">INDEX('Materials Master'!$E$2:$E$27,MATCH($C369,'Materials Master'!$A$2:$A$27,0))</f>
        <v>Yes</v>
      </c>
      <c r="I369" s="0" t="str">
        <f aca="false">IFERROR(INDEX(Areas!$C$2:$C$6,MATCH($A369,Areas!$B$2:$B$6,0)),"")</f>
        <v>Rest of Building</v>
      </c>
      <c r="J369" s="0" t="n">
        <f aca="false">IF(IF($B369="Trash",INDEX('Materials Master'!$F$2:$F$27,MATCH($C369,'Materials Master'!$A$2:$A$27,0)),IF($B369="GMPC Recycling",INDEX('Materials Master'!$G$2:$G$27,MATCH($C369,'Materials Master'!$A$2:$A$27,0)),IF($B369="Organics Recycling",INDEX('Materials Master'!$H$2:$H$27,MATCH($C369,'Materials Master'!$A$2:$A$27,0)),IF($B369="Cardboard Recycling",INDEX('Materials Master'!$I$2:$I$27,MATCH($C369,'Materials Master'!$A$2:$A$27,0)),IF($B369="Paper Recycling",INDEX('Materials Master'!$J$2:$J$27,MATCH($C369,'Materials Master'!$A$2:$A$27,0)),IF($B369="Terracycle",INDEX('Materials Master'!$K$2:$K$27,MATCH($C369,'Materials Master'!$A$2:$A$27,0)),"No"))))))="Yes",1,0)</f>
        <v>1</v>
      </c>
    </row>
    <row r="370" customFormat="false" ht="15" hidden="false" customHeight="false" outlineLevel="0" collapsed="false">
      <c r="A370" s="0" t="s">
        <v>97</v>
      </c>
      <c r="B370" s="0" t="s">
        <v>105</v>
      </c>
      <c r="C370" s="0" t="s">
        <v>37</v>
      </c>
      <c r="D370" s="0" t="str">
        <f aca="false">IFERROR(INDEX('Materials Master'!$B$2:$B$27,MATCH($C370,'Materials Master'!$A$2:$A$27,0)),"")</f>
        <v>Soiled Paper</v>
      </c>
      <c r="E370" s="0" t="str">
        <f aca="false">IFERROR(INDEX('Materials Master'!$C$2:$C$27,MATCH($C370,'Materials Master'!$A$2:$A$27,0)),"")</f>
        <v>Fibers</v>
      </c>
      <c r="F370" s="0" t="n">
        <f aca="false">(SUMIFS(Fact_PreSortWeights!$E$2:$E$15,Fact_PreSortWeights!$C$2:$C$15,$A370,Fact_PreSortWeights!$B$2:$B$15,$B370,Fact_PreSortWeights!$F$2:$F$15,$C370))+(SUMIFS(Fact_SortedWeights!$E$2:$E$6,Fact_SortedWeights!$C$2:$C$6,$A370,Fact_SortedWeights!$B$2:$B$6,$B370,Fact_SortedWeights!$D$2:$D$6,$C370,Fact_SortedWeights!$L$2:$L$6,"Yes"))+IF((SUMIFS(Fact_SortedWeights!$E$2:$E$6,Fact_SortedWeights!$C$2:$C$6,$A370,Fact_SortedWeights!$B$2:$B$6,$B370,Fact_SortedWeights!$L$2:$L$6,"No"))=0,0,(SUMIFS(Fact_SortedWeights!$E$2:$E$6,Fact_SortedWeights!$C$2:$C$6,$A370,Fact_SortedWeights!$B$2:$B$6,$B370,Fact_SortedWeights!$D$2:$D$6,$C370,Fact_SortedWeights!$L$2:$L$6,"No"))/(SUMIFS(Fact_SortedWeights!$E$2:$E$6,Fact_SortedWeights!$C$2:$C$6,$A370,Fact_SortedWeights!$B$2:$B$6,$B370,Fact_SortedWeights!$L$2:$L$6,"No"))*((SUMIFS(Fact_PreSortWeights!$E$2:$E$15,Fact_PreSortWeights!$C$2:$C$15,$A370,Fact_PreSortWeights!$B$2:$B$15,$B370,Fact_PreSortWeights!$F$2:$F$15,""))-(SUMIFS(Fact_SortedWeights!$E$2:$E$6,Fact_SortedWeights!$C$2:$C$6,$A370,Fact_SortedWeights!$B$2:$B$6,$B370,Fact_SortedWeights!$L$2:$L$6,"Yes"))))</f>
        <v>0</v>
      </c>
      <c r="G370" s="0" t="n">
        <f aca="false">IF(AND(IF($B370="Trash",INDEX('Materials Master'!$F$2:$F$27,MATCH($C370,'Materials Master'!$A$2:$A$27,0)),IF($B370="GMPC Recycling",INDEX('Materials Master'!$G$2:$G$27,MATCH($C370,'Materials Master'!$A$2:$A$27,0)),IF($B370="Organics Recycling",INDEX('Materials Master'!$H$2:$H$27,MATCH($C370,'Materials Master'!$A$2:$A$27,0)),IF($B370="Cardboard Recycling",INDEX('Materials Master'!$I$2:$I$27,MATCH($C370,'Materials Master'!$A$2:$A$27,0)),IF($B370="Paper Recycling",INDEX('Materials Master'!$J$2:$J$27,MATCH($C370,'Materials Master'!$A$2:$A$27,0)),IF($B370="Terracycle",INDEX('Materials Master'!$K$2:$K$27,MATCH($C370,'Materials Master'!$A$2:$A$27,0)),"No"))))))="Yes",INDEX('Materials Master'!$E$2:$E$27,MATCH($C370,'Materials Master'!$A$2:$A$27,0))="Yes",$B370&lt;&gt;"Trash"),1,0)</f>
        <v>0</v>
      </c>
      <c r="H370" s="0" t="str">
        <f aca="false">INDEX('Materials Master'!$E$2:$E$27,MATCH($C370,'Materials Master'!$A$2:$A$27,0))</f>
        <v>No</v>
      </c>
      <c r="I370" s="0" t="str">
        <f aca="false">IFERROR(INDEX(Areas!$C$2:$C$6,MATCH($A370,Areas!$B$2:$B$6,0)),"")</f>
        <v>Rest of Building</v>
      </c>
      <c r="J370" s="0" t="n">
        <f aca="false">IF(IF($B370="Trash",INDEX('Materials Master'!$F$2:$F$27,MATCH($C370,'Materials Master'!$A$2:$A$27,0)),IF($B370="GMPC Recycling",INDEX('Materials Master'!$G$2:$G$27,MATCH($C370,'Materials Master'!$A$2:$A$27,0)),IF($B370="Organics Recycling",INDEX('Materials Master'!$H$2:$H$27,MATCH($C370,'Materials Master'!$A$2:$A$27,0)),IF($B370="Cardboard Recycling",INDEX('Materials Master'!$I$2:$I$27,MATCH($C370,'Materials Master'!$A$2:$A$27,0)),IF($B370="Paper Recycling",INDEX('Materials Master'!$J$2:$J$27,MATCH($C370,'Materials Master'!$A$2:$A$27,0)),IF($B370="Terracycle",INDEX('Materials Master'!$K$2:$K$27,MATCH($C370,'Materials Master'!$A$2:$A$27,0)),"No"))))))="Yes",1,0)</f>
        <v>0</v>
      </c>
    </row>
    <row r="371" customFormat="false" ht="15" hidden="false" customHeight="false" outlineLevel="0" collapsed="false">
      <c r="A371" s="0" t="s">
        <v>97</v>
      </c>
      <c r="B371" s="0" t="s">
        <v>105</v>
      </c>
      <c r="C371" s="0" t="s">
        <v>39</v>
      </c>
      <c r="D371" s="0" t="str">
        <f aca="false">IFERROR(INDEX('Materials Master'!$B$2:$B$27,MATCH($C371,'Materials Master'!$A$2:$A$27,0)),"")</f>
        <v>Beverage Cartons</v>
      </c>
      <c r="E371" s="0" t="str">
        <f aca="false">IFERROR(INDEX('Materials Master'!$C$2:$C$27,MATCH($C371,'Materials Master'!$A$2:$A$27,0)),"")</f>
        <v>Fibers</v>
      </c>
      <c r="F371" s="0" t="n">
        <f aca="false">(SUMIFS(Fact_PreSortWeights!$E$2:$E$15,Fact_PreSortWeights!$C$2:$C$15,$A371,Fact_PreSortWeights!$B$2:$B$15,$B371,Fact_PreSortWeights!$F$2:$F$15,$C371))+(SUMIFS(Fact_SortedWeights!$E$2:$E$6,Fact_SortedWeights!$C$2:$C$6,$A371,Fact_SortedWeights!$B$2:$B$6,$B371,Fact_SortedWeights!$D$2:$D$6,$C371,Fact_SortedWeights!$L$2:$L$6,"Yes"))+IF((SUMIFS(Fact_SortedWeights!$E$2:$E$6,Fact_SortedWeights!$C$2:$C$6,$A371,Fact_SortedWeights!$B$2:$B$6,$B371,Fact_SortedWeights!$L$2:$L$6,"No"))=0,0,(SUMIFS(Fact_SortedWeights!$E$2:$E$6,Fact_SortedWeights!$C$2:$C$6,$A371,Fact_SortedWeights!$B$2:$B$6,$B371,Fact_SortedWeights!$D$2:$D$6,$C371,Fact_SortedWeights!$L$2:$L$6,"No"))/(SUMIFS(Fact_SortedWeights!$E$2:$E$6,Fact_SortedWeights!$C$2:$C$6,$A371,Fact_SortedWeights!$B$2:$B$6,$B371,Fact_SortedWeights!$L$2:$L$6,"No"))*((SUMIFS(Fact_PreSortWeights!$E$2:$E$15,Fact_PreSortWeights!$C$2:$C$15,$A371,Fact_PreSortWeights!$B$2:$B$15,$B371,Fact_PreSortWeights!$F$2:$F$15,""))-(SUMIFS(Fact_SortedWeights!$E$2:$E$6,Fact_SortedWeights!$C$2:$C$6,$A371,Fact_SortedWeights!$B$2:$B$6,$B371,Fact_SortedWeights!$L$2:$L$6,"Yes"))))</f>
        <v>0</v>
      </c>
      <c r="G371" s="0" t="n">
        <f aca="false">IF(AND(IF($B371="Trash",INDEX('Materials Master'!$F$2:$F$27,MATCH($C371,'Materials Master'!$A$2:$A$27,0)),IF($B371="GMPC Recycling",INDEX('Materials Master'!$G$2:$G$27,MATCH($C371,'Materials Master'!$A$2:$A$27,0)),IF($B371="Organics Recycling",INDEX('Materials Master'!$H$2:$H$27,MATCH($C371,'Materials Master'!$A$2:$A$27,0)),IF($B371="Cardboard Recycling",INDEX('Materials Master'!$I$2:$I$27,MATCH($C371,'Materials Master'!$A$2:$A$27,0)),IF($B371="Paper Recycling",INDEX('Materials Master'!$J$2:$J$27,MATCH($C371,'Materials Master'!$A$2:$A$27,0)),IF($B371="Terracycle",INDEX('Materials Master'!$K$2:$K$27,MATCH($C371,'Materials Master'!$A$2:$A$27,0)),"No"))))))="Yes",INDEX('Materials Master'!$E$2:$E$27,MATCH($C371,'Materials Master'!$A$2:$A$27,0))="Yes",$B371&lt;&gt;"Trash"),1,0)</f>
        <v>0</v>
      </c>
      <c r="H371" s="0" t="str">
        <f aca="false">INDEX('Materials Master'!$E$2:$E$27,MATCH($C371,'Materials Master'!$A$2:$A$27,0))</f>
        <v>Yes</v>
      </c>
      <c r="I371" s="0" t="str">
        <f aca="false">IFERROR(INDEX(Areas!$C$2:$C$6,MATCH($A371,Areas!$B$2:$B$6,0)),"")</f>
        <v>Rest of Building</v>
      </c>
      <c r="J371" s="0" t="n">
        <f aca="false">IF(IF($B371="Trash",INDEX('Materials Master'!$F$2:$F$27,MATCH($C371,'Materials Master'!$A$2:$A$27,0)),IF($B371="GMPC Recycling",INDEX('Materials Master'!$G$2:$G$27,MATCH($C371,'Materials Master'!$A$2:$A$27,0)),IF($B371="Organics Recycling",INDEX('Materials Master'!$H$2:$H$27,MATCH($C371,'Materials Master'!$A$2:$A$27,0)),IF($B371="Cardboard Recycling",INDEX('Materials Master'!$I$2:$I$27,MATCH($C371,'Materials Master'!$A$2:$A$27,0)),IF($B371="Paper Recycling",INDEX('Materials Master'!$J$2:$J$27,MATCH($C371,'Materials Master'!$A$2:$A$27,0)),IF($B371="Terracycle",INDEX('Materials Master'!$K$2:$K$27,MATCH($C371,'Materials Master'!$A$2:$A$27,0)),"No"))))))="Yes",1,0)</f>
        <v>0</v>
      </c>
    </row>
    <row r="372" customFormat="false" ht="15" hidden="false" customHeight="false" outlineLevel="0" collapsed="false">
      <c r="A372" s="0" t="s">
        <v>97</v>
      </c>
      <c r="B372" s="0" t="s">
        <v>105</v>
      </c>
      <c r="C372" s="0" t="s">
        <v>41</v>
      </c>
      <c r="D372" s="0" t="str">
        <f aca="false">IFERROR(INDEX('Materials Master'!$B$2:$B$27,MATCH($C372,'Materials Master'!$A$2:$A$27,0)),"")</f>
        <v>Soiled Beverage Cartons</v>
      </c>
      <c r="E372" s="0" t="str">
        <f aca="false">IFERROR(INDEX('Materials Master'!$C$2:$C$27,MATCH($C372,'Materials Master'!$A$2:$A$27,0)),"")</f>
        <v>Fibers</v>
      </c>
      <c r="F372" s="0" t="n">
        <f aca="false">(SUMIFS(Fact_PreSortWeights!$E$2:$E$15,Fact_PreSortWeights!$C$2:$C$15,$A372,Fact_PreSortWeights!$B$2:$B$15,$B372,Fact_PreSortWeights!$F$2:$F$15,$C372))+(SUMIFS(Fact_SortedWeights!$E$2:$E$6,Fact_SortedWeights!$C$2:$C$6,$A372,Fact_SortedWeights!$B$2:$B$6,$B372,Fact_SortedWeights!$D$2:$D$6,$C372,Fact_SortedWeights!$L$2:$L$6,"Yes"))+IF((SUMIFS(Fact_SortedWeights!$E$2:$E$6,Fact_SortedWeights!$C$2:$C$6,$A372,Fact_SortedWeights!$B$2:$B$6,$B372,Fact_SortedWeights!$L$2:$L$6,"No"))=0,0,(SUMIFS(Fact_SortedWeights!$E$2:$E$6,Fact_SortedWeights!$C$2:$C$6,$A372,Fact_SortedWeights!$B$2:$B$6,$B372,Fact_SortedWeights!$D$2:$D$6,$C372,Fact_SortedWeights!$L$2:$L$6,"No"))/(SUMIFS(Fact_SortedWeights!$E$2:$E$6,Fact_SortedWeights!$C$2:$C$6,$A372,Fact_SortedWeights!$B$2:$B$6,$B372,Fact_SortedWeights!$L$2:$L$6,"No"))*((SUMIFS(Fact_PreSortWeights!$E$2:$E$15,Fact_PreSortWeights!$C$2:$C$15,$A372,Fact_PreSortWeights!$B$2:$B$15,$B372,Fact_PreSortWeights!$F$2:$F$15,""))-(SUMIFS(Fact_SortedWeights!$E$2:$E$6,Fact_SortedWeights!$C$2:$C$6,$A372,Fact_SortedWeights!$B$2:$B$6,$B372,Fact_SortedWeights!$L$2:$L$6,"Yes"))))</f>
        <v>0</v>
      </c>
      <c r="G372" s="0" t="n">
        <f aca="false">IF(AND(IF($B372="Trash",INDEX('Materials Master'!$F$2:$F$27,MATCH($C372,'Materials Master'!$A$2:$A$27,0)),IF($B372="GMPC Recycling",INDEX('Materials Master'!$G$2:$G$27,MATCH($C372,'Materials Master'!$A$2:$A$27,0)),IF($B372="Organics Recycling",INDEX('Materials Master'!$H$2:$H$27,MATCH($C372,'Materials Master'!$A$2:$A$27,0)),IF($B372="Cardboard Recycling",INDEX('Materials Master'!$I$2:$I$27,MATCH($C372,'Materials Master'!$A$2:$A$27,0)),IF($B372="Paper Recycling",INDEX('Materials Master'!$J$2:$J$27,MATCH($C372,'Materials Master'!$A$2:$A$27,0)),IF($B372="Terracycle",INDEX('Materials Master'!$K$2:$K$27,MATCH($C372,'Materials Master'!$A$2:$A$27,0)),"No"))))))="Yes",INDEX('Materials Master'!$E$2:$E$27,MATCH($C372,'Materials Master'!$A$2:$A$27,0))="Yes",$B372&lt;&gt;"Trash"),1,0)</f>
        <v>0</v>
      </c>
      <c r="H372" s="0" t="str">
        <f aca="false">INDEX('Materials Master'!$E$2:$E$27,MATCH($C372,'Materials Master'!$A$2:$A$27,0))</f>
        <v>No</v>
      </c>
      <c r="I372" s="0" t="str">
        <f aca="false">IFERROR(INDEX(Areas!$C$2:$C$6,MATCH($A372,Areas!$B$2:$B$6,0)),"")</f>
        <v>Rest of Building</v>
      </c>
      <c r="J372" s="0" t="n">
        <f aca="false">IF(IF($B372="Trash",INDEX('Materials Master'!$F$2:$F$27,MATCH($C372,'Materials Master'!$A$2:$A$27,0)),IF($B372="GMPC Recycling",INDEX('Materials Master'!$G$2:$G$27,MATCH($C372,'Materials Master'!$A$2:$A$27,0)),IF($B372="Organics Recycling",INDEX('Materials Master'!$H$2:$H$27,MATCH($C372,'Materials Master'!$A$2:$A$27,0)),IF($B372="Cardboard Recycling",INDEX('Materials Master'!$I$2:$I$27,MATCH($C372,'Materials Master'!$A$2:$A$27,0)),IF($B372="Paper Recycling",INDEX('Materials Master'!$J$2:$J$27,MATCH($C372,'Materials Master'!$A$2:$A$27,0)),IF($B372="Terracycle",INDEX('Materials Master'!$K$2:$K$27,MATCH($C372,'Materials Master'!$A$2:$A$27,0)),"No"))))))="Yes",1,0)</f>
        <v>0</v>
      </c>
    </row>
    <row r="373" customFormat="false" ht="15" hidden="false" customHeight="false" outlineLevel="0" collapsed="false">
      <c r="A373" s="0" t="s">
        <v>97</v>
      </c>
      <c r="B373" s="0" t="s">
        <v>105</v>
      </c>
      <c r="C373" s="0" t="s">
        <v>43</v>
      </c>
      <c r="D373" s="0" t="str">
        <f aca="false">IFERROR(INDEX('Materials Master'!$B$2:$B$27,MATCH($C373,'Materials Master'!$A$2:$A$27,0)),"")</f>
        <v>Paper Cups / Other Coated Paper Containers</v>
      </c>
      <c r="E373" s="0" t="str">
        <f aca="false">IFERROR(INDEX('Materials Master'!$C$2:$C$27,MATCH($C373,'Materials Master'!$A$2:$A$27,0)),"")</f>
        <v>Fibers</v>
      </c>
      <c r="F373" s="0" t="n">
        <f aca="false">(SUMIFS(Fact_PreSortWeights!$E$2:$E$15,Fact_PreSortWeights!$C$2:$C$15,$A373,Fact_PreSortWeights!$B$2:$B$15,$B373,Fact_PreSortWeights!$F$2:$F$15,$C373))+(SUMIFS(Fact_SortedWeights!$E$2:$E$6,Fact_SortedWeights!$C$2:$C$6,$A373,Fact_SortedWeights!$B$2:$B$6,$B373,Fact_SortedWeights!$D$2:$D$6,$C373,Fact_SortedWeights!$L$2:$L$6,"Yes"))+IF((SUMIFS(Fact_SortedWeights!$E$2:$E$6,Fact_SortedWeights!$C$2:$C$6,$A373,Fact_SortedWeights!$B$2:$B$6,$B373,Fact_SortedWeights!$L$2:$L$6,"No"))=0,0,(SUMIFS(Fact_SortedWeights!$E$2:$E$6,Fact_SortedWeights!$C$2:$C$6,$A373,Fact_SortedWeights!$B$2:$B$6,$B373,Fact_SortedWeights!$D$2:$D$6,$C373,Fact_SortedWeights!$L$2:$L$6,"No"))/(SUMIFS(Fact_SortedWeights!$E$2:$E$6,Fact_SortedWeights!$C$2:$C$6,$A373,Fact_SortedWeights!$B$2:$B$6,$B373,Fact_SortedWeights!$L$2:$L$6,"No"))*((SUMIFS(Fact_PreSortWeights!$E$2:$E$15,Fact_PreSortWeights!$C$2:$C$15,$A373,Fact_PreSortWeights!$B$2:$B$15,$B373,Fact_PreSortWeights!$F$2:$F$15,""))-(SUMIFS(Fact_SortedWeights!$E$2:$E$6,Fact_SortedWeights!$C$2:$C$6,$A373,Fact_SortedWeights!$B$2:$B$6,$B373,Fact_SortedWeights!$L$2:$L$6,"Yes"))))</f>
        <v>0</v>
      </c>
      <c r="G373" s="0" t="n">
        <f aca="false">IF(AND(IF($B373="Trash",INDEX('Materials Master'!$F$2:$F$27,MATCH($C373,'Materials Master'!$A$2:$A$27,0)),IF($B373="GMPC Recycling",INDEX('Materials Master'!$G$2:$G$27,MATCH($C373,'Materials Master'!$A$2:$A$27,0)),IF($B373="Organics Recycling",INDEX('Materials Master'!$H$2:$H$27,MATCH($C373,'Materials Master'!$A$2:$A$27,0)),IF($B373="Cardboard Recycling",INDEX('Materials Master'!$I$2:$I$27,MATCH($C373,'Materials Master'!$A$2:$A$27,0)),IF($B373="Paper Recycling",INDEX('Materials Master'!$J$2:$J$27,MATCH($C373,'Materials Master'!$A$2:$A$27,0)),IF($B373="Terracycle",INDEX('Materials Master'!$K$2:$K$27,MATCH($C373,'Materials Master'!$A$2:$A$27,0)),"No"))))))="Yes",INDEX('Materials Master'!$E$2:$E$27,MATCH($C373,'Materials Master'!$A$2:$A$27,0))="Yes",$B373&lt;&gt;"Trash"),1,0)</f>
        <v>0</v>
      </c>
      <c r="H373" s="0" t="str">
        <f aca="false">INDEX('Materials Master'!$E$2:$E$27,MATCH($C373,'Materials Master'!$A$2:$A$27,0))</f>
        <v>No</v>
      </c>
      <c r="I373" s="0" t="str">
        <f aca="false">IFERROR(INDEX(Areas!$C$2:$C$6,MATCH($A373,Areas!$B$2:$B$6,0)),"")</f>
        <v>Rest of Building</v>
      </c>
      <c r="J373" s="0" t="n">
        <f aca="false">IF(IF($B373="Trash",INDEX('Materials Master'!$F$2:$F$27,MATCH($C373,'Materials Master'!$A$2:$A$27,0)),IF($B373="GMPC Recycling",INDEX('Materials Master'!$G$2:$G$27,MATCH($C373,'Materials Master'!$A$2:$A$27,0)),IF($B373="Organics Recycling",INDEX('Materials Master'!$H$2:$H$27,MATCH($C373,'Materials Master'!$A$2:$A$27,0)),IF($B373="Cardboard Recycling",INDEX('Materials Master'!$I$2:$I$27,MATCH($C373,'Materials Master'!$A$2:$A$27,0)),IF($B373="Paper Recycling",INDEX('Materials Master'!$J$2:$J$27,MATCH($C373,'Materials Master'!$A$2:$A$27,0)),IF($B373="Terracycle",INDEX('Materials Master'!$K$2:$K$27,MATCH($C373,'Materials Master'!$A$2:$A$27,0)),"No"))))))="Yes",1,0)</f>
        <v>0</v>
      </c>
    </row>
    <row r="374" customFormat="false" ht="15" hidden="false" customHeight="false" outlineLevel="0" collapsed="false">
      <c r="A374" s="0" t="s">
        <v>97</v>
      </c>
      <c r="B374" s="0" t="s">
        <v>105</v>
      </c>
      <c r="C374" s="0" t="s">
        <v>45</v>
      </c>
      <c r="D374" s="0" t="str">
        <f aca="false">IFERROR(INDEX('Materials Master'!$B$2:$B$27,MATCH($C374,'Materials Master'!$A$2:$A$27,0)),"")</f>
        <v>Glass Bottles &amp; Jars</v>
      </c>
      <c r="E374" s="0" t="str">
        <f aca="false">IFERROR(INDEX('Materials Master'!$C$2:$C$27,MATCH($C374,'Materials Master'!$A$2:$A$27,0)),"")</f>
        <v>Glass</v>
      </c>
      <c r="F374" s="0" t="n">
        <f aca="false">(SUMIFS(Fact_PreSortWeights!$E$2:$E$15,Fact_PreSortWeights!$C$2:$C$15,$A374,Fact_PreSortWeights!$B$2:$B$15,$B374,Fact_PreSortWeights!$F$2:$F$15,$C374))+(SUMIFS(Fact_SortedWeights!$E$2:$E$6,Fact_SortedWeights!$C$2:$C$6,$A374,Fact_SortedWeights!$B$2:$B$6,$B374,Fact_SortedWeights!$D$2:$D$6,$C374,Fact_SortedWeights!$L$2:$L$6,"Yes"))+IF((SUMIFS(Fact_SortedWeights!$E$2:$E$6,Fact_SortedWeights!$C$2:$C$6,$A374,Fact_SortedWeights!$B$2:$B$6,$B374,Fact_SortedWeights!$L$2:$L$6,"No"))=0,0,(SUMIFS(Fact_SortedWeights!$E$2:$E$6,Fact_SortedWeights!$C$2:$C$6,$A374,Fact_SortedWeights!$B$2:$B$6,$B374,Fact_SortedWeights!$D$2:$D$6,$C374,Fact_SortedWeights!$L$2:$L$6,"No"))/(SUMIFS(Fact_SortedWeights!$E$2:$E$6,Fact_SortedWeights!$C$2:$C$6,$A374,Fact_SortedWeights!$B$2:$B$6,$B374,Fact_SortedWeights!$L$2:$L$6,"No"))*((SUMIFS(Fact_PreSortWeights!$E$2:$E$15,Fact_PreSortWeights!$C$2:$C$15,$A374,Fact_PreSortWeights!$B$2:$B$15,$B374,Fact_PreSortWeights!$F$2:$F$15,""))-(SUMIFS(Fact_SortedWeights!$E$2:$E$6,Fact_SortedWeights!$C$2:$C$6,$A374,Fact_SortedWeights!$B$2:$B$6,$B374,Fact_SortedWeights!$L$2:$L$6,"Yes"))))</f>
        <v>0</v>
      </c>
      <c r="G374" s="0" t="n">
        <f aca="false">IF(AND(IF($B374="Trash",INDEX('Materials Master'!$F$2:$F$27,MATCH($C374,'Materials Master'!$A$2:$A$27,0)),IF($B374="GMPC Recycling",INDEX('Materials Master'!$G$2:$G$27,MATCH($C374,'Materials Master'!$A$2:$A$27,0)),IF($B374="Organics Recycling",INDEX('Materials Master'!$H$2:$H$27,MATCH($C374,'Materials Master'!$A$2:$A$27,0)),IF($B374="Cardboard Recycling",INDEX('Materials Master'!$I$2:$I$27,MATCH($C374,'Materials Master'!$A$2:$A$27,0)),IF($B374="Paper Recycling",INDEX('Materials Master'!$J$2:$J$27,MATCH($C374,'Materials Master'!$A$2:$A$27,0)),IF($B374="Terracycle",INDEX('Materials Master'!$K$2:$K$27,MATCH($C374,'Materials Master'!$A$2:$A$27,0)),"No"))))))="Yes",INDEX('Materials Master'!$E$2:$E$27,MATCH($C374,'Materials Master'!$A$2:$A$27,0))="Yes",$B374&lt;&gt;"Trash"),1,0)</f>
        <v>0</v>
      </c>
      <c r="H374" s="0" t="str">
        <f aca="false">INDEX('Materials Master'!$E$2:$E$27,MATCH($C374,'Materials Master'!$A$2:$A$27,0))</f>
        <v>Yes</v>
      </c>
      <c r="I374" s="0" t="str">
        <f aca="false">IFERROR(INDEX(Areas!$C$2:$C$6,MATCH($A374,Areas!$B$2:$B$6,0)),"")</f>
        <v>Rest of Building</v>
      </c>
      <c r="J374" s="0" t="n">
        <f aca="false">IF(IF($B374="Trash",INDEX('Materials Master'!$F$2:$F$27,MATCH($C374,'Materials Master'!$A$2:$A$27,0)),IF($B374="GMPC Recycling",INDEX('Materials Master'!$G$2:$G$27,MATCH($C374,'Materials Master'!$A$2:$A$27,0)),IF($B374="Organics Recycling",INDEX('Materials Master'!$H$2:$H$27,MATCH($C374,'Materials Master'!$A$2:$A$27,0)),IF($B374="Cardboard Recycling",INDEX('Materials Master'!$I$2:$I$27,MATCH($C374,'Materials Master'!$A$2:$A$27,0)),IF($B374="Paper Recycling",INDEX('Materials Master'!$J$2:$J$27,MATCH($C374,'Materials Master'!$A$2:$A$27,0)),IF($B374="Terracycle",INDEX('Materials Master'!$K$2:$K$27,MATCH($C374,'Materials Master'!$A$2:$A$27,0)),"No"))))))="Yes",1,0)</f>
        <v>0</v>
      </c>
    </row>
    <row r="375" customFormat="false" ht="15" hidden="false" customHeight="false" outlineLevel="0" collapsed="false">
      <c r="A375" s="0" t="s">
        <v>97</v>
      </c>
      <c r="B375" s="0" t="s">
        <v>105</v>
      </c>
      <c r="C375" s="0" t="s">
        <v>48</v>
      </c>
      <c r="D375" s="0" t="str">
        <f aca="false">IFERROR(INDEX('Materials Master'!$B$2:$B$27,MATCH($C375,'Materials Master'!$A$2:$A$27,0)),"")</f>
        <v>Soiled Glass</v>
      </c>
      <c r="E375" s="0" t="str">
        <f aca="false">IFERROR(INDEX('Materials Master'!$C$2:$C$27,MATCH($C375,'Materials Master'!$A$2:$A$27,0)),"")</f>
        <v>Glass</v>
      </c>
      <c r="F375" s="0" t="n">
        <f aca="false">(SUMIFS(Fact_PreSortWeights!$E$2:$E$15,Fact_PreSortWeights!$C$2:$C$15,$A375,Fact_PreSortWeights!$B$2:$B$15,$B375,Fact_PreSortWeights!$F$2:$F$15,$C375))+(SUMIFS(Fact_SortedWeights!$E$2:$E$6,Fact_SortedWeights!$C$2:$C$6,$A375,Fact_SortedWeights!$B$2:$B$6,$B375,Fact_SortedWeights!$D$2:$D$6,$C375,Fact_SortedWeights!$L$2:$L$6,"Yes"))+IF((SUMIFS(Fact_SortedWeights!$E$2:$E$6,Fact_SortedWeights!$C$2:$C$6,$A375,Fact_SortedWeights!$B$2:$B$6,$B375,Fact_SortedWeights!$L$2:$L$6,"No"))=0,0,(SUMIFS(Fact_SortedWeights!$E$2:$E$6,Fact_SortedWeights!$C$2:$C$6,$A375,Fact_SortedWeights!$B$2:$B$6,$B375,Fact_SortedWeights!$D$2:$D$6,$C375,Fact_SortedWeights!$L$2:$L$6,"No"))/(SUMIFS(Fact_SortedWeights!$E$2:$E$6,Fact_SortedWeights!$C$2:$C$6,$A375,Fact_SortedWeights!$B$2:$B$6,$B375,Fact_SortedWeights!$L$2:$L$6,"No"))*((SUMIFS(Fact_PreSortWeights!$E$2:$E$15,Fact_PreSortWeights!$C$2:$C$15,$A375,Fact_PreSortWeights!$B$2:$B$15,$B375,Fact_PreSortWeights!$F$2:$F$15,""))-(SUMIFS(Fact_SortedWeights!$E$2:$E$6,Fact_SortedWeights!$C$2:$C$6,$A375,Fact_SortedWeights!$B$2:$B$6,$B375,Fact_SortedWeights!$L$2:$L$6,"Yes"))))</f>
        <v>0</v>
      </c>
      <c r="G375" s="0" t="n">
        <f aca="false">IF(AND(IF($B375="Trash",INDEX('Materials Master'!$F$2:$F$27,MATCH($C375,'Materials Master'!$A$2:$A$27,0)),IF($B375="GMPC Recycling",INDEX('Materials Master'!$G$2:$G$27,MATCH($C375,'Materials Master'!$A$2:$A$27,0)),IF($B375="Organics Recycling",INDEX('Materials Master'!$H$2:$H$27,MATCH($C375,'Materials Master'!$A$2:$A$27,0)),IF($B375="Cardboard Recycling",INDEX('Materials Master'!$I$2:$I$27,MATCH($C375,'Materials Master'!$A$2:$A$27,0)),IF($B375="Paper Recycling",INDEX('Materials Master'!$J$2:$J$27,MATCH($C375,'Materials Master'!$A$2:$A$27,0)),IF($B375="Terracycle",INDEX('Materials Master'!$K$2:$K$27,MATCH($C375,'Materials Master'!$A$2:$A$27,0)),"No"))))))="Yes",INDEX('Materials Master'!$E$2:$E$27,MATCH($C375,'Materials Master'!$A$2:$A$27,0))="Yes",$B375&lt;&gt;"Trash"),1,0)</f>
        <v>0</v>
      </c>
      <c r="H375" s="0" t="str">
        <f aca="false">INDEX('Materials Master'!$E$2:$E$27,MATCH($C375,'Materials Master'!$A$2:$A$27,0))</f>
        <v>No</v>
      </c>
      <c r="I375" s="0" t="str">
        <f aca="false">IFERROR(INDEX(Areas!$C$2:$C$6,MATCH($A375,Areas!$B$2:$B$6,0)),"")</f>
        <v>Rest of Building</v>
      </c>
      <c r="J375" s="0" t="n">
        <f aca="false">IF(IF($B375="Trash",INDEX('Materials Master'!$F$2:$F$27,MATCH($C375,'Materials Master'!$A$2:$A$27,0)),IF($B375="GMPC Recycling",INDEX('Materials Master'!$G$2:$G$27,MATCH($C375,'Materials Master'!$A$2:$A$27,0)),IF($B375="Organics Recycling",INDEX('Materials Master'!$H$2:$H$27,MATCH($C375,'Materials Master'!$A$2:$A$27,0)),IF($B375="Cardboard Recycling",INDEX('Materials Master'!$I$2:$I$27,MATCH($C375,'Materials Master'!$A$2:$A$27,0)),IF($B375="Paper Recycling",INDEX('Materials Master'!$J$2:$J$27,MATCH($C375,'Materials Master'!$A$2:$A$27,0)),IF($B375="Terracycle",INDEX('Materials Master'!$K$2:$K$27,MATCH($C375,'Materials Master'!$A$2:$A$27,0)),"No"))))))="Yes",1,0)</f>
        <v>0</v>
      </c>
    </row>
    <row r="376" customFormat="false" ht="15" hidden="false" customHeight="false" outlineLevel="0" collapsed="false">
      <c r="A376" s="0" t="s">
        <v>97</v>
      </c>
      <c r="B376" s="0" t="s">
        <v>105</v>
      </c>
      <c r="C376" s="0" t="s">
        <v>50</v>
      </c>
      <c r="D376" s="0" t="str">
        <f aca="false">IFERROR(INDEX('Materials Master'!$B$2:$B$27,MATCH($C376,'Materials Master'!$A$2:$A$27,0)),"")</f>
        <v>Aluminum &amp; Bi-Metal Containers</v>
      </c>
      <c r="E376" s="0" t="str">
        <f aca="false">IFERROR(INDEX('Materials Master'!$C$2:$C$27,MATCH($C376,'Materials Master'!$A$2:$A$27,0)),"")</f>
        <v>Metals</v>
      </c>
      <c r="F376" s="0" t="n">
        <f aca="false">(SUMIFS(Fact_PreSortWeights!$E$2:$E$15,Fact_PreSortWeights!$C$2:$C$15,$A376,Fact_PreSortWeights!$B$2:$B$15,$B376,Fact_PreSortWeights!$F$2:$F$15,$C376))+(SUMIFS(Fact_SortedWeights!$E$2:$E$6,Fact_SortedWeights!$C$2:$C$6,$A376,Fact_SortedWeights!$B$2:$B$6,$B376,Fact_SortedWeights!$D$2:$D$6,$C376,Fact_SortedWeights!$L$2:$L$6,"Yes"))+IF((SUMIFS(Fact_SortedWeights!$E$2:$E$6,Fact_SortedWeights!$C$2:$C$6,$A376,Fact_SortedWeights!$B$2:$B$6,$B376,Fact_SortedWeights!$L$2:$L$6,"No"))=0,0,(SUMIFS(Fact_SortedWeights!$E$2:$E$6,Fact_SortedWeights!$C$2:$C$6,$A376,Fact_SortedWeights!$B$2:$B$6,$B376,Fact_SortedWeights!$D$2:$D$6,$C376,Fact_SortedWeights!$L$2:$L$6,"No"))/(SUMIFS(Fact_SortedWeights!$E$2:$E$6,Fact_SortedWeights!$C$2:$C$6,$A376,Fact_SortedWeights!$B$2:$B$6,$B376,Fact_SortedWeights!$L$2:$L$6,"No"))*((SUMIFS(Fact_PreSortWeights!$E$2:$E$15,Fact_PreSortWeights!$C$2:$C$15,$A376,Fact_PreSortWeights!$B$2:$B$15,$B376,Fact_PreSortWeights!$F$2:$F$15,""))-(SUMIFS(Fact_SortedWeights!$E$2:$E$6,Fact_SortedWeights!$C$2:$C$6,$A376,Fact_SortedWeights!$B$2:$B$6,$B376,Fact_SortedWeights!$L$2:$L$6,"Yes"))))</f>
        <v>0</v>
      </c>
      <c r="G376" s="0" t="n">
        <f aca="false">IF(AND(IF($B376="Trash",INDEX('Materials Master'!$F$2:$F$27,MATCH($C376,'Materials Master'!$A$2:$A$27,0)),IF($B376="GMPC Recycling",INDEX('Materials Master'!$G$2:$G$27,MATCH($C376,'Materials Master'!$A$2:$A$27,0)),IF($B376="Organics Recycling",INDEX('Materials Master'!$H$2:$H$27,MATCH($C376,'Materials Master'!$A$2:$A$27,0)),IF($B376="Cardboard Recycling",INDEX('Materials Master'!$I$2:$I$27,MATCH($C376,'Materials Master'!$A$2:$A$27,0)),IF($B376="Paper Recycling",INDEX('Materials Master'!$J$2:$J$27,MATCH($C376,'Materials Master'!$A$2:$A$27,0)),IF($B376="Terracycle",INDEX('Materials Master'!$K$2:$K$27,MATCH($C376,'Materials Master'!$A$2:$A$27,0)),"No"))))))="Yes",INDEX('Materials Master'!$E$2:$E$27,MATCH($C376,'Materials Master'!$A$2:$A$27,0))="Yes",$B376&lt;&gt;"Trash"),1,0)</f>
        <v>0</v>
      </c>
      <c r="H376" s="0" t="str">
        <f aca="false">INDEX('Materials Master'!$E$2:$E$27,MATCH($C376,'Materials Master'!$A$2:$A$27,0))</f>
        <v>Yes</v>
      </c>
      <c r="I376" s="0" t="str">
        <f aca="false">IFERROR(INDEX(Areas!$C$2:$C$6,MATCH($A376,Areas!$B$2:$B$6,0)),"")</f>
        <v>Rest of Building</v>
      </c>
      <c r="J376" s="0" t="n">
        <f aca="false">IF(IF($B376="Trash",INDEX('Materials Master'!$F$2:$F$27,MATCH($C376,'Materials Master'!$A$2:$A$27,0)),IF($B376="GMPC Recycling",INDEX('Materials Master'!$G$2:$G$27,MATCH($C376,'Materials Master'!$A$2:$A$27,0)),IF($B376="Organics Recycling",INDEX('Materials Master'!$H$2:$H$27,MATCH($C376,'Materials Master'!$A$2:$A$27,0)),IF($B376="Cardboard Recycling",INDEX('Materials Master'!$I$2:$I$27,MATCH($C376,'Materials Master'!$A$2:$A$27,0)),IF($B376="Paper Recycling",INDEX('Materials Master'!$J$2:$J$27,MATCH($C376,'Materials Master'!$A$2:$A$27,0)),IF($B376="Terracycle",INDEX('Materials Master'!$K$2:$K$27,MATCH($C376,'Materials Master'!$A$2:$A$27,0)),"No"))))))="Yes",1,0)</f>
        <v>0</v>
      </c>
    </row>
    <row r="377" customFormat="false" ht="15" hidden="false" customHeight="false" outlineLevel="0" collapsed="false">
      <c r="A377" s="0" t="s">
        <v>97</v>
      </c>
      <c r="B377" s="0" t="s">
        <v>105</v>
      </c>
      <c r="C377" s="0" t="s">
        <v>53</v>
      </c>
      <c r="D377" s="0" t="str">
        <f aca="false">IFERROR(INDEX('Materials Master'!$B$2:$B$27,MATCH($C377,'Materials Master'!$A$2:$A$27,0)),"")</f>
        <v>Soiled Metals</v>
      </c>
      <c r="E377" s="0" t="str">
        <f aca="false">IFERROR(INDEX('Materials Master'!$C$2:$C$27,MATCH($C377,'Materials Master'!$A$2:$A$27,0)),"")</f>
        <v>Metals</v>
      </c>
      <c r="F377" s="0" t="n">
        <f aca="false">(SUMIFS(Fact_PreSortWeights!$E$2:$E$15,Fact_PreSortWeights!$C$2:$C$15,$A377,Fact_PreSortWeights!$B$2:$B$15,$B377,Fact_PreSortWeights!$F$2:$F$15,$C377))+(SUMIFS(Fact_SortedWeights!$E$2:$E$6,Fact_SortedWeights!$C$2:$C$6,$A377,Fact_SortedWeights!$B$2:$B$6,$B377,Fact_SortedWeights!$D$2:$D$6,$C377,Fact_SortedWeights!$L$2:$L$6,"Yes"))+IF((SUMIFS(Fact_SortedWeights!$E$2:$E$6,Fact_SortedWeights!$C$2:$C$6,$A377,Fact_SortedWeights!$B$2:$B$6,$B377,Fact_SortedWeights!$L$2:$L$6,"No"))=0,0,(SUMIFS(Fact_SortedWeights!$E$2:$E$6,Fact_SortedWeights!$C$2:$C$6,$A377,Fact_SortedWeights!$B$2:$B$6,$B377,Fact_SortedWeights!$D$2:$D$6,$C377,Fact_SortedWeights!$L$2:$L$6,"No"))/(SUMIFS(Fact_SortedWeights!$E$2:$E$6,Fact_SortedWeights!$C$2:$C$6,$A377,Fact_SortedWeights!$B$2:$B$6,$B377,Fact_SortedWeights!$L$2:$L$6,"No"))*((SUMIFS(Fact_PreSortWeights!$E$2:$E$15,Fact_PreSortWeights!$C$2:$C$15,$A377,Fact_PreSortWeights!$B$2:$B$15,$B377,Fact_PreSortWeights!$F$2:$F$15,""))-(SUMIFS(Fact_SortedWeights!$E$2:$E$6,Fact_SortedWeights!$C$2:$C$6,$A377,Fact_SortedWeights!$B$2:$B$6,$B377,Fact_SortedWeights!$L$2:$L$6,"Yes"))))</f>
        <v>0</v>
      </c>
      <c r="G377" s="0" t="n">
        <f aca="false">IF(AND(IF($B377="Trash",INDEX('Materials Master'!$F$2:$F$27,MATCH($C377,'Materials Master'!$A$2:$A$27,0)),IF($B377="GMPC Recycling",INDEX('Materials Master'!$G$2:$G$27,MATCH($C377,'Materials Master'!$A$2:$A$27,0)),IF($B377="Organics Recycling",INDEX('Materials Master'!$H$2:$H$27,MATCH($C377,'Materials Master'!$A$2:$A$27,0)),IF($B377="Cardboard Recycling",INDEX('Materials Master'!$I$2:$I$27,MATCH($C377,'Materials Master'!$A$2:$A$27,0)),IF($B377="Paper Recycling",INDEX('Materials Master'!$J$2:$J$27,MATCH($C377,'Materials Master'!$A$2:$A$27,0)),IF($B377="Terracycle",INDEX('Materials Master'!$K$2:$K$27,MATCH($C377,'Materials Master'!$A$2:$A$27,0)),"No"))))))="Yes",INDEX('Materials Master'!$E$2:$E$27,MATCH($C377,'Materials Master'!$A$2:$A$27,0))="Yes",$B377&lt;&gt;"Trash"),1,0)</f>
        <v>0</v>
      </c>
      <c r="H377" s="0" t="str">
        <f aca="false">INDEX('Materials Master'!$E$2:$E$27,MATCH($C377,'Materials Master'!$A$2:$A$27,0))</f>
        <v>No</v>
      </c>
      <c r="I377" s="0" t="str">
        <f aca="false">IFERROR(INDEX(Areas!$C$2:$C$6,MATCH($A377,Areas!$B$2:$B$6,0)),"")</f>
        <v>Rest of Building</v>
      </c>
      <c r="J377" s="0" t="n">
        <f aca="false">IF(IF($B377="Trash",INDEX('Materials Master'!$F$2:$F$27,MATCH($C377,'Materials Master'!$A$2:$A$27,0)),IF($B377="GMPC Recycling",INDEX('Materials Master'!$G$2:$G$27,MATCH($C377,'Materials Master'!$A$2:$A$27,0)),IF($B377="Organics Recycling",INDEX('Materials Master'!$H$2:$H$27,MATCH($C377,'Materials Master'!$A$2:$A$27,0)),IF($B377="Cardboard Recycling",INDEX('Materials Master'!$I$2:$I$27,MATCH($C377,'Materials Master'!$A$2:$A$27,0)),IF($B377="Paper Recycling",INDEX('Materials Master'!$J$2:$J$27,MATCH($C377,'Materials Master'!$A$2:$A$27,0)),IF($B377="Terracycle",INDEX('Materials Master'!$K$2:$K$27,MATCH($C377,'Materials Master'!$A$2:$A$27,0)),"No"))))))="Yes",1,0)</f>
        <v>0</v>
      </c>
    </row>
    <row r="378" customFormat="false" ht="15" hidden="false" customHeight="false" outlineLevel="0" collapsed="false">
      <c r="A378" s="0" t="s">
        <v>97</v>
      </c>
      <c r="B378" s="0" t="s">
        <v>105</v>
      </c>
      <c r="C378" s="0" t="s">
        <v>55</v>
      </c>
      <c r="D378" s="0" t="str">
        <f aca="false">IFERROR(INDEX('Materials Master'!$B$2:$B$27,MATCH($C378,'Materials Master'!$A$2:$A$27,0)),"")</f>
        <v>Rigid Plastics (1-6)</v>
      </c>
      <c r="E378" s="0" t="str">
        <f aca="false">IFERROR(INDEX('Materials Master'!$C$2:$C$27,MATCH($C378,'Materials Master'!$A$2:$A$27,0)),"")</f>
        <v>Plastics</v>
      </c>
      <c r="F378" s="0" t="n">
        <f aca="false">(SUMIFS(Fact_PreSortWeights!$E$2:$E$15,Fact_PreSortWeights!$C$2:$C$15,$A378,Fact_PreSortWeights!$B$2:$B$15,$B378,Fact_PreSortWeights!$F$2:$F$15,$C378))+(SUMIFS(Fact_SortedWeights!$E$2:$E$6,Fact_SortedWeights!$C$2:$C$6,$A378,Fact_SortedWeights!$B$2:$B$6,$B378,Fact_SortedWeights!$D$2:$D$6,$C378,Fact_SortedWeights!$L$2:$L$6,"Yes"))+IF((SUMIFS(Fact_SortedWeights!$E$2:$E$6,Fact_SortedWeights!$C$2:$C$6,$A378,Fact_SortedWeights!$B$2:$B$6,$B378,Fact_SortedWeights!$L$2:$L$6,"No"))=0,0,(SUMIFS(Fact_SortedWeights!$E$2:$E$6,Fact_SortedWeights!$C$2:$C$6,$A378,Fact_SortedWeights!$B$2:$B$6,$B378,Fact_SortedWeights!$D$2:$D$6,$C378,Fact_SortedWeights!$L$2:$L$6,"No"))/(SUMIFS(Fact_SortedWeights!$E$2:$E$6,Fact_SortedWeights!$C$2:$C$6,$A378,Fact_SortedWeights!$B$2:$B$6,$B378,Fact_SortedWeights!$L$2:$L$6,"No"))*((SUMIFS(Fact_PreSortWeights!$E$2:$E$15,Fact_PreSortWeights!$C$2:$C$15,$A378,Fact_PreSortWeights!$B$2:$B$15,$B378,Fact_PreSortWeights!$F$2:$F$15,""))-(SUMIFS(Fact_SortedWeights!$E$2:$E$6,Fact_SortedWeights!$C$2:$C$6,$A378,Fact_SortedWeights!$B$2:$B$6,$B378,Fact_SortedWeights!$L$2:$L$6,"Yes"))))</f>
        <v>0</v>
      </c>
      <c r="G378" s="0" t="n">
        <f aca="false">IF(AND(IF($B378="Trash",INDEX('Materials Master'!$F$2:$F$27,MATCH($C378,'Materials Master'!$A$2:$A$27,0)),IF($B378="GMPC Recycling",INDEX('Materials Master'!$G$2:$G$27,MATCH($C378,'Materials Master'!$A$2:$A$27,0)),IF($B378="Organics Recycling",INDEX('Materials Master'!$H$2:$H$27,MATCH($C378,'Materials Master'!$A$2:$A$27,0)),IF($B378="Cardboard Recycling",INDEX('Materials Master'!$I$2:$I$27,MATCH($C378,'Materials Master'!$A$2:$A$27,0)),IF($B378="Paper Recycling",INDEX('Materials Master'!$J$2:$J$27,MATCH($C378,'Materials Master'!$A$2:$A$27,0)),IF($B378="Terracycle",INDEX('Materials Master'!$K$2:$K$27,MATCH($C378,'Materials Master'!$A$2:$A$27,0)),"No"))))))="Yes",INDEX('Materials Master'!$E$2:$E$27,MATCH($C378,'Materials Master'!$A$2:$A$27,0))="Yes",$B378&lt;&gt;"Trash"),1,0)</f>
        <v>0</v>
      </c>
      <c r="H378" s="0" t="str">
        <f aca="false">INDEX('Materials Master'!$E$2:$E$27,MATCH($C378,'Materials Master'!$A$2:$A$27,0))</f>
        <v>Yes</v>
      </c>
      <c r="I378" s="0" t="str">
        <f aca="false">IFERROR(INDEX(Areas!$C$2:$C$6,MATCH($A378,Areas!$B$2:$B$6,0)),"")</f>
        <v>Rest of Building</v>
      </c>
      <c r="J378" s="0" t="n">
        <f aca="false">IF(IF($B378="Trash",INDEX('Materials Master'!$F$2:$F$27,MATCH($C378,'Materials Master'!$A$2:$A$27,0)),IF($B378="GMPC Recycling",INDEX('Materials Master'!$G$2:$G$27,MATCH($C378,'Materials Master'!$A$2:$A$27,0)),IF($B378="Organics Recycling",INDEX('Materials Master'!$H$2:$H$27,MATCH($C378,'Materials Master'!$A$2:$A$27,0)),IF($B378="Cardboard Recycling",INDEX('Materials Master'!$I$2:$I$27,MATCH($C378,'Materials Master'!$A$2:$A$27,0)),IF($B378="Paper Recycling",INDEX('Materials Master'!$J$2:$J$27,MATCH($C378,'Materials Master'!$A$2:$A$27,0)),IF($B378="Terracycle",INDEX('Materials Master'!$K$2:$K$27,MATCH($C378,'Materials Master'!$A$2:$A$27,0)),"No"))))))="Yes",1,0)</f>
        <v>0</v>
      </c>
    </row>
    <row r="379" customFormat="false" ht="15" hidden="false" customHeight="false" outlineLevel="0" collapsed="false">
      <c r="A379" s="0" t="s">
        <v>97</v>
      </c>
      <c r="B379" s="0" t="s">
        <v>105</v>
      </c>
      <c r="C379" s="0" t="s">
        <v>58</v>
      </c>
      <c r="D379" s="0" t="str">
        <f aca="false">IFERROR(INDEX('Materials Master'!$B$2:$B$27,MATCH($C379,'Materials Master'!$A$2:$A$27,0)),"")</f>
        <v>Soiled Rigid Plastics</v>
      </c>
      <c r="E379" s="0" t="str">
        <f aca="false">IFERROR(INDEX('Materials Master'!$C$2:$C$27,MATCH($C379,'Materials Master'!$A$2:$A$27,0)),"")</f>
        <v>Plastics</v>
      </c>
      <c r="F379" s="0" t="n">
        <f aca="false">(SUMIFS(Fact_PreSortWeights!$E$2:$E$15,Fact_PreSortWeights!$C$2:$C$15,$A379,Fact_PreSortWeights!$B$2:$B$15,$B379,Fact_PreSortWeights!$F$2:$F$15,$C379))+(SUMIFS(Fact_SortedWeights!$E$2:$E$6,Fact_SortedWeights!$C$2:$C$6,$A379,Fact_SortedWeights!$B$2:$B$6,$B379,Fact_SortedWeights!$D$2:$D$6,$C379,Fact_SortedWeights!$L$2:$L$6,"Yes"))+IF((SUMIFS(Fact_SortedWeights!$E$2:$E$6,Fact_SortedWeights!$C$2:$C$6,$A379,Fact_SortedWeights!$B$2:$B$6,$B379,Fact_SortedWeights!$L$2:$L$6,"No"))=0,0,(SUMIFS(Fact_SortedWeights!$E$2:$E$6,Fact_SortedWeights!$C$2:$C$6,$A379,Fact_SortedWeights!$B$2:$B$6,$B379,Fact_SortedWeights!$D$2:$D$6,$C379,Fact_SortedWeights!$L$2:$L$6,"No"))/(SUMIFS(Fact_SortedWeights!$E$2:$E$6,Fact_SortedWeights!$C$2:$C$6,$A379,Fact_SortedWeights!$B$2:$B$6,$B379,Fact_SortedWeights!$L$2:$L$6,"No"))*((SUMIFS(Fact_PreSortWeights!$E$2:$E$15,Fact_PreSortWeights!$C$2:$C$15,$A379,Fact_PreSortWeights!$B$2:$B$15,$B379,Fact_PreSortWeights!$F$2:$F$15,""))-(SUMIFS(Fact_SortedWeights!$E$2:$E$6,Fact_SortedWeights!$C$2:$C$6,$A379,Fact_SortedWeights!$B$2:$B$6,$B379,Fact_SortedWeights!$L$2:$L$6,"Yes"))))</f>
        <v>0</v>
      </c>
      <c r="G379" s="0" t="n">
        <f aca="false">IF(AND(IF($B379="Trash",INDEX('Materials Master'!$F$2:$F$27,MATCH($C379,'Materials Master'!$A$2:$A$27,0)),IF($B379="GMPC Recycling",INDEX('Materials Master'!$G$2:$G$27,MATCH($C379,'Materials Master'!$A$2:$A$27,0)),IF($B379="Organics Recycling",INDEX('Materials Master'!$H$2:$H$27,MATCH($C379,'Materials Master'!$A$2:$A$27,0)),IF($B379="Cardboard Recycling",INDEX('Materials Master'!$I$2:$I$27,MATCH($C379,'Materials Master'!$A$2:$A$27,0)),IF($B379="Paper Recycling",INDEX('Materials Master'!$J$2:$J$27,MATCH($C379,'Materials Master'!$A$2:$A$27,0)),IF($B379="Terracycle",INDEX('Materials Master'!$K$2:$K$27,MATCH($C379,'Materials Master'!$A$2:$A$27,0)),"No"))))))="Yes",INDEX('Materials Master'!$E$2:$E$27,MATCH($C379,'Materials Master'!$A$2:$A$27,0))="Yes",$B379&lt;&gt;"Trash"),1,0)</f>
        <v>0</v>
      </c>
      <c r="H379" s="0" t="str">
        <f aca="false">INDEX('Materials Master'!$E$2:$E$27,MATCH($C379,'Materials Master'!$A$2:$A$27,0))</f>
        <v>No</v>
      </c>
      <c r="I379" s="0" t="str">
        <f aca="false">IFERROR(INDEX(Areas!$C$2:$C$6,MATCH($A379,Areas!$B$2:$B$6,0)),"")</f>
        <v>Rest of Building</v>
      </c>
      <c r="J379" s="0" t="n">
        <f aca="false">IF(IF($B379="Trash",INDEX('Materials Master'!$F$2:$F$27,MATCH($C379,'Materials Master'!$A$2:$A$27,0)),IF($B379="GMPC Recycling",INDEX('Materials Master'!$G$2:$G$27,MATCH($C379,'Materials Master'!$A$2:$A$27,0)),IF($B379="Organics Recycling",INDEX('Materials Master'!$H$2:$H$27,MATCH($C379,'Materials Master'!$A$2:$A$27,0)),IF($B379="Cardboard Recycling",INDEX('Materials Master'!$I$2:$I$27,MATCH($C379,'Materials Master'!$A$2:$A$27,0)),IF($B379="Paper Recycling",INDEX('Materials Master'!$J$2:$J$27,MATCH($C379,'Materials Master'!$A$2:$A$27,0)),IF($B379="Terracycle",INDEX('Materials Master'!$K$2:$K$27,MATCH($C379,'Materials Master'!$A$2:$A$27,0)),"No"))))))="Yes",1,0)</f>
        <v>0</v>
      </c>
    </row>
    <row r="380" customFormat="false" ht="15" hidden="false" customHeight="false" outlineLevel="0" collapsed="false">
      <c r="A380" s="0" t="s">
        <v>97</v>
      </c>
      <c r="B380" s="0" t="s">
        <v>105</v>
      </c>
      <c r="C380" s="0" t="s">
        <v>60</v>
      </c>
      <c r="D380" s="0" t="str">
        <f aca="false">IFERROR(INDEX('Materials Master'!$B$2:$B$27,MATCH($C380,'Materials Master'!$A$2:$A$27,0)),"")</f>
        <v>Film Plastics</v>
      </c>
      <c r="E380" s="0" t="str">
        <f aca="false">IFERROR(INDEX('Materials Master'!$C$2:$C$27,MATCH($C380,'Materials Master'!$A$2:$A$27,0)),"")</f>
        <v>Plastics</v>
      </c>
      <c r="F380" s="0" t="n">
        <f aca="false">(SUMIFS(Fact_PreSortWeights!$E$2:$E$15,Fact_PreSortWeights!$C$2:$C$15,$A380,Fact_PreSortWeights!$B$2:$B$15,$B380,Fact_PreSortWeights!$F$2:$F$15,$C380))+(SUMIFS(Fact_SortedWeights!$E$2:$E$6,Fact_SortedWeights!$C$2:$C$6,$A380,Fact_SortedWeights!$B$2:$B$6,$B380,Fact_SortedWeights!$D$2:$D$6,$C380,Fact_SortedWeights!$L$2:$L$6,"Yes"))+IF((SUMIFS(Fact_SortedWeights!$E$2:$E$6,Fact_SortedWeights!$C$2:$C$6,$A380,Fact_SortedWeights!$B$2:$B$6,$B380,Fact_SortedWeights!$L$2:$L$6,"No"))=0,0,(SUMIFS(Fact_SortedWeights!$E$2:$E$6,Fact_SortedWeights!$C$2:$C$6,$A380,Fact_SortedWeights!$B$2:$B$6,$B380,Fact_SortedWeights!$D$2:$D$6,$C380,Fact_SortedWeights!$L$2:$L$6,"No"))/(SUMIFS(Fact_SortedWeights!$E$2:$E$6,Fact_SortedWeights!$C$2:$C$6,$A380,Fact_SortedWeights!$B$2:$B$6,$B380,Fact_SortedWeights!$L$2:$L$6,"No"))*((SUMIFS(Fact_PreSortWeights!$E$2:$E$15,Fact_PreSortWeights!$C$2:$C$15,$A380,Fact_PreSortWeights!$B$2:$B$15,$B380,Fact_PreSortWeights!$F$2:$F$15,""))-(SUMIFS(Fact_SortedWeights!$E$2:$E$6,Fact_SortedWeights!$C$2:$C$6,$A380,Fact_SortedWeights!$B$2:$B$6,$B380,Fact_SortedWeights!$L$2:$L$6,"Yes"))))</f>
        <v>0</v>
      </c>
      <c r="G380" s="0" t="n">
        <f aca="false">IF(AND(IF($B380="Trash",INDEX('Materials Master'!$F$2:$F$27,MATCH($C380,'Materials Master'!$A$2:$A$27,0)),IF($B380="GMPC Recycling",INDEX('Materials Master'!$G$2:$G$27,MATCH($C380,'Materials Master'!$A$2:$A$27,0)),IF($B380="Organics Recycling",INDEX('Materials Master'!$H$2:$H$27,MATCH($C380,'Materials Master'!$A$2:$A$27,0)),IF($B380="Cardboard Recycling",INDEX('Materials Master'!$I$2:$I$27,MATCH($C380,'Materials Master'!$A$2:$A$27,0)),IF($B380="Paper Recycling",INDEX('Materials Master'!$J$2:$J$27,MATCH($C380,'Materials Master'!$A$2:$A$27,0)),IF($B380="Terracycle",INDEX('Materials Master'!$K$2:$K$27,MATCH($C380,'Materials Master'!$A$2:$A$27,0)),"No"))))))="Yes",INDEX('Materials Master'!$E$2:$E$27,MATCH($C380,'Materials Master'!$A$2:$A$27,0))="Yes",$B380&lt;&gt;"Trash"),1,0)</f>
        <v>0</v>
      </c>
      <c r="H380" s="0" t="str">
        <f aca="false">INDEX('Materials Master'!$E$2:$E$27,MATCH($C380,'Materials Master'!$A$2:$A$27,0))</f>
        <v>No</v>
      </c>
      <c r="I380" s="0" t="str">
        <f aca="false">IFERROR(INDEX(Areas!$C$2:$C$6,MATCH($A380,Areas!$B$2:$B$6,0)),"")</f>
        <v>Rest of Building</v>
      </c>
      <c r="J380" s="0" t="n">
        <f aca="false">IF(IF($B380="Trash",INDEX('Materials Master'!$F$2:$F$27,MATCH($C380,'Materials Master'!$A$2:$A$27,0)),IF($B380="GMPC Recycling",INDEX('Materials Master'!$G$2:$G$27,MATCH($C380,'Materials Master'!$A$2:$A$27,0)),IF($B380="Organics Recycling",INDEX('Materials Master'!$H$2:$H$27,MATCH($C380,'Materials Master'!$A$2:$A$27,0)),IF($B380="Cardboard Recycling",INDEX('Materials Master'!$I$2:$I$27,MATCH($C380,'Materials Master'!$A$2:$A$27,0)),IF($B380="Paper Recycling",INDEX('Materials Master'!$J$2:$J$27,MATCH($C380,'Materials Master'!$A$2:$A$27,0)),IF($B380="Terracycle",INDEX('Materials Master'!$K$2:$K$27,MATCH($C380,'Materials Master'!$A$2:$A$27,0)),"No"))))))="Yes",1,0)</f>
        <v>0</v>
      </c>
    </row>
    <row r="381" customFormat="false" ht="15" hidden="false" customHeight="false" outlineLevel="0" collapsed="false">
      <c r="A381" s="0" t="s">
        <v>97</v>
      </c>
      <c r="B381" s="0" t="s">
        <v>105</v>
      </c>
      <c r="C381" s="0" t="s">
        <v>62</v>
      </c>
      <c r="D381" s="0" t="str">
        <f aca="false">IFERROR(INDEX('Materials Master'!$B$2:$B$27,MATCH($C381,'Materials Master'!$A$2:$A$27,0)),"")</f>
        <v>Foams</v>
      </c>
      <c r="E381" s="0" t="str">
        <f aca="false">IFERROR(INDEX('Materials Master'!$C$2:$C$27,MATCH($C381,'Materials Master'!$A$2:$A$27,0)),"")</f>
        <v>Plastics</v>
      </c>
      <c r="F381" s="0" t="n">
        <f aca="false">(SUMIFS(Fact_PreSortWeights!$E$2:$E$15,Fact_PreSortWeights!$C$2:$C$15,$A381,Fact_PreSortWeights!$B$2:$B$15,$B381,Fact_PreSortWeights!$F$2:$F$15,$C381))+(SUMIFS(Fact_SortedWeights!$E$2:$E$6,Fact_SortedWeights!$C$2:$C$6,$A381,Fact_SortedWeights!$B$2:$B$6,$B381,Fact_SortedWeights!$D$2:$D$6,$C381,Fact_SortedWeights!$L$2:$L$6,"Yes"))+IF((SUMIFS(Fact_SortedWeights!$E$2:$E$6,Fact_SortedWeights!$C$2:$C$6,$A381,Fact_SortedWeights!$B$2:$B$6,$B381,Fact_SortedWeights!$L$2:$L$6,"No"))=0,0,(SUMIFS(Fact_SortedWeights!$E$2:$E$6,Fact_SortedWeights!$C$2:$C$6,$A381,Fact_SortedWeights!$B$2:$B$6,$B381,Fact_SortedWeights!$D$2:$D$6,$C381,Fact_SortedWeights!$L$2:$L$6,"No"))/(SUMIFS(Fact_SortedWeights!$E$2:$E$6,Fact_SortedWeights!$C$2:$C$6,$A381,Fact_SortedWeights!$B$2:$B$6,$B381,Fact_SortedWeights!$L$2:$L$6,"No"))*((SUMIFS(Fact_PreSortWeights!$E$2:$E$15,Fact_PreSortWeights!$C$2:$C$15,$A381,Fact_PreSortWeights!$B$2:$B$15,$B381,Fact_PreSortWeights!$F$2:$F$15,""))-(SUMIFS(Fact_SortedWeights!$E$2:$E$6,Fact_SortedWeights!$C$2:$C$6,$A381,Fact_SortedWeights!$B$2:$B$6,$B381,Fact_SortedWeights!$L$2:$L$6,"Yes"))))</f>
        <v>0</v>
      </c>
      <c r="G381" s="0" t="n">
        <f aca="false">IF(AND(IF($B381="Trash",INDEX('Materials Master'!$F$2:$F$27,MATCH($C381,'Materials Master'!$A$2:$A$27,0)),IF($B381="GMPC Recycling",INDEX('Materials Master'!$G$2:$G$27,MATCH($C381,'Materials Master'!$A$2:$A$27,0)),IF($B381="Organics Recycling",INDEX('Materials Master'!$H$2:$H$27,MATCH($C381,'Materials Master'!$A$2:$A$27,0)),IF($B381="Cardboard Recycling",INDEX('Materials Master'!$I$2:$I$27,MATCH($C381,'Materials Master'!$A$2:$A$27,0)),IF($B381="Paper Recycling",INDEX('Materials Master'!$J$2:$J$27,MATCH($C381,'Materials Master'!$A$2:$A$27,0)),IF($B381="Terracycle",INDEX('Materials Master'!$K$2:$K$27,MATCH($C381,'Materials Master'!$A$2:$A$27,0)),"No"))))))="Yes",INDEX('Materials Master'!$E$2:$E$27,MATCH($C381,'Materials Master'!$A$2:$A$27,0))="Yes",$B381&lt;&gt;"Trash"),1,0)</f>
        <v>0</v>
      </c>
      <c r="H381" s="0" t="str">
        <f aca="false">INDEX('Materials Master'!$E$2:$E$27,MATCH($C381,'Materials Master'!$A$2:$A$27,0))</f>
        <v>No</v>
      </c>
      <c r="I381" s="0" t="str">
        <f aca="false">IFERROR(INDEX(Areas!$C$2:$C$6,MATCH($A381,Areas!$B$2:$B$6,0)),"")</f>
        <v>Rest of Building</v>
      </c>
      <c r="J381" s="0" t="n">
        <f aca="false">IF(IF($B381="Trash",INDEX('Materials Master'!$F$2:$F$27,MATCH($C381,'Materials Master'!$A$2:$A$27,0)),IF($B381="GMPC Recycling",INDEX('Materials Master'!$G$2:$G$27,MATCH($C381,'Materials Master'!$A$2:$A$27,0)),IF($B381="Organics Recycling",INDEX('Materials Master'!$H$2:$H$27,MATCH($C381,'Materials Master'!$A$2:$A$27,0)),IF($B381="Cardboard Recycling",INDEX('Materials Master'!$I$2:$I$27,MATCH($C381,'Materials Master'!$A$2:$A$27,0)),IF($B381="Paper Recycling",INDEX('Materials Master'!$J$2:$J$27,MATCH($C381,'Materials Master'!$A$2:$A$27,0)),IF($B381="Terracycle",INDEX('Materials Master'!$K$2:$K$27,MATCH($C381,'Materials Master'!$A$2:$A$27,0)),"No"))))))="Yes",1,0)</f>
        <v>0</v>
      </c>
    </row>
    <row r="382" customFormat="false" ht="15" hidden="false" customHeight="false" outlineLevel="0" collapsed="false">
      <c r="A382" s="0" t="s">
        <v>97</v>
      </c>
      <c r="B382" s="0" t="s">
        <v>105</v>
      </c>
      <c r="C382" s="0" t="s">
        <v>64</v>
      </c>
      <c r="D382" s="0" t="str">
        <f aca="false">IFERROR(INDEX('Materials Master'!$B$2:$B$27,MATCH($C382,'Materials Master'!$A$2:$A$27,0)),"")</f>
        <v>Food Waste</v>
      </c>
      <c r="E382" s="0" t="str">
        <f aca="false">IFERROR(INDEX('Materials Master'!$C$2:$C$27,MATCH($C382,'Materials Master'!$A$2:$A$27,0)),"")</f>
        <v>Organics</v>
      </c>
      <c r="F382" s="0" t="n">
        <f aca="false">(SUMIFS(Fact_PreSortWeights!$E$2:$E$15,Fact_PreSortWeights!$C$2:$C$15,$A382,Fact_PreSortWeights!$B$2:$B$15,$B382,Fact_PreSortWeights!$F$2:$F$15,$C382))+(SUMIFS(Fact_SortedWeights!$E$2:$E$6,Fact_SortedWeights!$C$2:$C$6,$A382,Fact_SortedWeights!$B$2:$B$6,$B382,Fact_SortedWeights!$D$2:$D$6,$C382,Fact_SortedWeights!$L$2:$L$6,"Yes"))+IF((SUMIFS(Fact_SortedWeights!$E$2:$E$6,Fact_SortedWeights!$C$2:$C$6,$A382,Fact_SortedWeights!$B$2:$B$6,$B382,Fact_SortedWeights!$L$2:$L$6,"No"))=0,0,(SUMIFS(Fact_SortedWeights!$E$2:$E$6,Fact_SortedWeights!$C$2:$C$6,$A382,Fact_SortedWeights!$B$2:$B$6,$B382,Fact_SortedWeights!$D$2:$D$6,$C382,Fact_SortedWeights!$L$2:$L$6,"No"))/(SUMIFS(Fact_SortedWeights!$E$2:$E$6,Fact_SortedWeights!$C$2:$C$6,$A382,Fact_SortedWeights!$B$2:$B$6,$B382,Fact_SortedWeights!$L$2:$L$6,"No"))*((SUMIFS(Fact_PreSortWeights!$E$2:$E$15,Fact_PreSortWeights!$C$2:$C$15,$A382,Fact_PreSortWeights!$B$2:$B$15,$B382,Fact_PreSortWeights!$F$2:$F$15,""))-(SUMIFS(Fact_SortedWeights!$E$2:$E$6,Fact_SortedWeights!$C$2:$C$6,$A382,Fact_SortedWeights!$B$2:$B$6,$B382,Fact_SortedWeights!$L$2:$L$6,"Yes"))))</f>
        <v>0</v>
      </c>
      <c r="G382" s="0" t="n">
        <f aca="false">IF(AND(IF($B382="Trash",INDEX('Materials Master'!$F$2:$F$27,MATCH($C382,'Materials Master'!$A$2:$A$27,0)),IF($B382="GMPC Recycling",INDEX('Materials Master'!$G$2:$G$27,MATCH($C382,'Materials Master'!$A$2:$A$27,0)),IF($B382="Organics Recycling",INDEX('Materials Master'!$H$2:$H$27,MATCH($C382,'Materials Master'!$A$2:$A$27,0)),IF($B382="Cardboard Recycling",INDEX('Materials Master'!$I$2:$I$27,MATCH($C382,'Materials Master'!$A$2:$A$27,0)),IF($B382="Paper Recycling",INDEX('Materials Master'!$J$2:$J$27,MATCH($C382,'Materials Master'!$A$2:$A$27,0)),IF($B382="Terracycle",INDEX('Materials Master'!$K$2:$K$27,MATCH($C382,'Materials Master'!$A$2:$A$27,0)),"No"))))))="Yes",INDEX('Materials Master'!$E$2:$E$27,MATCH($C382,'Materials Master'!$A$2:$A$27,0))="Yes",$B382&lt;&gt;"Trash"),1,0)</f>
        <v>1</v>
      </c>
      <c r="H382" s="0" t="str">
        <f aca="false">INDEX('Materials Master'!$E$2:$E$27,MATCH($C382,'Materials Master'!$A$2:$A$27,0))</f>
        <v>Yes</v>
      </c>
      <c r="I382" s="0" t="str">
        <f aca="false">IFERROR(INDEX(Areas!$C$2:$C$6,MATCH($A382,Areas!$B$2:$B$6,0)),"")</f>
        <v>Rest of Building</v>
      </c>
      <c r="J382" s="0" t="n">
        <f aca="false">IF(IF($B382="Trash",INDEX('Materials Master'!$F$2:$F$27,MATCH($C382,'Materials Master'!$A$2:$A$27,0)),IF($B382="GMPC Recycling",INDEX('Materials Master'!$G$2:$G$27,MATCH($C382,'Materials Master'!$A$2:$A$27,0)),IF($B382="Organics Recycling",INDEX('Materials Master'!$H$2:$H$27,MATCH($C382,'Materials Master'!$A$2:$A$27,0)),IF($B382="Cardboard Recycling",INDEX('Materials Master'!$I$2:$I$27,MATCH($C382,'Materials Master'!$A$2:$A$27,0)),IF($B382="Paper Recycling",INDEX('Materials Master'!$J$2:$J$27,MATCH($C382,'Materials Master'!$A$2:$A$27,0)),IF($B382="Terracycle",INDEX('Materials Master'!$K$2:$K$27,MATCH($C382,'Materials Master'!$A$2:$A$27,0)),"No"))))))="Yes",1,0)</f>
        <v>1</v>
      </c>
    </row>
    <row r="383" customFormat="false" ht="15" hidden="false" customHeight="false" outlineLevel="0" collapsed="false">
      <c r="A383" s="0" t="s">
        <v>97</v>
      </c>
      <c r="B383" s="0" t="s">
        <v>105</v>
      </c>
      <c r="C383" s="0" t="s">
        <v>67</v>
      </c>
      <c r="D383" s="0" t="str">
        <f aca="false">IFERROR(INDEX('Materials Master'!$B$2:$B$27,MATCH($C383,'Materials Master'!$A$2:$A$27,0)),"")</f>
        <v>Paper Fibers and Food-Soiled Paper (FSP)</v>
      </c>
      <c r="E383" s="0" t="str">
        <f aca="false">IFERROR(INDEX('Materials Master'!$C$2:$C$27,MATCH($C383,'Materials Master'!$A$2:$A$27,0)),"")</f>
        <v>Organics</v>
      </c>
      <c r="F383" s="0" t="n">
        <f aca="false">(SUMIFS(Fact_PreSortWeights!$E$2:$E$15,Fact_PreSortWeights!$C$2:$C$15,$A383,Fact_PreSortWeights!$B$2:$B$15,$B383,Fact_PreSortWeights!$F$2:$F$15,$C383))+(SUMIFS(Fact_SortedWeights!$E$2:$E$6,Fact_SortedWeights!$C$2:$C$6,$A383,Fact_SortedWeights!$B$2:$B$6,$B383,Fact_SortedWeights!$D$2:$D$6,$C383,Fact_SortedWeights!$L$2:$L$6,"Yes"))+IF((SUMIFS(Fact_SortedWeights!$E$2:$E$6,Fact_SortedWeights!$C$2:$C$6,$A383,Fact_SortedWeights!$B$2:$B$6,$B383,Fact_SortedWeights!$L$2:$L$6,"No"))=0,0,(SUMIFS(Fact_SortedWeights!$E$2:$E$6,Fact_SortedWeights!$C$2:$C$6,$A383,Fact_SortedWeights!$B$2:$B$6,$B383,Fact_SortedWeights!$D$2:$D$6,$C383,Fact_SortedWeights!$L$2:$L$6,"No"))/(SUMIFS(Fact_SortedWeights!$E$2:$E$6,Fact_SortedWeights!$C$2:$C$6,$A383,Fact_SortedWeights!$B$2:$B$6,$B383,Fact_SortedWeights!$L$2:$L$6,"No"))*((SUMIFS(Fact_PreSortWeights!$E$2:$E$15,Fact_PreSortWeights!$C$2:$C$15,$A383,Fact_PreSortWeights!$B$2:$B$15,$B383,Fact_PreSortWeights!$F$2:$F$15,""))-(SUMIFS(Fact_SortedWeights!$E$2:$E$6,Fact_SortedWeights!$C$2:$C$6,$A383,Fact_SortedWeights!$B$2:$B$6,$B383,Fact_SortedWeights!$L$2:$L$6,"Yes"))))</f>
        <v>0</v>
      </c>
      <c r="G383" s="0" t="n">
        <f aca="false">IF(AND(IF($B383="Trash",INDEX('Materials Master'!$F$2:$F$27,MATCH($C383,'Materials Master'!$A$2:$A$27,0)),IF($B383="GMPC Recycling",INDEX('Materials Master'!$G$2:$G$27,MATCH($C383,'Materials Master'!$A$2:$A$27,0)),IF($B383="Organics Recycling",INDEX('Materials Master'!$H$2:$H$27,MATCH($C383,'Materials Master'!$A$2:$A$27,0)),IF($B383="Cardboard Recycling",INDEX('Materials Master'!$I$2:$I$27,MATCH($C383,'Materials Master'!$A$2:$A$27,0)),IF($B383="Paper Recycling",INDEX('Materials Master'!$J$2:$J$27,MATCH($C383,'Materials Master'!$A$2:$A$27,0)),IF($B383="Terracycle",INDEX('Materials Master'!$K$2:$K$27,MATCH($C383,'Materials Master'!$A$2:$A$27,0)),"No"))))))="Yes",INDEX('Materials Master'!$E$2:$E$27,MATCH($C383,'Materials Master'!$A$2:$A$27,0))="Yes",$B383&lt;&gt;"Trash"),1,0)</f>
        <v>0</v>
      </c>
      <c r="H383" s="0" t="str">
        <f aca="false">INDEX('Materials Master'!$E$2:$E$27,MATCH($C383,'Materials Master'!$A$2:$A$27,0))</f>
        <v>No</v>
      </c>
      <c r="I383" s="0" t="str">
        <f aca="false">IFERROR(INDEX(Areas!$C$2:$C$6,MATCH($A383,Areas!$B$2:$B$6,0)),"")</f>
        <v>Rest of Building</v>
      </c>
      <c r="J383" s="0" t="n">
        <f aca="false">IF(IF($B383="Trash",INDEX('Materials Master'!$F$2:$F$27,MATCH($C383,'Materials Master'!$A$2:$A$27,0)),IF($B383="GMPC Recycling",INDEX('Materials Master'!$G$2:$G$27,MATCH($C383,'Materials Master'!$A$2:$A$27,0)),IF($B383="Organics Recycling",INDEX('Materials Master'!$H$2:$H$27,MATCH($C383,'Materials Master'!$A$2:$A$27,0)),IF($B383="Cardboard Recycling",INDEX('Materials Master'!$I$2:$I$27,MATCH($C383,'Materials Master'!$A$2:$A$27,0)),IF($B383="Paper Recycling",INDEX('Materials Master'!$J$2:$J$27,MATCH($C383,'Materials Master'!$A$2:$A$27,0)),IF($B383="Terracycle",INDEX('Materials Master'!$K$2:$K$27,MATCH($C383,'Materials Master'!$A$2:$A$27,0)),"No"))))))="Yes",1,0)</f>
        <v>0</v>
      </c>
    </row>
    <row r="384" customFormat="false" ht="15" hidden="false" customHeight="false" outlineLevel="0" collapsed="false">
      <c r="A384" s="0" t="s">
        <v>97</v>
      </c>
      <c r="B384" s="0" t="s">
        <v>105</v>
      </c>
      <c r="C384" s="0" t="s">
        <v>69</v>
      </c>
      <c r="D384" s="0" t="str">
        <f aca="false">IFERROR(INDEX('Materials Master'!$B$2:$B$27,MATCH($C384,'Materials Master'!$A$2:$A$27,0)),"")</f>
        <v>Fiber-based Compostable Serviceware</v>
      </c>
      <c r="E384" s="0" t="str">
        <f aca="false">IFERROR(INDEX('Materials Master'!$C$2:$C$27,MATCH($C384,'Materials Master'!$A$2:$A$27,0)),"")</f>
        <v>Organics</v>
      </c>
      <c r="F384" s="0" t="n">
        <f aca="false">(SUMIFS(Fact_PreSortWeights!$E$2:$E$15,Fact_PreSortWeights!$C$2:$C$15,$A384,Fact_PreSortWeights!$B$2:$B$15,$B384,Fact_PreSortWeights!$F$2:$F$15,$C384))+(SUMIFS(Fact_SortedWeights!$E$2:$E$6,Fact_SortedWeights!$C$2:$C$6,$A384,Fact_SortedWeights!$B$2:$B$6,$B384,Fact_SortedWeights!$D$2:$D$6,$C384,Fact_SortedWeights!$L$2:$L$6,"Yes"))+IF((SUMIFS(Fact_SortedWeights!$E$2:$E$6,Fact_SortedWeights!$C$2:$C$6,$A384,Fact_SortedWeights!$B$2:$B$6,$B384,Fact_SortedWeights!$L$2:$L$6,"No"))=0,0,(SUMIFS(Fact_SortedWeights!$E$2:$E$6,Fact_SortedWeights!$C$2:$C$6,$A384,Fact_SortedWeights!$B$2:$B$6,$B384,Fact_SortedWeights!$D$2:$D$6,$C384,Fact_SortedWeights!$L$2:$L$6,"No"))/(SUMIFS(Fact_SortedWeights!$E$2:$E$6,Fact_SortedWeights!$C$2:$C$6,$A384,Fact_SortedWeights!$B$2:$B$6,$B384,Fact_SortedWeights!$L$2:$L$6,"No"))*((SUMIFS(Fact_PreSortWeights!$E$2:$E$15,Fact_PreSortWeights!$C$2:$C$15,$A384,Fact_PreSortWeights!$B$2:$B$15,$B384,Fact_PreSortWeights!$F$2:$F$15,""))-(SUMIFS(Fact_SortedWeights!$E$2:$E$6,Fact_SortedWeights!$C$2:$C$6,$A384,Fact_SortedWeights!$B$2:$B$6,$B384,Fact_SortedWeights!$L$2:$L$6,"Yes"))))</f>
        <v>0</v>
      </c>
      <c r="G384" s="0" t="n">
        <f aca="false">IF(AND(IF($B384="Trash",INDEX('Materials Master'!$F$2:$F$27,MATCH($C384,'Materials Master'!$A$2:$A$27,0)),IF($B384="GMPC Recycling",INDEX('Materials Master'!$G$2:$G$27,MATCH($C384,'Materials Master'!$A$2:$A$27,0)),IF($B384="Organics Recycling",INDEX('Materials Master'!$H$2:$H$27,MATCH($C384,'Materials Master'!$A$2:$A$27,0)),IF($B384="Cardboard Recycling",INDEX('Materials Master'!$I$2:$I$27,MATCH($C384,'Materials Master'!$A$2:$A$27,0)),IF($B384="Paper Recycling",INDEX('Materials Master'!$J$2:$J$27,MATCH($C384,'Materials Master'!$A$2:$A$27,0)),IF($B384="Terracycle",INDEX('Materials Master'!$K$2:$K$27,MATCH($C384,'Materials Master'!$A$2:$A$27,0)),"No"))))))="Yes",INDEX('Materials Master'!$E$2:$E$27,MATCH($C384,'Materials Master'!$A$2:$A$27,0))="Yes",$B384&lt;&gt;"Trash"),1,0)</f>
        <v>0</v>
      </c>
      <c r="H384" s="0" t="str">
        <f aca="false">INDEX('Materials Master'!$E$2:$E$27,MATCH($C384,'Materials Master'!$A$2:$A$27,0))</f>
        <v>No</v>
      </c>
      <c r="I384" s="0" t="str">
        <f aca="false">IFERROR(INDEX(Areas!$C$2:$C$6,MATCH($A384,Areas!$B$2:$B$6,0)),"")</f>
        <v>Rest of Building</v>
      </c>
      <c r="J384" s="0" t="n">
        <f aca="false">IF(IF($B384="Trash",INDEX('Materials Master'!$F$2:$F$27,MATCH($C384,'Materials Master'!$A$2:$A$27,0)),IF($B384="GMPC Recycling",INDEX('Materials Master'!$G$2:$G$27,MATCH($C384,'Materials Master'!$A$2:$A$27,0)),IF($B384="Organics Recycling",INDEX('Materials Master'!$H$2:$H$27,MATCH($C384,'Materials Master'!$A$2:$A$27,0)),IF($B384="Cardboard Recycling",INDEX('Materials Master'!$I$2:$I$27,MATCH($C384,'Materials Master'!$A$2:$A$27,0)),IF($B384="Paper Recycling",INDEX('Materials Master'!$J$2:$J$27,MATCH($C384,'Materials Master'!$A$2:$A$27,0)),IF($B384="Terracycle",INDEX('Materials Master'!$K$2:$K$27,MATCH($C384,'Materials Master'!$A$2:$A$27,0)),"No"))))))="Yes",1,0)</f>
        <v>0</v>
      </c>
    </row>
    <row r="385" customFormat="false" ht="15" hidden="false" customHeight="false" outlineLevel="0" collapsed="false">
      <c r="A385" s="0" t="s">
        <v>97</v>
      </c>
      <c r="B385" s="0" t="s">
        <v>105</v>
      </c>
      <c r="C385" s="0" t="s">
        <v>71</v>
      </c>
      <c r="D385" s="0" t="str">
        <f aca="false">IFERROR(INDEX('Materials Master'!$B$2:$B$27,MATCH($C385,'Materials Master'!$A$2:$A$27,0)),"")</f>
        <v>PLA Compostable Serviceware</v>
      </c>
      <c r="E385" s="0" t="str">
        <f aca="false">IFERROR(INDEX('Materials Master'!$C$2:$C$27,MATCH($C385,'Materials Master'!$A$2:$A$27,0)),"")</f>
        <v>Organics</v>
      </c>
      <c r="F385" s="0" t="n">
        <f aca="false">(SUMIFS(Fact_PreSortWeights!$E$2:$E$15,Fact_PreSortWeights!$C$2:$C$15,$A385,Fact_PreSortWeights!$B$2:$B$15,$B385,Fact_PreSortWeights!$F$2:$F$15,$C385))+(SUMIFS(Fact_SortedWeights!$E$2:$E$6,Fact_SortedWeights!$C$2:$C$6,$A385,Fact_SortedWeights!$B$2:$B$6,$B385,Fact_SortedWeights!$D$2:$D$6,$C385,Fact_SortedWeights!$L$2:$L$6,"Yes"))+IF((SUMIFS(Fact_SortedWeights!$E$2:$E$6,Fact_SortedWeights!$C$2:$C$6,$A385,Fact_SortedWeights!$B$2:$B$6,$B385,Fact_SortedWeights!$L$2:$L$6,"No"))=0,0,(SUMIFS(Fact_SortedWeights!$E$2:$E$6,Fact_SortedWeights!$C$2:$C$6,$A385,Fact_SortedWeights!$B$2:$B$6,$B385,Fact_SortedWeights!$D$2:$D$6,$C385,Fact_SortedWeights!$L$2:$L$6,"No"))/(SUMIFS(Fact_SortedWeights!$E$2:$E$6,Fact_SortedWeights!$C$2:$C$6,$A385,Fact_SortedWeights!$B$2:$B$6,$B385,Fact_SortedWeights!$L$2:$L$6,"No"))*((SUMIFS(Fact_PreSortWeights!$E$2:$E$15,Fact_PreSortWeights!$C$2:$C$15,$A385,Fact_PreSortWeights!$B$2:$B$15,$B385,Fact_PreSortWeights!$F$2:$F$15,""))-(SUMIFS(Fact_SortedWeights!$E$2:$E$6,Fact_SortedWeights!$C$2:$C$6,$A385,Fact_SortedWeights!$B$2:$B$6,$B385,Fact_SortedWeights!$L$2:$L$6,"Yes"))))</f>
        <v>0</v>
      </c>
      <c r="G385" s="0" t="n">
        <f aca="false">IF(AND(IF($B385="Trash",INDEX('Materials Master'!$F$2:$F$27,MATCH($C385,'Materials Master'!$A$2:$A$27,0)),IF($B385="GMPC Recycling",INDEX('Materials Master'!$G$2:$G$27,MATCH($C385,'Materials Master'!$A$2:$A$27,0)),IF($B385="Organics Recycling",INDEX('Materials Master'!$H$2:$H$27,MATCH($C385,'Materials Master'!$A$2:$A$27,0)),IF($B385="Cardboard Recycling",INDEX('Materials Master'!$I$2:$I$27,MATCH($C385,'Materials Master'!$A$2:$A$27,0)),IF($B385="Paper Recycling",INDEX('Materials Master'!$J$2:$J$27,MATCH($C385,'Materials Master'!$A$2:$A$27,0)),IF($B385="Terracycle",INDEX('Materials Master'!$K$2:$K$27,MATCH($C385,'Materials Master'!$A$2:$A$27,0)),"No"))))))="Yes",INDEX('Materials Master'!$E$2:$E$27,MATCH($C385,'Materials Master'!$A$2:$A$27,0))="Yes",$B385&lt;&gt;"Trash"),1,0)</f>
        <v>0</v>
      </c>
      <c r="H385" s="0" t="str">
        <f aca="false">INDEX('Materials Master'!$E$2:$E$27,MATCH($C385,'Materials Master'!$A$2:$A$27,0))</f>
        <v>No</v>
      </c>
      <c r="I385" s="0" t="str">
        <f aca="false">IFERROR(INDEX(Areas!$C$2:$C$6,MATCH($A385,Areas!$B$2:$B$6,0)),"")</f>
        <v>Rest of Building</v>
      </c>
      <c r="J385" s="0" t="n">
        <f aca="false">IF(IF($B385="Trash",INDEX('Materials Master'!$F$2:$F$27,MATCH($C385,'Materials Master'!$A$2:$A$27,0)),IF($B385="GMPC Recycling",INDEX('Materials Master'!$G$2:$G$27,MATCH($C385,'Materials Master'!$A$2:$A$27,0)),IF($B385="Organics Recycling",INDEX('Materials Master'!$H$2:$H$27,MATCH($C385,'Materials Master'!$A$2:$A$27,0)),IF($B385="Cardboard Recycling",INDEX('Materials Master'!$I$2:$I$27,MATCH($C385,'Materials Master'!$A$2:$A$27,0)),IF($B385="Paper Recycling",INDEX('Materials Master'!$J$2:$J$27,MATCH($C385,'Materials Master'!$A$2:$A$27,0)),IF($B385="Terracycle",INDEX('Materials Master'!$K$2:$K$27,MATCH($C385,'Materials Master'!$A$2:$A$27,0)),"No"))))))="Yes",1,0)</f>
        <v>0</v>
      </c>
    </row>
    <row r="386" customFormat="false" ht="15" hidden="false" customHeight="false" outlineLevel="0" collapsed="false">
      <c r="A386" s="0" t="s">
        <v>97</v>
      </c>
      <c r="B386" s="0" t="s">
        <v>105</v>
      </c>
      <c r="C386" s="0" t="s">
        <v>73</v>
      </c>
      <c r="D386" s="0" t="str">
        <f aca="false">IFERROR(INDEX('Materials Master'!$B$2:$B$27,MATCH($C386,'Materials Master'!$A$2:$A$27,0)),"")</f>
        <v>E/U Waste</v>
      </c>
      <c r="E386" s="0" t="str">
        <f aca="false">IFERROR(INDEX('Materials Master'!$C$2:$C$27,MATCH($C386,'Materials Master'!$A$2:$A$27,0)),"")</f>
        <v>Unacceptable</v>
      </c>
      <c r="F386" s="0" t="n">
        <f aca="false">(SUMIFS(Fact_PreSortWeights!$E$2:$E$15,Fact_PreSortWeights!$C$2:$C$15,$A386,Fact_PreSortWeights!$B$2:$B$15,$B386,Fact_PreSortWeights!$F$2:$F$15,$C386))+(SUMIFS(Fact_SortedWeights!$E$2:$E$6,Fact_SortedWeights!$C$2:$C$6,$A386,Fact_SortedWeights!$B$2:$B$6,$B386,Fact_SortedWeights!$D$2:$D$6,$C386,Fact_SortedWeights!$L$2:$L$6,"Yes"))+IF((SUMIFS(Fact_SortedWeights!$E$2:$E$6,Fact_SortedWeights!$C$2:$C$6,$A386,Fact_SortedWeights!$B$2:$B$6,$B386,Fact_SortedWeights!$L$2:$L$6,"No"))=0,0,(SUMIFS(Fact_SortedWeights!$E$2:$E$6,Fact_SortedWeights!$C$2:$C$6,$A386,Fact_SortedWeights!$B$2:$B$6,$B386,Fact_SortedWeights!$D$2:$D$6,$C386,Fact_SortedWeights!$L$2:$L$6,"No"))/(SUMIFS(Fact_SortedWeights!$E$2:$E$6,Fact_SortedWeights!$C$2:$C$6,$A386,Fact_SortedWeights!$B$2:$B$6,$B386,Fact_SortedWeights!$L$2:$L$6,"No"))*((SUMIFS(Fact_PreSortWeights!$E$2:$E$15,Fact_PreSortWeights!$C$2:$C$15,$A386,Fact_PreSortWeights!$B$2:$B$15,$B386,Fact_PreSortWeights!$F$2:$F$15,""))-(SUMIFS(Fact_SortedWeights!$E$2:$E$6,Fact_SortedWeights!$C$2:$C$6,$A386,Fact_SortedWeights!$B$2:$B$6,$B386,Fact_SortedWeights!$L$2:$L$6,"Yes"))))</f>
        <v>0</v>
      </c>
      <c r="G386" s="0" t="n">
        <f aca="false">IF(AND(IF($B386="Trash",INDEX('Materials Master'!$F$2:$F$27,MATCH($C386,'Materials Master'!$A$2:$A$27,0)),IF($B386="GMPC Recycling",INDEX('Materials Master'!$G$2:$G$27,MATCH($C386,'Materials Master'!$A$2:$A$27,0)),IF($B386="Organics Recycling",INDEX('Materials Master'!$H$2:$H$27,MATCH($C386,'Materials Master'!$A$2:$A$27,0)),IF($B386="Cardboard Recycling",INDEX('Materials Master'!$I$2:$I$27,MATCH($C386,'Materials Master'!$A$2:$A$27,0)),IF($B386="Paper Recycling",INDEX('Materials Master'!$J$2:$J$27,MATCH($C386,'Materials Master'!$A$2:$A$27,0)),IF($B386="Terracycle",INDEX('Materials Master'!$K$2:$K$27,MATCH($C386,'Materials Master'!$A$2:$A$27,0)),"No"))))))="Yes",INDEX('Materials Master'!$E$2:$E$27,MATCH($C386,'Materials Master'!$A$2:$A$27,0))="Yes",$B386&lt;&gt;"Trash"),1,0)</f>
        <v>0</v>
      </c>
      <c r="H386" s="0" t="str">
        <f aca="false">INDEX('Materials Master'!$E$2:$E$27,MATCH($C386,'Materials Master'!$A$2:$A$27,0))</f>
        <v>No</v>
      </c>
      <c r="I386" s="0" t="str">
        <f aca="false">IFERROR(INDEX(Areas!$C$2:$C$6,MATCH($A386,Areas!$B$2:$B$6,0)),"")</f>
        <v>Rest of Building</v>
      </c>
      <c r="J386" s="0" t="n">
        <f aca="false">IF(IF($B386="Trash",INDEX('Materials Master'!$F$2:$F$27,MATCH($C386,'Materials Master'!$A$2:$A$27,0)),IF($B386="GMPC Recycling",INDEX('Materials Master'!$G$2:$G$27,MATCH($C386,'Materials Master'!$A$2:$A$27,0)),IF($B386="Organics Recycling",INDEX('Materials Master'!$H$2:$H$27,MATCH($C386,'Materials Master'!$A$2:$A$27,0)),IF($B386="Cardboard Recycling",INDEX('Materials Master'!$I$2:$I$27,MATCH($C386,'Materials Master'!$A$2:$A$27,0)),IF($B386="Paper Recycling",INDEX('Materials Master'!$J$2:$J$27,MATCH($C386,'Materials Master'!$A$2:$A$27,0)),IF($B386="Terracycle",INDEX('Materials Master'!$K$2:$K$27,MATCH($C386,'Materials Master'!$A$2:$A$27,0)),"No"))))))="Yes",1,0)</f>
        <v>0</v>
      </c>
    </row>
    <row r="387" customFormat="false" ht="15" hidden="false" customHeight="false" outlineLevel="0" collapsed="false">
      <c r="A387" s="0" t="s">
        <v>97</v>
      </c>
      <c r="B387" s="0" t="s">
        <v>105</v>
      </c>
      <c r="C387" s="0" t="s">
        <v>76</v>
      </c>
      <c r="D387" s="0" t="str">
        <f aca="false">IFERROR(INDEX('Materials Master'!$B$2:$B$27,MATCH($C387,'Materials Master'!$A$2:$A$27,0)),"")</f>
        <v>Textiles</v>
      </c>
      <c r="E387" s="0" t="str">
        <f aca="false">IFERROR(INDEX('Materials Master'!$C$2:$C$27,MATCH($C387,'Materials Master'!$A$2:$A$27,0)),"")</f>
        <v>Unacceptable</v>
      </c>
      <c r="F387" s="0" t="n">
        <f aca="false">(SUMIFS(Fact_PreSortWeights!$E$2:$E$15,Fact_PreSortWeights!$C$2:$C$15,$A387,Fact_PreSortWeights!$B$2:$B$15,$B387,Fact_PreSortWeights!$F$2:$F$15,$C387))+(SUMIFS(Fact_SortedWeights!$E$2:$E$6,Fact_SortedWeights!$C$2:$C$6,$A387,Fact_SortedWeights!$B$2:$B$6,$B387,Fact_SortedWeights!$D$2:$D$6,$C387,Fact_SortedWeights!$L$2:$L$6,"Yes"))+IF((SUMIFS(Fact_SortedWeights!$E$2:$E$6,Fact_SortedWeights!$C$2:$C$6,$A387,Fact_SortedWeights!$B$2:$B$6,$B387,Fact_SortedWeights!$L$2:$L$6,"No"))=0,0,(SUMIFS(Fact_SortedWeights!$E$2:$E$6,Fact_SortedWeights!$C$2:$C$6,$A387,Fact_SortedWeights!$B$2:$B$6,$B387,Fact_SortedWeights!$D$2:$D$6,$C387,Fact_SortedWeights!$L$2:$L$6,"No"))/(SUMIFS(Fact_SortedWeights!$E$2:$E$6,Fact_SortedWeights!$C$2:$C$6,$A387,Fact_SortedWeights!$B$2:$B$6,$B387,Fact_SortedWeights!$L$2:$L$6,"No"))*((SUMIFS(Fact_PreSortWeights!$E$2:$E$15,Fact_PreSortWeights!$C$2:$C$15,$A387,Fact_PreSortWeights!$B$2:$B$15,$B387,Fact_PreSortWeights!$F$2:$F$15,""))-(SUMIFS(Fact_SortedWeights!$E$2:$E$6,Fact_SortedWeights!$C$2:$C$6,$A387,Fact_SortedWeights!$B$2:$B$6,$B387,Fact_SortedWeights!$L$2:$L$6,"Yes"))))</f>
        <v>0</v>
      </c>
      <c r="G387" s="0" t="n">
        <f aca="false">IF(AND(IF($B387="Trash",INDEX('Materials Master'!$F$2:$F$27,MATCH($C387,'Materials Master'!$A$2:$A$27,0)),IF($B387="GMPC Recycling",INDEX('Materials Master'!$G$2:$G$27,MATCH($C387,'Materials Master'!$A$2:$A$27,0)),IF($B387="Organics Recycling",INDEX('Materials Master'!$H$2:$H$27,MATCH($C387,'Materials Master'!$A$2:$A$27,0)),IF($B387="Cardboard Recycling",INDEX('Materials Master'!$I$2:$I$27,MATCH($C387,'Materials Master'!$A$2:$A$27,0)),IF($B387="Paper Recycling",INDEX('Materials Master'!$J$2:$J$27,MATCH($C387,'Materials Master'!$A$2:$A$27,0)),IF($B387="Terracycle",INDEX('Materials Master'!$K$2:$K$27,MATCH($C387,'Materials Master'!$A$2:$A$27,0)),"No"))))))="Yes",INDEX('Materials Master'!$E$2:$E$27,MATCH($C387,'Materials Master'!$A$2:$A$27,0))="Yes",$B387&lt;&gt;"Trash"),1,0)</f>
        <v>0</v>
      </c>
      <c r="H387" s="0" t="str">
        <f aca="false">INDEX('Materials Master'!$E$2:$E$27,MATCH($C387,'Materials Master'!$A$2:$A$27,0))</f>
        <v>No</v>
      </c>
      <c r="I387" s="0" t="str">
        <f aca="false">IFERROR(INDEX(Areas!$C$2:$C$6,MATCH($A387,Areas!$B$2:$B$6,0)),"")</f>
        <v>Rest of Building</v>
      </c>
      <c r="J387" s="0" t="n">
        <f aca="false">IF(IF($B387="Trash",INDEX('Materials Master'!$F$2:$F$27,MATCH($C387,'Materials Master'!$A$2:$A$27,0)),IF($B387="GMPC Recycling",INDEX('Materials Master'!$G$2:$G$27,MATCH($C387,'Materials Master'!$A$2:$A$27,0)),IF($B387="Organics Recycling",INDEX('Materials Master'!$H$2:$H$27,MATCH($C387,'Materials Master'!$A$2:$A$27,0)),IF($B387="Cardboard Recycling",INDEX('Materials Master'!$I$2:$I$27,MATCH($C387,'Materials Master'!$A$2:$A$27,0)),IF($B387="Paper Recycling",INDEX('Materials Master'!$J$2:$J$27,MATCH($C387,'Materials Master'!$A$2:$A$27,0)),IF($B387="Terracycle",INDEX('Materials Master'!$K$2:$K$27,MATCH($C387,'Materials Master'!$A$2:$A$27,0)),"No"))))))="Yes",1,0)</f>
        <v>0</v>
      </c>
    </row>
    <row r="388" customFormat="false" ht="15" hidden="false" customHeight="false" outlineLevel="0" collapsed="false">
      <c r="A388" s="0" t="s">
        <v>97</v>
      </c>
      <c r="B388" s="0" t="s">
        <v>105</v>
      </c>
      <c r="C388" s="0" t="s">
        <v>78</v>
      </c>
      <c r="D388" s="0" t="str">
        <f aca="false">IFERROR(INDEX('Materials Master'!$B$2:$B$27,MATCH($C388,'Materials Master'!$A$2:$A$27,0)),"")</f>
        <v>Other Unacceptable (specify)</v>
      </c>
      <c r="E388" s="0" t="str">
        <f aca="false">IFERROR(INDEX('Materials Master'!$C$2:$C$27,MATCH($C388,'Materials Master'!$A$2:$A$27,0)),"")</f>
        <v>Unacceptable</v>
      </c>
      <c r="F388" s="0" t="n">
        <f aca="false">(SUMIFS(Fact_PreSortWeights!$E$2:$E$15,Fact_PreSortWeights!$C$2:$C$15,$A388,Fact_PreSortWeights!$B$2:$B$15,$B388,Fact_PreSortWeights!$F$2:$F$15,$C388))+(SUMIFS(Fact_SortedWeights!$E$2:$E$6,Fact_SortedWeights!$C$2:$C$6,$A388,Fact_SortedWeights!$B$2:$B$6,$B388,Fact_SortedWeights!$D$2:$D$6,$C388,Fact_SortedWeights!$L$2:$L$6,"Yes"))+IF((SUMIFS(Fact_SortedWeights!$E$2:$E$6,Fact_SortedWeights!$C$2:$C$6,$A388,Fact_SortedWeights!$B$2:$B$6,$B388,Fact_SortedWeights!$L$2:$L$6,"No"))=0,0,(SUMIFS(Fact_SortedWeights!$E$2:$E$6,Fact_SortedWeights!$C$2:$C$6,$A388,Fact_SortedWeights!$B$2:$B$6,$B388,Fact_SortedWeights!$D$2:$D$6,$C388,Fact_SortedWeights!$L$2:$L$6,"No"))/(SUMIFS(Fact_SortedWeights!$E$2:$E$6,Fact_SortedWeights!$C$2:$C$6,$A388,Fact_SortedWeights!$B$2:$B$6,$B388,Fact_SortedWeights!$L$2:$L$6,"No"))*((SUMIFS(Fact_PreSortWeights!$E$2:$E$15,Fact_PreSortWeights!$C$2:$C$15,$A388,Fact_PreSortWeights!$B$2:$B$15,$B388,Fact_PreSortWeights!$F$2:$F$15,""))-(SUMIFS(Fact_SortedWeights!$E$2:$E$6,Fact_SortedWeights!$C$2:$C$6,$A388,Fact_SortedWeights!$B$2:$B$6,$B388,Fact_SortedWeights!$L$2:$L$6,"Yes"))))</f>
        <v>0</v>
      </c>
      <c r="G388" s="0" t="n">
        <f aca="false">IF(AND(IF($B388="Trash",INDEX('Materials Master'!$F$2:$F$27,MATCH($C388,'Materials Master'!$A$2:$A$27,0)),IF($B388="GMPC Recycling",INDEX('Materials Master'!$G$2:$G$27,MATCH($C388,'Materials Master'!$A$2:$A$27,0)),IF($B388="Organics Recycling",INDEX('Materials Master'!$H$2:$H$27,MATCH($C388,'Materials Master'!$A$2:$A$27,0)),IF($B388="Cardboard Recycling",INDEX('Materials Master'!$I$2:$I$27,MATCH($C388,'Materials Master'!$A$2:$A$27,0)),IF($B388="Paper Recycling",INDEX('Materials Master'!$J$2:$J$27,MATCH($C388,'Materials Master'!$A$2:$A$27,0)),IF($B388="Terracycle",INDEX('Materials Master'!$K$2:$K$27,MATCH($C388,'Materials Master'!$A$2:$A$27,0)),"No"))))))="Yes",INDEX('Materials Master'!$E$2:$E$27,MATCH($C388,'Materials Master'!$A$2:$A$27,0))="Yes",$B388&lt;&gt;"Trash"),1,0)</f>
        <v>0</v>
      </c>
      <c r="H388" s="0" t="str">
        <f aca="false">INDEX('Materials Master'!$E$2:$E$27,MATCH($C388,'Materials Master'!$A$2:$A$27,0))</f>
        <v>No</v>
      </c>
      <c r="I388" s="0" t="str">
        <f aca="false">IFERROR(INDEX(Areas!$C$2:$C$6,MATCH($A388,Areas!$B$2:$B$6,0)),"")</f>
        <v>Rest of Building</v>
      </c>
      <c r="J388" s="0" t="n">
        <f aca="false">IF(IF($B388="Trash",INDEX('Materials Master'!$F$2:$F$27,MATCH($C388,'Materials Master'!$A$2:$A$27,0)),IF($B388="GMPC Recycling",INDEX('Materials Master'!$G$2:$G$27,MATCH($C388,'Materials Master'!$A$2:$A$27,0)),IF($B388="Organics Recycling",INDEX('Materials Master'!$H$2:$H$27,MATCH($C388,'Materials Master'!$A$2:$A$27,0)),IF($B388="Cardboard Recycling",INDEX('Materials Master'!$I$2:$I$27,MATCH($C388,'Materials Master'!$A$2:$A$27,0)),IF($B388="Paper Recycling",INDEX('Materials Master'!$J$2:$J$27,MATCH($C388,'Materials Master'!$A$2:$A$27,0)),IF($B388="Terracycle",INDEX('Materials Master'!$K$2:$K$27,MATCH($C388,'Materials Master'!$A$2:$A$27,0)),"No"))))))="Yes",1,0)</f>
        <v>0</v>
      </c>
    </row>
    <row r="389" customFormat="false" ht="15" hidden="false" customHeight="false" outlineLevel="0" collapsed="false">
      <c r="A389" s="0" t="s">
        <v>97</v>
      </c>
      <c r="B389" s="0" t="s">
        <v>105</v>
      </c>
      <c r="C389" s="0" t="s">
        <v>80</v>
      </c>
      <c r="D389" s="0" t="str">
        <f aca="false">IFERROR(INDEX('Materials Master'!$B$2:$B$27,MATCH($C389,'Materials Master'!$A$2:$A$27,0)),"")</f>
        <v>Liquids</v>
      </c>
      <c r="E389" s="0" t="str">
        <f aca="false">IFERROR(INDEX('Materials Master'!$C$2:$C$27,MATCH($C389,'Materials Master'!$A$2:$A$27,0)),"")</f>
        <v>Unacceptable</v>
      </c>
      <c r="F389" s="0" t="n">
        <f aca="false">(SUMIFS(Fact_PreSortWeights!$E$2:$E$15,Fact_PreSortWeights!$C$2:$C$15,$A389,Fact_PreSortWeights!$B$2:$B$15,$B389,Fact_PreSortWeights!$F$2:$F$15,$C389))+(SUMIFS(Fact_SortedWeights!$E$2:$E$6,Fact_SortedWeights!$C$2:$C$6,$A389,Fact_SortedWeights!$B$2:$B$6,$B389,Fact_SortedWeights!$D$2:$D$6,$C389,Fact_SortedWeights!$L$2:$L$6,"Yes"))+IF((SUMIFS(Fact_SortedWeights!$E$2:$E$6,Fact_SortedWeights!$C$2:$C$6,$A389,Fact_SortedWeights!$B$2:$B$6,$B389,Fact_SortedWeights!$L$2:$L$6,"No"))=0,0,(SUMIFS(Fact_SortedWeights!$E$2:$E$6,Fact_SortedWeights!$C$2:$C$6,$A389,Fact_SortedWeights!$B$2:$B$6,$B389,Fact_SortedWeights!$D$2:$D$6,$C389,Fact_SortedWeights!$L$2:$L$6,"No"))/(SUMIFS(Fact_SortedWeights!$E$2:$E$6,Fact_SortedWeights!$C$2:$C$6,$A389,Fact_SortedWeights!$B$2:$B$6,$B389,Fact_SortedWeights!$L$2:$L$6,"No"))*((SUMIFS(Fact_PreSortWeights!$E$2:$E$15,Fact_PreSortWeights!$C$2:$C$15,$A389,Fact_PreSortWeights!$B$2:$B$15,$B389,Fact_PreSortWeights!$F$2:$F$15,""))-(SUMIFS(Fact_SortedWeights!$E$2:$E$6,Fact_SortedWeights!$C$2:$C$6,$A389,Fact_SortedWeights!$B$2:$B$6,$B389,Fact_SortedWeights!$L$2:$L$6,"Yes"))))</f>
        <v>0</v>
      </c>
      <c r="G389" s="0" t="n">
        <f aca="false">IF(AND(IF($B389="Trash",INDEX('Materials Master'!$F$2:$F$27,MATCH($C389,'Materials Master'!$A$2:$A$27,0)),IF($B389="GMPC Recycling",INDEX('Materials Master'!$G$2:$G$27,MATCH($C389,'Materials Master'!$A$2:$A$27,0)),IF($B389="Organics Recycling",INDEX('Materials Master'!$H$2:$H$27,MATCH($C389,'Materials Master'!$A$2:$A$27,0)),IF($B389="Cardboard Recycling",INDEX('Materials Master'!$I$2:$I$27,MATCH($C389,'Materials Master'!$A$2:$A$27,0)),IF($B389="Paper Recycling",INDEX('Materials Master'!$J$2:$J$27,MATCH($C389,'Materials Master'!$A$2:$A$27,0)),IF($B389="Terracycle",INDEX('Materials Master'!$K$2:$K$27,MATCH($C389,'Materials Master'!$A$2:$A$27,0)),"No"))))))="Yes",INDEX('Materials Master'!$E$2:$E$27,MATCH($C389,'Materials Master'!$A$2:$A$27,0))="Yes",$B389&lt;&gt;"Trash"),1,0)</f>
        <v>0</v>
      </c>
      <c r="H389" s="0" t="str">
        <f aca="false">INDEX('Materials Master'!$E$2:$E$27,MATCH($C389,'Materials Master'!$A$2:$A$27,0))</f>
        <v>No</v>
      </c>
      <c r="I389" s="0" t="str">
        <f aca="false">IFERROR(INDEX(Areas!$C$2:$C$6,MATCH($A389,Areas!$B$2:$B$6,0)),"")</f>
        <v>Rest of Building</v>
      </c>
      <c r="J389" s="0" t="n">
        <f aca="false">IF(IF($B389="Trash",INDEX('Materials Master'!$F$2:$F$27,MATCH($C389,'Materials Master'!$A$2:$A$27,0)),IF($B389="GMPC Recycling",INDEX('Materials Master'!$G$2:$G$27,MATCH($C389,'Materials Master'!$A$2:$A$27,0)),IF($B389="Organics Recycling",INDEX('Materials Master'!$H$2:$H$27,MATCH($C389,'Materials Master'!$A$2:$A$27,0)),IF($B389="Cardboard Recycling",INDEX('Materials Master'!$I$2:$I$27,MATCH($C389,'Materials Master'!$A$2:$A$27,0)),IF($B389="Paper Recycling",INDEX('Materials Master'!$J$2:$J$27,MATCH($C389,'Materials Master'!$A$2:$A$27,0)),IF($B389="Terracycle",INDEX('Materials Master'!$K$2:$K$27,MATCH($C389,'Materials Master'!$A$2:$A$27,0)),"No"))))))="Yes",1,0)</f>
        <v>0</v>
      </c>
    </row>
    <row r="390" customFormat="false" ht="15" hidden="false" customHeight="false" outlineLevel="0" collapsed="false">
      <c r="A390" s="0" t="s">
        <v>97</v>
      </c>
      <c r="B390" s="0" t="s">
        <v>105</v>
      </c>
      <c r="C390" s="0" t="s">
        <v>82</v>
      </c>
      <c r="D390" s="0" t="str">
        <f aca="false">IFERROR(INDEX('Materials Master'!$B$2:$B$27,MATCH($C390,'Materials Master'!$A$2:$A$27,0)),"")</f>
        <v>Snack Wrappers (Composites)</v>
      </c>
      <c r="E390" s="0" t="str">
        <f aca="false">IFERROR(INDEX('Materials Master'!$C$2:$C$27,MATCH($C390,'Materials Master'!$A$2:$A$27,0)),"")</f>
        <v>Other</v>
      </c>
      <c r="F390" s="0" t="n">
        <f aca="false">(SUMIFS(Fact_PreSortWeights!$E$2:$E$15,Fact_PreSortWeights!$C$2:$C$15,$A390,Fact_PreSortWeights!$B$2:$B$15,$B390,Fact_PreSortWeights!$F$2:$F$15,$C390))+(SUMIFS(Fact_SortedWeights!$E$2:$E$6,Fact_SortedWeights!$C$2:$C$6,$A390,Fact_SortedWeights!$B$2:$B$6,$B390,Fact_SortedWeights!$D$2:$D$6,$C390,Fact_SortedWeights!$L$2:$L$6,"Yes"))+IF((SUMIFS(Fact_SortedWeights!$E$2:$E$6,Fact_SortedWeights!$C$2:$C$6,$A390,Fact_SortedWeights!$B$2:$B$6,$B390,Fact_SortedWeights!$L$2:$L$6,"No"))=0,0,(SUMIFS(Fact_SortedWeights!$E$2:$E$6,Fact_SortedWeights!$C$2:$C$6,$A390,Fact_SortedWeights!$B$2:$B$6,$B390,Fact_SortedWeights!$D$2:$D$6,$C390,Fact_SortedWeights!$L$2:$L$6,"No"))/(SUMIFS(Fact_SortedWeights!$E$2:$E$6,Fact_SortedWeights!$C$2:$C$6,$A390,Fact_SortedWeights!$B$2:$B$6,$B390,Fact_SortedWeights!$L$2:$L$6,"No"))*((SUMIFS(Fact_PreSortWeights!$E$2:$E$15,Fact_PreSortWeights!$C$2:$C$15,$A390,Fact_PreSortWeights!$B$2:$B$15,$B390,Fact_PreSortWeights!$F$2:$F$15,""))-(SUMIFS(Fact_SortedWeights!$E$2:$E$6,Fact_SortedWeights!$C$2:$C$6,$A390,Fact_SortedWeights!$B$2:$B$6,$B390,Fact_SortedWeights!$L$2:$L$6,"Yes"))))</f>
        <v>0</v>
      </c>
      <c r="G390" s="0" t="n">
        <f aca="false">IF(AND(IF($B390="Trash",INDEX('Materials Master'!$F$2:$F$27,MATCH($C390,'Materials Master'!$A$2:$A$27,0)),IF($B390="GMPC Recycling",INDEX('Materials Master'!$G$2:$G$27,MATCH($C390,'Materials Master'!$A$2:$A$27,0)),IF($B390="Organics Recycling",INDEX('Materials Master'!$H$2:$H$27,MATCH($C390,'Materials Master'!$A$2:$A$27,0)),IF($B390="Cardboard Recycling",INDEX('Materials Master'!$I$2:$I$27,MATCH($C390,'Materials Master'!$A$2:$A$27,0)),IF($B390="Paper Recycling",INDEX('Materials Master'!$J$2:$J$27,MATCH($C390,'Materials Master'!$A$2:$A$27,0)),IF($B390="Terracycle",INDEX('Materials Master'!$K$2:$K$27,MATCH($C390,'Materials Master'!$A$2:$A$27,0)),"No"))))))="Yes",INDEX('Materials Master'!$E$2:$E$27,MATCH($C390,'Materials Master'!$A$2:$A$27,0))="Yes",$B390&lt;&gt;"Trash"),1,0)</f>
        <v>0</v>
      </c>
      <c r="H390" s="0" t="str">
        <f aca="false">INDEX('Materials Master'!$E$2:$E$27,MATCH($C390,'Materials Master'!$A$2:$A$27,0))</f>
        <v>Yes</v>
      </c>
      <c r="I390" s="0" t="str">
        <f aca="false">IFERROR(INDEX(Areas!$C$2:$C$6,MATCH($A390,Areas!$B$2:$B$6,0)),"")</f>
        <v>Rest of Building</v>
      </c>
      <c r="J390" s="0" t="n">
        <f aca="false">IF(IF($B390="Trash",INDEX('Materials Master'!$F$2:$F$27,MATCH($C390,'Materials Master'!$A$2:$A$27,0)),IF($B390="GMPC Recycling",INDEX('Materials Master'!$G$2:$G$27,MATCH($C390,'Materials Master'!$A$2:$A$27,0)),IF($B390="Organics Recycling",INDEX('Materials Master'!$H$2:$H$27,MATCH($C390,'Materials Master'!$A$2:$A$27,0)),IF($B390="Cardboard Recycling",INDEX('Materials Master'!$I$2:$I$27,MATCH($C390,'Materials Master'!$A$2:$A$27,0)),IF($B390="Paper Recycling",INDEX('Materials Master'!$J$2:$J$27,MATCH($C390,'Materials Master'!$A$2:$A$27,0)),IF($B390="Terracycle",INDEX('Materials Master'!$K$2:$K$27,MATCH($C390,'Materials Master'!$A$2:$A$27,0)),"No"))))))="Yes",1,0)</f>
        <v>0</v>
      </c>
    </row>
    <row r="391" customFormat="false" ht="15" hidden="false" customHeight="false" outlineLevel="0" collapsed="false">
      <c r="A391" s="0" t="s">
        <v>97</v>
      </c>
      <c r="B391" s="0" t="s">
        <v>105</v>
      </c>
      <c r="C391" s="0" t="s">
        <v>85</v>
      </c>
      <c r="D391" s="0" t="str">
        <f aca="false">IFERROR(INDEX('Materials Master'!$B$2:$B$27,MATCH($C391,'Materials Master'!$A$2:$A$27,0)),"")</f>
        <v>Other/Residual Materials</v>
      </c>
      <c r="E391" s="0" t="str">
        <f aca="false">IFERROR(INDEX('Materials Master'!$C$2:$C$27,MATCH($C391,'Materials Master'!$A$2:$A$27,0)),"")</f>
        <v>Other</v>
      </c>
      <c r="F391" s="0" t="n">
        <f aca="false">(SUMIFS(Fact_PreSortWeights!$E$2:$E$15,Fact_PreSortWeights!$C$2:$C$15,$A391,Fact_PreSortWeights!$B$2:$B$15,$B391,Fact_PreSortWeights!$F$2:$F$15,$C391))+(SUMIFS(Fact_SortedWeights!$E$2:$E$6,Fact_SortedWeights!$C$2:$C$6,$A391,Fact_SortedWeights!$B$2:$B$6,$B391,Fact_SortedWeights!$D$2:$D$6,$C391,Fact_SortedWeights!$L$2:$L$6,"Yes"))+IF((SUMIFS(Fact_SortedWeights!$E$2:$E$6,Fact_SortedWeights!$C$2:$C$6,$A391,Fact_SortedWeights!$B$2:$B$6,$B391,Fact_SortedWeights!$L$2:$L$6,"No"))=0,0,(SUMIFS(Fact_SortedWeights!$E$2:$E$6,Fact_SortedWeights!$C$2:$C$6,$A391,Fact_SortedWeights!$B$2:$B$6,$B391,Fact_SortedWeights!$D$2:$D$6,$C391,Fact_SortedWeights!$L$2:$L$6,"No"))/(SUMIFS(Fact_SortedWeights!$E$2:$E$6,Fact_SortedWeights!$C$2:$C$6,$A391,Fact_SortedWeights!$B$2:$B$6,$B391,Fact_SortedWeights!$L$2:$L$6,"No"))*((SUMIFS(Fact_PreSortWeights!$E$2:$E$15,Fact_PreSortWeights!$C$2:$C$15,$A391,Fact_PreSortWeights!$B$2:$B$15,$B391,Fact_PreSortWeights!$F$2:$F$15,""))-(SUMIFS(Fact_SortedWeights!$E$2:$E$6,Fact_SortedWeights!$C$2:$C$6,$A391,Fact_SortedWeights!$B$2:$B$6,$B391,Fact_SortedWeights!$L$2:$L$6,"Yes"))))</f>
        <v>0</v>
      </c>
      <c r="G391" s="0" t="n">
        <f aca="false">IF(AND(IF($B391="Trash",INDEX('Materials Master'!$F$2:$F$27,MATCH($C391,'Materials Master'!$A$2:$A$27,0)),IF($B391="GMPC Recycling",INDEX('Materials Master'!$G$2:$G$27,MATCH($C391,'Materials Master'!$A$2:$A$27,0)),IF($B391="Organics Recycling",INDEX('Materials Master'!$H$2:$H$27,MATCH($C391,'Materials Master'!$A$2:$A$27,0)),IF($B391="Cardboard Recycling",INDEX('Materials Master'!$I$2:$I$27,MATCH($C391,'Materials Master'!$A$2:$A$27,0)),IF($B391="Paper Recycling",INDEX('Materials Master'!$J$2:$J$27,MATCH($C391,'Materials Master'!$A$2:$A$27,0)),IF($B391="Terracycle",INDEX('Materials Master'!$K$2:$K$27,MATCH($C391,'Materials Master'!$A$2:$A$27,0)),"No"))))))="Yes",INDEX('Materials Master'!$E$2:$E$27,MATCH($C391,'Materials Master'!$A$2:$A$27,0))="Yes",$B391&lt;&gt;"Trash"),1,0)</f>
        <v>0</v>
      </c>
      <c r="H391" s="0" t="str">
        <f aca="false">INDEX('Materials Master'!$E$2:$E$27,MATCH($C391,'Materials Master'!$A$2:$A$27,0))</f>
        <v>No</v>
      </c>
      <c r="I391" s="0" t="str">
        <f aca="false">IFERROR(INDEX(Areas!$C$2:$C$6,MATCH($A391,Areas!$B$2:$B$6,0)),"")</f>
        <v>Rest of Building</v>
      </c>
      <c r="J391" s="0" t="n">
        <f aca="false">IF(IF($B391="Trash",INDEX('Materials Master'!$F$2:$F$27,MATCH($C391,'Materials Master'!$A$2:$A$27,0)),IF($B391="GMPC Recycling",INDEX('Materials Master'!$G$2:$G$27,MATCH($C391,'Materials Master'!$A$2:$A$27,0)),IF($B391="Organics Recycling",INDEX('Materials Master'!$H$2:$H$27,MATCH($C391,'Materials Master'!$A$2:$A$27,0)),IF($B391="Cardboard Recycling",INDEX('Materials Master'!$I$2:$I$27,MATCH($C391,'Materials Master'!$A$2:$A$27,0)),IF($B391="Paper Recycling",INDEX('Materials Master'!$J$2:$J$27,MATCH($C391,'Materials Master'!$A$2:$A$27,0)),IF($B391="Terracycle",INDEX('Materials Master'!$K$2:$K$27,MATCH($C391,'Materials Master'!$A$2:$A$27,0)),"No"))))))="Yes",1,0)</f>
        <v>0</v>
      </c>
    </row>
    <row r="392" customFormat="false" ht="15" hidden="false" customHeight="false" outlineLevel="0" collapsed="false">
      <c r="A392" s="0" t="s">
        <v>97</v>
      </c>
      <c r="B392" s="0" t="s">
        <v>106</v>
      </c>
      <c r="C392" s="0" t="s">
        <v>26</v>
      </c>
      <c r="D392" s="0" t="str">
        <f aca="false">IFERROR(INDEX('Materials Master'!$B$2:$B$27,MATCH($C392,'Materials Master'!$A$2:$A$27,0)),"")</f>
        <v>Corrugated Cardboard</v>
      </c>
      <c r="E392" s="0" t="str">
        <f aca="false">IFERROR(INDEX('Materials Master'!$C$2:$C$27,MATCH($C392,'Materials Master'!$A$2:$A$27,0)),"")</f>
        <v>Fibers</v>
      </c>
      <c r="F392" s="0" t="n">
        <f aca="false">SUMIFS(Fact_SortedWeights!$E$2:$E$6,Fact_SortedWeights!$C$2:$C$6,$A392,Fact_SortedWeights!$B$2:$B$6,$B392,Fact_SortedWeights!$D$2:$D$6,$C392)</f>
        <v>0</v>
      </c>
      <c r="G392" s="0" t="n">
        <f aca="false">IF(AND(IF($B392="Trash",INDEX('Materials Master'!$F$2:$F$27,MATCH($C392,'Materials Master'!$A$2:$A$27,0)),IF($B392="GMPC Recycling",INDEX('Materials Master'!$G$2:$G$27,MATCH($C392,'Materials Master'!$A$2:$A$27,0)),IF($B392="Organics Recycling",INDEX('Materials Master'!$H$2:$H$27,MATCH($C392,'Materials Master'!$A$2:$A$27,0)),IF($B392="Cardboard Recycling",INDEX('Materials Master'!$I$2:$I$27,MATCH($C392,'Materials Master'!$A$2:$A$27,0)),IF($B392="Paper Recycling",INDEX('Materials Master'!$J$2:$J$27,MATCH($C392,'Materials Master'!$A$2:$A$27,0)),IF($B392="Terracycle",INDEX('Materials Master'!$K$2:$K$27,MATCH($C392,'Materials Master'!$A$2:$A$27,0)),"No"))))))="Yes",INDEX('Materials Master'!$E$2:$E$27,MATCH($C392,'Materials Master'!$A$2:$A$27,0))="Yes",$B392&lt;&gt;"Trash"),1,0)</f>
        <v>1</v>
      </c>
      <c r="H392" s="0" t="str">
        <f aca="false">INDEX('Materials Master'!$E$2:$E$27,MATCH($C392,'Materials Master'!$A$2:$A$27,0))</f>
        <v>Yes</v>
      </c>
      <c r="I392" s="0" t="str">
        <f aca="false">IFERROR(INDEX(Areas!$C$2:$C$6,MATCH($A392,Areas!$B$2:$B$6,0)),"")</f>
        <v>Rest of Building</v>
      </c>
      <c r="J392" s="0" t="n">
        <f aca="false">IF(IF($B392="Trash",INDEX('Materials Master'!$F$2:$F$27,MATCH($C392,'Materials Master'!$A$2:$A$27,0)),IF($B392="GMPC Recycling",INDEX('Materials Master'!$G$2:$G$27,MATCH($C392,'Materials Master'!$A$2:$A$27,0)),IF($B392="Organics Recycling",INDEX('Materials Master'!$H$2:$H$27,MATCH($C392,'Materials Master'!$A$2:$A$27,0)),IF($B392="Cardboard Recycling",INDEX('Materials Master'!$I$2:$I$27,MATCH($C392,'Materials Master'!$A$2:$A$27,0)),IF($B392="Paper Recycling",INDEX('Materials Master'!$J$2:$J$27,MATCH($C392,'Materials Master'!$A$2:$A$27,0)),IF($B392="Terracycle",INDEX('Materials Master'!$K$2:$K$27,MATCH($C392,'Materials Master'!$A$2:$A$27,0)),"No"))))))="Yes",1,0)</f>
        <v>1</v>
      </c>
    </row>
    <row r="393" customFormat="false" ht="15" hidden="false" customHeight="false" outlineLevel="0" collapsed="false">
      <c r="A393" s="0" t="s">
        <v>97</v>
      </c>
      <c r="B393" s="0" t="s">
        <v>106</v>
      </c>
      <c r="C393" s="0" t="s">
        <v>31</v>
      </c>
      <c r="D393" s="0" t="str">
        <f aca="false">IFERROR(INDEX('Materials Master'!$B$2:$B$27,MATCH($C393,'Materials Master'!$A$2:$A$27,0)),"")</f>
        <v>Soiled Cardboard</v>
      </c>
      <c r="E393" s="0" t="str">
        <f aca="false">IFERROR(INDEX('Materials Master'!$C$2:$C$27,MATCH($C393,'Materials Master'!$A$2:$A$27,0)),"")</f>
        <v>Fibers</v>
      </c>
      <c r="F393" s="0" t="n">
        <f aca="false">SUMIFS(Fact_SortedWeights!$E$2:$E$6,Fact_SortedWeights!$C$2:$C$6,$A393,Fact_SortedWeights!$B$2:$B$6,$B393,Fact_SortedWeights!$D$2:$D$6,$C393)</f>
        <v>0</v>
      </c>
      <c r="G393" s="0" t="n">
        <f aca="false">IF(AND(IF($B393="Trash",INDEX('Materials Master'!$F$2:$F$27,MATCH($C393,'Materials Master'!$A$2:$A$27,0)),IF($B393="GMPC Recycling",INDEX('Materials Master'!$G$2:$G$27,MATCH($C393,'Materials Master'!$A$2:$A$27,0)),IF($B393="Organics Recycling",INDEX('Materials Master'!$H$2:$H$27,MATCH($C393,'Materials Master'!$A$2:$A$27,0)),IF($B393="Cardboard Recycling",INDEX('Materials Master'!$I$2:$I$27,MATCH($C393,'Materials Master'!$A$2:$A$27,0)),IF($B393="Paper Recycling",INDEX('Materials Master'!$J$2:$J$27,MATCH($C393,'Materials Master'!$A$2:$A$27,0)),IF($B393="Terracycle",INDEX('Materials Master'!$K$2:$K$27,MATCH($C393,'Materials Master'!$A$2:$A$27,0)),"No"))))))="Yes",INDEX('Materials Master'!$E$2:$E$27,MATCH($C393,'Materials Master'!$A$2:$A$27,0))="Yes",$B393&lt;&gt;"Trash"),1,0)</f>
        <v>0</v>
      </c>
      <c r="H393" s="0" t="str">
        <f aca="false">INDEX('Materials Master'!$E$2:$E$27,MATCH($C393,'Materials Master'!$A$2:$A$27,0))</f>
        <v>No</v>
      </c>
      <c r="I393" s="0" t="str">
        <f aca="false">IFERROR(INDEX(Areas!$C$2:$C$6,MATCH($A393,Areas!$B$2:$B$6,0)),"")</f>
        <v>Rest of Building</v>
      </c>
      <c r="J393" s="0" t="n">
        <f aca="false">IF(IF($B393="Trash",INDEX('Materials Master'!$F$2:$F$27,MATCH($C393,'Materials Master'!$A$2:$A$27,0)),IF($B393="GMPC Recycling",INDEX('Materials Master'!$G$2:$G$27,MATCH($C393,'Materials Master'!$A$2:$A$27,0)),IF($B393="Organics Recycling",INDEX('Materials Master'!$H$2:$H$27,MATCH($C393,'Materials Master'!$A$2:$A$27,0)),IF($B393="Cardboard Recycling",INDEX('Materials Master'!$I$2:$I$27,MATCH($C393,'Materials Master'!$A$2:$A$27,0)),IF($B393="Paper Recycling",INDEX('Materials Master'!$J$2:$J$27,MATCH($C393,'Materials Master'!$A$2:$A$27,0)),IF($B393="Terracycle",INDEX('Materials Master'!$K$2:$K$27,MATCH($C393,'Materials Master'!$A$2:$A$27,0)),"No"))))))="Yes",1,0)</f>
        <v>0</v>
      </c>
    </row>
    <row r="394" customFormat="false" ht="15" hidden="false" customHeight="false" outlineLevel="0" collapsed="false">
      <c r="A394" s="0" t="s">
        <v>97</v>
      </c>
      <c r="B394" s="0" t="s">
        <v>106</v>
      </c>
      <c r="C394" s="0" t="s">
        <v>33</v>
      </c>
      <c r="D394" s="0" t="str">
        <f aca="false">IFERROR(INDEX('Materials Master'!$B$2:$B$27,MATCH($C394,'Materials Master'!$A$2:$A$27,0)),"")</f>
        <v>Waxed Cardboard</v>
      </c>
      <c r="E394" s="0" t="str">
        <f aca="false">IFERROR(INDEX('Materials Master'!$C$2:$C$27,MATCH($C394,'Materials Master'!$A$2:$A$27,0)),"")</f>
        <v>Fibers</v>
      </c>
      <c r="F394" s="0" t="n">
        <f aca="false">SUMIFS(Fact_SortedWeights!$E$2:$E$6,Fact_SortedWeights!$C$2:$C$6,$A394,Fact_SortedWeights!$B$2:$B$6,$B394,Fact_SortedWeights!$D$2:$D$6,$C394)</f>
        <v>0</v>
      </c>
      <c r="G394" s="0" t="n">
        <f aca="false">IF(AND(IF($B394="Trash",INDEX('Materials Master'!$F$2:$F$27,MATCH($C394,'Materials Master'!$A$2:$A$27,0)),IF($B394="GMPC Recycling",INDEX('Materials Master'!$G$2:$G$27,MATCH($C394,'Materials Master'!$A$2:$A$27,0)),IF($B394="Organics Recycling",INDEX('Materials Master'!$H$2:$H$27,MATCH($C394,'Materials Master'!$A$2:$A$27,0)),IF($B394="Cardboard Recycling",INDEX('Materials Master'!$I$2:$I$27,MATCH($C394,'Materials Master'!$A$2:$A$27,0)),IF($B394="Paper Recycling",INDEX('Materials Master'!$J$2:$J$27,MATCH($C394,'Materials Master'!$A$2:$A$27,0)),IF($B394="Terracycle",INDEX('Materials Master'!$K$2:$K$27,MATCH($C394,'Materials Master'!$A$2:$A$27,0)),"No"))))))="Yes",INDEX('Materials Master'!$E$2:$E$27,MATCH($C394,'Materials Master'!$A$2:$A$27,0))="Yes",$B394&lt;&gt;"Trash"),1,0)</f>
        <v>0</v>
      </c>
      <c r="H394" s="0" t="str">
        <f aca="false">INDEX('Materials Master'!$E$2:$E$27,MATCH($C394,'Materials Master'!$A$2:$A$27,0))</f>
        <v>No</v>
      </c>
      <c r="I394" s="0" t="str">
        <f aca="false">IFERROR(INDEX(Areas!$C$2:$C$6,MATCH($A394,Areas!$B$2:$B$6,0)),"")</f>
        <v>Rest of Building</v>
      </c>
      <c r="J394" s="0" t="n">
        <f aca="false">IF(IF($B394="Trash",INDEX('Materials Master'!$F$2:$F$27,MATCH($C394,'Materials Master'!$A$2:$A$27,0)),IF($B394="GMPC Recycling",INDEX('Materials Master'!$G$2:$G$27,MATCH($C394,'Materials Master'!$A$2:$A$27,0)),IF($B394="Organics Recycling",INDEX('Materials Master'!$H$2:$H$27,MATCH($C394,'Materials Master'!$A$2:$A$27,0)),IF($B394="Cardboard Recycling",INDEX('Materials Master'!$I$2:$I$27,MATCH($C394,'Materials Master'!$A$2:$A$27,0)),IF($B394="Paper Recycling",INDEX('Materials Master'!$J$2:$J$27,MATCH($C394,'Materials Master'!$A$2:$A$27,0)),IF($B394="Terracycle",INDEX('Materials Master'!$K$2:$K$27,MATCH($C394,'Materials Master'!$A$2:$A$27,0)),"No"))))))="Yes",1,0)</f>
        <v>0</v>
      </c>
    </row>
    <row r="395" customFormat="false" ht="15" hidden="false" customHeight="false" outlineLevel="0" collapsed="false">
      <c r="A395" s="0" t="s">
        <v>97</v>
      </c>
      <c r="B395" s="0" t="s">
        <v>106</v>
      </c>
      <c r="C395" s="0" t="s">
        <v>35</v>
      </c>
      <c r="D395" s="0" t="str">
        <f aca="false">IFERROR(INDEX('Materials Master'!$B$2:$B$27,MATCH($C395,'Materials Master'!$A$2:$A$27,0)),"")</f>
        <v>Mixed Paper</v>
      </c>
      <c r="E395" s="0" t="str">
        <f aca="false">IFERROR(INDEX('Materials Master'!$C$2:$C$27,MATCH($C395,'Materials Master'!$A$2:$A$27,0)),"")</f>
        <v>Fibers</v>
      </c>
      <c r="F395" s="0" t="n">
        <f aca="false">SUMIFS(Fact_SortedWeights!$E$2:$E$6,Fact_SortedWeights!$C$2:$C$6,$A395,Fact_SortedWeights!$B$2:$B$6,$B395,Fact_SortedWeights!$D$2:$D$6,$C395)</f>
        <v>0</v>
      </c>
      <c r="G395" s="0" t="n">
        <f aca="false">IF(AND(IF($B395="Trash",INDEX('Materials Master'!$F$2:$F$27,MATCH($C395,'Materials Master'!$A$2:$A$27,0)),IF($B395="GMPC Recycling",INDEX('Materials Master'!$G$2:$G$27,MATCH($C395,'Materials Master'!$A$2:$A$27,0)),IF($B395="Organics Recycling",INDEX('Materials Master'!$H$2:$H$27,MATCH($C395,'Materials Master'!$A$2:$A$27,0)),IF($B395="Cardboard Recycling",INDEX('Materials Master'!$I$2:$I$27,MATCH($C395,'Materials Master'!$A$2:$A$27,0)),IF($B395="Paper Recycling",INDEX('Materials Master'!$J$2:$J$27,MATCH($C395,'Materials Master'!$A$2:$A$27,0)),IF($B395="Terracycle",INDEX('Materials Master'!$K$2:$K$27,MATCH($C395,'Materials Master'!$A$2:$A$27,0)),"No"))))))="Yes",INDEX('Materials Master'!$E$2:$E$27,MATCH($C395,'Materials Master'!$A$2:$A$27,0))="Yes",$B395&lt;&gt;"Trash"),1,0)</f>
        <v>0</v>
      </c>
      <c r="H395" s="0" t="str">
        <f aca="false">INDEX('Materials Master'!$E$2:$E$27,MATCH($C395,'Materials Master'!$A$2:$A$27,0))</f>
        <v>Yes</v>
      </c>
      <c r="I395" s="0" t="str">
        <f aca="false">IFERROR(INDEX(Areas!$C$2:$C$6,MATCH($A395,Areas!$B$2:$B$6,0)),"")</f>
        <v>Rest of Building</v>
      </c>
      <c r="J395" s="0" t="n">
        <f aca="false">IF(IF($B395="Trash",INDEX('Materials Master'!$F$2:$F$27,MATCH($C395,'Materials Master'!$A$2:$A$27,0)),IF($B395="GMPC Recycling",INDEX('Materials Master'!$G$2:$G$27,MATCH($C395,'Materials Master'!$A$2:$A$27,0)),IF($B395="Organics Recycling",INDEX('Materials Master'!$H$2:$H$27,MATCH($C395,'Materials Master'!$A$2:$A$27,0)),IF($B395="Cardboard Recycling",INDEX('Materials Master'!$I$2:$I$27,MATCH($C395,'Materials Master'!$A$2:$A$27,0)),IF($B395="Paper Recycling",INDEX('Materials Master'!$J$2:$J$27,MATCH($C395,'Materials Master'!$A$2:$A$27,0)),IF($B395="Terracycle",INDEX('Materials Master'!$K$2:$K$27,MATCH($C395,'Materials Master'!$A$2:$A$27,0)),"No"))))))="Yes",1,0)</f>
        <v>0</v>
      </c>
    </row>
    <row r="396" customFormat="false" ht="15" hidden="false" customHeight="false" outlineLevel="0" collapsed="false">
      <c r="A396" s="0" t="s">
        <v>97</v>
      </c>
      <c r="B396" s="0" t="s">
        <v>106</v>
      </c>
      <c r="C396" s="0" t="s">
        <v>37</v>
      </c>
      <c r="D396" s="0" t="str">
        <f aca="false">IFERROR(INDEX('Materials Master'!$B$2:$B$27,MATCH($C396,'Materials Master'!$A$2:$A$27,0)),"")</f>
        <v>Soiled Paper</v>
      </c>
      <c r="E396" s="0" t="str">
        <f aca="false">IFERROR(INDEX('Materials Master'!$C$2:$C$27,MATCH($C396,'Materials Master'!$A$2:$A$27,0)),"")</f>
        <v>Fibers</v>
      </c>
      <c r="F396" s="0" t="n">
        <f aca="false">SUMIFS(Fact_SortedWeights!$E$2:$E$6,Fact_SortedWeights!$C$2:$C$6,$A396,Fact_SortedWeights!$B$2:$B$6,$B396,Fact_SortedWeights!$D$2:$D$6,$C396)</f>
        <v>0</v>
      </c>
      <c r="G396" s="0" t="n">
        <f aca="false">IF(AND(IF($B396="Trash",INDEX('Materials Master'!$F$2:$F$27,MATCH($C396,'Materials Master'!$A$2:$A$27,0)),IF($B396="GMPC Recycling",INDEX('Materials Master'!$G$2:$G$27,MATCH($C396,'Materials Master'!$A$2:$A$27,0)),IF($B396="Organics Recycling",INDEX('Materials Master'!$H$2:$H$27,MATCH($C396,'Materials Master'!$A$2:$A$27,0)),IF($B396="Cardboard Recycling",INDEX('Materials Master'!$I$2:$I$27,MATCH($C396,'Materials Master'!$A$2:$A$27,0)),IF($B396="Paper Recycling",INDEX('Materials Master'!$J$2:$J$27,MATCH($C396,'Materials Master'!$A$2:$A$27,0)),IF($B396="Terracycle",INDEX('Materials Master'!$K$2:$K$27,MATCH($C396,'Materials Master'!$A$2:$A$27,0)),"No"))))))="Yes",INDEX('Materials Master'!$E$2:$E$27,MATCH($C396,'Materials Master'!$A$2:$A$27,0))="Yes",$B396&lt;&gt;"Trash"),1,0)</f>
        <v>0</v>
      </c>
      <c r="H396" s="0" t="str">
        <f aca="false">INDEX('Materials Master'!$E$2:$E$27,MATCH($C396,'Materials Master'!$A$2:$A$27,0))</f>
        <v>No</v>
      </c>
      <c r="I396" s="0" t="str">
        <f aca="false">IFERROR(INDEX(Areas!$C$2:$C$6,MATCH($A396,Areas!$B$2:$B$6,0)),"")</f>
        <v>Rest of Building</v>
      </c>
      <c r="J396" s="0" t="n">
        <f aca="false">IF(IF($B396="Trash",INDEX('Materials Master'!$F$2:$F$27,MATCH($C396,'Materials Master'!$A$2:$A$27,0)),IF($B396="GMPC Recycling",INDEX('Materials Master'!$G$2:$G$27,MATCH($C396,'Materials Master'!$A$2:$A$27,0)),IF($B396="Organics Recycling",INDEX('Materials Master'!$H$2:$H$27,MATCH($C396,'Materials Master'!$A$2:$A$27,0)),IF($B396="Cardboard Recycling",INDEX('Materials Master'!$I$2:$I$27,MATCH($C396,'Materials Master'!$A$2:$A$27,0)),IF($B396="Paper Recycling",INDEX('Materials Master'!$J$2:$J$27,MATCH($C396,'Materials Master'!$A$2:$A$27,0)),IF($B396="Terracycle",INDEX('Materials Master'!$K$2:$K$27,MATCH($C396,'Materials Master'!$A$2:$A$27,0)),"No"))))))="Yes",1,0)</f>
        <v>0</v>
      </c>
    </row>
    <row r="397" customFormat="false" ht="15" hidden="false" customHeight="false" outlineLevel="0" collapsed="false">
      <c r="A397" s="0" t="s">
        <v>97</v>
      </c>
      <c r="B397" s="0" t="s">
        <v>106</v>
      </c>
      <c r="C397" s="0" t="s">
        <v>39</v>
      </c>
      <c r="D397" s="0" t="str">
        <f aca="false">IFERROR(INDEX('Materials Master'!$B$2:$B$27,MATCH($C397,'Materials Master'!$A$2:$A$27,0)),"")</f>
        <v>Beverage Cartons</v>
      </c>
      <c r="E397" s="0" t="str">
        <f aca="false">IFERROR(INDEX('Materials Master'!$C$2:$C$27,MATCH($C397,'Materials Master'!$A$2:$A$27,0)),"")</f>
        <v>Fibers</v>
      </c>
      <c r="F397" s="0" t="n">
        <f aca="false">SUMIFS(Fact_SortedWeights!$E$2:$E$6,Fact_SortedWeights!$C$2:$C$6,$A397,Fact_SortedWeights!$B$2:$B$6,$B397,Fact_SortedWeights!$D$2:$D$6,$C397)</f>
        <v>0</v>
      </c>
      <c r="G397" s="0" t="n">
        <f aca="false">IF(AND(IF($B397="Trash",INDEX('Materials Master'!$F$2:$F$27,MATCH($C397,'Materials Master'!$A$2:$A$27,0)),IF($B397="GMPC Recycling",INDEX('Materials Master'!$G$2:$G$27,MATCH($C397,'Materials Master'!$A$2:$A$27,0)),IF($B397="Organics Recycling",INDEX('Materials Master'!$H$2:$H$27,MATCH($C397,'Materials Master'!$A$2:$A$27,0)),IF($B397="Cardboard Recycling",INDEX('Materials Master'!$I$2:$I$27,MATCH($C397,'Materials Master'!$A$2:$A$27,0)),IF($B397="Paper Recycling",INDEX('Materials Master'!$J$2:$J$27,MATCH($C397,'Materials Master'!$A$2:$A$27,0)),IF($B397="Terracycle",INDEX('Materials Master'!$K$2:$K$27,MATCH($C397,'Materials Master'!$A$2:$A$27,0)),"No"))))))="Yes",INDEX('Materials Master'!$E$2:$E$27,MATCH($C397,'Materials Master'!$A$2:$A$27,0))="Yes",$B397&lt;&gt;"Trash"),1,0)</f>
        <v>1</v>
      </c>
      <c r="H397" s="0" t="str">
        <f aca="false">INDEX('Materials Master'!$E$2:$E$27,MATCH($C397,'Materials Master'!$A$2:$A$27,0))</f>
        <v>Yes</v>
      </c>
      <c r="I397" s="0" t="str">
        <f aca="false">IFERROR(INDEX(Areas!$C$2:$C$6,MATCH($A397,Areas!$B$2:$B$6,0)),"")</f>
        <v>Rest of Building</v>
      </c>
      <c r="J397" s="0" t="n">
        <f aca="false">IF(IF($B397="Trash",INDEX('Materials Master'!$F$2:$F$27,MATCH($C397,'Materials Master'!$A$2:$A$27,0)),IF($B397="GMPC Recycling",INDEX('Materials Master'!$G$2:$G$27,MATCH($C397,'Materials Master'!$A$2:$A$27,0)),IF($B397="Organics Recycling",INDEX('Materials Master'!$H$2:$H$27,MATCH($C397,'Materials Master'!$A$2:$A$27,0)),IF($B397="Cardboard Recycling",INDEX('Materials Master'!$I$2:$I$27,MATCH($C397,'Materials Master'!$A$2:$A$27,0)),IF($B397="Paper Recycling",INDEX('Materials Master'!$J$2:$J$27,MATCH($C397,'Materials Master'!$A$2:$A$27,0)),IF($B397="Terracycle",INDEX('Materials Master'!$K$2:$K$27,MATCH($C397,'Materials Master'!$A$2:$A$27,0)),"No"))))))="Yes",1,0)</f>
        <v>1</v>
      </c>
    </row>
    <row r="398" customFormat="false" ht="15" hidden="false" customHeight="false" outlineLevel="0" collapsed="false">
      <c r="A398" s="0" t="s">
        <v>97</v>
      </c>
      <c r="B398" s="0" t="s">
        <v>106</v>
      </c>
      <c r="C398" s="0" t="s">
        <v>41</v>
      </c>
      <c r="D398" s="0" t="str">
        <f aca="false">IFERROR(INDEX('Materials Master'!$B$2:$B$27,MATCH($C398,'Materials Master'!$A$2:$A$27,0)),"")</f>
        <v>Soiled Beverage Cartons</v>
      </c>
      <c r="E398" s="0" t="str">
        <f aca="false">IFERROR(INDEX('Materials Master'!$C$2:$C$27,MATCH($C398,'Materials Master'!$A$2:$A$27,0)),"")</f>
        <v>Fibers</v>
      </c>
      <c r="F398" s="0" t="n">
        <f aca="false">SUMIFS(Fact_SortedWeights!$E$2:$E$6,Fact_SortedWeights!$C$2:$C$6,$A398,Fact_SortedWeights!$B$2:$B$6,$B398,Fact_SortedWeights!$D$2:$D$6,$C398)</f>
        <v>0</v>
      </c>
      <c r="G398" s="0" t="n">
        <f aca="false">IF(AND(IF($B398="Trash",INDEX('Materials Master'!$F$2:$F$27,MATCH($C398,'Materials Master'!$A$2:$A$27,0)),IF($B398="GMPC Recycling",INDEX('Materials Master'!$G$2:$G$27,MATCH($C398,'Materials Master'!$A$2:$A$27,0)),IF($B398="Organics Recycling",INDEX('Materials Master'!$H$2:$H$27,MATCH($C398,'Materials Master'!$A$2:$A$27,0)),IF($B398="Cardboard Recycling",INDEX('Materials Master'!$I$2:$I$27,MATCH($C398,'Materials Master'!$A$2:$A$27,0)),IF($B398="Paper Recycling",INDEX('Materials Master'!$J$2:$J$27,MATCH($C398,'Materials Master'!$A$2:$A$27,0)),IF($B398="Terracycle",INDEX('Materials Master'!$K$2:$K$27,MATCH($C398,'Materials Master'!$A$2:$A$27,0)),"No"))))))="Yes",INDEX('Materials Master'!$E$2:$E$27,MATCH($C398,'Materials Master'!$A$2:$A$27,0))="Yes",$B398&lt;&gt;"Trash"),1,0)</f>
        <v>0</v>
      </c>
      <c r="H398" s="0" t="str">
        <f aca="false">INDEX('Materials Master'!$E$2:$E$27,MATCH($C398,'Materials Master'!$A$2:$A$27,0))</f>
        <v>No</v>
      </c>
      <c r="I398" s="0" t="str">
        <f aca="false">IFERROR(INDEX(Areas!$C$2:$C$6,MATCH($A398,Areas!$B$2:$B$6,0)),"")</f>
        <v>Rest of Building</v>
      </c>
      <c r="J398" s="0" t="n">
        <f aca="false">IF(IF($B398="Trash",INDEX('Materials Master'!$F$2:$F$27,MATCH($C398,'Materials Master'!$A$2:$A$27,0)),IF($B398="GMPC Recycling",INDEX('Materials Master'!$G$2:$G$27,MATCH($C398,'Materials Master'!$A$2:$A$27,0)),IF($B398="Organics Recycling",INDEX('Materials Master'!$H$2:$H$27,MATCH($C398,'Materials Master'!$A$2:$A$27,0)),IF($B398="Cardboard Recycling",INDEX('Materials Master'!$I$2:$I$27,MATCH($C398,'Materials Master'!$A$2:$A$27,0)),IF($B398="Paper Recycling",INDEX('Materials Master'!$J$2:$J$27,MATCH($C398,'Materials Master'!$A$2:$A$27,0)),IF($B398="Terracycle",INDEX('Materials Master'!$K$2:$K$27,MATCH($C398,'Materials Master'!$A$2:$A$27,0)),"No"))))))="Yes",1,0)</f>
        <v>0</v>
      </c>
    </row>
    <row r="399" customFormat="false" ht="15" hidden="false" customHeight="false" outlineLevel="0" collapsed="false">
      <c r="A399" s="0" t="s">
        <v>97</v>
      </c>
      <c r="B399" s="0" t="s">
        <v>106</v>
      </c>
      <c r="C399" s="0" t="s">
        <v>43</v>
      </c>
      <c r="D399" s="0" t="str">
        <f aca="false">IFERROR(INDEX('Materials Master'!$B$2:$B$27,MATCH($C399,'Materials Master'!$A$2:$A$27,0)),"")</f>
        <v>Paper Cups / Other Coated Paper Containers</v>
      </c>
      <c r="E399" s="0" t="str">
        <f aca="false">IFERROR(INDEX('Materials Master'!$C$2:$C$27,MATCH($C399,'Materials Master'!$A$2:$A$27,0)),"")</f>
        <v>Fibers</v>
      </c>
      <c r="F399" s="0" t="n">
        <f aca="false">SUMIFS(Fact_SortedWeights!$E$2:$E$6,Fact_SortedWeights!$C$2:$C$6,$A399,Fact_SortedWeights!$B$2:$B$6,$B399,Fact_SortedWeights!$D$2:$D$6,$C399)</f>
        <v>0</v>
      </c>
      <c r="G399" s="0" t="n">
        <f aca="false">IF(AND(IF($B399="Trash",INDEX('Materials Master'!$F$2:$F$27,MATCH($C399,'Materials Master'!$A$2:$A$27,0)),IF($B399="GMPC Recycling",INDEX('Materials Master'!$G$2:$G$27,MATCH($C399,'Materials Master'!$A$2:$A$27,0)),IF($B399="Organics Recycling",INDEX('Materials Master'!$H$2:$H$27,MATCH($C399,'Materials Master'!$A$2:$A$27,0)),IF($B399="Cardboard Recycling",INDEX('Materials Master'!$I$2:$I$27,MATCH($C399,'Materials Master'!$A$2:$A$27,0)),IF($B399="Paper Recycling",INDEX('Materials Master'!$J$2:$J$27,MATCH($C399,'Materials Master'!$A$2:$A$27,0)),IF($B399="Terracycle",INDEX('Materials Master'!$K$2:$K$27,MATCH($C399,'Materials Master'!$A$2:$A$27,0)),"No"))))))="Yes",INDEX('Materials Master'!$E$2:$E$27,MATCH($C399,'Materials Master'!$A$2:$A$27,0))="Yes",$B399&lt;&gt;"Trash"),1,0)</f>
        <v>0</v>
      </c>
      <c r="H399" s="0" t="str">
        <f aca="false">INDEX('Materials Master'!$E$2:$E$27,MATCH($C399,'Materials Master'!$A$2:$A$27,0))</f>
        <v>No</v>
      </c>
      <c r="I399" s="0" t="str">
        <f aca="false">IFERROR(INDEX(Areas!$C$2:$C$6,MATCH($A399,Areas!$B$2:$B$6,0)),"")</f>
        <v>Rest of Building</v>
      </c>
      <c r="J399" s="0" t="n">
        <f aca="false">IF(IF($B399="Trash",INDEX('Materials Master'!$F$2:$F$27,MATCH($C399,'Materials Master'!$A$2:$A$27,0)),IF($B399="GMPC Recycling",INDEX('Materials Master'!$G$2:$G$27,MATCH($C399,'Materials Master'!$A$2:$A$27,0)),IF($B399="Organics Recycling",INDEX('Materials Master'!$H$2:$H$27,MATCH($C399,'Materials Master'!$A$2:$A$27,0)),IF($B399="Cardboard Recycling",INDEX('Materials Master'!$I$2:$I$27,MATCH($C399,'Materials Master'!$A$2:$A$27,0)),IF($B399="Paper Recycling",INDEX('Materials Master'!$J$2:$J$27,MATCH($C399,'Materials Master'!$A$2:$A$27,0)),IF($B399="Terracycle",INDEX('Materials Master'!$K$2:$K$27,MATCH($C399,'Materials Master'!$A$2:$A$27,0)),"No"))))))="Yes",1,0)</f>
        <v>0</v>
      </c>
    </row>
    <row r="400" customFormat="false" ht="15" hidden="false" customHeight="false" outlineLevel="0" collapsed="false">
      <c r="A400" s="0" t="s">
        <v>97</v>
      </c>
      <c r="B400" s="0" t="s">
        <v>106</v>
      </c>
      <c r="C400" s="0" t="s">
        <v>45</v>
      </c>
      <c r="D400" s="0" t="str">
        <f aca="false">IFERROR(INDEX('Materials Master'!$B$2:$B$27,MATCH($C400,'Materials Master'!$A$2:$A$27,0)),"")</f>
        <v>Glass Bottles &amp; Jars</v>
      </c>
      <c r="E400" s="0" t="str">
        <f aca="false">IFERROR(INDEX('Materials Master'!$C$2:$C$27,MATCH($C400,'Materials Master'!$A$2:$A$27,0)),"")</f>
        <v>Glass</v>
      </c>
      <c r="F400" s="0" t="n">
        <f aca="false">SUMIFS(Fact_SortedWeights!$E$2:$E$6,Fact_SortedWeights!$C$2:$C$6,$A400,Fact_SortedWeights!$B$2:$B$6,$B400,Fact_SortedWeights!$D$2:$D$6,$C400)</f>
        <v>0</v>
      </c>
      <c r="G400" s="0" t="n">
        <f aca="false">IF(AND(IF($B400="Trash",INDEX('Materials Master'!$F$2:$F$27,MATCH($C400,'Materials Master'!$A$2:$A$27,0)),IF($B400="GMPC Recycling",INDEX('Materials Master'!$G$2:$G$27,MATCH($C400,'Materials Master'!$A$2:$A$27,0)),IF($B400="Organics Recycling",INDEX('Materials Master'!$H$2:$H$27,MATCH($C400,'Materials Master'!$A$2:$A$27,0)),IF($B400="Cardboard Recycling",INDEX('Materials Master'!$I$2:$I$27,MATCH($C400,'Materials Master'!$A$2:$A$27,0)),IF($B400="Paper Recycling",INDEX('Materials Master'!$J$2:$J$27,MATCH($C400,'Materials Master'!$A$2:$A$27,0)),IF($B400="Terracycle",INDEX('Materials Master'!$K$2:$K$27,MATCH($C400,'Materials Master'!$A$2:$A$27,0)),"No"))))))="Yes",INDEX('Materials Master'!$E$2:$E$27,MATCH($C400,'Materials Master'!$A$2:$A$27,0))="Yes",$B400&lt;&gt;"Trash"),1,0)</f>
        <v>1</v>
      </c>
      <c r="H400" s="0" t="str">
        <f aca="false">INDEX('Materials Master'!$E$2:$E$27,MATCH($C400,'Materials Master'!$A$2:$A$27,0))</f>
        <v>Yes</v>
      </c>
      <c r="I400" s="0" t="str">
        <f aca="false">IFERROR(INDEX(Areas!$C$2:$C$6,MATCH($A400,Areas!$B$2:$B$6,0)),"")</f>
        <v>Rest of Building</v>
      </c>
      <c r="J400" s="0" t="n">
        <f aca="false">IF(IF($B400="Trash",INDEX('Materials Master'!$F$2:$F$27,MATCH($C400,'Materials Master'!$A$2:$A$27,0)),IF($B400="GMPC Recycling",INDEX('Materials Master'!$G$2:$G$27,MATCH($C400,'Materials Master'!$A$2:$A$27,0)),IF($B400="Organics Recycling",INDEX('Materials Master'!$H$2:$H$27,MATCH($C400,'Materials Master'!$A$2:$A$27,0)),IF($B400="Cardboard Recycling",INDEX('Materials Master'!$I$2:$I$27,MATCH($C400,'Materials Master'!$A$2:$A$27,0)),IF($B400="Paper Recycling",INDEX('Materials Master'!$J$2:$J$27,MATCH($C400,'Materials Master'!$A$2:$A$27,0)),IF($B400="Terracycle",INDEX('Materials Master'!$K$2:$K$27,MATCH($C400,'Materials Master'!$A$2:$A$27,0)),"No"))))))="Yes",1,0)</f>
        <v>1</v>
      </c>
    </row>
    <row r="401" customFormat="false" ht="15" hidden="false" customHeight="false" outlineLevel="0" collapsed="false">
      <c r="A401" s="0" t="s">
        <v>97</v>
      </c>
      <c r="B401" s="0" t="s">
        <v>106</v>
      </c>
      <c r="C401" s="0" t="s">
        <v>48</v>
      </c>
      <c r="D401" s="0" t="str">
        <f aca="false">IFERROR(INDEX('Materials Master'!$B$2:$B$27,MATCH($C401,'Materials Master'!$A$2:$A$27,0)),"")</f>
        <v>Soiled Glass</v>
      </c>
      <c r="E401" s="0" t="str">
        <f aca="false">IFERROR(INDEX('Materials Master'!$C$2:$C$27,MATCH($C401,'Materials Master'!$A$2:$A$27,0)),"")</f>
        <v>Glass</v>
      </c>
      <c r="F401" s="0" t="n">
        <f aca="false">SUMIFS(Fact_SortedWeights!$E$2:$E$6,Fact_SortedWeights!$C$2:$C$6,$A401,Fact_SortedWeights!$B$2:$B$6,$B401,Fact_SortedWeights!$D$2:$D$6,$C401)</f>
        <v>0</v>
      </c>
      <c r="G401" s="0" t="n">
        <f aca="false">IF(AND(IF($B401="Trash",INDEX('Materials Master'!$F$2:$F$27,MATCH($C401,'Materials Master'!$A$2:$A$27,0)),IF($B401="GMPC Recycling",INDEX('Materials Master'!$G$2:$G$27,MATCH($C401,'Materials Master'!$A$2:$A$27,0)),IF($B401="Organics Recycling",INDEX('Materials Master'!$H$2:$H$27,MATCH($C401,'Materials Master'!$A$2:$A$27,0)),IF($B401="Cardboard Recycling",INDEX('Materials Master'!$I$2:$I$27,MATCH($C401,'Materials Master'!$A$2:$A$27,0)),IF($B401="Paper Recycling",INDEX('Materials Master'!$J$2:$J$27,MATCH($C401,'Materials Master'!$A$2:$A$27,0)),IF($B401="Terracycle",INDEX('Materials Master'!$K$2:$K$27,MATCH($C401,'Materials Master'!$A$2:$A$27,0)),"No"))))))="Yes",INDEX('Materials Master'!$E$2:$E$27,MATCH($C401,'Materials Master'!$A$2:$A$27,0))="Yes",$B401&lt;&gt;"Trash"),1,0)</f>
        <v>0</v>
      </c>
      <c r="H401" s="0" t="str">
        <f aca="false">INDEX('Materials Master'!$E$2:$E$27,MATCH($C401,'Materials Master'!$A$2:$A$27,0))</f>
        <v>No</v>
      </c>
      <c r="I401" s="0" t="str">
        <f aca="false">IFERROR(INDEX(Areas!$C$2:$C$6,MATCH($A401,Areas!$B$2:$B$6,0)),"")</f>
        <v>Rest of Building</v>
      </c>
      <c r="J401" s="0" t="n">
        <f aca="false">IF(IF($B401="Trash",INDEX('Materials Master'!$F$2:$F$27,MATCH($C401,'Materials Master'!$A$2:$A$27,0)),IF($B401="GMPC Recycling",INDEX('Materials Master'!$G$2:$G$27,MATCH($C401,'Materials Master'!$A$2:$A$27,0)),IF($B401="Organics Recycling",INDEX('Materials Master'!$H$2:$H$27,MATCH($C401,'Materials Master'!$A$2:$A$27,0)),IF($B401="Cardboard Recycling",INDEX('Materials Master'!$I$2:$I$27,MATCH($C401,'Materials Master'!$A$2:$A$27,0)),IF($B401="Paper Recycling",INDEX('Materials Master'!$J$2:$J$27,MATCH($C401,'Materials Master'!$A$2:$A$27,0)),IF($B401="Terracycle",INDEX('Materials Master'!$K$2:$K$27,MATCH($C401,'Materials Master'!$A$2:$A$27,0)),"No"))))))="Yes",1,0)</f>
        <v>0</v>
      </c>
    </row>
    <row r="402" customFormat="false" ht="15" hidden="false" customHeight="false" outlineLevel="0" collapsed="false">
      <c r="A402" s="0" t="s">
        <v>97</v>
      </c>
      <c r="B402" s="0" t="s">
        <v>106</v>
      </c>
      <c r="C402" s="0" t="s">
        <v>50</v>
      </c>
      <c r="D402" s="0" t="str">
        <f aca="false">IFERROR(INDEX('Materials Master'!$B$2:$B$27,MATCH($C402,'Materials Master'!$A$2:$A$27,0)),"")</f>
        <v>Aluminum &amp; Bi-Metal Containers</v>
      </c>
      <c r="E402" s="0" t="str">
        <f aca="false">IFERROR(INDEX('Materials Master'!$C$2:$C$27,MATCH($C402,'Materials Master'!$A$2:$A$27,0)),"")</f>
        <v>Metals</v>
      </c>
      <c r="F402" s="0" t="n">
        <f aca="false">SUMIFS(Fact_SortedWeights!$E$2:$E$6,Fact_SortedWeights!$C$2:$C$6,$A402,Fact_SortedWeights!$B$2:$B$6,$B402,Fact_SortedWeights!$D$2:$D$6,$C402)</f>
        <v>0</v>
      </c>
      <c r="G402" s="0" t="n">
        <f aca="false">IF(AND(IF($B402="Trash",INDEX('Materials Master'!$F$2:$F$27,MATCH($C402,'Materials Master'!$A$2:$A$27,0)),IF($B402="GMPC Recycling",INDEX('Materials Master'!$G$2:$G$27,MATCH($C402,'Materials Master'!$A$2:$A$27,0)),IF($B402="Organics Recycling",INDEX('Materials Master'!$H$2:$H$27,MATCH($C402,'Materials Master'!$A$2:$A$27,0)),IF($B402="Cardboard Recycling",INDEX('Materials Master'!$I$2:$I$27,MATCH($C402,'Materials Master'!$A$2:$A$27,0)),IF($B402="Paper Recycling",INDEX('Materials Master'!$J$2:$J$27,MATCH($C402,'Materials Master'!$A$2:$A$27,0)),IF($B402="Terracycle",INDEX('Materials Master'!$K$2:$K$27,MATCH($C402,'Materials Master'!$A$2:$A$27,0)),"No"))))))="Yes",INDEX('Materials Master'!$E$2:$E$27,MATCH($C402,'Materials Master'!$A$2:$A$27,0))="Yes",$B402&lt;&gt;"Trash"),1,0)</f>
        <v>1</v>
      </c>
      <c r="H402" s="0" t="str">
        <f aca="false">INDEX('Materials Master'!$E$2:$E$27,MATCH($C402,'Materials Master'!$A$2:$A$27,0))</f>
        <v>Yes</v>
      </c>
      <c r="I402" s="0" t="str">
        <f aca="false">IFERROR(INDEX(Areas!$C$2:$C$6,MATCH($A402,Areas!$B$2:$B$6,0)),"")</f>
        <v>Rest of Building</v>
      </c>
      <c r="J402" s="0" t="n">
        <f aca="false">IF(IF($B402="Trash",INDEX('Materials Master'!$F$2:$F$27,MATCH($C402,'Materials Master'!$A$2:$A$27,0)),IF($B402="GMPC Recycling",INDEX('Materials Master'!$G$2:$G$27,MATCH($C402,'Materials Master'!$A$2:$A$27,0)),IF($B402="Organics Recycling",INDEX('Materials Master'!$H$2:$H$27,MATCH($C402,'Materials Master'!$A$2:$A$27,0)),IF($B402="Cardboard Recycling",INDEX('Materials Master'!$I$2:$I$27,MATCH($C402,'Materials Master'!$A$2:$A$27,0)),IF($B402="Paper Recycling",INDEX('Materials Master'!$J$2:$J$27,MATCH($C402,'Materials Master'!$A$2:$A$27,0)),IF($B402="Terracycle",INDEX('Materials Master'!$K$2:$K$27,MATCH($C402,'Materials Master'!$A$2:$A$27,0)),"No"))))))="Yes",1,0)</f>
        <v>1</v>
      </c>
    </row>
    <row r="403" customFormat="false" ht="15" hidden="false" customHeight="false" outlineLevel="0" collapsed="false">
      <c r="A403" s="0" t="s">
        <v>97</v>
      </c>
      <c r="B403" s="0" t="s">
        <v>106</v>
      </c>
      <c r="C403" s="0" t="s">
        <v>53</v>
      </c>
      <c r="D403" s="0" t="str">
        <f aca="false">IFERROR(INDEX('Materials Master'!$B$2:$B$27,MATCH($C403,'Materials Master'!$A$2:$A$27,0)),"")</f>
        <v>Soiled Metals</v>
      </c>
      <c r="E403" s="0" t="str">
        <f aca="false">IFERROR(INDEX('Materials Master'!$C$2:$C$27,MATCH($C403,'Materials Master'!$A$2:$A$27,0)),"")</f>
        <v>Metals</v>
      </c>
      <c r="F403" s="0" t="n">
        <f aca="false">SUMIFS(Fact_SortedWeights!$E$2:$E$6,Fact_SortedWeights!$C$2:$C$6,$A403,Fact_SortedWeights!$B$2:$B$6,$B403,Fact_SortedWeights!$D$2:$D$6,$C403)</f>
        <v>0</v>
      </c>
      <c r="G403" s="0" t="n">
        <f aca="false">IF(AND(IF($B403="Trash",INDEX('Materials Master'!$F$2:$F$27,MATCH($C403,'Materials Master'!$A$2:$A$27,0)),IF($B403="GMPC Recycling",INDEX('Materials Master'!$G$2:$G$27,MATCH($C403,'Materials Master'!$A$2:$A$27,0)),IF($B403="Organics Recycling",INDEX('Materials Master'!$H$2:$H$27,MATCH($C403,'Materials Master'!$A$2:$A$27,0)),IF($B403="Cardboard Recycling",INDEX('Materials Master'!$I$2:$I$27,MATCH($C403,'Materials Master'!$A$2:$A$27,0)),IF($B403="Paper Recycling",INDEX('Materials Master'!$J$2:$J$27,MATCH($C403,'Materials Master'!$A$2:$A$27,0)),IF($B403="Terracycle",INDEX('Materials Master'!$K$2:$K$27,MATCH($C403,'Materials Master'!$A$2:$A$27,0)),"No"))))))="Yes",INDEX('Materials Master'!$E$2:$E$27,MATCH($C403,'Materials Master'!$A$2:$A$27,0))="Yes",$B403&lt;&gt;"Trash"),1,0)</f>
        <v>0</v>
      </c>
      <c r="H403" s="0" t="str">
        <f aca="false">INDEX('Materials Master'!$E$2:$E$27,MATCH($C403,'Materials Master'!$A$2:$A$27,0))</f>
        <v>No</v>
      </c>
      <c r="I403" s="0" t="str">
        <f aca="false">IFERROR(INDEX(Areas!$C$2:$C$6,MATCH($A403,Areas!$B$2:$B$6,0)),"")</f>
        <v>Rest of Building</v>
      </c>
      <c r="J403" s="0" t="n">
        <f aca="false">IF(IF($B403="Trash",INDEX('Materials Master'!$F$2:$F$27,MATCH($C403,'Materials Master'!$A$2:$A$27,0)),IF($B403="GMPC Recycling",INDEX('Materials Master'!$G$2:$G$27,MATCH($C403,'Materials Master'!$A$2:$A$27,0)),IF($B403="Organics Recycling",INDEX('Materials Master'!$H$2:$H$27,MATCH($C403,'Materials Master'!$A$2:$A$27,0)),IF($B403="Cardboard Recycling",INDEX('Materials Master'!$I$2:$I$27,MATCH($C403,'Materials Master'!$A$2:$A$27,0)),IF($B403="Paper Recycling",INDEX('Materials Master'!$J$2:$J$27,MATCH($C403,'Materials Master'!$A$2:$A$27,0)),IF($B403="Terracycle",INDEX('Materials Master'!$K$2:$K$27,MATCH($C403,'Materials Master'!$A$2:$A$27,0)),"No"))))))="Yes",1,0)</f>
        <v>0</v>
      </c>
    </row>
    <row r="404" customFormat="false" ht="15" hidden="false" customHeight="false" outlineLevel="0" collapsed="false">
      <c r="A404" s="0" t="s">
        <v>97</v>
      </c>
      <c r="B404" s="0" t="s">
        <v>106</v>
      </c>
      <c r="C404" s="0" t="s">
        <v>55</v>
      </c>
      <c r="D404" s="0" t="str">
        <f aca="false">IFERROR(INDEX('Materials Master'!$B$2:$B$27,MATCH($C404,'Materials Master'!$A$2:$A$27,0)),"")</f>
        <v>Rigid Plastics (1-6)</v>
      </c>
      <c r="E404" s="0" t="str">
        <f aca="false">IFERROR(INDEX('Materials Master'!$C$2:$C$27,MATCH($C404,'Materials Master'!$A$2:$A$27,0)),"")</f>
        <v>Plastics</v>
      </c>
      <c r="F404" s="0" t="n">
        <f aca="false">SUMIFS(Fact_SortedWeights!$E$2:$E$6,Fact_SortedWeights!$C$2:$C$6,$A404,Fact_SortedWeights!$B$2:$B$6,$B404,Fact_SortedWeights!$D$2:$D$6,$C404)</f>
        <v>0</v>
      </c>
      <c r="G404" s="0" t="n">
        <f aca="false">IF(AND(IF($B404="Trash",INDEX('Materials Master'!$F$2:$F$27,MATCH($C404,'Materials Master'!$A$2:$A$27,0)),IF($B404="GMPC Recycling",INDEX('Materials Master'!$G$2:$G$27,MATCH($C404,'Materials Master'!$A$2:$A$27,0)),IF($B404="Organics Recycling",INDEX('Materials Master'!$H$2:$H$27,MATCH($C404,'Materials Master'!$A$2:$A$27,0)),IF($B404="Cardboard Recycling",INDEX('Materials Master'!$I$2:$I$27,MATCH($C404,'Materials Master'!$A$2:$A$27,0)),IF($B404="Paper Recycling",INDEX('Materials Master'!$J$2:$J$27,MATCH($C404,'Materials Master'!$A$2:$A$27,0)),IF($B404="Terracycle",INDEX('Materials Master'!$K$2:$K$27,MATCH($C404,'Materials Master'!$A$2:$A$27,0)),"No"))))))="Yes",INDEX('Materials Master'!$E$2:$E$27,MATCH($C404,'Materials Master'!$A$2:$A$27,0))="Yes",$B404&lt;&gt;"Trash"),1,0)</f>
        <v>1</v>
      </c>
      <c r="H404" s="0" t="str">
        <f aca="false">INDEX('Materials Master'!$E$2:$E$27,MATCH($C404,'Materials Master'!$A$2:$A$27,0))</f>
        <v>Yes</v>
      </c>
      <c r="I404" s="0" t="str">
        <f aca="false">IFERROR(INDEX(Areas!$C$2:$C$6,MATCH($A404,Areas!$B$2:$B$6,0)),"")</f>
        <v>Rest of Building</v>
      </c>
      <c r="J404" s="0" t="n">
        <f aca="false">IF(IF($B404="Trash",INDEX('Materials Master'!$F$2:$F$27,MATCH($C404,'Materials Master'!$A$2:$A$27,0)),IF($B404="GMPC Recycling",INDEX('Materials Master'!$G$2:$G$27,MATCH($C404,'Materials Master'!$A$2:$A$27,0)),IF($B404="Organics Recycling",INDEX('Materials Master'!$H$2:$H$27,MATCH($C404,'Materials Master'!$A$2:$A$27,0)),IF($B404="Cardboard Recycling",INDEX('Materials Master'!$I$2:$I$27,MATCH($C404,'Materials Master'!$A$2:$A$27,0)),IF($B404="Paper Recycling",INDEX('Materials Master'!$J$2:$J$27,MATCH($C404,'Materials Master'!$A$2:$A$27,0)),IF($B404="Terracycle",INDEX('Materials Master'!$K$2:$K$27,MATCH($C404,'Materials Master'!$A$2:$A$27,0)),"No"))))))="Yes",1,0)</f>
        <v>1</v>
      </c>
    </row>
    <row r="405" customFormat="false" ht="15" hidden="false" customHeight="false" outlineLevel="0" collapsed="false">
      <c r="A405" s="0" t="s">
        <v>97</v>
      </c>
      <c r="B405" s="0" t="s">
        <v>106</v>
      </c>
      <c r="C405" s="0" t="s">
        <v>58</v>
      </c>
      <c r="D405" s="0" t="str">
        <f aca="false">IFERROR(INDEX('Materials Master'!$B$2:$B$27,MATCH($C405,'Materials Master'!$A$2:$A$27,0)),"")</f>
        <v>Soiled Rigid Plastics</v>
      </c>
      <c r="E405" s="0" t="str">
        <f aca="false">IFERROR(INDEX('Materials Master'!$C$2:$C$27,MATCH($C405,'Materials Master'!$A$2:$A$27,0)),"")</f>
        <v>Plastics</v>
      </c>
      <c r="F405" s="0" t="n">
        <f aca="false">SUMIFS(Fact_SortedWeights!$E$2:$E$6,Fact_SortedWeights!$C$2:$C$6,$A405,Fact_SortedWeights!$B$2:$B$6,$B405,Fact_SortedWeights!$D$2:$D$6,$C405)</f>
        <v>0</v>
      </c>
      <c r="G405" s="0" t="n">
        <f aca="false">IF(AND(IF($B405="Trash",INDEX('Materials Master'!$F$2:$F$27,MATCH($C405,'Materials Master'!$A$2:$A$27,0)),IF($B405="GMPC Recycling",INDEX('Materials Master'!$G$2:$G$27,MATCH($C405,'Materials Master'!$A$2:$A$27,0)),IF($B405="Organics Recycling",INDEX('Materials Master'!$H$2:$H$27,MATCH($C405,'Materials Master'!$A$2:$A$27,0)),IF($B405="Cardboard Recycling",INDEX('Materials Master'!$I$2:$I$27,MATCH($C405,'Materials Master'!$A$2:$A$27,0)),IF($B405="Paper Recycling",INDEX('Materials Master'!$J$2:$J$27,MATCH($C405,'Materials Master'!$A$2:$A$27,0)),IF($B405="Terracycle",INDEX('Materials Master'!$K$2:$K$27,MATCH($C405,'Materials Master'!$A$2:$A$27,0)),"No"))))))="Yes",INDEX('Materials Master'!$E$2:$E$27,MATCH($C405,'Materials Master'!$A$2:$A$27,0))="Yes",$B405&lt;&gt;"Trash"),1,0)</f>
        <v>0</v>
      </c>
      <c r="H405" s="0" t="str">
        <f aca="false">INDEX('Materials Master'!$E$2:$E$27,MATCH($C405,'Materials Master'!$A$2:$A$27,0))</f>
        <v>No</v>
      </c>
      <c r="I405" s="0" t="str">
        <f aca="false">IFERROR(INDEX(Areas!$C$2:$C$6,MATCH($A405,Areas!$B$2:$B$6,0)),"")</f>
        <v>Rest of Building</v>
      </c>
      <c r="J405" s="0" t="n">
        <f aca="false">IF(IF($B405="Trash",INDEX('Materials Master'!$F$2:$F$27,MATCH($C405,'Materials Master'!$A$2:$A$27,0)),IF($B405="GMPC Recycling",INDEX('Materials Master'!$G$2:$G$27,MATCH($C405,'Materials Master'!$A$2:$A$27,0)),IF($B405="Organics Recycling",INDEX('Materials Master'!$H$2:$H$27,MATCH($C405,'Materials Master'!$A$2:$A$27,0)),IF($B405="Cardboard Recycling",INDEX('Materials Master'!$I$2:$I$27,MATCH($C405,'Materials Master'!$A$2:$A$27,0)),IF($B405="Paper Recycling",INDEX('Materials Master'!$J$2:$J$27,MATCH($C405,'Materials Master'!$A$2:$A$27,0)),IF($B405="Terracycle",INDEX('Materials Master'!$K$2:$K$27,MATCH($C405,'Materials Master'!$A$2:$A$27,0)),"No"))))))="Yes",1,0)</f>
        <v>0</v>
      </c>
    </row>
    <row r="406" customFormat="false" ht="15" hidden="false" customHeight="false" outlineLevel="0" collapsed="false">
      <c r="A406" s="0" t="s">
        <v>97</v>
      </c>
      <c r="B406" s="0" t="s">
        <v>106</v>
      </c>
      <c r="C406" s="0" t="s">
        <v>60</v>
      </c>
      <c r="D406" s="0" t="str">
        <f aca="false">IFERROR(INDEX('Materials Master'!$B$2:$B$27,MATCH($C406,'Materials Master'!$A$2:$A$27,0)),"")</f>
        <v>Film Plastics</v>
      </c>
      <c r="E406" s="0" t="str">
        <f aca="false">IFERROR(INDEX('Materials Master'!$C$2:$C$27,MATCH($C406,'Materials Master'!$A$2:$A$27,0)),"")</f>
        <v>Plastics</v>
      </c>
      <c r="F406" s="0" t="n">
        <f aca="false">SUMIFS(Fact_SortedWeights!$E$2:$E$6,Fact_SortedWeights!$C$2:$C$6,$A406,Fact_SortedWeights!$B$2:$B$6,$B406,Fact_SortedWeights!$D$2:$D$6,$C406)</f>
        <v>0</v>
      </c>
      <c r="G406" s="0" t="n">
        <f aca="false">IF(AND(IF($B406="Trash",INDEX('Materials Master'!$F$2:$F$27,MATCH($C406,'Materials Master'!$A$2:$A$27,0)),IF($B406="GMPC Recycling",INDEX('Materials Master'!$G$2:$G$27,MATCH($C406,'Materials Master'!$A$2:$A$27,0)),IF($B406="Organics Recycling",INDEX('Materials Master'!$H$2:$H$27,MATCH($C406,'Materials Master'!$A$2:$A$27,0)),IF($B406="Cardboard Recycling",INDEX('Materials Master'!$I$2:$I$27,MATCH($C406,'Materials Master'!$A$2:$A$27,0)),IF($B406="Paper Recycling",INDEX('Materials Master'!$J$2:$J$27,MATCH($C406,'Materials Master'!$A$2:$A$27,0)),IF($B406="Terracycle",INDEX('Materials Master'!$K$2:$K$27,MATCH($C406,'Materials Master'!$A$2:$A$27,0)),"No"))))))="Yes",INDEX('Materials Master'!$E$2:$E$27,MATCH($C406,'Materials Master'!$A$2:$A$27,0))="Yes",$B406&lt;&gt;"Trash"),1,0)</f>
        <v>0</v>
      </c>
      <c r="H406" s="0" t="str">
        <f aca="false">INDEX('Materials Master'!$E$2:$E$27,MATCH($C406,'Materials Master'!$A$2:$A$27,0))</f>
        <v>No</v>
      </c>
      <c r="I406" s="0" t="str">
        <f aca="false">IFERROR(INDEX(Areas!$C$2:$C$6,MATCH($A406,Areas!$B$2:$B$6,0)),"")</f>
        <v>Rest of Building</v>
      </c>
      <c r="J406" s="0" t="n">
        <f aca="false">IF(IF($B406="Trash",INDEX('Materials Master'!$F$2:$F$27,MATCH($C406,'Materials Master'!$A$2:$A$27,0)),IF($B406="GMPC Recycling",INDEX('Materials Master'!$G$2:$G$27,MATCH($C406,'Materials Master'!$A$2:$A$27,0)),IF($B406="Organics Recycling",INDEX('Materials Master'!$H$2:$H$27,MATCH($C406,'Materials Master'!$A$2:$A$27,0)),IF($B406="Cardboard Recycling",INDEX('Materials Master'!$I$2:$I$27,MATCH($C406,'Materials Master'!$A$2:$A$27,0)),IF($B406="Paper Recycling",INDEX('Materials Master'!$J$2:$J$27,MATCH($C406,'Materials Master'!$A$2:$A$27,0)),IF($B406="Terracycle",INDEX('Materials Master'!$K$2:$K$27,MATCH($C406,'Materials Master'!$A$2:$A$27,0)),"No"))))))="Yes",1,0)</f>
        <v>0</v>
      </c>
    </row>
    <row r="407" customFormat="false" ht="15" hidden="false" customHeight="false" outlineLevel="0" collapsed="false">
      <c r="A407" s="0" t="s">
        <v>97</v>
      </c>
      <c r="B407" s="0" t="s">
        <v>106</v>
      </c>
      <c r="C407" s="0" t="s">
        <v>62</v>
      </c>
      <c r="D407" s="0" t="str">
        <f aca="false">IFERROR(INDEX('Materials Master'!$B$2:$B$27,MATCH($C407,'Materials Master'!$A$2:$A$27,0)),"")</f>
        <v>Foams</v>
      </c>
      <c r="E407" s="0" t="str">
        <f aca="false">IFERROR(INDEX('Materials Master'!$C$2:$C$27,MATCH($C407,'Materials Master'!$A$2:$A$27,0)),"")</f>
        <v>Plastics</v>
      </c>
      <c r="F407" s="0" t="n">
        <f aca="false">SUMIFS(Fact_SortedWeights!$E$2:$E$6,Fact_SortedWeights!$C$2:$C$6,$A407,Fact_SortedWeights!$B$2:$B$6,$B407,Fact_SortedWeights!$D$2:$D$6,$C407)</f>
        <v>0</v>
      </c>
      <c r="G407" s="0" t="n">
        <f aca="false">IF(AND(IF($B407="Trash",INDEX('Materials Master'!$F$2:$F$27,MATCH($C407,'Materials Master'!$A$2:$A$27,0)),IF($B407="GMPC Recycling",INDEX('Materials Master'!$G$2:$G$27,MATCH($C407,'Materials Master'!$A$2:$A$27,0)),IF($B407="Organics Recycling",INDEX('Materials Master'!$H$2:$H$27,MATCH($C407,'Materials Master'!$A$2:$A$27,0)),IF($B407="Cardboard Recycling",INDEX('Materials Master'!$I$2:$I$27,MATCH($C407,'Materials Master'!$A$2:$A$27,0)),IF($B407="Paper Recycling",INDEX('Materials Master'!$J$2:$J$27,MATCH($C407,'Materials Master'!$A$2:$A$27,0)),IF($B407="Terracycle",INDEX('Materials Master'!$K$2:$K$27,MATCH($C407,'Materials Master'!$A$2:$A$27,0)),"No"))))))="Yes",INDEX('Materials Master'!$E$2:$E$27,MATCH($C407,'Materials Master'!$A$2:$A$27,0))="Yes",$B407&lt;&gt;"Trash"),1,0)</f>
        <v>0</v>
      </c>
      <c r="H407" s="0" t="str">
        <f aca="false">INDEX('Materials Master'!$E$2:$E$27,MATCH($C407,'Materials Master'!$A$2:$A$27,0))</f>
        <v>No</v>
      </c>
      <c r="I407" s="0" t="str">
        <f aca="false">IFERROR(INDEX(Areas!$C$2:$C$6,MATCH($A407,Areas!$B$2:$B$6,0)),"")</f>
        <v>Rest of Building</v>
      </c>
      <c r="J407" s="0" t="n">
        <f aca="false">IF(IF($B407="Trash",INDEX('Materials Master'!$F$2:$F$27,MATCH($C407,'Materials Master'!$A$2:$A$27,0)),IF($B407="GMPC Recycling",INDEX('Materials Master'!$G$2:$G$27,MATCH($C407,'Materials Master'!$A$2:$A$27,0)),IF($B407="Organics Recycling",INDEX('Materials Master'!$H$2:$H$27,MATCH($C407,'Materials Master'!$A$2:$A$27,0)),IF($B407="Cardboard Recycling",INDEX('Materials Master'!$I$2:$I$27,MATCH($C407,'Materials Master'!$A$2:$A$27,0)),IF($B407="Paper Recycling",INDEX('Materials Master'!$J$2:$J$27,MATCH($C407,'Materials Master'!$A$2:$A$27,0)),IF($B407="Terracycle",INDEX('Materials Master'!$K$2:$K$27,MATCH($C407,'Materials Master'!$A$2:$A$27,0)),"No"))))))="Yes",1,0)</f>
        <v>0</v>
      </c>
    </row>
    <row r="408" customFormat="false" ht="15" hidden="false" customHeight="false" outlineLevel="0" collapsed="false">
      <c r="A408" s="0" t="s">
        <v>97</v>
      </c>
      <c r="B408" s="0" t="s">
        <v>106</v>
      </c>
      <c r="C408" s="0" t="s">
        <v>64</v>
      </c>
      <c r="D408" s="0" t="str">
        <f aca="false">IFERROR(INDEX('Materials Master'!$B$2:$B$27,MATCH($C408,'Materials Master'!$A$2:$A$27,0)),"")</f>
        <v>Food Waste</v>
      </c>
      <c r="E408" s="0" t="str">
        <f aca="false">IFERROR(INDEX('Materials Master'!$C$2:$C$27,MATCH($C408,'Materials Master'!$A$2:$A$27,0)),"")</f>
        <v>Organics</v>
      </c>
      <c r="F408" s="0" t="n">
        <f aca="false">SUMIFS(Fact_SortedWeights!$E$2:$E$6,Fact_SortedWeights!$C$2:$C$6,$A408,Fact_SortedWeights!$B$2:$B$6,$B408,Fact_SortedWeights!$D$2:$D$6,$C408)</f>
        <v>0</v>
      </c>
      <c r="G408" s="0" t="n">
        <f aca="false">IF(AND(IF($B408="Trash",INDEX('Materials Master'!$F$2:$F$27,MATCH($C408,'Materials Master'!$A$2:$A$27,0)),IF($B408="GMPC Recycling",INDEX('Materials Master'!$G$2:$G$27,MATCH($C408,'Materials Master'!$A$2:$A$27,0)),IF($B408="Organics Recycling",INDEX('Materials Master'!$H$2:$H$27,MATCH($C408,'Materials Master'!$A$2:$A$27,0)),IF($B408="Cardboard Recycling",INDEX('Materials Master'!$I$2:$I$27,MATCH($C408,'Materials Master'!$A$2:$A$27,0)),IF($B408="Paper Recycling",INDEX('Materials Master'!$J$2:$J$27,MATCH($C408,'Materials Master'!$A$2:$A$27,0)),IF($B408="Terracycle",INDEX('Materials Master'!$K$2:$K$27,MATCH($C408,'Materials Master'!$A$2:$A$27,0)),"No"))))))="Yes",INDEX('Materials Master'!$E$2:$E$27,MATCH($C408,'Materials Master'!$A$2:$A$27,0))="Yes",$B408&lt;&gt;"Trash"),1,0)</f>
        <v>0</v>
      </c>
      <c r="H408" s="0" t="str">
        <f aca="false">INDEX('Materials Master'!$E$2:$E$27,MATCH($C408,'Materials Master'!$A$2:$A$27,0))</f>
        <v>Yes</v>
      </c>
      <c r="I408" s="0" t="str">
        <f aca="false">IFERROR(INDEX(Areas!$C$2:$C$6,MATCH($A408,Areas!$B$2:$B$6,0)),"")</f>
        <v>Rest of Building</v>
      </c>
      <c r="J408" s="0" t="n">
        <f aca="false">IF(IF($B408="Trash",INDEX('Materials Master'!$F$2:$F$27,MATCH($C408,'Materials Master'!$A$2:$A$27,0)),IF($B408="GMPC Recycling",INDEX('Materials Master'!$G$2:$G$27,MATCH($C408,'Materials Master'!$A$2:$A$27,0)),IF($B408="Organics Recycling",INDEX('Materials Master'!$H$2:$H$27,MATCH($C408,'Materials Master'!$A$2:$A$27,0)),IF($B408="Cardboard Recycling",INDEX('Materials Master'!$I$2:$I$27,MATCH($C408,'Materials Master'!$A$2:$A$27,0)),IF($B408="Paper Recycling",INDEX('Materials Master'!$J$2:$J$27,MATCH($C408,'Materials Master'!$A$2:$A$27,0)),IF($B408="Terracycle",INDEX('Materials Master'!$K$2:$K$27,MATCH($C408,'Materials Master'!$A$2:$A$27,0)),"No"))))))="Yes",1,0)</f>
        <v>0</v>
      </c>
    </row>
    <row r="409" customFormat="false" ht="15" hidden="false" customHeight="false" outlineLevel="0" collapsed="false">
      <c r="A409" s="0" t="s">
        <v>97</v>
      </c>
      <c r="B409" s="0" t="s">
        <v>106</v>
      </c>
      <c r="C409" s="0" t="s">
        <v>67</v>
      </c>
      <c r="D409" s="0" t="str">
        <f aca="false">IFERROR(INDEX('Materials Master'!$B$2:$B$27,MATCH($C409,'Materials Master'!$A$2:$A$27,0)),"")</f>
        <v>Paper Fibers and Food-Soiled Paper (FSP)</v>
      </c>
      <c r="E409" s="0" t="str">
        <f aca="false">IFERROR(INDEX('Materials Master'!$C$2:$C$27,MATCH($C409,'Materials Master'!$A$2:$A$27,0)),"")</f>
        <v>Organics</v>
      </c>
      <c r="F409" s="0" t="n">
        <f aca="false">SUMIFS(Fact_SortedWeights!$E$2:$E$6,Fact_SortedWeights!$C$2:$C$6,$A409,Fact_SortedWeights!$B$2:$B$6,$B409,Fact_SortedWeights!$D$2:$D$6,$C409)</f>
        <v>0</v>
      </c>
      <c r="G409" s="0" t="n">
        <f aca="false">IF(AND(IF($B409="Trash",INDEX('Materials Master'!$F$2:$F$27,MATCH($C409,'Materials Master'!$A$2:$A$27,0)),IF($B409="GMPC Recycling",INDEX('Materials Master'!$G$2:$G$27,MATCH($C409,'Materials Master'!$A$2:$A$27,0)),IF($B409="Organics Recycling",INDEX('Materials Master'!$H$2:$H$27,MATCH($C409,'Materials Master'!$A$2:$A$27,0)),IF($B409="Cardboard Recycling",INDEX('Materials Master'!$I$2:$I$27,MATCH($C409,'Materials Master'!$A$2:$A$27,0)),IF($B409="Paper Recycling",INDEX('Materials Master'!$J$2:$J$27,MATCH($C409,'Materials Master'!$A$2:$A$27,0)),IF($B409="Terracycle",INDEX('Materials Master'!$K$2:$K$27,MATCH($C409,'Materials Master'!$A$2:$A$27,0)),"No"))))))="Yes",INDEX('Materials Master'!$E$2:$E$27,MATCH($C409,'Materials Master'!$A$2:$A$27,0))="Yes",$B409&lt;&gt;"Trash"),1,0)</f>
        <v>0</v>
      </c>
      <c r="H409" s="0" t="str">
        <f aca="false">INDEX('Materials Master'!$E$2:$E$27,MATCH($C409,'Materials Master'!$A$2:$A$27,0))</f>
        <v>No</v>
      </c>
      <c r="I409" s="0" t="str">
        <f aca="false">IFERROR(INDEX(Areas!$C$2:$C$6,MATCH($A409,Areas!$B$2:$B$6,0)),"")</f>
        <v>Rest of Building</v>
      </c>
      <c r="J409" s="0" t="n">
        <f aca="false">IF(IF($B409="Trash",INDEX('Materials Master'!$F$2:$F$27,MATCH($C409,'Materials Master'!$A$2:$A$27,0)),IF($B409="GMPC Recycling",INDEX('Materials Master'!$G$2:$G$27,MATCH($C409,'Materials Master'!$A$2:$A$27,0)),IF($B409="Organics Recycling",INDEX('Materials Master'!$H$2:$H$27,MATCH($C409,'Materials Master'!$A$2:$A$27,0)),IF($B409="Cardboard Recycling",INDEX('Materials Master'!$I$2:$I$27,MATCH($C409,'Materials Master'!$A$2:$A$27,0)),IF($B409="Paper Recycling",INDEX('Materials Master'!$J$2:$J$27,MATCH($C409,'Materials Master'!$A$2:$A$27,0)),IF($B409="Terracycle",INDEX('Materials Master'!$K$2:$K$27,MATCH($C409,'Materials Master'!$A$2:$A$27,0)),"No"))))))="Yes",1,0)</f>
        <v>0</v>
      </c>
    </row>
    <row r="410" customFormat="false" ht="15" hidden="false" customHeight="false" outlineLevel="0" collapsed="false">
      <c r="A410" s="0" t="s">
        <v>97</v>
      </c>
      <c r="B410" s="0" t="s">
        <v>106</v>
      </c>
      <c r="C410" s="0" t="s">
        <v>69</v>
      </c>
      <c r="D410" s="0" t="str">
        <f aca="false">IFERROR(INDEX('Materials Master'!$B$2:$B$27,MATCH($C410,'Materials Master'!$A$2:$A$27,0)),"")</f>
        <v>Fiber-based Compostable Serviceware</v>
      </c>
      <c r="E410" s="0" t="str">
        <f aca="false">IFERROR(INDEX('Materials Master'!$C$2:$C$27,MATCH($C410,'Materials Master'!$A$2:$A$27,0)),"")</f>
        <v>Organics</v>
      </c>
      <c r="F410" s="0" t="n">
        <f aca="false">SUMIFS(Fact_SortedWeights!$E$2:$E$6,Fact_SortedWeights!$C$2:$C$6,$A410,Fact_SortedWeights!$B$2:$B$6,$B410,Fact_SortedWeights!$D$2:$D$6,$C410)</f>
        <v>0</v>
      </c>
      <c r="G410" s="0" t="n">
        <f aca="false">IF(AND(IF($B410="Trash",INDEX('Materials Master'!$F$2:$F$27,MATCH($C410,'Materials Master'!$A$2:$A$27,0)),IF($B410="GMPC Recycling",INDEX('Materials Master'!$G$2:$G$27,MATCH($C410,'Materials Master'!$A$2:$A$27,0)),IF($B410="Organics Recycling",INDEX('Materials Master'!$H$2:$H$27,MATCH($C410,'Materials Master'!$A$2:$A$27,0)),IF($B410="Cardboard Recycling",INDEX('Materials Master'!$I$2:$I$27,MATCH($C410,'Materials Master'!$A$2:$A$27,0)),IF($B410="Paper Recycling",INDEX('Materials Master'!$J$2:$J$27,MATCH($C410,'Materials Master'!$A$2:$A$27,0)),IF($B410="Terracycle",INDEX('Materials Master'!$K$2:$K$27,MATCH($C410,'Materials Master'!$A$2:$A$27,0)),"No"))))))="Yes",INDEX('Materials Master'!$E$2:$E$27,MATCH($C410,'Materials Master'!$A$2:$A$27,0))="Yes",$B410&lt;&gt;"Trash"),1,0)</f>
        <v>0</v>
      </c>
      <c r="H410" s="0" t="str">
        <f aca="false">INDEX('Materials Master'!$E$2:$E$27,MATCH($C410,'Materials Master'!$A$2:$A$27,0))</f>
        <v>No</v>
      </c>
      <c r="I410" s="0" t="str">
        <f aca="false">IFERROR(INDEX(Areas!$C$2:$C$6,MATCH($A410,Areas!$B$2:$B$6,0)),"")</f>
        <v>Rest of Building</v>
      </c>
      <c r="J410" s="0" t="n">
        <f aca="false">IF(IF($B410="Trash",INDEX('Materials Master'!$F$2:$F$27,MATCH($C410,'Materials Master'!$A$2:$A$27,0)),IF($B410="GMPC Recycling",INDEX('Materials Master'!$G$2:$G$27,MATCH($C410,'Materials Master'!$A$2:$A$27,0)),IF($B410="Organics Recycling",INDEX('Materials Master'!$H$2:$H$27,MATCH($C410,'Materials Master'!$A$2:$A$27,0)),IF($B410="Cardboard Recycling",INDEX('Materials Master'!$I$2:$I$27,MATCH($C410,'Materials Master'!$A$2:$A$27,0)),IF($B410="Paper Recycling",INDEX('Materials Master'!$J$2:$J$27,MATCH($C410,'Materials Master'!$A$2:$A$27,0)),IF($B410="Terracycle",INDEX('Materials Master'!$K$2:$K$27,MATCH($C410,'Materials Master'!$A$2:$A$27,0)),"No"))))))="Yes",1,0)</f>
        <v>0</v>
      </c>
    </row>
    <row r="411" customFormat="false" ht="15" hidden="false" customHeight="false" outlineLevel="0" collapsed="false">
      <c r="A411" s="0" t="s">
        <v>97</v>
      </c>
      <c r="B411" s="0" t="s">
        <v>106</v>
      </c>
      <c r="C411" s="0" t="s">
        <v>71</v>
      </c>
      <c r="D411" s="0" t="str">
        <f aca="false">IFERROR(INDEX('Materials Master'!$B$2:$B$27,MATCH($C411,'Materials Master'!$A$2:$A$27,0)),"")</f>
        <v>PLA Compostable Serviceware</v>
      </c>
      <c r="E411" s="0" t="str">
        <f aca="false">IFERROR(INDEX('Materials Master'!$C$2:$C$27,MATCH($C411,'Materials Master'!$A$2:$A$27,0)),"")</f>
        <v>Organics</v>
      </c>
      <c r="F411" s="0" t="n">
        <f aca="false">SUMIFS(Fact_SortedWeights!$E$2:$E$6,Fact_SortedWeights!$C$2:$C$6,$A411,Fact_SortedWeights!$B$2:$B$6,$B411,Fact_SortedWeights!$D$2:$D$6,$C411)</f>
        <v>0</v>
      </c>
      <c r="G411" s="0" t="n">
        <f aca="false">IF(AND(IF($B411="Trash",INDEX('Materials Master'!$F$2:$F$27,MATCH($C411,'Materials Master'!$A$2:$A$27,0)),IF($B411="GMPC Recycling",INDEX('Materials Master'!$G$2:$G$27,MATCH($C411,'Materials Master'!$A$2:$A$27,0)),IF($B411="Organics Recycling",INDEX('Materials Master'!$H$2:$H$27,MATCH($C411,'Materials Master'!$A$2:$A$27,0)),IF($B411="Cardboard Recycling",INDEX('Materials Master'!$I$2:$I$27,MATCH($C411,'Materials Master'!$A$2:$A$27,0)),IF($B411="Paper Recycling",INDEX('Materials Master'!$J$2:$J$27,MATCH($C411,'Materials Master'!$A$2:$A$27,0)),IF($B411="Terracycle",INDEX('Materials Master'!$K$2:$K$27,MATCH($C411,'Materials Master'!$A$2:$A$27,0)),"No"))))))="Yes",INDEX('Materials Master'!$E$2:$E$27,MATCH($C411,'Materials Master'!$A$2:$A$27,0))="Yes",$B411&lt;&gt;"Trash"),1,0)</f>
        <v>0</v>
      </c>
      <c r="H411" s="0" t="str">
        <f aca="false">INDEX('Materials Master'!$E$2:$E$27,MATCH($C411,'Materials Master'!$A$2:$A$27,0))</f>
        <v>No</v>
      </c>
      <c r="I411" s="0" t="str">
        <f aca="false">IFERROR(INDEX(Areas!$C$2:$C$6,MATCH($A411,Areas!$B$2:$B$6,0)),"")</f>
        <v>Rest of Building</v>
      </c>
      <c r="J411" s="0" t="n">
        <f aca="false">IF(IF($B411="Trash",INDEX('Materials Master'!$F$2:$F$27,MATCH($C411,'Materials Master'!$A$2:$A$27,0)),IF($B411="GMPC Recycling",INDEX('Materials Master'!$G$2:$G$27,MATCH($C411,'Materials Master'!$A$2:$A$27,0)),IF($B411="Organics Recycling",INDEX('Materials Master'!$H$2:$H$27,MATCH($C411,'Materials Master'!$A$2:$A$27,0)),IF($B411="Cardboard Recycling",INDEX('Materials Master'!$I$2:$I$27,MATCH($C411,'Materials Master'!$A$2:$A$27,0)),IF($B411="Paper Recycling",INDEX('Materials Master'!$J$2:$J$27,MATCH($C411,'Materials Master'!$A$2:$A$27,0)),IF($B411="Terracycle",INDEX('Materials Master'!$K$2:$K$27,MATCH($C411,'Materials Master'!$A$2:$A$27,0)),"No"))))))="Yes",1,0)</f>
        <v>0</v>
      </c>
    </row>
    <row r="412" customFormat="false" ht="15" hidden="false" customHeight="false" outlineLevel="0" collapsed="false">
      <c r="A412" s="0" t="s">
        <v>97</v>
      </c>
      <c r="B412" s="0" t="s">
        <v>106</v>
      </c>
      <c r="C412" s="0" t="s">
        <v>73</v>
      </c>
      <c r="D412" s="0" t="str">
        <f aca="false">IFERROR(INDEX('Materials Master'!$B$2:$B$27,MATCH($C412,'Materials Master'!$A$2:$A$27,0)),"")</f>
        <v>E/U Waste</v>
      </c>
      <c r="E412" s="0" t="str">
        <f aca="false">IFERROR(INDEX('Materials Master'!$C$2:$C$27,MATCH($C412,'Materials Master'!$A$2:$A$27,0)),"")</f>
        <v>Unacceptable</v>
      </c>
      <c r="F412" s="0" t="n">
        <f aca="false">SUMIFS(Fact_SortedWeights!$E$2:$E$6,Fact_SortedWeights!$C$2:$C$6,$A412,Fact_SortedWeights!$B$2:$B$6,$B412,Fact_SortedWeights!$D$2:$D$6,$C412)</f>
        <v>0</v>
      </c>
      <c r="G412" s="0" t="n">
        <f aca="false">IF(AND(IF($B412="Trash",INDEX('Materials Master'!$F$2:$F$27,MATCH($C412,'Materials Master'!$A$2:$A$27,0)),IF($B412="GMPC Recycling",INDEX('Materials Master'!$G$2:$G$27,MATCH($C412,'Materials Master'!$A$2:$A$27,0)),IF($B412="Organics Recycling",INDEX('Materials Master'!$H$2:$H$27,MATCH($C412,'Materials Master'!$A$2:$A$27,0)),IF($B412="Cardboard Recycling",INDEX('Materials Master'!$I$2:$I$27,MATCH($C412,'Materials Master'!$A$2:$A$27,0)),IF($B412="Paper Recycling",INDEX('Materials Master'!$J$2:$J$27,MATCH($C412,'Materials Master'!$A$2:$A$27,0)),IF($B412="Terracycle",INDEX('Materials Master'!$K$2:$K$27,MATCH($C412,'Materials Master'!$A$2:$A$27,0)),"No"))))))="Yes",INDEX('Materials Master'!$E$2:$E$27,MATCH($C412,'Materials Master'!$A$2:$A$27,0))="Yes",$B412&lt;&gt;"Trash"),1,0)</f>
        <v>0</v>
      </c>
      <c r="H412" s="0" t="str">
        <f aca="false">INDEX('Materials Master'!$E$2:$E$27,MATCH($C412,'Materials Master'!$A$2:$A$27,0))</f>
        <v>No</v>
      </c>
      <c r="I412" s="0" t="str">
        <f aca="false">IFERROR(INDEX(Areas!$C$2:$C$6,MATCH($A412,Areas!$B$2:$B$6,0)),"")</f>
        <v>Rest of Building</v>
      </c>
      <c r="J412" s="0" t="n">
        <f aca="false">IF(IF($B412="Trash",INDEX('Materials Master'!$F$2:$F$27,MATCH($C412,'Materials Master'!$A$2:$A$27,0)),IF($B412="GMPC Recycling",INDEX('Materials Master'!$G$2:$G$27,MATCH($C412,'Materials Master'!$A$2:$A$27,0)),IF($B412="Organics Recycling",INDEX('Materials Master'!$H$2:$H$27,MATCH($C412,'Materials Master'!$A$2:$A$27,0)),IF($B412="Cardboard Recycling",INDEX('Materials Master'!$I$2:$I$27,MATCH($C412,'Materials Master'!$A$2:$A$27,0)),IF($B412="Paper Recycling",INDEX('Materials Master'!$J$2:$J$27,MATCH($C412,'Materials Master'!$A$2:$A$27,0)),IF($B412="Terracycle",INDEX('Materials Master'!$K$2:$K$27,MATCH($C412,'Materials Master'!$A$2:$A$27,0)),"No"))))))="Yes",1,0)</f>
        <v>0</v>
      </c>
    </row>
    <row r="413" customFormat="false" ht="15" hidden="false" customHeight="false" outlineLevel="0" collapsed="false">
      <c r="A413" s="0" t="s">
        <v>97</v>
      </c>
      <c r="B413" s="0" t="s">
        <v>106</v>
      </c>
      <c r="C413" s="0" t="s">
        <v>76</v>
      </c>
      <c r="D413" s="0" t="str">
        <f aca="false">IFERROR(INDEX('Materials Master'!$B$2:$B$27,MATCH($C413,'Materials Master'!$A$2:$A$27,0)),"")</f>
        <v>Textiles</v>
      </c>
      <c r="E413" s="0" t="str">
        <f aca="false">IFERROR(INDEX('Materials Master'!$C$2:$C$27,MATCH($C413,'Materials Master'!$A$2:$A$27,0)),"")</f>
        <v>Unacceptable</v>
      </c>
      <c r="F413" s="0" t="n">
        <f aca="false">SUMIFS(Fact_SortedWeights!$E$2:$E$6,Fact_SortedWeights!$C$2:$C$6,$A413,Fact_SortedWeights!$B$2:$B$6,$B413,Fact_SortedWeights!$D$2:$D$6,$C413)</f>
        <v>0</v>
      </c>
      <c r="G413" s="0" t="n">
        <f aca="false">IF(AND(IF($B413="Trash",INDEX('Materials Master'!$F$2:$F$27,MATCH($C413,'Materials Master'!$A$2:$A$27,0)),IF($B413="GMPC Recycling",INDEX('Materials Master'!$G$2:$G$27,MATCH($C413,'Materials Master'!$A$2:$A$27,0)),IF($B413="Organics Recycling",INDEX('Materials Master'!$H$2:$H$27,MATCH($C413,'Materials Master'!$A$2:$A$27,0)),IF($B413="Cardboard Recycling",INDEX('Materials Master'!$I$2:$I$27,MATCH($C413,'Materials Master'!$A$2:$A$27,0)),IF($B413="Paper Recycling",INDEX('Materials Master'!$J$2:$J$27,MATCH($C413,'Materials Master'!$A$2:$A$27,0)),IF($B413="Terracycle",INDEX('Materials Master'!$K$2:$K$27,MATCH($C413,'Materials Master'!$A$2:$A$27,0)),"No"))))))="Yes",INDEX('Materials Master'!$E$2:$E$27,MATCH($C413,'Materials Master'!$A$2:$A$27,0))="Yes",$B413&lt;&gt;"Trash"),1,0)</f>
        <v>0</v>
      </c>
      <c r="H413" s="0" t="str">
        <f aca="false">INDEX('Materials Master'!$E$2:$E$27,MATCH($C413,'Materials Master'!$A$2:$A$27,0))</f>
        <v>No</v>
      </c>
      <c r="I413" s="0" t="str">
        <f aca="false">IFERROR(INDEX(Areas!$C$2:$C$6,MATCH($A413,Areas!$B$2:$B$6,0)),"")</f>
        <v>Rest of Building</v>
      </c>
      <c r="J413" s="0" t="n">
        <f aca="false">IF(IF($B413="Trash",INDEX('Materials Master'!$F$2:$F$27,MATCH($C413,'Materials Master'!$A$2:$A$27,0)),IF($B413="GMPC Recycling",INDEX('Materials Master'!$G$2:$G$27,MATCH($C413,'Materials Master'!$A$2:$A$27,0)),IF($B413="Organics Recycling",INDEX('Materials Master'!$H$2:$H$27,MATCH($C413,'Materials Master'!$A$2:$A$27,0)),IF($B413="Cardboard Recycling",INDEX('Materials Master'!$I$2:$I$27,MATCH($C413,'Materials Master'!$A$2:$A$27,0)),IF($B413="Paper Recycling",INDEX('Materials Master'!$J$2:$J$27,MATCH($C413,'Materials Master'!$A$2:$A$27,0)),IF($B413="Terracycle",INDEX('Materials Master'!$K$2:$K$27,MATCH($C413,'Materials Master'!$A$2:$A$27,0)),"No"))))))="Yes",1,0)</f>
        <v>0</v>
      </c>
    </row>
    <row r="414" customFormat="false" ht="15" hidden="false" customHeight="false" outlineLevel="0" collapsed="false">
      <c r="A414" s="0" t="s">
        <v>97</v>
      </c>
      <c r="B414" s="0" t="s">
        <v>106</v>
      </c>
      <c r="C414" s="0" t="s">
        <v>78</v>
      </c>
      <c r="D414" s="0" t="str">
        <f aca="false">IFERROR(INDEX('Materials Master'!$B$2:$B$27,MATCH($C414,'Materials Master'!$A$2:$A$27,0)),"")</f>
        <v>Other Unacceptable (specify)</v>
      </c>
      <c r="E414" s="0" t="str">
        <f aca="false">IFERROR(INDEX('Materials Master'!$C$2:$C$27,MATCH($C414,'Materials Master'!$A$2:$A$27,0)),"")</f>
        <v>Unacceptable</v>
      </c>
      <c r="F414" s="0" t="n">
        <f aca="false">SUMIFS(Fact_SortedWeights!$E$2:$E$6,Fact_SortedWeights!$C$2:$C$6,$A414,Fact_SortedWeights!$B$2:$B$6,$B414,Fact_SortedWeights!$D$2:$D$6,$C414)</f>
        <v>0</v>
      </c>
      <c r="G414" s="0" t="n">
        <f aca="false">IF(AND(IF($B414="Trash",INDEX('Materials Master'!$F$2:$F$27,MATCH($C414,'Materials Master'!$A$2:$A$27,0)),IF($B414="GMPC Recycling",INDEX('Materials Master'!$G$2:$G$27,MATCH($C414,'Materials Master'!$A$2:$A$27,0)),IF($B414="Organics Recycling",INDEX('Materials Master'!$H$2:$H$27,MATCH($C414,'Materials Master'!$A$2:$A$27,0)),IF($B414="Cardboard Recycling",INDEX('Materials Master'!$I$2:$I$27,MATCH($C414,'Materials Master'!$A$2:$A$27,0)),IF($B414="Paper Recycling",INDEX('Materials Master'!$J$2:$J$27,MATCH($C414,'Materials Master'!$A$2:$A$27,0)),IF($B414="Terracycle",INDEX('Materials Master'!$K$2:$K$27,MATCH($C414,'Materials Master'!$A$2:$A$27,0)),"No"))))))="Yes",INDEX('Materials Master'!$E$2:$E$27,MATCH($C414,'Materials Master'!$A$2:$A$27,0))="Yes",$B414&lt;&gt;"Trash"),1,0)</f>
        <v>0</v>
      </c>
      <c r="H414" s="0" t="str">
        <f aca="false">INDEX('Materials Master'!$E$2:$E$27,MATCH($C414,'Materials Master'!$A$2:$A$27,0))</f>
        <v>No</v>
      </c>
      <c r="I414" s="0" t="str">
        <f aca="false">IFERROR(INDEX(Areas!$C$2:$C$6,MATCH($A414,Areas!$B$2:$B$6,0)),"")</f>
        <v>Rest of Building</v>
      </c>
      <c r="J414" s="0" t="n">
        <f aca="false">IF(IF($B414="Trash",INDEX('Materials Master'!$F$2:$F$27,MATCH($C414,'Materials Master'!$A$2:$A$27,0)),IF($B414="GMPC Recycling",INDEX('Materials Master'!$G$2:$G$27,MATCH($C414,'Materials Master'!$A$2:$A$27,0)),IF($B414="Organics Recycling",INDEX('Materials Master'!$H$2:$H$27,MATCH($C414,'Materials Master'!$A$2:$A$27,0)),IF($B414="Cardboard Recycling",INDEX('Materials Master'!$I$2:$I$27,MATCH($C414,'Materials Master'!$A$2:$A$27,0)),IF($B414="Paper Recycling",INDEX('Materials Master'!$J$2:$J$27,MATCH($C414,'Materials Master'!$A$2:$A$27,0)),IF($B414="Terracycle",INDEX('Materials Master'!$K$2:$K$27,MATCH($C414,'Materials Master'!$A$2:$A$27,0)),"No"))))))="Yes",1,0)</f>
        <v>0</v>
      </c>
    </row>
    <row r="415" customFormat="false" ht="15" hidden="false" customHeight="false" outlineLevel="0" collapsed="false">
      <c r="A415" s="0" t="s">
        <v>97</v>
      </c>
      <c r="B415" s="0" t="s">
        <v>106</v>
      </c>
      <c r="C415" s="0" t="s">
        <v>80</v>
      </c>
      <c r="D415" s="0" t="str">
        <f aca="false">IFERROR(INDEX('Materials Master'!$B$2:$B$27,MATCH($C415,'Materials Master'!$A$2:$A$27,0)),"")</f>
        <v>Liquids</v>
      </c>
      <c r="E415" s="0" t="str">
        <f aca="false">IFERROR(INDEX('Materials Master'!$C$2:$C$27,MATCH($C415,'Materials Master'!$A$2:$A$27,0)),"")</f>
        <v>Unacceptable</v>
      </c>
      <c r="F415" s="0" t="n">
        <f aca="false">SUMIFS(Fact_SortedWeights!$E$2:$E$6,Fact_SortedWeights!$C$2:$C$6,$A415,Fact_SortedWeights!$B$2:$B$6,$B415,Fact_SortedWeights!$D$2:$D$6,$C415)</f>
        <v>0</v>
      </c>
      <c r="G415" s="0" t="n">
        <f aca="false">IF(AND(IF($B415="Trash",INDEX('Materials Master'!$F$2:$F$27,MATCH($C415,'Materials Master'!$A$2:$A$27,0)),IF($B415="GMPC Recycling",INDEX('Materials Master'!$G$2:$G$27,MATCH($C415,'Materials Master'!$A$2:$A$27,0)),IF($B415="Organics Recycling",INDEX('Materials Master'!$H$2:$H$27,MATCH($C415,'Materials Master'!$A$2:$A$27,0)),IF($B415="Cardboard Recycling",INDEX('Materials Master'!$I$2:$I$27,MATCH($C415,'Materials Master'!$A$2:$A$27,0)),IF($B415="Paper Recycling",INDEX('Materials Master'!$J$2:$J$27,MATCH($C415,'Materials Master'!$A$2:$A$27,0)),IF($B415="Terracycle",INDEX('Materials Master'!$K$2:$K$27,MATCH($C415,'Materials Master'!$A$2:$A$27,0)),"No"))))))="Yes",INDEX('Materials Master'!$E$2:$E$27,MATCH($C415,'Materials Master'!$A$2:$A$27,0))="Yes",$B415&lt;&gt;"Trash"),1,0)</f>
        <v>0</v>
      </c>
      <c r="H415" s="0" t="str">
        <f aca="false">INDEX('Materials Master'!$E$2:$E$27,MATCH($C415,'Materials Master'!$A$2:$A$27,0))</f>
        <v>No</v>
      </c>
      <c r="I415" s="0" t="str">
        <f aca="false">IFERROR(INDEX(Areas!$C$2:$C$6,MATCH($A415,Areas!$B$2:$B$6,0)),"")</f>
        <v>Rest of Building</v>
      </c>
      <c r="J415" s="0" t="n">
        <f aca="false">IF(IF($B415="Trash",INDEX('Materials Master'!$F$2:$F$27,MATCH($C415,'Materials Master'!$A$2:$A$27,0)),IF($B415="GMPC Recycling",INDEX('Materials Master'!$G$2:$G$27,MATCH($C415,'Materials Master'!$A$2:$A$27,0)),IF($B415="Organics Recycling",INDEX('Materials Master'!$H$2:$H$27,MATCH($C415,'Materials Master'!$A$2:$A$27,0)),IF($B415="Cardboard Recycling",INDEX('Materials Master'!$I$2:$I$27,MATCH($C415,'Materials Master'!$A$2:$A$27,0)),IF($B415="Paper Recycling",INDEX('Materials Master'!$J$2:$J$27,MATCH($C415,'Materials Master'!$A$2:$A$27,0)),IF($B415="Terracycle",INDEX('Materials Master'!$K$2:$K$27,MATCH($C415,'Materials Master'!$A$2:$A$27,0)),"No"))))))="Yes",1,0)</f>
        <v>0</v>
      </c>
    </row>
    <row r="416" customFormat="false" ht="15" hidden="false" customHeight="false" outlineLevel="0" collapsed="false">
      <c r="A416" s="0" t="s">
        <v>97</v>
      </c>
      <c r="B416" s="0" t="s">
        <v>106</v>
      </c>
      <c r="C416" s="0" t="s">
        <v>82</v>
      </c>
      <c r="D416" s="0" t="str">
        <f aca="false">IFERROR(INDEX('Materials Master'!$B$2:$B$27,MATCH($C416,'Materials Master'!$A$2:$A$27,0)),"")</f>
        <v>Snack Wrappers (Composites)</v>
      </c>
      <c r="E416" s="0" t="str">
        <f aca="false">IFERROR(INDEX('Materials Master'!$C$2:$C$27,MATCH($C416,'Materials Master'!$A$2:$A$27,0)),"")</f>
        <v>Other</v>
      </c>
      <c r="F416" s="0" t="n">
        <f aca="false">SUMIFS(Fact_SortedWeights!$E$2:$E$6,Fact_SortedWeights!$C$2:$C$6,$A416,Fact_SortedWeights!$B$2:$B$6,$B416,Fact_SortedWeights!$D$2:$D$6,$C416)</f>
        <v>0</v>
      </c>
      <c r="G416" s="0" t="n">
        <f aca="false">IF(AND(IF($B416="Trash",INDEX('Materials Master'!$F$2:$F$27,MATCH($C416,'Materials Master'!$A$2:$A$27,0)),IF($B416="GMPC Recycling",INDEX('Materials Master'!$G$2:$G$27,MATCH($C416,'Materials Master'!$A$2:$A$27,0)),IF($B416="Organics Recycling",INDEX('Materials Master'!$H$2:$H$27,MATCH($C416,'Materials Master'!$A$2:$A$27,0)),IF($B416="Cardboard Recycling",INDEX('Materials Master'!$I$2:$I$27,MATCH($C416,'Materials Master'!$A$2:$A$27,0)),IF($B416="Paper Recycling",INDEX('Materials Master'!$J$2:$J$27,MATCH($C416,'Materials Master'!$A$2:$A$27,0)),IF($B416="Terracycle",INDEX('Materials Master'!$K$2:$K$27,MATCH($C416,'Materials Master'!$A$2:$A$27,0)),"No"))))))="Yes",INDEX('Materials Master'!$E$2:$E$27,MATCH($C416,'Materials Master'!$A$2:$A$27,0))="Yes",$B416&lt;&gt;"Trash"),1,0)</f>
        <v>0</v>
      </c>
      <c r="H416" s="0" t="str">
        <f aca="false">INDEX('Materials Master'!$E$2:$E$27,MATCH($C416,'Materials Master'!$A$2:$A$27,0))</f>
        <v>Yes</v>
      </c>
      <c r="I416" s="0" t="str">
        <f aca="false">IFERROR(INDEX(Areas!$C$2:$C$6,MATCH($A416,Areas!$B$2:$B$6,0)),"")</f>
        <v>Rest of Building</v>
      </c>
      <c r="J416" s="0" t="n">
        <f aca="false">IF(IF($B416="Trash",INDEX('Materials Master'!$F$2:$F$27,MATCH($C416,'Materials Master'!$A$2:$A$27,0)),IF($B416="GMPC Recycling",INDEX('Materials Master'!$G$2:$G$27,MATCH($C416,'Materials Master'!$A$2:$A$27,0)),IF($B416="Organics Recycling",INDEX('Materials Master'!$H$2:$H$27,MATCH($C416,'Materials Master'!$A$2:$A$27,0)),IF($B416="Cardboard Recycling",INDEX('Materials Master'!$I$2:$I$27,MATCH($C416,'Materials Master'!$A$2:$A$27,0)),IF($B416="Paper Recycling",INDEX('Materials Master'!$J$2:$J$27,MATCH($C416,'Materials Master'!$A$2:$A$27,0)),IF($B416="Terracycle",INDEX('Materials Master'!$K$2:$K$27,MATCH($C416,'Materials Master'!$A$2:$A$27,0)),"No"))))))="Yes",1,0)</f>
        <v>0</v>
      </c>
    </row>
    <row r="417" customFormat="false" ht="15" hidden="false" customHeight="false" outlineLevel="0" collapsed="false">
      <c r="A417" s="0" t="s">
        <v>97</v>
      </c>
      <c r="B417" s="0" t="s">
        <v>106</v>
      </c>
      <c r="C417" s="0" t="s">
        <v>85</v>
      </c>
      <c r="D417" s="0" t="str">
        <f aca="false">IFERROR(INDEX('Materials Master'!$B$2:$B$27,MATCH($C417,'Materials Master'!$A$2:$A$27,0)),"")</f>
        <v>Other/Residual Materials</v>
      </c>
      <c r="E417" s="0" t="str">
        <f aca="false">IFERROR(INDEX('Materials Master'!$C$2:$C$27,MATCH($C417,'Materials Master'!$A$2:$A$27,0)),"")</f>
        <v>Other</v>
      </c>
      <c r="F417" s="0" t="n">
        <f aca="false">SUMIFS(Fact_SortedWeights!$E$2:$E$6,Fact_SortedWeights!$C$2:$C$6,$A417,Fact_SortedWeights!$B$2:$B$6,$B417,Fact_SortedWeights!$D$2:$D$6,$C417)</f>
        <v>0</v>
      </c>
      <c r="G417" s="0" t="n">
        <f aca="false">IF(AND(IF($B417="Trash",INDEX('Materials Master'!$F$2:$F$27,MATCH($C417,'Materials Master'!$A$2:$A$27,0)),IF($B417="GMPC Recycling",INDEX('Materials Master'!$G$2:$G$27,MATCH($C417,'Materials Master'!$A$2:$A$27,0)),IF($B417="Organics Recycling",INDEX('Materials Master'!$H$2:$H$27,MATCH($C417,'Materials Master'!$A$2:$A$27,0)),IF($B417="Cardboard Recycling",INDEX('Materials Master'!$I$2:$I$27,MATCH($C417,'Materials Master'!$A$2:$A$27,0)),IF($B417="Paper Recycling",INDEX('Materials Master'!$J$2:$J$27,MATCH($C417,'Materials Master'!$A$2:$A$27,0)),IF($B417="Terracycle",INDEX('Materials Master'!$K$2:$K$27,MATCH($C417,'Materials Master'!$A$2:$A$27,0)),"No"))))))="Yes",INDEX('Materials Master'!$E$2:$E$27,MATCH($C417,'Materials Master'!$A$2:$A$27,0))="Yes",$B417&lt;&gt;"Trash"),1,0)</f>
        <v>0</v>
      </c>
      <c r="H417" s="0" t="str">
        <f aca="false">INDEX('Materials Master'!$E$2:$E$27,MATCH($C417,'Materials Master'!$A$2:$A$27,0))</f>
        <v>No</v>
      </c>
      <c r="I417" s="0" t="str">
        <f aca="false">IFERROR(INDEX(Areas!$C$2:$C$6,MATCH($A417,Areas!$B$2:$B$6,0)),"")</f>
        <v>Rest of Building</v>
      </c>
      <c r="J417" s="0" t="n">
        <f aca="false">IF(IF($B417="Trash",INDEX('Materials Master'!$F$2:$F$27,MATCH($C417,'Materials Master'!$A$2:$A$27,0)),IF($B417="GMPC Recycling",INDEX('Materials Master'!$G$2:$G$27,MATCH($C417,'Materials Master'!$A$2:$A$27,0)),IF($B417="Organics Recycling",INDEX('Materials Master'!$H$2:$H$27,MATCH($C417,'Materials Master'!$A$2:$A$27,0)),IF($B417="Cardboard Recycling",INDEX('Materials Master'!$I$2:$I$27,MATCH($C417,'Materials Master'!$A$2:$A$27,0)),IF($B417="Paper Recycling",INDEX('Materials Master'!$J$2:$J$27,MATCH($C417,'Materials Master'!$A$2:$A$27,0)),IF($B417="Terracycle",INDEX('Materials Master'!$K$2:$K$27,MATCH($C417,'Materials Master'!$A$2:$A$27,0)),"No"))))))="Yes",1,0)</f>
        <v>0</v>
      </c>
    </row>
    <row r="418" customFormat="false" ht="15" hidden="false" customHeight="false" outlineLevel="0" collapsed="false">
      <c r="A418" s="0" t="s">
        <v>97</v>
      </c>
      <c r="B418" s="0" t="s">
        <v>107</v>
      </c>
      <c r="C418" s="0" t="s">
        <v>26</v>
      </c>
      <c r="D418" s="0" t="str">
        <f aca="false">IFERROR(INDEX('Materials Master'!$B$2:$B$27,MATCH($C418,'Materials Master'!$A$2:$A$27,0)),"")</f>
        <v>Corrugated Cardboard</v>
      </c>
      <c r="E418" s="0" t="str">
        <f aca="false">IFERROR(INDEX('Materials Master'!$C$2:$C$27,MATCH($C418,'Materials Master'!$A$2:$A$27,0)),"")</f>
        <v>Fibers</v>
      </c>
      <c r="F418" s="0" t="n">
        <f aca="false">(SUMIFS(Fact_PreSortWeights!$E$2:$E$15,Fact_PreSortWeights!$C$2:$C$15,$A418,Fact_PreSortWeights!$B$2:$B$15,$B418,Fact_PreSortWeights!$F$2:$F$15,$C418))+(SUMIFS(Fact_SortedWeights!$E$2:$E$6,Fact_SortedWeights!$C$2:$C$6,$A418,Fact_SortedWeights!$B$2:$B$6,$B418,Fact_SortedWeights!$D$2:$D$6,$C418,Fact_SortedWeights!$L$2:$L$6,"Yes"))+IF((SUMIFS(Fact_SortedWeights!$E$2:$E$6,Fact_SortedWeights!$C$2:$C$6,$A418,Fact_SortedWeights!$B$2:$B$6,$B418,Fact_SortedWeights!$L$2:$L$6,"No"))=0,0,(SUMIFS(Fact_SortedWeights!$E$2:$E$6,Fact_SortedWeights!$C$2:$C$6,$A418,Fact_SortedWeights!$B$2:$B$6,$B418,Fact_SortedWeights!$D$2:$D$6,$C418,Fact_SortedWeights!$L$2:$L$6,"No"))/(SUMIFS(Fact_SortedWeights!$E$2:$E$6,Fact_SortedWeights!$C$2:$C$6,$A418,Fact_SortedWeights!$B$2:$B$6,$B418,Fact_SortedWeights!$L$2:$L$6,"No"))*((SUMIFS(Fact_PreSortWeights!$E$2:$E$15,Fact_PreSortWeights!$C$2:$C$15,$A418,Fact_PreSortWeights!$B$2:$B$15,$B418,Fact_PreSortWeights!$F$2:$F$15,""))-(SUMIFS(Fact_SortedWeights!$E$2:$E$6,Fact_SortedWeights!$C$2:$C$6,$A418,Fact_SortedWeights!$B$2:$B$6,$B418,Fact_SortedWeights!$L$2:$L$6,"Yes"))))</f>
        <v>0</v>
      </c>
      <c r="G418" s="0" t="n">
        <f aca="false">IF(AND(IF($B418="Trash",INDEX('Materials Master'!$F$2:$F$27,MATCH($C418,'Materials Master'!$A$2:$A$27,0)),IF($B418="GMPC Recycling",INDEX('Materials Master'!$G$2:$G$27,MATCH($C418,'Materials Master'!$A$2:$A$27,0)),IF($B418="Organics Recycling",INDEX('Materials Master'!$H$2:$H$27,MATCH($C418,'Materials Master'!$A$2:$A$27,0)),IF($B418="Cardboard Recycling",INDEX('Materials Master'!$I$2:$I$27,MATCH($C418,'Materials Master'!$A$2:$A$27,0)),IF($B418="Paper Recycling",INDEX('Materials Master'!$J$2:$J$27,MATCH($C418,'Materials Master'!$A$2:$A$27,0)),IF($B418="Terracycle",INDEX('Materials Master'!$K$2:$K$27,MATCH($C418,'Materials Master'!$A$2:$A$27,0)),"No"))))))="Yes",INDEX('Materials Master'!$E$2:$E$27,MATCH($C418,'Materials Master'!$A$2:$A$27,0))="Yes",$B418&lt;&gt;"Trash"),1,0)</f>
        <v>1</v>
      </c>
      <c r="H418" s="0" t="str">
        <f aca="false">INDEX('Materials Master'!$E$2:$E$27,MATCH($C418,'Materials Master'!$A$2:$A$27,0))</f>
        <v>Yes</v>
      </c>
      <c r="I418" s="0" t="str">
        <f aca="false">IFERROR(INDEX(Areas!$C$2:$C$6,MATCH($A418,Areas!$B$2:$B$6,0)),"")</f>
        <v>Rest of Building</v>
      </c>
      <c r="J418" s="0" t="n">
        <f aca="false">IF(IF($B418="Trash",INDEX('Materials Master'!$F$2:$F$27,MATCH($C418,'Materials Master'!$A$2:$A$27,0)),IF($B418="GMPC Recycling",INDEX('Materials Master'!$G$2:$G$27,MATCH($C418,'Materials Master'!$A$2:$A$27,0)),IF($B418="Organics Recycling",INDEX('Materials Master'!$H$2:$H$27,MATCH($C418,'Materials Master'!$A$2:$A$27,0)),IF($B418="Cardboard Recycling",INDEX('Materials Master'!$I$2:$I$27,MATCH($C418,'Materials Master'!$A$2:$A$27,0)),IF($B418="Paper Recycling",INDEX('Materials Master'!$J$2:$J$27,MATCH($C418,'Materials Master'!$A$2:$A$27,0)),IF($B418="Terracycle",INDEX('Materials Master'!$K$2:$K$27,MATCH($C418,'Materials Master'!$A$2:$A$27,0)),"No"))))))="Yes",1,0)</f>
        <v>1</v>
      </c>
    </row>
    <row r="419" customFormat="false" ht="15" hidden="false" customHeight="false" outlineLevel="0" collapsed="false">
      <c r="A419" s="0" t="s">
        <v>97</v>
      </c>
      <c r="B419" s="0" t="s">
        <v>107</v>
      </c>
      <c r="C419" s="0" t="s">
        <v>31</v>
      </c>
      <c r="D419" s="0" t="str">
        <f aca="false">IFERROR(INDEX('Materials Master'!$B$2:$B$27,MATCH($C419,'Materials Master'!$A$2:$A$27,0)),"")</f>
        <v>Soiled Cardboard</v>
      </c>
      <c r="E419" s="0" t="str">
        <f aca="false">IFERROR(INDEX('Materials Master'!$C$2:$C$27,MATCH($C419,'Materials Master'!$A$2:$A$27,0)),"")</f>
        <v>Fibers</v>
      </c>
      <c r="F419" s="0" t="n">
        <f aca="false">(SUMIFS(Fact_PreSortWeights!$E$2:$E$15,Fact_PreSortWeights!$C$2:$C$15,$A419,Fact_PreSortWeights!$B$2:$B$15,$B419,Fact_PreSortWeights!$F$2:$F$15,$C419))+(SUMIFS(Fact_SortedWeights!$E$2:$E$6,Fact_SortedWeights!$C$2:$C$6,$A419,Fact_SortedWeights!$B$2:$B$6,$B419,Fact_SortedWeights!$D$2:$D$6,$C419,Fact_SortedWeights!$L$2:$L$6,"Yes"))+IF((SUMIFS(Fact_SortedWeights!$E$2:$E$6,Fact_SortedWeights!$C$2:$C$6,$A419,Fact_SortedWeights!$B$2:$B$6,$B419,Fact_SortedWeights!$L$2:$L$6,"No"))=0,0,(SUMIFS(Fact_SortedWeights!$E$2:$E$6,Fact_SortedWeights!$C$2:$C$6,$A419,Fact_SortedWeights!$B$2:$B$6,$B419,Fact_SortedWeights!$D$2:$D$6,$C419,Fact_SortedWeights!$L$2:$L$6,"No"))/(SUMIFS(Fact_SortedWeights!$E$2:$E$6,Fact_SortedWeights!$C$2:$C$6,$A419,Fact_SortedWeights!$B$2:$B$6,$B419,Fact_SortedWeights!$L$2:$L$6,"No"))*((SUMIFS(Fact_PreSortWeights!$E$2:$E$15,Fact_PreSortWeights!$C$2:$C$15,$A419,Fact_PreSortWeights!$B$2:$B$15,$B419,Fact_PreSortWeights!$F$2:$F$15,""))-(SUMIFS(Fact_SortedWeights!$E$2:$E$6,Fact_SortedWeights!$C$2:$C$6,$A419,Fact_SortedWeights!$B$2:$B$6,$B419,Fact_SortedWeights!$L$2:$L$6,"Yes"))))</f>
        <v>0</v>
      </c>
      <c r="G419" s="0" t="n">
        <f aca="false">IF(AND(IF($B419="Trash",INDEX('Materials Master'!$F$2:$F$27,MATCH($C419,'Materials Master'!$A$2:$A$27,0)),IF($B419="GMPC Recycling",INDEX('Materials Master'!$G$2:$G$27,MATCH($C419,'Materials Master'!$A$2:$A$27,0)),IF($B419="Organics Recycling",INDEX('Materials Master'!$H$2:$H$27,MATCH($C419,'Materials Master'!$A$2:$A$27,0)),IF($B419="Cardboard Recycling",INDEX('Materials Master'!$I$2:$I$27,MATCH($C419,'Materials Master'!$A$2:$A$27,0)),IF($B419="Paper Recycling",INDEX('Materials Master'!$J$2:$J$27,MATCH($C419,'Materials Master'!$A$2:$A$27,0)),IF($B419="Terracycle",INDEX('Materials Master'!$K$2:$K$27,MATCH($C419,'Materials Master'!$A$2:$A$27,0)),"No"))))))="Yes",INDEX('Materials Master'!$E$2:$E$27,MATCH($C419,'Materials Master'!$A$2:$A$27,0))="Yes",$B419&lt;&gt;"Trash"),1,0)</f>
        <v>0</v>
      </c>
      <c r="H419" s="0" t="str">
        <f aca="false">INDEX('Materials Master'!$E$2:$E$27,MATCH($C419,'Materials Master'!$A$2:$A$27,0))</f>
        <v>No</v>
      </c>
      <c r="I419" s="0" t="str">
        <f aca="false">IFERROR(INDEX(Areas!$C$2:$C$6,MATCH($A419,Areas!$B$2:$B$6,0)),"")</f>
        <v>Rest of Building</v>
      </c>
      <c r="J419" s="0" t="n">
        <f aca="false">IF(IF($B419="Trash",INDEX('Materials Master'!$F$2:$F$27,MATCH($C419,'Materials Master'!$A$2:$A$27,0)),IF($B419="GMPC Recycling",INDEX('Materials Master'!$G$2:$G$27,MATCH($C419,'Materials Master'!$A$2:$A$27,0)),IF($B419="Organics Recycling",INDEX('Materials Master'!$H$2:$H$27,MATCH($C419,'Materials Master'!$A$2:$A$27,0)),IF($B419="Cardboard Recycling",INDEX('Materials Master'!$I$2:$I$27,MATCH($C419,'Materials Master'!$A$2:$A$27,0)),IF($B419="Paper Recycling",INDEX('Materials Master'!$J$2:$J$27,MATCH($C419,'Materials Master'!$A$2:$A$27,0)),IF($B419="Terracycle",INDEX('Materials Master'!$K$2:$K$27,MATCH($C419,'Materials Master'!$A$2:$A$27,0)),"No"))))))="Yes",1,0)</f>
        <v>0</v>
      </c>
    </row>
    <row r="420" customFormat="false" ht="15" hidden="false" customHeight="false" outlineLevel="0" collapsed="false">
      <c r="A420" s="0" t="s">
        <v>97</v>
      </c>
      <c r="B420" s="0" t="s">
        <v>107</v>
      </c>
      <c r="C420" s="0" t="s">
        <v>33</v>
      </c>
      <c r="D420" s="0" t="str">
        <f aca="false">IFERROR(INDEX('Materials Master'!$B$2:$B$27,MATCH($C420,'Materials Master'!$A$2:$A$27,0)),"")</f>
        <v>Waxed Cardboard</v>
      </c>
      <c r="E420" s="0" t="str">
        <f aca="false">IFERROR(INDEX('Materials Master'!$C$2:$C$27,MATCH($C420,'Materials Master'!$A$2:$A$27,0)),"")</f>
        <v>Fibers</v>
      </c>
      <c r="F420" s="0" t="n">
        <f aca="false">(SUMIFS(Fact_PreSortWeights!$E$2:$E$15,Fact_PreSortWeights!$C$2:$C$15,$A420,Fact_PreSortWeights!$B$2:$B$15,$B420,Fact_PreSortWeights!$F$2:$F$15,$C420))+(SUMIFS(Fact_SortedWeights!$E$2:$E$6,Fact_SortedWeights!$C$2:$C$6,$A420,Fact_SortedWeights!$B$2:$B$6,$B420,Fact_SortedWeights!$D$2:$D$6,$C420,Fact_SortedWeights!$L$2:$L$6,"Yes"))+IF((SUMIFS(Fact_SortedWeights!$E$2:$E$6,Fact_SortedWeights!$C$2:$C$6,$A420,Fact_SortedWeights!$B$2:$B$6,$B420,Fact_SortedWeights!$L$2:$L$6,"No"))=0,0,(SUMIFS(Fact_SortedWeights!$E$2:$E$6,Fact_SortedWeights!$C$2:$C$6,$A420,Fact_SortedWeights!$B$2:$B$6,$B420,Fact_SortedWeights!$D$2:$D$6,$C420,Fact_SortedWeights!$L$2:$L$6,"No"))/(SUMIFS(Fact_SortedWeights!$E$2:$E$6,Fact_SortedWeights!$C$2:$C$6,$A420,Fact_SortedWeights!$B$2:$B$6,$B420,Fact_SortedWeights!$L$2:$L$6,"No"))*((SUMIFS(Fact_PreSortWeights!$E$2:$E$15,Fact_PreSortWeights!$C$2:$C$15,$A420,Fact_PreSortWeights!$B$2:$B$15,$B420,Fact_PreSortWeights!$F$2:$F$15,""))-(SUMIFS(Fact_SortedWeights!$E$2:$E$6,Fact_SortedWeights!$C$2:$C$6,$A420,Fact_SortedWeights!$B$2:$B$6,$B420,Fact_SortedWeights!$L$2:$L$6,"Yes"))))</f>
        <v>0</v>
      </c>
      <c r="G420" s="0" t="n">
        <f aca="false">IF(AND(IF($B420="Trash",INDEX('Materials Master'!$F$2:$F$27,MATCH($C420,'Materials Master'!$A$2:$A$27,0)),IF($B420="GMPC Recycling",INDEX('Materials Master'!$G$2:$G$27,MATCH($C420,'Materials Master'!$A$2:$A$27,0)),IF($B420="Organics Recycling",INDEX('Materials Master'!$H$2:$H$27,MATCH($C420,'Materials Master'!$A$2:$A$27,0)),IF($B420="Cardboard Recycling",INDEX('Materials Master'!$I$2:$I$27,MATCH($C420,'Materials Master'!$A$2:$A$27,0)),IF($B420="Paper Recycling",INDEX('Materials Master'!$J$2:$J$27,MATCH($C420,'Materials Master'!$A$2:$A$27,0)),IF($B420="Terracycle",INDEX('Materials Master'!$K$2:$K$27,MATCH($C420,'Materials Master'!$A$2:$A$27,0)),"No"))))))="Yes",INDEX('Materials Master'!$E$2:$E$27,MATCH($C420,'Materials Master'!$A$2:$A$27,0))="Yes",$B420&lt;&gt;"Trash"),1,0)</f>
        <v>0</v>
      </c>
      <c r="H420" s="0" t="str">
        <f aca="false">INDEX('Materials Master'!$E$2:$E$27,MATCH($C420,'Materials Master'!$A$2:$A$27,0))</f>
        <v>No</v>
      </c>
      <c r="I420" s="0" t="str">
        <f aca="false">IFERROR(INDEX(Areas!$C$2:$C$6,MATCH($A420,Areas!$B$2:$B$6,0)),"")</f>
        <v>Rest of Building</v>
      </c>
      <c r="J420" s="0" t="n">
        <f aca="false">IF(IF($B420="Trash",INDEX('Materials Master'!$F$2:$F$27,MATCH($C420,'Materials Master'!$A$2:$A$27,0)),IF($B420="GMPC Recycling",INDEX('Materials Master'!$G$2:$G$27,MATCH($C420,'Materials Master'!$A$2:$A$27,0)),IF($B420="Organics Recycling",INDEX('Materials Master'!$H$2:$H$27,MATCH($C420,'Materials Master'!$A$2:$A$27,0)),IF($B420="Cardboard Recycling",INDEX('Materials Master'!$I$2:$I$27,MATCH($C420,'Materials Master'!$A$2:$A$27,0)),IF($B420="Paper Recycling",INDEX('Materials Master'!$J$2:$J$27,MATCH($C420,'Materials Master'!$A$2:$A$27,0)),IF($B420="Terracycle",INDEX('Materials Master'!$K$2:$K$27,MATCH($C420,'Materials Master'!$A$2:$A$27,0)),"No"))))))="Yes",1,0)</f>
        <v>0</v>
      </c>
    </row>
    <row r="421" customFormat="false" ht="15" hidden="false" customHeight="false" outlineLevel="0" collapsed="false">
      <c r="A421" s="0" t="s">
        <v>97</v>
      </c>
      <c r="B421" s="0" t="s">
        <v>107</v>
      </c>
      <c r="C421" s="0" t="s">
        <v>35</v>
      </c>
      <c r="D421" s="0" t="str">
        <f aca="false">IFERROR(INDEX('Materials Master'!$B$2:$B$27,MATCH($C421,'Materials Master'!$A$2:$A$27,0)),"")</f>
        <v>Mixed Paper</v>
      </c>
      <c r="E421" s="0" t="str">
        <f aca="false">IFERROR(INDEX('Materials Master'!$C$2:$C$27,MATCH($C421,'Materials Master'!$A$2:$A$27,0)),"")</f>
        <v>Fibers</v>
      </c>
      <c r="F421" s="0" t="n">
        <f aca="false">(SUMIFS(Fact_PreSortWeights!$E$2:$E$15,Fact_PreSortWeights!$C$2:$C$15,$A421,Fact_PreSortWeights!$B$2:$B$15,$B421,Fact_PreSortWeights!$F$2:$F$15,$C421))+(SUMIFS(Fact_SortedWeights!$E$2:$E$6,Fact_SortedWeights!$C$2:$C$6,$A421,Fact_SortedWeights!$B$2:$B$6,$B421,Fact_SortedWeights!$D$2:$D$6,$C421,Fact_SortedWeights!$L$2:$L$6,"Yes"))+IF((SUMIFS(Fact_SortedWeights!$E$2:$E$6,Fact_SortedWeights!$C$2:$C$6,$A421,Fact_SortedWeights!$B$2:$B$6,$B421,Fact_SortedWeights!$L$2:$L$6,"No"))=0,0,(SUMIFS(Fact_SortedWeights!$E$2:$E$6,Fact_SortedWeights!$C$2:$C$6,$A421,Fact_SortedWeights!$B$2:$B$6,$B421,Fact_SortedWeights!$D$2:$D$6,$C421,Fact_SortedWeights!$L$2:$L$6,"No"))/(SUMIFS(Fact_SortedWeights!$E$2:$E$6,Fact_SortedWeights!$C$2:$C$6,$A421,Fact_SortedWeights!$B$2:$B$6,$B421,Fact_SortedWeights!$L$2:$L$6,"No"))*((SUMIFS(Fact_PreSortWeights!$E$2:$E$15,Fact_PreSortWeights!$C$2:$C$15,$A421,Fact_PreSortWeights!$B$2:$B$15,$B421,Fact_PreSortWeights!$F$2:$F$15,""))-(SUMIFS(Fact_SortedWeights!$E$2:$E$6,Fact_SortedWeights!$C$2:$C$6,$A421,Fact_SortedWeights!$B$2:$B$6,$B421,Fact_SortedWeights!$L$2:$L$6,"Yes"))))</f>
        <v>0</v>
      </c>
      <c r="G421" s="0" t="n">
        <f aca="false">IF(AND(IF($B421="Trash",INDEX('Materials Master'!$F$2:$F$27,MATCH($C421,'Materials Master'!$A$2:$A$27,0)),IF($B421="GMPC Recycling",INDEX('Materials Master'!$G$2:$G$27,MATCH($C421,'Materials Master'!$A$2:$A$27,0)),IF($B421="Organics Recycling",INDEX('Materials Master'!$H$2:$H$27,MATCH($C421,'Materials Master'!$A$2:$A$27,0)),IF($B421="Cardboard Recycling",INDEX('Materials Master'!$I$2:$I$27,MATCH($C421,'Materials Master'!$A$2:$A$27,0)),IF($B421="Paper Recycling",INDEX('Materials Master'!$J$2:$J$27,MATCH($C421,'Materials Master'!$A$2:$A$27,0)),IF($B421="Terracycle",INDEX('Materials Master'!$K$2:$K$27,MATCH($C421,'Materials Master'!$A$2:$A$27,0)),"No"))))))="Yes",INDEX('Materials Master'!$E$2:$E$27,MATCH($C421,'Materials Master'!$A$2:$A$27,0))="Yes",$B421&lt;&gt;"Trash"),1,0)</f>
        <v>0</v>
      </c>
      <c r="H421" s="0" t="str">
        <f aca="false">INDEX('Materials Master'!$E$2:$E$27,MATCH($C421,'Materials Master'!$A$2:$A$27,0))</f>
        <v>Yes</v>
      </c>
      <c r="I421" s="0" t="str">
        <f aca="false">IFERROR(INDEX(Areas!$C$2:$C$6,MATCH($A421,Areas!$B$2:$B$6,0)),"")</f>
        <v>Rest of Building</v>
      </c>
      <c r="J421" s="0" t="n">
        <f aca="false">IF(IF($B421="Trash",INDEX('Materials Master'!$F$2:$F$27,MATCH($C421,'Materials Master'!$A$2:$A$27,0)),IF($B421="GMPC Recycling",INDEX('Materials Master'!$G$2:$G$27,MATCH($C421,'Materials Master'!$A$2:$A$27,0)),IF($B421="Organics Recycling",INDEX('Materials Master'!$H$2:$H$27,MATCH($C421,'Materials Master'!$A$2:$A$27,0)),IF($B421="Cardboard Recycling",INDEX('Materials Master'!$I$2:$I$27,MATCH($C421,'Materials Master'!$A$2:$A$27,0)),IF($B421="Paper Recycling",INDEX('Materials Master'!$J$2:$J$27,MATCH($C421,'Materials Master'!$A$2:$A$27,0)),IF($B421="Terracycle",INDEX('Materials Master'!$K$2:$K$27,MATCH($C421,'Materials Master'!$A$2:$A$27,0)),"No"))))))="Yes",1,0)</f>
        <v>0</v>
      </c>
    </row>
    <row r="422" customFormat="false" ht="15" hidden="false" customHeight="false" outlineLevel="0" collapsed="false">
      <c r="A422" s="0" t="s">
        <v>97</v>
      </c>
      <c r="B422" s="0" t="s">
        <v>107</v>
      </c>
      <c r="C422" s="0" t="s">
        <v>37</v>
      </c>
      <c r="D422" s="0" t="str">
        <f aca="false">IFERROR(INDEX('Materials Master'!$B$2:$B$27,MATCH($C422,'Materials Master'!$A$2:$A$27,0)),"")</f>
        <v>Soiled Paper</v>
      </c>
      <c r="E422" s="0" t="str">
        <f aca="false">IFERROR(INDEX('Materials Master'!$C$2:$C$27,MATCH($C422,'Materials Master'!$A$2:$A$27,0)),"")</f>
        <v>Fibers</v>
      </c>
      <c r="F422" s="0" t="n">
        <f aca="false">(SUMIFS(Fact_PreSortWeights!$E$2:$E$15,Fact_PreSortWeights!$C$2:$C$15,$A422,Fact_PreSortWeights!$B$2:$B$15,$B422,Fact_PreSortWeights!$F$2:$F$15,$C422))+(SUMIFS(Fact_SortedWeights!$E$2:$E$6,Fact_SortedWeights!$C$2:$C$6,$A422,Fact_SortedWeights!$B$2:$B$6,$B422,Fact_SortedWeights!$D$2:$D$6,$C422,Fact_SortedWeights!$L$2:$L$6,"Yes"))+IF((SUMIFS(Fact_SortedWeights!$E$2:$E$6,Fact_SortedWeights!$C$2:$C$6,$A422,Fact_SortedWeights!$B$2:$B$6,$B422,Fact_SortedWeights!$L$2:$L$6,"No"))=0,0,(SUMIFS(Fact_SortedWeights!$E$2:$E$6,Fact_SortedWeights!$C$2:$C$6,$A422,Fact_SortedWeights!$B$2:$B$6,$B422,Fact_SortedWeights!$D$2:$D$6,$C422,Fact_SortedWeights!$L$2:$L$6,"No"))/(SUMIFS(Fact_SortedWeights!$E$2:$E$6,Fact_SortedWeights!$C$2:$C$6,$A422,Fact_SortedWeights!$B$2:$B$6,$B422,Fact_SortedWeights!$L$2:$L$6,"No"))*((SUMIFS(Fact_PreSortWeights!$E$2:$E$15,Fact_PreSortWeights!$C$2:$C$15,$A422,Fact_PreSortWeights!$B$2:$B$15,$B422,Fact_PreSortWeights!$F$2:$F$15,""))-(SUMIFS(Fact_SortedWeights!$E$2:$E$6,Fact_SortedWeights!$C$2:$C$6,$A422,Fact_SortedWeights!$B$2:$B$6,$B422,Fact_SortedWeights!$L$2:$L$6,"Yes"))))</f>
        <v>0</v>
      </c>
      <c r="G422" s="0" t="n">
        <f aca="false">IF(AND(IF($B422="Trash",INDEX('Materials Master'!$F$2:$F$27,MATCH($C422,'Materials Master'!$A$2:$A$27,0)),IF($B422="GMPC Recycling",INDEX('Materials Master'!$G$2:$G$27,MATCH($C422,'Materials Master'!$A$2:$A$27,0)),IF($B422="Organics Recycling",INDEX('Materials Master'!$H$2:$H$27,MATCH($C422,'Materials Master'!$A$2:$A$27,0)),IF($B422="Cardboard Recycling",INDEX('Materials Master'!$I$2:$I$27,MATCH($C422,'Materials Master'!$A$2:$A$27,0)),IF($B422="Paper Recycling",INDEX('Materials Master'!$J$2:$J$27,MATCH($C422,'Materials Master'!$A$2:$A$27,0)),IF($B422="Terracycle",INDEX('Materials Master'!$K$2:$K$27,MATCH($C422,'Materials Master'!$A$2:$A$27,0)),"No"))))))="Yes",INDEX('Materials Master'!$E$2:$E$27,MATCH($C422,'Materials Master'!$A$2:$A$27,0))="Yes",$B422&lt;&gt;"Trash"),1,0)</f>
        <v>0</v>
      </c>
      <c r="H422" s="0" t="str">
        <f aca="false">INDEX('Materials Master'!$E$2:$E$27,MATCH($C422,'Materials Master'!$A$2:$A$27,0))</f>
        <v>No</v>
      </c>
      <c r="I422" s="0" t="str">
        <f aca="false">IFERROR(INDEX(Areas!$C$2:$C$6,MATCH($A422,Areas!$B$2:$B$6,0)),"")</f>
        <v>Rest of Building</v>
      </c>
      <c r="J422" s="0" t="n">
        <f aca="false">IF(IF($B422="Trash",INDEX('Materials Master'!$F$2:$F$27,MATCH($C422,'Materials Master'!$A$2:$A$27,0)),IF($B422="GMPC Recycling",INDEX('Materials Master'!$G$2:$G$27,MATCH($C422,'Materials Master'!$A$2:$A$27,0)),IF($B422="Organics Recycling",INDEX('Materials Master'!$H$2:$H$27,MATCH($C422,'Materials Master'!$A$2:$A$27,0)),IF($B422="Cardboard Recycling",INDEX('Materials Master'!$I$2:$I$27,MATCH($C422,'Materials Master'!$A$2:$A$27,0)),IF($B422="Paper Recycling",INDEX('Materials Master'!$J$2:$J$27,MATCH($C422,'Materials Master'!$A$2:$A$27,0)),IF($B422="Terracycle",INDEX('Materials Master'!$K$2:$K$27,MATCH($C422,'Materials Master'!$A$2:$A$27,0)),"No"))))))="Yes",1,0)</f>
        <v>0</v>
      </c>
    </row>
    <row r="423" customFormat="false" ht="15" hidden="false" customHeight="false" outlineLevel="0" collapsed="false">
      <c r="A423" s="0" t="s">
        <v>97</v>
      </c>
      <c r="B423" s="0" t="s">
        <v>107</v>
      </c>
      <c r="C423" s="0" t="s">
        <v>39</v>
      </c>
      <c r="D423" s="0" t="str">
        <f aca="false">IFERROR(INDEX('Materials Master'!$B$2:$B$27,MATCH($C423,'Materials Master'!$A$2:$A$27,0)),"")</f>
        <v>Beverage Cartons</v>
      </c>
      <c r="E423" s="0" t="str">
        <f aca="false">IFERROR(INDEX('Materials Master'!$C$2:$C$27,MATCH($C423,'Materials Master'!$A$2:$A$27,0)),"")</f>
        <v>Fibers</v>
      </c>
      <c r="F423" s="0" t="n">
        <f aca="false">(SUMIFS(Fact_PreSortWeights!$E$2:$E$15,Fact_PreSortWeights!$C$2:$C$15,$A423,Fact_PreSortWeights!$B$2:$B$15,$B423,Fact_PreSortWeights!$F$2:$F$15,$C423))+(SUMIFS(Fact_SortedWeights!$E$2:$E$6,Fact_SortedWeights!$C$2:$C$6,$A423,Fact_SortedWeights!$B$2:$B$6,$B423,Fact_SortedWeights!$D$2:$D$6,$C423,Fact_SortedWeights!$L$2:$L$6,"Yes"))+IF((SUMIFS(Fact_SortedWeights!$E$2:$E$6,Fact_SortedWeights!$C$2:$C$6,$A423,Fact_SortedWeights!$B$2:$B$6,$B423,Fact_SortedWeights!$L$2:$L$6,"No"))=0,0,(SUMIFS(Fact_SortedWeights!$E$2:$E$6,Fact_SortedWeights!$C$2:$C$6,$A423,Fact_SortedWeights!$B$2:$B$6,$B423,Fact_SortedWeights!$D$2:$D$6,$C423,Fact_SortedWeights!$L$2:$L$6,"No"))/(SUMIFS(Fact_SortedWeights!$E$2:$E$6,Fact_SortedWeights!$C$2:$C$6,$A423,Fact_SortedWeights!$B$2:$B$6,$B423,Fact_SortedWeights!$L$2:$L$6,"No"))*((SUMIFS(Fact_PreSortWeights!$E$2:$E$15,Fact_PreSortWeights!$C$2:$C$15,$A423,Fact_PreSortWeights!$B$2:$B$15,$B423,Fact_PreSortWeights!$F$2:$F$15,""))-(SUMIFS(Fact_SortedWeights!$E$2:$E$6,Fact_SortedWeights!$C$2:$C$6,$A423,Fact_SortedWeights!$B$2:$B$6,$B423,Fact_SortedWeights!$L$2:$L$6,"Yes"))))</f>
        <v>0</v>
      </c>
      <c r="G423" s="0" t="n">
        <f aca="false">IF(AND(IF($B423="Trash",INDEX('Materials Master'!$F$2:$F$27,MATCH($C423,'Materials Master'!$A$2:$A$27,0)),IF($B423="GMPC Recycling",INDEX('Materials Master'!$G$2:$G$27,MATCH($C423,'Materials Master'!$A$2:$A$27,0)),IF($B423="Organics Recycling",INDEX('Materials Master'!$H$2:$H$27,MATCH($C423,'Materials Master'!$A$2:$A$27,0)),IF($B423="Cardboard Recycling",INDEX('Materials Master'!$I$2:$I$27,MATCH($C423,'Materials Master'!$A$2:$A$27,0)),IF($B423="Paper Recycling",INDEX('Materials Master'!$J$2:$J$27,MATCH($C423,'Materials Master'!$A$2:$A$27,0)),IF($B423="Terracycle",INDEX('Materials Master'!$K$2:$K$27,MATCH($C423,'Materials Master'!$A$2:$A$27,0)),"No"))))))="Yes",INDEX('Materials Master'!$E$2:$E$27,MATCH($C423,'Materials Master'!$A$2:$A$27,0))="Yes",$B423&lt;&gt;"Trash"),1,0)</f>
        <v>1</v>
      </c>
      <c r="H423" s="0" t="str">
        <f aca="false">INDEX('Materials Master'!$E$2:$E$27,MATCH($C423,'Materials Master'!$A$2:$A$27,0))</f>
        <v>Yes</v>
      </c>
      <c r="I423" s="0" t="str">
        <f aca="false">IFERROR(INDEX(Areas!$C$2:$C$6,MATCH($A423,Areas!$B$2:$B$6,0)),"")</f>
        <v>Rest of Building</v>
      </c>
      <c r="J423" s="0" t="n">
        <f aca="false">IF(IF($B423="Trash",INDEX('Materials Master'!$F$2:$F$27,MATCH($C423,'Materials Master'!$A$2:$A$27,0)),IF($B423="GMPC Recycling",INDEX('Materials Master'!$G$2:$G$27,MATCH($C423,'Materials Master'!$A$2:$A$27,0)),IF($B423="Organics Recycling",INDEX('Materials Master'!$H$2:$H$27,MATCH($C423,'Materials Master'!$A$2:$A$27,0)),IF($B423="Cardboard Recycling",INDEX('Materials Master'!$I$2:$I$27,MATCH($C423,'Materials Master'!$A$2:$A$27,0)),IF($B423="Paper Recycling",INDEX('Materials Master'!$J$2:$J$27,MATCH($C423,'Materials Master'!$A$2:$A$27,0)),IF($B423="Terracycle",INDEX('Materials Master'!$K$2:$K$27,MATCH($C423,'Materials Master'!$A$2:$A$27,0)),"No"))))))="Yes",1,0)</f>
        <v>1</v>
      </c>
    </row>
    <row r="424" customFormat="false" ht="15" hidden="false" customHeight="false" outlineLevel="0" collapsed="false">
      <c r="A424" s="0" t="s">
        <v>97</v>
      </c>
      <c r="B424" s="0" t="s">
        <v>107</v>
      </c>
      <c r="C424" s="0" t="s">
        <v>41</v>
      </c>
      <c r="D424" s="0" t="str">
        <f aca="false">IFERROR(INDEX('Materials Master'!$B$2:$B$27,MATCH($C424,'Materials Master'!$A$2:$A$27,0)),"")</f>
        <v>Soiled Beverage Cartons</v>
      </c>
      <c r="E424" s="0" t="str">
        <f aca="false">IFERROR(INDEX('Materials Master'!$C$2:$C$27,MATCH($C424,'Materials Master'!$A$2:$A$27,0)),"")</f>
        <v>Fibers</v>
      </c>
      <c r="F424" s="0" t="n">
        <f aca="false">(SUMIFS(Fact_PreSortWeights!$E$2:$E$15,Fact_PreSortWeights!$C$2:$C$15,$A424,Fact_PreSortWeights!$B$2:$B$15,$B424,Fact_PreSortWeights!$F$2:$F$15,$C424))+(SUMIFS(Fact_SortedWeights!$E$2:$E$6,Fact_SortedWeights!$C$2:$C$6,$A424,Fact_SortedWeights!$B$2:$B$6,$B424,Fact_SortedWeights!$D$2:$D$6,$C424,Fact_SortedWeights!$L$2:$L$6,"Yes"))+IF((SUMIFS(Fact_SortedWeights!$E$2:$E$6,Fact_SortedWeights!$C$2:$C$6,$A424,Fact_SortedWeights!$B$2:$B$6,$B424,Fact_SortedWeights!$L$2:$L$6,"No"))=0,0,(SUMIFS(Fact_SortedWeights!$E$2:$E$6,Fact_SortedWeights!$C$2:$C$6,$A424,Fact_SortedWeights!$B$2:$B$6,$B424,Fact_SortedWeights!$D$2:$D$6,$C424,Fact_SortedWeights!$L$2:$L$6,"No"))/(SUMIFS(Fact_SortedWeights!$E$2:$E$6,Fact_SortedWeights!$C$2:$C$6,$A424,Fact_SortedWeights!$B$2:$B$6,$B424,Fact_SortedWeights!$L$2:$L$6,"No"))*((SUMIFS(Fact_PreSortWeights!$E$2:$E$15,Fact_PreSortWeights!$C$2:$C$15,$A424,Fact_PreSortWeights!$B$2:$B$15,$B424,Fact_PreSortWeights!$F$2:$F$15,""))-(SUMIFS(Fact_SortedWeights!$E$2:$E$6,Fact_SortedWeights!$C$2:$C$6,$A424,Fact_SortedWeights!$B$2:$B$6,$B424,Fact_SortedWeights!$L$2:$L$6,"Yes"))))</f>
        <v>0</v>
      </c>
      <c r="G424" s="0" t="n">
        <f aca="false">IF(AND(IF($B424="Trash",INDEX('Materials Master'!$F$2:$F$27,MATCH($C424,'Materials Master'!$A$2:$A$27,0)),IF($B424="GMPC Recycling",INDEX('Materials Master'!$G$2:$G$27,MATCH($C424,'Materials Master'!$A$2:$A$27,0)),IF($B424="Organics Recycling",INDEX('Materials Master'!$H$2:$H$27,MATCH($C424,'Materials Master'!$A$2:$A$27,0)),IF($B424="Cardboard Recycling",INDEX('Materials Master'!$I$2:$I$27,MATCH($C424,'Materials Master'!$A$2:$A$27,0)),IF($B424="Paper Recycling",INDEX('Materials Master'!$J$2:$J$27,MATCH($C424,'Materials Master'!$A$2:$A$27,0)),IF($B424="Terracycle",INDEX('Materials Master'!$K$2:$K$27,MATCH($C424,'Materials Master'!$A$2:$A$27,0)),"No"))))))="Yes",INDEX('Materials Master'!$E$2:$E$27,MATCH($C424,'Materials Master'!$A$2:$A$27,0))="Yes",$B424&lt;&gt;"Trash"),1,0)</f>
        <v>0</v>
      </c>
      <c r="H424" s="0" t="str">
        <f aca="false">INDEX('Materials Master'!$E$2:$E$27,MATCH($C424,'Materials Master'!$A$2:$A$27,0))</f>
        <v>No</v>
      </c>
      <c r="I424" s="0" t="str">
        <f aca="false">IFERROR(INDEX(Areas!$C$2:$C$6,MATCH($A424,Areas!$B$2:$B$6,0)),"")</f>
        <v>Rest of Building</v>
      </c>
      <c r="J424" s="0" t="n">
        <f aca="false">IF(IF($B424="Trash",INDEX('Materials Master'!$F$2:$F$27,MATCH($C424,'Materials Master'!$A$2:$A$27,0)),IF($B424="GMPC Recycling",INDEX('Materials Master'!$G$2:$G$27,MATCH($C424,'Materials Master'!$A$2:$A$27,0)),IF($B424="Organics Recycling",INDEX('Materials Master'!$H$2:$H$27,MATCH($C424,'Materials Master'!$A$2:$A$27,0)),IF($B424="Cardboard Recycling",INDEX('Materials Master'!$I$2:$I$27,MATCH($C424,'Materials Master'!$A$2:$A$27,0)),IF($B424="Paper Recycling",INDEX('Materials Master'!$J$2:$J$27,MATCH($C424,'Materials Master'!$A$2:$A$27,0)),IF($B424="Terracycle",INDEX('Materials Master'!$K$2:$K$27,MATCH($C424,'Materials Master'!$A$2:$A$27,0)),"No"))))))="Yes",1,0)</f>
        <v>0</v>
      </c>
    </row>
    <row r="425" customFormat="false" ht="15" hidden="false" customHeight="false" outlineLevel="0" collapsed="false">
      <c r="A425" s="0" t="s">
        <v>97</v>
      </c>
      <c r="B425" s="0" t="s">
        <v>107</v>
      </c>
      <c r="C425" s="0" t="s">
        <v>43</v>
      </c>
      <c r="D425" s="0" t="str">
        <f aca="false">IFERROR(INDEX('Materials Master'!$B$2:$B$27,MATCH($C425,'Materials Master'!$A$2:$A$27,0)),"")</f>
        <v>Paper Cups / Other Coated Paper Containers</v>
      </c>
      <c r="E425" s="0" t="str">
        <f aca="false">IFERROR(INDEX('Materials Master'!$C$2:$C$27,MATCH($C425,'Materials Master'!$A$2:$A$27,0)),"")</f>
        <v>Fibers</v>
      </c>
      <c r="F425" s="0" t="n">
        <f aca="false">(SUMIFS(Fact_PreSortWeights!$E$2:$E$15,Fact_PreSortWeights!$C$2:$C$15,$A425,Fact_PreSortWeights!$B$2:$B$15,$B425,Fact_PreSortWeights!$F$2:$F$15,$C425))+(SUMIFS(Fact_SortedWeights!$E$2:$E$6,Fact_SortedWeights!$C$2:$C$6,$A425,Fact_SortedWeights!$B$2:$B$6,$B425,Fact_SortedWeights!$D$2:$D$6,$C425,Fact_SortedWeights!$L$2:$L$6,"Yes"))+IF((SUMIFS(Fact_SortedWeights!$E$2:$E$6,Fact_SortedWeights!$C$2:$C$6,$A425,Fact_SortedWeights!$B$2:$B$6,$B425,Fact_SortedWeights!$L$2:$L$6,"No"))=0,0,(SUMIFS(Fact_SortedWeights!$E$2:$E$6,Fact_SortedWeights!$C$2:$C$6,$A425,Fact_SortedWeights!$B$2:$B$6,$B425,Fact_SortedWeights!$D$2:$D$6,$C425,Fact_SortedWeights!$L$2:$L$6,"No"))/(SUMIFS(Fact_SortedWeights!$E$2:$E$6,Fact_SortedWeights!$C$2:$C$6,$A425,Fact_SortedWeights!$B$2:$B$6,$B425,Fact_SortedWeights!$L$2:$L$6,"No"))*((SUMIFS(Fact_PreSortWeights!$E$2:$E$15,Fact_PreSortWeights!$C$2:$C$15,$A425,Fact_PreSortWeights!$B$2:$B$15,$B425,Fact_PreSortWeights!$F$2:$F$15,""))-(SUMIFS(Fact_SortedWeights!$E$2:$E$6,Fact_SortedWeights!$C$2:$C$6,$A425,Fact_SortedWeights!$B$2:$B$6,$B425,Fact_SortedWeights!$L$2:$L$6,"Yes"))))</f>
        <v>0</v>
      </c>
      <c r="G425" s="0" t="n">
        <f aca="false">IF(AND(IF($B425="Trash",INDEX('Materials Master'!$F$2:$F$27,MATCH($C425,'Materials Master'!$A$2:$A$27,0)),IF($B425="GMPC Recycling",INDEX('Materials Master'!$G$2:$G$27,MATCH($C425,'Materials Master'!$A$2:$A$27,0)),IF($B425="Organics Recycling",INDEX('Materials Master'!$H$2:$H$27,MATCH($C425,'Materials Master'!$A$2:$A$27,0)),IF($B425="Cardboard Recycling",INDEX('Materials Master'!$I$2:$I$27,MATCH($C425,'Materials Master'!$A$2:$A$27,0)),IF($B425="Paper Recycling",INDEX('Materials Master'!$J$2:$J$27,MATCH($C425,'Materials Master'!$A$2:$A$27,0)),IF($B425="Terracycle",INDEX('Materials Master'!$K$2:$K$27,MATCH($C425,'Materials Master'!$A$2:$A$27,0)),"No"))))))="Yes",INDEX('Materials Master'!$E$2:$E$27,MATCH($C425,'Materials Master'!$A$2:$A$27,0))="Yes",$B425&lt;&gt;"Trash"),1,0)</f>
        <v>0</v>
      </c>
      <c r="H425" s="0" t="str">
        <f aca="false">INDEX('Materials Master'!$E$2:$E$27,MATCH($C425,'Materials Master'!$A$2:$A$27,0))</f>
        <v>No</v>
      </c>
      <c r="I425" s="0" t="str">
        <f aca="false">IFERROR(INDEX(Areas!$C$2:$C$6,MATCH($A425,Areas!$B$2:$B$6,0)),"")</f>
        <v>Rest of Building</v>
      </c>
      <c r="J425" s="0" t="n">
        <f aca="false">IF(IF($B425="Trash",INDEX('Materials Master'!$F$2:$F$27,MATCH($C425,'Materials Master'!$A$2:$A$27,0)),IF($B425="GMPC Recycling",INDEX('Materials Master'!$G$2:$G$27,MATCH($C425,'Materials Master'!$A$2:$A$27,0)),IF($B425="Organics Recycling",INDEX('Materials Master'!$H$2:$H$27,MATCH($C425,'Materials Master'!$A$2:$A$27,0)),IF($B425="Cardboard Recycling",INDEX('Materials Master'!$I$2:$I$27,MATCH($C425,'Materials Master'!$A$2:$A$27,0)),IF($B425="Paper Recycling",INDEX('Materials Master'!$J$2:$J$27,MATCH($C425,'Materials Master'!$A$2:$A$27,0)),IF($B425="Terracycle",INDEX('Materials Master'!$K$2:$K$27,MATCH($C425,'Materials Master'!$A$2:$A$27,0)),"No"))))))="Yes",1,0)</f>
        <v>0</v>
      </c>
    </row>
    <row r="426" customFormat="false" ht="15" hidden="false" customHeight="false" outlineLevel="0" collapsed="false">
      <c r="A426" s="0" t="s">
        <v>97</v>
      </c>
      <c r="B426" s="0" t="s">
        <v>107</v>
      </c>
      <c r="C426" s="0" t="s">
        <v>45</v>
      </c>
      <c r="D426" s="0" t="str">
        <f aca="false">IFERROR(INDEX('Materials Master'!$B$2:$B$27,MATCH($C426,'Materials Master'!$A$2:$A$27,0)),"")</f>
        <v>Glass Bottles &amp; Jars</v>
      </c>
      <c r="E426" s="0" t="str">
        <f aca="false">IFERROR(INDEX('Materials Master'!$C$2:$C$27,MATCH($C426,'Materials Master'!$A$2:$A$27,0)),"")</f>
        <v>Glass</v>
      </c>
      <c r="F426" s="0" t="n">
        <f aca="false">(SUMIFS(Fact_PreSortWeights!$E$2:$E$15,Fact_PreSortWeights!$C$2:$C$15,$A426,Fact_PreSortWeights!$B$2:$B$15,$B426,Fact_PreSortWeights!$F$2:$F$15,$C426))+(SUMIFS(Fact_SortedWeights!$E$2:$E$6,Fact_SortedWeights!$C$2:$C$6,$A426,Fact_SortedWeights!$B$2:$B$6,$B426,Fact_SortedWeights!$D$2:$D$6,$C426,Fact_SortedWeights!$L$2:$L$6,"Yes"))+IF((SUMIFS(Fact_SortedWeights!$E$2:$E$6,Fact_SortedWeights!$C$2:$C$6,$A426,Fact_SortedWeights!$B$2:$B$6,$B426,Fact_SortedWeights!$L$2:$L$6,"No"))=0,0,(SUMIFS(Fact_SortedWeights!$E$2:$E$6,Fact_SortedWeights!$C$2:$C$6,$A426,Fact_SortedWeights!$B$2:$B$6,$B426,Fact_SortedWeights!$D$2:$D$6,$C426,Fact_SortedWeights!$L$2:$L$6,"No"))/(SUMIFS(Fact_SortedWeights!$E$2:$E$6,Fact_SortedWeights!$C$2:$C$6,$A426,Fact_SortedWeights!$B$2:$B$6,$B426,Fact_SortedWeights!$L$2:$L$6,"No"))*((SUMIFS(Fact_PreSortWeights!$E$2:$E$15,Fact_PreSortWeights!$C$2:$C$15,$A426,Fact_PreSortWeights!$B$2:$B$15,$B426,Fact_PreSortWeights!$F$2:$F$15,""))-(SUMIFS(Fact_SortedWeights!$E$2:$E$6,Fact_SortedWeights!$C$2:$C$6,$A426,Fact_SortedWeights!$B$2:$B$6,$B426,Fact_SortedWeights!$L$2:$L$6,"Yes"))))</f>
        <v>0</v>
      </c>
      <c r="G426" s="0" t="n">
        <f aca="false">IF(AND(IF($B426="Trash",INDEX('Materials Master'!$F$2:$F$27,MATCH($C426,'Materials Master'!$A$2:$A$27,0)),IF($B426="GMPC Recycling",INDEX('Materials Master'!$G$2:$G$27,MATCH($C426,'Materials Master'!$A$2:$A$27,0)),IF($B426="Organics Recycling",INDEX('Materials Master'!$H$2:$H$27,MATCH($C426,'Materials Master'!$A$2:$A$27,0)),IF($B426="Cardboard Recycling",INDEX('Materials Master'!$I$2:$I$27,MATCH($C426,'Materials Master'!$A$2:$A$27,0)),IF($B426="Paper Recycling",INDEX('Materials Master'!$J$2:$J$27,MATCH($C426,'Materials Master'!$A$2:$A$27,0)),IF($B426="Terracycle",INDEX('Materials Master'!$K$2:$K$27,MATCH($C426,'Materials Master'!$A$2:$A$27,0)),"No"))))))="Yes",INDEX('Materials Master'!$E$2:$E$27,MATCH($C426,'Materials Master'!$A$2:$A$27,0))="Yes",$B426&lt;&gt;"Trash"),1,0)</f>
        <v>1</v>
      </c>
      <c r="H426" s="0" t="str">
        <f aca="false">INDEX('Materials Master'!$E$2:$E$27,MATCH($C426,'Materials Master'!$A$2:$A$27,0))</f>
        <v>Yes</v>
      </c>
      <c r="I426" s="0" t="str">
        <f aca="false">IFERROR(INDEX(Areas!$C$2:$C$6,MATCH($A426,Areas!$B$2:$B$6,0)),"")</f>
        <v>Rest of Building</v>
      </c>
      <c r="J426" s="0" t="n">
        <f aca="false">IF(IF($B426="Trash",INDEX('Materials Master'!$F$2:$F$27,MATCH($C426,'Materials Master'!$A$2:$A$27,0)),IF($B426="GMPC Recycling",INDEX('Materials Master'!$G$2:$G$27,MATCH($C426,'Materials Master'!$A$2:$A$27,0)),IF($B426="Organics Recycling",INDEX('Materials Master'!$H$2:$H$27,MATCH($C426,'Materials Master'!$A$2:$A$27,0)),IF($B426="Cardboard Recycling",INDEX('Materials Master'!$I$2:$I$27,MATCH($C426,'Materials Master'!$A$2:$A$27,0)),IF($B426="Paper Recycling",INDEX('Materials Master'!$J$2:$J$27,MATCH($C426,'Materials Master'!$A$2:$A$27,0)),IF($B426="Terracycle",INDEX('Materials Master'!$K$2:$K$27,MATCH($C426,'Materials Master'!$A$2:$A$27,0)),"No"))))))="Yes",1,0)</f>
        <v>1</v>
      </c>
    </row>
    <row r="427" customFormat="false" ht="15" hidden="false" customHeight="false" outlineLevel="0" collapsed="false">
      <c r="A427" s="0" t="s">
        <v>97</v>
      </c>
      <c r="B427" s="0" t="s">
        <v>107</v>
      </c>
      <c r="C427" s="0" t="s">
        <v>48</v>
      </c>
      <c r="D427" s="0" t="str">
        <f aca="false">IFERROR(INDEX('Materials Master'!$B$2:$B$27,MATCH($C427,'Materials Master'!$A$2:$A$27,0)),"")</f>
        <v>Soiled Glass</v>
      </c>
      <c r="E427" s="0" t="str">
        <f aca="false">IFERROR(INDEX('Materials Master'!$C$2:$C$27,MATCH($C427,'Materials Master'!$A$2:$A$27,0)),"")</f>
        <v>Glass</v>
      </c>
      <c r="F427" s="0" t="n">
        <f aca="false">(SUMIFS(Fact_PreSortWeights!$E$2:$E$15,Fact_PreSortWeights!$C$2:$C$15,$A427,Fact_PreSortWeights!$B$2:$B$15,$B427,Fact_PreSortWeights!$F$2:$F$15,$C427))+(SUMIFS(Fact_SortedWeights!$E$2:$E$6,Fact_SortedWeights!$C$2:$C$6,$A427,Fact_SortedWeights!$B$2:$B$6,$B427,Fact_SortedWeights!$D$2:$D$6,$C427,Fact_SortedWeights!$L$2:$L$6,"Yes"))+IF((SUMIFS(Fact_SortedWeights!$E$2:$E$6,Fact_SortedWeights!$C$2:$C$6,$A427,Fact_SortedWeights!$B$2:$B$6,$B427,Fact_SortedWeights!$L$2:$L$6,"No"))=0,0,(SUMIFS(Fact_SortedWeights!$E$2:$E$6,Fact_SortedWeights!$C$2:$C$6,$A427,Fact_SortedWeights!$B$2:$B$6,$B427,Fact_SortedWeights!$D$2:$D$6,$C427,Fact_SortedWeights!$L$2:$L$6,"No"))/(SUMIFS(Fact_SortedWeights!$E$2:$E$6,Fact_SortedWeights!$C$2:$C$6,$A427,Fact_SortedWeights!$B$2:$B$6,$B427,Fact_SortedWeights!$L$2:$L$6,"No"))*((SUMIFS(Fact_PreSortWeights!$E$2:$E$15,Fact_PreSortWeights!$C$2:$C$15,$A427,Fact_PreSortWeights!$B$2:$B$15,$B427,Fact_PreSortWeights!$F$2:$F$15,""))-(SUMIFS(Fact_SortedWeights!$E$2:$E$6,Fact_SortedWeights!$C$2:$C$6,$A427,Fact_SortedWeights!$B$2:$B$6,$B427,Fact_SortedWeights!$L$2:$L$6,"Yes"))))</f>
        <v>0</v>
      </c>
      <c r="G427" s="0" t="n">
        <f aca="false">IF(AND(IF($B427="Trash",INDEX('Materials Master'!$F$2:$F$27,MATCH($C427,'Materials Master'!$A$2:$A$27,0)),IF($B427="GMPC Recycling",INDEX('Materials Master'!$G$2:$G$27,MATCH($C427,'Materials Master'!$A$2:$A$27,0)),IF($B427="Organics Recycling",INDEX('Materials Master'!$H$2:$H$27,MATCH($C427,'Materials Master'!$A$2:$A$27,0)),IF($B427="Cardboard Recycling",INDEX('Materials Master'!$I$2:$I$27,MATCH($C427,'Materials Master'!$A$2:$A$27,0)),IF($B427="Paper Recycling",INDEX('Materials Master'!$J$2:$J$27,MATCH($C427,'Materials Master'!$A$2:$A$27,0)),IF($B427="Terracycle",INDEX('Materials Master'!$K$2:$K$27,MATCH($C427,'Materials Master'!$A$2:$A$27,0)),"No"))))))="Yes",INDEX('Materials Master'!$E$2:$E$27,MATCH($C427,'Materials Master'!$A$2:$A$27,0))="Yes",$B427&lt;&gt;"Trash"),1,0)</f>
        <v>0</v>
      </c>
      <c r="H427" s="0" t="str">
        <f aca="false">INDEX('Materials Master'!$E$2:$E$27,MATCH($C427,'Materials Master'!$A$2:$A$27,0))</f>
        <v>No</v>
      </c>
      <c r="I427" s="0" t="str">
        <f aca="false">IFERROR(INDEX(Areas!$C$2:$C$6,MATCH($A427,Areas!$B$2:$B$6,0)),"")</f>
        <v>Rest of Building</v>
      </c>
      <c r="J427" s="0" t="n">
        <f aca="false">IF(IF($B427="Trash",INDEX('Materials Master'!$F$2:$F$27,MATCH($C427,'Materials Master'!$A$2:$A$27,0)),IF($B427="GMPC Recycling",INDEX('Materials Master'!$G$2:$G$27,MATCH($C427,'Materials Master'!$A$2:$A$27,0)),IF($B427="Organics Recycling",INDEX('Materials Master'!$H$2:$H$27,MATCH($C427,'Materials Master'!$A$2:$A$27,0)),IF($B427="Cardboard Recycling",INDEX('Materials Master'!$I$2:$I$27,MATCH($C427,'Materials Master'!$A$2:$A$27,0)),IF($B427="Paper Recycling",INDEX('Materials Master'!$J$2:$J$27,MATCH($C427,'Materials Master'!$A$2:$A$27,0)),IF($B427="Terracycle",INDEX('Materials Master'!$K$2:$K$27,MATCH($C427,'Materials Master'!$A$2:$A$27,0)),"No"))))))="Yes",1,0)</f>
        <v>0</v>
      </c>
    </row>
    <row r="428" customFormat="false" ht="15" hidden="false" customHeight="false" outlineLevel="0" collapsed="false">
      <c r="A428" s="0" t="s">
        <v>97</v>
      </c>
      <c r="B428" s="0" t="s">
        <v>107</v>
      </c>
      <c r="C428" s="0" t="s">
        <v>50</v>
      </c>
      <c r="D428" s="0" t="str">
        <f aca="false">IFERROR(INDEX('Materials Master'!$B$2:$B$27,MATCH($C428,'Materials Master'!$A$2:$A$27,0)),"")</f>
        <v>Aluminum &amp; Bi-Metal Containers</v>
      </c>
      <c r="E428" s="0" t="str">
        <f aca="false">IFERROR(INDEX('Materials Master'!$C$2:$C$27,MATCH($C428,'Materials Master'!$A$2:$A$27,0)),"")</f>
        <v>Metals</v>
      </c>
      <c r="F428" s="0" t="n">
        <f aca="false">(SUMIFS(Fact_PreSortWeights!$E$2:$E$15,Fact_PreSortWeights!$C$2:$C$15,$A428,Fact_PreSortWeights!$B$2:$B$15,$B428,Fact_PreSortWeights!$F$2:$F$15,$C428))+(SUMIFS(Fact_SortedWeights!$E$2:$E$6,Fact_SortedWeights!$C$2:$C$6,$A428,Fact_SortedWeights!$B$2:$B$6,$B428,Fact_SortedWeights!$D$2:$D$6,$C428,Fact_SortedWeights!$L$2:$L$6,"Yes"))+IF((SUMIFS(Fact_SortedWeights!$E$2:$E$6,Fact_SortedWeights!$C$2:$C$6,$A428,Fact_SortedWeights!$B$2:$B$6,$B428,Fact_SortedWeights!$L$2:$L$6,"No"))=0,0,(SUMIFS(Fact_SortedWeights!$E$2:$E$6,Fact_SortedWeights!$C$2:$C$6,$A428,Fact_SortedWeights!$B$2:$B$6,$B428,Fact_SortedWeights!$D$2:$D$6,$C428,Fact_SortedWeights!$L$2:$L$6,"No"))/(SUMIFS(Fact_SortedWeights!$E$2:$E$6,Fact_SortedWeights!$C$2:$C$6,$A428,Fact_SortedWeights!$B$2:$B$6,$B428,Fact_SortedWeights!$L$2:$L$6,"No"))*((SUMIFS(Fact_PreSortWeights!$E$2:$E$15,Fact_PreSortWeights!$C$2:$C$15,$A428,Fact_PreSortWeights!$B$2:$B$15,$B428,Fact_PreSortWeights!$F$2:$F$15,""))-(SUMIFS(Fact_SortedWeights!$E$2:$E$6,Fact_SortedWeights!$C$2:$C$6,$A428,Fact_SortedWeights!$B$2:$B$6,$B428,Fact_SortedWeights!$L$2:$L$6,"Yes"))))</f>
        <v>0</v>
      </c>
      <c r="G428" s="0" t="n">
        <f aca="false">IF(AND(IF($B428="Trash",INDEX('Materials Master'!$F$2:$F$27,MATCH($C428,'Materials Master'!$A$2:$A$27,0)),IF($B428="GMPC Recycling",INDEX('Materials Master'!$G$2:$G$27,MATCH($C428,'Materials Master'!$A$2:$A$27,0)),IF($B428="Organics Recycling",INDEX('Materials Master'!$H$2:$H$27,MATCH($C428,'Materials Master'!$A$2:$A$27,0)),IF($B428="Cardboard Recycling",INDEX('Materials Master'!$I$2:$I$27,MATCH($C428,'Materials Master'!$A$2:$A$27,0)),IF($B428="Paper Recycling",INDEX('Materials Master'!$J$2:$J$27,MATCH($C428,'Materials Master'!$A$2:$A$27,0)),IF($B428="Terracycle",INDEX('Materials Master'!$K$2:$K$27,MATCH($C428,'Materials Master'!$A$2:$A$27,0)),"No"))))))="Yes",INDEX('Materials Master'!$E$2:$E$27,MATCH($C428,'Materials Master'!$A$2:$A$27,0))="Yes",$B428&lt;&gt;"Trash"),1,0)</f>
        <v>1</v>
      </c>
      <c r="H428" s="0" t="str">
        <f aca="false">INDEX('Materials Master'!$E$2:$E$27,MATCH($C428,'Materials Master'!$A$2:$A$27,0))</f>
        <v>Yes</v>
      </c>
      <c r="I428" s="0" t="str">
        <f aca="false">IFERROR(INDEX(Areas!$C$2:$C$6,MATCH($A428,Areas!$B$2:$B$6,0)),"")</f>
        <v>Rest of Building</v>
      </c>
      <c r="J428" s="0" t="n">
        <f aca="false">IF(IF($B428="Trash",INDEX('Materials Master'!$F$2:$F$27,MATCH($C428,'Materials Master'!$A$2:$A$27,0)),IF($B428="GMPC Recycling",INDEX('Materials Master'!$G$2:$G$27,MATCH($C428,'Materials Master'!$A$2:$A$27,0)),IF($B428="Organics Recycling",INDEX('Materials Master'!$H$2:$H$27,MATCH($C428,'Materials Master'!$A$2:$A$27,0)),IF($B428="Cardboard Recycling",INDEX('Materials Master'!$I$2:$I$27,MATCH($C428,'Materials Master'!$A$2:$A$27,0)),IF($B428="Paper Recycling",INDEX('Materials Master'!$J$2:$J$27,MATCH($C428,'Materials Master'!$A$2:$A$27,0)),IF($B428="Terracycle",INDEX('Materials Master'!$K$2:$K$27,MATCH($C428,'Materials Master'!$A$2:$A$27,0)),"No"))))))="Yes",1,0)</f>
        <v>1</v>
      </c>
    </row>
    <row r="429" customFormat="false" ht="15" hidden="false" customHeight="false" outlineLevel="0" collapsed="false">
      <c r="A429" s="0" t="s">
        <v>97</v>
      </c>
      <c r="B429" s="0" t="s">
        <v>107</v>
      </c>
      <c r="C429" s="0" t="s">
        <v>53</v>
      </c>
      <c r="D429" s="0" t="str">
        <f aca="false">IFERROR(INDEX('Materials Master'!$B$2:$B$27,MATCH($C429,'Materials Master'!$A$2:$A$27,0)),"")</f>
        <v>Soiled Metals</v>
      </c>
      <c r="E429" s="0" t="str">
        <f aca="false">IFERROR(INDEX('Materials Master'!$C$2:$C$27,MATCH($C429,'Materials Master'!$A$2:$A$27,0)),"")</f>
        <v>Metals</v>
      </c>
      <c r="F429" s="0" t="n">
        <f aca="false">(SUMIFS(Fact_PreSortWeights!$E$2:$E$15,Fact_PreSortWeights!$C$2:$C$15,$A429,Fact_PreSortWeights!$B$2:$B$15,$B429,Fact_PreSortWeights!$F$2:$F$15,$C429))+(SUMIFS(Fact_SortedWeights!$E$2:$E$6,Fact_SortedWeights!$C$2:$C$6,$A429,Fact_SortedWeights!$B$2:$B$6,$B429,Fact_SortedWeights!$D$2:$D$6,$C429,Fact_SortedWeights!$L$2:$L$6,"Yes"))+IF((SUMIFS(Fact_SortedWeights!$E$2:$E$6,Fact_SortedWeights!$C$2:$C$6,$A429,Fact_SortedWeights!$B$2:$B$6,$B429,Fact_SortedWeights!$L$2:$L$6,"No"))=0,0,(SUMIFS(Fact_SortedWeights!$E$2:$E$6,Fact_SortedWeights!$C$2:$C$6,$A429,Fact_SortedWeights!$B$2:$B$6,$B429,Fact_SortedWeights!$D$2:$D$6,$C429,Fact_SortedWeights!$L$2:$L$6,"No"))/(SUMIFS(Fact_SortedWeights!$E$2:$E$6,Fact_SortedWeights!$C$2:$C$6,$A429,Fact_SortedWeights!$B$2:$B$6,$B429,Fact_SortedWeights!$L$2:$L$6,"No"))*((SUMIFS(Fact_PreSortWeights!$E$2:$E$15,Fact_PreSortWeights!$C$2:$C$15,$A429,Fact_PreSortWeights!$B$2:$B$15,$B429,Fact_PreSortWeights!$F$2:$F$15,""))-(SUMIFS(Fact_SortedWeights!$E$2:$E$6,Fact_SortedWeights!$C$2:$C$6,$A429,Fact_SortedWeights!$B$2:$B$6,$B429,Fact_SortedWeights!$L$2:$L$6,"Yes"))))</f>
        <v>0</v>
      </c>
      <c r="G429" s="0" t="n">
        <f aca="false">IF(AND(IF($B429="Trash",INDEX('Materials Master'!$F$2:$F$27,MATCH($C429,'Materials Master'!$A$2:$A$27,0)),IF($B429="GMPC Recycling",INDEX('Materials Master'!$G$2:$G$27,MATCH($C429,'Materials Master'!$A$2:$A$27,0)),IF($B429="Organics Recycling",INDEX('Materials Master'!$H$2:$H$27,MATCH($C429,'Materials Master'!$A$2:$A$27,0)),IF($B429="Cardboard Recycling",INDEX('Materials Master'!$I$2:$I$27,MATCH($C429,'Materials Master'!$A$2:$A$27,0)),IF($B429="Paper Recycling",INDEX('Materials Master'!$J$2:$J$27,MATCH($C429,'Materials Master'!$A$2:$A$27,0)),IF($B429="Terracycle",INDEX('Materials Master'!$K$2:$K$27,MATCH($C429,'Materials Master'!$A$2:$A$27,0)),"No"))))))="Yes",INDEX('Materials Master'!$E$2:$E$27,MATCH($C429,'Materials Master'!$A$2:$A$27,0))="Yes",$B429&lt;&gt;"Trash"),1,0)</f>
        <v>0</v>
      </c>
      <c r="H429" s="0" t="str">
        <f aca="false">INDEX('Materials Master'!$E$2:$E$27,MATCH($C429,'Materials Master'!$A$2:$A$27,0))</f>
        <v>No</v>
      </c>
      <c r="I429" s="0" t="str">
        <f aca="false">IFERROR(INDEX(Areas!$C$2:$C$6,MATCH($A429,Areas!$B$2:$B$6,0)),"")</f>
        <v>Rest of Building</v>
      </c>
      <c r="J429" s="0" t="n">
        <f aca="false">IF(IF($B429="Trash",INDEX('Materials Master'!$F$2:$F$27,MATCH($C429,'Materials Master'!$A$2:$A$27,0)),IF($B429="GMPC Recycling",INDEX('Materials Master'!$G$2:$G$27,MATCH($C429,'Materials Master'!$A$2:$A$27,0)),IF($B429="Organics Recycling",INDEX('Materials Master'!$H$2:$H$27,MATCH($C429,'Materials Master'!$A$2:$A$27,0)),IF($B429="Cardboard Recycling",INDEX('Materials Master'!$I$2:$I$27,MATCH($C429,'Materials Master'!$A$2:$A$27,0)),IF($B429="Paper Recycling",INDEX('Materials Master'!$J$2:$J$27,MATCH($C429,'Materials Master'!$A$2:$A$27,0)),IF($B429="Terracycle",INDEX('Materials Master'!$K$2:$K$27,MATCH($C429,'Materials Master'!$A$2:$A$27,0)),"No"))))))="Yes",1,0)</f>
        <v>0</v>
      </c>
    </row>
    <row r="430" customFormat="false" ht="15" hidden="false" customHeight="false" outlineLevel="0" collapsed="false">
      <c r="A430" s="0" t="s">
        <v>97</v>
      </c>
      <c r="B430" s="0" t="s">
        <v>107</v>
      </c>
      <c r="C430" s="0" t="s">
        <v>55</v>
      </c>
      <c r="D430" s="0" t="str">
        <f aca="false">IFERROR(INDEX('Materials Master'!$B$2:$B$27,MATCH($C430,'Materials Master'!$A$2:$A$27,0)),"")</f>
        <v>Rigid Plastics (1-6)</v>
      </c>
      <c r="E430" s="0" t="str">
        <f aca="false">IFERROR(INDEX('Materials Master'!$C$2:$C$27,MATCH($C430,'Materials Master'!$A$2:$A$27,0)),"")</f>
        <v>Plastics</v>
      </c>
      <c r="F430" s="0" t="n">
        <f aca="false">(SUMIFS(Fact_PreSortWeights!$E$2:$E$15,Fact_PreSortWeights!$C$2:$C$15,$A430,Fact_PreSortWeights!$B$2:$B$15,$B430,Fact_PreSortWeights!$F$2:$F$15,$C430))+(SUMIFS(Fact_SortedWeights!$E$2:$E$6,Fact_SortedWeights!$C$2:$C$6,$A430,Fact_SortedWeights!$B$2:$B$6,$B430,Fact_SortedWeights!$D$2:$D$6,$C430,Fact_SortedWeights!$L$2:$L$6,"Yes"))+IF((SUMIFS(Fact_SortedWeights!$E$2:$E$6,Fact_SortedWeights!$C$2:$C$6,$A430,Fact_SortedWeights!$B$2:$B$6,$B430,Fact_SortedWeights!$L$2:$L$6,"No"))=0,0,(SUMIFS(Fact_SortedWeights!$E$2:$E$6,Fact_SortedWeights!$C$2:$C$6,$A430,Fact_SortedWeights!$B$2:$B$6,$B430,Fact_SortedWeights!$D$2:$D$6,$C430,Fact_SortedWeights!$L$2:$L$6,"No"))/(SUMIFS(Fact_SortedWeights!$E$2:$E$6,Fact_SortedWeights!$C$2:$C$6,$A430,Fact_SortedWeights!$B$2:$B$6,$B430,Fact_SortedWeights!$L$2:$L$6,"No"))*((SUMIFS(Fact_PreSortWeights!$E$2:$E$15,Fact_PreSortWeights!$C$2:$C$15,$A430,Fact_PreSortWeights!$B$2:$B$15,$B430,Fact_PreSortWeights!$F$2:$F$15,""))-(SUMIFS(Fact_SortedWeights!$E$2:$E$6,Fact_SortedWeights!$C$2:$C$6,$A430,Fact_SortedWeights!$B$2:$B$6,$B430,Fact_SortedWeights!$L$2:$L$6,"Yes"))))</f>
        <v>0</v>
      </c>
      <c r="G430" s="0" t="n">
        <f aca="false">IF(AND(IF($B430="Trash",INDEX('Materials Master'!$F$2:$F$27,MATCH($C430,'Materials Master'!$A$2:$A$27,0)),IF($B430="GMPC Recycling",INDEX('Materials Master'!$G$2:$G$27,MATCH($C430,'Materials Master'!$A$2:$A$27,0)),IF($B430="Organics Recycling",INDEX('Materials Master'!$H$2:$H$27,MATCH($C430,'Materials Master'!$A$2:$A$27,0)),IF($B430="Cardboard Recycling",INDEX('Materials Master'!$I$2:$I$27,MATCH($C430,'Materials Master'!$A$2:$A$27,0)),IF($B430="Paper Recycling",INDEX('Materials Master'!$J$2:$J$27,MATCH($C430,'Materials Master'!$A$2:$A$27,0)),IF($B430="Terracycle",INDEX('Materials Master'!$K$2:$K$27,MATCH($C430,'Materials Master'!$A$2:$A$27,0)),"No"))))))="Yes",INDEX('Materials Master'!$E$2:$E$27,MATCH($C430,'Materials Master'!$A$2:$A$27,0))="Yes",$B430&lt;&gt;"Trash"),1,0)</f>
        <v>1</v>
      </c>
      <c r="H430" s="0" t="str">
        <f aca="false">INDEX('Materials Master'!$E$2:$E$27,MATCH($C430,'Materials Master'!$A$2:$A$27,0))</f>
        <v>Yes</v>
      </c>
      <c r="I430" s="0" t="str">
        <f aca="false">IFERROR(INDEX(Areas!$C$2:$C$6,MATCH($A430,Areas!$B$2:$B$6,0)),"")</f>
        <v>Rest of Building</v>
      </c>
      <c r="J430" s="0" t="n">
        <f aca="false">IF(IF($B430="Trash",INDEX('Materials Master'!$F$2:$F$27,MATCH($C430,'Materials Master'!$A$2:$A$27,0)),IF($B430="GMPC Recycling",INDEX('Materials Master'!$G$2:$G$27,MATCH($C430,'Materials Master'!$A$2:$A$27,0)),IF($B430="Organics Recycling",INDEX('Materials Master'!$H$2:$H$27,MATCH($C430,'Materials Master'!$A$2:$A$27,0)),IF($B430="Cardboard Recycling",INDEX('Materials Master'!$I$2:$I$27,MATCH($C430,'Materials Master'!$A$2:$A$27,0)),IF($B430="Paper Recycling",INDEX('Materials Master'!$J$2:$J$27,MATCH($C430,'Materials Master'!$A$2:$A$27,0)),IF($B430="Terracycle",INDEX('Materials Master'!$K$2:$K$27,MATCH($C430,'Materials Master'!$A$2:$A$27,0)),"No"))))))="Yes",1,0)</f>
        <v>1</v>
      </c>
    </row>
    <row r="431" customFormat="false" ht="15" hidden="false" customHeight="false" outlineLevel="0" collapsed="false">
      <c r="A431" s="0" t="s">
        <v>97</v>
      </c>
      <c r="B431" s="0" t="s">
        <v>107</v>
      </c>
      <c r="C431" s="0" t="s">
        <v>58</v>
      </c>
      <c r="D431" s="0" t="str">
        <f aca="false">IFERROR(INDEX('Materials Master'!$B$2:$B$27,MATCH($C431,'Materials Master'!$A$2:$A$27,0)),"")</f>
        <v>Soiled Rigid Plastics</v>
      </c>
      <c r="E431" s="0" t="str">
        <f aca="false">IFERROR(INDEX('Materials Master'!$C$2:$C$27,MATCH($C431,'Materials Master'!$A$2:$A$27,0)),"")</f>
        <v>Plastics</v>
      </c>
      <c r="F431" s="0" t="n">
        <f aca="false">(SUMIFS(Fact_PreSortWeights!$E$2:$E$15,Fact_PreSortWeights!$C$2:$C$15,$A431,Fact_PreSortWeights!$B$2:$B$15,$B431,Fact_PreSortWeights!$F$2:$F$15,$C431))+(SUMIFS(Fact_SortedWeights!$E$2:$E$6,Fact_SortedWeights!$C$2:$C$6,$A431,Fact_SortedWeights!$B$2:$B$6,$B431,Fact_SortedWeights!$D$2:$D$6,$C431,Fact_SortedWeights!$L$2:$L$6,"Yes"))+IF((SUMIFS(Fact_SortedWeights!$E$2:$E$6,Fact_SortedWeights!$C$2:$C$6,$A431,Fact_SortedWeights!$B$2:$B$6,$B431,Fact_SortedWeights!$L$2:$L$6,"No"))=0,0,(SUMIFS(Fact_SortedWeights!$E$2:$E$6,Fact_SortedWeights!$C$2:$C$6,$A431,Fact_SortedWeights!$B$2:$B$6,$B431,Fact_SortedWeights!$D$2:$D$6,$C431,Fact_SortedWeights!$L$2:$L$6,"No"))/(SUMIFS(Fact_SortedWeights!$E$2:$E$6,Fact_SortedWeights!$C$2:$C$6,$A431,Fact_SortedWeights!$B$2:$B$6,$B431,Fact_SortedWeights!$L$2:$L$6,"No"))*((SUMIFS(Fact_PreSortWeights!$E$2:$E$15,Fact_PreSortWeights!$C$2:$C$15,$A431,Fact_PreSortWeights!$B$2:$B$15,$B431,Fact_PreSortWeights!$F$2:$F$15,""))-(SUMIFS(Fact_SortedWeights!$E$2:$E$6,Fact_SortedWeights!$C$2:$C$6,$A431,Fact_SortedWeights!$B$2:$B$6,$B431,Fact_SortedWeights!$L$2:$L$6,"Yes"))))</f>
        <v>0</v>
      </c>
      <c r="G431" s="0" t="n">
        <f aca="false">IF(AND(IF($B431="Trash",INDEX('Materials Master'!$F$2:$F$27,MATCH($C431,'Materials Master'!$A$2:$A$27,0)),IF($B431="GMPC Recycling",INDEX('Materials Master'!$G$2:$G$27,MATCH($C431,'Materials Master'!$A$2:$A$27,0)),IF($B431="Organics Recycling",INDEX('Materials Master'!$H$2:$H$27,MATCH($C431,'Materials Master'!$A$2:$A$27,0)),IF($B431="Cardboard Recycling",INDEX('Materials Master'!$I$2:$I$27,MATCH($C431,'Materials Master'!$A$2:$A$27,0)),IF($B431="Paper Recycling",INDEX('Materials Master'!$J$2:$J$27,MATCH($C431,'Materials Master'!$A$2:$A$27,0)),IF($B431="Terracycle",INDEX('Materials Master'!$K$2:$K$27,MATCH($C431,'Materials Master'!$A$2:$A$27,0)),"No"))))))="Yes",INDEX('Materials Master'!$E$2:$E$27,MATCH($C431,'Materials Master'!$A$2:$A$27,0))="Yes",$B431&lt;&gt;"Trash"),1,0)</f>
        <v>0</v>
      </c>
      <c r="H431" s="0" t="str">
        <f aca="false">INDEX('Materials Master'!$E$2:$E$27,MATCH($C431,'Materials Master'!$A$2:$A$27,0))</f>
        <v>No</v>
      </c>
      <c r="I431" s="0" t="str">
        <f aca="false">IFERROR(INDEX(Areas!$C$2:$C$6,MATCH($A431,Areas!$B$2:$B$6,0)),"")</f>
        <v>Rest of Building</v>
      </c>
      <c r="J431" s="0" t="n">
        <f aca="false">IF(IF($B431="Trash",INDEX('Materials Master'!$F$2:$F$27,MATCH($C431,'Materials Master'!$A$2:$A$27,0)),IF($B431="GMPC Recycling",INDEX('Materials Master'!$G$2:$G$27,MATCH($C431,'Materials Master'!$A$2:$A$27,0)),IF($B431="Organics Recycling",INDEX('Materials Master'!$H$2:$H$27,MATCH($C431,'Materials Master'!$A$2:$A$27,0)),IF($B431="Cardboard Recycling",INDEX('Materials Master'!$I$2:$I$27,MATCH($C431,'Materials Master'!$A$2:$A$27,0)),IF($B431="Paper Recycling",INDEX('Materials Master'!$J$2:$J$27,MATCH($C431,'Materials Master'!$A$2:$A$27,0)),IF($B431="Terracycle",INDEX('Materials Master'!$K$2:$K$27,MATCH($C431,'Materials Master'!$A$2:$A$27,0)),"No"))))))="Yes",1,0)</f>
        <v>0</v>
      </c>
    </row>
    <row r="432" customFormat="false" ht="15" hidden="false" customHeight="false" outlineLevel="0" collapsed="false">
      <c r="A432" s="0" t="s">
        <v>97</v>
      </c>
      <c r="B432" s="0" t="s">
        <v>107</v>
      </c>
      <c r="C432" s="0" t="s">
        <v>60</v>
      </c>
      <c r="D432" s="0" t="str">
        <f aca="false">IFERROR(INDEX('Materials Master'!$B$2:$B$27,MATCH($C432,'Materials Master'!$A$2:$A$27,0)),"")</f>
        <v>Film Plastics</v>
      </c>
      <c r="E432" s="0" t="str">
        <f aca="false">IFERROR(INDEX('Materials Master'!$C$2:$C$27,MATCH($C432,'Materials Master'!$A$2:$A$27,0)),"")</f>
        <v>Plastics</v>
      </c>
      <c r="F432" s="0" t="n">
        <f aca="false">(SUMIFS(Fact_PreSortWeights!$E$2:$E$15,Fact_PreSortWeights!$C$2:$C$15,$A432,Fact_PreSortWeights!$B$2:$B$15,$B432,Fact_PreSortWeights!$F$2:$F$15,$C432))+(SUMIFS(Fact_SortedWeights!$E$2:$E$6,Fact_SortedWeights!$C$2:$C$6,$A432,Fact_SortedWeights!$B$2:$B$6,$B432,Fact_SortedWeights!$D$2:$D$6,$C432,Fact_SortedWeights!$L$2:$L$6,"Yes"))+IF((SUMIFS(Fact_SortedWeights!$E$2:$E$6,Fact_SortedWeights!$C$2:$C$6,$A432,Fact_SortedWeights!$B$2:$B$6,$B432,Fact_SortedWeights!$L$2:$L$6,"No"))=0,0,(SUMIFS(Fact_SortedWeights!$E$2:$E$6,Fact_SortedWeights!$C$2:$C$6,$A432,Fact_SortedWeights!$B$2:$B$6,$B432,Fact_SortedWeights!$D$2:$D$6,$C432,Fact_SortedWeights!$L$2:$L$6,"No"))/(SUMIFS(Fact_SortedWeights!$E$2:$E$6,Fact_SortedWeights!$C$2:$C$6,$A432,Fact_SortedWeights!$B$2:$B$6,$B432,Fact_SortedWeights!$L$2:$L$6,"No"))*((SUMIFS(Fact_PreSortWeights!$E$2:$E$15,Fact_PreSortWeights!$C$2:$C$15,$A432,Fact_PreSortWeights!$B$2:$B$15,$B432,Fact_PreSortWeights!$F$2:$F$15,""))-(SUMIFS(Fact_SortedWeights!$E$2:$E$6,Fact_SortedWeights!$C$2:$C$6,$A432,Fact_SortedWeights!$B$2:$B$6,$B432,Fact_SortedWeights!$L$2:$L$6,"Yes"))))</f>
        <v>0</v>
      </c>
      <c r="G432" s="0" t="n">
        <f aca="false">IF(AND(IF($B432="Trash",INDEX('Materials Master'!$F$2:$F$27,MATCH($C432,'Materials Master'!$A$2:$A$27,0)),IF($B432="GMPC Recycling",INDEX('Materials Master'!$G$2:$G$27,MATCH($C432,'Materials Master'!$A$2:$A$27,0)),IF($B432="Organics Recycling",INDEX('Materials Master'!$H$2:$H$27,MATCH($C432,'Materials Master'!$A$2:$A$27,0)),IF($B432="Cardboard Recycling",INDEX('Materials Master'!$I$2:$I$27,MATCH($C432,'Materials Master'!$A$2:$A$27,0)),IF($B432="Paper Recycling",INDEX('Materials Master'!$J$2:$J$27,MATCH($C432,'Materials Master'!$A$2:$A$27,0)),IF($B432="Terracycle",INDEX('Materials Master'!$K$2:$K$27,MATCH($C432,'Materials Master'!$A$2:$A$27,0)),"No"))))))="Yes",INDEX('Materials Master'!$E$2:$E$27,MATCH($C432,'Materials Master'!$A$2:$A$27,0))="Yes",$B432&lt;&gt;"Trash"),1,0)</f>
        <v>0</v>
      </c>
      <c r="H432" s="0" t="str">
        <f aca="false">INDEX('Materials Master'!$E$2:$E$27,MATCH($C432,'Materials Master'!$A$2:$A$27,0))</f>
        <v>No</v>
      </c>
      <c r="I432" s="0" t="str">
        <f aca="false">IFERROR(INDEX(Areas!$C$2:$C$6,MATCH($A432,Areas!$B$2:$B$6,0)),"")</f>
        <v>Rest of Building</v>
      </c>
      <c r="J432" s="0" t="n">
        <f aca="false">IF(IF($B432="Trash",INDEX('Materials Master'!$F$2:$F$27,MATCH($C432,'Materials Master'!$A$2:$A$27,0)),IF($B432="GMPC Recycling",INDEX('Materials Master'!$G$2:$G$27,MATCH($C432,'Materials Master'!$A$2:$A$27,0)),IF($B432="Organics Recycling",INDEX('Materials Master'!$H$2:$H$27,MATCH($C432,'Materials Master'!$A$2:$A$27,0)),IF($B432="Cardboard Recycling",INDEX('Materials Master'!$I$2:$I$27,MATCH($C432,'Materials Master'!$A$2:$A$27,0)),IF($B432="Paper Recycling",INDEX('Materials Master'!$J$2:$J$27,MATCH($C432,'Materials Master'!$A$2:$A$27,0)),IF($B432="Terracycle",INDEX('Materials Master'!$K$2:$K$27,MATCH($C432,'Materials Master'!$A$2:$A$27,0)),"No"))))))="Yes",1,0)</f>
        <v>0</v>
      </c>
    </row>
    <row r="433" customFormat="false" ht="15" hidden="false" customHeight="false" outlineLevel="0" collapsed="false">
      <c r="A433" s="0" t="s">
        <v>97</v>
      </c>
      <c r="B433" s="0" t="s">
        <v>107</v>
      </c>
      <c r="C433" s="0" t="s">
        <v>62</v>
      </c>
      <c r="D433" s="0" t="str">
        <f aca="false">IFERROR(INDEX('Materials Master'!$B$2:$B$27,MATCH($C433,'Materials Master'!$A$2:$A$27,0)),"")</f>
        <v>Foams</v>
      </c>
      <c r="E433" s="0" t="str">
        <f aca="false">IFERROR(INDEX('Materials Master'!$C$2:$C$27,MATCH($C433,'Materials Master'!$A$2:$A$27,0)),"")</f>
        <v>Plastics</v>
      </c>
      <c r="F433" s="0" t="n">
        <f aca="false">(SUMIFS(Fact_PreSortWeights!$E$2:$E$15,Fact_PreSortWeights!$C$2:$C$15,$A433,Fact_PreSortWeights!$B$2:$B$15,$B433,Fact_PreSortWeights!$F$2:$F$15,$C433))+(SUMIFS(Fact_SortedWeights!$E$2:$E$6,Fact_SortedWeights!$C$2:$C$6,$A433,Fact_SortedWeights!$B$2:$B$6,$B433,Fact_SortedWeights!$D$2:$D$6,$C433,Fact_SortedWeights!$L$2:$L$6,"Yes"))+IF((SUMIFS(Fact_SortedWeights!$E$2:$E$6,Fact_SortedWeights!$C$2:$C$6,$A433,Fact_SortedWeights!$B$2:$B$6,$B433,Fact_SortedWeights!$L$2:$L$6,"No"))=0,0,(SUMIFS(Fact_SortedWeights!$E$2:$E$6,Fact_SortedWeights!$C$2:$C$6,$A433,Fact_SortedWeights!$B$2:$B$6,$B433,Fact_SortedWeights!$D$2:$D$6,$C433,Fact_SortedWeights!$L$2:$L$6,"No"))/(SUMIFS(Fact_SortedWeights!$E$2:$E$6,Fact_SortedWeights!$C$2:$C$6,$A433,Fact_SortedWeights!$B$2:$B$6,$B433,Fact_SortedWeights!$L$2:$L$6,"No"))*((SUMIFS(Fact_PreSortWeights!$E$2:$E$15,Fact_PreSortWeights!$C$2:$C$15,$A433,Fact_PreSortWeights!$B$2:$B$15,$B433,Fact_PreSortWeights!$F$2:$F$15,""))-(SUMIFS(Fact_SortedWeights!$E$2:$E$6,Fact_SortedWeights!$C$2:$C$6,$A433,Fact_SortedWeights!$B$2:$B$6,$B433,Fact_SortedWeights!$L$2:$L$6,"Yes"))))</f>
        <v>0</v>
      </c>
      <c r="G433" s="0" t="n">
        <f aca="false">IF(AND(IF($B433="Trash",INDEX('Materials Master'!$F$2:$F$27,MATCH($C433,'Materials Master'!$A$2:$A$27,0)),IF($B433="GMPC Recycling",INDEX('Materials Master'!$G$2:$G$27,MATCH($C433,'Materials Master'!$A$2:$A$27,0)),IF($B433="Organics Recycling",INDEX('Materials Master'!$H$2:$H$27,MATCH($C433,'Materials Master'!$A$2:$A$27,0)),IF($B433="Cardboard Recycling",INDEX('Materials Master'!$I$2:$I$27,MATCH($C433,'Materials Master'!$A$2:$A$27,0)),IF($B433="Paper Recycling",INDEX('Materials Master'!$J$2:$J$27,MATCH($C433,'Materials Master'!$A$2:$A$27,0)),IF($B433="Terracycle",INDEX('Materials Master'!$K$2:$K$27,MATCH($C433,'Materials Master'!$A$2:$A$27,0)),"No"))))))="Yes",INDEX('Materials Master'!$E$2:$E$27,MATCH($C433,'Materials Master'!$A$2:$A$27,0))="Yes",$B433&lt;&gt;"Trash"),1,0)</f>
        <v>0</v>
      </c>
      <c r="H433" s="0" t="str">
        <f aca="false">INDEX('Materials Master'!$E$2:$E$27,MATCH($C433,'Materials Master'!$A$2:$A$27,0))</f>
        <v>No</v>
      </c>
      <c r="I433" s="0" t="str">
        <f aca="false">IFERROR(INDEX(Areas!$C$2:$C$6,MATCH($A433,Areas!$B$2:$B$6,0)),"")</f>
        <v>Rest of Building</v>
      </c>
      <c r="J433" s="0" t="n">
        <f aca="false">IF(IF($B433="Trash",INDEX('Materials Master'!$F$2:$F$27,MATCH($C433,'Materials Master'!$A$2:$A$27,0)),IF($B433="GMPC Recycling",INDEX('Materials Master'!$G$2:$G$27,MATCH($C433,'Materials Master'!$A$2:$A$27,0)),IF($B433="Organics Recycling",INDEX('Materials Master'!$H$2:$H$27,MATCH($C433,'Materials Master'!$A$2:$A$27,0)),IF($B433="Cardboard Recycling",INDEX('Materials Master'!$I$2:$I$27,MATCH($C433,'Materials Master'!$A$2:$A$27,0)),IF($B433="Paper Recycling",INDEX('Materials Master'!$J$2:$J$27,MATCH($C433,'Materials Master'!$A$2:$A$27,0)),IF($B433="Terracycle",INDEX('Materials Master'!$K$2:$K$27,MATCH($C433,'Materials Master'!$A$2:$A$27,0)),"No"))))))="Yes",1,0)</f>
        <v>0</v>
      </c>
    </row>
    <row r="434" customFormat="false" ht="15" hidden="false" customHeight="false" outlineLevel="0" collapsed="false">
      <c r="A434" s="0" t="s">
        <v>97</v>
      </c>
      <c r="B434" s="0" t="s">
        <v>107</v>
      </c>
      <c r="C434" s="0" t="s">
        <v>64</v>
      </c>
      <c r="D434" s="0" t="str">
        <f aca="false">IFERROR(INDEX('Materials Master'!$B$2:$B$27,MATCH($C434,'Materials Master'!$A$2:$A$27,0)),"")</f>
        <v>Food Waste</v>
      </c>
      <c r="E434" s="0" t="str">
        <f aca="false">IFERROR(INDEX('Materials Master'!$C$2:$C$27,MATCH($C434,'Materials Master'!$A$2:$A$27,0)),"")</f>
        <v>Organics</v>
      </c>
      <c r="F434" s="0" t="n">
        <f aca="false">(SUMIFS(Fact_PreSortWeights!$E$2:$E$15,Fact_PreSortWeights!$C$2:$C$15,$A434,Fact_PreSortWeights!$B$2:$B$15,$B434,Fact_PreSortWeights!$F$2:$F$15,$C434))+(SUMIFS(Fact_SortedWeights!$E$2:$E$6,Fact_SortedWeights!$C$2:$C$6,$A434,Fact_SortedWeights!$B$2:$B$6,$B434,Fact_SortedWeights!$D$2:$D$6,$C434,Fact_SortedWeights!$L$2:$L$6,"Yes"))+IF((SUMIFS(Fact_SortedWeights!$E$2:$E$6,Fact_SortedWeights!$C$2:$C$6,$A434,Fact_SortedWeights!$B$2:$B$6,$B434,Fact_SortedWeights!$L$2:$L$6,"No"))=0,0,(SUMIFS(Fact_SortedWeights!$E$2:$E$6,Fact_SortedWeights!$C$2:$C$6,$A434,Fact_SortedWeights!$B$2:$B$6,$B434,Fact_SortedWeights!$D$2:$D$6,$C434,Fact_SortedWeights!$L$2:$L$6,"No"))/(SUMIFS(Fact_SortedWeights!$E$2:$E$6,Fact_SortedWeights!$C$2:$C$6,$A434,Fact_SortedWeights!$B$2:$B$6,$B434,Fact_SortedWeights!$L$2:$L$6,"No"))*((SUMIFS(Fact_PreSortWeights!$E$2:$E$15,Fact_PreSortWeights!$C$2:$C$15,$A434,Fact_PreSortWeights!$B$2:$B$15,$B434,Fact_PreSortWeights!$F$2:$F$15,""))-(SUMIFS(Fact_SortedWeights!$E$2:$E$6,Fact_SortedWeights!$C$2:$C$6,$A434,Fact_SortedWeights!$B$2:$B$6,$B434,Fact_SortedWeights!$L$2:$L$6,"Yes"))))</f>
        <v>0</v>
      </c>
      <c r="G434" s="0" t="n">
        <f aca="false">IF(AND(IF($B434="Trash",INDEX('Materials Master'!$F$2:$F$27,MATCH($C434,'Materials Master'!$A$2:$A$27,0)),IF($B434="GMPC Recycling",INDEX('Materials Master'!$G$2:$G$27,MATCH($C434,'Materials Master'!$A$2:$A$27,0)),IF($B434="Organics Recycling",INDEX('Materials Master'!$H$2:$H$27,MATCH($C434,'Materials Master'!$A$2:$A$27,0)),IF($B434="Cardboard Recycling",INDEX('Materials Master'!$I$2:$I$27,MATCH($C434,'Materials Master'!$A$2:$A$27,0)),IF($B434="Paper Recycling",INDEX('Materials Master'!$J$2:$J$27,MATCH($C434,'Materials Master'!$A$2:$A$27,0)),IF($B434="Terracycle",INDEX('Materials Master'!$K$2:$K$27,MATCH($C434,'Materials Master'!$A$2:$A$27,0)),"No"))))))="Yes",INDEX('Materials Master'!$E$2:$E$27,MATCH($C434,'Materials Master'!$A$2:$A$27,0))="Yes",$B434&lt;&gt;"Trash"),1,0)</f>
        <v>0</v>
      </c>
      <c r="H434" s="0" t="str">
        <f aca="false">INDEX('Materials Master'!$E$2:$E$27,MATCH($C434,'Materials Master'!$A$2:$A$27,0))</f>
        <v>Yes</v>
      </c>
      <c r="I434" s="0" t="str">
        <f aca="false">IFERROR(INDEX(Areas!$C$2:$C$6,MATCH($A434,Areas!$B$2:$B$6,0)),"")</f>
        <v>Rest of Building</v>
      </c>
      <c r="J434" s="0" t="n">
        <f aca="false">IF(IF($B434="Trash",INDEX('Materials Master'!$F$2:$F$27,MATCH($C434,'Materials Master'!$A$2:$A$27,0)),IF($B434="GMPC Recycling",INDEX('Materials Master'!$G$2:$G$27,MATCH($C434,'Materials Master'!$A$2:$A$27,0)),IF($B434="Organics Recycling",INDEX('Materials Master'!$H$2:$H$27,MATCH($C434,'Materials Master'!$A$2:$A$27,0)),IF($B434="Cardboard Recycling",INDEX('Materials Master'!$I$2:$I$27,MATCH($C434,'Materials Master'!$A$2:$A$27,0)),IF($B434="Paper Recycling",INDEX('Materials Master'!$J$2:$J$27,MATCH($C434,'Materials Master'!$A$2:$A$27,0)),IF($B434="Terracycle",INDEX('Materials Master'!$K$2:$K$27,MATCH($C434,'Materials Master'!$A$2:$A$27,0)),"No"))))))="Yes",1,0)</f>
        <v>0</v>
      </c>
    </row>
    <row r="435" customFormat="false" ht="15" hidden="false" customHeight="false" outlineLevel="0" collapsed="false">
      <c r="A435" s="0" t="s">
        <v>97</v>
      </c>
      <c r="B435" s="0" t="s">
        <v>107</v>
      </c>
      <c r="C435" s="0" t="s">
        <v>67</v>
      </c>
      <c r="D435" s="0" t="str">
        <f aca="false">IFERROR(INDEX('Materials Master'!$B$2:$B$27,MATCH($C435,'Materials Master'!$A$2:$A$27,0)),"")</f>
        <v>Paper Fibers and Food-Soiled Paper (FSP)</v>
      </c>
      <c r="E435" s="0" t="str">
        <f aca="false">IFERROR(INDEX('Materials Master'!$C$2:$C$27,MATCH($C435,'Materials Master'!$A$2:$A$27,0)),"")</f>
        <v>Organics</v>
      </c>
      <c r="F435" s="0" t="n">
        <f aca="false">(SUMIFS(Fact_PreSortWeights!$E$2:$E$15,Fact_PreSortWeights!$C$2:$C$15,$A435,Fact_PreSortWeights!$B$2:$B$15,$B435,Fact_PreSortWeights!$F$2:$F$15,$C435))+(SUMIFS(Fact_SortedWeights!$E$2:$E$6,Fact_SortedWeights!$C$2:$C$6,$A435,Fact_SortedWeights!$B$2:$B$6,$B435,Fact_SortedWeights!$D$2:$D$6,$C435,Fact_SortedWeights!$L$2:$L$6,"Yes"))+IF((SUMIFS(Fact_SortedWeights!$E$2:$E$6,Fact_SortedWeights!$C$2:$C$6,$A435,Fact_SortedWeights!$B$2:$B$6,$B435,Fact_SortedWeights!$L$2:$L$6,"No"))=0,0,(SUMIFS(Fact_SortedWeights!$E$2:$E$6,Fact_SortedWeights!$C$2:$C$6,$A435,Fact_SortedWeights!$B$2:$B$6,$B435,Fact_SortedWeights!$D$2:$D$6,$C435,Fact_SortedWeights!$L$2:$L$6,"No"))/(SUMIFS(Fact_SortedWeights!$E$2:$E$6,Fact_SortedWeights!$C$2:$C$6,$A435,Fact_SortedWeights!$B$2:$B$6,$B435,Fact_SortedWeights!$L$2:$L$6,"No"))*((SUMIFS(Fact_PreSortWeights!$E$2:$E$15,Fact_PreSortWeights!$C$2:$C$15,$A435,Fact_PreSortWeights!$B$2:$B$15,$B435,Fact_PreSortWeights!$F$2:$F$15,""))-(SUMIFS(Fact_SortedWeights!$E$2:$E$6,Fact_SortedWeights!$C$2:$C$6,$A435,Fact_SortedWeights!$B$2:$B$6,$B435,Fact_SortedWeights!$L$2:$L$6,"Yes"))))</f>
        <v>0</v>
      </c>
      <c r="G435" s="0" t="n">
        <f aca="false">IF(AND(IF($B435="Trash",INDEX('Materials Master'!$F$2:$F$27,MATCH($C435,'Materials Master'!$A$2:$A$27,0)),IF($B435="GMPC Recycling",INDEX('Materials Master'!$G$2:$G$27,MATCH($C435,'Materials Master'!$A$2:$A$27,0)),IF($B435="Organics Recycling",INDEX('Materials Master'!$H$2:$H$27,MATCH($C435,'Materials Master'!$A$2:$A$27,0)),IF($B435="Cardboard Recycling",INDEX('Materials Master'!$I$2:$I$27,MATCH($C435,'Materials Master'!$A$2:$A$27,0)),IF($B435="Paper Recycling",INDEX('Materials Master'!$J$2:$J$27,MATCH($C435,'Materials Master'!$A$2:$A$27,0)),IF($B435="Terracycle",INDEX('Materials Master'!$K$2:$K$27,MATCH($C435,'Materials Master'!$A$2:$A$27,0)),"No"))))))="Yes",INDEX('Materials Master'!$E$2:$E$27,MATCH($C435,'Materials Master'!$A$2:$A$27,0))="Yes",$B435&lt;&gt;"Trash"),1,0)</f>
        <v>0</v>
      </c>
      <c r="H435" s="0" t="str">
        <f aca="false">INDEX('Materials Master'!$E$2:$E$27,MATCH($C435,'Materials Master'!$A$2:$A$27,0))</f>
        <v>No</v>
      </c>
      <c r="I435" s="0" t="str">
        <f aca="false">IFERROR(INDEX(Areas!$C$2:$C$6,MATCH($A435,Areas!$B$2:$B$6,0)),"")</f>
        <v>Rest of Building</v>
      </c>
      <c r="J435" s="0" t="n">
        <f aca="false">IF(IF($B435="Trash",INDEX('Materials Master'!$F$2:$F$27,MATCH($C435,'Materials Master'!$A$2:$A$27,0)),IF($B435="GMPC Recycling",INDEX('Materials Master'!$G$2:$G$27,MATCH($C435,'Materials Master'!$A$2:$A$27,0)),IF($B435="Organics Recycling",INDEX('Materials Master'!$H$2:$H$27,MATCH($C435,'Materials Master'!$A$2:$A$27,0)),IF($B435="Cardboard Recycling",INDEX('Materials Master'!$I$2:$I$27,MATCH($C435,'Materials Master'!$A$2:$A$27,0)),IF($B435="Paper Recycling",INDEX('Materials Master'!$J$2:$J$27,MATCH($C435,'Materials Master'!$A$2:$A$27,0)),IF($B435="Terracycle",INDEX('Materials Master'!$K$2:$K$27,MATCH($C435,'Materials Master'!$A$2:$A$27,0)),"No"))))))="Yes",1,0)</f>
        <v>0</v>
      </c>
    </row>
    <row r="436" customFormat="false" ht="15" hidden="false" customHeight="false" outlineLevel="0" collapsed="false">
      <c r="A436" s="0" t="s">
        <v>97</v>
      </c>
      <c r="B436" s="0" t="s">
        <v>107</v>
      </c>
      <c r="C436" s="0" t="s">
        <v>69</v>
      </c>
      <c r="D436" s="0" t="str">
        <f aca="false">IFERROR(INDEX('Materials Master'!$B$2:$B$27,MATCH($C436,'Materials Master'!$A$2:$A$27,0)),"")</f>
        <v>Fiber-based Compostable Serviceware</v>
      </c>
      <c r="E436" s="0" t="str">
        <f aca="false">IFERROR(INDEX('Materials Master'!$C$2:$C$27,MATCH($C436,'Materials Master'!$A$2:$A$27,0)),"")</f>
        <v>Organics</v>
      </c>
      <c r="F436" s="0" t="n">
        <f aca="false">(SUMIFS(Fact_PreSortWeights!$E$2:$E$15,Fact_PreSortWeights!$C$2:$C$15,$A436,Fact_PreSortWeights!$B$2:$B$15,$B436,Fact_PreSortWeights!$F$2:$F$15,$C436))+(SUMIFS(Fact_SortedWeights!$E$2:$E$6,Fact_SortedWeights!$C$2:$C$6,$A436,Fact_SortedWeights!$B$2:$B$6,$B436,Fact_SortedWeights!$D$2:$D$6,$C436,Fact_SortedWeights!$L$2:$L$6,"Yes"))+IF((SUMIFS(Fact_SortedWeights!$E$2:$E$6,Fact_SortedWeights!$C$2:$C$6,$A436,Fact_SortedWeights!$B$2:$B$6,$B436,Fact_SortedWeights!$L$2:$L$6,"No"))=0,0,(SUMIFS(Fact_SortedWeights!$E$2:$E$6,Fact_SortedWeights!$C$2:$C$6,$A436,Fact_SortedWeights!$B$2:$B$6,$B436,Fact_SortedWeights!$D$2:$D$6,$C436,Fact_SortedWeights!$L$2:$L$6,"No"))/(SUMIFS(Fact_SortedWeights!$E$2:$E$6,Fact_SortedWeights!$C$2:$C$6,$A436,Fact_SortedWeights!$B$2:$B$6,$B436,Fact_SortedWeights!$L$2:$L$6,"No"))*((SUMIFS(Fact_PreSortWeights!$E$2:$E$15,Fact_PreSortWeights!$C$2:$C$15,$A436,Fact_PreSortWeights!$B$2:$B$15,$B436,Fact_PreSortWeights!$F$2:$F$15,""))-(SUMIFS(Fact_SortedWeights!$E$2:$E$6,Fact_SortedWeights!$C$2:$C$6,$A436,Fact_SortedWeights!$B$2:$B$6,$B436,Fact_SortedWeights!$L$2:$L$6,"Yes"))))</f>
        <v>0</v>
      </c>
      <c r="G436" s="0" t="n">
        <f aca="false">IF(AND(IF($B436="Trash",INDEX('Materials Master'!$F$2:$F$27,MATCH($C436,'Materials Master'!$A$2:$A$27,0)),IF($B436="GMPC Recycling",INDEX('Materials Master'!$G$2:$G$27,MATCH($C436,'Materials Master'!$A$2:$A$27,0)),IF($B436="Organics Recycling",INDEX('Materials Master'!$H$2:$H$27,MATCH($C436,'Materials Master'!$A$2:$A$27,0)),IF($B436="Cardboard Recycling",INDEX('Materials Master'!$I$2:$I$27,MATCH($C436,'Materials Master'!$A$2:$A$27,0)),IF($B436="Paper Recycling",INDEX('Materials Master'!$J$2:$J$27,MATCH($C436,'Materials Master'!$A$2:$A$27,0)),IF($B436="Terracycle",INDEX('Materials Master'!$K$2:$K$27,MATCH($C436,'Materials Master'!$A$2:$A$27,0)),"No"))))))="Yes",INDEX('Materials Master'!$E$2:$E$27,MATCH($C436,'Materials Master'!$A$2:$A$27,0))="Yes",$B436&lt;&gt;"Trash"),1,0)</f>
        <v>0</v>
      </c>
      <c r="H436" s="0" t="str">
        <f aca="false">INDEX('Materials Master'!$E$2:$E$27,MATCH($C436,'Materials Master'!$A$2:$A$27,0))</f>
        <v>No</v>
      </c>
      <c r="I436" s="0" t="str">
        <f aca="false">IFERROR(INDEX(Areas!$C$2:$C$6,MATCH($A436,Areas!$B$2:$B$6,0)),"")</f>
        <v>Rest of Building</v>
      </c>
      <c r="J436" s="0" t="n">
        <f aca="false">IF(IF($B436="Trash",INDEX('Materials Master'!$F$2:$F$27,MATCH($C436,'Materials Master'!$A$2:$A$27,0)),IF($B436="GMPC Recycling",INDEX('Materials Master'!$G$2:$G$27,MATCH($C436,'Materials Master'!$A$2:$A$27,0)),IF($B436="Organics Recycling",INDEX('Materials Master'!$H$2:$H$27,MATCH($C436,'Materials Master'!$A$2:$A$27,0)),IF($B436="Cardboard Recycling",INDEX('Materials Master'!$I$2:$I$27,MATCH($C436,'Materials Master'!$A$2:$A$27,0)),IF($B436="Paper Recycling",INDEX('Materials Master'!$J$2:$J$27,MATCH($C436,'Materials Master'!$A$2:$A$27,0)),IF($B436="Terracycle",INDEX('Materials Master'!$K$2:$K$27,MATCH($C436,'Materials Master'!$A$2:$A$27,0)),"No"))))))="Yes",1,0)</f>
        <v>0</v>
      </c>
    </row>
    <row r="437" customFormat="false" ht="15" hidden="false" customHeight="false" outlineLevel="0" collapsed="false">
      <c r="A437" s="0" t="s">
        <v>97</v>
      </c>
      <c r="B437" s="0" t="s">
        <v>107</v>
      </c>
      <c r="C437" s="0" t="s">
        <v>71</v>
      </c>
      <c r="D437" s="0" t="str">
        <f aca="false">IFERROR(INDEX('Materials Master'!$B$2:$B$27,MATCH($C437,'Materials Master'!$A$2:$A$27,0)),"")</f>
        <v>PLA Compostable Serviceware</v>
      </c>
      <c r="E437" s="0" t="str">
        <f aca="false">IFERROR(INDEX('Materials Master'!$C$2:$C$27,MATCH($C437,'Materials Master'!$A$2:$A$27,0)),"")</f>
        <v>Organics</v>
      </c>
      <c r="F437" s="0" t="n">
        <f aca="false">(SUMIFS(Fact_PreSortWeights!$E$2:$E$15,Fact_PreSortWeights!$C$2:$C$15,$A437,Fact_PreSortWeights!$B$2:$B$15,$B437,Fact_PreSortWeights!$F$2:$F$15,$C437))+(SUMIFS(Fact_SortedWeights!$E$2:$E$6,Fact_SortedWeights!$C$2:$C$6,$A437,Fact_SortedWeights!$B$2:$B$6,$B437,Fact_SortedWeights!$D$2:$D$6,$C437,Fact_SortedWeights!$L$2:$L$6,"Yes"))+IF((SUMIFS(Fact_SortedWeights!$E$2:$E$6,Fact_SortedWeights!$C$2:$C$6,$A437,Fact_SortedWeights!$B$2:$B$6,$B437,Fact_SortedWeights!$L$2:$L$6,"No"))=0,0,(SUMIFS(Fact_SortedWeights!$E$2:$E$6,Fact_SortedWeights!$C$2:$C$6,$A437,Fact_SortedWeights!$B$2:$B$6,$B437,Fact_SortedWeights!$D$2:$D$6,$C437,Fact_SortedWeights!$L$2:$L$6,"No"))/(SUMIFS(Fact_SortedWeights!$E$2:$E$6,Fact_SortedWeights!$C$2:$C$6,$A437,Fact_SortedWeights!$B$2:$B$6,$B437,Fact_SortedWeights!$L$2:$L$6,"No"))*((SUMIFS(Fact_PreSortWeights!$E$2:$E$15,Fact_PreSortWeights!$C$2:$C$15,$A437,Fact_PreSortWeights!$B$2:$B$15,$B437,Fact_PreSortWeights!$F$2:$F$15,""))-(SUMIFS(Fact_SortedWeights!$E$2:$E$6,Fact_SortedWeights!$C$2:$C$6,$A437,Fact_SortedWeights!$B$2:$B$6,$B437,Fact_SortedWeights!$L$2:$L$6,"Yes"))))</f>
        <v>0</v>
      </c>
      <c r="G437" s="0" t="n">
        <f aca="false">IF(AND(IF($B437="Trash",INDEX('Materials Master'!$F$2:$F$27,MATCH($C437,'Materials Master'!$A$2:$A$27,0)),IF($B437="GMPC Recycling",INDEX('Materials Master'!$G$2:$G$27,MATCH($C437,'Materials Master'!$A$2:$A$27,0)),IF($B437="Organics Recycling",INDEX('Materials Master'!$H$2:$H$27,MATCH($C437,'Materials Master'!$A$2:$A$27,0)),IF($B437="Cardboard Recycling",INDEX('Materials Master'!$I$2:$I$27,MATCH($C437,'Materials Master'!$A$2:$A$27,0)),IF($B437="Paper Recycling",INDEX('Materials Master'!$J$2:$J$27,MATCH($C437,'Materials Master'!$A$2:$A$27,0)),IF($B437="Terracycle",INDEX('Materials Master'!$K$2:$K$27,MATCH($C437,'Materials Master'!$A$2:$A$27,0)),"No"))))))="Yes",INDEX('Materials Master'!$E$2:$E$27,MATCH($C437,'Materials Master'!$A$2:$A$27,0))="Yes",$B437&lt;&gt;"Trash"),1,0)</f>
        <v>0</v>
      </c>
      <c r="H437" s="0" t="str">
        <f aca="false">INDEX('Materials Master'!$E$2:$E$27,MATCH($C437,'Materials Master'!$A$2:$A$27,0))</f>
        <v>No</v>
      </c>
      <c r="I437" s="0" t="str">
        <f aca="false">IFERROR(INDEX(Areas!$C$2:$C$6,MATCH($A437,Areas!$B$2:$B$6,0)),"")</f>
        <v>Rest of Building</v>
      </c>
      <c r="J437" s="0" t="n">
        <f aca="false">IF(IF($B437="Trash",INDEX('Materials Master'!$F$2:$F$27,MATCH($C437,'Materials Master'!$A$2:$A$27,0)),IF($B437="GMPC Recycling",INDEX('Materials Master'!$G$2:$G$27,MATCH($C437,'Materials Master'!$A$2:$A$27,0)),IF($B437="Organics Recycling",INDEX('Materials Master'!$H$2:$H$27,MATCH($C437,'Materials Master'!$A$2:$A$27,0)),IF($B437="Cardboard Recycling",INDEX('Materials Master'!$I$2:$I$27,MATCH($C437,'Materials Master'!$A$2:$A$27,0)),IF($B437="Paper Recycling",INDEX('Materials Master'!$J$2:$J$27,MATCH($C437,'Materials Master'!$A$2:$A$27,0)),IF($B437="Terracycle",INDEX('Materials Master'!$K$2:$K$27,MATCH($C437,'Materials Master'!$A$2:$A$27,0)),"No"))))))="Yes",1,0)</f>
        <v>0</v>
      </c>
    </row>
    <row r="438" customFormat="false" ht="15" hidden="false" customHeight="false" outlineLevel="0" collapsed="false">
      <c r="A438" s="0" t="s">
        <v>97</v>
      </c>
      <c r="B438" s="0" t="s">
        <v>107</v>
      </c>
      <c r="C438" s="0" t="s">
        <v>73</v>
      </c>
      <c r="D438" s="0" t="str">
        <f aca="false">IFERROR(INDEX('Materials Master'!$B$2:$B$27,MATCH($C438,'Materials Master'!$A$2:$A$27,0)),"")</f>
        <v>E/U Waste</v>
      </c>
      <c r="E438" s="0" t="str">
        <f aca="false">IFERROR(INDEX('Materials Master'!$C$2:$C$27,MATCH($C438,'Materials Master'!$A$2:$A$27,0)),"")</f>
        <v>Unacceptable</v>
      </c>
      <c r="F438" s="0" t="n">
        <f aca="false">(SUMIFS(Fact_PreSortWeights!$E$2:$E$15,Fact_PreSortWeights!$C$2:$C$15,$A438,Fact_PreSortWeights!$B$2:$B$15,$B438,Fact_PreSortWeights!$F$2:$F$15,$C438))+(SUMIFS(Fact_SortedWeights!$E$2:$E$6,Fact_SortedWeights!$C$2:$C$6,$A438,Fact_SortedWeights!$B$2:$B$6,$B438,Fact_SortedWeights!$D$2:$D$6,$C438,Fact_SortedWeights!$L$2:$L$6,"Yes"))+IF((SUMIFS(Fact_SortedWeights!$E$2:$E$6,Fact_SortedWeights!$C$2:$C$6,$A438,Fact_SortedWeights!$B$2:$B$6,$B438,Fact_SortedWeights!$L$2:$L$6,"No"))=0,0,(SUMIFS(Fact_SortedWeights!$E$2:$E$6,Fact_SortedWeights!$C$2:$C$6,$A438,Fact_SortedWeights!$B$2:$B$6,$B438,Fact_SortedWeights!$D$2:$D$6,$C438,Fact_SortedWeights!$L$2:$L$6,"No"))/(SUMIFS(Fact_SortedWeights!$E$2:$E$6,Fact_SortedWeights!$C$2:$C$6,$A438,Fact_SortedWeights!$B$2:$B$6,$B438,Fact_SortedWeights!$L$2:$L$6,"No"))*((SUMIFS(Fact_PreSortWeights!$E$2:$E$15,Fact_PreSortWeights!$C$2:$C$15,$A438,Fact_PreSortWeights!$B$2:$B$15,$B438,Fact_PreSortWeights!$F$2:$F$15,""))-(SUMIFS(Fact_SortedWeights!$E$2:$E$6,Fact_SortedWeights!$C$2:$C$6,$A438,Fact_SortedWeights!$B$2:$B$6,$B438,Fact_SortedWeights!$L$2:$L$6,"Yes"))))</f>
        <v>0</v>
      </c>
      <c r="G438" s="0" t="n">
        <f aca="false">IF(AND(IF($B438="Trash",INDEX('Materials Master'!$F$2:$F$27,MATCH($C438,'Materials Master'!$A$2:$A$27,0)),IF($B438="GMPC Recycling",INDEX('Materials Master'!$G$2:$G$27,MATCH($C438,'Materials Master'!$A$2:$A$27,0)),IF($B438="Organics Recycling",INDEX('Materials Master'!$H$2:$H$27,MATCH($C438,'Materials Master'!$A$2:$A$27,0)),IF($B438="Cardboard Recycling",INDEX('Materials Master'!$I$2:$I$27,MATCH($C438,'Materials Master'!$A$2:$A$27,0)),IF($B438="Paper Recycling",INDEX('Materials Master'!$J$2:$J$27,MATCH($C438,'Materials Master'!$A$2:$A$27,0)),IF($B438="Terracycle",INDEX('Materials Master'!$K$2:$K$27,MATCH($C438,'Materials Master'!$A$2:$A$27,0)),"No"))))))="Yes",INDEX('Materials Master'!$E$2:$E$27,MATCH($C438,'Materials Master'!$A$2:$A$27,0))="Yes",$B438&lt;&gt;"Trash"),1,0)</f>
        <v>0</v>
      </c>
      <c r="H438" s="0" t="str">
        <f aca="false">INDEX('Materials Master'!$E$2:$E$27,MATCH($C438,'Materials Master'!$A$2:$A$27,0))</f>
        <v>No</v>
      </c>
      <c r="I438" s="0" t="str">
        <f aca="false">IFERROR(INDEX(Areas!$C$2:$C$6,MATCH($A438,Areas!$B$2:$B$6,0)),"")</f>
        <v>Rest of Building</v>
      </c>
      <c r="J438" s="0" t="n">
        <f aca="false">IF(IF($B438="Trash",INDEX('Materials Master'!$F$2:$F$27,MATCH($C438,'Materials Master'!$A$2:$A$27,0)),IF($B438="GMPC Recycling",INDEX('Materials Master'!$G$2:$G$27,MATCH($C438,'Materials Master'!$A$2:$A$27,0)),IF($B438="Organics Recycling",INDEX('Materials Master'!$H$2:$H$27,MATCH($C438,'Materials Master'!$A$2:$A$27,0)),IF($B438="Cardboard Recycling",INDEX('Materials Master'!$I$2:$I$27,MATCH($C438,'Materials Master'!$A$2:$A$27,0)),IF($B438="Paper Recycling",INDEX('Materials Master'!$J$2:$J$27,MATCH($C438,'Materials Master'!$A$2:$A$27,0)),IF($B438="Terracycle",INDEX('Materials Master'!$K$2:$K$27,MATCH($C438,'Materials Master'!$A$2:$A$27,0)),"No"))))))="Yes",1,0)</f>
        <v>0</v>
      </c>
    </row>
    <row r="439" customFormat="false" ht="15" hidden="false" customHeight="false" outlineLevel="0" collapsed="false">
      <c r="A439" s="0" t="s">
        <v>97</v>
      </c>
      <c r="B439" s="0" t="s">
        <v>107</v>
      </c>
      <c r="C439" s="0" t="s">
        <v>76</v>
      </c>
      <c r="D439" s="0" t="str">
        <f aca="false">IFERROR(INDEX('Materials Master'!$B$2:$B$27,MATCH($C439,'Materials Master'!$A$2:$A$27,0)),"")</f>
        <v>Textiles</v>
      </c>
      <c r="E439" s="0" t="str">
        <f aca="false">IFERROR(INDEX('Materials Master'!$C$2:$C$27,MATCH($C439,'Materials Master'!$A$2:$A$27,0)),"")</f>
        <v>Unacceptable</v>
      </c>
      <c r="F439" s="0" t="n">
        <f aca="false">(SUMIFS(Fact_PreSortWeights!$E$2:$E$15,Fact_PreSortWeights!$C$2:$C$15,$A439,Fact_PreSortWeights!$B$2:$B$15,$B439,Fact_PreSortWeights!$F$2:$F$15,$C439))+(SUMIFS(Fact_SortedWeights!$E$2:$E$6,Fact_SortedWeights!$C$2:$C$6,$A439,Fact_SortedWeights!$B$2:$B$6,$B439,Fact_SortedWeights!$D$2:$D$6,$C439,Fact_SortedWeights!$L$2:$L$6,"Yes"))+IF((SUMIFS(Fact_SortedWeights!$E$2:$E$6,Fact_SortedWeights!$C$2:$C$6,$A439,Fact_SortedWeights!$B$2:$B$6,$B439,Fact_SortedWeights!$L$2:$L$6,"No"))=0,0,(SUMIFS(Fact_SortedWeights!$E$2:$E$6,Fact_SortedWeights!$C$2:$C$6,$A439,Fact_SortedWeights!$B$2:$B$6,$B439,Fact_SortedWeights!$D$2:$D$6,$C439,Fact_SortedWeights!$L$2:$L$6,"No"))/(SUMIFS(Fact_SortedWeights!$E$2:$E$6,Fact_SortedWeights!$C$2:$C$6,$A439,Fact_SortedWeights!$B$2:$B$6,$B439,Fact_SortedWeights!$L$2:$L$6,"No"))*((SUMIFS(Fact_PreSortWeights!$E$2:$E$15,Fact_PreSortWeights!$C$2:$C$15,$A439,Fact_PreSortWeights!$B$2:$B$15,$B439,Fact_PreSortWeights!$F$2:$F$15,""))-(SUMIFS(Fact_SortedWeights!$E$2:$E$6,Fact_SortedWeights!$C$2:$C$6,$A439,Fact_SortedWeights!$B$2:$B$6,$B439,Fact_SortedWeights!$L$2:$L$6,"Yes"))))</f>
        <v>0</v>
      </c>
      <c r="G439" s="0" t="n">
        <f aca="false">IF(AND(IF($B439="Trash",INDEX('Materials Master'!$F$2:$F$27,MATCH($C439,'Materials Master'!$A$2:$A$27,0)),IF($B439="GMPC Recycling",INDEX('Materials Master'!$G$2:$G$27,MATCH($C439,'Materials Master'!$A$2:$A$27,0)),IF($B439="Organics Recycling",INDEX('Materials Master'!$H$2:$H$27,MATCH($C439,'Materials Master'!$A$2:$A$27,0)),IF($B439="Cardboard Recycling",INDEX('Materials Master'!$I$2:$I$27,MATCH($C439,'Materials Master'!$A$2:$A$27,0)),IF($B439="Paper Recycling",INDEX('Materials Master'!$J$2:$J$27,MATCH($C439,'Materials Master'!$A$2:$A$27,0)),IF($B439="Terracycle",INDEX('Materials Master'!$K$2:$K$27,MATCH($C439,'Materials Master'!$A$2:$A$27,0)),"No"))))))="Yes",INDEX('Materials Master'!$E$2:$E$27,MATCH($C439,'Materials Master'!$A$2:$A$27,0))="Yes",$B439&lt;&gt;"Trash"),1,0)</f>
        <v>0</v>
      </c>
      <c r="H439" s="0" t="str">
        <f aca="false">INDEX('Materials Master'!$E$2:$E$27,MATCH($C439,'Materials Master'!$A$2:$A$27,0))</f>
        <v>No</v>
      </c>
      <c r="I439" s="0" t="str">
        <f aca="false">IFERROR(INDEX(Areas!$C$2:$C$6,MATCH($A439,Areas!$B$2:$B$6,0)),"")</f>
        <v>Rest of Building</v>
      </c>
      <c r="J439" s="0" t="n">
        <f aca="false">IF(IF($B439="Trash",INDEX('Materials Master'!$F$2:$F$27,MATCH($C439,'Materials Master'!$A$2:$A$27,0)),IF($B439="GMPC Recycling",INDEX('Materials Master'!$G$2:$G$27,MATCH($C439,'Materials Master'!$A$2:$A$27,0)),IF($B439="Organics Recycling",INDEX('Materials Master'!$H$2:$H$27,MATCH($C439,'Materials Master'!$A$2:$A$27,0)),IF($B439="Cardboard Recycling",INDEX('Materials Master'!$I$2:$I$27,MATCH($C439,'Materials Master'!$A$2:$A$27,0)),IF($B439="Paper Recycling",INDEX('Materials Master'!$J$2:$J$27,MATCH($C439,'Materials Master'!$A$2:$A$27,0)),IF($B439="Terracycle",INDEX('Materials Master'!$K$2:$K$27,MATCH($C439,'Materials Master'!$A$2:$A$27,0)),"No"))))))="Yes",1,0)</f>
        <v>0</v>
      </c>
    </row>
    <row r="440" customFormat="false" ht="15" hidden="false" customHeight="false" outlineLevel="0" collapsed="false">
      <c r="A440" s="0" t="s">
        <v>97</v>
      </c>
      <c r="B440" s="0" t="s">
        <v>107</v>
      </c>
      <c r="C440" s="0" t="s">
        <v>78</v>
      </c>
      <c r="D440" s="0" t="str">
        <f aca="false">IFERROR(INDEX('Materials Master'!$B$2:$B$27,MATCH($C440,'Materials Master'!$A$2:$A$27,0)),"")</f>
        <v>Other Unacceptable (specify)</v>
      </c>
      <c r="E440" s="0" t="str">
        <f aca="false">IFERROR(INDEX('Materials Master'!$C$2:$C$27,MATCH($C440,'Materials Master'!$A$2:$A$27,0)),"")</f>
        <v>Unacceptable</v>
      </c>
      <c r="F440" s="0" t="n">
        <f aca="false">(SUMIFS(Fact_PreSortWeights!$E$2:$E$15,Fact_PreSortWeights!$C$2:$C$15,$A440,Fact_PreSortWeights!$B$2:$B$15,$B440,Fact_PreSortWeights!$F$2:$F$15,$C440))+(SUMIFS(Fact_SortedWeights!$E$2:$E$6,Fact_SortedWeights!$C$2:$C$6,$A440,Fact_SortedWeights!$B$2:$B$6,$B440,Fact_SortedWeights!$D$2:$D$6,$C440,Fact_SortedWeights!$L$2:$L$6,"Yes"))+IF((SUMIFS(Fact_SortedWeights!$E$2:$E$6,Fact_SortedWeights!$C$2:$C$6,$A440,Fact_SortedWeights!$B$2:$B$6,$B440,Fact_SortedWeights!$L$2:$L$6,"No"))=0,0,(SUMIFS(Fact_SortedWeights!$E$2:$E$6,Fact_SortedWeights!$C$2:$C$6,$A440,Fact_SortedWeights!$B$2:$B$6,$B440,Fact_SortedWeights!$D$2:$D$6,$C440,Fact_SortedWeights!$L$2:$L$6,"No"))/(SUMIFS(Fact_SortedWeights!$E$2:$E$6,Fact_SortedWeights!$C$2:$C$6,$A440,Fact_SortedWeights!$B$2:$B$6,$B440,Fact_SortedWeights!$L$2:$L$6,"No"))*((SUMIFS(Fact_PreSortWeights!$E$2:$E$15,Fact_PreSortWeights!$C$2:$C$15,$A440,Fact_PreSortWeights!$B$2:$B$15,$B440,Fact_PreSortWeights!$F$2:$F$15,""))-(SUMIFS(Fact_SortedWeights!$E$2:$E$6,Fact_SortedWeights!$C$2:$C$6,$A440,Fact_SortedWeights!$B$2:$B$6,$B440,Fact_SortedWeights!$L$2:$L$6,"Yes"))))</f>
        <v>0</v>
      </c>
      <c r="G440" s="0" t="n">
        <f aca="false">IF(AND(IF($B440="Trash",INDEX('Materials Master'!$F$2:$F$27,MATCH($C440,'Materials Master'!$A$2:$A$27,0)),IF($B440="GMPC Recycling",INDEX('Materials Master'!$G$2:$G$27,MATCH($C440,'Materials Master'!$A$2:$A$27,0)),IF($B440="Organics Recycling",INDEX('Materials Master'!$H$2:$H$27,MATCH($C440,'Materials Master'!$A$2:$A$27,0)),IF($B440="Cardboard Recycling",INDEX('Materials Master'!$I$2:$I$27,MATCH($C440,'Materials Master'!$A$2:$A$27,0)),IF($B440="Paper Recycling",INDEX('Materials Master'!$J$2:$J$27,MATCH($C440,'Materials Master'!$A$2:$A$27,0)),IF($B440="Terracycle",INDEX('Materials Master'!$K$2:$K$27,MATCH($C440,'Materials Master'!$A$2:$A$27,0)),"No"))))))="Yes",INDEX('Materials Master'!$E$2:$E$27,MATCH($C440,'Materials Master'!$A$2:$A$27,0))="Yes",$B440&lt;&gt;"Trash"),1,0)</f>
        <v>0</v>
      </c>
      <c r="H440" s="0" t="str">
        <f aca="false">INDEX('Materials Master'!$E$2:$E$27,MATCH($C440,'Materials Master'!$A$2:$A$27,0))</f>
        <v>No</v>
      </c>
      <c r="I440" s="0" t="str">
        <f aca="false">IFERROR(INDEX(Areas!$C$2:$C$6,MATCH($A440,Areas!$B$2:$B$6,0)),"")</f>
        <v>Rest of Building</v>
      </c>
      <c r="J440" s="0" t="n">
        <f aca="false">IF(IF($B440="Trash",INDEX('Materials Master'!$F$2:$F$27,MATCH($C440,'Materials Master'!$A$2:$A$27,0)),IF($B440="GMPC Recycling",INDEX('Materials Master'!$G$2:$G$27,MATCH($C440,'Materials Master'!$A$2:$A$27,0)),IF($B440="Organics Recycling",INDEX('Materials Master'!$H$2:$H$27,MATCH($C440,'Materials Master'!$A$2:$A$27,0)),IF($B440="Cardboard Recycling",INDEX('Materials Master'!$I$2:$I$27,MATCH($C440,'Materials Master'!$A$2:$A$27,0)),IF($B440="Paper Recycling",INDEX('Materials Master'!$J$2:$J$27,MATCH($C440,'Materials Master'!$A$2:$A$27,0)),IF($B440="Terracycle",INDEX('Materials Master'!$K$2:$K$27,MATCH($C440,'Materials Master'!$A$2:$A$27,0)),"No"))))))="Yes",1,0)</f>
        <v>0</v>
      </c>
    </row>
    <row r="441" customFormat="false" ht="15" hidden="false" customHeight="false" outlineLevel="0" collapsed="false">
      <c r="A441" s="0" t="s">
        <v>97</v>
      </c>
      <c r="B441" s="0" t="s">
        <v>107</v>
      </c>
      <c r="C441" s="0" t="s">
        <v>80</v>
      </c>
      <c r="D441" s="0" t="str">
        <f aca="false">IFERROR(INDEX('Materials Master'!$B$2:$B$27,MATCH($C441,'Materials Master'!$A$2:$A$27,0)),"")</f>
        <v>Liquids</v>
      </c>
      <c r="E441" s="0" t="str">
        <f aca="false">IFERROR(INDEX('Materials Master'!$C$2:$C$27,MATCH($C441,'Materials Master'!$A$2:$A$27,0)),"")</f>
        <v>Unacceptable</v>
      </c>
      <c r="F441" s="0" t="n">
        <f aca="false">(SUMIFS(Fact_PreSortWeights!$E$2:$E$15,Fact_PreSortWeights!$C$2:$C$15,$A441,Fact_PreSortWeights!$B$2:$B$15,$B441,Fact_PreSortWeights!$F$2:$F$15,$C441))+(SUMIFS(Fact_SortedWeights!$E$2:$E$6,Fact_SortedWeights!$C$2:$C$6,$A441,Fact_SortedWeights!$B$2:$B$6,$B441,Fact_SortedWeights!$D$2:$D$6,$C441,Fact_SortedWeights!$L$2:$L$6,"Yes"))+IF((SUMIFS(Fact_SortedWeights!$E$2:$E$6,Fact_SortedWeights!$C$2:$C$6,$A441,Fact_SortedWeights!$B$2:$B$6,$B441,Fact_SortedWeights!$L$2:$L$6,"No"))=0,0,(SUMIFS(Fact_SortedWeights!$E$2:$E$6,Fact_SortedWeights!$C$2:$C$6,$A441,Fact_SortedWeights!$B$2:$B$6,$B441,Fact_SortedWeights!$D$2:$D$6,$C441,Fact_SortedWeights!$L$2:$L$6,"No"))/(SUMIFS(Fact_SortedWeights!$E$2:$E$6,Fact_SortedWeights!$C$2:$C$6,$A441,Fact_SortedWeights!$B$2:$B$6,$B441,Fact_SortedWeights!$L$2:$L$6,"No"))*((SUMIFS(Fact_PreSortWeights!$E$2:$E$15,Fact_PreSortWeights!$C$2:$C$15,$A441,Fact_PreSortWeights!$B$2:$B$15,$B441,Fact_PreSortWeights!$F$2:$F$15,""))-(SUMIFS(Fact_SortedWeights!$E$2:$E$6,Fact_SortedWeights!$C$2:$C$6,$A441,Fact_SortedWeights!$B$2:$B$6,$B441,Fact_SortedWeights!$L$2:$L$6,"Yes"))))</f>
        <v>0</v>
      </c>
      <c r="G441" s="0" t="n">
        <f aca="false">IF(AND(IF($B441="Trash",INDEX('Materials Master'!$F$2:$F$27,MATCH($C441,'Materials Master'!$A$2:$A$27,0)),IF($B441="GMPC Recycling",INDEX('Materials Master'!$G$2:$G$27,MATCH($C441,'Materials Master'!$A$2:$A$27,0)),IF($B441="Organics Recycling",INDEX('Materials Master'!$H$2:$H$27,MATCH($C441,'Materials Master'!$A$2:$A$27,0)),IF($B441="Cardboard Recycling",INDEX('Materials Master'!$I$2:$I$27,MATCH($C441,'Materials Master'!$A$2:$A$27,0)),IF($B441="Paper Recycling",INDEX('Materials Master'!$J$2:$J$27,MATCH($C441,'Materials Master'!$A$2:$A$27,0)),IF($B441="Terracycle",INDEX('Materials Master'!$K$2:$K$27,MATCH($C441,'Materials Master'!$A$2:$A$27,0)),"No"))))))="Yes",INDEX('Materials Master'!$E$2:$E$27,MATCH($C441,'Materials Master'!$A$2:$A$27,0))="Yes",$B441&lt;&gt;"Trash"),1,0)</f>
        <v>0</v>
      </c>
      <c r="H441" s="0" t="str">
        <f aca="false">INDEX('Materials Master'!$E$2:$E$27,MATCH($C441,'Materials Master'!$A$2:$A$27,0))</f>
        <v>No</v>
      </c>
      <c r="I441" s="0" t="str">
        <f aca="false">IFERROR(INDEX(Areas!$C$2:$C$6,MATCH($A441,Areas!$B$2:$B$6,0)),"")</f>
        <v>Rest of Building</v>
      </c>
      <c r="J441" s="0" t="n">
        <f aca="false">IF(IF($B441="Trash",INDEX('Materials Master'!$F$2:$F$27,MATCH($C441,'Materials Master'!$A$2:$A$27,0)),IF($B441="GMPC Recycling",INDEX('Materials Master'!$G$2:$G$27,MATCH($C441,'Materials Master'!$A$2:$A$27,0)),IF($B441="Organics Recycling",INDEX('Materials Master'!$H$2:$H$27,MATCH($C441,'Materials Master'!$A$2:$A$27,0)),IF($B441="Cardboard Recycling",INDEX('Materials Master'!$I$2:$I$27,MATCH($C441,'Materials Master'!$A$2:$A$27,0)),IF($B441="Paper Recycling",INDEX('Materials Master'!$J$2:$J$27,MATCH($C441,'Materials Master'!$A$2:$A$27,0)),IF($B441="Terracycle",INDEX('Materials Master'!$K$2:$K$27,MATCH($C441,'Materials Master'!$A$2:$A$27,0)),"No"))))))="Yes",1,0)</f>
        <v>0</v>
      </c>
    </row>
    <row r="442" customFormat="false" ht="15" hidden="false" customHeight="false" outlineLevel="0" collapsed="false">
      <c r="A442" s="0" t="s">
        <v>97</v>
      </c>
      <c r="B442" s="0" t="s">
        <v>107</v>
      </c>
      <c r="C442" s="0" t="s">
        <v>82</v>
      </c>
      <c r="D442" s="0" t="str">
        <f aca="false">IFERROR(INDEX('Materials Master'!$B$2:$B$27,MATCH($C442,'Materials Master'!$A$2:$A$27,0)),"")</f>
        <v>Snack Wrappers (Composites)</v>
      </c>
      <c r="E442" s="0" t="str">
        <f aca="false">IFERROR(INDEX('Materials Master'!$C$2:$C$27,MATCH($C442,'Materials Master'!$A$2:$A$27,0)),"")</f>
        <v>Other</v>
      </c>
      <c r="F442" s="0" t="n">
        <f aca="false">(SUMIFS(Fact_PreSortWeights!$E$2:$E$15,Fact_PreSortWeights!$C$2:$C$15,$A442,Fact_PreSortWeights!$B$2:$B$15,$B442,Fact_PreSortWeights!$F$2:$F$15,$C442))+(SUMIFS(Fact_SortedWeights!$E$2:$E$6,Fact_SortedWeights!$C$2:$C$6,$A442,Fact_SortedWeights!$B$2:$B$6,$B442,Fact_SortedWeights!$D$2:$D$6,$C442,Fact_SortedWeights!$L$2:$L$6,"Yes"))+IF((SUMIFS(Fact_SortedWeights!$E$2:$E$6,Fact_SortedWeights!$C$2:$C$6,$A442,Fact_SortedWeights!$B$2:$B$6,$B442,Fact_SortedWeights!$L$2:$L$6,"No"))=0,0,(SUMIFS(Fact_SortedWeights!$E$2:$E$6,Fact_SortedWeights!$C$2:$C$6,$A442,Fact_SortedWeights!$B$2:$B$6,$B442,Fact_SortedWeights!$D$2:$D$6,$C442,Fact_SortedWeights!$L$2:$L$6,"No"))/(SUMIFS(Fact_SortedWeights!$E$2:$E$6,Fact_SortedWeights!$C$2:$C$6,$A442,Fact_SortedWeights!$B$2:$B$6,$B442,Fact_SortedWeights!$L$2:$L$6,"No"))*((SUMIFS(Fact_PreSortWeights!$E$2:$E$15,Fact_PreSortWeights!$C$2:$C$15,$A442,Fact_PreSortWeights!$B$2:$B$15,$B442,Fact_PreSortWeights!$F$2:$F$15,""))-(SUMIFS(Fact_SortedWeights!$E$2:$E$6,Fact_SortedWeights!$C$2:$C$6,$A442,Fact_SortedWeights!$B$2:$B$6,$B442,Fact_SortedWeights!$L$2:$L$6,"Yes"))))</f>
        <v>0</v>
      </c>
      <c r="G442" s="0" t="n">
        <f aca="false">IF(AND(IF($B442="Trash",INDEX('Materials Master'!$F$2:$F$27,MATCH($C442,'Materials Master'!$A$2:$A$27,0)),IF($B442="GMPC Recycling",INDEX('Materials Master'!$G$2:$G$27,MATCH($C442,'Materials Master'!$A$2:$A$27,0)),IF($B442="Organics Recycling",INDEX('Materials Master'!$H$2:$H$27,MATCH($C442,'Materials Master'!$A$2:$A$27,0)),IF($B442="Cardboard Recycling",INDEX('Materials Master'!$I$2:$I$27,MATCH($C442,'Materials Master'!$A$2:$A$27,0)),IF($B442="Paper Recycling",INDEX('Materials Master'!$J$2:$J$27,MATCH($C442,'Materials Master'!$A$2:$A$27,0)),IF($B442="Terracycle",INDEX('Materials Master'!$K$2:$K$27,MATCH($C442,'Materials Master'!$A$2:$A$27,0)),"No"))))))="Yes",INDEX('Materials Master'!$E$2:$E$27,MATCH($C442,'Materials Master'!$A$2:$A$27,0))="Yes",$B442&lt;&gt;"Trash"),1,0)</f>
        <v>0</v>
      </c>
      <c r="H442" s="0" t="str">
        <f aca="false">INDEX('Materials Master'!$E$2:$E$27,MATCH($C442,'Materials Master'!$A$2:$A$27,0))</f>
        <v>Yes</v>
      </c>
      <c r="I442" s="0" t="str">
        <f aca="false">IFERROR(INDEX(Areas!$C$2:$C$6,MATCH($A442,Areas!$B$2:$B$6,0)),"")</f>
        <v>Rest of Building</v>
      </c>
      <c r="J442" s="0" t="n">
        <f aca="false">IF(IF($B442="Trash",INDEX('Materials Master'!$F$2:$F$27,MATCH($C442,'Materials Master'!$A$2:$A$27,0)),IF($B442="GMPC Recycling",INDEX('Materials Master'!$G$2:$G$27,MATCH($C442,'Materials Master'!$A$2:$A$27,0)),IF($B442="Organics Recycling",INDEX('Materials Master'!$H$2:$H$27,MATCH($C442,'Materials Master'!$A$2:$A$27,0)),IF($B442="Cardboard Recycling",INDEX('Materials Master'!$I$2:$I$27,MATCH($C442,'Materials Master'!$A$2:$A$27,0)),IF($B442="Paper Recycling",INDEX('Materials Master'!$J$2:$J$27,MATCH($C442,'Materials Master'!$A$2:$A$27,0)),IF($B442="Terracycle",INDEX('Materials Master'!$K$2:$K$27,MATCH($C442,'Materials Master'!$A$2:$A$27,0)),"No"))))))="Yes",1,0)</f>
        <v>0</v>
      </c>
    </row>
    <row r="443" customFormat="false" ht="15" hidden="false" customHeight="false" outlineLevel="0" collapsed="false">
      <c r="A443" s="0" t="s">
        <v>97</v>
      </c>
      <c r="B443" s="0" t="s">
        <v>107</v>
      </c>
      <c r="C443" s="0" t="s">
        <v>85</v>
      </c>
      <c r="D443" s="0" t="str">
        <f aca="false">IFERROR(INDEX('Materials Master'!$B$2:$B$27,MATCH($C443,'Materials Master'!$A$2:$A$27,0)),"")</f>
        <v>Other/Residual Materials</v>
      </c>
      <c r="E443" s="0" t="str">
        <f aca="false">IFERROR(INDEX('Materials Master'!$C$2:$C$27,MATCH($C443,'Materials Master'!$A$2:$A$27,0)),"")</f>
        <v>Other</v>
      </c>
      <c r="F443" s="0" t="n">
        <f aca="false">(SUMIFS(Fact_PreSortWeights!$E$2:$E$15,Fact_PreSortWeights!$C$2:$C$15,$A443,Fact_PreSortWeights!$B$2:$B$15,$B443,Fact_PreSortWeights!$F$2:$F$15,$C443))+(SUMIFS(Fact_SortedWeights!$E$2:$E$6,Fact_SortedWeights!$C$2:$C$6,$A443,Fact_SortedWeights!$B$2:$B$6,$B443,Fact_SortedWeights!$D$2:$D$6,$C443,Fact_SortedWeights!$L$2:$L$6,"Yes"))+IF((SUMIFS(Fact_SortedWeights!$E$2:$E$6,Fact_SortedWeights!$C$2:$C$6,$A443,Fact_SortedWeights!$B$2:$B$6,$B443,Fact_SortedWeights!$L$2:$L$6,"No"))=0,0,(SUMIFS(Fact_SortedWeights!$E$2:$E$6,Fact_SortedWeights!$C$2:$C$6,$A443,Fact_SortedWeights!$B$2:$B$6,$B443,Fact_SortedWeights!$D$2:$D$6,$C443,Fact_SortedWeights!$L$2:$L$6,"No"))/(SUMIFS(Fact_SortedWeights!$E$2:$E$6,Fact_SortedWeights!$C$2:$C$6,$A443,Fact_SortedWeights!$B$2:$B$6,$B443,Fact_SortedWeights!$L$2:$L$6,"No"))*((SUMIFS(Fact_PreSortWeights!$E$2:$E$15,Fact_PreSortWeights!$C$2:$C$15,$A443,Fact_PreSortWeights!$B$2:$B$15,$B443,Fact_PreSortWeights!$F$2:$F$15,""))-(SUMIFS(Fact_SortedWeights!$E$2:$E$6,Fact_SortedWeights!$C$2:$C$6,$A443,Fact_SortedWeights!$B$2:$B$6,$B443,Fact_SortedWeights!$L$2:$L$6,"Yes"))))</f>
        <v>0</v>
      </c>
      <c r="G443" s="0" t="n">
        <f aca="false">IF(AND(IF($B443="Trash",INDEX('Materials Master'!$F$2:$F$27,MATCH($C443,'Materials Master'!$A$2:$A$27,0)),IF($B443="GMPC Recycling",INDEX('Materials Master'!$G$2:$G$27,MATCH($C443,'Materials Master'!$A$2:$A$27,0)),IF($B443="Organics Recycling",INDEX('Materials Master'!$H$2:$H$27,MATCH($C443,'Materials Master'!$A$2:$A$27,0)),IF($B443="Cardboard Recycling",INDEX('Materials Master'!$I$2:$I$27,MATCH($C443,'Materials Master'!$A$2:$A$27,0)),IF($B443="Paper Recycling",INDEX('Materials Master'!$J$2:$J$27,MATCH($C443,'Materials Master'!$A$2:$A$27,0)),IF($B443="Terracycle",INDEX('Materials Master'!$K$2:$K$27,MATCH($C443,'Materials Master'!$A$2:$A$27,0)),"No"))))))="Yes",INDEX('Materials Master'!$E$2:$E$27,MATCH($C443,'Materials Master'!$A$2:$A$27,0))="Yes",$B443&lt;&gt;"Trash"),1,0)</f>
        <v>0</v>
      </c>
      <c r="H443" s="0" t="str">
        <f aca="false">INDEX('Materials Master'!$E$2:$E$27,MATCH($C443,'Materials Master'!$A$2:$A$27,0))</f>
        <v>No</v>
      </c>
      <c r="I443" s="0" t="str">
        <f aca="false">IFERROR(INDEX(Areas!$C$2:$C$6,MATCH($A443,Areas!$B$2:$B$6,0)),"")</f>
        <v>Rest of Building</v>
      </c>
      <c r="J443" s="0" t="n">
        <f aca="false">IF(IF($B443="Trash",INDEX('Materials Master'!$F$2:$F$27,MATCH($C443,'Materials Master'!$A$2:$A$27,0)),IF($B443="GMPC Recycling",INDEX('Materials Master'!$G$2:$G$27,MATCH($C443,'Materials Master'!$A$2:$A$27,0)),IF($B443="Organics Recycling",INDEX('Materials Master'!$H$2:$H$27,MATCH($C443,'Materials Master'!$A$2:$A$27,0)),IF($B443="Cardboard Recycling",INDEX('Materials Master'!$I$2:$I$27,MATCH($C443,'Materials Master'!$A$2:$A$27,0)),IF($B443="Paper Recycling",INDEX('Materials Master'!$J$2:$J$27,MATCH($C443,'Materials Master'!$A$2:$A$27,0)),IF($B443="Terracycle",INDEX('Materials Master'!$K$2:$K$27,MATCH($C443,'Materials Master'!$A$2:$A$27,0)),"No"))))))="Yes",1,0)</f>
        <v>0</v>
      </c>
    </row>
    <row r="444" customFormat="false" ht="15" hidden="false" customHeight="false" outlineLevel="0" collapsed="false">
      <c r="A444" s="0" t="s">
        <v>97</v>
      </c>
      <c r="B444" s="0" t="s">
        <v>108</v>
      </c>
      <c r="C444" s="0" t="s">
        <v>26</v>
      </c>
      <c r="D444" s="0" t="str">
        <f aca="false">IFERROR(INDEX('Materials Master'!$B$2:$B$27,MATCH($C444,'Materials Master'!$A$2:$A$27,0)),"")</f>
        <v>Corrugated Cardboard</v>
      </c>
      <c r="E444" s="0" t="str">
        <f aca="false">IFERROR(INDEX('Materials Master'!$C$2:$C$27,MATCH($C444,'Materials Master'!$A$2:$A$27,0)),"")</f>
        <v>Fibers</v>
      </c>
      <c r="F444" s="0" t="n">
        <f aca="false">(SUMIFS(Fact_PreSortWeights!$E$2:$E$15,Fact_PreSortWeights!$C$2:$C$15,$A444,Fact_PreSortWeights!$B$2:$B$15,$B444,Fact_PreSortWeights!$F$2:$F$15,$C444))+(SUMIFS(Fact_SortedWeights!$E$2:$E$6,Fact_SortedWeights!$C$2:$C$6,$A444,Fact_SortedWeights!$B$2:$B$6,$B444,Fact_SortedWeights!$D$2:$D$6,$C444,Fact_SortedWeights!$L$2:$L$6,"Yes"))+IF((SUMIFS(Fact_SortedWeights!$E$2:$E$6,Fact_SortedWeights!$C$2:$C$6,$A444,Fact_SortedWeights!$B$2:$B$6,$B444,Fact_SortedWeights!$L$2:$L$6,"No"))=0,0,(SUMIFS(Fact_SortedWeights!$E$2:$E$6,Fact_SortedWeights!$C$2:$C$6,$A444,Fact_SortedWeights!$B$2:$B$6,$B444,Fact_SortedWeights!$D$2:$D$6,$C444,Fact_SortedWeights!$L$2:$L$6,"No"))/(SUMIFS(Fact_SortedWeights!$E$2:$E$6,Fact_SortedWeights!$C$2:$C$6,$A444,Fact_SortedWeights!$B$2:$B$6,$B444,Fact_SortedWeights!$L$2:$L$6,"No"))*((SUMIFS(Fact_PreSortWeights!$E$2:$E$15,Fact_PreSortWeights!$C$2:$C$15,$A444,Fact_PreSortWeights!$B$2:$B$15,$B444,Fact_PreSortWeights!$F$2:$F$15,""))-(SUMIFS(Fact_SortedWeights!$E$2:$E$6,Fact_SortedWeights!$C$2:$C$6,$A444,Fact_SortedWeights!$B$2:$B$6,$B444,Fact_SortedWeights!$L$2:$L$6,"Yes"))))</f>
        <v>0</v>
      </c>
      <c r="G444" s="0" t="n">
        <f aca="false">IF(AND(IF($B444="Trash",INDEX('Materials Master'!$F$2:$F$27,MATCH($C444,'Materials Master'!$A$2:$A$27,0)),IF($B444="GMPC Recycling",INDEX('Materials Master'!$G$2:$G$27,MATCH($C444,'Materials Master'!$A$2:$A$27,0)),IF($B444="Organics Recycling",INDEX('Materials Master'!$H$2:$H$27,MATCH($C444,'Materials Master'!$A$2:$A$27,0)),IF($B444="Cardboard Recycling",INDEX('Materials Master'!$I$2:$I$27,MATCH($C444,'Materials Master'!$A$2:$A$27,0)),IF($B444="Paper Recycling",INDEX('Materials Master'!$J$2:$J$27,MATCH($C444,'Materials Master'!$A$2:$A$27,0)),IF($B444="Terracycle",INDEX('Materials Master'!$K$2:$K$27,MATCH($C444,'Materials Master'!$A$2:$A$27,0)),"No"))))))="Yes",INDEX('Materials Master'!$E$2:$E$27,MATCH($C444,'Materials Master'!$A$2:$A$27,0))="Yes",$B444&lt;&gt;"Trash"),1,0)</f>
        <v>0</v>
      </c>
      <c r="H444" s="0" t="str">
        <f aca="false">INDEX('Materials Master'!$E$2:$E$27,MATCH($C444,'Materials Master'!$A$2:$A$27,0))</f>
        <v>Yes</v>
      </c>
      <c r="I444" s="0" t="str">
        <f aca="false">IFERROR(INDEX(Areas!$C$2:$C$6,MATCH($A444,Areas!$B$2:$B$6,0)),"")</f>
        <v>Rest of Building</v>
      </c>
      <c r="J444" s="0" t="n">
        <f aca="false">IF(IF($B444="Trash",INDEX('Materials Master'!$F$2:$F$27,MATCH($C444,'Materials Master'!$A$2:$A$27,0)),IF($B444="GMPC Recycling",INDEX('Materials Master'!$G$2:$G$27,MATCH($C444,'Materials Master'!$A$2:$A$27,0)),IF($B444="Organics Recycling",INDEX('Materials Master'!$H$2:$H$27,MATCH($C444,'Materials Master'!$A$2:$A$27,0)),IF($B444="Cardboard Recycling",INDEX('Materials Master'!$I$2:$I$27,MATCH($C444,'Materials Master'!$A$2:$A$27,0)),IF($B444="Paper Recycling",INDEX('Materials Master'!$J$2:$J$27,MATCH($C444,'Materials Master'!$A$2:$A$27,0)),IF($B444="Terracycle",INDEX('Materials Master'!$K$2:$K$27,MATCH($C444,'Materials Master'!$A$2:$A$27,0)),"No"))))))="Yes",1,0)</f>
        <v>0</v>
      </c>
    </row>
    <row r="445" customFormat="false" ht="15" hidden="false" customHeight="false" outlineLevel="0" collapsed="false">
      <c r="A445" s="0" t="s">
        <v>97</v>
      </c>
      <c r="B445" s="0" t="s">
        <v>108</v>
      </c>
      <c r="C445" s="0" t="s">
        <v>31</v>
      </c>
      <c r="D445" s="0" t="str">
        <f aca="false">IFERROR(INDEX('Materials Master'!$B$2:$B$27,MATCH($C445,'Materials Master'!$A$2:$A$27,0)),"")</f>
        <v>Soiled Cardboard</v>
      </c>
      <c r="E445" s="0" t="str">
        <f aca="false">IFERROR(INDEX('Materials Master'!$C$2:$C$27,MATCH($C445,'Materials Master'!$A$2:$A$27,0)),"")</f>
        <v>Fibers</v>
      </c>
      <c r="F445" s="0" t="n">
        <f aca="false">(SUMIFS(Fact_PreSortWeights!$E$2:$E$15,Fact_PreSortWeights!$C$2:$C$15,$A445,Fact_PreSortWeights!$B$2:$B$15,$B445,Fact_PreSortWeights!$F$2:$F$15,$C445))+(SUMIFS(Fact_SortedWeights!$E$2:$E$6,Fact_SortedWeights!$C$2:$C$6,$A445,Fact_SortedWeights!$B$2:$B$6,$B445,Fact_SortedWeights!$D$2:$D$6,$C445,Fact_SortedWeights!$L$2:$L$6,"Yes"))+IF((SUMIFS(Fact_SortedWeights!$E$2:$E$6,Fact_SortedWeights!$C$2:$C$6,$A445,Fact_SortedWeights!$B$2:$B$6,$B445,Fact_SortedWeights!$L$2:$L$6,"No"))=0,0,(SUMIFS(Fact_SortedWeights!$E$2:$E$6,Fact_SortedWeights!$C$2:$C$6,$A445,Fact_SortedWeights!$B$2:$B$6,$B445,Fact_SortedWeights!$D$2:$D$6,$C445,Fact_SortedWeights!$L$2:$L$6,"No"))/(SUMIFS(Fact_SortedWeights!$E$2:$E$6,Fact_SortedWeights!$C$2:$C$6,$A445,Fact_SortedWeights!$B$2:$B$6,$B445,Fact_SortedWeights!$L$2:$L$6,"No"))*((SUMIFS(Fact_PreSortWeights!$E$2:$E$15,Fact_PreSortWeights!$C$2:$C$15,$A445,Fact_PreSortWeights!$B$2:$B$15,$B445,Fact_PreSortWeights!$F$2:$F$15,""))-(SUMIFS(Fact_SortedWeights!$E$2:$E$6,Fact_SortedWeights!$C$2:$C$6,$A445,Fact_SortedWeights!$B$2:$B$6,$B445,Fact_SortedWeights!$L$2:$L$6,"Yes"))))</f>
        <v>0</v>
      </c>
      <c r="G445" s="0" t="n">
        <f aca="false">IF(AND(IF($B445="Trash",INDEX('Materials Master'!$F$2:$F$27,MATCH($C445,'Materials Master'!$A$2:$A$27,0)),IF($B445="GMPC Recycling",INDEX('Materials Master'!$G$2:$G$27,MATCH($C445,'Materials Master'!$A$2:$A$27,0)),IF($B445="Organics Recycling",INDEX('Materials Master'!$H$2:$H$27,MATCH($C445,'Materials Master'!$A$2:$A$27,0)),IF($B445="Cardboard Recycling",INDEX('Materials Master'!$I$2:$I$27,MATCH($C445,'Materials Master'!$A$2:$A$27,0)),IF($B445="Paper Recycling",INDEX('Materials Master'!$J$2:$J$27,MATCH($C445,'Materials Master'!$A$2:$A$27,0)),IF($B445="Terracycle",INDEX('Materials Master'!$K$2:$K$27,MATCH($C445,'Materials Master'!$A$2:$A$27,0)),"No"))))))="Yes",INDEX('Materials Master'!$E$2:$E$27,MATCH($C445,'Materials Master'!$A$2:$A$27,0))="Yes",$B445&lt;&gt;"Trash"),1,0)</f>
        <v>0</v>
      </c>
      <c r="H445" s="0" t="str">
        <f aca="false">INDEX('Materials Master'!$E$2:$E$27,MATCH($C445,'Materials Master'!$A$2:$A$27,0))</f>
        <v>No</v>
      </c>
      <c r="I445" s="0" t="str">
        <f aca="false">IFERROR(INDEX(Areas!$C$2:$C$6,MATCH($A445,Areas!$B$2:$B$6,0)),"")</f>
        <v>Rest of Building</v>
      </c>
      <c r="J445" s="0" t="n">
        <f aca="false">IF(IF($B445="Trash",INDEX('Materials Master'!$F$2:$F$27,MATCH($C445,'Materials Master'!$A$2:$A$27,0)),IF($B445="GMPC Recycling",INDEX('Materials Master'!$G$2:$G$27,MATCH($C445,'Materials Master'!$A$2:$A$27,0)),IF($B445="Organics Recycling",INDEX('Materials Master'!$H$2:$H$27,MATCH($C445,'Materials Master'!$A$2:$A$27,0)),IF($B445="Cardboard Recycling",INDEX('Materials Master'!$I$2:$I$27,MATCH($C445,'Materials Master'!$A$2:$A$27,0)),IF($B445="Paper Recycling",INDEX('Materials Master'!$J$2:$J$27,MATCH($C445,'Materials Master'!$A$2:$A$27,0)),IF($B445="Terracycle",INDEX('Materials Master'!$K$2:$K$27,MATCH($C445,'Materials Master'!$A$2:$A$27,0)),"No"))))))="Yes",1,0)</f>
        <v>0</v>
      </c>
    </row>
    <row r="446" customFormat="false" ht="15" hidden="false" customHeight="false" outlineLevel="0" collapsed="false">
      <c r="A446" s="0" t="s">
        <v>97</v>
      </c>
      <c r="B446" s="0" t="s">
        <v>108</v>
      </c>
      <c r="C446" s="0" t="s">
        <v>33</v>
      </c>
      <c r="D446" s="0" t="str">
        <f aca="false">IFERROR(INDEX('Materials Master'!$B$2:$B$27,MATCH($C446,'Materials Master'!$A$2:$A$27,0)),"")</f>
        <v>Waxed Cardboard</v>
      </c>
      <c r="E446" s="0" t="str">
        <f aca="false">IFERROR(INDEX('Materials Master'!$C$2:$C$27,MATCH($C446,'Materials Master'!$A$2:$A$27,0)),"")</f>
        <v>Fibers</v>
      </c>
      <c r="F446" s="0" t="n">
        <f aca="false">(SUMIFS(Fact_PreSortWeights!$E$2:$E$15,Fact_PreSortWeights!$C$2:$C$15,$A446,Fact_PreSortWeights!$B$2:$B$15,$B446,Fact_PreSortWeights!$F$2:$F$15,$C446))+(SUMIFS(Fact_SortedWeights!$E$2:$E$6,Fact_SortedWeights!$C$2:$C$6,$A446,Fact_SortedWeights!$B$2:$B$6,$B446,Fact_SortedWeights!$D$2:$D$6,$C446,Fact_SortedWeights!$L$2:$L$6,"Yes"))+IF((SUMIFS(Fact_SortedWeights!$E$2:$E$6,Fact_SortedWeights!$C$2:$C$6,$A446,Fact_SortedWeights!$B$2:$B$6,$B446,Fact_SortedWeights!$L$2:$L$6,"No"))=0,0,(SUMIFS(Fact_SortedWeights!$E$2:$E$6,Fact_SortedWeights!$C$2:$C$6,$A446,Fact_SortedWeights!$B$2:$B$6,$B446,Fact_SortedWeights!$D$2:$D$6,$C446,Fact_SortedWeights!$L$2:$L$6,"No"))/(SUMIFS(Fact_SortedWeights!$E$2:$E$6,Fact_SortedWeights!$C$2:$C$6,$A446,Fact_SortedWeights!$B$2:$B$6,$B446,Fact_SortedWeights!$L$2:$L$6,"No"))*((SUMIFS(Fact_PreSortWeights!$E$2:$E$15,Fact_PreSortWeights!$C$2:$C$15,$A446,Fact_PreSortWeights!$B$2:$B$15,$B446,Fact_PreSortWeights!$F$2:$F$15,""))-(SUMIFS(Fact_SortedWeights!$E$2:$E$6,Fact_SortedWeights!$C$2:$C$6,$A446,Fact_SortedWeights!$B$2:$B$6,$B446,Fact_SortedWeights!$L$2:$L$6,"Yes"))))</f>
        <v>0</v>
      </c>
      <c r="G446" s="0" t="n">
        <f aca="false">IF(AND(IF($B446="Trash",INDEX('Materials Master'!$F$2:$F$27,MATCH($C446,'Materials Master'!$A$2:$A$27,0)),IF($B446="GMPC Recycling",INDEX('Materials Master'!$G$2:$G$27,MATCH($C446,'Materials Master'!$A$2:$A$27,0)),IF($B446="Organics Recycling",INDEX('Materials Master'!$H$2:$H$27,MATCH($C446,'Materials Master'!$A$2:$A$27,0)),IF($B446="Cardboard Recycling",INDEX('Materials Master'!$I$2:$I$27,MATCH($C446,'Materials Master'!$A$2:$A$27,0)),IF($B446="Paper Recycling",INDEX('Materials Master'!$J$2:$J$27,MATCH($C446,'Materials Master'!$A$2:$A$27,0)),IF($B446="Terracycle",INDEX('Materials Master'!$K$2:$K$27,MATCH($C446,'Materials Master'!$A$2:$A$27,0)),"No"))))))="Yes",INDEX('Materials Master'!$E$2:$E$27,MATCH($C446,'Materials Master'!$A$2:$A$27,0))="Yes",$B446&lt;&gt;"Trash"),1,0)</f>
        <v>0</v>
      </c>
      <c r="H446" s="0" t="str">
        <f aca="false">INDEX('Materials Master'!$E$2:$E$27,MATCH($C446,'Materials Master'!$A$2:$A$27,0))</f>
        <v>No</v>
      </c>
      <c r="I446" s="0" t="str">
        <f aca="false">IFERROR(INDEX(Areas!$C$2:$C$6,MATCH($A446,Areas!$B$2:$B$6,0)),"")</f>
        <v>Rest of Building</v>
      </c>
      <c r="J446" s="0" t="n">
        <f aca="false">IF(IF($B446="Trash",INDEX('Materials Master'!$F$2:$F$27,MATCH($C446,'Materials Master'!$A$2:$A$27,0)),IF($B446="GMPC Recycling",INDEX('Materials Master'!$G$2:$G$27,MATCH($C446,'Materials Master'!$A$2:$A$27,0)),IF($B446="Organics Recycling",INDEX('Materials Master'!$H$2:$H$27,MATCH($C446,'Materials Master'!$A$2:$A$27,0)),IF($B446="Cardboard Recycling",INDEX('Materials Master'!$I$2:$I$27,MATCH($C446,'Materials Master'!$A$2:$A$27,0)),IF($B446="Paper Recycling",INDEX('Materials Master'!$J$2:$J$27,MATCH($C446,'Materials Master'!$A$2:$A$27,0)),IF($B446="Terracycle",INDEX('Materials Master'!$K$2:$K$27,MATCH($C446,'Materials Master'!$A$2:$A$27,0)),"No"))))))="Yes",1,0)</f>
        <v>0</v>
      </c>
    </row>
    <row r="447" customFormat="false" ht="15" hidden="false" customHeight="false" outlineLevel="0" collapsed="false">
      <c r="A447" s="0" t="s">
        <v>97</v>
      </c>
      <c r="B447" s="0" t="s">
        <v>108</v>
      </c>
      <c r="C447" s="0" t="s">
        <v>35</v>
      </c>
      <c r="D447" s="0" t="str">
        <f aca="false">IFERROR(INDEX('Materials Master'!$B$2:$B$27,MATCH($C447,'Materials Master'!$A$2:$A$27,0)),"")</f>
        <v>Mixed Paper</v>
      </c>
      <c r="E447" s="0" t="str">
        <f aca="false">IFERROR(INDEX('Materials Master'!$C$2:$C$27,MATCH($C447,'Materials Master'!$A$2:$A$27,0)),"")</f>
        <v>Fibers</v>
      </c>
      <c r="F447" s="0" t="n">
        <f aca="false">(SUMIFS(Fact_PreSortWeights!$E$2:$E$15,Fact_PreSortWeights!$C$2:$C$15,$A447,Fact_PreSortWeights!$B$2:$B$15,$B447,Fact_PreSortWeights!$F$2:$F$15,$C447))+(SUMIFS(Fact_SortedWeights!$E$2:$E$6,Fact_SortedWeights!$C$2:$C$6,$A447,Fact_SortedWeights!$B$2:$B$6,$B447,Fact_SortedWeights!$D$2:$D$6,$C447,Fact_SortedWeights!$L$2:$L$6,"Yes"))+IF((SUMIFS(Fact_SortedWeights!$E$2:$E$6,Fact_SortedWeights!$C$2:$C$6,$A447,Fact_SortedWeights!$B$2:$B$6,$B447,Fact_SortedWeights!$L$2:$L$6,"No"))=0,0,(SUMIFS(Fact_SortedWeights!$E$2:$E$6,Fact_SortedWeights!$C$2:$C$6,$A447,Fact_SortedWeights!$B$2:$B$6,$B447,Fact_SortedWeights!$D$2:$D$6,$C447,Fact_SortedWeights!$L$2:$L$6,"No"))/(SUMIFS(Fact_SortedWeights!$E$2:$E$6,Fact_SortedWeights!$C$2:$C$6,$A447,Fact_SortedWeights!$B$2:$B$6,$B447,Fact_SortedWeights!$L$2:$L$6,"No"))*((SUMIFS(Fact_PreSortWeights!$E$2:$E$15,Fact_PreSortWeights!$C$2:$C$15,$A447,Fact_PreSortWeights!$B$2:$B$15,$B447,Fact_PreSortWeights!$F$2:$F$15,""))-(SUMIFS(Fact_SortedWeights!$E$2:$E$6,Fact_SortedWeights!$C$2:$C$6,$A447,Fact_SortedWeights!$B$2:$B$6,$B447,Fact_SortedWeights!$L$2:$L$6,"Yes"))))</f>
        <v>0</v>
      </c>
      <c r="G447" s="0" t="n">
        <f aca="false">IF(AND(IF($B447="Trash",INDEX('Materials Master'!$F$2:$F$27,MATCH($C447,'Materials Master'!$A$2:$A$27,0)),IF($B447="GMPC Recycling",INDEX('Materials Master'!$G$2:$G$27,MATCH($C447,'Materials Master'!$A$2:$A$27,0)),IF($B447="Organics Recycling",INDEX('Materials Master'!$H$2:$H$27,MATCH($C447,'Materials Master'!$A$2:$A$27,0)),IF($B447="Cardboard Recycling",INDEX('Materials Master'!$I$2:$I$27,MATCH($C447,'Materials Master'!$A$2:$A$27,0)),IF($B447="Paper Recycling",INDEX('Materials Master'!$J$2:$J$27,MATCH($C447,'Materials Master'!$A$2:$A$27,0)),IF($B447="Terracycle",INDEX('Materials Master'!$K$2:$K$27,MATCH($C447,'Materials Master'!$A$2:$A$27,0)),"No"))))))="Yes",INDEX('Materials Master'!$E$2:$E$27,MATCH($C447,'Materials Master'!$A$2:$A$27,0))="Yes",$B447&lt;&gt;"Trash"),1,0)</f>
        <v>0</v>
      </c>
      <c r="H447" s="0" t="str">
        <f aca="false">INDEX('Materials Master'!$E$2:$E$27,MATCH($C447,'Materials Master'!$A$2:$A$27,0))</f>
        <v>Yes</v>
      </c>
      <c r="I447" s="0" t="str">
        <f aca="false">IFERROR(INDEX(Areas!$C$2:$C$6,MATCH($A447,Areas!$B$2:$B$6,0)),"")</f>
        <v>Rest of Building</v>
      </c>
      <c r="J447" s="0" t="n">
        <f aca="false">IF(IF($B447="Trash",INDEX('Materials Master'!$F$2:$F$27,MATCH($C447,'Materials Master'!$A$2:$A$27,0)),IF($B447="GMPC Recycling",INDEX('Materials Master'!$G$2:$G$27,MATCH($C447,'Materials Master'!$A$2:$A$27,0)),IF($B447="Organics Recycling",INDEX('Materials Master'!$H$2:$H$27,MATCH($C447,'Materials Master'!$A$2:$A$27,0)),IF($B447="Cardboard Recycling",INDEX('Materials Master'!$I$2:$I$27,MATCH($C447,'Materials Master'!$A$2:$A$27,0)),IF($B447="Paper Recycling",INDEX('Materials Master'!$J$2:$J$27,MATCH($C447,'Materials Master'!$A$2:$A$27,0)),IF($B447="Terracycle",INDEX('Materials Master'!$K$2:$K$27,MATCH($C447,'Materials Master'!$A$2:$A$27,0)),"No"))))))="Yes",1,0)</f>
        <v>0</v>
      </c>
    </row>
    <row r="448" customFormat="false" ht="15" hidden="false" customHeight="false" outlineLevel="0" collapsed="false">
      <c r="A448" s="0" t="s">
        <v>97</v>
      </c>
      <c r="B448" s="0" t="s">
        <v>108</v>
      </c>
      <c r="C448" s="0" t="s">
        <v>37</v>
      </c>
      <c r="D448" s="0" t="str">
        <f aca="false">IFERROR(INDEX('Materials Master'!$B$2:$B$27,MATCH($C448,'Materials Master'!$A$2:$A$27,0)),"")</f>
        <v>Soiled Paper</v>
      </c>
      <c r="E448" s="0" t="str">
        <f aca="false">IFERROR(INDEX('Materials Master'!$C$2:$C$27,MATCH($C448,'Materials Master'!$A$2:$A$27,0)),"")</f>
        <v>Fibers</v>
      </c>
      <c r="F448" s="0" t="n">
        <f aca="false">(SUMIFS(Fact_PreSortWeights!$E$2:$E$15,Fact_PreSortWeights!$C$2:$C$15,$A448,Fact_PreSortWeights!$B$2:$B$15,$B448,Fact_PreSortWeights!$F$2:$F$15,$C448))+(SUMIFS(Fact_SortedWeights!$E$2:$E$6,Fact_SortedWeights!$C$2:$C$6,$A448,Fact_SortedWeights!$B$2:$B$6,$B448,Fact_SortedWeights!$D$2:$D$6,$C448,Fact_SortedWeights!$L$2:$L$6,"Yes"))+IF((SUMIFS(Fact_SortedWeights!$E$2:$E$6,Fact_SortedWeights!$C$2:$C$6,$A448,Fact_SortedWeights!$B$2:$B$6,$B448,Fact_SortedWeights!$L$2:$L$6,"No"))=0,0,(SUMIFS(Fact_SortedWeights!$E$2:$E$6,Fact_SortedWeights!$C$2:$C$6,$A448,Fact_SortedWeights!$B$2:$B$6,$B448,Fact_SortedWeights!$D$2:$D$6,$C448,Fact_SortedWeights!$L$2:$L$6,"No"))/(SUMIFS(Fact_SortedWeights!$E$2:$E$6,Fact_SortedWeights!$C$2:$C$6,$A448,Fact_SortedWeights!$B$2:$B$6,$B448,Fact_SortedWeights!$L$2:$L$6,"No"))*((SUMIFS(Fact_PreSortWeights!$E$2:$E$15,Fact_PreSortWeights!$C$2:$C$15,$A448,Fact_PreSortWeights!$B$2:$B$15,$B448,Fact_PreSortWeights!$F$2:$F$15,""))-(SUMIFS(Fact_SortedWeights!$E$2:$E$6,Fact_SortedWeights!$C$2:$C$6,$A448,Fact_SortedWeights!$B$2:$B$6,$B448,Fact_SortedWeights!$L$2:$L$6,"Yes"))))</f>
        <v>0</v>
      </c>
      <c r="G448" s="0" t="n">
        <f aca="false">IF(AND(IF($B448="Trash",INDEX('Materials Master'!$F$2:$F$27,MATCH($C448,'Materials Master'!$A$2:$A$27,0)),IF($B448="GMPC Recycling",INDEX('Materials Master'!$G$2:$G$27,MATCH($C448,'Materials Master'!$A$2:$A$27,0)),IF($B448="Organics Recycling",INDEX('Materials Master'!$H$2:$H$27,MATCH($C448,'Materials Master'!$A$2:$A$27,0)),IF($B448="Cardboard Recycling",INDEX('Materials Master'!$I$2:$I$27,MATCH($C448,'Materials Master'!$A$2:$A$27,0)),IF($B448="Paper Recycling",INDEX('Materials Master'!$J$2:$J$27,MATCH($C448,'Materials Master'!$A$2:$A$27,0)),IF($B448="Terracycle",INDEX('Materials Master'!$K$2:$K$27,MATCH($C448,'Materials Master'!$A$2:$A$27,0)),"No"))))))="Yes",INDEX('Materials Master'!$E$2:$E$27,MATCH($C448,'Materials Master'!$A$2:$A$27,0))="Yes",$B448&lt;&gt;"Trash"),1,0)</f>
        <v>0</v>
      </c>
      <c r="H448" s="0" t="str">
        <f aca="false">INDEX('Materials Master'!$E$2:$E$27,MATCH($C448,'Materials Master'!$A$2:$A$27,0))</f>
        <v>No</v>
      </c>
      <c r="I448" s="0" t="str">
        <f aca="false">IFERROR(INDEX(Areas!$C$2:$C$6,MATCH($A448,Areas!$B$2:$B$6,0)),"")</f>
        <v>Rest of Building</v>
      </c>
      <c r="J448" s="0" t="n">
        <f aca="false">IF(IF($B448="Trash",INDEX('Materials Master'!$F$2:$F$27,MATCH($C448,'Materials Master'!$A$2:$A$27,0)),IF($B448="GMPC Recycling",INDEX('Materials Master'!$G$2:$G$27,MATCH($C448,'Materials Master'!$A$2:$A$27,0)),IF($B448="Organics Recycling",INDEX('Materials Master'!$H$2:$H$27,MATCH($C448,'Materials Master'!$A$2:$A$27,0)),IF($B448="Cardboard Recycling",INDEX('Materials Master'!$I$2:$I$27,MATCH($C448,'Materials Master'!$A$2:$A$27,0)),IF($B448="Paper Recycling",INDEX('Materials Master'!$J$2:$J$27,MATCH($C448,'Materials Master'!$A$2:$A$27,0)),IF($B448="Terracycle",INDEX('Materials Master'!$K$2:$K$27,MATCH($C448,'Materials Master'!$A$2:$A$27,0)),"No"))))))="Yes",1,0)</f>
        <v>0</v>
      </c>
    </row>
    <row r="449" customFormat="false" ht="15" hidden="false" customHeight="false" outlineLevel="0" collapsed="false">
      <c r="A449" s="0" t="s">
        <v>97</v>
      </c>
      <c r="B449" s="0" t="s">
        <v>108</v>
      </c>
      <c r="C449" s="0" t="s">
        <v>39</v>
      </c>
      <c r="D449" s="0" t="str">
        <f aca="false">IFERROR(INDEX('Materials Master'!$B$2:$B$27,MATCH($C449,'Materials Master'!$A$2:$A$27,0)),"")</f>
        <v>Beverage Cartons</v>
      </c>
      <c r="E449" s="0" t="str">
        <f aca="false">IFERROR(INDEX('Materials Master'!$C$2:$C$27,MATCH($C449,'Materials Master'!$A$2:$A$27,0)),"")</f>
        <v>Fibers</v>
      </c>
      <c r="F449" s="0" t="n">
        <f aca="false">(SUMIFS(Fact_PreSortWeights!$E$2:$E$15,Fact_PreSortWeights!$C$2:$C$15,$A449,Fact_PreSortWeights!$B$2:$B$15,$B449,Fact_PreSortWeights!$F$2:$F$15,$C449))+(SUMIFS(Fact_SortedWeights!$E$2:$E$6,Fact_SortedWeights!$C$2:$C$6,$A449,Fact_SortedWeights!$B$2:$B$6,$B449,Fact_SortedWeights!$D$2:$D$6,$C449,Fact_SortedWeights!$L$2:$L$6,"Yes"))+IF((SUMIFS(Fact_SortedWeights!$E$2:$E$6,Fact_SortedWeights!$C$2:$C$6,$A449,Fact_SortedWeights!$B$2:$B$6,$B449,Fact_SortedWeights!$L$2:$L$6,"No"))=0,0,(SUMIFS(Fact_SortedWeights!$E$2:$E$6,Fact_SortedWeights!$C$2:$C$6,$A449,Fact_SortedWeights!$B$2:$B$6,$B449,Fact_SortedWeights!$D$2:$D$6,$C449,Fact_SortedWeights!$L$2:$L$6,"No"))/(SUMIFS(Fact_SortedWeights!$E$2:$E$6,Fact_SortedWeights!$C$2:$C$6,$A449,Fact_SortedWeights!$B$2:$B$6,$B449,Fact_SortedWeights!$L$2:$L$6,"No"))*((SUMIFS(Fact_PreSortWeights!$E$2:$E$15,Fact_PreSortWeights!$C$2:$C$15,$A449,Fact_PreSortWeights!$B$2:$B$15,$B449,Fact_PreSortWeights!$F$2:$F$15,""))-(SUMIFS(Fact_SortedWeights!$E$2:$E$6,Fact_SortedWeights!$C$2:$C$6,$A449,Fact_SortedWeights!$B$2:$B$6,$B449,Fact_SortedWeights!$L$2:$L$6,"Yes"))))</f>
        <v>0</v>
      </c>
      <c r="G449" s="0" t="n">
        <f aca="false">IF(AND(IF($B449="Trash",INDEX('Materials Master'!$F$2:$F$27,MATCH($C449,'Materials Master'!$A$2:$A$27,0)),IF($B449="GMPC Recycling",INDEX('Materials Master'!$G$2:$G$27,MATCH($C449,'Materials Master'!$A$2:$A$27,0)),IF($B449="Organics Recycling",INDEX('Materials Master'!$H$2:$H$27,MATCH($C449,'Materials Master'!$A$2:$A$27,0)),IF($B449="Cardboard Recycling",INDEX('Materials Master'!$I$2:$I$27,MATCH($C449,'Materials Master'!$A$2:$A$27,0)),IF($B449="Paper Recycling",INDEX('Materials Master'!$J$2:$J$27,MATCH($C449,'Materials Master'!$A$2:$A$27,0)),IF($B449="Terracycle",INDEX('Materials Master'!$K$2:$K$27,MATCH($C449,'Materials Master'!$A$2:$A$27,0)),"No"))))))="Yes",INDEX('Materials Master'!$E$2:$E$27,MATCH($C449,'Materials Master'!$A$2:$A$27,0))="Yes",$B449&lt;&gt;"Trash"),1,0)</f>
        <v>0</v>
      </c>
      <c r="H449" s="0" t="str">
        <f aca="false">INDEX('Materials Master'!$E$2:$E$27,MATCH($C449,'Materials Master'!$A$2:$A$27,0))</f>
        <v>Yes</v>
      </c>
      <c r="I449" s="0" t="str">
        <f aca="false">IFERROR(INDEX(Areas!$C$2:$C$6,MATCH($A449,Areas!$B$2:$B$6,0)),"")</f>
        <v>Rest of Building</v>
      </c>
      <c r="J449" s="0" t="n">
        <f aca="false">IF(IF($B449="Trash",INDEX('Materials Master'!$F$2:$F$27,MATCH($C449,'Materials Master'!$A$2:$A$27,0)),IF($B449="GMPC Recycling",INDEX('Materials Master'!$G$2:$G$27,MATCH($C449,'Materials Master'!$A$2:$A$27,0)),IF($B449="Organics Recycling",INDEX('Materials Master'!$H$2:$H$27,MATCH($C449,'Materials Master'!$A$2:$A$27,0)),IF($B449="Cardboard Recycling",INDEX('Materials Master'!$I$2:$I$27,MATCH($C449,'Materials Master'!$A$2:$A$27,0)),IF($B449="Paper Recycling",INDEX('Materials Master'!$J$2:$J$27,MATCH($C449,'Materials Master'!$A$2:$A$27,0)),IF($B449="Terracycle",INDEX('Materials Master'!$K$2:$K$27,MATCH($C449,'Materials Master'!$A$2:$A$27,0)),"No"))))))="Yes",1,0)</f>
        <v>0</v>
      </c>
    </row>
    <row r="450" customFormat="false" ht="15" hidden="false" customHeight="false" outlineLevel="0" collapsed="false">
      <c r="A450" s="0" t="s">
        <v>97</v>
      </c>
      <c r="B450" s="0" t="s">
        <v>108</v>
      </c>
      <c r="C450" s="0" t="s">
        <v>41</v>
      </c>
      <c r="D450" s="0" t="str">
        <f aca="false">IFERROR(INDEX('Materials Master'!$B$2:$B$27,MATCH($C450,'Materials Master'!$A$2:$A$27,0)),"")</f>
        <v>Soiled Beverage Cartons</v>
      </c>
      <c r="E450" s="0" t="str">
        <f aca="false">IFERROR(INDEX('Materials Master'!$C$2:$C$27,MATCH($C450,'Materials Master'!$A$2:$A$27,0)),"")</f>
        <v>Fibers</v>
      </c>
      <c r="F450" s="0" t="n">
        <f aca="false">(SUMIFS(Fact_PreSortWeights!$E$2:$E$15,Fact_PreSortWeights!$C$2:$C$15,$A450,Fact_PreSortWeights!$B$2:$B$15,$B450,Fact_PreSortWeights!$F$2:$F$15,$C450))+(SUMIFS(Fact_SortedWeights!$E$2:$E$6,Fact_SortedWeights!$C$2:$C$6,$A450,Fact_SortedWeights!$B$2:$B$6,$B450,Fact_SortedWeights!$D$2:$D$6,$C450,Fact_SortedWeights!$L$2:$L$6,"Yes"))+IF((SUMIFS(Fact_SortedWeights!$E$2:$E$6,Fact_SortedWeights!$C$2:$C$6,$A450,Fact_SortedWeights!$B$2:$B$6,$B450,Fact_SortedWeights!$L$2:$L$6,"No"))=0,0,(SUMIFS(Fact_SortedWeights!$E$2:$E$6,Fact_SortedWeights!$C$2:$C$6,$A450,Fact_SortedWeights!$B$2:$B$6,$B450,Fact_SortedWeights!$D$2:$D$6,$C450,Fact_SortedWeights!$L$2:$L$6,"No"))/(SUMIFS(Fact_SortedWeights!$E$2:$E$6,Fact_SortedWeights!$C$2:$C$6,$A450,Fact_SortedWeights!$B$2:$B$6,$B450,Fact_SortedWeights!$L$2:$L$6,"No"))*((SUMIFS(Fact_PreSortWeights!$E$2:$E$15,Fact_PreSortWeights!$C$2:$C$15,$A450,Fact_PreSortWeights!$B$2:$B$15,$B450,Fact_PreSortWeights!$F$2:$F$15,""))-(SUMIFS(Fact_SortedWeights!$E$2:$E$6,Fact_SortedWeights!$C$2:$C$6,$A450,Fact_SortedWeights!$B$2:$B$6,$B450,Fact_SortedWeights!$L$2:$L$6,"Yes"))))</f>
        <v>0</v>
      </c>
      <c r="G450" s="0" t="n">
        <f aca="false">IF(AND(IF($B450="Trash",INDEX('Materials Master'!$F$2:$F$27,MATCH($C450,'Materials Master'!$A$2:$A$27,0)),IF($B450="GMPC Recycling",INDEX('Materials Master'!$G$2:$G$27,MATCH($C450,'Materials Master'!$A$2:$A$27,0)),IF($B450="Organics Recycling",INDEX('Materials Master'!$H$2:$H$27,MATCH($C450,'Materials Master'!$A$2:$A$27,0)),IF($B450="Cardboard Recycling",INDEX('Materials Master'!$I$2:$I$27,MATCH($C450,'Materials Master'!$A$2:$A$27,0)),IF($B450="Paper Recycling",INDEX('Materials Master'!$J$2:$J$27,MATCH($C450,'Materials Master'!$A$2:$A$27,0)),IF($B450="Terracycle",INDEX('Materials Master'!$K$2:$K$27,MATCH($C450,'Materials Master'!$A$2:$A$27,0)),"No"))))))="Yes",INDEX('Materials Master'!$E$2:$E$27,MATCH($C450,'Materials Master'!$A$2:$A$27,0))="Yes",$B450&lt;&gt;"Trash"),1,0)</f>
        <v>0</v>
      </c>
      <c r="H450" s="0" t="str">
        <f aca="false">INDEX('Materials Master'!$E$2:$E$27,MATCH($C450,'Materials Master'!$A$2:$A$27,0))</f>
        <v>No</v>
      </c>
      <c r="I450" s="0" t="str">
        <f aca="false">IFERROR(INDEX(Areas!$C$2:$C$6,MATCH($A450,Areas!$B$2:$B$6,0)),"")</f>
        <v>Rest of Building</v>
      </c>
      <c r="J450" s="0" t="n">
        <f aca="false">IF(IF($B450="Trash",INDEX('Materials Master'!$F$2:$F$27,MATCH($C450,'Materials Master'!$A$2:$A$27,0)),IF($B450="GMPC Recycling",INDEX('Materials Master'!$G$2:$G$27,MATCH($C450,'Materials Master'!$A$2:$A$27,0)),IF($B450="Organics Recycling",INDEX('Materials Master'!$H$2:$H$27,MATCH($C450,'Materials Master'!$A$2:$A$27,0)),IF($B450="Cardboard Recycling",INDEX('Materials Master'!$I$2:$I$27,MATCH($C450,'Materials Master'!$A$2:$A$27,0)),IF($B450="Paper Recycling",INDEX('Materials Master'!$J$2:$J$27,MATCH($C450,'Materials Master'!$A$2:$A$27,0)),IF($B450="Terracycle",INDEX('Materials Master'!$K$2:$K$27,MATCH($C450,'Materials Master'!$A$2:$A$27,0)),"No"))))))="Yes",1,0)</f>
        <v>0</v>
      </c>
    </row>
    <row r="451" customFormat="false" ht="15" hidden="false" customHeight="false" outlineLevel="0" collapsed="false">
      <c r="A451" s="0" t="s">
        <v>97</v>
      </c>
      <c r="B451" s="0" t="s">
        <v>108</v>
      </c>
      <c r="C451" s="0" t="s">
        <v>43</v>
      </c>
      <c r="D451" s="0" t="str">
        <f aca="false">IFERROR(INDEX('Materials Master'!$B$2:$B$27,MATCH($C451,'Materials Master'!$A$2:$A$27,0)),"")</f>
        <v>Paper Cups / Other Coated Paper Containers</v>
      </c>
      <c r="E451" s="0" t="str">
        <f aca="false">IFERROR(INDEX('Materials Master'!$C$2:$C$27,MATCH($C451,'Materials Master'!$A$2:$A$27,0)),"")</f>
        <v>Fibers</v>
      </c>
      <c r="F451" s="0" t="n">
        <f aca="false">(SUMIFS(Fact_PreSortWeights!$E$2:$E$15,Fact_PreSortWeights!$C$2:$C$15,$A451,Fact_PreSortWeights!$B$2:$B$15,$B451,Fact_PreSortWeights!$F$2:$F$15,$C451))+(SUMIFS(Fact_SortedWeights!$E$2:$E$6,Fact_SortedWeights!$C$2:$C$6,$A451,Fact_SortedWeights!$B$2:$B$6,$B451,Fact_SortedWeights!$D$2:$D$6,$C451,Fact_SortedWeights!$L$2:$L$6,"Yes"))+IF((SUMIFS(Fact_SortedWeights!$E$2:$E$6,Fact_SortedWeights!$C$2:$C$6,$A451,Fact_SortedWeights!$B$2:$B$6,$B451,Fact_SortedWeights!$L$2:$L$6,"No"))=0,0,(SUMIFS(Fact_SortedWeights!$E$2:$E$6,Fact_SortedWeights!$C$2:$C$6,$A451,Fact_SortedWeights!$B$2:$B$6,$B451,Fact_SortedWeights!$D$2:$D$6,$C451,Fact_SortedWeights!$L$2:$L$6,"No"))/(SUMIFS(Fact_SortedWeights!$E$2:$E$6,Fact_SortedWeights!$C$2:$C$6,$A451,Fact_SortedWeights!$B$2:$B$6,$B451,Fact_SortedWeights!$L$2:$L$6,"No"))*((SUMIFS(Fact_PreSortWeights!$E$2:$E$15,Fact_PreSortWeights!$C$2:$C$15,$A451,Fact_PreSortWeights!$B$2:$B$15,$B451,Fact_PreSortWeights!$F$2:$F$15,""))-(SUMIFS(Fact_SortedWeights!$E$2:$E$6,Fact_SortedWeights!$C$2:$C$6,$A451,Fact_SortedWeights!$B$2:$B$6,$B451,Fact_SortedWeights!$L$2:$L$6,"Yes"))))</f>
        <v>0</v>
      </c>
      <c r="G451" s="0" t="n">
        <f aca="false">IF(AND(IF($B451="Trash",INDEX('Materials Master'!$F$2:$F$27,MATCH($C451,'Materials Master'!$A$2:$A$27,0)),IF($B451="GMPC Recycling",INDEX('Materials Master'!$G$2:$G$27,MATCH($C451,'Materials Master'!$A$2:$A$27,0)),IF($B451="Organics Recycling",INDEX('Materials Master'!$H$2:$H$27,MATCH($C451,'Materials Master'!$A$2:$A$27,0)),IF($B451="Cardboard Recycling",INDEX('Materials Master'!$I$2:$I$27,MATCH($C451,'Materials Master'!$A$2:$A$27,0)),IF($B451="Paper Recycling",INDEX('Materials Master'!$J$2:$J$27,MATCH($C451,'Materials Master'!$A$2:$A$27,0)),IF($B451="Terracycle",INDEX('Materials Master'!$K$2:$K$27,MATCH($C451,'Materials Master'!$A$2:$A$27,0)),"No"))))))="Yes",INDEX('Materials Master'!$E$2:$E$27,MATCH($C451,'Materials Master'!$A$2:$A$27,0))="Yes",$B451&lt;&gt;"Trash"),1,0)</f>
        <v>0</v>
      </c>
      <c r="H451" s="0" t="str">
        <f aca="false">INDEX('Materials Master'!$E$2:$E$27,MATCH($C451,'Materials Master'!$A$2:$A$27,0))</f>
        <v>No</v>
      </c>
      <c r="I451" s="0" t="str">
        <f aca="false">IFERROR(INDEX(Areas!$C$2:$C$6,MATCH($A451,Areas!$B$2:$B$6,0)),"")</f>
        <v>Rest of Building</v>
      </c>
      <c r="J451" s="0" t="n">
        <f aca="false">IF(IF($B451="Trash",INDEX('Materials Master'!$F$2:$F$27,MATCH($C451,'Materials Master'!$A$2:$A$27,0)),IF($B451="GMPC Recycling",INDEX('Materials Master'!$G$2:$G$27,MATCH($C451,'Materials Master'!$A$2:$A$27,0)),IF($B451="Organics Recycling",INDEX('Materials Master'!$H$2:$H$27,MATCH($C451,'Materials Master'!$A$2:$A$27,0)),IF($B451="Cardboard Recycling",INDEX('Materials Master'!$I$2:$I$27,MATCH($C451,'Materials Master'!$A$2:$A$27,0)),IF($B451="Paper Recycling",INDEX('Materials Master'!$J$2:$J$27,MATCH($C451,'Materials Master'!$A$2:$A$27,0)),IF($B451="Terracycle",INDEX('Materials Master'!$K$2:$K$27,MATCH($C451,'Materials Master'!$A$2:$A$27,0)),"No"))))))="Yes",1,0)</f>
        <v>0</v>
      </c>
    </row>
    <row r="452" customFormat="false" ht="15" hidden="false" customHeight="false" outlineLevel="0" collapsed="false">
      <c r="A452" s="0" t="s">
        <v>97</v>
      </c>
      <c r="B452" s="0" t="s">
        <v>108</v>
      </c>
      <c r="C452" s="0" t="s">
        <v>45</v>
      </c>
      <c r="D452" s="0" t="str">
        <f aca="false">IFERROR(INDEX('Materials Master'!$B$2:$B$27,MATCH($C452,'Materials Master'!$A$2:$A$27,0)),"")</f>
        <v>Glass Bottles &amp; Jars</v>
      </c>
      <c r="E452" s="0" t="str">
        <f aca="false">IFERROR(INDEX('Materials Master'!$C$2:$C$27,MATCH($C452,'Materials Master'!$A$2:$A$27,0)),"")</f>
        <v>Glass</v>
      </c>
      <c r="F452" s="0" t="n">
        <f aca="false">(SUMIFS(Fact_PreSortWeights!$E$2:$E$15,Fact_PreSortWeights!$C$2:$C$15,$A452,Fact_PreSortWeights!$B$2:$B$15,$B452,Fact_PreSortWeights!$F$2:$F$15,$C452))+(SUMIFS(Fact_SortedWeights!$E$2:$E$6,Fact_SortedWeights!$C$2:$C$6,$A452,Fact_SortedWeights!$B$2:$B$6,$B452,Fact_SortedWeights!$D$2:$D$6,$C452,Fact_SortedWeights!$L$2:$L$6,"Yes"))+IF((SUMIFS(Fact_SortedWeights!$E$2:$E$6,Fact_SortedWeights!$C$2:$C$6,$A452,Fact_SortedWeights!$B$2:$B$6,$B452,Fact_SortedWeights!$L$2:$L$6,"No"))=0,0,(SUMIFS(Fact_SortedWeights!$E$2:$E$6,Fact_SortedWeights!$C$2:$C$6,$A452,Fact_SortedWeights!$B$2:$B$6,$B452,Fact_SortedWeights!$D$2:$D$6,$C452,Fact_SortedWeights!$L$2:$L$6,"No"))/(SUMIFS(Fact_SortedWeights!$E$2:$E$6,Fact_SortedWeights!$C$2:$C$6,$A452,Fact_SortedWeights!$B$2:$B$6,$B452,Fact_SortedWeights!$L$2:$L$6,"No"))*((SUMIFS(Fact_PreSortWeights!$E$2:$E$15,Fact_PreSortWeights!$C$2:$C$15,$A452,Fact_PreSortWeights!$B$2:$B$15,$B452,Fact_PreSortWeights!$F$2:$F$15,""))-(SUMIFS(Fact_SortedWeights!$E$2:$E$6,Fact_SortedWeights!$C$2:$C$6,$A452,Fact_SortedWeights!$B$2:$B$6,$B452,Fact_SortedWeights!$L$2:$L$6,"Yes"))))</f>
        <v>0</v>
      </c>
      <c r="G452" s="0" t="n">
        <f aca="false">IF(AND(IF($B452="Trash",INDEX('Materials Master'!$F$2:$F$27,MATCH($C452,'Materials Master'!$A$2:$A$27,0)),IF($B452="GMPC Recycling",INDEX('Materials Master'!$G$2:$G$27,MATCH($C452,'Materials Master'!$A$2:$A$27,0)),IF($B452="Organics Recycling",INDEX('Materials Master'!$H$2:$H$27,MATCH($C452,'Materials Master'!$A$2:$A$27,0)),IF($B452="Cardboard Recycling",INDEX('Materials Master'!$I$2:$I$27,MATCH($C452,'Materials Master'!$A$2:$A$27,0)),IF($B452="Paper Recycling",INDEX('Materials Master'!$J$2:$J$27,MATCH($C452,'Materials Master'!$A$2:$A$27,0)),IF($B452="Terracycle",INDEX('Materials Master'!$K$2:$K$27,MATCH($C452,'Materials Master'!$A$2:$A$27,0)),"No"))))))="Yes",INDEX('Materials Master'!$E$2:$E$27,MATCH($C452,'Materials Master'!$A$2:$A$27,0))="Yes",$B452&lt;&gt;"Trash"),1,0)</f>
        <v>0</v>
      </c>
      <c r="H452" s="0" t="str">
        <f aca="false">INDEX('Materials Master'!$E$2:$E$27,MATCH($C452,'Materials Master'!$A$2:$A$27,0))</f>
        <v>Yes</v>
      </c>
      <c r="I452" s="0" t="str">
        <f aca="false">IFERROR(INDEX(Areas!$C$2:$C$6,MATCH($A452,Areas!$B$2:$B$6,0)),"")</f>
        <v>Rest of Building</v>
      </c>
      <c r="J452" s="0" t="n">
        <f aca="false">IF(IF($B452="Trash",INDEX('Materials Master'!$F$2:$F$27,MATCH($C452,'Materials Master'!$A$2:$A$27,0)),IF($B452="GMPC Recycling",INDEX('Materials Master'!$G$2:$G$27,MATCH($C452,'Materials Master'!$A$2:$A$27,0)),IF($B452="Organics Recycling",INDEX('Materials Master'!$H$2:$H$27,MATCH($C452,'Materials Master'!$A$2:$A$27,0)),IF($B452="Cardboard Recycling",INDEX('Materials Master'!$I$2:$I$27,MATCH($C452,'Materials Master'!$A$2:$A$27,0)),IF($B452="Paper Recycling",INDEX('Materials Master'!$J$2:$J$27,MATCH($C452,'Materials Master'!$A$2:$A$27,0)),IF($B452="Terracycle",INDEX('Materials Master'!$K$2:$K$27,MATCH($C452,'Materials Master'!$A$2:$A$27,0)),"No"))))))="Yes",1,0)</f>
        <v>0</v>
      </c>
    </row>
    <row r="453" customFormat="false" ht="15" hidden="false" customHeight="false" outlineLevel="0" collapsed="false">
      <c r="A453" s="0" t="s">
        <v>97</v>
      </c>
      <c r="B453" s="0" t="s">
        <v>108</v>
      </c>
      <c r="C453" s="0" t="s">
        <v>48</v>
      </c>
      <c r="D453" s="0" t="str">
        <f aca="false">IFERROR(INDEX('Materials Master'!$B$2:$B$27,MATCH($C453,'Materials Master'!$A$2:$A$27,0)),"")</f>
        <v>Soiled Glass</v>
      </c>
      <c r="E453" s="0" t="str">
        <f aca="false">IFERROR(INDEX('Materials Master'!$C$2:$C$27,MATCH($C453,'Materials Master'!$A$2:$A$27,0)),"")</f>
        <v>Glass</v>
      </c>
      <c r="F453" s="0" t="n">
        <f aca="false">(SUMIFS(Fact_PreSortWeights!$E$2:$E$15,Fact_PreSortWeights!$C$2:$C$15,$A453,Fact_PreSortWeights!$B$2:$B$15,$B453,Fact_PreSortWeights!$F$2:$F$15,$C453))+(SUMIFS(Fact_SortedWeights!$E$2:$E$6,Fact_SortedWeights!$C$2:$C$6,$A453,Fact_SortedWeights!$B$2:$B$6,$B453,Fact_SortedWeights!$D$2:$D$6,$C453,Fact_SortedWeights!$L$2:$L$6,"Yes"))+IF((SUMIFS(Fact_SortedWeights!$E$2:$E$6,Fact_SortedWeights!$C$2:$C$6,$A453,Fact_SortedWeights!$B$2:$B$6,$B453,Fact_SortedWeights!$L$2:$L$6,"No"))=0,0,(SUMIFS(Fact_SortedWeights!$E$2:$E$6,Fact_SortedWeights!$C$2:$C$6,$A453,Fact_SortedWeights!$B$2:$B$6,$B453,Fact_SortedWeights!$D$2:$D$6,$C453,Fact_SortedWeights!$L$2:$L$6,"No"))/(SUMIFS(Fact_SortedWeights!$E$2:$E$6,Fact_SortedWeights!$C$2:$C$6,$A453,Fact_SortedWeights!$B$2:$B$6,$B453,Fact_SortedWeights!$L$2:$L$6,"No"))*((SUMIFS(Fact_PreSortWeights!$E$2:$E$15,Fact_PreSortWeights!$C$2:$C$15,$A453,Fact_PreSortWeights!$B$2:$B$15,$B453,Fact_PreSortWeights!$F$2:$F$15,""))-(SUMIFS(Fact_SortedWeights!$E$2:$E$6,Fact_SortedWeights!$C$2:$C$6,$A453,Fact_SortedWeights!$B$2:$B$6,$B453,Fact_SortedWeights!$L$2:$L$6,"Yes"))))</f>
        <v>0</v>
      </c>
      <c r="G453" s="0" t="n">
        <f aca="false">IF(AND(IF($B453="Trash",INDEX('Materials Master'!$F$2:$F$27,MATCH($C453,'Materials Master'!$A$2:$A$27,0)),IF($B453="GMPC Recycling",INDEX('Materials Master'!$G$2:$G$27,MATCH($C453,'Materials Master'!$A$2:$A$27,0)),IF($B453="Organics Recycling",INDEX('Materials Master'!$H$2:$H$27,MATCH($C453,'Materials Master'!$A$2:$A$27,0)),IF($B453="Cardboard Recycling",INDEX('Materials Master'!$I$2:$I$27,MATCH($C453,'Materials Master'!$A$2:$A$27,0)),IF($B453="Paper Recycling",INDEX('Materials Master'!$J$2:$J$27,MATCH($C453,'Materials Master'!$A$2:$A$27,0)),IF($B453="Terracycle",INDEX('Materials Master'!$K$2:$K$27,MATCH($C453,'Materials Master'!$A$2:$A$27,0)),"No"))))))="Yes",INDEX('Materials Master'!$E$2:$E$27,MATCH($C453,'Materials Master'!$A$2:$A$27,0))="Yes",$B453&lt;&gt;"Trash"),1,0)</f>
        <v>0</v>
      </c>
      <c r="H453" s="0" t="str">
        <f aca="false">INDEX('Materials Master'!$E$2:$E$27,MATCH($C453,'Materials Master'!$A$2:$A$27,0))</f>
        <v>No</v>
      </c>
      <c r="I453" s="0" t="str">
        <f aca="false">IFERROR(INDEX(Areas!$C$2:$C$6,MATCH($A453,Areas!$B$2:$B$6,0)),"")</f>
        <v>Rest of Building</v>
      </c>
      <c r="J453" s="0" t="n">
        <f aca="false">IF(IF($B453="Trash",INDEX('Materials Master'!$F$2:$F$27,MATCH($C453,'Materials Master'!$A$2:$A$27,0)),IF($B453="GMPC Recycling",INDEX('Materials Master'!$G$2:$G$27,MATCH($C453,'Materials Master'!$A$2:$A$27,0)),IF($B453="Organics Recycling",INDEX('Materials Master'!$H$2:$H$27,MATCH($C453,'Materials Master'!$A$2:$A$27,0)),IF($B453="Cardboard Recycling",INDEX('Materials Master'!$I$2:$I$27,MATCH($C453,'Materials Master'!$A$2:$A$27,0)),IF($B453="Paper Recycling",INDEX('Materials Master'!$J$2:$J$27,MATCH($C453,'Materials Master'!$A$2:$A$27,0)),IF($B453="Terracycle",INDEX('Materials Master'!$K$2:$K$27,MATCH($C453,'Materials Master'!$A$2:$A$27,0)),"No"))))))="Yes",1,0)</f>
        <v>0</v>
      </c>
    </row>
    <row r="454" customFormat="false" ht="15" hidden="false" customHeight="false" outlineLevel="0" collapsed="false">
      <c r="A454" s="0" t="s">
        <v>97</v>
      </c>
      <c r="B454" s="0" t="s">
        <v>108</v>
      </c>
      <c r="C454" s="0" t="s">
        <v>50</v>
      </c>
      <c r="D454" s="0" t="str">
        <f aca="false">IFERROR(INDEX('Materials Master'!$B$2:$B$27,MATCH($C454,'Materials Master'!$A$2:$A$27,0)),"")</f>
        <v>Aluminum &amp; Bi-Metal Containers</v>
      </c>
      <c r="E454" s="0" t="str">
        <f aca="false">IFERROR(INDEX('Materials Master'!$C$2:$C$27,MATCH($C454,'Materials Master'!$A$2:$A$27,0)),"")</f>
        <v>Metals</v>
      </c>
      <c r="F454" s="0" t="n">
        <f aca="false">(SUMIFS(Fact_PreSortWeights!$E$2:$E$15,Fact_PreSortWeights!$C$2:$C$15,$A454,Fact_PreSortWeights!$B$2:$B$15,$B454,Fact_PreSortWeights!$F$2:$F$15,$C454))+(SUMIFS(Fact_SortedWeights!$E$2:$E$6,Fact_SortedWeights!$C$2:$C$6,$A454,Fact_SortedWeights!$B$2:$B$6,$B454,Fact_SortedWeights!$D$2:$D$6,$C454,Fact_SortedWeights!$L$2:$L$6,"Yes"))+IF((SUMIFS(Fact_SortedWeights!$E$2:$E$6,Fact_SortedWeights!$C$2:$C$6,$A454,Fact_SortedWeights!$B$2:$B$6,$B454,Fact_SortedWeights!$L$2:$L$6,"No"))=0,0,(SUMIFS(Fact_SortedWeights!$E$2:$E$6,Fact_SortedWeights!$C$2:$C$6,$A454,Fact_SortedWeights!$B$2:$B$6,$B454,Fact_SortedWeights!$D$2:$D$6,$C454,Fact_SortedWeights!$L$2:$L$6,"No"))/(SUMIFS(Fact_SortedWeights!$E$2:$E$6,Fact_SortedWeights!$C$2:$C$6,$A454,Fact_SortedWeights!$B$2:$B$6,$B454,Fact_SortedWeights!$L$2:$L$6,"No"))*((SUMIFS(Fact_PreSortWeights!$E$2:$E$15,Fact_PreSortWeights!$C$2:$C$15,$A454,Fact_PreSortWeights!$B$2:$B$15,$B454,Fact_PreSortWeights!$F$2:$F$15,""))-(SUMIFS(Fact_SortedWeights!$E$2:$E$6,Fact_SortedWeights!$C$2:$C$6,$A454,Fact_SortedWeights!$B$2:$B$6,$B454,Fact_SortedWeights!$L$2:$L$6,"Yes"))))</f>
        <v>0</v>
      </c>
      <c r="G454" s="0" t="n">
        <f aca="false">IF(AND(IF($B454="Trash",INDEX('Materials Master'!$F$2:$F$27,MATCH($C454,'Materials Master'!$A$2:$A$27,0)),IF($B454="GMPC Recycling",INDEX('Materials Master'!$G$2:$G$27,MATCH($C454,'Materials Master'!$A$2:$A$27,0)),IF($B454="Organics Recycling",INDEX('Materials Master'!$H$2:$H$27,MATCH($C454,'Materials Master'!$A$2:$A$27,0)),IF($B454="Cardboard Recycling",INDEX('Materials Master'!$I$2:$I$27,MATCH($C454,'Materials Master'!$A$2:$A$27,0)),IF($B454="Paper Recycling",INDEX('Materials Master'!$J$2:$J$27,MATCH($C454,'Materials Master'!$A$2:$A$27,0)),IF($B454="Terracycle",INDEX('Materials Master'!$K$2:$K$27,MATCH($C454,'Materials Master'!$A$2:$A$27,0)),"No"))))))="Yes",INDEX('Materials Master'!$E$2:$E$27,MATCH($C454,'Materials Master'!$A$2:$A$27,0))="Yes",$B454&lt;&gt;"Trash"),1,0)</f>
        <v>0</v>
      </c>
      <c r="H454" s="0" t="str">
        <f aca="false">INDEX('Materials Master'!$E$2:$E$27,MATCH($C454,'Materials Master'!$A$2:$A$27,0))</f>
        <v>Yes</v>
      </c>
      <c r="I454" s="0" t="str">
        <f aca="false">IFERROR(INDEX(Areas!$C$2:$C$6,MATCH($A454,Areas!$B$2:$B$6,0)),"")</f>
        <v>Rest of Building</v>
      </c>
      <c r="J454" s="0" t="n">
        <f aca="false">IF(IF($B454="Trash",INDEX('Materials Master'!$F$2:$F$27,MATCH($C454,'Materials Master'!$A$2:$A$27,0)),IF($B454="GMPC Recycling",INDEX('Materials Master'!$G$2:$G$27,MATCH($C454,'Materials Master'!$A$2:$A$27,0)),IF($B454="Organics Recycling",INDEX('Materials Master'!$H$2:$H$27,MATCH($C454,'Materials Master'!$A$2:$A$27,0)),IF($B454="Cardboard Recycling",INDEX('Materials Master'!$I$2:$I$27,MATCH($C454,'Materials Master'!$A$2:$A$27,0)),IF($B454="Paper Recycling",INDEX('Materials Master'!$J$2:$J$27,MATCH($C454,'Materials Master'!$A$2:$A$27,0)),IF($B454="Terracycle",INDEX('Materials Master'!$K$2:$K$27,MATCH($C454,'Materials Master'!$A$2:$A$27,0)),"No"))))))="Yes",1,0)</f>
        <v>0</v>
      </c>
    </row>
    <row r="455" customFormat="false" ht="15" hidden="false" customHeight="false" outlineLevel="0" collapsed="false">
      <c r="A455" s="0" t="s">
        <v>97</v>
      </c>
      <c r="B455" s="0" t="s">
        <v>108</v>
      </c>
      <c r="C455" s="0" t="s">
        <v>53</v>
      </c>
      <c r="D455" s="0" t="str">
        <f aca="false">IFERROR(INDEX('Materials Master'!$B$2:$B$27,MATCH($C455,'Materials Master'!$A$2:$A$27,0)),"")</f>
        <v>Soiled Metals</v>
      </c>
      <c r="E455" s="0" t="str">
        <f aca="false">IFERROR(INDEX('Materials Master'!$C$2:$C$27,MATCH($C455,'Materials Master'!$A$2:$A$27,0)),"")</f>
        <v>Metals</v>
      </c>
      <c r="F455" s="0" t="n">
        <f aca="false">(SUMIFS(Fact_PreSortWeights!$E$2:$E$15,Fact_PreSortWeights!$C$2:$C$15,$A455,Fact_PreSortWeights!$B$2:$B$15,$B455,Fact_PreSortWeights!$F$2:$F$15,$C455))+(SUMIFS(Fact_SortedWeights!$E$2:$E$6,Fact_SortedWeights!$C$2:$C$6,$A455,Fact_SortedWeights!$B$2:$B$6,$B455,Fact_SortedWeights!$D$2:$D$6,$C455,Fact_SortedWeights!$L$2:$L$6,"Yes"))+IF((SUMIFS(Fact_SortedWeights!$E$2:$E$6,Fact_SortedWeights!$C$2:$C$6,$A455,Fact_SortedWeights!$B$2:$B$6,$B455,Fact_SortedWeights!$L$2:$L$6,"No"))=0,0,(SUMIFS(Fact_SortedWeights!$E$2:$E$6,Fact_SortedWeights!$C$2:$C$6,$A455,Fact_SortedWeights!$B$2:$B$6,$B455,Fact_SortedWeights!$D$2:$D$6,$C455,Fact_SortedWeights!$L$2:$L$6,"No"))/(SUMIFS(Fact_SortedWeights!$E$2:$E$6,Fact_SortedWeights!$C$2:$C$6,$A455,Fact_SortedWeights!$B$2:$B$6,$B455,Fact_SortedWeights!$L$2:$L$6,"No"))*((SUMIFS(Fact_PreSortWeights!$E$2:$E$15,Fact_PreSortWeights!$C$2:$C$15,$A455,Fact_PreSortWeights!$B$2:$B$15,$B455,Fact_PreSortWeights!$F$2:$F$15,""))-(SUMIFS(Fact_SortedWeights!$E$2:$E$6,Fact_SortedWeights!$C$2:$C$6,$A455,Fact_SortedWeights!$B$2:$B$6,$B455,Fact_SortedWeights!$L$2:$L$6,"Yes"))))</f>
        <v>0</v>
      </c>
      <c r="G455" s="0" t="n">
        <f aca="false">IF(AND(IF($B455="Trash",INDEX('Materials Master'!$F$2:$F$27,MATCH($C455,'Materials Master'!$A$2:$A$27,0)),IF($B455="GMPC Recycling",INDEX('Materials Master'!$G$2:$G$27,MATCH($C455,'Materials Master'!$A$2:$A$27,0)),IF($B455="Organics Recycling",INDEX('Materials Master'!$H$2:$H$27,MATCH($C455,'Materials Master'!$A$2:$A$27,0)),IF($B455="Cardboard Recycling",INDEX('Materials Master'!$I$2:$I$27,MATCH($C455,'Materials Master'!$A$2:$A$27,0)),IF($B455="Paper Recycling",INDEX('Materials Master'!$J$2:$J$27,MATCH($C455,'Materials Master'!$A$2:$A$27,0)),IF($B455="Terracycle",INDEX('Materials Master'!$K$2:$K$27,MATCH($C455,'Materials Master'!$A$2:$A$27,0)),"No"))))))="Yes",INDEX('Materials Master'!$E$2:$E$27,MATCH($C455,'Materials Master'!$A$2:$A$27,0))="Yes",$B455&lt;&gt;"Trash"),1,0)</f>
        <v>0</v>
      </c>
      <c r="H455" s="0" t="str">
        <f aca="false">INDEX('Materials Master'!$E$2:$E$27,MATCH($C455,'Materials Master'!$A$2:$A$27,0))</f>
        <v>No</v>
      </c>
      <c r="I455" s="0" t="str">
        <f aca="false">IFERROR(INDEX(Areas!$C$2:$C$6,MATCH($A455,Areas!$B$2:$B$6,0)),"")</f>
        <v>Rest of Building</v>
      </c>
      <c r="J455" s="0" t="n">
        <f aca="false">IF(IF($B455="Trash",INDEX('Materials Master'!$F$2:$F$27,MATCH($C455,'Materials Master'!$A$2:$A$27,0)),IF($B455="GMPC Recycling",INDEX('Materials Master'!$G$2:$G$27,MATCH($C455,'Materials Master'!$A$2:$A$27,0)),IF($B455="Organics Recycling",INDEX('Materials Master'!$H$2:$H$27,MATCH($C455,'Materials Master'!$A$2:$A$27,0)),IF($B455="Cardboard Recycling",INDEX('Materials Master'!$I$2:$I$27,MATCH($C455,'Materials Master'!$A$2:$A$27,0)),IF($B455="Paper Recycling",INDEX('Materials Master'!$J$2:$J$27,MATCH($C455,'Materials Master'!$A$2:$A$27,0)),IF($B455="Terracycle",INDEX('Materials Master'!$K$2:$K$27,MATCH($C455,'Materials Master'!$A$2:$A$27,0)),"No"))))))="Yes",1,0)</f>
        <v>0</v>
      </c>
    </row>
    <row r="456" customFormat="false" ht="15" hidden="false" customHeight="false" outlineLevel="0" collapsed="false">
      <c r="A456" s="0" t="s">
        <v>97</v>
      </c>
      <c r="B456" s="0" t="s">
        <v>108</v>
      </c>
      <c r="C456" s="0" t="s">
        <v>55</v>
      </c>
      <c r="D456" s="0" t="str">
        <f aca="false">IFERROR(INDEX('Materials Master'!$B$2:$B$27,MATCH($C456,'Materials Master'!$A$2:$A$27,0)),"")</f>
        <v>Rigid Plastics (1-6)</v>
      </c>
      <c r="E456" s="0" t="str">
        <f aca="false">IFERROR(INDEX('Materials Master'!$C$2:$C$27,MATCH($C456,'Materials Master'!$A$2:$A$27,0)),"")</f>
        <v>Plastics</v>
      </c>
      <c r="F456" s="0" t="n">
        <f aca="false">(SUMIFS(Fact_PreSortWeights!$E$2:$E$15,Fact_PreSortWeights!$C$2:$C$15,$A456,Fact_PreSortWeights!$B$2:$B$15,$B456,Fact_PreSortWeights!$F$2:$F$15,$C456))+(SUMIFS(Fact_SortedWeights!$E$2:$E$6,Fact_SortedWeights!$C$2:$C$6,$A456,Fact_SortedWeights!$B$2:$B$6,$B456,Fact_SortedWeights!$D$2:$D$6,$C456,Fact_SortedWeights!$L$2:$L$6,"Yes"))+IF((SUMIFS(Fact_SortedWeights!$E$2:$E$6,Fact_SortedWeights!$C$2:$C$6,$A456,Fact_SortedWeights!$B$2:$B$6,$B456,Fact_SortedWeights!$L$2:$L$6,"No"))=0,0,(SUMIFS(Fact_SortedWeights!$E$2:$E$6,Fact_SortedWeights!$C$2:$C$6,$A456,Fact_SortedWeights!$B$2:$B$6,$B456,Fact_SortedWeights!$D$2:$D$6,$C456,Fact_SortedWeights!$L$2:$L$6,"No"))/(SUMIFS(Fact_SortedWeights!$E$2:$E$6,Fact_SortedWeights!$C$2:$C$6,$A456,Fact_SortedWeights!$B$2:$B$6,$B456,Fact_SortedWeights!$L$2:$L$6,"No"))*((SUMIFS(Fact_PreSortWeights!$E$2:$E$15,Fact_PreSortWeights!$C$2:$C$15,$A456,Fact_PreSortWeights!$B$2:$B$15,$B456,Fact_PreSortWeights!$F$2:$F$15,""))-(SUMIFS(Fact_SortedWeights!$E$2:$E$6,Fact_SortedWeights!$C$2:$C$6,$A456,Fact_SortedWeights!$B$2:$B$6,$B456,Fact_SortedWeights!$L$2:$L$6,"Yes"))))</f>
        <v>0</v>
      </c>
      <c r="G456" s="0" t="n">
        <f aca="false">IF(AND(IF($B456="Trash",INDEX('Materials Master'!$F$2:$F$27,MATCH($C456,'Materials Master'!$A$2:$A$27,0)),IF($B456="GMPC Recycling",INDEX('Materials Master'!$G$2:$G$27,MATCH($C456,'Materials Master'!$A$2:$A$27,0)),IF($B456="Organics Recycling",INDEX('Materials Master'!$H$2:$H$27,MATCH($C456,'Materials Master'!$A$2:$A$27,0)),IF($B456="Cardboard Recycling",INDEX('Materials Master'!$I$2:$I$27,MATCH($C456,'Materials Master'!$A$2:$A$27,0)),IF($B456="Paper Recycling",INDEX('Materials Master'!$J$2:$J$27,MATCH($C456,'Materials Master'!$A$2:$A$27,0)),IF($B456="Terracycle",INDEX('Materials Master'!$K$2:$K$27,MATCH($C456,'Materials Master'!$A$2:$A$27,0)),"No"))))))="Yes",INDEX('Materials Master'!$E$2:$E$27,MATCH($C456,'Materials Master'!$A$2:$A$27,0))="Yes",$B456&lt;&gt;"Trash"),1,0)</f>
        <v>0</v>
      </c>
      <c r="H456" s="0" t="str">
        <f aca="false">INDEX('Materials Master'!$E$2:$E$27,MATCH($C456,'Materials Master'!$A$2:$A$27,0))</f>
        <v>Yes</v>
      </c>
      <c r="I456" s="0" t="str">
        <f aca="false">IFERROR(INDEX(Areas!$C$2:$C$6,MATCH($A456,Areas!$B$2:$B$6,0)),"")</f>
        <v>Rest of Building</v>
      </c>
      <c r="J456" s="0" t="n">
        <f aca="false">IF(IF($B456="Trash",INDEX('Materials Master'!$F$2:$F$27,MATCH($C456,'Materials Master'!$A$2:$A$27,0)),IF($B456="GMPC Recycling",INDEX('Materials Master'!$G$2:$G$27,MATCH($C456,'Materials Master'!$A$2:$A$27,0)),IF($B456="Organics Recycling",INDEX('Materials Master'!$H$2:$H$27,MATCH($C456,'Materials Master'!$A$2:$A$27,0)),IF($B456="Cardboard Recycling",INDEX('Materials Master'!$I$2:$I$27,MATCH($C456,'Materials Master'!$A$2:$A$27,0)),IF($B456="Paper Recycling",INDEX('Materials Master'!$J$2:$J$27,MATCH($C456,'Materials Master'!$A$2:$A$27,0)),IF($B456="Terracycle",INDEX('Materials Master'!$K$2:$K$27,MATCH($C456,'Materials Master'!$A$2:$A$27,0)),"No"))))))="Yes",1,0)</f>
        <v>0</v>
      </c>
    </row>
    <row r="457" customFormat="false" ht="15" hidden="false" customHeight="false" outlineLevel="0" collapsed="false">
      <c r="A457" s="0" t="s">
        <v>97</v>
      </c>
      <c r="B457" s="0" t="s">
        <v>108</v>
      </c>
      <c r="C457" s="0" t="s">
        <v>58</v>
      </c>
      <c r="D457" s="0" t="str">
        <f aca="false">IFERROR(INDEX('Materials Master'!$B$2:$B$27,MATCH($C457,'Materials Master'!$A$2:$A$27,0)),"")</f>
        <v>Soiled Rigid Plastics</v>
      </c>
      <c r="E457" s="0" t="str">
        <f aca="false">IFERROR(INDEX('Materials Master'!$C$2:$C$27,MATCH($C457,'Materials Master'!$A$2:$A$27,0)),"")</f>
        <v>Plastics</v>
      </c>
      <c r="F457" s="0" t="n">
        <f aca="false">(SUMIFS(Fact_PreSortWeights!$E$2:$E$15,Fact_PreSortWeights!$C$2:$C$15,$A457,Fact_PreSortWeights!$B$2:$B$15,$B457,Fact_PreSortWeights!$F$2:$F$15,$C457))+(SUMIFS(Fact_SortedWeights!$E$2:$E$6,Fact_SortedWeights!$C$2:$C$6,$A457,Fact_SortedWeights!$B$2:$B$6,$B457,Fact_SortedWeights!$D$2:$D$6,$C457,Fact_SortedWeights!$L$2:$L$6,"Yes"))+IF((SUMIFS(Fact_SortedWeights!$E$2:$E$6,Fact_SortedWeights!$C$2:$C$6,$A457,Fact_SortedWeights!$B$2:$B$6,$B457,Fact_SortedWeights!$L$2:$L$6,"No"))=0,0,(SUMIFS(Fact_SortedWeights!$E$2:$E$6,Fact_SortedWeights!$C$2:$C$6,$A457,Fact_SortedWeights!$B$2:$B$6,$B457,Fact_SortedWeights!$D$2:$D$6,$C457,Fact_SortedWeights!$L$2:$L$6,"No"))/(SUMIFS(Fact_SortedWeights!$E$2:$E$6,Fact_SortedWeights!$C$2:$C$6,$A457,Fact_SortedWeights!$B$2:$B$6,$B457,Fact_SortedWeights!$L$2:$L$6,"No"))*((SUMIFS(Fact_PreSortWeights!$E$2:$E$15,Fact_PreSortWeights!$C$2:$C$15,$A457,Fact_PreSortWeights!$B$2:$B$15,$B457,Fact_PreSortWeights!$F$2:$F$15,""))-(SUMIFS(Fact_SortedWeights!$E$2:$E$6,Fact_SortedWeights!$C$2:$C$6,$A457,Fact_SortedWeights!$B$2:$B$6,$B457,Fact_SortedWeights!$L$2:$L$6,"Yes"))))</f>
        <v>0</v>
      </c>
      <c r="G457" s="0" t="n">
        <f aca="false">IF(AND(IF($B457="Trash",INDEX('Materials Master'!$F$2:$F$27,MATCH($C457,'Materials Master'!$A$2:$A$27,0)),IF($B457="GMPC Recycling",INDEX('Materials Master'!$G$2:$G$27,MATCH($C457,'Materials Master'!$A$2:$A$27,0)),IF($B457="Organics Recycling",INDEX('Materials Master'!$H$2:$H$27,MATCH($C457,'Materials Master'!$A$2:$A$27,0)),IF($B457="Cardboard Recycling",INDEX('Materials Master'!$I$2:$I$27,MATCH($C457,'Materials Master'!$A$2:$A$27,0)),IF($B457="Paper Recycling",INDEX('Materials Master'!$J$2:$J$27,MATCH($C457,'Materials Master'!$A$2:$A$27,0)),IF($B457="Terracycle",INDEX('Materials Master'!$K$2:$K$27,MATCH($C457,'Materials Master'!$A$2:$A$27,0)),"No"))))))="Yes",INDEX('Materials Master'!$E$2:$E$27,MATCH($C457,'Materials Master'!$A$2:$A$27,0))="Yes",$B457&lt;&gt;"Trash"),1,0)</f>
        <v>0</v>
      </c>
      <c r="H457" s="0" t="str">
        <f aca="false">INDEX('Materials Master'!$E$2:$E$27,MATCH($C457,'Materials Master'!$A$2:$A$27,0))</f>
        <v>No</v>
      </c>
      <c r="I457" s="0" t="str">
        <f aca="false">IFERROR(INDEX(Areas!$C$2:$C$6,MATCH($A457,Areas!$B$2:$B$6,0)),"")</f>
        <v>Rest of Building</v>
      </c>
      <c r="J457" s="0" t="n">
        <f aca="false">IF(IF($B457="Trash",INDEX('Materials Master'!$F$2:$F$27,MATCH($C457,'Materials Master'!$A$2:$A$27,0)),IF($B457="GMPC Recycling",INDEX('Materials Master'!$G$2:$G$27,MATCH($C457,'Materials Master'!$A$2:$A$27,0)),IF($B457="Organics Recycling",INDEX('Materials Master'!$H$2:$H$27,MATCH($C457,'Materials Master'!$A$2:$A$27,0)),IF($B457="Cardboard Recycling",INDEX('Materials Master'!$I$2:$I$27,MATCH($C457,'Materials Master'!$A$2:$A$27,0)),IF($B457="Paper Recycling",INDEX('Materials Master'!$J$2:$J$27,MATCH($C457,'Materials Master'!$A$2:$A$27,0)),IF($B457="Terracycle",INDEX('Materials Master'!$K$2:$K$27,MATCH($C457,'Materials Master'!$A$2:$A$27,0)),"No"))))))="Yes",1,0)</f>
        <v>0</v>
      </c>
    </row>
    <row r="458" customFormat="false" ht="15" hidden="false" customHeight="false" outlineLevel="0" collapsed="false">
      <c r="A458" s="0" t="s">
        <v>97</v>
      </c>
      <c r="B458" s="0" t="s">
        <v>108</v>
      </c>
      <c r="C458" s="0" t="s">
        <v>60</v>
      </c>
      <c r="D458" s="0" t="str">
        <f aca="false">IFERROR(INDEX('Materials Master'!$B$2:$B$27,MATCH($C458,'Materials Master'!$A$2:$A$27,0)),"")</f>
        <v>Film Plastics</v>
      </c>
      <c r="E458" s="0" t="str">
        <f aca="false">IFERROR(INDEX('Materials Master'!$C$2:$C$27,MATCH($C458,'Materials Master'!$A$2:$A$27,0)),"")</f>
        <v>Plastics</v>
      </c>
      <c r="F458" s="0" t="n">
        <f aca="false">(SUMIFS(Fact_PreSortWeights!$E$2:$E$15,Fact_PreSortWeights!$C$2:$C$15,$A458,Fact_PreSortWeights!$B$2:$B$15,$B458,Fact_PreSortWeights!$F$2:$F$15,$C458))+(SUMIFS(Fact_SortedWeights!$E$2:$E$6,Fact_SortedWeights!$C$2:$C$6,$A458,Fact_SortedWeights!$B$2:$B$6,$B458,Fact_SortedWeights!$D$2:$D$6,$C458,Fact_SortedWeights!$L$2:$L$6,"Yes"))+IF((SUMIFS(Fact_SortedWeights!$E$2:$E$6,Fact_SortedWeights!$C$2:$C$6,$A458,Fact_SortedWeights!$B$2:$B$6,$B458,Fact_SortedWeights!$L$2:$L$6,"No"))=0,0,(SUMIFS(Fact_SortedWeights!$E$2:$E$6,Fact_SortedWeights!$C$2:$C$6,$A458,Fact_SortedWeights!$B$2:$B$6,$B458,Fact_SortedWeights!$D$2:$D$6,$C458,Fact_SortedWeights!$L$2:$L$6,"No"))/(SUMIFS(Fact_SortedWeights!$E$2:$E$6,Fact_SortedWeights!$C$2:$C$6,$A458,Fact_SortedWeights!$B$2:$B$6,$B458,Fact_SortedWeights!$L$2:$L$6,"No"))*((SUMIFS(Fact_PreSortWeights!$E$2:$E$15,Fact_PreSortWeights!$C$2:$C$15,$A458,Fact_PreSortWeights!$B$2:$B$15,$B458,Fact_PreSortWeights!$F$2:$F$15,""))-(SUMIFS(Fact_SortedWeights!$E$2:$E$6,Fact_SortedWeights!$C$2:$C$6,$A458,Fact_SortedWeights!$B$2:$B$6,$B458,Fact_SortedWeights!$L$2:$L$6,"Yes"))))</f>
        <v>0</v>
      </c>
      <c r="G458" s="0" t="n">
        <f aca="false">IF(AND(IF($B458="Trash",INDEX('Materials Master'!$F$2:$F$27,MATCH($C458,'Materials Master'!$A$2:$A$27,0)),IF($B458="GMPC Recycling",INDEX('Materials Master'!$G$2:$G$27,MATCH($C458,'Materials Master'!$A$2:$A$27,0)),IF($B458="Organics Recycling",INDEX('Materials Master'!$H$2:$H$27,MATCH($C458,'Materials Master'!$A$2:$A$27,0)),IF($B458="Cardboard Recycling",INDEX('Materials Master'!$I$2:$I$27,MATCH($C458,'Materials Master'!$A$2:$A$27,0)),IF($B458="Paper Recycling",INDEX('Materials Master'!$J$2:$J$27,MATCH($C458,'Materials Master'!$A$2:$A$27,0)),IF($B458="Terracycle",INDEX('Materials Master'!$K$2:$K$27,MATCH($C458,'Materials Master'!$A$2:$A$27,0)),"No"))))))="Yes",INDEX('Materials Master'!$E$2:$E$27,MATCH($C458,'Materials Master'!$A$2:$A$27,0))="Yes",$B458&lt;&gt;"Trash"),1,0)</f>
        <v>0</v>
      </c>
      <c r="H458" s="0" t="str">
        <f aca="false">INDEX('Materials Master'!$E$2:$E$27,MATCH($C458,'Materials Master'!$A$2:$A$27,0))</f>
        <v>No</v>
      </c>
      <c r="I458" s="0" t="str">
        <f aca="false">IFERROR(INDEX(Areas!$C$2:$C$6,MATCH($A458,Areas!$B$2:$B$6,0)),"")</f>
        <v>Rest of Building</v>
      </c>
      <c r="J458" s="0" t="n">
        <f aca="false">IF(IF($B458="Trash",INDEX('Materials Master'!$F$2:$F$27,MATCH($C458,'Materials Master'!$A$2:$A$27,0)),IF($B458="GMPC Recycling",INDEX('Materials Master'!$G$2:$G$27,MATCH($C458,'Materials Master'!$A$2:$A$27,0)),IF($B458="Organics Recycling",INDEX('Materials Master'!$H$2:$H$27,MATCH($C458,'Materials Master'!$A$2:$A$27,0)),IF($B458="Cardboard Recycling",INDEX('Materials Master'!$I$2:$I$27,MATCH($C458,'Materials Master'!$A$2:$A$27,0)),IF($B458="Paper Recycling",INDEX('Materials Master'!$J$2:$J$27,MATCH($C458,'Materials Master'!$A$2:$A$27,0)),IF($B458="Terracycle",INDEX('Materials Master'!$K$2:$K$27,MATCH($C458,'Materials Master'!$A$2:$A$27,0)),"No"))))))="Yes",1,0)</f>
        <v>0</v>
      </c>
    </row>
    <row r="459" customFormat="false" ht="15" hidden="false" customHeight="false" outlineLevel="0" collapsed="false">
      <c r="A459" s="0" t="s">
        <v>97</v>
      </c>
      <c r="B459" s="0" t="s">
        <v>108</v>
      </c>
      <c r="C459" s="0" t="s">
        <v>62</v>
      </c>
      <c r="D459" s="0" t="str">
        <f aca="false">IFERROR(INDEX('Materials Master'!$B$2:$B$27,MATCH($C459,'Materials Master'!$A$2:$A$27,0)),"")</f>
        <v>Foams</v>
      </c>
      <c r="E459" s="0" t="str">
        <f aca="false">IFERROR(INDEX('Materials Master'!$C$2:$C$27,MATCH($C459,'Materials Master'!$A$2:$A$27,0)),"")</f>
        <v>Plastics</v>
      </c>
      <c r="F459" s="0" t="n">
        <f aca="false">(SUMIFS(Fact_PreSortWeights!$E$2:$E$15,Fact_PreSortWeights!$C$2:$C$15,$A459,Fact_PreSortWeights!$B$2:$B$15,$B459,Fact_PreSortWeights!$F$2:$F$15,$C459))+(SUMIFS(Fact_SortedWeights!$E$2:$E$6,Fact_SortedWeights!$C$2:$C$6,$A459,Fact_SortedWeights!$B$2:$B$6,$B459,Fact_SortedWeights!$D$2:$D$6,$C459,Fact_SortedWeights!$L$2:$L$6,"Yes"))+IF((SUMIFS(Fact_SortedWeights!$E$2:$E$6,Fact_SortedWeights!$C$2:$C$6,$A459,Fact_SortedWeights!$B$2:$B$6,$B459,Fact_SortedWeights!$L$2:$L$6,"No"))=0,0,(SUMIFS(Fact_SortedWeights!$E$2:$E$6,Fact_SortedWeights!$C$2:$C$6,$A459,Fact_SortedWeights!$B$2:$B$6,$B459,Fact_SortedWeights!$D$2:$D$6,$C459,Fact_SortedWeights!$L$2:$L$6,"No"))/(SUMIFS(Fact_SortedWeights!$E$2:$E$6,Fact_SortedWeights!$C$2:$C$6,$A459,Fact_SortedWeights!$B$2:$B$6,$B459,Fact_SortedWeights!$L$2:$L$6,"No"))*((SUMIFS(Fact_PreSortWeights!$E$2:$E$15,Fact_PreSortWeights!$C$2:$C$15,$A459,Fact_PreSortWeights!$B$2:$B$15,$B459,Fact_PreSortWeights!$F$2:$F$15,""))-(SUMIFS(Fact_SortedWeights!$E$2:$E$6,Fact_SortedWeights!$C$2:$C$6,$A459,Fact_SortedWeights!$B$2:$B$6,$B459,Fact_SortedWeights!$L$2:$L$6,"Yes"))))</f>
        <v>0</v>
      </c>
      <c r="G459" s="0" t="n">
        <f aca="false">IF(AND(IF($B459="Trash",INDEX('Materials Master'!$F$2:$F$27,MATCH($C459,'Materials Master'!$A$2:$A$27,0)),IF($B459="GMPC Recycling",INDEX('Materials Master'!$G$2:$G$27,MATCH($C459,'Materials Master'!$A$2:$A$27,0)),IF($B459="Organics Recycling",INDEX('Materials Master'!$H$2:$H$27,MATCH($C459,'Materials Master'!$A$2:$A$27,0)),IF($B459="Cardboard Recycling",INDEX('Materials Master'!$I$2:$I$27,MATCH($C459,'Materials Master'!$A$2:$A$27,0)),IF($B459="Paper Recycling",INDEX('Materials Master'!$J$2:$J$27,MATCH($C459,'Materials Master'!$A$2:$A$27,0)),IF($B459="Terracycle",INDEX('Materials Master'!$K$2:$K$27,MATCH($C459,'Materials Master'!$A$2:$A$27,0)),"No"))))))="Yes",INDEX('Materials Master'!$E$2:$E$27,MATCH($C459,'Materials Master'!$A$2:$A$27,0))="Yes",$B459&lt;&gt;"Trash"),1,0)</f>
        <v>0</v>
      </c>
      <c r="H459" s="0" t="str">
        <f aca="false">INDEX('Materials Master'!$E$2:$E$27,MATCH($C459,'Materials Master'!$A$2:$A$27,0))</f>
        <v>No</v>
      </c>
      <c r="I459" s="0" t="str">
        <f aca="false">IFERROR(INDEX(Areas!$C$2:$C$6,MATCH($A459,Areas!$B$2:$B$6,0)),"")</f>
        <v>Rest of Building</v>
      </c>
      <c r="J459" s="0" t="n">
        <f aca="false">IF(IF($B459="Trash",INDEX('Materials Master'!$F$2:$F$27,MATCH($C459,'Materials Master'!$A$2:$A$27,0)),IF($B459="GMPC Recycling",INDEX('Materials Master'!$G$2:$G$27,MATCH($C459,'Materials Master'!$A$2:$A$27,0)),IF($B459="Organics Recycling",INDEX('Materials Master'!$H$2:$H$27,MATCH($C459,'Materials Master'!$A$2:$A$27,0)),IF($B459="Cardboard Recycling",INDEX('Materials Master'!$I$2:$I$27,MATCH($C459,'Materials Master'!$A$2:$A$27,0)),IF($B459="Paper Recycling",INDEX('Materials Master'!$J$2:$J$27,MATCH($C459,'Materials Master'!$A$2:$A$27,0)),IF($B459="Terracycle",INDEX('Materials Master'!$K$2:$K$27,MATCH($C459,'Materials Master'!$A$2:$A$27,0)),"No"))))))="Yes",1,0)</f>
        <v>0</v>
      </c>
    </row>
    <row r="460" customFormat="false" ht="15" hidden="false" customHeight="false" outlineLevel="0" collapsed="false">
      <c r="A460" s="0" t="s">
        <v>97</v>
      </c>
      <c r="B460" s="0" t="s">
        <v>108</v>
      </c>
      <c r="C460" s="0" t="s">
        <v>64</v>
      </c>
      <c r="D460" s="0" t="str">
        <f aca="false">IFERROR(INDEX('Materials Master'!$B$2:$B$27,MATCH($C460,'Materials Master'!$A$2:$A$27,0)),"")</f>
        <v>Food Waste</v>
      </c>
      <c r="E460" s="0" t="str">
        <f aca="false">IFERROR(INDEX('Materials Master'!$C$2:$C$27,MATCH($C460,'Materials Master'!$A$2:$A$27,0)),"")</f>
        <v>Organics</v>
      </c>
      <c r="F460" s="0" t="n">
        <f aca="false">(SUMIFS(Fact_PreSortWeights!$E$2:$E$15,Fact_PreSortWeights!$C$2:$C$15,$A460,Fact_PreSortWeights!$B$2:$B$15,$B460,Fact_PreSortWeights!$F$2:$F$15,$C460))+(SUMIFS(Fact_SortedWeights!$E$2:$E$6,Fact_SortedWeights!$C$2:$C$6,$A460,Fact_SortedWeights!$B$2:$B$6,$B460,Fact_SortedWeights!$D$2:$D$6,$C460,Fact_SortedWeights!$L$2:$L$6,"Yes"))+IF((SUMIFS(Fact_SortedWeights!$E$2:$E$6,Fact_SortedWeights!$C$2:$C$6,$A460,Fact_SortedWeights!$B$2:$B$6,$B460,Fact_SortedWeights!$L$2:$L$6,"No"))=0,0,(SUMIFS(Fact_SortedWeights!$E$2:$E$6,Fact_SortedWeights!$C$2:$C$6,$A460,Fact_SortedWeights!$B$2:$B$6,$B460,Fact_SortedWeights!$D$2:$D$6,$C460,Fact_SortedWeights!$L$2:$L$6,"No"))/(SUMIFS(Fact_SortedWeights!$E$2:$E$6,Fact_SortedWeights!$C$2:$C$6,$A460,Fact_SortedWeights!$B$2:$B$6,$B460,Fact_SortedWeights!$L$2:$L$6,"No"))*((SUMIFS(Fact_PreSortWeights!$E$2:$E$15,Fact_PreSortWeights!$C$2:$C$15,$A460,Fact_PreSortWeights!$B$2:$B$15,$B460,Fact_PreSortWeights!$F$2:$F$15,""))-(SUMIFS(Fact_SortedWeights!$E$2:$E$6,Fact_SortedWeights!$C$2:$C$6,$A460,Fact_SortedWeights!$B$2:$B$6,$B460,Fact_SortedWeights!$L$2:$L$6,"Yes"))))</f>
        <v>0</v>
      </c>
      <c r="G460" s="0" t="n">
        <f aca="false">IF(AND(IF($B460="Trash",INDEX('Materials Master'!$F$2:$F$27,MATCH($C460,'Materials Master'!$A$2:$A$27,0)),IF($B460="GMPC Recycling",INDEX('Materials Master'!$G$2:$G$27,MATCH($C460,'Materials Master'!$A$2:$A$27,0)),IF($B460="Organics Recycling",INDEX('Materials Master'!$H$2:$H$27,MATCH($C460,'Materials Master'!$A$2:$A$27,0)),IF($B460="Cardboard Recycling",INDEX('Materials Master'!$I$2:$I$27,MATCH($C460,'Materials Master'!$A$2:$A$27,0)),IF($B460="Paper Recycling",INDEX('Materials Master'!$J$2:$J$27,MATCH($C460,'Materials Master'!$A$2:$A$27,0)),IF($B460="Terracycle",INDEX('Materials Master'!$K$2:$K$27,MATCH($C460,'Materials Master'!$A$2:$A$27,0)),"No"))))))="Yes",INDEX('Materials Master'!$E$2:$E$27,MATCH($C460,'Materials Master'!$A$2:$A$27,0))="Yes",$B460&lt;&gt;"Trash"),1,0)</f>
        <v>0</v>
      </c>
      <c r="H460" s="0" t="str">
        <f aca="false">INDEX('Materials Master'!$E$2:$E$27,MATCH($C460,'Materials Master'!$A$2:$A$27,0))</f>
        <v>Yes</v>
      </c>
      <c r="I460" s="0" t="str">
        <f aca="false">IFERROR(INDEX(Areas!$C$2:$C$6,MATCH($A460,Areas!$B$2:$B$6,0)),"")</f>
        <v>Rest of Building</v>
      </c>
      <c r="J460" s="0" t="n">
        <f aca="false">IF(IF($B460="Trash",INDEX('Materials Master'!$F$2:$F$27,MATCH($C460,'Materials Master'!$A$2:$A$27,0)),IF($B460="GMPC Recycling",INDEX('Materials Master'!$G$2:$G$27,MATCH($C460,'Materials Master'!$A$2:$A$27,0)),IF($B460="Organics Recycling",INDEX('Materials Master'!$H$2:$H$27,MATCH($C460,'Materials Master'!$A$2:$A$27,0)),IF($B460="Cardboard Recycling",INDEX('Materials Master'!$I$2:$I$27,MATCH($C460,'Materials Master'!$A$2:$A$27,0)),IF($B460="Paper Recycling",INDEX('Materials Master'!$J$2:$J$27,MATCH($C460,'Materials Master'!$A$2:$A$27,0)),IF($B460="Terracycle",INDEX('Materials Master'!$K$2:$K$27,MATCH($C460,'Materials Master'!$A$2:$A$27,0)),"No"))))))="Yes",1,0)</f>
        <v>0</v>
      </c>
    </row>
    <row r="461" customFormat="false" ht="15" hidden="false" customHeight="false" outlineLevel="0" collapsed="false">
      <c r="A461" s="0" t="s">
        <v>97</v>
      </c>
      <c r="B461" s="0" t="s">
        <v>108</v>
      </c>
      <c r="C461" s="0" t="s">
        <v>67</v>
      </c>
      <c r="D461" s="0" t="str">
        <f aca="false">IFERROR(INDEX('Materials Master'!$B$2:$B$27,MATCH($C461,'Materials Master'!$A$2:$A$27,0)),"")</f>
        <v>Paper Fibers and Food-Soiled Paper (FSP)</v>
      </c>
      <c r="E461" s="0" t="str">
        <f aca="false">IFERROR(INDEX('Materials Master'!$C$2:$C$27,MATCH($C461,'Materials Master'!$A$2:$A$27,0)),"")</f>
        <v>Organics</v>
      </c>
      <c r="F461" s="0" t="n">
        <f aca="false">(SUMIFS(Fact_PreSortWeights!$E$2:$E$15,Fact_PreSortWeights!$C$2:$C$15,$A461,Fact_PreSortWeights!$B$2:$B$15,$B461,Fact_PreSortWeights!$F$2:$F$15,$C461))+(SUMIFS(Fact_SortedWeights!$E$2:$E$6,Fact_SortedWeights!$C$2:$C$6,$A461,Fact_SortedWeights!$B$2:$B$6,$B461,Fact_SortedWeights!$D$2:$D$6,$C461,Fact_SortedWeights!$L$2:$L$6,"Yes"))+IF((SUMIFS(Fact_SortedWeights!$E$2:$E$6,Fact_SortedWeights!$C$2:$C$6,$A461,Fact_SortedWeights!$B$2:$B$6,$B461,Fact_SortedWeights!$L$2:$L$6,"No"))=0,0,(SUMIFS(Fact_SortedWeights!$E$2:$E$6,Fact_SortedWeights!$C$2:$C$6,$A461,Fact_SortedWeights!$B$2:$B$6,$B461,Fact_SortedWeights!$D$2:$D$6,$C461,Fact_SortedWeights!$L$2:$L$6,"No"))/(SUMIFS(Fact_SortedWeights!$E$2:$E$6,Fact_SortedWeights!$C$2:$C$6,$A461,Fact_SortedWeights!$B$2:$B$6,$B461,Fact_SortedWeights!$L$2:$L$6,"No"))*((SUMIFS(Fact_PreSortWeights!$E$2:$E$15,Fact_PreSortWeights!$C$2:$C$15,$A461,Fact_PreSortWeights!$B$2:$B$15,$B461,Fact_PreSortWeights!$F$2:$F$15,""))-(SUMIFS(Fact_SortedWeights!$E$2:$E$6,Fact_SortedWeights!$C$2:$C$6,$A461,Fact_SortedWeights!$B$2:$B$6,$B461,Fact_SortedWeights!$L$2:$L$6,"Yes"))))</f>
        <v>0</v>
      </c>
      <c r="G461" s="0" t="n">
        <f aca="false">IF(AND(IF($B461="Trash",INDEX('Materials Master'!$F$2:$F$27,MATCH($C461,'Materials Master'!$A$2:$A$27,0)),IF($B461="GMPC Recycling",INDEX('Materials Master'!$G$2:$G$27,MATCH($C461,'Materials Master'!$A$2:$A$27,0)),IF($B461="Organics Recycling",INDEX('Materials Master'!$H$2:$H$27,MATCH($C461,'Materials Master'!$A$2:$A$27,0)),IF($B461="Cardboard Recycling",INDEX('Materials Master'!$I$2:$I$27,MATCH($C461,'Materials Master'!$A$2:$A$27,0)),IF($B461="Paper Recycling",INDEX('Materials Master'!$J$2:$J$27,MATCH($C461,'Materials Master'!$A$2:$A$27,0)),IF($B461="Terracycle",INDEX('Materials Master'!$K$2:$K$27,MATCH($C461,'Materials Master'!$A$2:$A$27,0)),"No"))))))="Yes",INDEX('Materials Master'!$E$2:$E$27,MATCH($C461,'Materials Master'!$A$2:$A$27,0))="Yes",$B461&lt;&gt;"Trash"),1,0)</f>
        <v>0</v>
      </c>
      <c r="H461" s="0" t="str">
        <f aca="false">INDEX('Materials Master'!$E$2:$E$27,MATCH($C461,'Materials Master'!$A$2:$A$27,0))</f>
        <v>No</v>
      </c>
      <c r="I461" s="0" t="str">
        <f aca="false">IFERROR(INDEX(Areas!$C$2:$C$6,MATCH($A461,Areas!$B$2:$B$6,0)),"")</f>
        <v>Rest of Building</v>
      </c>
      <c r="J461" s="0" t="n">
        <f aca="false">IF(IF($B461="Trash",INDEX('Materials Master'!$F$2:$F$27,MATCH($C461,'Materials Master'!$A$2:$A$27,0)),IF($B461="GMPC Recycling",INDEX('Materials Master'!$G$2:$G$27,MATCH($C461,'Materials Master'!$A$2:$A$27,0)),IF($B461="Organics Recycling",INDEX('Materials Master'!$H$2:$H$27,MATCH($C461,'Materials Master'!$A$2:$A$27,0)),IF($B461="Cardboard Recycling",INDEX('Materials Master'!$I$2:$I$27,MATCH($C461,'Materials Master'!$A$2:$A$27,0)),IF($B461="Paper Recycling",INDEX('Materials Master'!$J$2:$J$27,MATCH($C461,'Materials Master'!$A$2:$A$27,0)),IF($B461="Terracycle",INDEX('Materials Master'!$K$2:$K$27,MATCH($C461,'Materials Master'!$A$2:$A$27,0)),"No"))))))="Yes",1,0)</f>
        <v>0</v>
      </c>
    </row>
    <row r="462" customFormat="false" ht="15" hidden="false" customHeight="false" outlineLevel="0" collapsed="false">
      <c r="A462" s="0" t="s">
        <v>97</v>
      </c>
      <c r="B462" s="0" t="s">
        <v>108</v>
      </c>
      <c r="C462" s="0" t="s">
        <v>69</v>
      </c>
      <c r="D462" s="0" t="str">
        <f aca="false">IFERROR(INDEX('Materials Master'!$B$2:$B$27,MATCH($C462,'Materials Master'!$A$2:$A$27,0)),"")</f>
        <v>Fiber-based Compostable Serviceware</v>
      </c>
      <c r="E462" s="0" t="str">
        <f aca="false">IFERROR(INDEX('Materials Master'!$C$2:$C$27,MATCH($C462,'Materials Master'!$A$2:$A$27,0)),"")</f>
        <v>Organics</v>
      </c>
      <c r="F462" s="0" t="n">
        <f aca="false">(SUMIFS(Fact_PreSortWeights!$E$2:$E$15,Fact_PreSortWeights!$C$2:$C$15,$A462,Fact_PreSortWeights!$B$2:$B$15,$B462,Fact_PreSortWeights!$F$2:$F$15,$C462))+(SUMIFS(Fact_SortedWeights!$E$2:$E$6,Fact_SortedWeights!$C$2:$C$6,$A462,Fact_SortedWeights!$B$2:$B$6,$B462,Fact_SortedWeights!$D$2:$D$6,$C462,Fact_SortedWeights!$L$2:$L$6,"Yes"))+IF((SUMIFS(Fact_SortedWeights!$E$2:$E$6,Fact_SortedWeights!$C$2:$C$6,$A462,Fact_SortedWeights!$B$2:$B$6,$B462,Fact_SortedWeights!$L$2:$L$6,"No"))=0,0,(SUMIFS(Fact_SortedWeights!$E$2:$E$6,Fact_SortedWeights!$C$2:$C$6,$A462,Fact_SortedWeights!$B$2:$B$6,$B462,Fact_SortedWeights!$D$2:$D$6,$C462,Fact_SortedWeights!$L$2:$L$6,"No"))/(SUMIFS(Fact_SortedWeights!$E$2:$E$6,Fact_SortedWeights!$C$2:$C$6,$A462,Fact_SortedWeights!$B$2:$B$6,$B462,Fact_SortedWeights!$L$2:$L$6,"No"))*((SUMIFS(Fact_PreSortWeights!$E$2:$E$15,Fact_PreSortWeights!$C$2:$C$15,$A462,Fact_PreSortWeights!$B$2:$B$15,$B462,Fact_PreSortWeights!$F$2:$F$15,""))-(SUMIFS(Fact_SortedWeights!$E$2:$E$6,Fact_SortedWeights!$C$2:$C$6,$A462,Fact_SortedWeights!$B$2:$B$6,$B462,Fact_SortedWeights!$L$2:$L$6,"Yes"))))</f>
        <v>0</v>
      </c>
      <c r="G462" s="0" t="n">
        <f aca="false">IF(AND(IF($B462="Trash",INDEX('Materials Master'!$F$2:$F$27,MATCH($C462,'Materials Master'!$A$2:$A$27,0)),IF($B462="GMPC Recycling",INDEX('Materials Master'!$G$2:$G$27,MATCH($C462,'Materials Master'!$A$2:$A$27,0)),IF($B462="Organics Recycling",INDEX('Materials Master'!$H$2:$H$27,MATCH($C462,'Materials Master'!$A$2:$A$27,0)),IF($B462="Cardboard Recycling",INDEX('Materials Master'!$I$2:$I$27,MATCH($C462,'Materials Master'!$A$2:$A$27,0)),IF($B462="Paper Recycling",INDEX('Materials Master'!$J$2:$J$27,MATCH($C462,'Materials Master'!$A$2:$A$27,0)),IF($B462="Terracycle",INDEX('Materials Master'!$K$2:$K$27,MATCH($C462,'Materials Master'!$A$2:$A$27,0)),"No"))))))="Yes",INDEX('Materials Master'!$E$2:$E$27,MATCH($C462,'Materials Master'!$A$2:$A$27,0))="Yes",$B462&lt;&gt;"Trash"),1,0)</f>
        <v>0</v>
      </c>
      <c r="H462" s="0" t="str">
        <f aca="false">INDEX('Materials Master'!$E$2:$E$27,MATCH($C462,'Materials Master'!$A$2:$A$27,0))</f>
        <v>No</v>
      </c>
      <c r="I462" s="0" t="str">
        <f aca="false">IFERROR(INDEX(Areas!$C$2:$C$6,MATCH($A462,Areas!$B$2:$B$6,0)),"")</f>
        <v>Rest of Building</v>
      </c>
      <c r="J462" s="0" t="n">
        <f aca="false">IF(IF($B462="Trash",INDEX('Materials Master'!$F$2:$F$27,MATCH($C462,'Materials Master'!$A$2:$A$27,0)),IF($B462="GMPC Recycling",INDEX('Materials Master'!$G$2:$G$27,MATCH($C462,'Materials Master'!$A$2:$A$27,0)),IF($B462="Organics Recycling",INDEX('Materials Master'!$H$2:$H$27,MATCH($C462,'Materials Master'!$A$2:$A$27,0)),IF($B462="Cardboard Recycling",INDEX('Materials Master'!$I$2:$I$27,MATCH($C462,'Materials Master'!$A$2:$A$27,0)),IF($B462="Paper Recycling",INDEX('Materials Master'!$J$2:$J$27,MATCH($C462,'Materials Master'!$A$2:$A$27,0)),IF($B462="Terracycle",INDEX('Materials Master'!$K$2:$K$27,MATCH($C462,'Materials Master'!$A$2:$A$27,0)),"No"))))))="Yes",1,0)</f>
        <v>0</v>
      </c>
    </row>
    <row r="463" customFormat="false" ht="15" hidden="false" customHeight="false" outlineLevel="0" collapsed="false">
      <c r="A463" s="0" t="s">
        <v>97</v>
      </c>
      <c r="B463" s="0" t="s">
        <v>108</v>
      </c>
      <c r="C463" s="0" t="s">
        <v>71</v>
      </c>
      <c r="D463" s="0" t="str">
        <f aca="false">IFERROR(INDEX('Materials Master'!$B$2:$B$27,MATCH($C463,'Materials Master'!$A$2:$A$27,0)),"")</f>
        <v>PLA Compostable Serviceware</v>
      </c>
      <c r="E463" s="0" t="str">
        <f aca="false">IFERROR(INDEX('Materials Master'!$C$2:$C$27,MATCH($C463,'Materials Master'!$A$2:$A$27,0)),"")</f>
        <v>Organics</v>
      </c>
      <c r="F463" s="0" t="n">
        <f aca="false">(SUMIFS(Fact_PreSortWeights!$E$2:$E$15,Fact_PreSortWeights!$C$2:$C$15,$A463,Fact_PreSortWeights!$B$2:$B$15,$B463,Fact_PreSortWeights!$F$2:$F$15,$C463))+(SUMIFS(Fact_SortedWeights!$E$2:$E$6,Fact_SortedWeights!$C$2:$C$6,$A463,Fact_SortedWeights!$B$2:$B$6,$B463,Fact_SortedWeights!$D$2:$D$6,$C463,Fact_SortedWeights!$L$2:$L$6,"Yes"))+IF((SUMIFS(Fact_SortedWeights!$E$2:$E$6,Fact_SortedWeights!$C$2:$C$6,$A463,Fact_SortedWeights!$B$2:$B$6,$B463,Fact_SortedWeights!$L$2:$L$6,"No"))=0,0,(SUMIFS(Fact_SortedWeights!$E$2:$E$6,Fact_SortedWeights!$C$2:$C$6,$A463,Fact_SortedWeights!$B$2:$B$6,$B463,Fact_SortedWeights!$D$2:$D$6,$C463,Fact_SortedWeights!$L$2:$L$6,"No"))/(SUMIFS(Fact_SortedWeights!$E$2:$E$6,Fact_SortedWeights!$C$2:$C$6,$A463,Fact_SortedWeights!$B$2:$B$6,$B463,Fact_SortedWeights!$L$2:$L$6,"No"))*((SUMIFS(Fact_PreSortWeights!$E$2:$E$15,Fact_PreSortWeights!$C$2:$C$15,$A463,Fact_PreSortWeights!$B$2:$B$15,$B463,Fact_PreSortWeights!$F$2:$F$15,""))-(SUMIFS(Fact_SortedWeights!$E$2:$E$6,Fact_SortedWeights!$C$2:$C$6,$A463,Fact_SortedWeights!$B$2:$B$6,$B463,Fact_SortedWeights!$L$2:$L$6,"Yes"))))</f>
        <v>0</v>
      </c>
      <c r="G463" s="0" t="n">
        <f aca="false">IF(AND(IF($B463="Trash",INDEX('Materials Master'!$F$2:$F$27,MATCH($C463,'Materials Master'!$A$2:$A$27,0)),IF($B463="GMPC Recycling",INDEX('Materials Master'!$G$2:$G$27,MATCH($C463,'Materials Master'!$A$2:$A$27,0)),IF($B463="Organics Recycling",INDEX('Materials Master'!$H$2:$H$27,MATCH($C463,'Materials Master'!$A$2:$A$27,0)),IF($B463="Cardboard Recycling",INDEX('Materials Master'!$I$2:$I$27,MATCH($C463,'Materials Master'!$A$2:$A$27,0)),IF($B463="Paper Recycling",INDEX('Materials Master'!$J$2:$J$27,MATCH($C463,'Materials Master'!$A$2:$A$27,0)),IF($B463="Terracycle",INDEX('Materials Master'!$K$2:$K$27,MATCH($C463,'Materials Master'!$A$2:$A$27,0)),"No"))))))="Yes",INDEX('Materials Master'!$E$2:$E$27,MATCH($C463,'Materials Master'!$A$2:$A$27,0))="Yes",$B463&lt;&gt;"Trash"),1,0)</f>
        <v>0</v>
      </c>
      <c r="H463" s="0" t="str">
        <f aca="false">INDEX('Materials Master'!$E$2:$E$27,MATCH($C463,'Materials Master'!$A$2:$A$27,0))</f>
        <v>No</v>
      </c>
      <c r="I463" s="0" t="str">
        <f aca="false">IFERROR(INDEX(Areas!$C$2:$C$6,MATCH($A463,Areas!$B$2:$B$6,0)),"")</f>
        <v>Rest of Building</v>
      </c>
      <c r="J463" s="0" t="n">
        <f aca="false">IF(IF($B463="Trash",INDEX('Materials Master'!$F$2:$F$27,MATCH($C463,'Materials Master'!$A$2:$A$27,0)),IF($B463="GMPC Recycling",INDEX('Materials Master'!$G$2:$G$27,MATCH($C463,'Materials Master'!$A$2:$A$27,0)),IF($B463="Organics Recycling",INDEX('Materials Master'!$H$2:$H$27,MATCH($C463,'Materials Master'!$A$2:$A$27,0)),IF($B463="Cardboard Recycling",INDEX('Materials Master'!$I$2:$I$27,MATCH($C463,'Materials Master'!$A$2:$A$27,0)),IF($B463="Paper Recycling",INDEX('Materials Master'!$J$2:$J$27,MATCH($C463,'Materials Master'!$A$2:$A$27,0)),IF($B463="Terracycle",INDEX('Materials Master'!$K$2:$K$27,MATCH($C463,'Materials Master'!$A$2:$A$27,0)),"No"))))))="Yes",1,0)</f>
        <v>0</v>
      </c>
    </row>
    <row r="464" customFormat="false" ht="15" hidden="false" customHeight="false" outlineLevel="0" collapsed="false">
      <c r="A464" s="0" t="s">
        <v>97</v>
      </c>
      <c r="B464" s="0" t="s">
        <v>108</v>
      </c>
      <c r="C464" s="0" t="s">
        <v>73</v>
      </c>
      <c r="D464" s="0" t="str">
        <f aca="false">IFERROR(INDEX('Materials Master'!$B$2:$B$27,MATCH($C464,'Materials Master'!$A$2:$A$27,0)),"")</f>
        <v>E/U Waste</v>
      </c>
      <c r="E464" s="0" t="str">
        <f aca="false">IFERROR(INDEX('Materials Master'!$C$2:$C$27,MATCH($C464,'Materials Master'!$A$2:$A$27,0)),"")</f>
        <v>Unacceptable</v>
      </c>
      <c r="F464" s="0" t="n">
        <f aca="false">(SUMIFS(Fact_PreSortWeights!$E$2:$E$15,Fact_PreSortWeights!$C$2:$C$15,$A464,Fact_PreSortWeights!$B$2:$B$15,$B464,Fact_PreSortWeights!$F$2:$F$15,$C464))+(SUMIFS(Fact_SortedWeights!$E$2:$E$6,Fact_SortedWeights!$C$2:$C$6,$A464,Fact_SortedWeights!$B$2:$B$6,$B464,Fact_SortedWeights!$D$2:$D$6,$C464,Fact_SortedWeights!$L$2:$L$6,"Yes"))+IF((SUMIFS(Fact_SortedWeights!$E$2:$E$6,Fact_SortedWeights!$C$2:$C$6,$A464,Fact_SortedWeights!$B$2:$B$6,$B464,Fact_SortedWeights!$L$2:$L$6,"No"))=0,0,(SUMIFS(Fact_SortedWeights!$E$2:$E$6,Fact_SortedWeights!$C$2:$C$6,$A464,Fact_SortedWeights!$B$2:$B$6,$B464,Fact_SortedWeights!$D$2:$D$6,$C464,Fact_SortedWeights!$L$2:$L$6,"No"))/(SUMIFS(Fact_SortedWeights!$E$2:$E$6,Fact_SortedWeights!$C$2:$C$6,$A464,Fact_SortedWeights!$B$2:$B$6,$B464,Fact_SortedWeights!$L$2:$L$6,"No"))*((SUMIFS(Fact_PreSortWeights!$E$2:$E$15,Fact_PreSortWeights!$C$2:$C$15,$A464,Fact_PreSortWeights!$B$2:$B$15,$B464,Fact_PreSortWeights!$F$2:$F$15,""))-(SUMIFS(Fact_SortedWeights!$E$2:$E$6,Fact_SortedWeights!$C$2:$C$6,$A464,Fact_SortedWeights!$B$2:$B$6,$B464,Fact_SortedWeights!$L$2:$L$6,"Yes"))))</f>
        <v>0</v>
      </c>
      <c r="G464" s="0" t="n">
        <f aca="false">IF(AND(IF($B464="Trash",INDEX('Materials Master'!$F$2:$F$27,MATCH($C464,'Materials Master'!$A$2:$A$27,0)),IF($B464="GMPC Recycling",INDEX('Materials Master'!$G$2:$G$27,MATCH($C464,'Materials Master'!$A$2:$A$27,0)),IF($B464="Organics Recycling",INDEX('Materials Master'!$H$2:$H$27,MATCH($C464,'Materials Master'!$A$2:$A$27,0)),IF($B464="Cardboard Recycling",INDEX('Materials Master'!$I$2:$I$27,MATCH($C464,'Materials Master'!$A$2:$A$27,0)),IF($B464="Paper Recycling",INDEX('Materials Master'!$J$2:$J$27,MATCH($C464,'Materials Master'!$A$2:$A$27,0)),IF($B464="Terracycle",INDEX('Materials Master'!$K$2:$K$27,MATCH($C464,'Materials Master'!$A$2:$A$27,0)),"No"))))))="Yes",INDEX('Materials Master'!$E$2:$E$27,MATCH($C464,'Materials Master'!$A$2:$A$27,0))="Yes",$B464&lt;&gt;"Trash"),1,0)</f>
        <v>0</v>
      </c>
      <c r="H464" s="0" t="str">
        <f aca="false">INDEX('Materials Master'!$E$2:$E$27,MATCH($C464,'Materials Master'!$A$2:$A$27,0))</f>
        <v>No</v>
      </c>
      <c r="I464" s="0" t="str">
        <f aca="false">IFERROR(INDEX(Areas!$C$2:$C$6,MATCH($A464,Areas!$B$2:$B$6,0)),"")</f>
        <v>Rest of Building</v>
      </c>
      <c r="J464" s="0" t="n">
        <f aca="false">IF(IF($B464="Trash",INDEX('Materials Master'!$F$2:$F$27,MATCH($C464,'Materials Master'!$A$2:$A$27,0)),IF($B464="GMPC Recycling",INDEX('Materials Master'!$G$2:$G$27,MATCH($C464,'Materials Master'!$A$2:$A$27,0)),IF($B464="Organics Recycling",INDEX('Materials Master'!$H$2:$H$27,MATCH($C464,'Materials Master'!$A$2:$A$27,0)),IF($B464="Cardboard Recycling",INDEX('Materials Master'!$I$2:$I$27,MATCH($C464,'Materials Master'!$A$2:$A$27,0)),IF($B464="Paper Recycling",INDEX('Materials Master'!$J$2:$J$27,MATCH($C464,'Materials Master'!$A$2:$A$27,0)),IF($B464="Terracycle",INDEX('Materials Master'!$K$2:$K$27,MATCH($C464,'Materials Master'!$A$2:$A$27,0)),"No"))))))="Yes",1,0)</f>
        <v>0</v>
      </c>
    </row>
    <row r="465" customFormat="false" ht="15" hidden="false" customHeight="false" outlineLevel="0" collapsed="false">
      <c r="A465" s="0" t="s">
        <v>97</v>
      </c>
      <c r="B465" s="0" t="s">
        <v>108</v>
      </c>
      <c r="C465" s="0" t="s">
        <v>76</v>
      </c>
      <c r="D465" s="0" t="str">
        <f aca="false">IFERROR(INDEX('Materials Master'!$B$2:$B$27,MATCH($C465,'Materials Master'!$A$2:$A$27,0)),"")</f>
        <v>Textiles</v>
      </c>
      <c r="E465" s="0" t="str">
        <f aca="false">IFERROR(INDEX('Materials Master'!$C$2:$C$27,MATCH($C465,'Materials Master'!$A$2:$A$27,0)),"")</f>
        <v>Unacceptable</v>
      </c>
      <c r="F465" s="0" t="n">
        <f aca="false">(SUMIFS(Fact_PreSortWeights!$E$2:$E$15,Fact_PreSortWeights!$C$2:$C$15,$A465,Fact_PreSortWeights!$B$2:$B$15,$B465,Fact_PreSortWeights!$F$2:$F$15,$C465))+(SUMIFS(Fact_SortedWeights!$E$2:$E$6,Fact_SortedWeights!$C$2:$C$6,$A465,Fact_SortedWeights!$B$2:$B$6,$B465,Fact_SortedWeights!$D$2:$D$6,$C465,Fact_SortedWeights!$L$2:$L$6,"Yes"))+IF((SUMIFS(Fact_SortedWeights!$E$2:$E$6,Fact_SortedWeights!$C$2:$C$6,$A465,Fact_SortedWeights!$B$2:$B$6,$B465,Fact_SortedWeights!$L$2:$L$6,"No"))=0,0,(SUMIFS(Fact_SortedWeights!$E$2:$E$6,Fact_SortedWeights!$C$2:$C$6,$A465,Fact_SortedWeights!$B$2:$B$6,$B465,Fact_SortedWeights!$D$2:$D$6,$C465,Fact_SortedWeights!$L$2:$L$6,"No"))/(SUMIFS(Fact_SortedWeights!$E$2:$E$6,Fact_SortedWeights!$C$2:$C$6,$A465,Fact_SortedWeights!$B$2:$B$6,$B465,Fact_SortedWeights!$L$2:$L$6,"No"))*((SUMIFS(Fact_PreSortWeights!$E$2:$E$15,Fact_PreSortWeights!$C$2:$C$15,$A465,Fact_PreSortWeights!$B$2:$B$15,$B465,Fact_PreSortWeights!$F$2:$F$15,""))-(SUMIFS(Fact_SortedWeights!$E$2:$E$6,Fact_SortedWeights!$C$2:$C$6,$A465,Fact_SortedWeights!$B$2:$B$6,$B465,Fact_SortedWeights!$L$2:$L$6,"Yes"))))</f>
        <v>0</v>
      </c>
      <c r="G465" s="0" t="n">
        <f aca="false">IF(AND(IF($B465="Trash",INDEX('Materials Master'!$F$2:$F$27,MATCH($C465,'Materials Master'!$A$2:$A$27,0)),IF($B465="GMPC Recycling",INDEX('Materials Master'!$G$2:$G$27,MATCH($C465,'Materials Master'!$A$2:$A$27,0)),IF($B465="Organics Recycling",INDEX('Materials Master'!$H$2:$H$27,MATCH($C465,'Materials Master'!$A$2:$A$27,0)),IF($B465="Cardboard Recycling",INDEX('Materials Master'!$I$2:$I$27,MATCH($C465,'Materials Master'!$A$2:$A$27,0)),IF($B465="Paper Recycling",INDEX('Materials Master'!$J$2:$J$27,MATCH($C465,'Materials Master'!$A$2:$A$27,0)),IF($B465="Terracycle",INDEX('Materials Master'!$K$2:$K$27,MATCH($C465,'Materials Master'!$A$2:$A$27,0)),"No"))))))="Yes",INDEX('Materials Master'!$E$2:$E$27,MATCH($C465,'Materials Master'!$A$2:$A$27,0))="Yes",$B465&lt;&gt;"Trash"),1,0)</f>
        <v>0</v>
      </c>
      <c r="H465" s="0" t="str">
        <f aca="false">INDEX('Materials Master'!$E$2:$E$27,MATCH($C465,'Materials Master'!$A$2:$A$27,0))</f>
        <v>No</v>
      </c>
      <c r="I465" s="0" t="str">
        <f aca="false">IFERROR(INDEX(Areas!$C$2:$C$6,MATCH($A465,Areas!$B$2:$B$6,0)),"")</f>
        <v>Rest of Building</v>
      </c>
      <c r="J465" s="0" t="n">
        <f aca="false">IF(IF($B465="Trash",INDEX('Materials Master'!$F$2:$F$27,MATCH($C465,'Materials Master'!$A$2:$A$27,0)),IF($B465="GMPC Recycling",INDEX('Materials Master'!$G$2:$G$27,MATCH($C465,'Materials Master'!$A$2:$A$27,0)),IF($B465="Organics Recycling",INDEX('Materials Master'!$H$2:$H$27,MATCH($C465,'Materials Master'!$A$2:$A$27,0)),IF($B465="Cardboard Recycling",INDEX('Materials Master'!$I$2:$I$27,MATCH($C465,'Materials Master'!$A$2:$A$27,0)),IF($B465="Paper Recycling",INDEX('Materials Master'!$J$2:$J$27,MATCH($C465,'Materials Master'!$A$2:$A$27,0)),IF($B465="Terracycle",INDEX('Materials Master'!$K$2:$K$27,MATCH($C465,'Materials Master'!$A$2:$A$27,0)),"No"))))))="Yes",1,0)</f>
        <v>0</v>
      </c>
    </row>
    <row r="466" customFormat="false" ht="15" hidden="false" customHeight="false" outlineLevel="0" collapsed="false">
      <c r="A466" s="0" t="s">
        <v>97</v>
      </c>
      <c r="B466" s="0" t="s">
        <v>108</v>
      </c>
      <c r="C466" s="0" t="s">
        <v>78</v>
      </c>
      <c r="D466" s="0" t="str">
        <f aca="false">IFERROR(INDEX('Materials Master'!$B$2:$B$27,MATCH($C466,'Materials Master'!$A$2:$A$27,0)),"")</f>
        <v>Other Unacceptable (specify)</v>
      </c>
      <c r="E466" s="0" t="str">
        <f aca="false">IFERROR(INDEX('Materials Master'!$C$2:$C$27,MATCH($C466,'Materials Master'!$A$2:$A$27,0)),"")</f>
        <v>Unacceptable</v>
      </c>
      <c r="F466" s="0" t="n">
        <f aca="false">(SUMIFS(Fact_PreSortWeights!$E$2:$E$15,Fact_PreSortWeights!$C$2:$C$15,$A466,Fact_PreSortWeights!$B$2:$B$15,$B466,Fact_PreSortWeights!$F$2:$F$15,$C466))+(SUMIFS(Fact_SortedWeights!$E$2:$E$6,Fact_SortedWeights!$C$2:$C$6,$A466,Fact_SortedWeights!$B$2:$B$6,$B466,Fact_SortedWeights!$D$2:$D$6,$C466,Fact_SortedWeights!$L$2:$L$6,"Yes"))+IF((SUMIFS(Fact_SortedWeights!$E$2:$E$6,Fact_SortedWeights!$C$2:$C$6,$A466,Fact_SortedWeights!$B$2:$B$6,$B466,Fact_SortedWeights!$L$2:$L$6,"No"))=0,0,(SUMIFS(Fact_SortedWeights!$E$2:$E$6,Fact_SortedWeights!$C$2:$C$6,$A466,Fact_SortedWeights!$B$2:$B$6,$B466,Fact_SortedWeights!$D$2:$D$6,$C466,Fact_SortedWeights!$L$2:$L$6,"No"))/(SUMIFS(Fact_SortedWeights!$E$2:$E$6,Fact_SortedWeights!$C$2:$C$6,$A466,Fact_SortedWeights!$B$2:$B$6,$B466,Fact_SortedWeights!$L$2:$L$6,"No"))*((SUMIFS(Fact_PreSortWeights!$E$2:$E$15,Fact_PreSortWeights!$C$2:$C$15,$A466,Fact_PreSortWeights!$B$2:$B$15,$B466,Fact_PreSortWeights!$F$2:$F$15,""))-(SUMIFS(Fact_SortedWeights!$E$2:$E$6,Fact_SortedWeights!$C$2:$C$6,$A466,Fact_SortedWeights!$B$2:$B$6,$B466,Fact_SortedWeights!$L$2:$L$6,"Yes"))))</f>
        <v>0</v>
      </c>
      <c r="G466" s="0" t="n">
        <f aca="false">IF(AND(IF($B466="Trash",INDEX('Materials Master'!$F$2:$F$27,MATCH($C466,'Materials Master'!$A$2:$A$27,0)),IF($B466="GMPC Recycling",INDEX('Materials Master'!$G$2:$G$27,MATCH($C466,'Materials Master'!$A$2:$A$27,0)),IF($B466="Organics Recycling",INDEX('Materials Master'!$H$2:$H$27,MATCH($C466,'Materials Master'!$A$2:$A$27,0)),IF($B466="Cardboard Recycling",INDEX('Materials Master'!$I$2:$I$27,MATCH($C466,'Materials Master'!$A$2:$A$27,0)),IF($B466="Paper Recycling",INDEX('Materials Master'!$J$2:$J$27,MATCH($C466,'Materials Master'!$A$2:$A$27,0)),IF($B466="Terracycle",INDEX('Materials Master'!$K$2:$K$27,MATCH($C466,'Materials Master'!$A$2:$A$27,0)),"No"))))))="Yes",INDEX('Materials Master'!$E$2:$E$27,MATCH($C466,'Materials Master'!$A$2:$A$27,0))="Yes",$B466&lt;&gt;"Trash"),1,0)</f>
        <v>0</v>
      </c>
      <c r="H466" s="0" t="str">
        <f aca="false">INDEX('Materials Master'!$E$2:$E$27,MATCH($C466,'Materials Master'!$A$2:$A$27,0))</f>
        <v>No</v>
      </c>
      <c r="I466" s="0" t="str">
        <f aca="false">IFERROR(INDEX(Areas!$C$2:$C$6,MATCH($A466,Areas!$B$2:$B$6,0)),"")</f>
        <v>Rest of Building</v>
      </c>
      <c r="J466" s="0" t="n">
        <f aca="false">IF(IF($B466="Trash",INDEX('Materials Master'!$F$2:$F$27,MATCH($C466,'Materials Master'!$A$2:$A$27,0)),IF($B466="GMPC Recycling",INDEX('Materials Master'!$G$2:$G$27,MATCH($C466,'Materials Master'!$A$2:$A$27,0)),IF($B466="Organics Recycling",INDEX('Materials Master'!$H$2:$H$27,MATCH($C466,'Materials Master'!$A$2:$A$27,0)),IF($B466="Cardboard Recycling",INDEX('Materials Master'!$I$2:$I$27,MATCH($C466,'Materials Master'!$A$2:$A$27,0)),IF($B466="Paper Recycling",INDEX('Materials Master'!$J$2:$J$27,MATCH($C466,'Materials Master'!$A$2:$A$27,0)),IF($B466="Terracycle",INDEX('Materials Master'!$K$2:$K$27,MATCH($C466,'Materials Master'!$A$2:$A$27,0)),"No"))))))="Yes",1,0)</f>
        <v>0</v>
      </c>
    </row>
    <row r="467" customFormat="false" ht="15" hidden="false" customHeight="false" outlineLevel="0" collapsed="false">
      <c r="A467" s="0" t="s">
        <v>97</v>
      </c>
      <c r="B467" s="0" t="s">
        <v>108</v>
      </c>
      <c r="C467" s="0" t="s">
        <v>80</v>
      </c>
      <c r="D467" s="0" t="str">
        <f aca="false">IFERROR(INDEX('Materials Master'!$B$2:$B$27,MATCH($C467,'Materials Master'!$A$2:$A$27,0)),"")</f>
        <v>Liquids</v>
      </c>
      <c r="E467" s="0" t="str">
        <f aca="false">IFERROR(INDEX('Materials Master'!$C$2:$C$27,MATCH($C467,'Materials Master'!$A$2:$A$27,0)),"")</f>
        <v>Unacceptable</v>
      </c>
      <c r="F467" s="0" t="n">
        <f aca="false">(SUMIFS(Fact_PreSortWeights!$E$2:$E$15,Fact_PreSortWeights!$C$2:$C$15,$A467,Fact_PreSortWeights!$B$2:$B$15,$B467,Fact_PreSortWeights!$F$2:$F$15,$C467))+(SUMIFS(Fact_SortedWeights!$E$2:$E$6,Fact_SortedWeights!$C$2:$C$6,$A467,Fact_SortedWeights!$B$2:$B$6,$B467,Fact_SortedWeights!$D$2:$D$6,$C467,Fact_SortedWeights!$L$2:$L$6,"Yes"))+IF((SUMIFS(Fact_SortedWeights!$E$2:$E$6,Fact_SortedWeights!$C$2:$C$6,$A467,Fact_SortedWeights!$B$2:$B$6,$B467,Fact_SortedWeights!$L$2:$L$6,"No"))=0,0,(SUMIFS(Fact_SortedWeights!$E$2:$E$6,Fact_SortedWeights!$C$2:$C$6,$A467,Fact_SortedWeights!$B$2:$B$6,$B467,Fact_SortedWeights!$D$2:$D$6,$C467,Fact_SortedWeights!$L$2:$L$6,"No"))/(SUMIFS(Fact_SortedWeights!$E$2:$E$6,Fact_SortedWeights!$C$2:$C$6,$A467,Fact_SortedWeights!$B$2:$B$6,$B467,Fact_SortedWeights!$L$2:$L$6,"No"))*((SUMIFS(Fact_PreSortWeights!$E$2:$E$15,Fact_PreSortWeights!$C$2:$C$15,$A467,Fact_PreSortWeights!$B$2:$B$15,$B467,Fact_PreSortWeights!$F$2:$F$15,""))-(SUMIFS(Fact_SortedWeights!$E$2:$E$6,Fact_SortedWeights!$C$2:$C$6,$A467,Fact_SortedWeights!$B$2:$B$6,$B467,Fact_SortedWeights!$L$2:$L$6,"Yes"))))</f>
        <v>0</v>
      </c>
      <c r="G467" s="0" t="n">
        <f aca="false">IF(AND(IF($B467="Trash",INDEX('Materials Master'!$F$2:$F$27,MATCH($C467,'Materials Master'!$A$2:$A$27,0)),IF($B467="GMPC Recycling",INDEX('Materials Master'!$G$2:$G$27,MATCH($C467,'Materials Master'!$A$2:$A$27,0)),IF($B467="Organics Recycling",INDEX('Materials Master'!$H$2:$H$27,MATCH($C467,'Materials Master'!$A$2:$A$27,0)),IF($B467="Cardboard Recycling",INDEX('Materials Master'!$I$2:$I$27,MATCH($C467,'Materials Master'!$A$2:$A$27,0)),IF($B467="Paper Recycling",INDEX('Materials Master'!$J$2:$J$27,MATCH($C467,'Materials Master'!$A$2:$A$27,0)),IF($B467="Terracycle",INDEX('Materials Master'!$K$2:$K$27,MATCH($C467,'Materials Master'!$A$2:$A$27,0)),"No"))))))="Yes",INDEX('Materials Master'!$E$2:$E$27,MATCH($C467,'Materials Master'!$A$2:$A$27,0))="Yes",$B467&lt;&gt;"Trash"),1,0)</f>
        <v>0</v>
      </c>
      <c r="H467" s="0" t="str">
        <f aca="false">INDEX('Materials Master'!$E$2:$E$27,MATCH($C467,'Materials Master'!$A$2:$A$27,0))</f>
        <v>No</v>
      </c>
      <c r="I467" s="0" t="str">
        <f aca="false">IFERROR(INDEX(Areas!$C$2:$C$6,MATCH($A467,Areas!$B$2:$B$6,0)),"")</f>
        <v>Rest of Building</v>
      </c>
      <c r="J467" s="0" t="n">
        <f aca="false">IF(IF($B467="Trash",INDEX('Materials Master'!$F$2:$F$27,MATCH($C467,'Materials Master'!$A$2:$A$27,0)),IF($B467="GMPC Recycling",INDEX('Materials Master'!$G$2:$G$27,MATCH($C467,'Materials Master'!$A$2:$A$27,0)),IF($B467="Organics Recycling",INDEX('Materials Master'!$H$2:$H$27,MATCH($C467,'Materials Master'!$A$2:$A$27,0)),IF($B467="Cardboard Recycling",INDEX('Materials Master'!$I$2:$I$27,MATCH($C467,'Materials Master'!$A$2:$A$27,0)),IF($B467="Paper Recycling",INDEX('Materials Master'!$J$2:$J$27,MATCH($C467,'Materials Master'!$A$2:$A$27,0)),IF($B467="Terracycle",INDEX('Materials Master'!$K$2:$K$27,MATCH($C467,'Materials Master'!$A$2:$A$27,0)),"No"))))))="Yes",1,0)</f>
        <v>0</v>
      </c>
    </row>
    <row r="468" customFormat="false" ht="15" hidden="false" customHeight="false" outlineLevel="0" collapsed="false">
      <c r="A468" s="0" t="s">
        <v>97</v>
      </c>
      <c r="B468" s="0" t="s">
        <v>108</v>
      </c>
      <c r="C468" s="0" t="s">
        <v>82</v>
      </c>
      <c r="D468" s="0" t="str">
        <f aca="false">IFERROR(INDEX('Materials Master'!$B$2:$B$27,MATCH($C468,'Materials Master'!$A$2:$A$27,0)),"")</f>
        <v>Snack Wrappers (Composites)</v>
      </c>
      <c r="E468" s="0" t="str">
        <f aca="false">IFERROR(INDEX('Materials Master'!$C$2:$C$27,MATCH($C468,'Materials Master'!$A$2:$A$27,0)),"")</f>
        <v>Other</v>
      </c>
      <c r="F468" s="0" t="n">
        <f aca="false">(SUMIFS(Fact_PreSortWeights!$E$2:$E$15,Fact_PreSortWeights!$C$2:$C$15,$A468,Fact_PreSortWeights!$B$2:$B$15,$B468,Fact_PreSortWeights!$F$2:$F$15,$C468))+(SUMIFS(Fact_SortedWeights!$E$2:$E$6,Fact_SortedWeights!$C$2:$C$6,$A468,Fact_SortedWeights!$B$2:$B$6,$B468,Fact_SortedWeights!$D$2:$D$6,$C468,Fact_SortedWeights!$L$2:$L$6,"Yes"))+IF((SUMIFS(Fact_SortedWeights!$E$2:$E$6,Fact_SortedWeights!$C$2:$C$6,$A468,Fact_SortedWeights!$B$2:$B$6,$B468,Fact_SortedWeights!$L$2:$L$6,"No"))=0,0,(SUMIFS(Fact_SortedWeights!$E$2:$E$6,Fact_SortedWeights!$C$2:$C$6,$A468,Fact_SortedWeights!$B$2:$B$6,$B468,Fact_SortedWeights!$D$2:$D$6,$C468,Fact_SortedWeights!$L$2:$L$6,"No"))/(SUMIFS(Fact_SortedWeights!$E$2:$E$6,Fact_SortedWeights!$C$2:$C$6,$A468,Fact_SortedWeights!$B$2:$B$6,$B468,Fact_SortedWeights!$L$2:$L$6,"No"))*((SUMIFS(Fact_PreSortWeights!$E$2:$E$15,Fact_PreSortWeights!$C$2:$C$15,$A468,Fact_PreSortWeights!$B$2:$B$15,$B468,Fact_PreSortWeights!$F$2:$F$15,""))-(SUMIFS(Fact_SortedWeights!$E$2:$E$6,Fact_SortedWeights!$C$2:$C$6,$A468,Fact_SortedWeights!$B$2:$B$6,$B468,Fact_SortedWeights!$L$2:$L$6,"Yes"))))</f>
        <v>0</v>
      </c>
      <c r="G468" s="0" t="n">
        <f aca="false">IF(AND(IF($B468="Trash",INDEX('Materials Master'!$F$2:$F$27,MATCH($C468,'Materials Master'!$A$2:$A$27,0)),IF($B468="GMPC Recycling",INDEX('Materials Master'!$G$2:$G$27,MATCH($C468,'Materials Master'!$A$2:$A$27,0)),IF($B468="Organics Recycling",INDEX('Materials Master'!$H$2:$H$27,MATCH($C468,'Materials Master'!$A$2:$A$27,0)),IF($B468="Cardboard Recycling",INDEX('Materials Master'!$I$2:$I$27,MATCH($C468,'Materials Master'!$A$2:$A$27,0)),IF($B468="Paper Recycling",INDEX('Materials Master'!$J$2:$J$27,MATCH($C468,'Materials Master'!$A$2:$A$27,0)),IF($B468="Terracycle",INDEX('Materials Master'!$K$2:$K$27,MATCH($C468,'Materials Master'!$A$2:$A$27,0)),"No"))))))="Yes",INDEX('Materials Master'!$E$2:$E$27,MATCH($C468,'Materials Master'!$A$2:$A$27,0))="Yes",$B468&lt;&gt;"Trash"),1,0)</f>
        <v>1</v>
      </c>
      <c r="H468" s="0" t="str">
        <f aca="false">INDEX('Materials Master'!$E$2:$E$27,MATCH($C468,'Materials Master'!$A$2:$A$27,0))</f>
        <v>Yes</v>
      </c>
      <c r="I468" s="0" t="str">
        <f aca="false">IFERROR(INDEX(Areas!$C$2:$C$6,MATCH($A468,Areas!$B$2:$B$6,0)),"")</f>
        <v>Rest of Building</v>
      </c>
      <c r="J468" s="0" t="n">
        <f aca="false">IF(IF($B468="Trash",INDEX('Materials Master'!$F$2:$F$27,MATCH($C468,'Materials Master'!$A$2:$A$27,0)),IF($B468="GMPC Recycling",INDEX('Materials Master'!$G$2:$G$27,MATCH($C468,'Materials Master'!$A$2:$A$27,0)),IF($B468="Organics Recycling",INDEX('Materials Master'!$H$2:$H$27,MATCH($C468,'Materials Master'!$A$2:$A$27,0)),IF($B468="Cardboard Recycling",INDEX('Materials Master'!$I$2:$I$27,MATCH($C468,'Materials Master'!$A$2:$A$27,0)),IF($B468="Paper Recycling",INDEX('Materials Master'!$J$2:$J$27,MATCH($C468,'Materials Master'!$A$2:$A$27,0)),IF($B468="Terracycle",INDEX('Materials Master'!$K$2:$K$27,MATCH($C468,'Materials Master'!$A$2:$A$27,0)),"No"))))))="Yes",1,0)</f>
        <v>1</v>
      </c>
    </row>
    <row r="469" customFormat="false" ht="15" hidden="false" customHeight="false" outlineLevel="0" collapsed="false">
      <c r="A469" s="0" t="s">
        <v>97</v>
      </c>
      <c r="B469" s="0" t="s">
        <v>108</v>
      </c>
      <c r="C469" s="0" t="s">
        <v>85</v>
      </c>
      <c r="D469" s="0" t="str">
        <f aca="false">IFERROR(INDEX('Materials Master'!$B$2:$B$27,MATCH($C469,'Materials Master'!$A$2:$A$27,0)),"")</f>
        <v>Other/Residual Materials</v>
      </c>
      <c r="E469" s="0" t="str">
        <f aca="false">IFERROR(INDEX('Materials Master'!$C$2:$C$27,MATCH($C469,'Materials Master'!$A$2:$A$27,0)),"")</f>
        <v>Other</v>
      </c>
      <c r="F469" s="0" t="n">
        <f aca="false">(SUMIFS(Fact_PreSortWeights!$E$2:$E$15,Fact_PreSortWeights!$C$2:$C$15,$A469,Fact_PreSortWeights!$B$2:$B$15,$B469,Fact_PreSortWeights!$F$2:$F$15,$C469))+(SUMIFS(Fact_SortedWeights!$E$2:$E$6,Fact_SortedWeights!$C$2:$C$6,$A469,Fact_SortedWeights!$B$2:$B$6,$B469,Fact_SortedWeights!$D$2:$D$6,$C469,Fact_SortedWeights!$L$2:$L$6,"Yes"))+IF((SUMIFS(Fact_SortedWeights!$E$2:$E$6,Fact_SortedWeights!$C$2:$C$6,$A469,Fact_SortedWeights!$B$2:$B$6,$B469,Fact_SortedWeights!$L$2:$L$6,"No"))=0,0,(SUMIFS(Fact_SortedWeights!$E$2:$E$6,Fact_SortedWeights!$C$2:$C$6,$A469,Fact_SortedWeights!$B$2:$B$6,$B469,Fact_SortedWeights!$D$2:$D$6,$C469,Fact_SortedWeights!$L$2:$L$6,"No"))/(SUMIFS(Fact_SortedWeights!$E$2:$E$6,Fact_SortedWeights!$C$2:$C$6,$A469,Fact_SortedWeights!$B$2:$B$6,$B469,Fact_SortedWeights!$L$2:$L$6,"No"))*((SUMIFS(Fact_PreSortWeights!$E$2:$E$15,Fact_PreSortWeights!$C$2:$C$15,$A469,Fact_PreSortWeights!$B$2:$B$15,$B469,Fact_PreSortWeights!$F$2:$F$15,""))-(SUMIFS(Fact_SortedWeights!$E$2:$E$6,Fact_SortedWeights!$C$2:$C$6,$A469,Fact_SortedWeights!$B$2:$B$6,$B469,Fact_SortedWeights!$L$2:$L$6,"Yes"))))</f>
        <v>0</v>
      </c>
      <c r="G469" s="0" t="n">
        <f aca="false">IF(AND(IF($B469="Trash",INDEX('Materials Master'!$F$2:$F$27,MATCH($C469,'Materials Master'!$A$2:$A$27,0)),IF($B469="GMPC Recycling",INDEX('Materials Master'!$G$2:$G$27,MATCH($C469,'Materials Master'!$A$2:$A$27,0)),IF($B469="Organics Recycling",INDEX('Materials Master'!$H$2:$H$27,MATCH($C469,'Materials Master'!$A$2:$A$27,0)),IF($B469="Cardboard Recycling",INDEX('Materials Master'!$I$2:$I$27,MATCH($C469,'Materials Master'!$A$2:$A$27,0)),IF($B469="Paper Recycling",INDEX('Materials Master'!$J$2:$J$27,MATCH($C469,'Materials Master'!$A$2:$A$27,0)),IF($B469="Terracycle",INDEX('Materials Master'!$K$2:$K$27,MATCH($C469,'Materials Master'!$A$2:$A$27,0)),"No"))))))="Yes",INDEX('Materials Master'!$E$2:$E$27,MATCH($C469,'Materials Master'!$A$2:$A$27,0))="Yes",$B469&lt;&gt;"Trash"),1,0)</f>
        <v>0</v>
      </c>
      <c r="H469" s="0" t="str">
        <f aca="false">INDEX('Materials Master'!$E$2:$E$27,MATCH($C469,'Materials Master'!$A$2:$A$27,0))</f>
        <v>No</v>
      </c>
      <c r="I469" s="0" t="str">
        <f aca="false">IFERROR(INDEX(Areas!$C$2:$C$6,MATCH($A469,Areas!$B$2:$B$6,0)),"")</f>
        <v>Rest of Building</v>
      </c>
      <c r="J469" s="0" t="n">
        <f aca="false">IF(IF($B469="Trash",INDEX('Materials Master'!$F$2:$F$27,MATCH($C469,'Materials Master'!$A$2:$A$27,0)),IF($B469="GMPC Recycling",INDEX('Materials Master'!$G$2:$G$27,MATCH($C469,'Materials Master'!$A$2:$A$27,0)),IF($B469="Organics Recycling",INDEX('Materials Master'!$H$2:$H$27,MATCH($C469,'Materials Master'!$A$2:$A$27,0)),IF($B469="Cardboard Recycling",INDEX('Materials Master'!$I$2:$I$27,MATCH($C469,'Materials Master'!$A$2:$A$27,0)),IF($B469="Paper Recycling",INDEX('Materials Master'!$J$2:$J$27,MATCH($C469,'Materials Master'!$A$2:$A$27,0)),IF($B469="Terracycle",INDEX('Materials Master'!$K$2:$K$27,MATCH($C469,'Materials Master'!$A$2:$A$27,0)),"No"))))))="Yes",1,0)</f>
        <v>0</v>
      </c>
    </row>
    <row r="470" customFormat="false" ht="15" hidden="false" customHeight="false" outlineLevel="0" collapsed="false">
      <c r="A470" s="0" t="s">
        <v>99</v>
      </c>
      <c r="B470" s="0" t="s">
        <v>103</v>
      </c>
      <c r="C470" s="0" t="s">
        <v>26</v>
      </c>
      <c r="D470" s="0" t="str">
        <f aca="false">IFERROR(INDEX('Materials Master'!$B$2:$B$27,MATCH($C470,'Materials Master'!$A$2:$A$27,0)),"")</f>
        <v>Corrugated Cardboard</v>
      </c>
      <c r="E470" s="0" t="str">
        <f aca="false">IFERROR(INDEX('Materials Master'!$C$2:$C$27,MATCH($C470,'Materials Master'!$A$2:$A$27,0)),"")</f>
        <v>Fibers</v>
      </c>
      <c r="F470" s="0" t="n">
        <f aca="false">(SUMIFS(Fact_PreSortWeights!$E$2:$E$15,Fact_PreSortWeights!$C$2:$C$15,$A470,Fact_PreSortWeights!$B$2:$B$15,$B470,Fact_PreSortWeights!$F$2:$F$15,$C470))+(SUMIFS(Fact_SortedWeights!$E$2:$E$6,Fact_SortedWeights!$C$2:$C$6,$A470,Fact_SortedWeights!$B$2:$B$6,$B470,Fact_SortedWeights!$D$2:$D$6,$C470,Fact_SortedWeights!$L$2:$L$6,"Yes"))+IF((SUMIFS(Fact_SortedWeights!$E$2:$E$6,Fact_SortedWeights!$C$2:$C$6,$A470,Fact_SortedWeights!$B$2:$B$6,$B470,Fact_SortedWeights!$L$2:$L$6,"No"))=0,0,(SUMIFS(Fact_SortedWeights!$E$2:$E$6,Fact_SortedWeights!$C$2:$C$6,$A470,Fact_SortedWeights!$B$2:$B$6,$B470,Fact_SortedWeights!$D$2:$D$6,$C470,Fact_SortedWeights!$L$2:$L$6,"No"))/(SUMIFS(Fact_SortedWeights!$E$2:$E$6,Fact_SortedWeights!$C$2:$C$6,$A470,Fact_SortedWeights!$B$2:$B$6,$B470,Fact_SortedWeights!$L$2:$L$6,"No"))*((SUMIFS(Fact_PreSortWeights!$E$2:$E$15,Fact_PreSortWeights!$C$2:$C$15,$A470,Fact_PreSortWeights!$B$2:$B$15,$B470,Fact_PreSortWeights!$F$2:$F$15,""))-(SUMIFS(Fact_SortedWeights!$E$2:$E$6,Fact_SortedWeights!$C$2:$C$6,$A470,Fact_SortedWeights!$B$2:$B$6,$B470,Fact_SortedWeights!$L$2:$L$6,"Yes"))))</f>
        <v>0</v>
      </c>
      <c r="G470" s="0" t="n">
        <f aca="false">IF(AND(IF($B470="Trash",INDEX('Materials Master'!$F$2:$F$27,MATCH($C470,'Materials Master'!$A$2:$A$27,0)),IF($B470="GMPC Recycling",INDEX('Materials Master'!$G$2:$G$27,MATCH($C470,'Materials Master'!$A$2:$A$27,0)),IF($B470="Organics Recycling",INDEX('Materials Master'!$H$2:$H$27,MATCH($C470,'Materials Master'!$A$2:$A$27,0)),IF($B470="Cardboard Recycling",INDEX('Materials Master'!$I$2:$I$27,MATCH($C470,'Materials Master'!$A$2:$A$27,0)),IF($B470="Paper Recycling",INDEX('Materials Master'!$J$2:$J$27,MATCH($C470,'Materials Master'!$A$2:$A$27,0)),IF($B470="Terracycle",INDEX('Materials Master'!$K$2:$K$27,MATCH($C470,'Materials Master'!$A$2:$A$27,0)),"No"))))))="Yes",INDEX('Materials Master'!$E$2:$E$27,MATCH($C470,'Materials Master'!$A$2:$A$27,0))="Yes",$B470&lt;&gt;"Trash"),1,0)</f>
        <v>0</v>
      </c>
      <c r="H470" s="0" t="str">
        <f aca="false">INDEX('Materials Master'!$E$2:$E$27,MATCH($C470,'Materials Master'!$A$2:$A$27,0))</f>
        <v>Yes</v>
      </c>
      <c r="I470" s="0" t="str">
        <f aca="false">IFERROR(INDEX(Areas!$C$2:$C$6,MATCH($A470,Areas!$B$2:$B$6,0)),"")</f>
        <v>Rest of Building</v>
      </c>
      <c r="J470" s="0" t="n">
        <f aca="false">IF(IF($B470="Trash",INDEX('Materials Master'!$F$2:$F$27,MATCH($C470,'Materials Master'!$A$2:$A$27,0)),IF($B470="GMPC Recycling",INDEX('Materials Master'!$G$2:$G$27,MATCH($C470,'Materials Master'!$A$2:$A$27,0)),IF($B470="Organics Recycling",INDEX('Materials Master'!$H$2:$H$27,MATCH($C470,'Materials Master'!$A$2:$A$27,0)),IF($B470="Cardboard Recycling",INDEX('Materials Master'!$I$2:$I$27,MATCH($C470,'Materials Master'!$A$2:$A$27,0)),IF($B470="Paper Recycling",INDEX('Materials Master'!$J$2:$J$27,MATCH($C470,'Materials Master'!$A$2:$A$27,0)),IF($B470="Terracycle",INDEX('Materials Master'!$K$2:$K$27,MATCH($C470,'Materials Master'!$A$2:$A$27,0)),"No"))))))="Yes",1,0)</f>
        <v>0</v>
      </c>
    </row>
    <row r="471" customFormat="false" ht="15" hidden="false" customHeight="false" outlineLevel="0" collapsed="false">
      <c r="A471" s="0" t="s">
        <v>99</v>
      </c>
      <c r="B471" s="0" t="s">
        <v>103</v>
      </c>
      <c r="C471" s="0" t="s">
        <v>31</v>
      </c>
      <c r="D471" s="0" t="str">
        <f aca="false">IFERROR(INDEX('Materials Master'!$B$2:$B$27,MATCH($C471,'Materials Master'!$A$2:$A$27,0)),"")</f>
        <v>Soiled Cardboard</v>
      </c>
      <c r="E471" s="0" t="str">
        <f aca="false">IFERROR(INDEX('Materials Master'!$C$2:$C$27,MATCH($C471,'Materials Master'!$A$2:$A$27,0)),"")</f>
        <v>Fibers</v>
      </c>
      <c r="F471" s="0" t="n">
        <f aca="false">(SUMIFS(Fact_PreSortWeights!$E$2:$E$15,Fact_PreSortWeights!$C$2:$C$15,$A471,Fact_PreSortWeights!$B$2:$B$15,$B471,Fact_PreSortWeights!$F$2:$F$15,$C471))+(SUMIFS(Fact_SortedWeights!$E$2:$E$6,Fact_SortedWeights!$C$2:$C$6,$A471,Fact_SortedWeights!$B$2:$B$6,$B471,Fact_SortedWeights!$D$2:$D$6,$C471,Fact_SortedWeights!$L$2:$L$6,"Yes"))+IF((SUMIFS(Fact_SortedWeights!$E$2:$E$6,Fact_SortedWeights!$C$2:$C$6,$A471,Fact_SortedWeights!$B$2:$B$6,$B471,Fact_SortedWeights!$L$2:$L$6,"No"))=0,0,(SUMIFS(Fact_SortedWeights!$E$2:$E$6,Fact_SortedWeights!$C$2:$C$6,$A471,Fact_SortedWeights!$B$2:$B$6,$B471,Fact_SortedWeights!$D$2:$D$6,$C471,Fact_SortedWeights!$L$2:$L$6,"No"))/(SUMIFS(Fact_SortedWeights!$E$2:$E$6,Fact_SortedWeights!$C$2:$C$6,$A471,Fact_SortedWeights!$B$2:$B$6,$B471,Fact_SortedWeights!$L$2:$L$6,"No"))*((SUMIFS(Fact_PreSortWeights!$E$2:$E$15,Fact_PreSortWeights!$C$2:$C$15,$A471,Fact_PreSortWeights!$B$2:$B$15,$B471,Fact_PreSortWeights!$F$2:$F$15,""))-(SUMIFS(Fact_SortedWeights!$E$2:$E$6,Fact_SortedWeights!$C$2:$C$6,$A471,Fact_SortedWeights!$B$2:$B$6,$B471,Fact_SortedWeights!$L$2:$L$6,"Yes"))))</f>
        <v>0</v>
      </c>
      <c r="G471" s="0" t="n">
        <f aca="false">IF(AND(IF($B471="Trash",INDEX('Materials Master'!$F$2:$F$27,MATCH($C471,'Materials Master'!$A$2:$A$27,0)),IF($B471="GMPC Recycling",INDEX('Materials Master'!$G$2:$G$27,MATCH($C471,'Materials Master'!$A$2:$A$27,0)),IF($B471="Organics Recycling",INDEX('Materials Master'!$H$2:$H$27,MATCH($C471,'Materials Master'!$A$2:$A$27,0)),IF($B471="Cardboard Recycling",INDEX('Materials Master'!$I$2:$I$27,MATCH($C471,'Materials Master'!$A$2:$A$27,0)),IF($B471="Paper Recycling",INDEX('Materials Master'!$J$2:$J$27,MATCH($C471,'Materials Master'!$A$2:$A$27,0)),IF($B471="Terracycle",INDEX('Materials Master'!$K$2:$K$27,MATCH($C471,'Materials Master'!$A$2:$A$27,0)),"No"))))))="Yes",INDEX('Materials Master'!$E$2:$E$27,MATCH($C471,'Materials Master'!$A$2:$A$27,0))="Yes",$B471&lt;&gt;"Trash"),1,0)</f>
        <v>0</v>
      </c>
      <c r="H471" s="0" t="str">
        <f aca="false">INDEX('Materials Master'!$E$2:$E$27,MATCH($C471,'Materials Master'!$A$2:$A$27,0))</f>
        <v>No</v>
      </c>
      <c r="I471" s="0" t="str">
        <f aca="false">IFERROR(INDEX(Areas!$C$2:$C$6,MATCH($A471,Areas!$B$2:$B$6,0)),"")</f>
        <v>Rest of Building</v>
      </c>
      <c r="J471" s="0" t="n">
        <f aca="false">IF(IF($B471="Trash",INDEX('Materials Master'!$F$2:$F$27,MATCH($C471,'Materials Master'!$A$2:$A$27,0)),IF($B471="GMPC Recycling",INDEX('Materials Master'!$G$2:$G$27,MATCH($C471,'Materials Master'!$A$2:$A$27,0)),IF($B471="Organics Recycling",INDEX('Materials Master'!$H$2:$H$27,MATCH($C471,'Materials Master'!$A$2:$A$27,0)),IF($B471="Cardboard Recycling",INDEX('Materials Master'!$I$2:$I$27,MATCH($C471,'Materials Master'!$A$2:$A$27,0)),IF($B471="Paper Recycling",INDEX('Materials Master'!$J$2:$J$27,MATCH($C471,'Materials Master'!$A$2:$A$27,0)),IF($B471="Terracycle",INDEX('Materials Master'!$K$2:$K$27,MATCH($C471,'Materials Master'!$A$2:$A$27,0)),"No"))))))="Yes",1,0)</f>
        <v>1</v>
      </c>
    </row>
    <row r="472" customFormat="false" ht="15" hidden="false" customHeight="false" outlineLevel="0" collapsed="false">
      <c r="A472" s="0" t="s">
        <v>99</v>
      </c>
      <c r="B472" s="0" t="s">
        <v>103</v>
      </c>
      <c r="C472" s="0" t="s">
        <v>33</v>
      </c>
      <c r="D472" s="0" t="str">
        <f aca="false">IFERROR(INDEX('Materials Master'!$B$2:$B$27,MATCH($C472,'Materials Master'!$A$2:$A$27,0)),"")</f>
        <v>Waxed Cardboard</v>
      </c>
      <c r="E472" s="0" t="str">
        <f aca="false">IFERROR(INDEX('Materials Master'!$C$2:$C$27,MATCH($C472,'Materials Master'!$A$2:$A$27,0)),"")</f>
        <v>Fibers</v>
      </c>
      <c r="F472" s="0" t="n">
        <f aca="false">(SUMIFS(Fact_PreSortWeights!$E$2:$E$15,Fact_PreSortWeights!$C$2:$C$15,$A472,Fact_PreSortWeights!$B$2:$B$15,$B472,Fact_PreSortWeights!$F$2:$F$15,$C472))+(SUMIFS(Fact_SortedWeights!$E$2:$E$6,Fact_SortedWeights!$C$2:$C$6,$A472,Fact_SortedWeights!$B$2:$B$6,$B472,Fact_SortedWeights!$D$2:$D$6,$C472,Fact_SortedWeights!$L$2:$L$6,"Yes"))+IF((SUMIFS(Fact_SortedWeights!$E$2:$E$6,Fact_SortedWeights!$C$2:$C$6,$A472,Fact_SortedWeights!$B$2:$B$6,$B472,Fact_SortedWeights!$L$2:$L$6,"No"))=0,0,(SUMIFS(Fact_SortedWeights!$E$2:$E$6,Fact_SortedWeights!$C$2:$C$6,$A472,Fact_SortedWeights!$B$2:$B$6,$B472,Fact_SortedWeights!$D$2:$D$6,$C472,Fact_SortedWeights!$L$2:$L$6,"No"))/(SUMIFS(Fact_SortedWeights!$E$2:$E$6,Fact_SortedWeights!$C$2:$C$6,$A472,Fact_SortedWeights!$B$2:$B$6,$B472,Fact_SortedWeights!$L$2:$L$6,"No"))*((SUMIFS(Fact_PreSortWeights!$E$2:$E$15,Fact_PreSortWeights!$C$2:$C$15,$A472,Fact_PreSortWeights!$B$2:$B$15,$B472,Fact_PreSortWeights!$F$2:$F$15,""))-(SUMIFS(Fact_SortedWeights!$E$2:$E$6,Fact_SortedWeights!$C$2:$C$6,$A472,Fact_SortedWeights!$B$2:$B$6,$B472,Fact_SortedWeights!$L$2:$L$6,"Yes"))))</f>
        <v>0</v>
      </c>
      <c r="G472" s="0" t="n">
        <f aca="false">IF(AND(IF($B472="Trash",INDEX('Materials Master'!$F$2:$F$27,MATCH($C472,'Materials Master'!$A$2:$A$27,0)),IF($B472="GMPC Recycling",INDEX('Materials Master'!$G$2:$G$27,MATCH($C472,'Materials Master'!$A$2:$A$27,0)),IF($B472="Organics Recycling",INDEX('Materials Master'!$H$2:$H$27,MATCH($C472,'Materials Master'!$A$2:$A$27,0)),IF($B472="Cardboard Recycling",INDEX('Materials Master'!$I$2:$I$27,MATCH($C472,'Materials Master'!$A$2:$A$27,0)),IF($B472="Paper Recycling",INDEX('Materials Master'!$J$2:$J$27,MATCH($C472,'Materials Master'!$A$2:$A$27,0)),IF($B472="Terracycle",INDEX('Materials Master'!$K$2:$K$27,MATCH($C472,'Materials Master'!$A$2:$A$27,0)),"No"))))))="Yes",INDEX('Materials Master'!$E$2:$E$27,MATCH($C472,'Materials Master'!$A$2:$A$27,0))="Yes",$B472&lt;&gt;"Trash"),1,0)</f>
        <v>0</v>
      </c>
      <c r="H472" s="0" t="str">
        <f aca="false">INDEX('Materials Master'!$E$2:$E$27,MATCH($C472,'Materials Master'!$A$2:$A$27,0))</f>
        <v>No</v>
      </c>
      <c r="I472" s="0" t="str">
        <f aca="false">IFERROR(INDEX(Areas!$C$2:$C$6,MATCH($A472,Areas!$B$2:$B$6,0)),"")</f>
        <v>Rest of Building</v>
      </c>
      <c r="J472" s="0" t="n">
        <f aca="false">IF(IF($B472="Trash",INDEX('Materials Master'!$F$2:$F$27,MATCH($C472,'Materials Master'!$A$2:$A$27,0)),IF($B472="GMPC Recycling",INDEX('Materials Master'!$G$2:$G$27,MATCH($C472,'Materials Master'!$A$2:$A$27,0)),IF($B472="Organics Recycling",INDEX('Materials Master'!$H$2:$H$27,MATCH($C472,'Materials Master'!$A$2:$A$27,0)),IF($B472="Cardboard Recycling",INDEX('Materials Master'!$I$2:$I$27,MATCH($C472,'Materials Master'!$A$2:$A$27,0)),IF($B472="Paper Recycling",INDEX('Materials Master'!$J$2:$J$27,MATCH($C472,'Materials Master'!$A$2:$A$27,0)),IF($B472="Terracycle",INDEX('Materials Master'!$K$2:$K$27,MATCH($C472,'Materials Master'!$A$2:$A$27,0)),"No"))))))="Yes",1,0)</f>
        <v>1</v>
      </c>
    </row>
    <row r="473" customFormat="false" ht="15" hidden="false" customHeight="false" outlineLevel="0" collapsed="false">
      <c r="A473" s="0" t="s">
        <v>99</v>
      </c>
      <c r="B473" s="0" t="s">
        <v>103</v>
      </c>
      <c r="C473" s="0" t="s">
        <v>35</v>
      </c>
      <c r="D473" s="0" t="str">
        <f aca="false">IFERROR(INDEX('Materials Master'!$B$2:$B$27,MATCH($C473,'Materials Master'!$A$2:$A$27,0)),"")</f>
        <v>Mixed Paper</v>
      </c>
      <c r="E473" s="0" t="str">
        <f aca="false">IFERROR(INDEX('Materials Master'!$C$2:$C$27,MATCH($C473,'Materials Master'!$A$2:$A$27,0)),"")</f>
        <v>Fibers</v>
      </c>
      <c r="F473" s="0" t="n">
        <f aca="false">(SUMIFS(Fact_PreSortWeights!$E$2:$E$15,Fact_PreSortWeights!$C$2:$C$15,$A473,Fact_PreSortWeights!$B$2:$B$15,$B473,Fact_PreSortWeights!$F$2:$F$15,$C473))+(SUMIFS(Fact_SortedWeights!$E$2:$E$6,Fact_SortedWeights!$C$2:$C$6,$A473,Fact_SortedWeights!$B$2:$B$6,$B473,Fact_SortedWeights!$D$2:$D$6,$C473,Fact_SortedWeights!$L$2:$L$6,"Yes"))+IF((SUMIFS(Fact_SortedWeights!$E$2:$E$6,Fact_SortedWeights!$C$2:$C$6,$A473,Fact_SortedWeights!$B$2:$B$6,$B473,Fact_SortedWeights!$L$2:$L$6,"No"))=0,0,(SUMIFS(Fact_SortedWeights!$E$2:$E$6,Fact_SortedWeights!$C$2:$C$6,$A473,Fact_SortedWeights!$B$2:$B$6,$B473,Fact_SortedWeights!$D$2:$D$6,$C473,Fact_SortedWeights!$L$2:$L$6,"No"))/(SUMIFS(Fact_SortedWeights!$E$2:$E$6,Fact_SortedWeights!$C$2:$C$6,$A473,Fact_SortedWeights!$B$2:$B$6,$B473,Fact_SortedWeights!$L$2:$L$6,"No"))*((SUMIFS(Fact_PreSortWeights!$E$2:$E$15,Fact_PreSortWeights!$C$2:$C$15,$A473,Fact_PreSortWeights!$B$2:$B$15,$B473,Fact_PreSortWeights!$F$2:$F$15,""))-(SUMIFS(Fact_SortedWeights!$E$2:$E$6,Fact_SortedWeights!$C$2:$C$6,$A473,Fact_SortedWeights!$B$2:$B$6,$B473,Fact_SortedWeights!$L$2:$L$6,"Yes"))))</f>
        <v>0</v>
      </c>
      <c r="G473" s="0" t="n">
        <f aca="false">IF(AND(IF($B473="Trash",INDEX('Materials Master'!$F$2:$F$27,MATCH($C473,'Materials Master'!$A$2:$A$27,0)),IF($B473="GMPC Recycling",INDEX('Materials Master'!$G$2:$G$27,MATCH($C473,'Materials Master'!$A$2:$A$27,0)),IF($B473="Organics Recycling",INDEX('Materials Master'!$H$2:$H$27,MATCH($C473,'Materials Master'!$A$2:$A$27,0)),IF($B473="Cardboard Recycling",INDEX('Materials Master'!$I$2:$I$27,MATCH($C473,'Materials Master'!$A$2:$A$27,0)),IF($B473="Paper Recycling",INDEX('Materials Master'!$J$2:$J$27,MATCH($C473,'Materials Master'!$A$2:$A$27,0)),IF($B473="Terracycle",INDEX('Materials Master'!$K$2:$K$27,MATCH($C473,'Materials Master'!$A$2:$A$27,0)),"No"))))))="Yes",INDEX('Materials Master'!$E$2:$E$27,MATCH($C473,'Materials Master'!$A$2:$A$27,0))="Yes",$B473&lt;&gt;"Trash"),1,0)</f>
        <v>0</v>
      </c>
      <c r="H473" s="0" t="str">
        <f aca="false">INDEX('Materials Master'!$E$2:$E$27,MATCH($C473,'Materials Master'!$A$2:$A$27,0))</f>
        <v>Yes</v>
      </c>
      <c r="I473" s="0" t="str">
        <f aca="false">IFERROR(INDEX(Areas!$C$2:$C$6,MATCH($A473,Areas!$B$2:$B$6,0)),"")</f>
        <v>Rest of Building</v>
      </c>
      <c r="J473" s="0" t="n">
        <f aca="false">IF(IF($B473="Trash",INDEX('Materials Master'!$F$2:$F$27,MATCH($C473,'Materials Master'!$A$2:$A$27,0)),IF($B473="GMPC Recycling",INDEX('Materials Master'!$G$2:$G$27,MATCH($C473,'Materials Master'!$A$2:$A$27,0)),IF($B473="Organics Recycling",INDEX('Materials Master'!$H$2:$H$27,MATCH($C473,'Materials Master'!$A$2:$A$27,0)),IF($B473="Cardboard Recycling",INDEX('Materials Master'!$I$2:$I$27,MATCH($C473,'Materials Master'!$A$2:$A$27,0)),IF($B473="Paper Recycling",INDEX('Materials Master'!$J$2:$J$27,MATCH($C473,'Materials Master'!$A$2:$A$27,0)),IF($B473="Terracycle",INDEX('Materials Master'!$K$2:$K$27,MATCH($C473,'Materials Master'!$A$2:$A$27,0)),"No"))))))="Yes",1,0)</f>
        <v>0</v>
      </c>
    </row>
    <row r="474" customFormat="false" ht="15" hidden="false" customHeight="false" outlineLevel="0" collapsed="false">
      <c r="A474" s="0" t="s">
        <v>99</v>
      </c>
      <c r="B474" s="0" t="s">
        <v>103</v>
      </c>
      <c r="C474" s="0" t="s">
        <v>37</v>
      </c>
      <c r="D474" s="0" t="str">
        <f aca="false">IFERROR(INDEX('Materials Master'!$B$2:$B$27,MATCH($C474,'Materials Master'!$A$2:$A$27,0)),"")</f>
        <v>Soiled Paper</v>
      </c>
      <c r="E474" s="0" t="str">
        <f aca="false">IFERROR(INDEX('Materials Master'!$C$2:$C$27,MATCH($C474,'Materials Master'!$A$2:$A$27,0)),"")</f>
        <v>Fibers</v>
      </c>
      <c r="F474" s="0" t="n">
        <f aca="false">(SUMIFS(Fact_PreSortWeights!$E$2:$E$15,Fact_PreSortWeights!$C$2:$C$15,$A474,Fact_PreSortWeights!$B$2:$B$15,$B474,Fact_PreSortWeights!$F$2:$F$15,$C474))+(SUMIFS(Fact_SortedWeights!$E$2:$E$6,Fact_SortedWeights!$C$2:$C$6,$A474,Fact_SortedWeights!$B$2:$B$6,$B474,Fact_SortedWeights!$D$2:$D$6,$C474,Fact_SortedWeights!$L$2:$L$6,"Yes"))+IF((SUMIFS(Fact_SortedWeights!$E$2:$E$6,Fact_SortedWeights!$C$2:$C$6,$A474,Fact_SortedWeights!$B$2:$B$6,$B474,Fact_SortedWeights!$L$2:$L$6,"No"))=0,0,(SUMIFS(Fact_SortedWeights!$E$2:$E$6,Fact_SortedWeights!$C$2:$C$6,$A474,Fact_SortedWeights!$B$2:$B$6,$B474,Fact_SortedWeights!$D$2:$D$6,$C474,Fact_SortedWeights!$L$2:$L$6,"No"))/(SUMIFS(Fact_SortedWeights!$E$2:$E$6,Fact_SortedWeights!$C$2:$C$6,$A474,Fact_SortedWeights!$B$2:$B$6,$B474,Fact_SortedWeights!$L$2:$L$6,"No"))*((SUMIFS(Fact_PreSortWeights!$E$2:$E$15,Fact_PreSortWeights!$C$2:$C$15,$A474,Fact_PreSortWeights!$B$2:$B$15,$B474,Fact_PreSortWeights!$F$2:$F$15,""))-(SUMIFS(Fact_SortedWeights!$E$2:$E$6,Fact_SortedWeights!$C$2:$C$6,$A474,Fact_SortedWeights!$B$2:$B$6,$B474,Fact_SortedWeights!$L$2:$L$6,"Yes"))))</f>
        <v>0</v>
      </c>
      <c r="G474" s="0" t="n">
        <f aca="false">IF(AND(IF($B474="Trash",INDEX('Materials Master'!$F$2:$F$27,MATCH($C474,'Materials Master'!$A$2:$A$27,0)),IF($B474="GMPC Recycling",INDEX('Materials Master'!$G$2:$G$27,MATCH($C474,'Materials Master'!$A$2:$A$27,0)),IF($B474="Organics Recycling",INDEX('Materials Master'!$H$2:$H$27,MATCH($C474,'Materials Master'!$A$2:$A$27,0)),IF($B474="Cardboard Recycling",INDEX('Materials Master'!$I$2:$I$27,MATCH($C474,'Materials Master'!$A$2:$A$27,0)),IF($B474="Paper Recycling",INDEX('Materials Master'!$J$2:$J$27,MATCH($C474,'Materials Master'!$A$2:$A$27,0)),IF($B474="Terracycle",INDEX('Materials Master'!$K$2:$K$27,MATCH($C474,'Materials Master'!$A$2:$A$27,0)),"No"))))))="Yes",INDEX('Materials Master'!$E$2:$E$27,MATCH($C474,'Materials Master'!$A$2:$A$27,0))="Yes",$B474&lt;&gt;"Trash"),1,0)</f>
        <v>0</v>
      </c>
      <c r="H474" s="0" t="str">
        <f aca="false">INDEX('Materials Master'!$E$2:$E$27,MATCH($C474,'Materials Master'!$A$2:$A$27,0))</f>
        <v>No</v>
      </c>
      <c r="I474" s="0" t="str">
        <f aca="false">IFERROR(INDEX(Areas!$C$2:$C$6,MATCH($A474,Areas!$B$2:$B$6,0)),"")</f>
        <v>Rest of Building</v>
      </c>
      <c r="J474" s="0" t="n">
        <f aca="false">IF(IF($B474="Trash",INDEX('Materials Master'!$F$2:$F$27,MATCH($C474,'Materials Master'!$A$2:$A$27,0)),IF($B474="GMPC Recycling",INDEX('Materials Master'!$G$2:$G$27,MATCH($C474,'Materials Master'!$A$2:$A$27,0)),IF($B474="Organics Recycling",INDEX('Materials Master'!$H$2:$H$27,MATCH($C474,'Materials Master'!$A$2:$A$27,0)),IF($B474="Cardboard Recycling",INDEX('Materials Master'!$I$2:$I$27,MATCH($C474,'Materials Master'!$A$2:$A$27,0)),IF($B474="Paper Recycling",INDEX('Materials Master'!$J$2:$J$27,MATCH($C474,'Materials Master'!$A$2:$A$27,0)),IF($B474="Terracycle",INDEX('Materials Master'!$K$2:$K$27,MATCH($C474,'Materials Master'!$A$2:$A$27,0)),"No"))))))="Yes",1,0)</f>
        <v>1</v>
      </c>
    </row>
    <row r="475" customFormat="false" ht="15" hidden="false" customHeight="false" outlineLevel="0" collapsed="false">
      <c r="A475" s="0" t="s">
        <v>99</v>
      </c>
      <c r="B475" s="0" t="s">
        <v>103</v>
      </c>
      <c r="C475" s="0" t="s">
        <v>39</v>
      </c>
      <c r="D475" s="0" t="str">
        <f aca="false">IFERROR(INDEX('Materials Master'!$B$2:$B$27,MATCH($C475,'Materials Master'!$A$2:$A$27,0)),"")</f>
        <v>Beverage Cartons</v>
      </c>
      <c r="E475" s="0" t="str">
        <f aca="false">IFERROR(INDEX('Materials Master'!$C$2:$C$27,MATCH($C475,'Materials Master'!$A$2:$A$27,0)),"")</f>
        <v>Fibers</v>
      </c>
      <c r="F475" s="0" t="n">
        <f aca="false">(SUMIFS(Fact_PreSortWeights!$E$2:$E$15,Fact_PreSortWeights!$C$2:$C$15,$A475,Fact_PreSortWeights!$B$2:$B$15,$B475,Fact_PreSortWeights!$F$2:$F$15,$C475))+(SUMIFS(Fact_SortedWeights!$E$2:$E$6,Fact_SortedWeights!$C$2:$C$6,$A475,Fact_SortedWeights!$B$2:$B$6,$B475,Fact_SortedWeights!$D$2:$D$6,$C475,Fact_SortedWeights!$L$2:$L$6,"Yes"))+IF((SUMIFS(Fact_SortedWeights!$E$2:$E$6,Fact_SortedWeights!$C$2:$C$6,$A475,Fact_SortedWeights!$B$2:$B$6,$B475,Fact_SortedWeights!$L$2:$L$6,"No"))=0,0,(SUMIFS(Fact_SortedWeights!$E$2:$E$6,Fact_SortedWeights!$C$2:$C$6,$A475,Fact_SortedWeights!$B$2:$B$6,$B475,Fact_SortedWeights!$D$2:$D$6,$C475,Fact_SortedWeights!$L$2:$L$6,"No"))/(SUMIFS(Fact_SortedWeights!$E$2:$E$6,Fact_SortedWeights!$C$2:$C$6,$A475,Fact_SortedWeights!$B$2:$B$6,$B475,Fact_SortedWeights!$L$2:$L$6,"No"))*((SUMIFS(Fact_PreSortWeights!$E$2:$E$15,Fact_PreSortWeights!$C$2:$C$15,$A475,Fact_PreSortWeights!$B$2:$B$15,$B475,Fact_PreSortWeights!$F$2:$F$15,""))-(SUMIFS(Fact_SortedWeights!$E$2:$E$6,Fact_SortedWeights!$C$2:$C$6,$A475,Fact_SortedWeights!$B$2:$B$6,$B475,Fact_SortedWeights!$L$2:$L$6,"Yes"))))</f>
        <v>0</v>
      </c>
      <c r="G475" s="0" t="n">
        <f aca="false">IF(AND(IF($B475="Trash",INDEX('Materials Master'!$F$2:$F$27,MATCH($C475,'Materials Master'!$A$2:$A$27,0)),IF($B475="GMPC Recycling",INDEX('Materials Master'!$G$2:$G$27,MATCH($C475,'Materials Master'!$A$2:$A$27,0)),IF($B475="Organics Recycling",INDEX('Materials Master'!$H$2:$H$27,MATCH($C475,'Materials Master'!$A$2:$A$27,0)),IF($B475="Cardboard Recycling",INDEX('Materials Master'!$I$2:$I$27,MATCH($C475,'Materials Master'!$A$2:$A$27,0)),IF($B475="Paper Recycling",INDEX('Materials Master'!$J$2:$J$27,MATCH($C475,'Materials Master'!$A$2:$A$27,0)),IF($B475="Terracycle",INDEX('Materials Master'!$K$2:$K$27,MATCH($C475,'Materials Master'!$A$2:$A$27,0)),"No"))))))="Yes",INDEX('Materials Master'!$E$2:$E$27,MATCH($C475,'Materials Master'!$A$2:$A$27,0))="Yes",$B475&lt;&gt;"Trash"),1,0)</f>
        <v>0</v>
      </c>
      <c r="H475" s="0" t="str">
        <f aca="false">INDEX('Materials Master'!$E$2:$E$27,MATCH($C475,'Materials Master'!$A$2:$A$27,0))</f>
        <v>Yes</v>
      </c>
      <c r="I475" s="0" t="str">
        <f aca="false">IFERROR(INDEX(Areas!$C$2:$C$6,MATCH($A475,Areas!$B$2:$B$6,0)),"")</f>
        <v>Rest of Building</v>
      </c>
      <c r="J475" s="0" t="n">
        <f aca="false">IF(IF($B475="Trash",INDEX('Materials Master'!$F$2:$F$27,MATCH($C475,'Materials Master'!$A$2:$A$27,0)),IF($B475="GMPC Recycling",INDEX('Materials Master'!$G$2:$G$27,MATCH($C475,'Materials Master'!$A$2:$A$27,0)),IF($B475="Organics Recycling",INDEX('Materials Master'!$H$2:$H$27,MATCH($C475,'Materials Master'!$A$2:$A$27,0)),IF($B475="Cardboard Recycling",INDEX('Materials Master'!$I$2:$I$27,MATCH($C475,'Materials Master'!$A$2:$A$27,0)),IF($B475="Paper Recycling",INDEX('Materials Master'!$J$2:$J$27,MATCH($C475,'Materials Master'!$A$2:$A$27,0)),IF($B475="Terracycle",INDEX('Materials Master'!$K$2:$K$27,MATCH($C475,'Materials Master'!$A$2:$A$27,0)),"No"))))))="Yes",1,0)</f>
        <v>0</v>
      </c>
    </row>
    <row r="476" customFormat="false" ht="15" hidden="false" customHeight="false" outlineLevel="0" collapsed="false">
      <c r="A476" s="0" t="s">
        <v>99</v>
      </c>
      <c r="B476" s="0" t="s">
        <v>103</v>
      </c>
      <c r="C476" s="0" t="s">
        <v>41</v>
      </c>
      <c r="D476" s="0" t="str">
        <f aca="false">IFERROR(INDEX('Materials Master'!$B$2:$B$27,MATCH($C476,'Materials Master'!$A$2:$A$27,0)),"")</f>
        <v>Soiled Beverage Cartons</v>
      </c>
      <c r="E476" s="0" t="str">
        <f aca="false">IFERROR(INDEX('Materials Master'!$C$2:$C$27,MATCH($C476,'Materials Master'!$A$2:$A$27,0)),"")</f>
        <v>Fibers</v>
      </c>
      <c r="F476" s="0" t="n">
        <f aca="false">(SUMIFS(Fact_PreSortWeights!$E$2:$E$15,Fact_PreSortWeights!$C$2:$C$15,$A476,Fact_PreSortWeights!$B$2:$B$15,$B476,Fact_PreSortWeights!$F$2:$F$15,$C476))+(SUMIFS(Fact_SortedWeights!$E$2:$E$6,Fact_SortedWeights!$C$2:$C$6,$A476,Fact_SortedWeights!$B$2:$B$6,$B476,Fact_SortedWeights!$D$2:$D$6,$C476,Fact_SortedWeights!$L$2:$L$6,"Yes"))+IF((SUMIFS(Fact_SortedWeights!$E$2:$E$6,Fact_SortedWeights!$C$2:$C$6,$A476,Fact_SortedWeights!$B$2:$B$6,$B476,Fact_SortedWeights!$L$2:$L$6,"No"))=0,0,(SUMIFS(Fact_SortedWeights!$E$2:$E$6,Fact_SortedWeights!$C$2:$C$6,$A476,Fact_SortedWeights!$B$2:$B$6,$B476,Fact_SortedWeights!$D$2:$D$6,$C476,Fact_SortedWeights!$L$2:$L$6,"No"))/(SUMIFS(Fact_SortedWeights!$E$2:$E$6,Fact_SortedWeights!$C$2:$C$6,$A476,Fact_SortedWeights!$B$2:$B$6,$B476,Fact_SortedWeights!$L$2:$L$6,"No"))*((SUMIFS(Fact_PreSortWeights!$E$2:$E$15,Fact_PreSortWeights!$C$2:$C$15,$A476,Fact_PreSortWeights!$B$2:$B$15,$B476,Fact_PreSortWeights!$F$2:$F$15,""))-(SUMIFS(Fact_SortedWeights!$E$2:$E$6,Fact_SortedWeights!$C$2:$C$6,$A476,Fact_SortedWeights!$B$2:$B$6,$B476,Fact_SortedWeights!$L$2:$L$6,"Yes"))))</f>
        <v>0</v>
      </c>
      <c r="G476" s="0" t="n">
        <f aca="false">IF(AND(IF($B476="Trash",INDEX('Materials Master'!$F$2:$F$27,MATCH($C476,'Materials Master'!$A$2:$A$27,0)),IF($B476="GMPC Recycling",INDEX('Materials Master'!$G$2:$G$27,MATCH($C476,'Materials Master'!$A$2:$A$27,0)),IF($B476="Organics Recycling",INDEX('Materials Master'!$H$2:$H$27,MATCH($C476,'Materials Master'!$A$2:$A$27,0)),IF($B476="Cardboard Recycling",INDEX('Materials Master'!$I$2:$I$27,MATCH($C476,'Materials Master'!$A$2:$A$27,0)),IF($B476="Paper Recycling",INDEX('Materials Master'!$J$2:$J$27,MATCH($C476,'Materials Master'!$A$2:$A$27,0)),IF($B476="Terracycle",INDEX('Materials Master'!$K$2:$K$27,MATCH($C476,'Materials Master'!$A$2:$A$27,0)),"No"))))))="Yes",INDEX('Materials Master'!$E$2:$E$27,MATCH($C476,'Materials Master'!$A$2:$A$27,0))="Yes",$B476&lt;&gt;"Trash"),1,0)</f>
        <v>0</v>
      </c>
      <c r="H476" s="0" t="str">
        <f aca="false">INDEX('Materials Master'!$E$2:$E$27,MATCH($C476,'Materials Master'!$A$2:$A$27,0))</f>
        <v>No</v>
      </c>
      <c r="I476" s="0" t="str">
        <f aca="false">IFERROR(INDEX(Areas!$C$2:$C$6,MATCH($A476,Areas!$B$2:$B$6,0)),"")</f>
        <v>Rest of Building</v>
      </c>
      <c r="J476" s="0" t="n">
        <f aca="false">IF(IF($B476="Trash",INDEX('Materials Master'!$F$2:$F$27,MATCH($C476,'Materials Master'!$A$2:$A$27,0)),IF($B476="GMPC Recycling",INDEX('Materials Master'!$G$2:$G$27,MATCH($C476,'Materials Master'!$A$2:$A$27,0)),IF($B476="Organics Recycling",INDEX('Materials Master'!$H$2:$H$27,MATCH($C476,'Materials Master'!$A$2:$A$27,0)),IF($B476="Cardboard Recycling",INDEX('Materials Master'!$I$2:$I$27,MATCH($C476,'Materials Master'!$A$2:$A$27,0)),IF($B476="Paper Recycling",INDEX('Materials Master'!$J$2:$J$27,MATCH($C476,'Materials Master'!$A$2:$A$27,0)),IF($B476="Terracycle",INDEX('Materials Master'!$K$2:$K$27,MATCH($C476,'Materials Master'!$A$2:$A$27,0)),"No"))))))="Yes",1,0)</f>
        <v>1</v>
      </c>
    </row>
    <row r="477" customFormat="false" ht="15" hidden="false" customHeight="false" outlineLevel="0" collapsed="false">
      <c r="A477" s="0" t="s">
        <v>99</v>
      </c>
      <c r="B477" s="0" t="s">
        <v>103</v>
      </c>
      <c r="C477" s="0" t="s">
        <v>43</v>
      </c>
      <c r="D477" s="0" t="str">
        <f aca="false">IFERROR(INDEX('Materials Master'!$B$2:$B$27,MATCH($C477,'Materials Master'!$A$2:$A$27,0)),"")</f>
        <v>Paper Cups / Other Coated Paper Containers</v>
      </c>
      <c r="E477" s="0" t="str">
        <f aca="false">IFERROR(INDEX('Materials Master'!$C$2:$C$27,MATCH($C477,'Materials Master'!$A$2:$A$27,0)),"")</f>
        <v>Fibers</v>
      </c>
      <c r="F477" s="0" t="n">
        <f aca="false">(SUMIFS(Fact_PreSortWeights!$E$2:$E$15,Fact_PreSortWeights!$C$2:$C$15,$A477,Fact_PreSortWeights!$B$2:$B$15,$B477,Fact_PreSortWeights!$F$2:$F$15,$C477))+(SUMIFS(Fact_SortedWeights!$E$2:$E$6,Fact_SortedWeights!$C$2:$C$6,$A477,Fact_SortedWeights!$B$2:$B$6,$B477,Fact_SortedWeights!$D$2:$D$6,$C477,Fact_SortedWeights!$L$2:$L$6,"Yes"))+IF((SUMIFS(Fact_SortedWeights!$E$2:$E$6,Fact_SortedWeights!$C$2:$C$6,$A477,Fact_SortedWeights!$B$2:$B$6,$B477,Fact_SortedWeights!$L$2:$L$6,"No"))=0,0,(SUMIFS(Fact_SortedWeights!$E$2:$E$6,Fact_SortedWeights!$C$2:$C$6,$A477,Fact_SortedWeights!$B$2:$B$6,$B477,Fact_SortedWeights!$D$2:$D$6,$C477,Fact_SortedWeights!$L$2:$L$6,"No"))/(SUMIFS(Fact_SortedWeights!$E$2:$E$6,Fact_SortedWeights!$C$2:$C$6,$A477,Fact_SortedWeights!$B$2:$B$6,$B477,Fact_SortedWeights!$L$2:$L$6,"No"))*((SUMIFS(Fact_PreSortWeights!$E$2:$E$15,Fact_PreSortWeights!$C$2:$C$15,$A477,Fact_PreSortWeights!$B$2:$B$15,$B477,Fact_PreSortWeights!$F$2:$F$15,""))-(SUMIFS(Fact_SortedWeights!$E$2:$E$6,Fact_SortedWeights!$C$2:$C$6,$A477,Fact_SortedWeights!$B$2:$B$6,$B477,Fact_SortedWeights!$L$2:$L$6,"Yes"))))</f>
        <v>0</v>
      </c>
      <c r="G477" s="0" t="n">
        <f aca="false">IF(AND(IF($B477="Trash",INDEX('Materials Master'!$F$2:$F$27,MATCH($C477,'Materials Master'!$A$2:$A$27,0)),IF($B477="GMPC Recycling",INDEX('Materials Master'!$G$2:$G$27,MATCH($C477,'Materials Master'!$A$2:$A$27,0)),IF($B477="Organics Recycling",INDEX('Materials Master'!$H$2:$H$27,MATCH($C477,'Materials Master'!$A$2:$A$27,0)),IF($B477="Cardboard Recycling",INDEX('Materials Master'!$I$2:$I$27,MATCH($C477,'Materials Master'!$A$2:$A$27,0)),IF($B477="Paper Recycling",INDEX('Materials Master'!$J$2:$J$27,MATCH($C477,'Materials Master'!$A$2:$A$27,0)),IF($B477="Terracycle",INDEX('Materials Master'!$K$2:$K$27,MATCH($C477,'Materials Master'!$A$2:$A$27,0)),"No"))))))="Yes",INDEX('Materials Master'!$E$2:$E$27,MATCH($C477,'Materials Master'!$A$2:$A$27,0))="Yes",$B477&lt;&gt;"Trash"),1,0)</f>
        <v>0</v>
      </c>
      <c r="H477" s="0" t="str">
        <f aca="false">INDEX('Materials Master'!$E$2:$E$27,MATCH($C477,'Materials Master'!$A$2:$A$27,0))</f>
        <v>No</v>
      </c>
      <c r="I477" s="0" t="str">
        <f aca="false">IFERROR(INDEX(Areas!$C$2:$C$6,MATCH($A477,Areas!$B$2:$B$6,0)),"")</f>
        <v>Rest of Building</v>
      </c>
      <c r="J477" s="0" t="n">
        <f aca="false">IF(IF($B477="Trash",INDEX('Materials Master'!$F$2:$F$27,MATCH($C477,'Materials Master'!$A$2:$A$27,0)),IF($B477="GMPC Recycling",INDEX('Materials Master'!$G$2:$G$27,MATCH($C477,'Materials Master'!$A$2:$A$27,0)),IF($B477="Organics Recycling",INDEX('Materials Master'!$H$2:$H$27,MATCH($C477,'Materials Master'!$A$2:$A$27,0)),IF($B477="Cardboard Recycling",INDEX('Materials Master'!$I$2:$I$27,MATCH($C477,'Materials Master'!$A$2:$A$27,0)),IF($B477="Paper Recycling",INDEX('Materials Master'!$J$2:$J$27,MATCH($C477,'Materials Master'!$A$2:$A$27,0)),IF($B477="Terracycle",INDEX('Materials Master'!$K$2:$K$27,MATCH($C477,'Materials Master'!$A$2:$A$27,0)),"No"))))))="Yes",1,0)</f>
        <v>1</v>
      </c>
    </row>
    <row r="478" customFormat="false" ht="15" hidden="false" customHeight="false" outlineLevel="0" collapsed="false">
      <c r="A478" s="0" t="s">
        <v>99</v>
      </c>
      <c r="B478" s="0" t="s">
        <v>103</v>
      </c>
      <c r="C478" s="0" t="s">
        <v>45</v>
      </c>
      <c r="D478" s="0" t="str">
        <f aca="false">IFERROR(INDEX('Materials Master'!$B$2:$B$27,MATCH($C478,'Materials Master'!$A$2:$A$27,0)),"")</f>
        <v>Glass Bottles &amp; Jars</v>
      </c>
      <c r="E478" s="0" t="str">
        <f aca="false">IFERROR(INDEX('Materials Master'!$C$2:$C$27,MATCH($C478,'Materials Master'!$A$2:$A$27,0)),"")</f>
        <v>Glass</v>
      </c>
      <c r="F478" s="0" t="n">
        <f aca="false">(SUMIFS(Fact_PreSortWeights!$E$2:$E$15,Fact_PreSortWeights!$C$2:$C$15,$A478,Fact_PreSortWeights!$B$2:$B$15,$B478,Fact_PreSortWeights!$F$2:$F$15,$C478))+(SUMIFS(Fact_SortedWeights!$E$2:$E$6,Fact_SortedWeights!$C$2:$C$6,$A478,Fact_SortedWeights!$B$2:$B$6,$B478,Fact_SortedWeights!$D$2:$D$6,$C478,Fact_SortedWeights!$L$2:$L$6,"Yes"))+IF((SUMIFS(Fact_SortedWeights!$E$2:$E$6,Fact_SortedWeights!$C$2:$C$6,$A478,Fact_SortedWeights!$B$2:$B$6,$B478,Fact_SortedWeights!$L$2:$L$6,"No"))=0,0,(SUMIFS(Fact_SortedWeights!$E$2:$E$6,Fact_SortedWeights!$C$2:$C$6,$A478,Fact_SortedWeights!$B$2:$B$6,$B478,Fact_SortedWeights!$D$2:$D$6,$C478,Fact_SortedWeights!$L$2:$L$6,"No"))/(SUMIFS(Fact_SortedWeights!$E$2:$E$6,Fact_SortedWeights!$C$2:$C$6,$A478,Fact_SortedWeights!$B$2:$B$6,$B478,Fact_SortedWeights!$L$2:$L$6,"No"))*((SUMIFS(Fact_PreSortWeights!$E$2:$E$15,Fact_PreSortWeights!$C$2:$C$15,$A478,Fact_PreSortWeights!$B$2:$B$15,$B478,Fact_PreSortWeights!$F$2:$F$15,""))-(SUMIFS(Fact_SortedWeights!$E$2:$E$6,Fact_SortedWeights!$C$2:$C$6,$A478,Fact_SortedWeights!$B$2:$B$6,$B478,Fact_SortedWeights!$L$2:$L$6,"Yes"))))</f>
        <v>0</v>
      </c>
      <c r="G478" s="0" t="n">
        <f aca="false">IF(AND(IF($B478="Trash",INDEX('Materials Master'!$F$2:$F$27,MATCH($C478,'Materials Master'!$A$2:$A$27,0)),IF($B478="GMPC Recycling",INDEX('Materials Master'!$G$2:$G$27,MATCH($C478,'Materials Master'!$A$2:$A$27,0)),IF($B478="Organics Recycling",INDEX('Materials Master'!$H$2:$H$27,MATCH($C478,'Materials Master'!$A$2:$A$27,0)),IF($B478="Cardboard Recycling",INDEX('Materials Master'!$I$2:$I$27,MATCH($C478,'Materials Master'!$A$2:$A$27,0)),IF($B478="Paper Recycling",INDEX('Materials Master'!$J$2:$J$27,MATCH($C478,'Materials Master'!$A$2:$A$27,0)),IF($B478="Terracycle",INDEX('Materials Master'!$K$2:$K$27,MATCH($C478,'Materials Master'!$A$2:$A$27,0)),"No"))))))="Yes",INDEX('Materials Master'!$E$2:$E$27,MATCH($C478,'Materials Master'!$A$2:$A$27,0))="Yes",$B478&lt;&gt;"Trash"),1,0)</f>
        <v>0</v>
      </c>
      <c r="H478" s="0" t="str">
        <f aca="false">INDEX('Materials Master'!$E$2:$E$27,MATCH($C478,'Materials Master'!$A$2:$A$27,0))</f>
        <v>Yes</v>
      </c>
      <c r="I478" s="0" t="str">
        <f aca="false">IFERROR(INDEX(Areas!$C$2:$C$6,MATCH($A478,Areas!$B$2:$B$6,0)),"")</f>
        <v>Rest of Building</v>
      </c>
      <c r="J478" s="0" t="n">
        <f aca="false">IF(IF($B478="Trash",INDEX('Materials Master'!$F$2:$F$27,MATCH($C478,'Materials Master'!$A$2:$A$27,0)),IF($B478="GMPC Recycling",INDEX('Materials Master'!$G$2:$G$27,MATCH($C478,'Materials Master'!$A$2:$A$27,0)),IF($B478="Organics Recycling",INDEX('Materials Master'!$H$2:$H$27,MATCH($C478,'Materials Master'!$A$2:$A$27,0)),IF($B478="Cardboard Recycling",INDEX('Materials Master'!$I$2:$I$27,MATCH($C478,'Materials Master'!$A$2:$A$27,0)),IF($B478="Paper Recycling",INDEX('Materials Master'!$J$2:$J$27,MATCH($C478,'Materials Master'!$A$2:$A$27,0)),IF($B478="Terracycle",INDEX('Materials Master'!$K$2:$K$27,MATCH($C478,'Materials Master'!$A$2:$A$27,0)),"No"))))))="Yes",1,0)</f>
        <v>0</v>
      </c>
    </row>
    <row r="479" customFormat="false" ht="15" hidden="false" customHeight="false" outlineLevel="0" collapsed="false">
      <c r="A479" s="0" t="s">
        <v>99</v>
      </c>
      <c r="B479" s="0" t="s">
        <v>103</v>
      </c>
      <c r="C479" s="0" t="s">
        <v>48</v>
      </c>
      <c r="D479" s="0" t="str">
        <f aca="false">IFERROR(INDEX('Materials Master'!$B$2:$B$27,MATCH($C479,'Materials Master'!$A$2:$A$27,0)),"")</f>
        <v>Soiled Glass</v>
      </c>
      <c r="E479" s="0" t="str">
        <f aca="false">IFERROR(INDEX('Materials Master'!$C$2:$C$27,MATCH($C479,'Materials Master'!$A$2:$A$27,0)),"")</f>
        <v>Glass</v>
      </c>
      <c r="F479" s="0" t="n">
        <f aca="false">(SUMIFS(Fact_PreSortWeights!$E$2:$E$15,Fact_PreSortWeights!$C$2:$C$15,$A479,Fact_PreSortWeights!$B$2:$B$15,$B479,Fact_PreSortWeights!$F$2:$F$15,$C479))+(SUMIFS(Fact_SortedWeights!$E$2:$E$6,Fact_SortedWeights!$C$2:$C$6,$A479,Fact_SortedWeights!$B$2:$B$6,$B479,Fact_SortedWeights!$D$2:$D$6,$C479,Fact_SortedWeights!$L$2:$L$6,"Yes"))+IF((SUMIFS(Fact_SortedWeights!$E$2:$E$6,Fact_SortedWeights!$C$2:$C$6,$A479,Fact_SortedWeights!$B$2:$B$6,$B479,Fact_SortedWeights!$L$2:$L$6,"No"))=0,0,(SUMIFS(Fact_SortedWeights!$E$2:$E$6,Fact_SortedWeights!$C$2:$C$6,$A479,Fact_SortedWeights!$B$2:$B$6,$B479,Fact_SortedWeights!$D$2:$D$6,$C479,Fact_SortedWeights!$L$2:$L$6,"No"))/(SUMIFS(Fact_SortedWeights!$E$2:$E$6,Fact_SortedWeights!$C$2:$C$6,$A479,Fact_SortedWeights!$B$2:$B$6,$B479,Fact_SortedWeights!$L$2:$L$6,"No"))*((SUMIFS(Fact_PreSortWeights!$E$2:$E$15,Fact_PreSortWeights!$C$2:$C$15,$A479,Fact_PreSortWeights!$B$2:$B$15,$B479,Fact_PreSortWeights!$F$2:$F$15,""))-(SUMIFS(Fact_SortedWeights!$E$2:$E$6,Fact_SortedWeights!$C$2:$C$6,$A479,Fact_SortedWeights!$B$2:$B$6,$B479,Fact_SortedWeights!$L$2:$L$6,"Yes"))))</f>
        <v>0</v>
      </c>
      <c r="G479" s="0" t="n">
        <f aca="false">IF(AND(IF($B479="Trash",INDEX('Materials Master'!$F$2:$F$27,MATCH($C479,'Materials Master'!$A$2:$A$27,0)),IF($B479="GMPC Recycling",INDEX('Materials Master'!$G$2:$G$27,MATCH($C479,'Materials Master'!$A$2:$A$27,0)),IF($B479="Organics Recycling",INDEX('Materials Master'!$H$2:$H$27,MATCH($C479,'Materials Master'!$A$2:$A$27,0)),IF($B479="Cardboard Recycling",INDEX('Materials Master'!$I$2:$I$27,MATCH($C479,'Materials Master'!$A$2:$A$27,0)),IF($B479="Paper Recycling",INDEX('Materials Master'!$J$2:$J$27,MATCH($C479,'Materials Master'!$A$2:$A$27,0)),IF($B479="Terracycle",INDEX('Materials Master'!$K$2:$K$27,MATCH($C479,'Materials Master'!$A$2:$A$27,0)),"No"))))))="Yes",INDEX('Materials Master'!$E$2:$E$27,MATCH($C479,'Materials Master'!$A$2:$A$27,0))="Yes",$B479&lt;&gt;"Trash"),1,0)</f>
        <v>0</v>
      </c>
      <c r="H479" s="0" t="str">
        <f aca="false">INDEX('Materials Master'!$E$2:$E$27,MATCH($C479,'Materials Master'!$A$2:$A$27,0))</f>
        <v>No</v>
      </c>
      <c r="I479" s="0" t="str">
        <f aca="false">IFERROR(INDEX(Areas!$C$2:$C$6,MATCH($A479,Areas!$B$2:$B$6,0)),"")</f>
        <v>Rest of Building</v>
      </c>
      <c r="J479" s="0" t="n">
        <f aca="false">IF(IF($B479="Trash",INDEX('Materials Master'!$F$2:$F$27,MATCH($C479,'Materials Master'!$A$2:$A$27,0)),IF($B479="GMPC Recycling",INDEX('Materials Master'!$G$2:$G$27,MATCH($C479,'Materials Master'!$A$2:$A$27,0)),IF($B479="Organics Recycling",INDEX('Materials Master'!$H$2:$H$27,MATCH($C479,'Materials Master'!$A$2:$A$27,0)),IF($B479="Cardboard Recycling",INDEX('Materials Master'!$I$2:$I$27,MATCH($C479,'Materials Master'!$A$2:$A$27,0)),IF($B479="Paper Recycling",INDEX('Materials Master'!$J$2:$J$27,MATCH($C479,'Materials Master'!$A$2:$A$27,0)),IF($B479="Terracycle",INDEX('Materials Master'!$K$2:$K$27,MATCH($C479,'Materials Master'!$A$2:$A$27,0)),"No"))))))="Yes",1,0)</f>
        <v>1</v>
      </c>
    </row>
    <row r="480" customFormat="false" ht="15" hidden="false" customHeight="false" outlineLevel="0" collapsed="false">
      <c r="A480" s="0" t="s">
        <v>99</v>
      </c>
      <c r="B480" s="0" t="s">
        <v>103</v>
      </c>
      <c r="C480" s="0" t="s">
        <v>50</v>
      </c>
      <c r="D480" s="0" t="str">
        <f aca="false">IFERROR(INDEX('Materials Master'!$B$2:$B$27,MATCH($C480,'Materials Master'!$A$2:$A$27,0)),"")</f>
        <v>Aluminum &amp; Bi-Metal Containers</v>
      </c>
      <c r="E480" s="0" t="str">
        <f aca="false">IFERROR(INDEX('Materials Master'!$C$2:$C$27,MATCH($C480,'Materials Master'!$A$2:$A$27,0)),"")</f>
        <v>Metals</v>
      </c>
      <c r="F480" s="0" t="n">
        <f aca="false">(SUMIFS(Fact_PreSortWeights!$E$2:$E$15,Fact_PreSortWeights!$C$2:$C$15,$A480,Fact_PreSortWeights!$B$2:$B$15,$B480,Fact_PreSortWeights!$F$2:$F$15,$C480))+(SUMIFS(Fact_SortedWeights!$E$2:$E$6,Fact_SortedWeights!$C$2:$C$6,$A480,Fact_SortedWeights!$B$2:$B$6,$B480,Fact_SortedWeights!$D$2:$D$6,$C480,Fact_SortedWeights!$L$2:$L$6,"Yes"))+IF((SUMIFS(Fact_SortedWeights!$E$2:$E$6,Fact_SortedWeights!$C$2:$C$6,$A480,Fact_SortedWeights!$B$2:$B$6,$B480,Fact_SortedWeights!$L$2:$L$6,"No"))=0,0,(SUMIFS(Fact_SortedWeights!$E$2:$E$6,Fact_SortedWeights!$C$2:$C$6,$A480,Fact_SortedWeights!$B$2:$B$6,$B480,Fact_SortedWeights!$D$2:$D$6,$C480,Fact_SortedWeights!$L$2:$L$6,"No"))/(SUMIFS(Fact_SortedWeights!$E$2:$E$6,Fact_SortedWeights!$C$2:$C$6,$A480,Fact_SortedWeights!$B$2:$B$6,$B480,Fact_SortedWeights!$L$2:$L$6,"No"))*((SUMIFS(Fact_PreSortWeights!$E$2:$E$15,Fact_PreSortWeights!$C$2:$C$15,$A480,Fact_PreSortWeights!$B$2:$B$15,$B480,Fact_PreSortWeights!$F$2:$F$15,""))-(SUMIFS(Fact_SortedWeights!$E$2:$E$6,Fact_SortedWeights!$C$2:$C$6,$A480,Fact_SortedWeights!$B$2:$B$6,$B480,Fact_SortedWeights!$L$2:$L$6,"Yes"))))</f>
        <v>0</v>
      </c>
      <c r="G480" s="0" t="n">
        <f aca="false">IF(AND(IF($B480="Trash",INDEX('Materials Master'!$F$2:$F$27,MATCH($C480,'Materials Master'!$A$2:$A$27,0)),IF($B480="GMPC Recycling",INDEX('Materials Master'!$G$2:$G$27,MATCH($C480,'Materials Master'!$A$2:$A$27,0)),IF($B480="Organics Recycling",INDEX('Materials Master'!$H$2:$H$27,MATCH($C480,'Materials Master'!$A$2:$A$27,0)),IF($B480="Cardboard Recycling",INDEX('Materials Master'!$I$2:$I$27,MATCH($C480,'Materials Master'!$A$2:$A$27,0)),IF($B480="Paper Recycling",INDEX('Materials Master'!$J$2:$J$27,MATCH($C480,'Materials Master'!$A$2:$A$27,0)),IF($B480="Terracycle",INDEX('Materials Master'!$K$2:$K$27,MATCH($C480,'Materials Master'!$A$2:$A$27,0)),"No"))))))="Yes",INDEX('Materials Master'!$E$2:$E$27,MATCH($C480,'Materials Master'!$A$2:$A$27,0))="Yes",$B480&lt;&gt;"Trash"),1,0)</f>
        <v>0</v>
      </c>
      <c r="H480" s="0" t="str">
        <f aca="false">INDEX('Materials Master'!$E$2:$E$27,MATCH($C480,'Materials Master'!$A$2:$A$27,0))</f>
        <v>Yes</v>
      </c>
      <c r="I480" s="0" t="str">
        <f aca="false">IFERROR(INDEX(Areas!$C$2:$C$6,MATCH($A480,Areas!$B$2:$B$6,0)),"")</f>
        <v>Rest of Building</v>
      </c>
      <c r="J480" s="0" t="n">
        <f aca="false">IF(IF($B480="Trash",INDEX('Materials Master'!$F$2:$F$27,MATCH($C480,'Materials Master'!$A$2:$A$27,0)),IF($B480="GMPC Recycling",INDEX('Materials Master'!$G$2:$G$27,MATCH($C480,'Materials Master'!$A$2:$A$27,0)),IF($B480="Organics Recycling",INDEX('Materials Master'!$H$2:$H$27,MATCH($C480,'Materials Master'!$A$2:$A$27,0)),IF($B480="Cardboard Recycling",INDEX('Materials Master'!$I$2:$I$27,MATCH($C480,'Materials Master'!$A$2:$A$27,0)),IF($B480="Paper Recycling",INDEX('Materials Master'!$J$2:$J$27,MATCH($C480,'Materials Master'!$A$2:$A$27,0)),IF($B480="Terracycle",INDEX('Materials Master'!$K$2:$K$27,MATCH($C480,'Materials Master'!$A$2:$A$27,0)),"No"))))))="Yes",1,0)</f>
        <v>0</v>
      </c>
    </row>
    <row r="481" customFormat="false" ht="15" hidden="false" customHeight="false" outlineLevel="0" collapsed="false">
      <c r="A481" s="0" t="s">
        <v>99</v>
      </c>
      <c r="B481" s="0" t="s">
        <v>103</v>
      </c>
      <c r="C481" s="0" t="s">
        <v>53</v>
      </c>
      <c r="D481" s="0" t="str">
        <f aca="false">IFERROR(INDEX('Materials Master'!$B$2:$B$27,MATCH($C481,'Materials Master'!$A$2:$A$27,0)),"")</f>
        <v>Soiled Metals</v>
      </c>
      <c r="E481" s="0" t="str">
        <f aca="false">IFERROR(INDEX('Materials Master'!$C$2:$C$27,MATCH($C481,'Materials Master'!$A$2:$A$27,0)),"")</f>
        <v>Metals</v>
      </c>
      <c r="F481" s="0" t="n">
        <f aca="false">(SUMIFS(Fact_PreSortWeights!$E$2:$E$15,Fact_PreSortWeights!$C$2:$C$15,$A481,Fact_PreSortWeights!$B$2:$B$15,$B481,Fact_PreSortWeights!$F$2:$F$15,$C481))+(SUMIFS(Fact_SortedWeights!$E$2:$E$6,Fact_SortedWeights!$C$2:$C$6,$A481,Fact_SortedWeights!$B$2:$B$6,$B481,Fact_SortedWeights!$D$2:$D$6,$C481,Fact_SortedWeights!$L$2:$L$6,"Yes"))+IF((SUMIFS(Fact_SortedWeights!$E$2:$E$6,Fact_SortedWeights!$C$2:$C$6,$A481,Fact_SortedWeights!$B$2:$B$6,$B481,Fact_SortedWeights!$L$2:$L$6,"No"))=0,0,(SUMIFS(Fact_SortedWeights!$E$2:$E$6,Fact_SortedWeights!$C$2:$C$6,$A481,Fact_SortedWeights!$B$2:$B$6,$B481,Fact_SortedWeights!$D$2:$D$6,$C481,Fact_SortedWeights!$L$2:$L$6,"No"))/(SUMIFS(Fact_SortedWeights!$E$2:$E$6,Fact_SortedWeights!$C$2:$C$6,$A481,Fact_SortedWeights!$B$2:$B$6,$B481,Fact_SortedWeights!$L$2:$L$6,"No"))*((SUMIFS(Fact_PreSortWeights!$E$2:$E$15,Fact_PreSortWeights!$C$2:$C$15,$A481,Fact_PreSortWeights!$B$2:$B$15,$B481,Fact_PreSortWeights!$F$2:$F$15,""))-(SUMIFS(Fact_SortedWeights!$E$2:$E$6,Fact_SortedWeights!$C$2:$C$6,$A481,Fact_SortedWeights!$B$2:$B$6,$B481,Fact_SortedWeights!$L$2:$L$6,"Yes"))))</f>
        <v>0</v>
      </c>
      <c r="G481" s="0" t="n">
        <f aca="false">IF(AND(IF($B481="Trash",INDEX('Materials Master'!$F$2:$F$27,MATCH($C481,'Materials Master'!$A$2:$A$27,0)),IF($B481="GMPC Recycling",INDEX('Materials Master'!$G$2:$G$27,MATCH($C481,'Materials Master'!$A$2:$A$27,0)),IF($B481="Organics Recycling",INDEX('Materials Master'!$H$2:$H$27,MATCH($C481,'Materials Master'!$A$2:$A$27,0)),IF($B481="Cardboard Recycling",INDEX('Materials Master'!$I$2:$I$27,MATCH($C481,'Materials Master'!$A$2:$A$27,0)),IF($B481="Paper Recycling",INDEX('Materials Master'!$J$2:$J$27,MATCH($C481,'Materials Master'!$A$2:$A$27,0)),IF($B481="Terracycle",INDEX('Materials Master'!$K$2:$K$27,MATCH($C481,'Materials Master'!$A$2:$A$27,0)),"No"))))))="Yes",INDEX('Materials Master'!$E$2:$E$27,MATCH($C481,'Materials Master'!$A$2:$A$27,0))="Yes",$B481&lt;&gt;"Trash"),1,0)</f>
        <v>0</v>
      </c>
      <c r="H481" s="0" t="str">
        <f aca="false">INDEX('Materials Master'!$E$2:$E$27,MATCH($C481,'Materials Master'!$A$2:$A$27,0))</f>
        <v>No</v>
      </c>
      <c r="I481" s="0" t="str">
        <f aca="false">IFERROR(INDEX(Areas!$C$2:$C$6,MATCH($A481,Areas!$B$2:$B$6,0)),"")</f>
        <v>Rest of Building</v>
      </c>
      <c r="J481" s="0" t="n">
        <f aca="false">IF(IF($B481="Trash",INDEX('Materials Master'!$F$2:$F$27,MATCH($C481,'Materials Master'!$A$2:$A$27,0)),IF($B481="GMPC Recycling",INDEX('Materials Master'!$G$2:$G$27,MATCH($C481,'Materials Master'!$A$2:$A$27,0)),IF($B481="Organics Recycling",INDEX('Materials Master'!$H$2:$H$27,MATCH($C481,'Materials Master'!$A$2:$A$27,0)),IF($B481="Cardboard Recycling",INDEX('Materials Master'!$I$2:$I$27,MATCH($C481,'Materials Master'!$A$2:$A$27,0)),IF($B481="Paper Recycling",INDEX('Materials Master'!$J$2:$J$27,MATCH($C481,'Materials Master'!$A$2:$A$27,0)),IF($B481="Terracycle",INDEX('Materials Master'!$K$2:$K$27,MATCH($C481,'Materials Master'!$A$2:$A$27,0)),"No"))))))="Yes",1,0)</f>
        <v>1</v>
      </c>
    </row>
    <row r="482" customFormat="false" ht="15" hidden="false" customHeight="false" outlineLevel="0" collapsed="false">
      <c r="A482" s="0" t="s">
        <v>99</v>
      </c>
      <c r="B482" s="0" t="s">
        <v>103</v>
      </c>
      <c r="C482" s="0" t="s">
        <v>55</v>
      </c>
      <c r="D482" s="0" t="str">
        <f aca="false">IFERROR(INDEX('Materials Master'!$B$2:$B$27,MATCH($C482,'Materials Master'!$A$2:$A$27,0)),"")</f>
        <v>Rigid Plastics (1-6)</v>
      </c>
      <c r="E482" s="0" t="str">
        <f aca="false">IFERROR(INDEX('Materials Master'!$C$2:$C$27,MATCH($C482,'Materials Master'!$A$2:$A$27,0)),"")</f>
        <v>Plastics</v>
      </c>
      <c r="F482" s="0" t="n">
        <f aca="false">(SUMIFS(Fact_PreSortWeights!$E$2:$E$15,Fact_PreSortWeights!$C$2:$C$15,$A482,Fact_PreSortWeights!$B$2:$B$15,$B482,Fact_PreSortWeights!$F$2:$F$15,$C482))+(SUMIFS(Fact_SortedWeights!$E$2:$E$6,Fact_SortedWeights!$C$2:$C$6,$A482,Fact_SortedWeights!$B$2:$B$6,$B482,Fact_SortedWeights!$D$2:$D$6,$C482,Fact_SortedWeights!$L$2:$L$6,"Yes"))+IF((SUMIFS(Fact_SortedWeights!$E$2:$E$6,Fact_SortedWeights!$C$2:$C$6,$A482,Fact_SortedWeights!$B$2:$B$6,$B482,Fact_SortedWeights!$L$2:$L$6,"No"))=0,0,(SUMIFS(Fact_SortedWeights!$E$2:$E$6,Fact_SortedWeights!$C$2:$C$6,$A482,Fact_SortedWeights!$B$2:$B$6,$B482,Fact_SortedWeights!$D$2:$D$6,$C482,Fact_SortedWeights!$L$2:$L$6,"No"))/(SUMIFS(Fact_SortedWeights!$E$2:$E$6,Fact_SortedWeights!$C$2:$C$6,$A482,Fact_SortedWeights!$B$2:$B$6,$B482,Fact_SortedWeights!$L$2:$L$6,"No"))*((SUMIFS(Fact_PreSortWeights!$E$2:$E$15,Fact_PreSortWeights!$C$2:$C$15,$A482,Fact_PreSortWeights!$B$2:$B$15,$B482,Fact_PreSortWeights!$F$2:$F$15,""))-(SUMIFS(Fact_SortedWeights!$E$2:$E$6,Fact_SortedWeights!$C$2:$C$6,$A482,Fact_SortedWeights!$B$2:$B$6,$B482,Fact_SortedWeights!$L$2:$L$6,"Yes"))))</f>
        <v>0</v>
      </c>
      <c r="G482" s="0" t="n">
        <f aca="false">IF(AND(IF($B482="Trash",INDEX('Materials Master'!$F$2:$F$27,MATCH($C482,'Materials Master'!$A$2:$A$27,0)),IF($B482="GMPC Recycling",INDEX('Materials Master'!$G$2:$G$27,MATCH($C482,'Materials Master'!$A$2:$A$27,0)),IF($B482="Organics Recycling",INDEX('Materials Master'!$H$2:$H$27,MATCH($C482,'Materials Master'!$A$2:$A$27,0)),IF($B482="Cardboard Recycling",INDEX('Materials Master'!$I$2:$I$27,MATCH($C482,'Materials Master'!$A$2:$A$27,0)),IF($B482="Paper Recycling",INDEX('Materials Master'!$J$2:$J$27,MATCH($C482,'Materials Master'!$A$2:$A$27,0)),IF($B482="Terracycle",INDEX('Materials Master'!$K$2:$K$27,MATCH($C482,'Materials Master'!$A$2:$A$27,0)),"No"))))))="Yes",INDEX('Materials Master'!$E$2:$E$27,MATCH($C482,'Materials Master'!$A$2:$A$27,0))="Yes",$B482&lt;&gt;"Trash"),1,0)</f>
        <v>0</v>
      </c>
      <c r="H482" s="0" t="str">
        <f aca="false">INDEX('Materials Master'!$E$2:$E$27,MATCH($C482,'Materials Master'!$A$2:$A$27,0))</f>
        <v>Yes</v>
      </c>
      <c r="I482" s="0" t="str">
        <f aca="false">IFERROR(INDEX(Areas!$C$2:$C$6,MATCH($A482,Areas!$B$2:$B$6,0)),"")</f>
        <v>Rest of Building</v>
      </c>
      <c r="J482" s="0" t="n">
        <f aca="false">IF(IF($B482="Trash",INDEX('Materials Master'!$F$2:$F$27,MATCH($C482,'Materials Master'!$A$2:$A$27,0)),IF($B482="GMPC Recycling",INDEX('Materials Master'!$G$2:$G$27,MATCH($C482,'Materials Master'!$A$2:$A$27,0)),IF($B482="Organics Recycling",INDEX('Materials Master'!$H$2:$H$27,MATCH($C482,'Materials Master'!$A$2:$A$27,0)),IF($B482="Cardboard Recycling",INDEX('Materials Master'!$I$2:$I$27,MATCH($C482,'Materials Master'!$A$2:$A$27,0)),IF($B482="Paper Recycling",INDEX('Materials Master'!$J$2:$J$27,MATCH($C482,'Materials Master'!$A$2:$A$27,0)),IF($B482="Terracycle",INDEX('Materials Master'!$K$2:$K$27,MATCH($C482,'Materials Master'!$A$2:$A$27,0)),"No"))))))="Yes",1,0)</f>
        <v>0</v>
      </c>
    </row>
    <row r="483" customFormat="false" ht="15" hidden="false" customHeight="false" outlineLevel="0" collapsed="false">
      <c r="A483" s="0" t="s">
        <v>99</v>
      </c>
      <c r="B483" s="0" t="s">
        <v>103</v>
      </c>
      <c r="C483" s="0" t="s">
        <v>58</v>
      </c>
      <c r="D483" s="0" t="str">
        <f aca="false">IFERROR(INDEX('Materials Master'!$B$2:$B$27,MATCH($C483,'Materials Master'!$A$2:$A$27,0)),"")</f>
        <v>Soiled Rigid Plastics</v>
      </c>
      <c r="E483" s="0" t="str">
        <f aca="false">IFERROR(INDEX('Materials Master'!$C$2:$C$27,MATCH($C483,'Materials Master'!$A$2:$A$27,0)),"")</f>
        <v>Plastics</v>
      </c>
      <c r="F483" s="0" t="n">
        <f aca="false">(SUMIFS(Fact_PreSortWeights!$E$2:$E$15,Fact_PreSortWeights!$C$2:$C$15,$A483,Fact_PreSortWeights!$B$2:$B$15,$B483,Fact_PreSortWeights!$F$2:$F$15,$C483))+(SUMIFS(Fact_SortedWeights!$E$2:$E$6,Fact_SortedWeights!$C$2:$C$6,$A483,Fact_SortedWeights!$B$2:$B$6,$B483,Fact_SortedWeights!$D$2:$D$6,$C483,Fact_SortedWeights!$L$2:$L$6,"Yes"))+IF((SUMIFS(Fact_SortedWeights!$E$2:$E$6,Fact_SortedWeights!$C$2:$C$6,$A483,Fact_SortedWeights!$B$2:$B$6,$B483,Fact_SortedWeights!$L$2:$L$6,"No"))=0,0,(SUMIFS(Fact_SortedWeights!$E$2:$E$6,Fact_SortedWeights!$C$2:$C$6,$A483,Fact_SortedWeights!$B$2:$B$6,$B483,Fact_SortedWeights!$D$2:$D$6,$C483,Fact_SortedWeights!$L$2:$L$6,"No"))/(SUMIFS(Fact_SortedWeights!$E$2:$E$6,Fact_SortedWeights!$C$2:$C$6,$A483,Fact_SortedWeights!$B$2:$B$6,$B483,Fact_SortedWeights!$L$2:$L$6,"No"))*((SUMIFS(Fact_PreSortWeights!$E$2:$E$15,Fact_PreSortWeights!$C$2:$C$15,$A483,Fact_PreSortWeights!$B$2:$B$15,$B483,Fact_PreSortWeights!$F$2:$F$15,""))-(SUMIFS(Fact_SortedWeights!$E$2:$E$6,Fact_SortedWeights!$C$2:$C$6,$A483,Fact_SortedWeights!$B$2:$B$6,$B483,Fact_SortedWeights!$L$2:$L$6,"Yes"))))</f>
        <v>0</v>
      </c>
      <c r="G483" s="0" t="n">
        <f aca="false">IF(AND(IF($B483="Trash",INDEX('Materials Master'!$F$2:$F$27,MATCH($C483,'Materials Master'!$A$2:$A$27,0)),IF($B483="GMPC Recycling",INDEX('Materials Master'!$G$2:$G$27,MATCH($C483,'Materials Master'!$A$2:$A$27,0)),IF($B483="Organics Recycling",INDEX('Materials Master'!$H$2:$H$27,MATCH($C483,'Materials Master'!$A$2:$A$27,0)),IF($B483="Cardboard Recycling",INDEX('Materials Master'!$I$2:$I$27,MATCH($C483,'Materials Master'!$A$2:$A$27,0)),IF($B483="Paper Recycling",INDEX('Materials Master'!$J$2:$J$27,MATCH($C483,'Materials Master'!$A$2:$A$27,0)),IF($B483="Terracycle",INDEX('Materials Master'!$K$2:$K$27,MATCH($C483,'Materials Master'!$A$2:$A$27,0)),"No"))))))="Yes",INDEX('Materials Master'!$E$2:$E$27,MATCH($C483,'Materials Master'!$A$2:$A$27,0))="Yes",$B483&lt;&gt;"Trash"),1,0)</f>
        <v>0</v>
      </c>
      <c r="H483" s="0" t="str">
        <f aca="false">INDEX('Materials Master'!$E$2:$E$27,MATCH($C483,'Materials Master'!$A$2:$A$27,0))</f>
        <v>No</v>
      </c>
      <c r="I483" s="0" t="str">
        <f aca="false">IFERROR(INDEX(Areas!$C$2:$C$6,MATCH($A483,Areas!$B$2:$B$6,0)),"")</f>
        <v>Rest of Building</v>
      </c>
      <c r="J483" s="0" t="n">
        <f aca="false">IF(IF($B483="Trash",INDEX('Materials Master'!$F$2:$F$27,MATCH($C483,'Materials Master'!$A$2:$A$27,0)),IF($B483="GMPC Recycling",INDEX('Materials Master'!$G$2:$G$27,MATCH($C483,'Materials Master'!$A$2:$A$27,0)),IF($B483="Organics Recycling",INDEX('Materials Master'!$H$2:$H$27,MATCH($C483,'Materials Master'!$A$2:$A$27,0)),IF($B483="Cardboard Recycling",INDEX('Materials Master'!$I$2:$I$27,MATCH($C483,'Materials Master'!$A$2:$A$27,0)),IF($B483="Paper Recycling",INDEX('Materials Master'!$J$2:$J$27,MATCH($C483,'Materials Master'!$A$2:$A$27,0)),IF($B483="Terracycle",INDEX('Materials Master'!$K$2:$K$27,MATCH($C483,'Materials Master'!$A$2:$A$27,0)),"No"))))))="Yes",1,0)</f>
        <v>1</v>
      </c>
    </row>
    <row r="484" customFormat="false" ht="15" hidden="false" customHeight="false" outlineLevel="0" collapsed="false">
      <c r="A484" s="0" t="s">
        <v>99</v>
      </c>
      <c r="B484" s="0" t="s">
        <v>103</v>
      </c>
      <c r="C484" s="0" t="s">
        <v>60</v>
      </c>
      <c r="D484" s="0" t="str">
        <f aca="false">IFERROR(INDEX('Materials Master'!$B$2:$B$27,MATCH($C484,'Materials Master'!$A$2:$A$27,0)),"")</f>
        <v>Film Plastics</v>
      </c>
      <c r="E484" s="0" t="str">
        <f aca="false">IFERROR(INDEX('Materials Master'!$C$2:$C$27,MATCH($C484,'Materials Master'!$A$2:$A$27,0)),"")</f>
        <v>Plastics</v>
      </c>
      <c r="F484" s="0" t="n">
        <f aca="false">(SUMIFS(Fact_PreSortWeights!$E$2:$E$15,Fact_PreSortWeights!$C$2:$C$15,$A484,Fact_PreSortWeights!$B$2:$B$15,$B484,Fact_PreSortWeights!$F$2:$F$15,$C484))+(SUMIFS(Fact_SortedWeights!$E$2:$E$6,Fact_SortedWeights!$C$2:$C$6,$A484,Fact_SortedWeights!$B$2:$B$6,$B484,Fact_SortedWeights!$D$2:$D$6,$C484,Fact_SortedWeights!$L$2:$L$6,"Yes"))+IF((SUMIFS(Fact_SortedWeights!$E$2:$E$6,Fact_SortedWeights!$C$2:$C$6,$A484,Fact_SortedWeights!$B$2:$B$6,$B484,Fact_SortedWeights!$L$2:$L$6,"No"))=0,0,(SUMIFS(Fact_SortedWeights!$E$2:$E$6,Fact_SortedWeights!$C$2:$C$6,$A484,Fact_SortedWeights!$B$2:$B$6,$B484,Fact_SortedWeights!$D$2:$D$6,$C484,Fact_SortedWeights!$L$2:$L$6,"No"))/(SUMIFS(Fact_SortedWeights!$E$2:$E$6,Fact_SortedWeights!$C$2:$C$6,$A484,Fact_SortedWeights!$B$2:$B$6,$B484,Fact_SortedWeights!$L$2:$L$6,"No"))*((SUMIFS(Fact_PreSortWeights!$E$2:$E$15,Fact_PreSortWeights!$C$2:$C$15,$A484,Fact_PreSortWeights!$B$2:$B$15,$B484,Fact_PreSortWeights!$F$2:$F$15,""))-(SUMIFS(Fact_SortedWeights!$E$2:$E$6,Fact_SortedWeights!$C$2:$C$6,$A484,Fact_SortedWeights!$B$2:$B$6,$B484,Fact_SortedWeights!$L$2:$L$6,"Yes"))))</f>
        <v>0</v>
      </c>
      <c r="G484" s="0" t="n">
        <f aca="false">IF(AND(IF($B484="Trash",INDEX('Materials Master'!$F$2:$F$27,MATCH($C484,'Materials Master'!$A$2:$A$27,0)),IF($B484="GMPC Recycling",INDEX('Materials Master'!$G$2:$G$27,MATCH($C484,'Materials Master'!$A$2:$A$27,0)),IF($B484="Organics Recycling",INDEX('Materials Master'!$H$2:$H$27,MATCH($C484,'Materials Master'!$A$2:$A$27,0)),IF($B484="Cardboard Recycling",INDEX('Materials Master'!$I$2:$I$27,MATCH($C484,'Materials Master'!$A$2:$A$27,0)),IF($B484="Paper Recycling",INDEX('Materials Master'!$J$2:$J$27,MATCH($C484,'Materials Master'!$A$2:$A$27,0)),IF($B484="Terracycle",INDEX('Materials Master'!$K$2:$K$27,MATCH($C484,'Materials Master'!$A$2:$A$27,0)),"No"))))))="Yes",INDEX('Materials Master'!$E$2:$E$27,MATCH($C484,'Materials Master'!$A$2:$A$27,0))="Yes",$B484&lt;&gt;"Trash"),1,0)</f>
        <v>0</v>
      </c>
      <c r="H484" s="0" t="str">
        <f aca="false">INDEX('Materials Master'!$E$2:$E$27,MATCH($C484,'Materials Master'!$A$2:$A$27,0))</f>
        <v>No</v>
      </c>
      <c r="I484" s="0" t="str">
        <f aca="false">IFERROR(INDEX(Areas!$C$2:$C$6,MATCH($A484,Areas!$B$2:$B$6,0)),"")</f>
        <v>Rest of Building</v>
      </c>
      <c r="J484" s="0" t="n">
        <f aca="false">IF(IF($B484="Trash",INDEX('Materials Master'!$F$2:$F$27,MATCH($C484,'Materials Master'!$A$2:$A$27,0)),IF($B484="GMPC Recycling",INDEX('Materials Master'!$G$2:$G$27,MATCH($C484,'Materials Master'!$A$2:$A$27,0)),IF($B484="Organics Recycling",INDEX('Materials Master'!$H$2:$H$27,MATCH($C484,'Materials Master'!$A$2:$A$27,0)),IF($B484="Cardboard Recycling",INDEX('Materials Master'!$I$2:$I$27,MATCH($C484,'Materials Master'!$A$2:$A$27,0)),IF($B484="Paper Recycling",INDEX('Materials Master'!$J$2:$J$27,MATCH($C484,'Materials Master'!$A$2:$A$27,0)),IF($B484="Terracycle",INDEX('Materials Master'!$K$2:$K$27,MATCH($C484,'Materials Master'!$A$2:$A$27,0)),"No"))))))="Yes",1,0)</f>
        <v>1</v>
      </c>
    </row>
    <row r="485" customFormat="false" ht="15" hidden="false" customHeight="false" outlineLevel="0" collapsed="false">
      <c r="A485" s="0" t="s">
        <v>99</v>
      </c>
      <c r="B485" s="0" t="s">
        <v>103</v>
      </c>
      <c r="C485" s="0" t="s">
        <v>62</v>
      </c>
      <c r="D485" s="0" t="str">
        <f aca="false">IFERROR(INDEX('Materials Master'!$B$2:$B$27,MATCH($C485,'Materials Master'!$A$2:$A$27,0)),"")</f>
        <v>Foams</v>
      </c>
      <c r="E485" s="0" t="str">
        <f aca="false">IFERROR(INDEX('Materials Master'!$C$2:$C$27,MATCH($C485,'Materials Master'!$A$2:$A$27,0)),"")</f>
        <v>Plastics</v>
      </c>
      <c r="F485" s="0" t="n">
        <f aca="false">(SUMIFS(Fact_PreSortWeights!$E$2:$E$15,Fact_PreSortWeights!$C$2:$C$15,$A485,Fact_PreSortWeights!$B$2:$B$15,$B485,Fact_PreSortWeights!$F$2:$F$15,$C485))+(SUMIFS(Fact_SortedWeights!$E$2:$E$6,Fact_SortedWeights!$C$2:$C$6,$A485,Fact_SortedWeights!$B$2:$B$6,$B485,Fact_SortedWeights!$D$2:$D$6,$C485,Fact_SortedWeights!$L$2:$L$6,"Yes"))+IF((SUMIFS(Fact_SortedWeights!$E$2:$E$6,Fact_SortedWeights!$C$2:$C$6,$A485,Fact_SortedWeights!$B$2:$B$6,$B485,Fact_SortedWeights!$L$2:$L$6,"No"))=0,0,(SUMIFS(Fact_SortedWeights!$E$2:$E$6,Fact_SortedWeights!$C$2:$C$6,$A485,Fact_SortedWeights!$B$2:$B$6,$B485,Fact_SortedWeights!$D$2:$D$6,$C485,Fact_SortedWeights!$L$2:$L$6,"No"))/(SUMIFS(Fact_SortedWeights!$E$2:$E$6,Fact_SortedWeights!$C$2:$C$6,$A485,Fact_SortedWeights!$B$2:$B$6,$B485,Fact_SortedWeights!$L$2:$L$6,"No"))*((SUMIFS(Fact_PreSortWeights!$E$2:$E$15,Fact_PreSortWeights!$C$2:$C$15,$A485,Fact_PreSortWeights!$B$2:$B$15,$B485,Fact_PreSortWeights!$F$2:$F$15,""))-(SUMIFS(Fact_SortedWeights!$E$2:$E$6,Fact_SortedWeights!$C$2:$C$6,$A485,Fact_SortedWeights!$B$2:$B$6,$B485,Fact_SortedWeights!$L$2:$L$6,"Yes"))))</f>
        <v>0</v>
      </c>
      <c r="G485" s="0" t="n">
        <f aca="false">IF(AND(IF($B485="Trash",INDEX('Materials Master'!$F$2:$F$27,MATCH($C485,'Materials Master'!$A$2:$A$27,0)),IF($B485="GMPC Recycling",INDEX('Materials Master'!$G$2:$G$27,MATCH($C485,'Materials Master'!$A$2:$A$27,0)),IF($B485="Organics Recycling",INDEX('Materials Master'!$H$2:$H$27,MATCH($C485,'Materials Master'!$A$2:$A$27,0)),IF($B485="Cardboard Recycling",INDEX('Materials Master'!$I$2:$I$27,MATCH($C485,'Materials Master'!$A$2:$A$27,0)),IF($B485="Paper Recycling",INDEX('Materials Master'!$J$2:$J$27,MATCH($C485,'Materials Master'!$A$2:$A$27,0)),IF($B485="Terracycle",INDEX('Materials Master'!$K$2:$K$27,MATCH($C485,'Materials Master'!$A$2:$A$27,0)),"No"))))))="Yes",INDEX('Materials Master'!$E$2:$E$27,MATCH($C485,'Materials Master'!$A$2:$A$27,0))="Yes",$B485&lt;&gt;"Trash"),1,0)</f>
        <v>0</v>
      </c>
      <c r="H485" s="0" t="str">
        <f aca="false">INDEX('Materials Master'!$E$2:$E$27,MATCH($C485,'Materials Master'!$A$2:$A$27,0))</f>
        <v>No</v>
      </c>
      <c r="I485" s="0" t="str">
        <f aca="false">IFERROR(INDEX(Areas!$C$2:$C$6,MATCH($A485,Areas!$B$2:$B$6,0)),"")</f>
        <v>Rest of Building</v>
      </c>
      <c r="J485" s="0" t="n">
        <f aca="false">IF(IF($B485="Trash",INDEX('Materials Master'!$F$2:$F$27,MATCH($C485,'Materials Master'!$A$2:$A$27,0)),IF($B485="GMPC Recycling",INDEX('Materials Master'!$G$2:$G$27,MATCH($C485,'Materials Master'!$A$2:$A$27,0)),IF($B485="Organics Recycling",INDEX('Materials Master'!$H$2:$H$27,MATCH($C485,'Materials Master'!$A$2:$A$27,0)),IF($B485="Cardboard Recycling",INDEX('Materials Master'!$I$2:$I$27,MATCH($C485,'Materials Master'!$A$2:$A$27,0)),IF($B485="Paper Recycling",INDEX('Materials Master'!$J$2:$J$27,MATCH($C485,'Materials Master'!$A$2:$A$27,0)),IF($B485="Terracycle",INDEX('Materials Master'!$K$2:$K$27,MATCH($C485,'Materials Master'!$A$2:$A$27,0)),"No"))))))="Yes",1,0)</f>
        <v>1</v>
      </c>
    </row>
    <row r="486" customFormat="false" ht="15" hidden="false" customHeight="false" outlineLevel="0" collapsed="false">
      <c r="A486" s="0" t="s">
        <v>99</v>
      </c>
      <c r="B486" s="0" t="s">
        <v>103</v>
      </c>
      <c r="C486" s="0" t="s">
        <v>64</v>
      </c>
      <c r="D486" s="0" t="str">
        <f aca="false">IFERROR(INDEX('Materials Master'!$B$2:$B$27,MATCH($C486,'Materials Master'!$A$2:$A$27,0)),"")</f>
        <v>Food Waste</v>
      </c>
      <c r="E486" s="0" t="str">
        <f aca="false">IFERROR(INDEX('Materials Master'!$C$2:$C$27,MATCH($C486,'Materials Master'!$A$2:$A$27,0)),"")</f>
        <v>Organics</v>
      </c>
      <c r="F486" s="0" t="n">
        <f aca="false">(SUMIFS(Fact_PreSortWeights!$E$2:$E$15,Fact_PreSortWeights!$C$2:$C$15,$A486,Fact_PreSortWeights!$B$2:$B$15,$B486,Fact_PreSortWeights!$F$2:$F$15,$C486))+(SUMIFS(Fact_SortedWeights!$E$2:$E$6,Fact_SortedWeights!$C$2:$C$6,$A486,Fact_SortedWeights!$B$2:$B$6,$B486,Fact_SortedWeights!$D$2:$D$6,$C486,Fact_SortedWeights!$L$2:$L$6,"Yes"))+IF((SUMIFS(Fact_SortedWeights!$E$2:$E$6,Fact_SortedWeights!$C$2:$C$6,$A486,Fact_SortedWeights!$B$2:$B$6,$B486,Fact_SortedWeights!$L$2:$L$6,"No"))=0,0,(SUMIFS(Fact_SortedWeights!$E$2:$E$6,Fact_SortedWeights!$C$2:$C$6,$A486,Fact_SortedWeights!$B$2:$B$6,$B486,Fact_SortedWeights!$D$2:$D$6,$C486,Fact_SortedWeights!$L$2:$L$6,"No"))/(SUMIFS(Fact_SortedWeights!$E$2:$E$6,Fact_SortedWeights!$C$2:$C$6,$A486,Fact_SortedWeights!$B$2:$B$6,$B486,Fact_SortedWeights!$L$2:$L$6,"No"))*((SUMIFS(Fact_PreSortWeights!$E$2:$E$15,Fact_PreSortWeights!$C$2:$C$15,$A486,Fact_PreSortWeights!$B$2:$B$15,$B486,Fact_PreSortWeights!$F$2:$F$15,""))-(SUMIFS(Fact_SortedWeights!$E$2:$E$6,Fact_SortedWeights!$C$2:$C$6,$A486,Fact_SortedWeights!$B$2:$B$6,$B486,Fact_SortedWeights!$L$2:$L$6,"Yes"))))</f>
        <v>0</v>
      </c>
      <c r="G486" s="0" t="n">
        <f aca="false">IF(AND(IF($B486="Trash",INDEX('Materials Master'!$F$2:$F$27,MATCH($C486,'Materials Master'!$A$2:$A$27,0)),IF($B486="GMPC Recycling",INDEX('Materials Master'!$G$2:$G$27,MATCH($C486,'Materials Master'!$A$2:$A$27,0)),IF($B486="Organics Recycling",INDEX('Materials Master'!$H$2:$H$27,MATCH($C486,'Materials Master'!$A$2:$A$27,0)),IF($B486="Cardboard Recycling",INDEX('Materials Master'!$I$2:$I$27,MATCH($C486,'Materials Master'!$A$2:$A$27,0)),IF($B486="Paper Recycling",INDEX('Materials Master'!$J$2:$J$27,MATCH($C486,'Materials Master'!$A$2:$A$27,0)),IF($B486="Terracycle",INDEX('Materials Master'!$K$2:$K$27,MATCH($C486,'Materials Master'!$A$2:$A$27,0)),"No"))))))="Yes",INDEX('Materials Master'!$E$2:$E$27,MATCH($C486,'Materials Master'!$A$2:$A$27,0))="Yes",$B486&lt;&gt;"Trash"),1,0)</f>
        <v>0</v>
      </c>
      <c r="H486" s="0" t="str">
        <f aca="false">INDEX('Materials Master'!$E$2:$E$27,MATCH($C486,'Materials Master'!$A$2:$A$27,0))</f>
        <v>Yes</v>
      </c>
      <c r="I486" s="0" t="str">
        <f aca="false">IFERROR(INDEX(Areas!$C$2:$C$6,MATCH($A486,Areas!$B$2:$B$6,0)),"")</f>
        <v>Rest of Building</v>
      </c>
      <c r="J486" s="0" t="n">
        <f aca="false">IF(IF($B486="Trash",INDEX('Materials Master'!$F$2:$F$27,MATCH($C486,'Materials Master'!$A$2:$A$27,0)),IF($B486="GMPC Recycling",INDEX('Materials Master'!$G$2:$G$27,MATCH($C486,'Materials Master'!$A$2:$A$27,0)),IF($B486="Organics Recycling",INDEX('Materials Master'!$H$2:$H$27,MATCH($C486,'Materials Master'!$A$2:$A$27,0)),IF($B486="Cardboard Recycling",INDEX('Materials Master'!$I$2:$I$27,MATCH($C486,'Materials Master'!$A$2:$A$27,0)),IF($B486="Paper Recycling",INDEX('Materials Master'!$J$2:$J$27,MATCH($C486,'Materials Master'!$A$2:$A$27,0)),IF($B486="Terracycle",INDEX('Materials Master'!$K$2:$K$27,MATCH($C486,'Materials Master'!$A$2:$A$27,0)),"No"))))))="Yes",1,0)</f>
        <v>0</v>
      </c>
    </row>
    <row r="487" customFormat="false" ht="15" hidden="false" customHeight="false" outlineLevel="0" collapsed="false">
      <c r="A487" s="0" t="s">
        <v>99</v>
      </c>
      <c r="B487" s="0" t="s">
        <v>103</v>
      </c>
      <c r="C487" s="0" t="s">
        <v>67</v>
      </c>
      <c r="D487" s="0" t="str">
        <f aca="false">IFERROR(INDEX('Materials Master'!$B$2:$B$27,MATCH($C487,'Materials Master'!$A$2:$A$27,0)),"")</f>
        <v>Paper Fibers and Food-Soiled Paper (FSP)</v>
      </c>
      <c r="E487" s="0" t="str">
        <f aca="false">IFERROR(INDEX('Materials Master'!$C$2:$C$27,MATCH($C487,'Materials Master'!$A$2:$A$27,0)),"")</f>
        <v>Organics</v>
      </c>
      <c r="F487" s="0" t="n">
        <f aca="false">(SUMIFS(Fact_PreSortWeights!$E$2:$E$15,Fact_PreSortWeights!$C$2:$C$15,$A487,Fact_PreSortWeights!$B$2:$B$15,$B487,Fact_PreSortWeights!$F$2:$F$15,$C487))+(SUMIFS(Fact_SortedWeights!$E$2:$E$6,Fact_SortedWeights!$C$2:$C$6,$A487,Fact_SortedWeights!$B$2:$B$6,$B487,Fact_SortedWeights!$D$2:$D$6,$C487,Fact_SortedWeights!$L$2:$L$6,"Yes"))+IF((SUMIFS(Fact_SortedWeights!$E$2:$E$6,Fact_SortedWeights!$C$2:$C$6,$A487,Fact_SortedWeights!$B$2:$B$6,$B487,Fact_SortedWeights!$L$2:$L$6,"No"))=0,0,(SUMIFS(Fact_SortedWeights!$E$2:$E$6,Fact_SortedWeights!$C$2:$C$6,$A487,Fact_SortedWeights!$B$2:$B$6,$B487,Fact_SortedWeights!$D$2:$D$6,$C487,Fact_SortedWeights!$L$2:$L$6,"No"))/(SUMIFS(Fact_SortedWeights!$E$2:$E$6,Fact_SortedWeights!$C$2:$C$6,$A487,Fact_SortedWeights!$B$2:$B$6,$B487,Fact_SortedWeights!$L$2:$L$6,"No"))*((SUMIFS(Fact_PreSortWeights!$E$2:$E$15,Fact_PreSortWeights!$C$2:$C$15,$A487,Fact_PreSortWeights!$B$2:$B$15,$B487,Fact_PreSortWeights!$F$2:$F$15,""))-(SUMIFS(Fact_SortedWeights!$E$2:$E$6,Fact_SortedWeights!$C$2:$C$6,$A487,Fact_SortedWeights!$B$2:$B$6,$B487,Fact_SortedWeights!$L$2:$L$6,"Yes"))))</f>
        <v>0</v>
      </c>
      <c r="G487" s="0" t="n">
        <f aca="false">IF(AND(IF($B487="Trash",INDEX('Materials Master'!$F$2:$F$27,MATCH($C487,'Materials Master'!$A$2:$A$27,0)),IF($B487="GMPC Recycling",INDEX('Materials Master'!$G$2:$G$27,MATCH($C487,'Materials Master'!$A$2:$A$27,0)),IF($B487="Organics Recycling",INDEX('Materials Master'!$H$2:$H$27,MATCH($C487,'Materials Master'!$A$2:$A$27,0)),IF($B487="Cardboard Recycling",INDEX('Materials Master'!$I$2:$I$27,MATCH($C487,'Materials Master'!$A$2:$A$27,0)),IF($B487="Paper Recycling",INDEX('Materials Master'!$J$2:$J$27,MATCH($C487,'Materials Master'!$A$2:$A$27,0)),IF($B487="Terracycle",INDEX('Materials Master'!$K$2:$K$27,MATCH($C487,'Materials Master'!$A$2:$A$27,0)),"No"))))))="Yes",INDEX('Materials Master'!$E$2:$E$27,MATCH($C487,'Materials Master'!$A$2:$A$27,0))="Yes",$B487&lt;&gt;"Trash"),1,0)</f>
        <v>0</v>
      </c>
      <c r="H487" s="0" t="str">
        <f aca="false">INDEX('Materials Master'!$E$2:$E$27,MATCH($C487,'Materials Master'!$A$2:$A$27,0))</f>
        <v>No</v>
      </c>
      <c r="I487" s="0" t="str">
        <f aca="false">IFERROR(INDEX(Areas!$C$2:$C$6,MATCH($A487,Areas!$B$2:$B$6,0)),"")</f>
        <v>Rest of Building</v>
      </c>
      <c r="J487" s="0" t="n">
        <f aca="false">IF(IF($B487="Trash",INDEX('Materials Master'!$F$2:$F$27,MATCH($C487,'Materials Master'!$A$2:$A$27,0)),IF($B487="GMPC Recycling",INDEX('Materials Master'!$G$2:$G$27,MATCH($C487,'Materials Master'!$A$2:$A$27,0)),IF($B487="Organics Recycling",INDEX('Materials Master'!$H$2:$H$27,MATCH($C487,'Materials Master'!$A$2:$A$27,0)),IF($B487="Cardboard Recycling",INDEX('Materials Master'!$I$2:$I$27,MATCH($C487,'Materials Master'!$A$2:$A$27,0)),IF($B487="Paper Recycling",INDEX('Materials Master'!$J$2:$J$27,MATCH($C487,'Materials Master'!$A$2:$A$27,0)),IF($B487="Terracycle",INDEX('Materials Master'!$K$2:$K$27,MATCH($C487,'Materials Master'!$A$2:$A$27,0)),"No"))))))="Yes",1,0)</f>
        <v>1</v>
      </c>
    </row>
    <row r="488" customFormat="false" ht="15" hidden="false" customHeight="false" outlineLevel="0" collapsed="false">
      <c r="A488" s="0" t="s">
        <v>99</v>
      </c>
      <c r="B488" s="0" t="s">
        <v>103</v>
      </c>
      <c r="C488" s="0" t="s">
        <v>69</v>
      </c>
      <c r="D488" s="0" t="str">
        <f aca="false">IFERROR(INDEX('Materials Master'!$B$2:$B$27,MATCH($C488,'Materials Master'!$A$2:$A$27,0)),"")</f>
        <v>Fiber-based Compostable Serviceware</v>
      </c>
      <c r="E488" s="0" t="str">
        <f aca="false">IFERROR(INDEX('Materials Master'!$C$2:$C$27,MATCH($C488,'Materials Master'!$A$2:$A$27,0)),"")</f>
        <v>Organics</v>
      </c>
      <c r="F488" s="0" t="n">
        <f aca="false">(SUMIFS(Fact_PreSortWeights!$E$2:$E$15,Fact_PreSortWeights!$C$2:$C$15,$A488,Fact_PreSortWeights!$B$2:$B$15,$B488,Fact_PreSortWeights!$F$2:$F$15,$C488))+(SUMIFS(Fact_SortedWeights!$E$2:$E$6,Fact_SortedWeights!$C$2:$C$6,$A488,Fact_SortedWeights!$B$2:$B$6,$B488,Fact_SortedWeights!$D$2:$D$6,$C488,Fact_SortedWeights!$L$2:$L$6,"Yes"))+IF((SUMIFS(Fact_SortedWeights!$E$2:$E$6,Fact_SortedWeights!$C$2:$C$6,$A488,Fact_SortedWeights!$B$2:$B$6,$B488,Fact_SortedWeights!$L$2:$L$6,"No"))=0,0,(SUMIFS(Fact_SortedWeights!$E$2:$E$6,Fact_SortedWeights!$C$2:$C$6,$A488,Fact_SortedWeights!$B$2:$B$6,$B488,Fact_SortedWeights!$D$2:$D$6,$C488,Fact_SortedWeights!$L$2:$L$6,"No"))/(SUMIFS(Fact_SortedWeights!$E$2:$E$6,Fact_SortedWeights!$C$2:$C$6,$A488,Fact_SortedWeights!$B$2:$B$6,$B488,Fact_SortedWeights!$L$2:$L$6,"No"))*((SUMIFS(Fact_PreSortWeights!$E$2:$E$15,Fact_PreSortWeights!$C$2:$C$15,$A488,Fact_PreSortWeights!$B$2:$B$15,$B488,Fact_PreSortWeights!$F$2:$F$15,""))-(SUMIFS(Fact_SortedWeights!$E$2:$E$6,Fact_SortedWeights!$C$2:$C$6,$A488,Fact_SortedWeights!$B$2:$B$6,$B488,Fact_SortedWeights!$L$2:$L$6,"Yes"))))</f>
        <v>0</v>
      </c>
      <c r="G488" s="0" t="n">
        <f aca="false">IF(AND(IF($B488="Trash",INDEX('Materials Master'!$F$2:$F$27,MATCH($C488,'Materials Master'!$A$2:$A$27,0)),IF($B488="GMPC Recycling",INDEX('Materials Master'!$G$2:$G$27,MATCH($C488,'Materials Master'!$A$2:$A$27,0)),IF($B488="Organics Recycling",INDEX('Materials Master'!$H$2:$H$27,MATCH($C488,'Materials Master'!$A$2:$A$27,0)),IF($B488="Cardboard Recycling",INDEX('Materials Master'!$I$2:$I$27,MATCH($C488,'Materials Master'!$A$2:$A$27,0)),IF($B488="Paper Recycling",INDEX('Materials Master'!$J$2:$J$27,MATCH($C488,'Materials Master'!$A$2:$A$27,0)),IF($B488="Terracycle",INDEX('Materials Master'!$K$2:$K$27,MATCH($C488,'Materials Master'!$A$2:$A$27,0)),"No"))))))="Yes",INDEX('Materials Master'!$E$2:$E$27,MATCH($C488,'Materials Master'!$A$2:$A$27,0))="Yes",$B488&lt;&gt;"Trash"),1,0)</f>
        <v>0</v>
      </c>
      <c r="H488" s="0" t="str">
        <f aca="false">INDEX('Materials Master'!$E$2:$E$27,MATCH($C488,'Materials Master'!$A$2:$A$27,0))</f>
        <v>No</v>
      </c>
      <c r="I488" s="0" t="str">
        <f aca="false">IFERROR(INDEX(Areas!$C$2:$C$6,MATCH($A488,Areas!$B$2:$B$6,0)),"")</f>
        <v>Rest of Building</v>
      </c>
      <c r="J488" s="0" t="n">
        <f aca="false">IF(IF($B488="Trash",INDEX('Materials Master'!$F$2:$F$27,MATCH($C488,'Materials Master'!$A$2:$A$27,0)),IF($B488="GMPC Recycling",INDEX('Materials Master'!$G$2:$G$27,MATCH($C488,'Materials Master'!$A$2:$A$27,0)),IF($B488="Organics Recycling",INDEX('Materials Master'!$H$2:$H$27,MATCH($C488,'Materials Master'!$A$2:$A$27,0)),IF($B488="Cardboard Recycling",INDEX('Materials Master'!$I$2:$I$27,MATCH($C488,'Materials Master'!$A$2:$A$27,0)),IF($B488="Paper Recycling",INDEX('Materials Master'!$J$2:$J$27,MATCH($C488,'Materials Master'!$A$2:$A$27,0)),IF($B488="Terracycle",INDEX('Materials Master'!$K$2:$K$27,MATCH($C488,'Materials Master'!$A$2:$A$27,0)),"No"))))))="Yes",1,0)</f>
        <v>1</v>
      </c>
    </row>
    <row r="489" customFormat="false" ht="15" hidden="false" customHeight="false" outlineLevel="0" collapsed="false">
      <c r="A489" s="0" t="s">
        <v>99</v>
      </c>
      <c r="B489" s="0" t="s">
        <v>103</v>
      </c>
      <c r="C489" s="0" t="s">
        <v>71</v>
      </c>
      <c r="D489" s="0" t="str">
        <f aca="false">IFERROR(INDEX('Materials Master'!$B$2:$B$27,MATCH($C489,'Materials Master'!$A$2:$A$27,0)),"")</f>
        <v>PLA Compostable Serviceware</v>
      </c>
      <c r="E489" s="0" t="str">
        <f aca="false">IFERROR(INDEX('Materials Master'!$C$2:$C$27,MATCH($C489,'Materials Master'!$A$2:$A$27,0)),"")</f>
        <v>Organics</v>
      </c>
      <c r="F489" s="0" t="n">
        <f aca="false">(SUMIFS(Fact_PreSortWeights!$E$2:$E$15,Fact_PreSortWeights!$C$2:$C$15,$A489,Fact_PreSortWeights!$B$2:$B$15,$B489,Fact_PreSortWeights!$F$2:$F$15,$C489))+(SUMIFS(Fact_SortedWeights!$E$2:$E$6,Fact_SortedWeights!$C$2:$C$6,$A489,Fact_SortedWeights!$B$2:$B$6,$B489,Fact_SortedWeights!$D$2:$D$6,$C489,Fact_SortedWeights!$L$2:$L$6,"Yes"))+IF((SUMIFS(Fact_SortedWeights!$E$2:$E$6,Fact_SortedWeights!$C$2:$C$6,$A489,Fact_SortedWeights!$B$2:$B$6,$B489,Fact_SortedWeights!$L$2:$L$6,"No"))=0,0,(SUMIFS(Fact_SortedWeights!$E$2:$E$6,Fact_SortedWeights!$C$2:$C$6,$A489,Fact_SortedWeights!$B$2:$B$6,$B489,Fact_SortedWeights!$D$2:$D$6,$C489,Fact_SortedWeights!$L$2:$L$6,"No"))/(SUMIFS(Fact_SortedWeights!$E$2:$E$6,Fact_SortedWeights!$C$2:$C$6,$A489,Fact_SortedWeights!$B$2:$B$6,$B489,Fact_SortedWeights!$L$2:$L$6,"No"))*((SUMIFS(Fact_PreSortWeights!$E$2:$E$15,Fact_PreSortWeights!$C$2:$C$15,$A489,Fact_PreSortWeights!$B$2:$B$15,$B489,Fact_PreSortWeights!$F$2:$F$15,""))-(SUMIFS(Fact_SortedWeights!$E$2:$E$6,Fact_SortedWeights!$C$2:$C$6,$A489,Fact_SortedWeights!$B$2:$B$6,$B489,Fact_SortedWeights!$L$2:$L$6,"Yes"))))</f>
        <v>0</v>
      </c>
      <c r="G489" s="0" t="n">
        <f aca="false">IF(AND(IF($B489="Trash",INDEX('Materials Master'!$F$2:$F$27,MATCH($C489,'Materials Master'!$A$2:$A$27,0)),IF($B489="GMPC Recycling",INDEX('Materials Master'!$G$2:$G$27,MATCH($C489,'Materials Master'!$A$2:$A$27,0)),IF($B489="Organics Recycling",INDEX('Materials Master'!$H$2:$H$27,MATCH($C489,'Materials Master'!$A$2:$A$27,0)),IF($B489="Cardboard Recycling",INDEX('Materials Master'!$I$2:$I$27,MATCH($C489,'Materials Master'!$A$2:$A$27,0)),IF($B489="Paper Recycling",INDEX('Materials Master'!$J$2:$J$27,MATCH($C489,'Materials Master'!$A$2:$A$27,0)),IF($B489="Terracycle",INDEX('Materials Master'!$K$2:$K$27,MATCH($C489,'Materials Master'!$A$2:$A$27,0)),"No"))))))="Yes",INDEX('Materials Master'!$E$2:$E$27,MATCH($C489,'Materials Master'!$A$2:$A$27,0))="Yes",$B489&lt;&gt;"Trash"),1,0)</f>
        <v>0</v>
      </c>
      <c r="H489" s="0" t="str">
        <f aca="false">INDEX('Materials Master'!$E$2:$E$27,MATCH($C489,'Materials Master'!$A$2:$A$27,0))</f>
        <v>No</v>
      </c>
      <c r="I489" s="0" t="str">
        <f aca="false">IFERROR(INDEX(Areas!$C$2:$C$6,MATCH($A489,Areas!$B$2:$B$6,0)),"")</f>
        <v>Rest of Building</v>
      </c>
      <c r="J489" s="0" t="n">
        <f aca="false">IF(IF($B489="Trash",INDEX('Materials Master'!$F$2:$F$27,MATCH($C489,'Materials Master'!$A$2:$A$27,0)),IF($B489="GMPC Recycling",INDEX('Materials Master'!$G$2:$G$27,MATCH($C489,'Materials Master'!$A$2:$A$27,0)),IF($B489="Organics Recycling",INDEX('Materials Master'!$H$2:$H$27,MATCH($C489,'Materials Master'!$A$2:$A$27,0)),IF($B489="Cardboard Recycling",INDEX('Materials Master'!$I$2:$I$27,MATCH($C489,'Materials Master'!$A$2:$A$27,0)),IF($B489="Paper Recycling",INDEX('Materials Master'!$J$2:$J$27,MATCH($C489,'Materials Master'!$A$2:$A$27,0)),IF($B489="Terracycle",INDEX('Materials Master'!$K$2:$K$27,MATCH($C489,'Materials Master'!$A$2:$A$27,0)),"No"))))))="Yes",1,0)</f>
        <v>1</v>
      </c>
    </row>
    <row r="490" customFormat="false" ht="15" hidden="false" customHeight="false" outlineLevel="0" collapsed="false">
      <c r="A490" s="0" t="s">
        <v>99</v>
      </c>
      <c r="B490" s="0" t="s">
        <v>103</v>
      </c>
      <c r="C490" s="0" t="s">
        <v>73</v>
      </c>
      <c r="D490" s="0" t="str">
        <f aca="false">IFERROR(INDEX('Materials Master'!$B$2:$B$27,MATCH($C490,'Materials Master'!$A$2:$A$27,0)),"")</f>
        <v>E/U Waste</v>
      </c>
      <c r="E490" s="0" t="str">
        <f aca="false">IFERROR(INDEX('Materials Master'!$C$2:$C$27,MATCH($C490,'Materials Master'!$A$2:$A$27,0)),"")</f>
        <v>Unacceptable</v>
      </c>
      <c r="F490" s="0" t="n">
        <f aca="false">(SUMIFS(Fact_PreSortWeights!$E$2:$E$15,Fact_PreSortWeights!$C$2:$C$15,$A490,Fact_PreSortWeights!$B$2:$B$15,$B490,Fact_PreSortWeights!$F$2:$F$15,$C490))+(SUMIFS(Fact_SortedWeights!$E$2:$E$6,Fact_SortedWeights!$C$2:$C$6,$A490,Fact_SortedWeights!$B$2:$B$6,$B490,Fact_SortedWeights!$D$2:$D$6,$C490,Fact_SortedWeights!$L$2:$L$6,"Yes"))+IF((SUMIFS(Fact_SortedWeights!$E$2:$E$6,Fact_SortedWeights!$C$2:$C$6,$A490,Fact_SortedWeights!$B$2:$B$6,$B490,Fact_SortedWeights!$L$2:$L$6,"No"))=0,0,(SUMIFS(Fact_SortedWeights!$E$2:$E$6,Fact_SortedWeights!$C$2:$C$6,$A490,Fact_SortedWeights!$B$2:$B$6,$B490,Fact_SortedWeights!$D$2:$D$6,$C490,Fact_SortedWeights!$L$2:$L$6,"No"))/(SUMIFS(Fact_SortedWeights!$E$2:$E$6,Fact_SortedWeights!$C$2:$C$6,$A490,Fact_SortedWeights!$B$2:$B$6,$B490,Fact_SortedWeights!$L$2:$L$6,"No"))*((SUMIFS(Fact_PreSortWeights!$E$2:$E$15,Fact_PreSortWeights!$C$2:$C$15,$A490,Fact_PreSortWeights!$B$2:$B$15,$B490,Fact_PreSortWeights!$F$2:$F$15,""))-(SUMIFS(Fact_SortedWeights!$E$2:$E$6,Fact_SortedWeights!$C$2:$C$6,$A490,Fact_SortedWeights!$B$2:$B$6,$B490,Fact_SortedWeights!$L$2:$L$6,"Yes"))))</f>
        <v>0</v>
      </c>
      <c r="G490" s="0" t="n">
        <f aca="false">IF(AND(IF($B490="Trash",INDEX('Materials Master'!$F$2:$F$27,MATCH($C490,'Materials Master'!$A$2:$A$27,0)),IF($B490="GMPC Recycling",INDEX('Materials Master'!$G$2:$G$27,MATCH($C490,'Materials Master'!$A$2:$A$27,0)),IF($B490="Organics Recycling",INDEX('Materials Master'!$H$2:$H$27,MATCH($C490,'Materials Master'!$A$2:$A$27,0)),IF($B490="Cardboard Recycling",INDEX('Materials Master'!$I$2:$I$27,MATCH($C490,'Materials Master'!$A$2:$A$27,0)),IF($B490="Paper Recycling",INDEX('Materials Master'!$J$2:$J$27,MATCH($C490,'Materials Master'!$A$2:$A$27,0)),IF($B490="Terracycle",INDEX('Materials Master'!$K$2:$K$27,MATCH($C490,'Materials Master'!$A$2:$A$27,0)),"No"))))))="Yes",INDEX('Materials Master'!$E$2:$E$27,MATCH($C490,'Materials Master'!$A$2:$A$27,0))="Yes",$B490&lt;&gt;"Trash"),1,0)</f>
        <v>0</v>
      </c>
      <c r="H490" s="0" t="str">
        <f aca="false">INDEX('Materials Master'!$E$2:$E$27,MATCH($C490,'Materials Master'!$A$2:$A$27,0))</f>
        <v>No</v>
      </c>
      <c r="I490" s="0" t="str">
        <f aca="false">IFERROR(INDEX(Areas!$C$2:$C$6,MATCH($A490,Areas!$B$2:$B$6,0)),"")</f>
        <v>Rest of Building</v>
      </c>
      <c r="J490" s="0" t="n">
        <f aca="false">IF(IF($B490="Trash",INDEX('Materials Master'!$F$2:$F$27,MATCH($C490,'Materials Master'!$A$2:$A$27,0)),IF($B490="GMPC Recycling",INDEX('Materials Master'!$G$2:$G$27,MATCH($C490,'Materials Master'!$A$2:$A$27,0)),IF($B490="Organics Recycling",INDEX('Materials Master'!$H$2:$H$27,MATCH($C490,'Materials Master'!$A$2:$A$27,0)),IF($B490="Cardboard Recycling",INDEX('Materials Master'!$I$2:$I$27,MATCH($C490,'Materials Master'!$A$2:$A$27,0)),IF($B490="Paper Recycling",INDEX('Materials Master'!$J$2:$J$27,MATCH($C490,'Materials Master'!$A$2:$A$27,0)),IF($B490="Terracycle",INDEX('Materials Master'!$K$2:$K$27,MATCH($C490,'Materials Master'!$A$2:$A$27,0)),"No"))))))="Yes",1,0)</f>
        <v>1</v>
      </c>
    </row>
    <row r="491" customFormat="false" ht="15" hidden="false" customHeight="false" outlineLevel="0" collapsed="false">
      <c r="A491" s="0" t="s">
        <v>99</v>
      </c>
      <c r="B491" s="0" t="s">
        <v>103</v>
      </c>
      <c r="C491" s="0" t="s">
        <v>76</v>
      </c>
      <c r="D491" s="0" t="str">
        <f aca="false">IFERROR(INDEX('Materials Master'!$B$2:$B$27,MATCH($C491,'Materials Master'!$A$2:$A$27,0)),"")</f>
        <v>Textiles</v>
      </c>
      <c r="E491" s="0" t="str">
        <f aca="false">IFERROR(INDEX('Materials Master'!$C$2:$C$27,MATCH($C491,'Materials Master'!$A$2:$A$27,0)),"")</f>
        <v>Unacceptable</v>
      </c>
      <c r="F491" s="0" t="n">
        <f aca="false">(SUMIFS(Fact_PreSortWeights!$E$2:$E$15,Fact_PreSortWeights!$C$2:$C$15,$A491,Fact_PreSortWeights!$B$2:$B$15,$B491,Fact_PreSortWeights!$F$2:$F$15,$C491))+(SUMIFS(Fact_SortedWeights!$E$2:$E$6,Fact_SortedWeights!$C$2:$C$6,$A491,Fact_SortedWeights!$B$2:$B$6,$B491,Fact_SortedWeights!$D$2:$D$6,$C491,Fact_SortedWeights!$L$2:$L$6,"Yes"))+IF((SUMIFS(Fact_SortedWeights!$E$2:$E$6,Fact_SortedWeights!$C$2:$C$6,$A491,Fact_SortedWeights!$B$2:$B$6,$B491,Fact_SortedWeights!$L$2:$L$6,"No"))=0,0,(SUMIFS(Fact_SortedWeights!$E$2:$E$6,Fact_SortedWeights!$C$2:$C$6,$A491,Fact_SortedWeights!$B$2:$B$6,$B491,Fact_SortedWeights!$D$2:$D$6,$C491,Fact_SortedWeights!$L$2:$L$6,"No"))/(SUMIFS(Fact_SortedWeights!$E$2:$E$6,Fact_SortedWeights!$C$2:$C$6,$A491,Fact_SortedWeights!$B$2:$B$6,$B491,Fact_SortedWeights!$L$2:$L$6,"No"))*((SUMIFS(Fact_PreSortWeights!$E$2:$E$15,Fact_PreSortWeights!$C$2:$C$15,$A491,Fact_PreSortWeights!$B$2:$B$15,$B491,Fact_PreSortWeights!$F$2:$F$15,""))-(SUMIFS(Fact_SortedWeights!$E$2:$E$6,Fact_SortedWeights!$C$2:$C$6,$A491,Fact_SortedWeights!$B$2:$B$6,$B491,Fact_SortedWeights!$L$2:$L$6,"Yes"))))</f>
        <v>0</v>
      </c>
      <c r="G491" s="0" t="n">
        <f aca="false">IF(AND(IF($B491="Trash",INDEX('Materials Master'!$F$2:$F$27,MATCH($C491,'Materials Master'!$A$2:$A$27,0)),IF($B491="GMPC Recycling",INDEX('Materials Master'!$G$2:$G$27,MATCH($C491,'Materials Master'!$A$2:$A$27,0)),IF($B491="Organics Recycling",INDEX('Materials Master'!$H$2:$H$27,MATCH($C491,'Materials Master'!$A$2:$A$27,0)),IF($B491="Cardboard Recycling",INDEX('Materials Master'!$I$2:$I$27,MATCH($C491,'Materials Master'!$A$2:$A$27,0)),IF($B491="Paper Recycling",INDEX('Materials Master'!$J$2:$J$27,MATCH($C491,'Materials Master'!$A$2:$A$27,0)),IF($B491="Terracycle",INDEX('Materials Master'!$K$2:$K$27,MATCH($C491,'Materials Master'!$A$2:$A$27,0)),"No"))))))="Yes",INDEX('Materials Master'!$E$2:$E$27,MATCH($C491,'Materials Master'!$A$2:$A$27,0))="Yes",$B491&lt;&gt;"Trash"),1,0)</f>
        <v>0</v>
      </c>
      <c r="H491" s="0" t="str">
        <f aca="false">INDEX('Materials Master'!$E$2:$E$27,MATCH($C491,'Materials Master'!$A$2:$A$27,0))</f>
        <v>No</v>
      </c>
      <c r="I491" s="0" t="str">
        <f aca="false">IFERROR(INDEX(Areas!$C$2:$C$6,MATCH($A491,Areas!$B$2:$B$6,0)),"")</f>
        <v>Rest of Building</v>
      </c>
      <c r="J491" s="0" t="n">
        <f aca="false">IF(IF($B491="Trash",INDEX('Materials Master'!$F$2:$F$27,MATCH($C491,'Materials Master'!$A$2:$A$27,0)),IF($B491="GMPC Recycling",INDEX('Materials Master'!$G$2:$G$27,MATCH($C491,'Materials Master'!$A$2:$A$27,0)),IF($B491="Organics Recycling",INDEX('Materials Master'!$H$2:$H$27,MATCH($C491,'Materials Master'!$A$2:$A$27,0)),IF($B491="Cardboard Recycling",INDEX('Materials Master'!$I$2:$I$27,MATCH($C491,'Materials Master'!$A$2:$A$27,0)),IF($B491="Paper Recycling",INDEX('Materials Master'!$J$2:$J$27,MATCH($C491,'Materials Master'!$A$2:$A$27,0)),IF($B491="Terracycle",INDEX('Materials Master'!$K$2:$K$27,MATCH($C491,'Materials Master'!$A$2:$A$27,0)),"No"))))))="Yes",1,0)</f>
        <v>1</v>
      </c>
    </row>
    <row r="492" customFormat="false" ht="15" hidden="false" customHeight="false" outlineLevel="0" collapsed="false">
      <c r="A492" s="0" t="s">
        <v>99</v>
      </c>
      <c r="B492" s="0" t="s">
        <v>103</v>
      </c>
      <c r="C492" s="0" t="s">
        <v>78</v>
      </c>
      <c r="D492" s="0" t="str">
        <f aca="false">IFERROR(INDEX('Materials Master'!$B$2:$B$27,MATCH($C492,'Materials Master'!$A$2:$A$27,0)),"")</f>
        <v>Other Unacceptable (specify)</v>
      </c>
      <c r="E492" s="0" t="str">
        <f aca="false">IFERROR(INDEX('Materials Master'!$C$2:$C$27,MATCH($C492,'Materials Master'!$A$2:$A$27,0)),"")</f>
        <v>Unacceptable</v>
      </c>
      <c r="F492" s="0" t="n">
        <f aca="false">(SUMIFS(Fact_PreSortWeights!$E$2:$E$15,Fact_PreSortWeights!$C$2:$C$15,$A492,Fact_PreSortWeights!$B$2:$B$15,$B492,Fact_PreSortWeights!$F$2:$F$15,$C492))+(SUMIFS(Fact_SortedWeights!$E$2:$E$6,Fact_SortedWeights!$C$2:$C$6,$A492,Fact_SortedWeights!$B$2:$B$6,$B492,Fact_SortedWeights!$D$2:$D$6,$C492,Fact_SortedWeights!$L$2:$L$6,"Yes"))+IF((SUMIFS(Fact_SortedWeights!$E$2:$E$6,Fact_SortedWeights!$C$2:$C$6,$A492,Fact_SortedWeights!$B$2:$B$6,$B492,Fact_SortedWeights!$L$2:$L$6,"No"))=0,0,(SUMIFS(Fact_SortedWeights!$E$2:$E$6,Fact_SortedWeights!$C$2:$C$6,$A492,Fact_SortedWeights!$B$2:$B$6,$B492,Fact_SortedWeights!$D$2:$D$6,$C492,Fact_SortedWeights!$L$2:$L$6,"No"))/(SUMIFS(Fact_SortedWeights!$E$2:$E$6,Fact_SortedWeights!$C$2:$C$6,$A492,Fact_SortedWeights!$B$2:$B$6,$B492,Fact_SortedWeights!$L$2:$L$6,"No"))*((SUMIFS(Fact_PreSortWeights!$E$2:$E$15,Fact_PreSortWeights!$C$2:$C$15,$A492,Fact_PreSortWeights!$B$2:$B$15,$B492,Fact_PreSortWeights!$F$2:$F$15,""))-(SUMIFS(Fact_SortedWeights!$E$2:$E$6,Fact_SortedWeights!$C$2:$C$6,$A492,Fact_SortedWeights!$B$2:$B$6,$B492,Fact_SortedWeights!$L$2:$L$6,"Yes"))))</f>
        <v>0</v>
      </c>
      <c r="G492" s="0" t="n">
        <f aca="false">IF(AND(IF($B492="Trash",INDEX('Materials Master'!$F$2:$F$27,MATCH($C492,'Materials Master'!$A$2:$A$27,0)),IF($B492="GMPC Recycling",INDEX('Materials Master'!$G$2:$G$27,MATCH($C492,'Materials Master'!$A$2:$A$27,0)),IF($B492="Organics Recycling",INDEX('Materials Master'!$H$2:$H$27,MATCH($C492,'Materials Master'!$A$2:$A$27,0)),IF($B492="Cardboard Recycling",INDEX('Materials Master'!$I$2:$I$27,MATCH($C492,'Materials Master'!$A$2:$A$27,0)),IF($B492="Paper Recycling",INDEX('Materials Master'!$J$2:$J$27,MATCH($C492,'Materials Master'!$A$2:$A$27,0)),IF($B492="Terracycle",INDEX('Materials Master'!$K$2:$K$27,MATCH($C492,'Materials Master'!$A$2:$A$27,0)),"No"))))))="Yes",INDEX('Materials Master'!$E$2:$E$27,MATCH($C492,'Materials Master'!$A$2:$A$27,0))="Yes",$B492&lt;&gt;"Trash"),1,0)</f>
        <v>0</v>
      </c>
      <c r="H492" s="0" t="str">
        <f aca="false">INDEX('Materials Master'!$E$2:$E$27,MATCH($C492,'Materials Master'!$A$2:$A$27,0))</f>
        <v>No</v>
      </c>
      <c r="I492" s="0" t="str">
        <f aca="false">IFERROR(INDEX(Areas!$C$2:$C$6,MATCH($A492,Areas!$B$2:$B$6,0)),"")</f>
        <v>Rest of Building</v>
      </c>
      <c r="J492" s="0" t="n">
        <f aca="false">IF(IF($B492="Trash",INDEX('Materials Master'!$F$2:$F$27,MATCH($C492,'Materials Master'!$A$2:$A$27,0)),IF($B492="GMPC Recycling",INDEX('Materials Master'!$G$2:$G$27,MATCH($C492,'Materials Master'!$A$2:$A$27,0)),IF($B492="Organics Recycling",INDEX('Materials Master'!$H$2:$H$27,MATCH($C492,'Materials Master'!$A$2:$A$27,0)),IF($B492="Cardboard Recycling",INDEX('Materials Master'!$I$2:$I$27,MATCH($C492,'Materials Master'!$A$2:$A$27,0)),IF($B492="Paper Recycling",INDEX('Materials Master'!$J$2:$J$27,MATCH($C492,'Materials Master'!$A$2:$A$27,0)),IF($B492="Terracycle",INDEX('Materials Master'!$K$2:$K$27,MATCH($C492,'Materials Master'!$A$2:$A$27,0)),"No"))))))="Yes",1,0)</f>
        <v>1</v>
      </c>
    </row>
    <row r="493" customFormat="false" ht="15" hidden="false" customHeight="false" outlineLevel="0" collapsed="false">
      <c r="A493" s="0" t="s">
        <v>99</v>
      </c>
      <c r="B493" s="0" t="s">
        <v>103</v>
      </c>
      <c r="C493" s="0" t="s">
        <v>80</v>
      </c>
      <c r="D493" s="0" t="str">
        <f aca="false">IFERROR(INDEX('Materials Master'!$B$2:$B$27,MATCH($C493,'Materials Master'!$A$2:$A$27,0)),"")</f>
        <v>Liquids</v>
      </c>
      <c r="E493" s="0" t="str">
        <f aca="false">IFERROR(INDEX('Materials Master'!$C$2:$C$27,MATCH($C493,'Materials Master'!$A$2:$A$27,0)),"")</f>
        <v>Unacceptable</v>
      </c>
      <c r="F493" s="0" t="n">
        <f aca="false">(SUMIFS(Fact_PreSortWeights!$E$2:$E$15,Fact_PreSortWeights!$C$2:$C$15,$A493,Fact_PreSortWeights!$B$2:$B$15,$B493,Fact_PreSortWeights!$F$2:$F$15,$C493))+(SUMIFS(Fact_SortedWeights!$E$2:$E$6,Fact_SortedWeights!$C$2:$C$6,$A493,Fact_SortedWeights!$B$2:$B$6,$B493,Fact_SortedWeights!$D$2:$D$6,$C493,Fact_SortedWeights!$L$2:$L$6,"Yes"))+IF((SUMIFS(Fact_SortedWeights!$E$2:$E$6,Fact_SortedWeights!$C$2:$C$6,$A493,Fact_SortedWeights!$B$2:$B$6,$B493,Fact_SortedWeights!$L$2:$L$6,"No"))=0,0,(SUMIFS(Fact_SortedWeights!$E$2:$E$6,Fact_SortedWeights!$C$2:$C$6,$A493,Fact_SortedWeights!$B$2:$B$6,$B493,Fact_SortedWeights!$D$2:$D$6,$C493,Fact_SortedWeights!$L$2:$L$6,"No"))/(SUMIFS(Fact_SortedWeights!$E$2:$E$6,Fact_SortedWeights!$C$2:$C$6,$A493,Fact_SortedWeights!$B$2:$B$6,$B493,Fact_SortedWeights!$L$2:$L$6,"No"))*((SUMIFS(Fact_PreSortWeights!$E$2:$E$15,Fact_PreSortWeights!$C$2:$C$15,$A493,Fact_PreSortWeights!$B$2:$B$15,$B493,Fact_PreSortWeights!$F$2:$F$15,""))-(SUMIFS(Fact_SortedWeights!$E$2:$E$6,Fact_SortedWeights!$C$2:$C$6,$A493,Fact_SortedWeights!$B$2:$B$6,$B493,Fact_SortedWeights!$L$2:$L$6,"Yes"))))</f>
        <v>0</v>
      </c>
      <c r="G493" s="0" t="n">
        <f aca="false">IF(AND(IF($B493="Trash",INDEX('Materials Master'!$F$2:$F$27,MATCH($C493,'Materials Master'!$A$2:$A$27,0)),IF($B493="GMPC Recycling",INDEX('Materials Master'!$G$2:$G$27,MATCH($C493,'Materials Master'!$A$2:$A$27,0)),IF($B493="Organics Recycling",INDEX('Materials Master'!$H$2:$H$27,MATCH($C493,'Materials Master'!$A$2:$A$27,0)),IF($B493="Cardboard Recycling",INDEX('Materials Master'!$I$2:$I$27,MATCH($C493,'Materials Master'!$A$2:$A$27,0)),IF($B493="Paper Recycling",INDEX('Materials Master'!$J$2:$J$27,MATCH($C493,'Materials Master'!$A$2:$A$27,0)),IF($B493="Terracycle",INDEX('Materials Master'!$K$2:$K$27,MATCH($C493,'Materials Master'!$A$2:$A$27,0)),"No"))))))="Yes",INDEX('Materials Master'!$E$2:$E$27,MATCH($C493,'Materials Master'!$A$2:$A$27,0))="Yes",$B493&lt;&gt;"Trash"),1,0)</f>
        <v>0</v>
      </c>
      <c r="H493" s="0" t="str">
        <f aca="false">INDEX('Materials Master'!$E$2:$E$27,MATCH($C493,'Materials Master'!$A$2:$A$27,0))</f>
        <v>No</v>
      </c>
      <c r="I493" s="0" t="str">
        <f aca="false">IFERROR(INDEX(Areas!$C$2:$C$6,MATCH($A493,Areas!$B$2:$B$6,0)),"")</f>
        <v>Rest of Building</v>
      </c>
      <c r="J493" s="0" t="n">
        <f aca="false">IF(IF($B493="Trash",INDEX('Materials Master'!$F$2:$F$27,MATCH($C493,'Materials Master'!$A$2:$A$27,0)),IF($B493="GMPC Recycling",INDEX('Materials Master'!$G$2:$G$27,MATCH($C493,'Materials Master'!$A$2:$A$27,0)),IF($B493="Organics Recycling",INDEX('Materials Master'!$H$2:$H$27,MATCH($C493,'Materials Master'!$A$2:$A$27,0)),IF($B493="Cardboard Recycling",INDEX('Materials Master'!$I$2:$I$27,MATCH($C493,'Materials Master'!$A$2:$A$27,0)),IF($B493="Paper Recycling",INDEX('Materials Master'!$J$2:$J$27,MATCH($C493,'Materials Master'!$A$2:$A$27,0)),IF($B493="Terracycle",INDEX('Materials Master'!$K$2:$K$27,MATCH($C493,'Materials Master'!$A$2:$A$27,0)),"No"))))))="Yes",1,0)</f>
        <v>1</v>
      </c>
    </row>
    <row r="494" customFormat="false" ht="15" hidden="false" customHeight="false" outlineLevel="0" collapsed="false">
      <c r="A494" s="0" t="s">
        <v>99</v>
      </c>
      <c r="B494" s="0" t="s">
        <v>103</v>
      </c>
      <c r="C494" s="0" t="s">
        <v>82</v>
      </c>
      <c r="D494" s="0" t="str">
        <f aca="false">IFERROR(INDEX('Materials Master'!$B$2:$B$27,MATCH($C494,'Materials Master'!$A$2:$A$27,0)),"")</f>
        <v>Snack Wrappers (Composites)</v>
      </c>
      <c r="E494" s="0" t="str">
        <f aca="false">IFERROR(INDEX('Materials Master'!$C$2:$C$27,MATCH($C494,'Materials Master'!$A$2:$A$27,0)),"")</f>
        <v>Other</v>
      </c>
      <c r="F494" s="0" t="n">
        <f aca="false">(SUMIFS(Fact_PreSortWeights!$E$2:$E$15,Fact_PreSortWeights!$C$2:$C$15,$A494,Fact_PreSortWeights!$B$2:$B$15,$B494,Fact_PreSortWeights!$F$2:$F$15,$C494))+(SUMIFS(Fact_SortedWeights!$E$2:$E$6,Fact_SortedWeights!$C$2:$C$6,$A494,Fact_SortedWeights!$B$2:$B$6,$B494,Fact_SortedWeights!$D$2:$D$6,$C494,Fact_SortedWeights!$L$2:$L$6,"Yes"))+IF((SUMIFS(Fact_SortedWeights!$E$2:$E$6,Fact_SortedWeights!$C$2:$C$6,$A494,Fact_SortedWeights!$B$2:$B$6,$B494,Fact_SortedWeights!$L$2:$L$6,"No"))=0,0,(SUMIFS(Fact_SortedWeights!$E$2:$E$6,Fact_SortedWeights!$C$2:$C$6,$A494,Fact_SortedWeights!$B$2:$B$6,$B494,Fact_SortedWeights!$D$2:$D$6,$C494,Fact_SortedWeights!$L$2:$L$6,"No"))/(SUMIFS(Fact_SortedWeights!$E$2:$E$6,Fact_SortedWeights!$C$2:$C$6,$A494,Fact_SortedWeights!$B$2:$B$6,$B494,Fact_SortedWeights!$L$2:$L$6,"No"))*((SUMIFS(Fact_PreSortWeights!$E$2:$E$15,Fact_PreSortWeights!$C$2:$C$15,$A494,Fact_PreSortWeights!$B$2:$B$15,$B494,Fact_PreSortWeights!$F$2:$F$15,""))-(SUMIFS(Fact_SortedWeights!$E$2:$E$6,Fact_SortedWeights!$C$2:$C$6,$A494,Fact_SortedWeights!$B$2:$B$6,$B494,Fact_SortedWeights!$L$2:$L$6,"Yes"))))</f>
        <v>0</v>
      </c>
      <c r="G494" s="0" t="n">
        <f aca="false">IF(AND(IF($B494="Trash",INDEX('Materials Master'!$F$2:$F$27,MATCH($C494,'Materials Master'!$A$2:$A$27,0)),IF($B494="GMPC Recycling",INDEX('Materials Master'!$G$2:$G$27,MATCH($C494,'Materials Master'!$A$2:$A$27,0)),IF($B494="Organics Recycling",INDEX('Materials Master'!$H$2:$H$27,MATCH($C494,'Materials Master'!$A$2:$A$27,0)),IF($B494="Cardboard Recycling",INDEX('Materials Master'!$I$2:$I$27,MATCH($C494,'Materials Master'!$A$2:$A$27,0)),IF($B494="Paper Recycling",INDEX('Materials Master'!$J$2:$J$27,MATCH($C494,'Materials Master'!$A$2:$A$27,0)),IF($B494="Terracycle",INDEX('Materials Master'!$K$2:$K$27,MATCH($C494,'Materials Master'!$A$2:$A$27,0)),"No"))))))="Yes",INDEX('Materials Master'!$E$2:$E$27,MATCH($C494,'Materials Master'!$A$2:$A$27,0))="Yes",$B494&lt;&gt;"Trash"),1,0)</f>
        <v>0</v>
      </c>
      <c r="H494" s="0" t="str">
        <f aca="false">INDEX('Materials Master'!$E$2:$E$27,MATCH($C494,'Materials Master'!$A$2:$A$27,0))</f>
        <v>Yes</v>
      </c>
      <c r="I494" s="0" t="str">
        <f aca="false">IFERROR(INDEX(Areas!$C$2:$C$6,MATCH($A494,Areas!$B$2:$B$6,0)),"")</f>
        <v>Rest of Building</v>
      </c>
      <c r="J494" s="0" t="n">
        <f aca="false">IF(IF($B494="Trash",INDEX('Materials Master'!$F$2:$F$27,MATCH($C494,'Materials Master'!$A$2:$A$27,0)),IF($B494="GMPC Recycling",INDEX('Materials Master'!$G$2:$G$27,MATCH($C494,'Materials Master'!$A$2:$A$27,0)),IF($B494="Organics Recycling",INDEX('Materials Master'!$H$2:$H$27,MATCH($C494,'Materials Master'!$A$2:$A$27,0)),IF($B494="Cardboard Recycling",INDEX('Materials Master'!$I$2:$I$27,MATCH($C494,'Materials Master'!$A$2:$A$27,0)),IF($B494="Paper Recycling",INDEX('Materials Master'!$J$2:$J$27,MATCH($C494,'Materials Master'!$A$2:$A$27,0)),IF($B494="Terracycle",INDEX('Materials Master'!$K$2:$K$27,MATCH($C494,'Materials Master'!$A$2:$A$27,0)),"No"))))))="Yes",1,0)</f>
        <v>0</v>
      </c>
    </row>
    <row r="495" customFormat="false" ht="15" hidden="false" customHeight="false" outlineLevel="0" collapsed="false">
      <c r="A495" s="0" t="s">
        <v>99</v>
      </c>
      <c r="B495" s="0" t="s">
        <v>103</v>
      </c>
      <c r="C495" s="0" t="s">
        <v>85</v>
      </c>
      <c r="D495" s="0" t="str">
        <f aca="false">IFERROR(INDEX('Materials Master'!$B$2:$B$27,MATCH($C495,'Materials Master'!$A$2:$A$27,0)),"")</f>
        <v>Other/Residual Materials</v>
      </c>
      <c r="E495" s="0" t="str">
        <f aca="false">IFERROR(INDEX('Materials Master'!$C$2:$C$27,MATCH($C495,'Materials Master'!$A$2:$A$27,0)),"")</f>
        <v>Other</v>
      </c>
      <c r="F495" s="0" t="n">
        <f aca="false">(SUMIFS(Fact_PreSortWeights!$E$2:$E$15,Fact_PreSortWeights!$C$2:$C$15,$A495,Fact_PreSortWeights!$B$2:$B$15,$B495,Fact_PreSortWeights!$F$2:$F$15,$C495))+(SUMIFS(Fact_SortedWeights!$E$2:$E$6,Fact_SortedWeights!$C$2:$C$6,$A495,Fact_SortedWeights!$B$2:$B$6,$B495,Fact_SortedWeights!$D$2:$D$6,$C495,Fact_SortedWeights!$L$2:$L$6,"Yes"))+IF((SUMIFS(Fact_SortedWeights!$E$2:$E$6,Fact_SortedWeights!$C$2:$C$6,$A495,Fact_SortedWeights!$B$2:$B$6,$B495,Fact_SortedWeights!$L$2:$L$6,"No"))=0,0,(SUMIFS(Fact_SortedWeights!$E$2:$E$6,Fact_SortedWeights!$C$2:$C$6,$A495,Fact_SortedWeights!$B$2:$B$6,$B495,Fact_SortedWeights!$D$2:$D$6,$C495,Fact_SortedWeights!$L$2:$L$6,"No"))/(SUMIFS(Fact_SortedWeights!$E$2:$E$6,Fact_SortedWeights!$C$2:$C$6,$A495,Fact_SortedWeights!$B$2:$B$6,$B495,Fact_SortedWeights!$L$2:$L$6,"No"))*((SUMIFS(Fact_PreSortWeights!$E$2:$E$15,Fact_PreSortWeights!$C$2:$C$15,$A495,Fact_PreSortWeights!$B$2:$B$15,$B495,Fact_PreSortWeights!$F$2:$F$15,""))-(SUMIFS(Fact_SortedWeights!$E$2:$E$6,Fact_SortedWeights!$C$2:$C$6,$A495,Fact_SortedWeights!$B$2:$B$6,$B495,Fact_SortedWeights!$L$2:$L$6,"Yes"))))</f>
        <v>0</v>
      </c>
      <c r="G495" s="0" t="n">
        <f aca="false">IF(AND(IF($B495="Trash",INDEX('Materials Master'!$F$2:$F$27,MATCH($C495,'Materials Master'!$A$2:$A$27,0)),IF($B495="GMPC Recycling",INDEX('Materials Master'!$G$2:$G$27,MATCH($C495,'Materials Master'!$A$2:$A$27,0)),IF($B495="Organics Recycling",INDEX('Materials Master'!$H$2:$H$27,MATCH($C495,'Materials Master'!$A$2:$A$27,0)),IF($B495="Cardboard Recycling",INDEX('Materials Master'!$I$2:$I$27,MATCH($C495,'Materials Master'!$A$2:$A$27,0)),IF($B495="Paper Recycling",INDEX('Materials Master'!$J$2:$J$27,MATCH($C495,'Materials Master'!$A$2:$A$27,0)),IF($B495="Terracycle",INDEX('Materials Master'!$K$2:$K$27,MATCH($C495,'Materials Master'!$A$2:$A$27,0)),"No"))))))="Yes",INDEX('Materials Master'!$E$2:$E$27,MATCH($C495,'Materials Master'!$A$2:$A$27,0))="Yes",$B495&lt;&gt;"Trash"),1,0)</f>
        <v>0</v>
      </c>
      <c r="H495" s="0" t="str">
        <f aca="false">INDEX('Materials Master'!$E$2:$E$27,MATCH($C495,'Materials Master'!$A$2:$A$27,0))</f>
        <v>No</v>
      </c>
      <c r="I495" s="0" t="str">
        <f aca="false">IFERROR(INDEX(Areas!$C$2:$C$6,MATCH($A495,Areas!$B$2:$B$6,0)),"")</f>
        <v>Rest of Building</v>
      </c>
      <c r="J495" s="0" t="n">
        <f aca="false">IF(IF($B495="Trash",INDEX('Materials Master'!$F$2:$F$27,MATCH($C495,'Materials Master'!$A$2:$A$27,0)),IF($B495="GMPC Recycling",INDEX('Materials Master'!$G$2:$G$27,MATCH($C495,'Materials Master'!$A$2:$A$27,0)),IF($B495="Organics Recycling",INDEX('Materials Master'!$H$2:$H$27,MATCH($C495,'Materials Master'!$A$2:$A$27,0)),IF($B495="Cardboard Recycling",INDEX('Materials Master'!$I$2:$I$27,MATCH($C495,'Materials Master'!$A$2:$A$27,0)),IF($B495="Paper Recycling",INDEX('Materials Master'!$J$2:$J$27,MATCH($C495,'Materials Master'!$A$2:$A$27,0)),IF($B495="Terracycle",INDEX('Materials Master'!$K$2:$K$27,MATCH($C495,'Materials Master'!$A$2:$A$27,0)),"No"))))))="Yes",1,0)</f>
        <v>1</v>
      </c>
    </row>
    <row r="496" customFormat="false" ht="15" hidden="false" customHeight="false" outlineLevel="0" collapsed="false">
      <c r="A496" s="0" t="s">
        <v>99</v>
      </c>
      <c r="B496" s="0" t="s">
        <v>104</v>
      </c>
      <c r="C496" s="0" t="s">
        <v>26</v>
      </c>
      <c r="D496" s="0" t="str">
        <f aca="false">IFERROR(INDEX('Materials Master'!$B$2:$B$27,MATCH($C496,'Materials Master'!$A$2:$A$27,0)),"")</f>
        <v>Corrugated Cardboard</v>
      </c>
      <c r="E496" s="0" t="str">
        <f aca="false">IFERROR(INDEX('Materials Master'!$C$2:$C$27,MATCH($C496,'Materials Master'!$A$2:$A$27,0)),"")</f>
        <v>Fibers</v>
      </c>
      <c r="F496" s="0" t="n">
        <f aca="false">(SUMIFS(Fact_PreSortWeights!$E$2:$E$15,Fact_PreSortWeights!$C$2:$C$15,$A496,Fact_PreSortWeights!$B$2:$B$15,$B496,Fact_PreSortWeights!$F$2:$F$15,$C496))+(SUMIFS(Fact_SortedWeights!$E$2:$E$6,Fact_SortedWeights!$C$2:$C$6,$A496,Fact_SortedWeights!$B$2:$B$6,$B496,Fact_SortedWeights!$D$2:$D$6,$C496,Fact_SortedWeights!$L$2:$L$6,"Yes"))+IF((SUMIFS(Fact_SortedWeights!$E$2:$E$6,Fact_SortedWeights!$C$2:$C$6,$A496,Fact_SortedWeights!$B$2:$B$6,$B496,Fact_SortedWeights!$L$2:$L$6,"No"))=0,0,(SUMIFS(Fact_SortedWeights!$E$2:$E$6,Fact_SortedWeights!$C$2:$C$6,$A496,Fact_SortedWeights!$B$2:$B$6,$B496,Fact_SortedWeights!$D$2:$D$6,$C496,Fact_SortedWeights!$L$2:$L$6,"No"))/(SUMIFS(Fact_SortedWeights!$E$2:$E$6,Fact_SortedWeights!$C$2:$C$6,$A496,Fact_SortedWeights!$B$2:$B$6,$B496,Fact_SortedWeights!$L$2:$L$6,"No"))*((SUMIFS(Fact_PreSortWeights!$E$2:$E$15,Fact_PreSortWeights!$C$2:$C$15,$A496,Fact_PreSortWeights!$B$2:$B$15,$B496,Fact_PreSortWeights!$F$2:$F$15,""))-(SUMIFS(Fact_SortedWeights!$E$2:$E$6,Fact_SortedWeights!$C$2:$C$6,$A496,Fact_SortedWeights!$B$2:$B$6,$B496,Fact_SortedWeights!$L$2:$L$6,"Yes"))))</f>
        <v>0</v>
      </c>
      <c r="G496" s="0" t="n">
        <f aca="false">IF(AND(IF($B496="Trash",INDEX('Materials Master'!$F$2:$F$27,MATCH($C496,'Materials Master'!$A$2:$A$27,0)),IF($B496="GMPC Recycling",INDEX('Materials Master'!$G$2:$G$27,MATCH($C496,'Materials Master'!$A$2:$A$27,0)),IF($B496="Organics Recycling",INDEX('Materials Master'!$H$2:$H$27,MATCH($C496,'Materials Master'!$A$2:$A$27,0)),IF($B496="Cardboard Recycling",INDEX('Materials Master'!$I$2:$I$27,MATCH($C496,'Materials Master'!$A$2:$A$27,0)),IF($B496="Paper Recycling",INDEX('Materials Master'!$J$2:$J$27,MATCH($C496,'Materials Master'!$A$2:$A$27,0)),IF($B496="Terracycle",INDEX('Materials Master'!$K$2:$K$27,MATCH($C496,'Materials Master'!$A$2:$A$27,0)),"No"))))))="Yes",INDEX('Materials Master'!$E$2:$E$27,MATCH($C496,'Materials Master'!$A$2:$A$27,0))="Yes",$B496&lt;&gt;"Trash"),1,0)</f>
        <v>1</v>
      </c>
      <c r="H496" s="0" t="str">
        <f aca="false">INDEX('Materials Master'!$E$2:$E$27,MATCH($C496,'Materials Master'!$A$2:$A$27,0))</f>
        <v>Yes</v>
      </c>
      <c r="I496" s="0" t="str">
        <f aca="false">IFERROR(INDEX(Areas!$C$2:$C$6,MATCH($A496,Areas!$B$2:$B$6,0)),"")</f>
        <v>Rest of Building</v>
      </c>
      <c r="J496" s="0" t="n">
        <f aca="false">IF(IF($B496="Trash",INDEX('Materials Master'!$F$2:$F$27,MATCH($C496,'Materials Master'!$A$2:$A$27,0)),IF($B496="GMPC Recycling",INDEX('Materials Master'!$G$2:$G$27,MATCH($C496,'Materials Master'!$A$2:$A$27,0)),IF($B496="Organics Recycling",INDEX('Materials Master'!$H$2:$H$27,MATCH($C496,'Materials Master'!$A$2:$A$27,0)),IF($B496="Cardboard Recycling",INDEX('Materials Master'!$I$2:$I$27,MATCH($C496,'Materials Master'!$A$2:$A$27,0)),IF($B496="Paper Recycling",INDEX('Materials Master'!$J$2:$J$27,MATCH($C496,'Materials Master'!$A$2:$A$27,0)),IF($B496="Terracycle",INDEX('Materials Master'!$K$2:$K$27,MATCH($C496,'Materials Master'!$A$2:$A$27,0)),"No"))))))="Yes",1,0)</f>
        <v>1</v>
      </c>
    </row>
    <row r="497" customFormat="false" ht="15" hidden="false" customHeight="false" outlineLevel="0" collapsed="false">
      <c r="A497" s="0" t="s">
        <v>99</v>
      </c>
      <c r="B497" s="0" t="s">
        <v>104</v>
      </c>
      <c r="C497" s="0" t="s">
        <v>31</v>
      </c>
      <c r="D497" s="0" t="str">
        <f aca="false">IFERROR(INDEX('Materials Master'!$B$2:$B$27,MATCH($C497,'Materials Master'!$A$2:$A$27,0)),"")</f>
        <v>Soiled Cardboard</v>
      </c>
      <c r="E497" s="0" t="str">
        <f aca="false">IFERROR(INDEX('Materials Master'!$C$2:$C$27,MATCH($C497,'Materials Master'!$A$2:$A$27,0)),"")</f>
        <v>Fibers</v>
      </c>
      <c r="F497" s="0" t="n">
        <f aca="false">(SUMIFS(Fact_PreSortWeights!$E$2:$E$15,Fact_PreSortWeights!$C$2:$C$15,$A497,Fact_PreSortWeights!$B$2:$B$15,$B497,Fact_PreSortWeights!$F$2:$F$15,$C497))+(SUMIFS(Fact_SortedWeights!$E$2:$E$6,Fact_SortedWeights!$C$2:$C$6,$A497,Fact_SortedWeights!$B$2:$B$6,$B497,Fact_SortedWeights!$D$2:$D$6,$C497,Fact_SortedWeights!$L$2:$L$6,"Yes"))+IF((SUMIFS(Fact_SortedWeights!$E$2:$E$6,Fact_SortedWeights!$C$2:$C$6,$A497,Fact_SortedWeights!$B$2:$B$6,$B497,Fact_SortedWeights!$L$2:$L$6,"No"))=0,0,(SUMIFS(Fact_SortedWeights!$E$2:$E$6,Fact_SortedWeights!$C$2:$C$6,$A497,Fact_SortedWeights!$B$2:$B$6,$B497,Fact_SortedWeights!$D$2:$D$6,$C497,Fact_SortedWeights!$L$2:$L$6,"No"))/(SUMIFS(Fact_SortedWeights!$E$2:$E$6,Fact_SortedWeights!$C$2:$C$6,$A497,Fact_SortedWeights!$B$2:$B$6,$B497,Fact_SortedWeights!$L$2:$L$6,"No"))*((SUMIFS(Fact_PreSortWeights!$E$2:$E$15,Fact_PreSortWeights!$C$2:$C$15,$A497,Fact_PreSortWeights!$B$2:$B$15,$B497,Fact_PreSortWeights!$F$2:$F$15,""))-(SUMIFS(Fact_SortedWeights!$E$2:$E$6,Fact_SortedWeights!$C$2:$C$6,$A497,Fact_SortedWeights!$B$2:$B$6,$B497,Fact_SortedWeights!$L$2:$L$6,"Yes"))))</f>
        <v>0</v>
      </c>
      <c r="G497" s="0" t="n">
        <f aca="false">IF(AND(IF($B497="Trash",INDEX('Materials Master'!$F$2:$F$27,MATCH($C497,'Materials Master'!$A$2:$A$27,0)),IF($B497="GMPC Recycling",INDEX('Materials Master'!$G$2:$G$27,MATCH($C497,'Materials Master'!$A$2:$A$27,0)),IF($B497="Organics Recycling",INDEX('Materials Master'!$H$2:$H$27,MATCH($C497,'Materials Master'!$A$2:$A$27,0)),IF($B497="Cardboard Recycling",INDEX('Materials Master'!$I$2:$I$27,MATCH($C497,'Materials Master'!$A$2:$A$27,0)),IF($B497="Paper Recycling",INDEX('Materials Master'!$J$2:$J$27,MATCH($C497,'Materials Master'!$A$2:$A$27,0)),IF($B497="Terracycle",INDEX('Materials Master'!$K$2:$K$27,MATCH($C497,'Materials Master'!$A$2:$A$27,0)),"No"))))))="Yes",INDEX('Materials Master'!$E$2:$E$27,MATCH($C497,'Materials Master'!$A$2:$A$27,0))="Yes",$B497&lt;&gt;"Trash"),1,0)</f>
        <v>0</v>
      </c>
      <c r="H497" s="0" t="str">
        <f aca="false">INDEX('Materials Master'!$E$2:$E$27,MATCH($C497,'Materials Master'!$A$2:$A$27,0))</f>
        <v>No</v>
      </c>
      <c r="I497" s="0" t="str">
        <f aca="false">IFERROR(INDEX(Areas!$C$2:$C$6,MATCH($A497,Areas!$B$2:$B$6,0)),"")</f>
        <v>Rest of Building</v>
      </c>
      <c r="J497" s="0" t="n">
        <f aca="false">IF(IF($B497="Trash",INDEX('Materials Master'!$F$2:$F$27,MATCH($C497,'Materials Master'!$A$2:$A$27,0)),IF($B497="GMPC Recycling",INDEX('Materials Master'!$G$2:$G$27,MATCH($C497,'Materials Master'!$A$2:$A$27,0)),IF($B497="Organics Recycling",INDEX('Materials Master'!$H$2:$H$27,MATCH($C497,'Materials Master'!$A$2:$A$27,0)),IF($B497="Cardboard Recycling",INDEX('Materials Master'!$I$2:$I$27,MATCH($C497,'Materials Master'!$A$2:$A$27,0)),IF($B497="Paper Recycling",INDEX('Materials Master'!$J$2:$J$27,MATCH($C497,'Materials Master'!$A$2:$A$27,0)),IF($B497="Terracycle",INDEX('Materials Master'!$K$2:$K$27,MATCH($C497,'Materials Master'!$A$2:$A$27,0)),"No"))))))="Yes",1,0)</f>
        <v>0</v>
      </c>
    </row>
    <row r="498" customFormat="false" ht="15" hidden="false" customHeight="false" outlineLevel="0" collapsed="false">
      <c r="A498" s="0" t="s">
        <v>99</v>
      </c>
      <c r="B498" s="0" t="s">
        <v>104</v>
      </c>
      <c r="C498" s="0" t="s">
        <v>33</v>
      </c>
      <c r="D498" s="0" t="str">
        <f aca="false">IFERROR(INDEX('Materials Master'!$B$2:$B$27,MATCH($C498,'Materials Master'!$A$2:$A$27,0)),"")</f>
        <v>Waxed Cardboard</v>
      </c>
      <c r="E498" s="0" t="str">
        <f aca="false">IFERROR(INDEX('Materials Master'!$C$2:$C$27,MATCH($C498,'Materials Master'!$A$2:$A$27,0)),"")</f>
        <v>Fibers</v>
      </c>
      <c r="F498" s="0" t="n">
        <f aca="false">(SUMIFS(Fact_PreSortWeights!$E$2:$E$15,Fact_PreSortWeights!$C$2:$C$15,$A498,Fact_PreSortWeights!$B$2:$B$15,$B498,Fact_PreSortWeights!$F$2:$F$15,$C498))+(SUMIFS(Fact_SortedWeights!$E$2:$E$6,Fact_SortedWeights!$C$2:$C$6,$A498,Fact_SortedWeights!$B$2:$B$6,$B498,Fact_SortedWeights!$D$2:$D$6,$C498,Fact_SortedWeights!$L$2:$L$6,"Yes"))+IF((SUMIFS(Fact_SortedWeights!$E$2:$E$6,Fact_SortedWeights!$C$2:$C$6,$A498,Fact_SortedWeights!$B$2:$B$6,$B498,Fact_SortedWeights!$L$2:$L$6,"No"))=0,0,(SUMIFS(Fact_SortedWeights!$E$2:$E$6,Fact_SortedWeights!$C$2:$C$6,$A498,Fact_SortedWeights!$B$2:$B$6,$B498,Fact_SortedWeights!$D$2:$D$6,$C498,Fact_SortedWeights!$L$2:$L$6,"No"))/(SUMIFS(Fact_SortedWeights!$E$2:$E$6,Fact_SortedWeights!$C$2:$C$6,$A498,Fact_SortedWeights!$B$2:$B$6,$B498,Fact_SortedWeights!$L$2:$L$6,"No"))*((SUMIFS(Fact_PreSortWeights!$E$2:$E$15,Fact_PreSortWeights!$C$2:$C$15,$A498,Fact_PreSortWeights!$B$2:$B$15,$B498,Fact_PreSortWeights!$F$2:$F$15,""))-(SUMIFS(Fact_SortedWeights!$E$2:$E$6,Fact_SortedWeights!$C$2:$C$6,$A498,Fact_SortedWeights!$B$2:$B$6,$B498,Fact_SortedWeights!$L$2:$L$6,"Yes"))))</f>
        <v>0</v>
      </c>
      <c r="G498" s="0" t="n">
        <f aca="false">IF(AND(IF($B498="Trash",INDEX('Materials Master'!$F$2:$F$27,MATCH($C498,'Materials Master'!$A$2:$A$27,0)),IF($B498="GMPC Recycling",INDEX('Materials Master'!$G$2:$G$27,MATCH($C498,'Materials Master'!$A$2:$A$27,0)),IF($B498="Organics Recycling",INDEX('Materials Master'!$H$2:$H$27,MATCH($C498,'Materials Master'!$A$2:$A$27,0)),IF($B498="Cardboard Recycling",INDEX('Materials Master'!$I$2:$I$27,MATCH($C498,'Materials Master'!$A$2:$A$27,0)),IF($B498="Paper Recycling",INDEX('Materials Master'!$J$2:$J$27,MATCH($C498,'Materials Master'!$A$2:$A$27,0)),IF($B498="Terracycle",INDEX('Materials Master'!$K$2:$K$27,MATCH($C498,'Materials Master'!$A$2:$A$27,0)),"No"))))))="Yes",INDEX('Materials Master'!$E$2:$E$27,MATCH($C498,'Materials Master'!$A$2:$A$27,0))="Yes",$B498&lt;&gt;"Trash"),1,0)</f>
        <v>0</v>
      </c>
      <c r="H498" s="0" t="str">
        <f aca="false">INDEX('Materials Master'!$E$2:$E$27,MATCH($C498,'Materials Master'!$A$2:$A$27,0))</f>
        <v>No</v>
      </c>
      <c r="I498" s="0" t="str">
        <f aca="false">IFERROR(INDEX(Areas!$C$2:$C$6,MATCH($A498,Areas!$B$2:$B$6,0)),"")</f>
        <v>Rest of Building</v>
      </c>
      <c r="J498" s="0" t="n">
        <f aca="false">IF(IF($B498="Trash",INDEX('Materials Master'!$F$2:$F$27,MATCH($C498,'Materials Master'!$A$2:$A$27,0)),IF($B498="GMPC Recycling",INDEX('Materials Master'!$G$2:$G$27,MATCH($C498,'Materials Master'!$A$2:$A$27,0)),IF($B498="Organics Recycling",INDEX('Materials Master'!$H$2:$H$27,MATCH($C498,'Materials Master'!$A$2:$A$27,0)),IF($B498="Cardboard Recycling",INDEX('Materials Master'!$I$2:$I$27,MATCH($C498,'Materials Master'!$A$2:$A$27,0)),IF($B498="Paper Recycling",INDEX('Materials Master'!$J$2:$J$27,MATCH($C498,'Materials Master'!$A$2:$A$27,0)),IF($B498="Terracycle",INDEX('Materials Master'!$K$2:$K$27,MATCH($C498,'Materials Master'!$A$2:$A$27,0)),"No"))))))="Yes",1,0)</f>
        <v>0</v>
      </c>
    </row>
    <row r="499" customFormat="false" ht="15" hidden="false" customHeight="false" outlineLevel="0" collapsed="false">
      <c r="A499" s="0" t="s">
        <v>99</v>
      </c>
      <c r="B499" s="0" t="s">
        <v>104</v>
      </c>
      <c r="C499" s="0" t="s">
        <v>35</v>
      </c>
      <c r="D499" s="0" t="str">
        <f aca="false">IFERROR(INDEX('Materials Master'!$B$2:$B$27,MATCH($C499,'Materials Master'!$A$2:$A$27,0)),"")</f>
        <v>Mixed Paper</v>
      </c>
      <c r="E499" s="0" t="str">
        <f aca="false">IFERROR(INDEX('Materials Master'!$C$2:$C$27,MATCH($C499,'Materials Master'!$A$2:$A$27,0)),"")</f>
        <v>Fibers</v>
      </c>
      <c r="F499" s="0" t="n">
        <f aca="false">(SUMIFS(Fact_PreSortWeights!$E$2:$E$15,Fact_PreSortWeights!$C$2:$C$15,$A499,Fact_PreSortWeights!$B$2:$B$15,$B499,Fact_PreSortWeights!$F$2:$F$15,$C499))+(SUMIFS(Fact_SortedWeights!$E$2:$E$6,Fact_SortedWeights!$C$2:$C$6,$A499,Fact_SortedWeights!$B$2:$B$6,$B499,Fact_SortedWeights!$D$2:$D$6,$C499,Fact_SortedWeights!$L$2:$L$6,"Yes"))+IF((SUMIFS(Fact_SortedWeights!$E$2:$E$6,Fact_SortedWeights!$C$2:$C$6,$A499,Fact_SortedWeights!$B$2:$B$6,$B499,Fact_SortedWeights!$L$2:$L$6,"No"))=0,0,(SUMIFS(Fact_SortedWeights!$E$2:$E$6,Fact_SortedWeights!$C$2:$C$6,$A499,Fact_SortedWeights!$B$2:$B$6,$B499,Fact_SortedWeights!$D$2:$D$6,$C499,Fact_SortedWeights!$L$2:$L$6,"No"))/(SUMIFS(Fact_SortedWeights!$E$2:$E$6,Fact_SortedWeights!$C$2:$C$6,$A499,Fact_SortedWeights!$B$2:$B$6,$B499,Fact_SortedWeights!$L$2:$L$6,"No"))*((SUMIFS(Fact_PreSortWeights!$E$2:$E$15,Fact_PreSortWeights!$C$2:$C$15,$A499,Fact_PreSortWeights!$B$2:$B$15,$B499,Fact_PreSortWeights!$F$2:$F$15,""))-(SUMIFS(Fact_SortedWeights!$E$2:$E$6,Fact_SortedWeights!$C$2:$C$6,$A499,Fact_SortedWeights!$B$2:$B$6,$B499,Fact_SortedWeights!$L$2:$L$6,"Yes"))))</f>
        <v>0</v>
      </c>
      <c r="G499" s="0" t="n">
        <f aca="false">IF(AND(IF($B499="Trash",INDEX('Materials Master'!$F$2:$F$27,MATCH($C499,'Materials Master'!$A$2:$A$27,0)),IF($B499="GMPC Recycling",INDEX('Materials Master'!$G$2:$G$27,MATCH($C499,'Materials Master'!$A$2:$A$27,0)),IF($B499="Organics Recycling",INDEX('Materials Master'!$H$2:$H$27,MATCH($C499,'Materials Master'!$A$2:$A$27,0)),IF($B499="Cardboard Recycling",INDEX('Materials Master'!$I$2:$I$27,MATCH($C499,'Materials Master'!$A$2:$A$27,0)),IF($B499="Paper Recycling",INDEX('Materials Master'!$J$2:$J$27,MATCH($C499,'Materials Master'!$A$2:$A$27,0)),IF($B499="Terracycle",INDEX('Materials Master'!$K$2:$K$27,MATCH($C499,'Materials Master'!$A$2:$A$27,0)),"No"))))))="Yes",INDEX('Materials Master'!$E$2:$E$27,MATCH($C499,'Materials Master'!$A$2:$A$27,0))="Yes",$B499&lt;&gt;"Trash"),1,0)</f>
        <v>1</v>
      </c>
      <c r="H499" s="0" t="str">
        <f aca="false">INDEX('Materials Master'!$E$2:$E$27,MATCH($C499,'Materials Master'!$A$2:$A$27,0))</f>
        <v>Yes</v>
      </c>
      <c r="I499" s="0" t="str">
        <f aca="false">IFERROR(INDEX(Areas!$C$2:$C$6,MATCH($A499,Areas!$B$2:$B$6,0)),"")</f>
        <v>Rest of Building</v>
      </c>
      <c r="J499" s="0" t="n">
        <f aca="false">IF(IF($B499="Trash",INDEX('Materials Master'!$F$2:$F$27,MATCH($C499,'Materials Master'!$A$2:$A$27,0)),IF($B499="GMPC Recycling",INDEX('Materials Master'!$G$2:$G$27,MATCH($C499,'Materials Master'!$A$2:$A$27,0)),IF($B499="Organics Recycling",INDEX('Materials Master'!$H$2:$H$27,MATCH($C499,'Materials Master'!$A$2:$A$27,0)),IF($B499="Cardboard Recycling",INDEX('Materials Master'!$I$2:$I$27,MATCH($C499,'Materials Master'!$A$2:$A$27,0)),IF($B499="Paper Recycling",INDEX('Materials Master'!$J$2:$J$27,MATCH($C499,'Materials Master'!$A$2:$A$27,0)),IF($B499="Terracycle",INDEX('Materials Master'!$K$2:$K$27,MATCH($C499,'Materials Master'!$A$2:$A$27,0)),"No"))))))="Yes",1,0)</f>
        <v>1</v>
      </c>
    </row>
    <row r="500" customFormat="false" ht="15" hidden="false" customHeight="false" outlineLevel="0" collapsed="false">
      <c r="A500" s="0" t="s">
        <v>99</v>
      </c>
      <c r="B500" s="0" t="s">
        <v>104</v>
      </c>
      <c r="C500" s="0" t="s">
        <v>37</v>
      </c>
      <c r="D500" s="0" t="str">
        <f aca="false">IFERROR(INDEX('Materials Master'!$B$2:$B$27,MATCH($C500,'Materials Master'!$A$2:$A$27,0)),"")</f>
        <v>Soiled Paper</v>
      </c>
      <c r="E500" s="0" t="str">
        <f aca="false">IFERROR(INDEX('Materials Master'!$C$2:$C$27,MATCH($C500,'Materials Master'!$A$2:$A$27,0)),"")</f>
        <v>Fibers</v>
      </c>
      <c r="F500" s="0" t="n">
        <f aca="false">(SUMIFS(Fact_PreSortWeights!$E$2:$E$15,Fact_PreSortWeights!$C$2:$C$15,$A500,Fact_PreSortWeights!$B$2:$B$15,$B500,Fact_PreSortWeights!$F$2:$F$15,$C500))+(SUMIFS(Fact_SortedWeights!$E$2:$E$6,Fact_SortedWeights!$C$2:$C$6,$A500,Fact_SortedWeights!$B$2:$B$6,$B500,Fact_SortedWeights!$D$2:$D$6,$C500,Fact_SortedWeights!$L$2:$L$6,"Yes"))+IF((SUMIFS(Fact_SortedWeights!$E$2:$E$6,Fact_SortedWeights!$C$2:$C$6,$A500,Fact_SortedWeights!$B$2:$B$6,$B500,Fact_SortedWeights!$L$2:$L$6,"No"))=0,0,(SUMIFS(Fact_SortedWeights!$E$2:$E$6,Fact_SortedWeights!$C$2:$C$6,$A500,Fact_SortedWeights!$B$2:$B$6,$B500,Fact_SortedWeights!$D$2:$D$6,$C500,Fact_SortedWeights!$L$2:$L$6,"No"))/(SUMIFS(Fact_SortedWeights!$E$2:$E$6,Fact_SortedWeights!$C$2:$C$6,$A500,Fact_SortedWeights!$B$2:$B$6,$B500,Fact_SortedWeights!$L$2:$L$6,"No"))*((SUMIFS(Fact_PreSortWeights!$E$2:$E$15,Fact_PreSortWeights!$C$2:$C$15,$A500,Fact_PreSortWeights!$B$2:$B$15,$B500,Fact_PreSortWeights!$F$2:$F$15,""))-(SUMIFS(Fact_SortedWeights!$E$2:$E$6,Fact_SortedWeights!$C$2:$C$6,$A500,Fact_SortedWeights!$B$2:$B$6,$B500,Fact_SortedWeights!$L$2:$L$6,"Yes"))))</f>
        <v>0</v>
      </c>
      <c r="G500" s="0" t="n">
        <f aca="false">IF(AND(IF($B500="Trash",INDEX('Materials Master'!$F$2:$F$27,MATCH($C500,'Materials Master'!$A$2:$A$27,0)),IF($B500="GMPC Recycling",INDEX('Materials Master'!$G$2:$G$27,MATCH($C500,'Materials Master'!$A$2:$A$27,0)),IF($B500="Organics Recycling",INDEX('Materials Master'!$H$2:$H$27,MATCH($C500,'Materials Master'!$A$2:$A$27,0)),IF($B500="Cardboard Recycling",INDEX('Materials Master'!$I$2:$I$27,MATCH($C500,'Materials Master'!$A$2:$A$27,0)),IF($B500="Paper Recycling",INDEX('Materials Master'!$J$2:$J$27,MATCH($C500,'Materials Master'!$A$2:$A$27,0)),IF($B500="Terracycle",INDEX('Materials Master'!$K$2:$K$27,MATCH($C500,'Materials Master'!$A$2:$A$27,0)),"No"))))))="Yes",INDEX('Materials Master'!$E$2:$E$27,MATCH($C500,'Materials Master'!$A$2:$A$27,0))="Yes",$B500&lt;&gt;"Trash"),1,0)</f>
        <v>0</v>
      </c>
      <c r="H500" s="0" t="str">
        <f aca="false">INDEX('Materials Master'!$E$2:$E$27,MATCH($C500,'Materials Master'!$A$2:$A$27,0))</f>
        <v>No</v>
      </c>
      <c r="I500" s="0" t="str">
        <f aca="false">IFERROR(INDEX(Areas!$C$2:$C$6,MATCH($A500,Areas!$B$2:$B$6,0)),"")</f>
        <v>Rest of Building</v>
      </c>
      <c r="J500" s="0" t="n">
        <f aca="false">IF(IF($B500="Trash",INDEX('Materials Master'!$F$2:$F$27,MATCH($C500,'Materials Master'!$A$2:$A$27,0)),IF($B500="GMPC Recycling",INDEX('Materials Master'!$G$2:$G$27,MATCH($C500,'Materials Master'!$A$2:$A$27,0)),IF($B500="Organics Recycling",INDEX('Materials Master'!$H$2:$H$27,MATCH($C500,'Materials Master'!$A$2:$A$27,0)),IF($B500="Cardboard Recycling",INDEX('Materials Master'!$I$2:$I$27,MATCH($C500,'Materials Master'!$A$2:$A$27,0)),IF($B500="Paper Recycling",INDEX('Materials Master'!$J$2:$J$27,MATCH($C500,'Materials Master'!$A$2:$A$27,0)),IF($B500="Terracycle",INDEX('Materials Master'!$K$2:$K$27,MATCH($C500,'Materials Master'!$A$2:$A$27,0)),"No"))))))="Yes",1,0)</f>
        <v>0</v>
      </c>
    </row>
    <row r="501" customFormat="false" ht="15" hidden="false" customHeight="false" outlineLevel="0" collapsed="false">
      <c r="A501" s="0" t="s">
        <v>99</v>
      </c>
      <c r="B501" s="0" t="s">
        <v>104</v>
      </c>
      <c r="C501" s="0" t="s">
        <v>39</v>
      </c>
      <c r="D501" s="0" t="str">
        <f aca="false">IFERROR(INDEX('Materials Master'!$B$2:$B$27,MATCH($C501,'Materials Master'!$A$2:$A$27,0)),"")</f>
        <v>Beverage Cartons</v>
      </c>
      <c r="E501" s="0" t="str">
        <f aca="false">IFERROR(INDEX('Materials Master'!$C$2:$C$27,MATCH($C501,'Materials Master'!$A$2:$A$27,0)),"")</f>
        <v>Fibers</v>
      </c>
      <c r="F501" s="0" t="n">
        <f aca="false">(SUMIFS(Fact_PreSortWeights!$E$2:$E$15,Fact_PreSortWeights!$C$2:$C$15,$A501,Fact_PreSortWeights!$B$2:$B$15,$B501,Fact_PreSortWeights!$F$2:$F$15,$C501))+(SUMIFS(Fact_SortedWeights!$E$2:$E$6,Fact_SortedWeights!$C$2:$C$6,$A501,Fact_SortedWeights!$B$2:$B$6,$B501,Fact_SortedWeights!$D$2:$D$6,$C501,Fact_SortedWeights!$L$2:$L$6,"Yes"))+IF((SUMIFS(Fact_SortedWeights!$E$2:$E$6,Fact_SortedWeights!$C$2:$C$6,$A501,Fact_SortedWeights!$B$2:$B$6,$B501,Fact_SortedWeights!$L$2:$L$6,"No"))=0,0,(SUMIFS(Fact_SortedWeights!$E$2:$E$6,Fact_SortedWeights!$C$2:$C$6,$A501,Fact_SortedWeights!$B$2:$B$6,$B501,Fact_SortedWeights!$D$2:$D$6,$C501,Fact_SortedWeights!$L$2:$L$6,"No"))/(SUMIFS(Fact_SortedWeights!$E$2:$E$6,Fact_SortedWeights!$C$2:$C$6,$A501,Fact_SortedWeights!$B$2:$B$6,$B501,Fact_SortedWeights!$L$2:$L$6,"No"))*((SUMIFS(Fact_PreSortWeights!$E$2:$E$15,Fact_PreSortWeights!$C$2:$C$15,$A501,Fact_PreSortWeights!$B$2:$B$15,$B501,Fact_PreSortWeights!$F$2:$F$15,""))-(SUMIFS(Fact_SortedWeights!$E$2:$E$6,Fact_SortedWeights!$C$2:$C$6,$A501,Fact_SortedWeights!$B$2:$B$6,$B501,Fact_SortedWeights!$L$2:$L$6,"Yes"))))</f>
        <v>0</v>
      </c>
      <c r="G501" s="0" t="n">
        <f aca="false">IF(AND(IF($B501="Trash",INDEX('Materials Master'!$F$2:$F$27,MATCH($C501,'Materials Master'!$A$2:$A$27,0)),IF($B501="GMPC Recycling",INDEX('Materials Master'!$G$2:$G$27,MATCH($C501,'Materials Master'!$A$2:$A$27,0)),IF($B501="Organics Recycling",INDEX('Materials Master'!$H$2:$H$27,MATCH($C501,'Materials Master'!$A$2:$A$27,0)),IF($B501="Cardboard Recycling",INDEX('Materials Master'!$I$2:$I$27,MATCH($C501,'Materials Master'!$A$2:$A$27,0)),IF($B501="Paper Recycling",INDEX('Materials Master'!$J$2:$J$27,MATCH($C501,'Materials Master'!$A$2:$A$27,0)),IF($B501="Terracycle",INDEX('Materials Master'!$K$2:$K$27,MATCH($C501,'Materials Master'!$A$2:$A$27,0)),"No"))))))="Yes",INDEX('Materials Master'!$E$2:$E$27,MATCH($C501,'Materials Master'!$A$2:$A$27,0))="Yes",$B501&lt;&gt;"Trash"),1,0)</f>
        <v>1</v>
      </c>
      <c r="H501" s="0" t="str">
        <f aca="false">INDEX('Materials Master'!$E$2:$E$27,MATCH($C501,'Materials Master'!$A$2:$A$27,0))</f>
        <v>Yes</v>
      </c>
      <c r="I501" s="0" t="str">
        <f aca="false">IFERROR(INDEX(Areas!$C$2:$C$6,MATCH($A501,Areas!$B$2:$B$6,0)),"")</f>
        <v>Rest of Building</v>
      </c>
      <c r="J501" s="0" t="n">
        <f aca="false">IF(IF($B501="Trash",INDEX('Materials Master'!$F$2:$F$27,MATCH($C501,'Materials Master'!$A$2:$A$27,0)),IF($B501="GMPC Recycling",INDEX('Materials Master'!$G$2:$G$27,MATCH($C501,'Materials Master'!$A$2:$A$27,0)),IF($B501="Organics Recycling",INDEX('Materials Master'!$H$2:$H$27,MATCH($C501,'Materials Master'!$A$2:$A$27,0)),IF($B501="Cardboard Recycling",INDEX('Materials Master'!$I$2:$I$27,MATCH($C501,'Materials Master'!$A$2:$A$27,0)),IF($B501="Paper Recycling",INDEX('Materials Master'!$J$2:$J$27,MATCH($C501,'Materials Master'!$A$2:$A$27,0)),IF($B501="Terracycle",INDEX('Materials Master'!$K$2:$K$27,MATCH($C501,'Materials Master'!$A$2:$A$27,0)),"No"))))))="Yes",1,0)</f>
        <v>1</v>
      </c>
    </row>
    <row r="502" customFormat="false" ht="15" hidden="false" customHeight="false" outlineLevel="0" collapsed="false">
      <c r="A502" s="0" t="s">
        <v>99</v>
      </c>
      <c r="B502" s="0" t="s">
        <v>104</v>
      </c>
      <c r="C502" s="0" t="s">
        <v>41</v>
      </c>
      <c r="D502" s="0" t="str">
        <f aca="false">IFERROR(INDEX('Materials Master'!$B$2:$B$27,MATCH($C502,'Materials Master'!$A$2:$A$27,0)),"")</f>
        <v>Soiled Beverage Cartons</v>
      </c>
      <c r="E502" s="0" t="str">
        <f aca="false">IFERROR(INDEX('Materials Master'!$C$2:$C$27,MATCH($C502,'Materials Master'!$A$2:$A$27,0)),"")</f>
        <v>Fibers</v>
      </c>
      <c r="F502" s="0" t="n">
        <f aca="false">(SUMIFS(Fact_PreSortWeights!$E$2:$E$15,Fact_PreSortWeights!$C$2:$C$15,$A502,Fact_PreSortWeights!$B$2:$B$15,$B502,Fact_PreSortWeights!$F$2:$F$15,$C502))+(SUMIFS(Fact_SortedWeights!$E$2:$E$6,Fact_SortedWeights!$C$2:$C$6,$A502,Fact_SortedWeights!$B$2:$B$6,$B502,Fact_SortedWeights!$D$2:$D$6,$C502,Fact_SortedWeights!$L$2:$L$6,"Yes"))+IF((SUMIFS(Fact_SortedWeights!$E$2:$E$6,Fact_SortedWeights!$C$2:$C$6,$A502,Fact_SortedWeights!$B$2:$B$6,$B502,Fact_SortedWeights!$L$2:$L$6,"No"))=0,0,(SUMIFS(Fact_SortedWeights!$E$2:$E$6,Fact_SortedWeights!$C$2:$C$6,$A502,Fact_SortedWeights!$B$2:$B$6,$B502,Fact_SortedWeights!$D$2:$D$6,$C502,Fact_SortedWeights!$L$2:$L$6,"No"))/(SUMIFS(Fact_SortedWeights!$E$2:$E$6,Fact_SortedWeights!$C$2:$C$6,$A502,Fact_SortedWeights!$B$2:$B$6,$B502,Fact_SortedWeights!$L$2:$L$6,"No"))*((SUMIFS(Fact_PreSortWeights!$E$2:$E$15,Fact_PreSortWeights!$C$2:$C$15,$A502,Fact_PreSortWeights!$B$2:$B$15,$B502,Fact_PreSortWeights!$F$2:$F$15,""))-(SUMIFS(Fact_SortedWeights!$E$2:$E$6,Fact_SortedWeights!$C$2:$C$6,$A502,Fact_SortedWeights!$B$2:$B$6,$B502,Fact_SortedWeights!$L$2:$L$6,"Yes"))))</f>
        <v>0</v>
      </c>
      <c r="G502" s="0" t="n">
        <f aca="false">IF(AND(IF($B502="Trash",INDEX('Materials Master'!$F$2:$F$27,MATCH($C502,'Materials Master'!$A$2:$A$27,0)),IF($B502="GMPC Recycling",INDEX('Materials Master'!$G$2:$G$27,MATCH($C502,'Materials Master'!$A$2:$A$27,0)),IF($B502="Organics Recycling",INDEX('Materials Master'!$H$2:$H$27,MATCH($C502,'Materials Master'!$A$2:$A$27,0)),IF($B502="Cardboard Recycling",INDEX('Materials Master'!$I$2:$I$27,MATCH($C502,'Materials Master'!$A$2:$A$27,0)),IF($B502="Paper Recycling",INDEX('Materials Master'!$J$2:$J$27,MATCH($C502,'Materials Master'!$A$2:$A$27,0)),IF($B502="Terracycle",INDEX('Materials Master'!$K$2:$K$27,MATCH($C502,'Materials Master'!$A$2:$A$27,0)),"No"))))))="Yes",INDEX('Materials Master'!$E$2:$E$27,MATCH($C502,'Materials Master'!$A$2:$A$27,0))="Yes",$B502&lt;&gt;"Trash"),1,0)</f>
        <v>0</v>
      </c>
      <c r="H502" s="0" t="str">
        <f aca="false">INDEX('Materials Master'!$E$2:$E$27,MATCH($C502,'Materials Master'!$A$2:$A$27,0))</f>
        <v>No</v>
      </c>
      <c r="I502" s="0" t="str">
        <f aca="false">IFERROR(INDEX(Areas!$C$2:$C$6,MATCH($A502,Areas!$B$2:$B$6,0)),"")</f>
        <v>Rest of Building</v>
      </c>
      <c r="J502" s="0" t="n">
        <f aca="false">IF(IF($B502="Trash",INDEX('Materials Master'!$F$2:$F$27,MATCH($C502,'Materials Master'!$A$2:$A$27,0)),IF($B502="GMPC Recycling",INDEX('Materials Master'!$G$2:$G$27,MATCH($C502,'Materials Master'!$A$2:$A$27,0)),IF($B502="Organics Recycling",INDEX('Materials Master'!$H$2:$H$27,MATCH($C502,'Materials Master'!$A$2:$A$27,0)),IF($B502="Cardboard Recycling",INDEX('Materials Master'!$I$2:$I$27,MATCH($C502,'Materials Master'!$A$2:$A$27,0)),IF($B502="Paper Recycling",INDEX('Materials Master'!$J$2:$J$27,MATCH($C502,'Materials Master'!$A$2:$A$27,0)),IF($B502="Terracycle",INDEX('Materials Master'!$K$2:$K$27,MATCH($C502,'Materials Master'!$A$2:$A$27,0)),"No"))))))="Yes",1,0)</f>
        <v>0</v>
      </c>
    </row>
    <row r="503" customFormat="false" ht="15" hidden="false" customHeight="false" outlineLevel="0" collapsed="false">
      <c r="A503" s="0" t="s">
        <v>99</v>
      </c>
      <c r="B503" s="0" t="s">
        <v>104</v>
      </c>
      <c r="C503" s="0" t="s">
        <v>43</v>
      </c>
      <c r="D503" s="0" t="str">
        <f aca="false">IFERROR(INDEX('Materials Master'!$B$2:$B$27,MATCH($C503,'Materials Master'!$A$2:$A$27,0)),"")</f>
        <v>Paper Cups / Other Coated Paper Containers</v>
      </c>
      <c r="E503" s="0" t="str">
        <f aca="false">IFERROR(INDEX('Materials Master'!$C$2:$C$27,MATCH($C503,'Materials Master'!$A$2:$A$27,0)),"")</f>
        <v>Fibers</v>
      </c>
      <c r="F503" s="0" t="n">
        <f aca="false">(SUMIFS(Fact_PreSortWeights!$E$2:$E$15,Fact_PreSortWeights!$C$2:$C$15,$A503,Fact_PreSortWeights!$B$2:$B$15,$B503,Fact_PreSortWeights!$F$2:$F$15,$C503))+(SUMIFS(Fact_SortedWeights!$E$2:$E$6,Fact_SortedWeights!$C$2:$C$6,$A503,Fact_SortedWeights!$B$2:$B$6,$B503,Fact_SortedWeights!$D$2:$D$6,$C503,Fact_SortedWeights!$L$2:$L$6,"Yes"))+IF((SUMIFS(Fact_SortedWeights!$E$2:$E$6,Fact_SortedWeights!$C$2:$C$6,$A503,Fact_SortedWeights!$B$2:$B$6,$B503,Fact_SortedWeights!$L$2:$L$6,"No"))=0,0,(SUMIFS(Fact_SortedWeights!$E$2:$E$6,Fact_SortedWeights!$C$2:$C$6,$A503,Fact_SortedWeights!$B$2:$B$6,$B503,Fact_SortedWeights!$D$2:$D$6,$C503,Fact_SortedWeights!$L$2:$L$6,"No"))/(SUMIFS(Fact_SortedWeights!$E$2:$E$6,Fact_SortedWeights!$C$2:$C$6,$A503,Fact_SortedWeights!$B$2:$B$6,$B503,Fact_SortedWeights!$L$2:$L$6,"No"))*((SUMIFS(Fact_PreSortWeights!$E$2:$E$15,Fact_PreSortWeights!$C$2:$C$15,$A503,Fact_PreSortWeights!$B$2:$B$15,$B503,Fact_PreSortWeights!$F$2:$F$15,""))-(SUMIFS(Fact_SortedWeights!$E$2:$E$6,Fact_SortedWeights!$C$2:$C$6,$A503,Fact_SortedWeights!$B$2:$B$6,$B503,Fact_SortedWeights!$L$2:$L$6,"Yes"))))</f>
        <v>0</v>
      </c>
      <c r="G503" s="0" t="n">
        <f aca="false">IF(AND(IF($B503="Trash",INDEX('Materials Master'!$F$2:$F$27,MATCH($C503,'Materials Master'!$A$2:$A$27,0)),IF($B503="GMPC Recycling",INDEX('Materials Master'!$G$2:$G$27,MATCH($C503,'Materials Master'!$A$2:$A$27,0)),IF($B503="Organics Recycling",INDEX('Materials Master'!$H$2:$H$27,MATCH($C503,'Materials Master'!$A$2:$A$27,0)),IF($B503="Cardboard Recycling",INDEX('Materials Master'!$I$2:$I$27,MATCH($C503,'Materials Master'!$A$2:$A$27,0)),IF($B503="Paper Recycling",INDEX('Materials Master'!$J$2:$J$27,MATCH($C503,'Materials Master'!$A$2:$A$27,0)),IF($B503="Terracycle",INDEX('Materials Master'!$K$2:$K$27,MATCH($C503,'Materials Master'!$A$2:$A$27,0)),"No"))))))="Yes",INDEX('Materials Master'!$E$2:$E$27,MATCH($C503,'Materials Master'!$A$2:$A$27,0))="Yes",$B503&lt;&gt;"Trash"),1,0)</f>
        <v>0</v>
      </c>
      <c r="H503" s="0" t="str">
        <f aca="false">INDEX('Materials Master'!$E$2:$E$27,MATCH($C503,'Materials Master'!$A$2:$A$27,0))</f>
        <v>No</v>
      </c>
      <c r="I503" s="0" t="str">
        <f aca="false">IFERROR(INDEX(Areas!$C$2:$C$6,MATCH($A503,Areas!$B$2:$B$6,0)),"")</f>
        <v>Rest of Building</v>
      </c>
      <c r="J503" s="0" t="n">
        <f aca="false">IF(IF($B503="Trash",INDEX('Materials Master'!$F$2:$F$27,MATCH($C503,'Materials Master'!$A$2:$A$27,0)),IF($B503="GMPC Recycling",INDEX('Materials Master'!$G$2:$G$27,MATCH($C503,'Materials Master'!$A$2:$A$27,0)),IF($B503="Organics Recycling",INDEX('Materials Master'!$H$2:$H$27,MATCH($C503,'Materials Master'!$A$2:$A$27,0)),IF($B503="Cardboard Recycling",INDEX('Materials Master'!$I$2:$I$27,MATCH($C503,'Materials Master'!$A$2:$A$27,0)),IF($B503="Paper Recycling",INDEX('Materials Master'!$J$2:$J$27,MATCH($C503,'Materials Master'!$A$2:$A$27,0)),IF($B503="Terracycle",INDEX('Materials Master'!$K$2:$K$27,MATCH($C503,'Materials Master'!$A$2:$A$27,0)),"No"))))))="Yes",1,0)</f>
        <v>0</v>
      </c>
    </row>
    <row r="504" customFormat="false" ht="15" hidden="false" customHeight="false" outlineLevel="0" collapsed="false">
      <c r="A504" s="0" t="s">
        <v>99</v>
      </c>
      <c r="B504" s="0" t="s">
        <v>104</v>
      </c>
      <c r="C504" s="0" t="s">
        <v>45</v>
      </c>
      <c r="D504" s="0" t="str">
        <f aca="false">IFERROR(INDEX('Materials Master'!$B$2:$B$27,MATCH($C504,'Materials Master'!$A$2:$A$27,0)),"")</f>
        <v>Glass Bottles &amp; Jars</v>
      </c>
      <c r="E504" s="0" t="str">
        <f aca="false">IFERROR(INDEX('Materials Master'!$C$2:$C$27,MATCH($C504,'Materials Master'!$A$2:$A$27,0)),"")</f>
        <v>Glass</v>
      </c>
      <c r="F504" s="0" t="n">
        <f aca="false">(SUMIFS(Fact_PreSortWeights!$E$2:$E$15,Fact_PreSortWeights!$C$2:$C$15,$A504,Fact_PreSortWeights!$B$2:$B$15,$B504,Fact_PreSortWeights!$F$2:$F$15,$C504))+(SUMIFS(Fact_SortedWeights!$E$2:$E$6,Fact_SortedWeights!$C$2:$C$6,$A504,Fact_SortedWeights!$B$2:$B$6,$B504,Fact_SortedWeights!$D$2:$D$6,$C504,Fact_SortedWeights!$L$2:$L$6,"Yes"))+IF((SUMIFS(Fact_SortedWeights!$E$2:$E$6,Fact_SortedWeights!$C$2:$C$6,$A504,Fact_SortedWeights!$B$2:$B$6,$B504,Fact_SortedWeights!$L$2:$L$6,"No"))=0,0,(SUMIFS(Fact_SortedWeights!$E$2:$E$6,Fact_SortedWeights!$C$2:$C$6,$A504,Fact_SortedWeights!$B$2:$B$6,$B504,Fact_SortedWeights!$D$2:$D$6,$C504,Fact_SortedWeights!$L$2:$L$6,"No"))/(SUMIFS(Fact_SortedWeights!$E$2:$E$6,Fact_SortedWeights!$C$2:$C$6,$A504,Fact_SortedWeights!$B$2:$B$6,$B504,Fact_SortedWeights!$L$2:$L$6,"No"))*((SUMIFS(Fact_PreSortWeights!$E$2:$E$15,Fact_PreSortWeights!$C$2:$C$15,$A504,Fact_PreSortWeights!$B$2:$B$15,$B504,Fact_PreSortWeights!$F$2:$F$15,""))-(SUMIFS(Fact_SortedWeights!$E$2:$E$6,Fact_SortedWeights!$C$2:$C$6,$A504,Fact_SortedWeights!$B$2:$B$6,$B504,Fact_SortedWeights!$L$2:$L$6,"Yes"))))</f>
        <v>0</v>
      </c>
      <c r="G504" s="0" t="n">
        <f aca="false">IF(AND(IF($B504="Trash",INDEX('Materials Master'!$F$2:$F$27,MATCH($C504,'Materials Master'!$A$2:$A$27,0)),IF($B504="GMPC Recycling",INDEX('Materials Master'!$G$2:$G$27,MATCH($C504,'Materials Master'!$A$2:$A$27,0)),IF($B504="Organics Recycling",INDEX('Materials Master'!$H$2:$H$27,MATCH($C504,'Materials Master'!$A$2:$A$27,0)),IF($B504="Cardboard Recycling",INDEX('Materials Master'!$I$2:$I$27,MATCH($C504,'Materials Master'!$A$2:$A$27,0)),IF($B504="Paper Recycling",INDEX('Materials Master'!$J$2:$J$27,MATCH($C504,'Materials Master'!$A$2:$A$27,0)),IF($B504="Terracycle",INDEX('Materials Master'!$K$2:$K$27,MATCH($C504,'Materials Master'!$A$2:$A$27,0)),"No"))))))="Yes",INDEX('Materials Master'!$E$2:$E$27,MATCH($C504,'Materials Master'!$A$2:$A$27,0))="Yes",$B504&lt;&gt;"Trash"),1,0)</f>
        <v>1</v>
      </c>
      <c r="H504" s="0" t="str">
        <f aca="false">INDEX('Materials Master'!$E$2:$E$27,MATCH($C504,'Materials Master'!$A$2:$A$27,0))</f>
        <v>Yes</v>
      </c>
      <c r="I504" s="0" t="str">
        <f aca="false">IFERROR(INDEX(Areas!$C$2:$C$6,MATCH($A504,Areas!$B$2:$B$6,0)),"")</f>
        <v>Rest of Building</v>
      </c>
      <c r="J504" s="0" t="n">
        <f aca="false">IF(IF($B504="Trash",INDEX('Materials Master'!$F$2:$F$27,MATCH($C504,'Materials Master'!$A$2:$A$27,0)),IF($B504="GMPC Recycling",INDEX('Materials Master'!$G$2:$G$27,MATCH($C504,'Materials Master'!$A$2:$A$27,0)),IF($B504="Organics Recycling",INDEX('Materials Master'!$H$2:$H$27,MATCH($C504,'Materials Master'!$A$2:$A$27,0)),IF($B504="Cardboard Recycling",INDEX('Materials Master'!$I$2:$I$27,MATCH($C504,'Materials Master'!$A$2:$A$27,0)),IF($B504="Paper Recycling",INDEX('Materials Master'!$J$2:$J$27,MATCH($C504,'Materials Master'!$A$2:$A$27,0)),IF($B504="Terracycle",INDEX('Materials Master'!$K$2:$K$27,MATCH($C504,'Materials Master'!$A$2:$A$27,0)),"No"))))))="Yes",1,0)</f>
        <v>1</v>
      </c>
    </row>
    <row r="505" customFormat="false" ht="15" hidden="false" customHeight="false" outlineLevel="0" collapsed="false">
      <c r="A505" s="0" t="s">
        <v>99</v>
      </c>
      <c r="B505" s="0" t="s">
        <v>104</v>
      </c>
      <c r="C505" s="0" t="s">
        <v>48</v>
      </c>
      <c r="D505" s="0" t="str">
        <f aca="false">IFERROR(INDEX('Materials Master'!$B$2:$B$27,MATCH($C505,'Materials Master'!$A$2:$A$27,0)),"")</f>
        <v>Soiled Glass</v>
      </c>
      <c r="E505" s="0" t="str">
        <f aca="false">IFERROR(INDEX('Materials Master'!$C$2:$C$27,MATCH($C505,'Materials Master'!$A$2:$A$27,0)),"")</f>
        <v>Glass</v>
      </c>
      <c r="F505" s="0" t="n">
        <f aca="false">(SUMIFS(Fact_PreSortWeights!$E$2:$E$15,Fact_PreSortWeights!$C$2:$C$15,$A505,Fact_PreSortWeights!$B$2:$B$15,$B505,Fact_PreSortWeights!$F$2:$F$15,$C505))+(SUMIFS(Fact_SortedWeights!$E$2:$E$6,Fact_SortedWeights!$C$2:$C$6,$A505,Fact_SortedWeights!$B$2:$B$6,$B505,Fact_SortedWeights!$D$2:$D$6,$C505,Fact_SortedWeights!$L$2:$L$6,"Yes"))+IF((SUMIFS(Fact_SortedWeights!$E$2:$E$6,Fact_SortedWeights!$C$2:$C$6,$A505,Fact_SortedWeights!$B$2:$B$6,$B505,Fact_SortedWeights!$L$2:$L$6,"No"))=0,0,(SUMIFS(Fact_SortedWeights!$E$2:$E$6,Fact_SortedWeights!$C$2:$C$6,$A505,Fact_SortedWeights!$B$2:$B$6,$B505,Fact_SortedWeights!$D$2:$D$6,$C505,Fact_SortedWeights!$L$2:$L$6,"No"))/(SUMIFS(Fact_SortedWeights!$E$2:$E$6,Fact_SortedWeights!$C$2:$C$6,$A505,Fact_SortedWeights!$B$2:$B$6,$B505,Fact_SortedWeights!$L$2:$L$6,"No"))*((SUMIFS(Fact_PreSortWeights!$E$2:$E$15,Fact_PreSortWeights!$C$2:$C$15,$A505,Fact_PreSortWeights!$B$2:$B$15,$B505,Fact_PreSortWeights!$F$2:$F$15,""))-(SUMIFS(Fact_SortedWeights!$E$2:$E$6,Fact_SortedWeights!$C$2:$C$6,$A505,Fact_SortedWeights!$B$2:$B$6,$B505,Fact_SortedWeights!$L$2:$L$6,"Yes"))))</f>
        <v>0</v>
      </c>
      <c r="G505" s="0" t="n">
        <f aca="false">IF(AND(IF($B505="Trash",INDEX('Materials Master'!$F$2:$F$27,MATCH($C505,'Materials Master'!$A$2:$A$27,0)),IF($B505="GMPC Recycling",INDEX('Materials Master'!$G$2:$G$27,MATCH($C505,'Materials Master'!$A$2:$A$27,0)),IF($B505="Organics Recycling",INDEX('Materials Master'!$H$2:$H$27,MATCH($C505,'Materials Master'!$A$2:$A$27,0)),IF($B505="Cardboard Recycling",INDEX('Materials Master'!$I$2:$I$27,MATCH($C505,'Materials Master'!$A$2:$A$27,0)),IF($B505="Paper Recycling",INDEX('Materials Master'!$J$2:$J$27,MATCH($C505,'Materials Master'!$A$2:$A$27,0)),IF($B505="Terracycle",INDEX('Materials Master'!$K$2:$K$27,MATCH($C505,'Materials Master'!$A$2:$A$27,0)),"No"))))))="Yes",INDEX('Materials Master'!$E$2:$E$27,MATCH($C505,'Materials Master'!$A$2:$A$27,0))="Yes",$B505&lt;&gt;"Trash"),1,0)</f>
        <v>0</v>
      </c>
      <c r="H505" s="0" t="str">
        <f aca="false">INDEX('Materials Master'!$E$2:$E$27,MATCH($C505,'Materials Master'!$A$2:$A$27,0))</f>
        <v>No</v>
      </c>
      <c r="I505" s="0" t="str">
        <f aca="false">IFERROR(INDEX(Areas!$C$2:$C$6,MATCH($A505,Areas!$B$2:$B$6,0)),"")</f>
        <v>Rest of Building</v>
      </c>
      <c r="J505" s="0" t="n">
        <f aca="false">IF(IF($B505="Trash",INDEX('Materials Master'!$F$2:$F$27,MATCH($C505,'Materials Master'!$A$2:$A$27,0)),IF($B505="GMPC Recycling",INDEX('Materials Master'!$G$2:$G$27,MATCH($C505,'Materials Master'!$A$2:$A$27,0)),IF($B505="Organics Recycling",INDEX('Materials Master'!$H$2:$H$27,MATCH($C505,'Materials Master'!$A$2:$A$27,0)),IF($B505="Cardboard Recycling",INDEX('Materials Master'!$I$2:$I$27,MATCH($C505,'Materials Master'!$A$2:$A$27,0)),IF($B505="Paper Recycling",INDEX('Materials Master'!$J$2:$J$27,MATCH($C505,'Materials Master'!$A$2:$A$27,0)),IF($B505="Terracycle",INDEX('Materials Master'!$K$2:$K$27,MATCH($C505,'Materials Master'!$A$2:$A$27,0)),"No"))))))="Yes",1,0)</f>
        <v>0</v>
      </c>
    </row>
    <row r="506" customFormat="false" ht="15" hidden="false" customHeight="false" outlineLevel="0" collapsed="false">
      <c r="A506" s="0" t="s">
        <v>99</v>
      </c>
      <c r="B506" s="0" t="s">
        <v>104</v>
      </c>
      <c r="C506" s="0" t="s">
        <v>50</v>
      </c>
      <c r="D506" s="0" t="str">
        <f aca="false">IFERROR(INDEX('Materials Master'!$B$2:$B$27,MATCH($C506,'Materials Master'!$A$2:$A$27,0)),"")</f>
        <v>Aluminum &amp; Bi-Metal Containers</v>
      </c>
      <c r="E506" s="0" t="str">
        <f aca="false">IFERROR(INDEX('Materials Master'!$C$2:$C$27,MATCH($C506,'Materials Master'!$A$2:$A$27,0)),"")</f>
        <v>Metals</v>
      </c>
      <c r="F506" s="0" t="n">
        <f aca="false">(SUMIFS(Fact_PreSortWeights!$E$2:$E$15,Fact_PreSortWeights!$C$2:$C$15,$A506,Fact_PreSortWeights!$B$2:$B$15,$B506,Fact_PreSortWeights!$F$2:$F$15,$C506))+(SUMIFS(Fact_SortedWeights!$E$2:$E$6,Fact_SortedWeights!$C$2:$C$6,$A506,Fact_SortedWeights!$B$2:$B$6,$B506,Fact_SortedWeights!$D$2:$D$6,$C506,Fact_SortedWeights!$L$2:$L$6,"Yes"))+IF((SUMIFS(Fact_SortedWeights!$E$2:$E$6,Fact_SortedWeights!$C$2:$C$6,$A506,Fact_SortedWeights!$B$2:$B$6,$B506,Fact_SortedWeights!$L$2:$L$6,"No"))=0,0,(SUMIFS(Fact_SortedWeights!$E$2:$E$6,Fact_SortedWeights!$C$2:$C$6,$A506,Fact_SortedWeights!$B$2:$B$6,$B506,Fact_SortedWeights!$D$2:$D$6,$C506,Fact_SortedWeights!$L$2:$L$6,"No"))/(SUMIFS(Fact_SortedWeights!$E$2:$E$6,Fact_SortedWeights!$C$2:$C$6,$A506,Fact_SortedWeights!$B$2:$B$6,$B506,Fact_SortedWeights!$L$2:$L$6,"No"))*((SUMIFS(Fact_PreSortWeights!$E$2:$E$15,Fact_PreSortWeights!$C$2:$C$15,$A506,Fact_PreSortWeights!$B$2:$B$15,$B506,Fact_PreSortWeights!$F$2:$F$15,""))-(SUMIFS(Fact_SortedWeights!$E$2:$E$6,Fact_SortedWeights!$C$2:$C$6,$A506,Fact_SortedWeights!$B$2:$B$6,$B506,Fact_SortedWeights!$L$2:$L$6,"Yes"))))</f>
        <v>0</v>
      </c>
      <c r="G506" s="0" t="n">
        <f aca="false">IF(AND(IF($B506="Trash",INDEX('Materials Master'!$F$2:$F$27,MATCH($C506,'Materials Master'!$A$2:$A$27,0)),IF($B506="GMPC Recycling",INDEX('Materials Master'!$G$2:$G$27,MATCH($C506,'Materials Master'!$A$2:$A$27,0)),IF($B506="Organics Recycling",INDEX('Materials Master'!$H$2:$H$27,MATCH($C506,'Materials Master'!$A$2:$A$27,0)),IF($B506="Cardboard Recycling",INDEX('Materials Master'!$I$2:$I$27,MATCH($C506,'Materials Master'!$A$2:$A$27,0)),IF($B506="Paper Recycling",INDEX('Materials Master'!$J$2:$J$27,MATCH($C506,'Materials Master'!$A$2:$A$27,0)),IF($B506="Terracycle",INDEX('Materials Master'!$K$2:$K$27,MATCH($C506,'Materials Master'!$A$2:$A$27,0)),"No"))))))="Yes",INDEX('Materials Master'!$E$2:$E$27,MATCH($C506,'Materials Master'!$A$2:$A$27,0))="Yes",$B506&lt;&gt;"Trash"),1,0)</f>
        <v>1</v>
      </c>
      <c r="H506" s="0" t="str">
        <f aca="false">INDEX('Materials Master'!$E$2:$E$27,MATCH($C506,'Materials Master'!$A$2:$A$27,0))</f>
        <v>Yes</v>
      </c>
      <c r="I506" s="0" t="str">
        <f aca="false">IFERROR(INDEX(Areas!$C$2:$C$6,MATCH($A506,Areas!$B$2:$B$6,0)),"")</f>
        <v>Rest of Building</v>
      </c>
      <c r="J506" s="0" t="n">
        <f aca="false">IF(IF($B506="Trash",INDEX('Materials Master'!$F$2:$F$27,MATCH($C506,'Materials Master'!$A$2:$A$27,0)),IF($B506="GMPC Recycling",INDEX('Materials Master'!$G$2:$G$27,MATCH($C506,'Materials Master'!$A$2:$A$27,0)),IF($B506="Organics Recycling",INDEX('Materials Master'!$H$2:$H$27,MATCH($C506,'Materials Master'!$A$2:$A$27,0)),IF($B506="Cardboard Recycling",INDEX('Materials Master'!$I$2:$I$27,MATCH($C506,'Materials Master'!$A$2:$A$27,0)),IF($B506="Paper Recycling",INDEX('Materials Master'!$J$2:$J$27,MATCH($C506,'Materials Master'!$A$2:$A$27,0)),IF($B506="Terracycle",INDEX('Materials Master'!$K$2:$K$27,MATCH($C506,'Materials Master'!$A$2:$A$27,0)),"No"))))))="Yes",1,0)</f>
        <v>1</v>
      </c>
    </row>
    <row r="507" customFormat="false" ht="15" hidden="false" customHeight="false" outlineLevel="0" collapsed="false">
      <c r="A507" s="0" t="s">
        <v>99</v>
      </c>
      <c r="B507" s="0" t="s">
        <v>104</v>
      </c>
      <c r="C507" s="0" t="s">
        <v>53</v>
      </c>
      <c r="D507" s="0" t="str">
        <f aca="false">IFERROR(INDEX('Materials Master'!$B$2:$B$27,MATCH($C507,'Materials Master'!$A$2:$A$27,0)),"")</f>
        <v>Soiled Metals</v>
      </c>
      <c r="E507" s="0" t="str">
        <f aca="false">IFERROR(INDEX('Materials Master'!$C$2:$C$27,MATCH($C507,'Materials Master'!$A$2:$A$27,0)),"")</f>
        <v>Metals</v>
      </c>
      <c r="F507" s="0" t="n">
        <f aca="false">(SUMIFS(Fact_PreSortWeights!$E$2:$E$15,Fact_PreSortWeights!$C$2:$C$15,$A507,Fact_PreSortWeights!$B$2:$B$15,$B507,Fact_PreSortWeights!$F$2:$F$15,$C507))+(SUMIFS(Fact_SortedWeights!$E$2:$E$6,Fact_SortedWeights!$C$2:$C$6,$A507,Fact_SortedWeights!$B$2:$B$6,$B507,Fact_SortedWeights!$D$2:$D$6,$C507,Fact_SortedWeights!$L$2:$L$6,"Yes"))+IF((SUMIFS(Fact_SortedWeights!$E$2:$E$6,Fact_SortedWeights!$C$2:$C$6,$A507,Fact_SortedWeights!$B$2:$B$6,$B507,Fact_SortedWeights!$L$2:$L$6,"No"))=0,0,(SUMIFS(Fact_SortedWeights!$E$2:$E$6,Fact_SortedWeights!$C$2:$C$6,$A507,Fact_SortedWeights!$B$2:$B$6,$B507,Fact_SortedWeights!$D$2:$D$6,$C507,Fact_SortedWeights!$L$2:$L$6,"No"))/(SUMIFS(Fact_SortedWeights!$E$2:$E$6,Fact_SortedWeights!$C$2:$C$6,$A507,Fact_SortedWeights!$B$2:$B$6,$B507,Fact_SortedWeights!$L$2:$L$6,"No"))*((SUMIFS(Fact_PreSortWeights!$E$2:$E$15,Fact_PreSortWeights!$C$2:$C$15,$A507,Fact_PreSortWeights!$B$2:$B$15,$B507,Fact_PreSortWeights!$F$2:$F$15,""))-(SUMIFS(Fact_SortedWeights!$E$2:$E$6,Fact_SortedWeights!$C$2:$C$6,$A507,Fact_SortedWeights!$B$2:$B$6,$B507,Fact_SortedWeights!$L$2:$L$6,"Yes"))))</f>
        <v>0</v>
      </c>
      <c r="G507" s="0" t="n">
        <f aca="false">IF(AND(IF($B507="Trash",INDEX('Materials Master'!$F$2:$F$27,MATCH($C507,'Materials Master'!$A$2:$A$27,0)),IF($B507="GMPC Recycling",INDEX('Materials Master'!$G$2:$G$27,MATCH($C507,'Materials Master'!$A$2:$A$27,0)),IF($B507="Organics Recycling",INDEX('Materials Master'!$H$2:$H$27,MATCH($C507,'Materials Master'!$A$2:$A$27,0)),IF($B507="Cardboard Recycling",INDEX('Materials Master'!$I$2:$I$27,MATCH($C507,'Materials Master'!$A$2:$A$27,0)),IF($B507="Paper Recycling",INDEX('Materials Master'!$J$2:$J$27,MATCH($C507,'Materials Master'!$A$2:$A$27,0)),IF($B507="Terracycle",INDEX('Materials Master'!$K$2:$K$27,MATCH($C507,'Materials Master'!$A$2:$A$27,0)),"No"))))))="Yes",INDEX('Materials Master'!$E$2:$E$27,MATCH($C507,'Materials Master'!$A$2:$A$27,0))="Yes",$B507&lt;&gt;"Trash"),1,0)</f>
        <v>0</v>
      </c>
      <c r="H507" s="0" t="str">
        <f aca="false">INDEX('Materials Master'!$E$2:$E$27,MATCH($C507,'Materials Master'!$A$2:$A$27,0))</f>
        <v>No</v>
      </c>
      <c r="I507" s="0" t="str">
        <f aca="false">IFERROR(INDEX(Areas!$C$2:$C$6,MATCH($A507,Areas!$B$2:$B$6,0)),"")</f>
        <v>Rest of Building</v>
      </c>
      <c r="J507" s="0" t="n">
        <f aca="false">IF(IF($B507="Trash",INDEX('Materials Master'!$F$2:$F$27,MATCH($C507,'Materials Master'!$A$2:$A$27,0)),IF($B507="GMPC Recycling",INDEX('Materials Master'!$G$2:$G$27,MATCH($C507,'Materials Master'!$A$2:$A$27,0)),IF($B507="Organics Recycling",INDEX('Materials Master'!$H$2:$H$27,MATCH($C507,'Materials Master'!$A$2:$A$27,0)),IF($B507="Cardboard Recycling",INDEX('Materials Master'!$I$2:$I$27,MATCH($C507,'Materials Master'!$A$2:$A$27,0)),IF($B507="Paper Recycling",INDEX('Materials Master'!$J$2:$J$27,MATCH($C507,'Materials Master'!$A$2:$A$27,0)),IF($B507="Terracycle",INDEX('Materials Master'!$K$2:$K$27,MATCH($C507,'Materials Master'!$A$2:$A$27,0)),"No"))))))="Yes",1,0)</f>
        <v>0</v>
      </c>
    </row>
    <row r="508" customFormat="false" ht="15" hidden="false" customHeight="false" outlineLevel="0" collapsed="false">
      <c r="A508" s="0" t="s">
        <v>99</v>
      </c>
      <c r="B508" s="0" t="s">
        <v>104</v>
      </c>
      <c r="C508" s="0" t="s">
        <v>55</v>
      </c>
      <c r="D508" s="0" t="str">
        <f aca="false">IFERROR(INDEX('Materials Master'!$B$2:$B$27,MATCH($C508,'Materials Master'!$A$2:$A$27,0)),"")</f>
        <v>Rigid Plastics (1-6)</v>
      </c>
      <c r="E508" s="0" t="str">
        <f aca="false">IFERROR(INDEX('Materials Master'!$C$2:$C$27,MATCH($C508,'Materials Master'!$A$2:$A$27,0)),"")</f>
        <v>Plastics</v>
      </c>
      <c r="F508" s="0" t="n">
        <f aca="false">(SUMIFS(Fact_PreSortWeights!$E$2:$E$15,Fact_PreSortWeights!$C$2:$C$15,$A508,Fact_PreSortWeights!$B$2:$B$15,$B508,Fact_PreSortWeights!$F$2:$F$15,$C508))+(SUMIFS(Fact_SortedWeights!$E$2:$E$6,Fact_SortedWeights!$C$2:$C$6,$A508,Fact_SortedWeights!$B$2:$B$6,$B508,Fact_SortedWeights!$D$2:$D$6,$C508,Fact_SortedWeights!$L$2:$L$6,"Yes"))+IF((SUMIFS(Fact_SortedWeights!$E$2:$E$6,Fact_SortedWeights!$C$2:$C$6,$A508,Fact_SortedWeights!$B$2:$B$6,$B508,Fact_SortedWeights!$L$2:$L$6,"No"))=0,0,(SUMIFS(Fact_SortedWeights!$E$2:$E$6,Fact_SortedWeights!$C$2:$C$6,$A508,Fact_SortedWeights!$B$2:$B$6,$B508,Fact_SortedWeights!$D$2:$D$6,$C508,Fact_SortedWeights!$L$2:$L$6,"No"))/(SUMIFS(Fact_SortedWeights!$E$2:$E$6,Fact_SortedWeights!$C$2:$C$6,$A508,Fact_SortedWeights!$B$2:$B$6,$B508,Fact_SortedWeights!$L$2:$L$6,"No"))*((SUMIFS(Fact_PreSortWeights!$E$2:$E$15,Fact_PreSortWeights!$C$2:$C$15,$A508,Fact_PreSortWeights!$B$2:$B$15,$B508,Fact_PreSortWeights!$F$2:$F$15,""))-(SUMIFS(Fact_SortedWeights!$E$2:$E$6,Fact_SortedWeights!$C$2:$C$6,$A508,Fact_SortedWeights!$B$2:$B$6,$B508,Fact_SortedWeights!$L$2:$L$6,"Yes"))))</f>
        <v>0</v>
      </c>
      <c r="G508" s="0" t="n">
        <f aca="false">IF(AND(IF($B508="Trash",INDEX('Materials Master'!$F$2:$F$27,MATCH($C508,'Materials Master'!$A$2:$A$27,0)),IF($B508="GMPC Recycling",INDEX('Materials Master'!$G$2:$G$27,MATCH($C508,'Materials Master'!$A$2:$A$27,0)),IF($B508="Organics Recycling",INDEX('Materials Master'!$H$2:$H$27,MATCH($C508,'Materials Master'!$A$2:$A$27,0)),IF($B508="Cardboard Recycling",INDEX('Materials Master'!$I$2:$I$27,MATCH($C508,'Materials Master'!$A$2:$A$27,0)),IF($B508="Paper Recycling",INDEX('Materials Master'!$J$2:$J$27,MATCH($C508,'Materials Master'!$A$2:$A$27,0)),IF($B508="Terracycle",INDEX('Materials Master'!$K$2:$K$27,MATCH($C508,'Materials Master'!$A$2:$A$27,0)),"No"))))))="Yes",INDEX('Materials Master'!$E$2:$E$27,MATCH($C508,'Materials Master'!$A$2:$A$27,0))="Yes",$B508&lt;&gt;"Trash"),1,0)</f>
        <v>1</v>
      </c>
      <c r="H508" s="0" t="str">
        <f aca="false">INDEX('Materials Master'!$E$2:$E$27,MATCH($C508,'Materials Master'!$A$2:$A$27,0))</f>
        <v>Yes</v>
      </c>
      <c r="I508" s="0" t="str">
        <f aca="false">IFERROR(INDEX(Areas!$C$2:$C$6,MATCH($A508,Areas!$B$2:$B$6,0)),"")</f>
        <v>Rest of Building</v>
      </c>
      <c r="J508" s="0" t="n">
        <f aca="false">IF(IF($B508="Trash",INDEX('Materials Master'!$F$2:$F$27,MATCH($C508,'Materials Master'!$A$2:$A$27,0)),IF($B508="GMPC Recycling",INDEX('Materials Master'!$G$2:$G$27,MATCH($C508,'Materials Master'!$A$2:$A$27,0)),IF($B508="Organics Recycling",INDEX('Materials Master'!$H$2:$H$27,MATCH($C508,'Materials Master'!$A$2:$A$27,0)),IF($B508="Cardboard Recycling",INDEX('Materials Master'!$I$2:$I$27,MATCH($C508,'Materials Master'!$A$2:$A$27,0)),IF($B508="Paper Recycling",INDEX('Materials Master'!$J$2:$J$27,MATCH($C508,'Materials Master'!$A$2:$A$27,0)),IF($B508="Terracycle",INDEX('Materials Master'!$K$2:$K$27,MATCH($C508,'Materials Master'!$A$2:$A$27,0)),"No"))))))="Yes",1,0)</f>
        <v>1</v>
      </c>
    </row>
    <row r="509" customFormat="false" ht="15" hidden="false" customHeight="false" outlineLevel="0" collapsed="false">
      <c r="A509" s="0" t="s">
        <v>99</v>
      </c>
      <c r="B509" s="0" t="s">
        <v>104</v>
      </c>
      <c r="C509" s="0" t="s">
        <v>58</v>
      </c>
      <c r="D509" s="0" t="str">
        <f aca="false">IFERROR(INDEX('Materials Master'!$B$2:$B$27,MATCH($C509,'Materials Master'!$A$2:$A$27,0)),"")</f>
        <v>Soiled Rigid Plastics</v>
      </c>
      <c r="E509" s="0" t="str">
        <f aca="false">IFERROR(INDEX('Materials Master'!$C$2:$C$27,MATCH($C509,'Materials Master'!$A$2:$A$27,0)),"")</f>
        <v>Plastics</v>
      </c>
      <c r="F509" s="0" t="n">
        <f aca="false">(SUMIFS(Fact_PreSortWeights!$E$2:$E$15,Fact_PreSortWeights!$C$2:$C$15,$A509,Fact_PreSortWeights!$B$2:$B$15,$B509,Fact_PreSortWeights!$F$2:$F$15,$C509))+(SUMIFS(Fact_SortedWeights!$E$2:$E$6,Fact_SortedWeights!$C$2:$C$6,$A509,Fact_SortedWeights!$B$2:$B$6,$B509,Fact_SortedWeights!$D$2:$D$6,$C509,Fact_SortedWeights!$L$2:$L$6,"Yes"))+IF((SUMIFS(Fact_SortedWeights!$E$2:$E$6,Fact_SortedWeights!$C$2:$C$6,$A509,Fact_SortedWeights!$B$2:$B$6,$B509,Fact_SortedWeights!$L$2:$L$6,"No"))=0,0,(SUMIFS(Fact_SortedWeights!$E$2:$E$6,Fact_SortedWeights!$C$2:$C$6,$A509,Fact_SortedWeights!$B$2:$B$6,$B509,Fact_SortedWeights!$D$2:$D$6,$C509,Fact_SortedWeights!$L$2:$L$6,"No"))/(SUMIFS(Fact_SortedWeights!$E$2:$E$6,Fact_SortedWeights!$C$2:$C$6,$A509,Fact_SortedWeights!$B$2:$B$6,$B509,Fact_SortedWeights!$L$2:$L$6,"No"))*((SUMIFS(Fact_PreSortWeights!$E$2:$E$15,Fact_PreSortWeights!$C$2:$C$15,$A509,Fact_PreSortWeights!$B$2:$B$15,$B509,Fact_PreSortWeights!$F$2:$F$15,""))-(SUMIFS(Fact_SortedWeights!$E$2:$E$6,Fact_SortedWeights!$C$2:$C$6,$A509,Fact_SortedWeights!$B$2:$B$6,$B509,Fact_SortedWeights!$L$2:$L$6,"Yes"))))</f>
        <v>0</v>
      </c>
      <c r="G509" s="0" t="n">
        <f aca="false">IF(AND(IF($B509="Trash",INDEX('Materials Master'!$F$2:$F$27,MATCH($C509,'Materials Master'!$A$2:$A$27,0)),IF($B509="GMPC Recycling",INDEX('Materials Master'!$G$2:$G$27,MATCH($C509,'Materials Master'!$A$2:$A$27,0)),IF($B509="Organics Recycling",INDEX('Materials Master'!$H$2:$H$27,MATCH($C509,'Materials Master'!$A$2:$A$27,0)),IF($B509="Cardboard Recycling",INDEX('Materials Master'!$I$2:$I$27,MATCH($C509,'Materials Master'!$A$2:$A$27,0)),IF($B509="Paper Recycling",INDEX('Materials Master'!$J$2:$J$27,MATCH($C509,'Materials Master'!$A$2:$A$27,0)),IF($B509="Terracycle",INDEX('Materials Master'!$K$2:$K$27,MATCH($C509,'Materials Master'!$A$2:$A$27,0)),"No"))))))="Yes",INDEX('Materials Master'!$E$2:$E$27,MATCH($C509,'Materials Master'!$A$2:$A$27,0))="Yes",$B509&lt;&gt;"Trash"),1,0)</f>
        <v>0</v>
      </c>
      <c r="H509" s="0" t="str">
        <f aca="false">INDEX('Materials Master'!$E$2:$E$27,MATCH($C509,'Materials Master'!$A$2:$A$27,0))</f>
        <v>No</v>
      </c>
      <c r="I509" s="0" t="str">
        <f aca="false">IFERROR(INDEX(Areas!$C$2:$C$6,MATCH($A509,Areas!$B$2:$B$6,0)),"")</f>
        <v>Rest of Building</v>
      </c>
      <c r="J509" s="0" t="n">
        <f aca="false">IF(IF($B509="Trash",INDEX('Materials Master'!$F$2:$F$27,MATCH($C509,'Materials Master'!$A$2:$A$27,0)),IF($B509="GMPC Recycling",INDEX('Materials Master'!$G$2:$G$27,MATCH($C509,'Materials Master'!$A$2:$A$27,0)),IF($B509="Organics Recycling",INDEX('Materials Master'!$H$2:$H$27,MATCH($C509,'Materials Master'!$A$2:$A$27,0)),IF($B509="Cardboard Recycling",INDEX('Materials Master'!$I$2:$I$27,MATCH($C509,'Materials Master'!$A$2:$A$27,0)),IF($B509="Paper Recycling",INDEX('Materials Master'!$J$2:$J$27,MATCH($C509,'Materials Master'!$A$2:$A$27,0)),IF($B509="Terracycle",INDEX('Materials Master'!$K$2:$K$27,MATCH($C509,'Materials Master'!$A$2:$A$27,0)),"No"))))))="Yes",1,0)</f>
        <v>0</v>
      </c>
    </row>
    <row r="510" customFormat="false" ht="15" hidden="false" customHeight="false" outlineLevel="0" collapsed="false">
      <c r="A510" s="0" t="s">
        <v>99</v>
      </c>
      <c r="B510" s="0" t="s">
        <v>104</v>
      </c>
      <c r="C510" s="0" t="s">
        <v>60</v>
      </c>
      <c r="D510" s="0" t="str">
        <f aca="false">IFERROR(INDEX('Materials Master'!$B$2:$B$27,MATCH($C510,'Materials Master'!$A$2:$A$27,0)),"")</f>
        <v>Film Plastics</v>
      </c>
      <c r="E510" s="0" t="str">
        <f aca="false">IFERROR(INDEX('Materials Master'!$C$2:$C$27,MATCH($C510,'Materials Master'!$A$2:$A$27,0)),"")</f>
        <v>Plastics</v>
      </c>
      <c r="F510" s="0" t="n">
        <f aca="false">(SUMIFS(Fact_PreSortWeights!$E$2:$E$15,Fact_PreSortWeights!$C$2:$C$15,$A510,Fact_PreSortWeights!$B$2:$B$15,$B510,Fact_PreSortWeights!$F$2:$F$15,$C510))+(SUMIFS(Fact_SortedWeights!$E$2:$E$6,Fact_SortedWeights!$C$2:$C$6,$A510,Fact_SortedWeights!$B$2:$B$6,$B510,Fact_SortedWeights!$D$2:$D$6,$C510,Fact_SortedWeights!$L$2:$L$6,"Yes"))+IF((SUMIFS(Fact_SortedWeights!$E$2:$E$6,Fact_SortedWeights!$C$2:$C$6,$A510,Fact_SortedWeights!$B$2:$B$6,$B510,Fact_SortedWeights!$L$2:$L$6,"No"))=0,0,(SUMIFS(Fact_SortedWeights!$E$2:$E$6,Fact_SortedWeights!$C$2:$C$6,$A510,Fact_SortedWeights!$B$2:$B$6,$B510,Fact_SortedWeights!$D$2:$D$6,$C510,Fact_SortedWeights!$L$2:$L$6,"No"))/(SUMIFS(Fact_SortedWeights!$E$2:$E$6,Fact_SortedWeights!$C$2:$C$6,$A510,Fact_SortedWeights!$B$2:$B$6,$B510,Fact_SortedWeights!$L$2:$L$6,"No"))*((SUMIFS(Fact_PreSortWeights!$E$2:$E$15,Fact_PreSortWeights!$C$2:$C$15,$A510,Fact_PreSortWeights!$B$2:$B$15,$B510,Fact_PreSortWeights!$F$2:$F$15,""))-(SUMIFS(Fact_SortedWeights!$E$2:$E$6,Fact_SortedWeights!$C$2:$C$6,$A510,Fact_SortedWeights!$B$2:$B$6,$B510,Fact_SortedWeights!$L$2:$L$6,"Yes"))))</f>
        <v>0</v>
      </c>
      <c r="G510" s="0" t="n">
        <f aca="false">IF(AND(IF($B510="Trash",INDEX('Materials Master'!$F$2:$F$27,MATCH($C510,'Materials Master'!$A$2:$A$27,0)),IF($B510="GMPC Recycling",INDEX('Materials Master'!$G$2:$G$27,MATCH($C510,'Materials Master'!$A$2:$A$27,0)),IF($B510="Organics Recycling",INDEX('Materials Master'!$H$2:$H$27,MATCH($C510,'Materials Master'!$A$2:$A$27,0)),IF($B510="Cardboard Recycling",INDEX('Materials Master'!$I$2:$I$27,MATCH($C510,'Materials Master'!$A$2:$A$27,0)),IF($B510="Paper Recycling",INDEX('Materials Master'!$J$2:$J$27,MATCH($C510,'Materials Master'!$A$2:$A$27,0)),IF($B510="Terracycle",INDEX('Materials Master'!$K$2:$K$27,MATCH($C510,'Materials Master'!$A$2:$A$27,0)),"No"))))))="Yes",INDEX('Materials Master'!$E$2:$E$27,MATCH($C510,'Materials Master'!$A$2:$A$27,0))="Yes",$B510&lt;&gt;"Trash"),1,0)</f>
        <v>0</v>
      </c>
      <c r="H510" s="0" t="str">
        <f aca="false">INDEX('Materials Master'!$E$2:$E$27,MATCH($C510,'Materials Master'!$A$2:$A$27,0))</f>
        <v>No</v>
      </c>
      <c r="I510" s="0" t="str">
        <f aca="false">IFERROR(INDEX(Areas!$C$2:$C$6,MATCH($A510,Areas!$B$2:$B$6,0)),"")</f>
        <v>Rest of Building</v>
      </c>
      <c r="J510" s="0" t="n">
        <f aca="false">IF(IF($B510="Trash",INDEX('Materials Master'!$F$2:$F$27,MATCH($C510,'Materials Master'!$A$2:$A$27,0)),IF($B510="GMPC Recycling",INDEX('Materials Master'!$G$2:$G$27,MATCH($C510,'Materials Master'!$A$2:$A$27,0)),IF($B510="Organics Recycling",INDEX('Materials Master'!$H$2:$H$27,MATCH($C510,'Materials Master'!$A$2:$A$27,0)),IF($B510="Cardboard Recycling",INDEX('Materials Master'!$I$2:$I$27,MATCH($C510,'Materials Master'!$A$2:$A$27,0)),IF($B510="Paper Recycling",INDEX('Materials Master'!$J$2:$J$27,MATCH($C510,'Materials Master'!$A$2:$A$27,0)),IF($B510="Terracycle",INDEX('Materials Master'!$K$2:$K$27,MATCH($C510,'Materials Master'!$A$2:$A$27,0)),"No"))))))="Yes",1,0)</f>
        <v>0</v>
      </c>
    </row>
    <row r="511" customFormat="false" ht="15" hidden="false" customHeight="false" outlineLevel="0" collapsed="false">
      <c r="A511" s="0" t="s">
        <v>99</v>
      </c>
      <c r="B511" s="0" t="s">
        <v>104</v>
      </c>
      <c r="C511" s="0" t="s">
        <v>62</v>
      </c>
      <c r="D511" s="0" t="str">
        <f aca="false">IFERROR(INDEX('Materials Master'!$B$2:$B$27,MATCH($C511,'Materials Master'!$A$2:$A$27,0)),"")</f>
        <v>Foams</v>
      </c>
      <c r="E511" s="0" t="str">
        <f aca="false">IFERROR(INDEX('Materials Master'!$C$2:$C$27,MATCH($C511,'Materials Master'!$A$2:$A$27,0)),"")</f>
        <v>Plastics</v>
      </c>
      <c r="F511" s="0" t="n">
        <f aca="false">(SUMIFS(Fact_PreSortWeights!$E$2:$E$15,Fact_PreSortWeights!$C$2:$C$15,$A511,Fact_PreSortWeights!$B$2:$B$15,$B511,Fact_PreSortWeights!$F$2:$F$15,$C511))+(SUMIFS(Fact_SortedWeights!$E$2:$E$6,Fact_SortedWeights!$C$2:$C$6,$A511,Fact_SortedWeights!$B$2:$B$6,$B511,Fact_SortedWeights!$D$2:$D$6,$C511,Fact_SortedWeights!$L$2:$L$6,"Yes"))+IF((SUMIFS(Fact_SortedWeights!$E$2:$E$6,Fact_SortedWeights!$C$2:$C$6,$A511,Fact_SortedWeights!$B$2:$B$6,$B511,Fact_SortedWeights!$L$2:$L$6,"No"))=0,0,(SUMIFS(Fact_SortedWeights!$E$2:$E$6,Fact_SortedWeights!$C$2:$C$6,$A511,Fact_SortedWeights!$B$2:$B$6,$B511,Fact_SortedWeights!$D$2:$D$6,$C511,Fact_SortedWeights!$L$2:$L$6,"No"))/(SUMIFS(Fact_SortedWeights!$E$2:$E$6,Fact_SortedWeights!$C$2:$C$6,$A511,Fact_SortedWeights!$B$2:$B$6,$B511,Fact_SortedWeights!$L$2:$L$6,"No"))*((SUMIFS(Fact_PreSortWeights!$E$2:$E$15,Fact_PreSortWeights!$C$2:$C$15,$A511,Fact_PreSortWeights!$B$2:$B$15,$B511,Fact_PreSortWeights!$F$2:$F$15,""))-(SUMIFS(Fact_SortedWeights!$E$2:$E$6,Fact_SortedWeights!$C$2:$C$6,$A511,Fact_SortedWeights!$B$2:$B$6,$B511,Fact_SortedWeights!$L$2:$L$6,"Yes"))))</f>
        <v>0</v>
      </c>
      <c r="G511" s="0" t="n">
        <f aca="false">IF(AND(IF($B511="Trash",INDEX('Materials Master'!$F$2:$F$27,MATCH($C511,'Materials Master'!$A$2:$A$27,0)),IF($B511="GMPC Recycling",INDEX('Materials Master'!$G$2:$G$27,MATCH($C511,'Materials Master'!$A$2:$A$27,0)),IF($B511="Organics Recycling",INDEX('Materials Master'!$H$2:$H$27,MATCH($C511,'Materials Master'!$A$2:$A$27,0)),IF($B511="Cardboard Recycling",INDEX('Materials Master'!$I$2:$I$27,MATCH($C511,'Materials Master'!$A$2:$A$27,0)),IF($B511="Paper Recycling",INDEX('Materials Master'!$J$2:$J$27,MATCH($C511,'Materials Master'!$A$2:$A$27,0)),IF($B511="Terracycle",INDEX('Materials Master'!$K$2:$K$27,MATCH($C511,'Materials Master'!$A$2:$A$27,0)),"No"))))))="Yes",INDEX('Materials Master'!$E$2:$E$27,MATCH($C511,'Materials Master'!$A$2:$A$27,0))="Yes",$B511&lt;&gt;"Trash"),1,0)</f>
        <v>0</v>
      </c>
      <c r="H511" s="0" t="str">
        <f aca="false">INDEX('Materials Master'!$E$2:$E$27,MATCH($C511,'Materials Master'!$A$2:$A$27,0))</f>
        <v>No</v>
      </c>
      <c r="I511" s="0" t="str">
        <f aca="false">IFERROR(INDEX(Areas!$C$2:$C$6,MATCH($A511,Areas!$B$2:$B$6,0)),"")</f>
        <v>Rest of Building</v>
      </c>
      <c r="J511" s="0" t="n">
        <f aca="false">IF(IF($B511="Trash",INDEX('Materials Master'!$F$2:$F$27,MATCH($C511,'Materials Master'!$A$2:$A$27,0)),IF($B511="GMPC Recycling",INDEX('Materials Master'!$G$2:$G$27,MATCH($C511,'Materials Master'!$A$2:$A$27,0)),IF($B511="Organics Recycling",INDEX('Materials Master'!$H$2:$H$27,MATCH($C511,'Materials Master'!$A$2:$A$27,0)),IF($B511="Cardboard Recycling",INDEX('Materials Master'!$I$2:$I$27,MATCH($C511,'Materials Master'!$A$2:$A$27,0)),IF($B511="Paper Recycling",INDEX('Materials Master'!$J$2:$J$27,MATCH($C511,'Materials Master'!$A$2:$A$27,0)),IF($B511="Terracycle",INDEX('Materials Master'!$K$2:$K$27,MATCH($C511,'Materials Master'!$A$2:$A$27,0)),"No"))))))="Yes",1,0)</f>
        <v>0</v>
      </c>
    </row>
    <row r="512" customFormat="false" ht="15" hidden="false" customHeight="false" outlineLevel="0" collapsed="false">
      <c r="A512" s="0" t="s">
        <v>99</v>
      </c>
      <c r="B512" s="0" t="s">
        <v>104</v>
      </c>
      <c r="C512" s="0" t="s">
        <v>64</v>
      </c>
      <c r="D512" s="0" t="str">
        <f aca="false">IFERROR(INDEX('Materials Master'!$B$2:$B$27,MATCH($C512,'Materials Master'!$A$2:$A$27,0)),"")</f>
        <v>Food Waste</v>
      </c>
      <c r="E512" s="0" t="str">
        <f aca="false">IFERROR(INDEX('Materials Master'!$C$2:$C$27,MATCH($C512,'Materials Master'!$A$2:$A$27,0)),"")</f>
        <v>Organics</v>
      </c>
      <c r="F512" s="0" t="n">
        <f aca="false">(SUMIFS(Fact_PreSortWeights!$E$2:$E$15,Fact_PreSortWeights!$C$2:$C$15,$A512,Fact_PreSortWeights!$B$2:$B$15,$B512,Fact_PreSortWeights!$F$2:$F$15,$C512))+(SUMIFS(Fact_SortedWeights!$E$2:$E$6,Fact_SortedWeights!$C$2:$C$6,$A512,Fact_SortedWeights!$B$2:$B$6,$B512,Fact_SortedWeights!$D$2:$D$6,$C512,Fact_SortedWeights!$L$2:$L$6,"Yes"))+IF((SUMIFS(Fact_SortedWeights!$E$2:$E$6,Fact_SortedWeights!$C$2:$C$6,$A512,Fact_SortedWeights!$B$2:$B$6,$B512,Fact_SortedWeights!$L$2:$L$6,"No"))=0,0,(SUMIFS(Fact_SortedWeights!$E$2:$E$6,Fact_SortedWeights!$C$2:$C$6,$A512,Fact_SortedWeights!$B$2:$B$6,$B512,Fact_SortedWeights!$D$2:$D$6,$C512,Fact_SortedWeights!$L$2:$L$6,"No"))/(SUMIFS(Fact_SortedWeights!$E$2:$E$6,Fact_SortedWeights!$C$2:$C$6,$A512,Fact_SortedWeights!$B$2:$B$6,$B512,Fact_SortedWeights!$L$2:$L$6,"No"))*((SUMIFS(Fact_PreSortWeights!$E$2:$E$15,Fact_PreSortWeights!$C$2:$C$15,$A512,Fact_PreSortWeights!$B$2:$B$15,$B512,Fact_PreSortWeights!$F$2:$F$15,""))-(SUMIFS(Fact_SortedWeights!$E$2:$E$6,Fact_SortedWeights!$C$2:$C$6,$A512,Fact_SortedWeights!$B$2:$B$6,$B512,Fact_SortedWeights!$L$2:$L$6,"Yes"))))</f>
        <v>0</v>
      </c>
      <c r="G512" s="0" t="n">
        <f aca="false">IF(AND(IF($B512="Trash",INDEX('Materials Master'!$F$2:$F$27,MATCH($C512,'Materials Master'!$A$2:$A$27,0)),IF($B512="GMPC Recycling",INDEX('Materials Master'!$G$2:$G$27,MATCH($C512,'Materials Master'!$A$2:$A$27,0)),IF($B512="Organics Recycling",INDEX('Materials Master'!$H$2:$H$27,MATCH($C512,'Materials Master'!$A$2:$A$27,0)),IF($B512="Cardboard Recycling",INDEX('Materials Master'!$I$2:$I$27,MATCH($C512,'Materials Master'!$A$2:$A$27,0)),IF($B512="Paper Recycling",INDEX('Materials Master'!$J$2:$J$27,MATCH($C512,'Materials Master'!$A$2:$A$27,0)),IF($B512="Terracycle",INDEX('Materials Master'!$K$2:$K$27,MATCH($C512,'Materials Master'!$A$2:$A$27,0)),"No"))))))="Yes",INDEX('Materials Master'!$E$2:$E$27,MATCH($C512,'Materials Master'!$A$2:$A$27,0))="Yes",$B512&lt;&gt;"Trash"),1,0)</f>
        <v>0</v>
      </c>
      <c r="H512" s="0" t="str">
        <f aca="false">INDEX('Materials Master'!$E$2:$E$27,MATCH($C512,'Materials Master'!$A$2:$A$27,0))</f>
        <v>Yes</v>
      </c>
      <c r="I512" s="0" t="str">
        <f aca="false">IFERROR(INDEX(Areas!$C$2:$C$6,MATCH($A512,Areas!$B$2:$B$6,0)),"")</f>
        <v>Rest of Building</v>
      </c>
      <c r="J512" s="0" t="n">
        <f aca="false">IF(IF($B512="Trash",INDEX('Materials Master'!$F$2:$F$27,MATCH($C512,'Materials Master'!$A$2:$A$27,0)),IF($B512="GMPC Recycling",INDEX('Materials Master'!$G$2:$G$27,MATCH($C512,'Materials Master'!$A$2:$A$27,0)),IF($B512="Organics Recycling",INDEX('Materials Master'!$H$2:$H$27,MATCH($C512,'Materials Master'!$A$2:$A$27,0)),IF($B512="Cardboard Recycling",INDEX('Materials Master'!$I$2:$I$27,MATCH($C512,'Materials Master'!$A$2:$A$27,0)),IF($B512="Paper Recycling",INDEX('Materials Master'!$J$2:$J$27,MATCH($C512,'Materials Master'!$A$2:$A$27,0)),IF($B512="Terracycle",INDEX('Materials Master'!$K$2:$K$27,MATCH($C512,'Materials Master'!$A$2:$A$27,0)),"No"))))))="Yes",1,0)</f>
        <v>0</v>
      </c>
    </row>
    <row r="513" customFormat="false" ht="15" hidden="false" customHeight="false" outlineLevel="0" collapsed="false">
      <c r="A513" s="0" t="s">
        <v>99</v>
      </c>
      <c r="B513" s="0" t="s">
        <v>104</v>
      </c>
      <c r="C513" s="0" t="s">
        <v>67</v>
      </c>
      <c r="D513" s="0" t="str">
        <f aca="false">IFERROR(INDEX('Materials Master'!$B$2:$B$27,MATCH($C513,'Materials Master'!$A$2:$A$27,0)),"")</f>
        <v>Paper Fibers and Food-Soiled Paper (FSP)</v>
      </c>
      <c r="E513" s="0" t="str">
        <f aca="false">IFERROR(INDEX('Materials Master'!$C$2:$C$27,MATCH($C513,'Materials Master'!$A$2:$A$27,0)),"")</f>
        <v>Organics</v>
      </c>
      <c r="F513" s="0" t="n">
        <f aca="false">(SUMIFS(Fact_PreSortWeights!$E$2:$E$15,Fact_PreSortWeights!$C$2:$C$15,$A513,Fact_PreSortWeights!$B$2:$B$15,$B513,Fact_PreSortWeights!$F$2:$F$15,$C513))+(SUMIFS(Fact_SortedWeights!$E$2:$E$6,Fact_SortedWeights!$C$2:$C$6,$A513,Fact_SortedWeights!$B$2:$B$6,$B513,Fact_SortedWeights!$D$2:$D$6,$C513,Fact_SortedWeights!$L$2:$L$6,"Yes"))+IF((SUMIFS(Fact_SortedWeights!$E$2:$E$6,Fact_SortedWeights!$C$2:$C$6,$A513,Fact_SortedWeights!$B$2:$B$6,$B513,Fact_SortedWeights!$L$2:$L$6,"No"))=0,0,(SUMIFS(Fact_SortedWeights!$E$2:$E$6,Fact_SortedWeights!$C$2:$C$6,$A513,Fact_SortedWeights!$B$2:$B$6,$B513,Fact_SortedWeights!$D$2:$D$6,$C513,Fact_SortedWeights!$L$2:$L$6,"No"))/(SUMIFS(Fact_SortedWeights!$E$2:$E$6,Fact_SortedWeights!$C$2:$C$6,$A513,Fact_SortedWeights!$B$2:$B$6,$B513,Fact_SortedWeights!$L$2:$L$6,"No"))*((SUMIFS(Fact_PreSortWeights!$E$2:$E$15,Fact_PreSortWeights!$C$2:$C$15,$A513,Fact_PreSortWeights!$B$2:$B$15,$B513,Fact_PreSortWeights!$F$2:$F$15,""))-(SUMIFS(Fact_SortedWeights!$E$2:$E$6,Fact_SortedWeights!$C$2:$C$6,$A513,Fact_SortedWeights!$B$2:$B$6,$B513,Fact_SortedWeights!$L$2:$L$6,"Yes"))))</f>
        <v>0</v>
      </c>
      <c r="G513" s="0" t="n">
        <f aca="false">IF(AND(IF($B513="Trash",INDEX('Materials Master'!$F$2:$F$27,MATCH($C513,'Materials Master'!$A$2:$A$27,0)),IF($B513="GMPC Recycling",INDEX('Materials Master'!$G$2:$G$27,MATCH($C513,'Materials Master'!$A$2:$A$27,0)),IF($B513="Organics Recycling",INDEX('Materials Master'!$H$2:$H$27,MATCH($C513,'Materials Master'!$A$2:$A$27,0)),IF($B513="Cardboard Recycling",INDEX('Materials Master'!$I$2:$I$27,MATCH($C513,'Materials Master'!$A$2:$A$27,0)),IF($B513="Paper Recycling",INDEX('Materials Master'!$J$2:$J$27,MATCH($C513,'Materials Master'!$A$2:$A$27,0)),IF($B513="Terracycle",INDEX('Materials Master'!$K$2:$K$27,MATCH($C513,'Materials Master'!$A$2:$A$27,0)),"No"))))))="Yes",INDEX('Materials Master'!$E$2:$E$27,MATCH($C513,'Materials Master'!$A$2:$A$27,0))="Yes",$B513&lt;&gt;"Trash"),1,0)</f>
        <v>0</v>
      </c>
      <c r="H513" s="0" t="str">
        <f aca="false">INDEX('Materials Master'!$E$2:$E$27,MATCH($C513,'Materials Master'!$A$2:$A$27,0))</f>
        <v>No</v>
      </c>
      <c r="I513" s="0" t="str">
        <f aca="false">IFERROR(INDEX(Areas!$C$2:$C$6,MATCH($A513,Areas!$B$2:$B$6,0)),"")</f>
        <v>Rest of Building</v>
      </c>
      <c r="J513" s="0" t="n">
        <f aca="false">IF(IF($B513="Trash",INDEX('Materials Master'!$F$2:$F$27,MATCH($C513,'Materials Master'!$A$2:$A$27,0)),IF($B513="GMPC Recycling",INDEX('Materials Master'!$G$2:$G$27,MATCH($C513,'Materials Master'!$A$2:$A$27,0)),IF($B513="Organics Recycling",INDEX('Materials Master'!$H$2:$H$27,MATCH($C513,'Materials Master'!$A$2:$A$27,0)),IF($B513="Cardboard Recycling",INDEX('Materials Master'!$I$2:$I$27,MATCH($C513,'Materials Master'!$A$2:$A$27,0)),IF($B513="Paper Recycling",INDEX('Materials Master'!$J$2:$J$27,MATCH($C513,'Materials Master'!$A$2:$A$27,0)),IF($B513="Terracycle",INDEX('Materials Master'!$K$2:$K$27,MATCH($C513,'Materials Master'!$A$2:$A$27,0)),"No"))))))="Yes",1,0)</f>
        <v>0</v>
      </c>
    </row>
    <row r="514" customFormat="false" ht="15" hidden="false" customHeight="false" outlineLevel="0" collapsed="false">
      <c r="A514" s="0" t="s">
        <v>99</v>
      </c>
      <c r="B514" s="0" t="s">
        <v>104</v>
      </c>
      <c r="C514" s="0" t="s">
        <v>69</v>
      </c>
      <c r="D514" s="0" t="str">
        <f aca="false">IFERROR(INDEX('Materials Master'!$B$2:$B$27,MATCH($C514,'Materials Master'!$A$2:$A$27,0)),"")</f>
        <v>Fiber-based Compostable Serviceware</v>
      </c>
      <c r="E514" s="0" t="str">
        <f aca="false">IFERROR(INDEX('Materials Master'!$C$2:$C$27,MATCH($C514,'Materials Master'!$A$2:$A$27,0)),"")</f>
        <v>Organics</v>
      </c>
      <c r="F514" s="0" t="n">
        <f aca="false">(SUMIFS(Fact_PreSortWeights!$E$2:$E$15,Fact_PreSortWeights!$C$2:$C$15,$A514,Fact_PreSortWeights!$B$2:$B$15,$B514,Fact_PreSortWeights!$F$2:$F$15,$C514))+(SUMIFS(Fact_SortedWeights!$E$2:$E$6,Fact_SortedWeights!$C$2:$C$6,$A514,Fact_SortedWeights!$B$2:$B$6,$B514,Fact_SortedWeights!$D$2:$D$6,$C514,Fact_SortedWeights!$L$2:$L$6,"Yes"))+IF((SUMIFS(Fact_SortedWeights!$E$2:$E$6,Fact_SortedWeights!$C$2:$C$6,$A514,Fact_SortedWeights!$B$2:$B$6,$B514,Fact_SortedWeights!$L$2:$L$6,"No"))=0,0,(SUMIFS(Fact_SortedWeights!$E$2:$E$6,Fact_SortedWeights!$C$2:$C$6,$A514,Fact_SortedWeights!$B$2:$B$6,$B514,Fact_SortedWeights!$D$2:$D$6,$C514,Fact_SortedWeights!$L$2:$L$6,"No"))/(SUMIFS(Fact_SortedWeights!$E$2:$E$6,Fact_SortedWeights!$C$2:$C$6,$A514,Fact_SortedWeights!$B$2:$B$6,$B514,Fact_SortedWeights!$L$2:$L$6,"No"))*((SUMIFS(Fact_PreSortWeights!$E$2:$E$15,Fact_PreSortWeights!$C$2:$C$15,$A514,Fact_PreSortWeights!$B$2:$B$15,$B514,Fact_PreSortWeights!$F$2:$F$15,""))-(SUMIFS(Fact_SortedWeights!$E$2:$E$6,Fact_SortedWeights!$C$2:$C$6,$A514,Fact_SortedWeights!$B$2:$B$6,$B514,Fact_SortedWeights!$L$2:$L$6,"Yes"))))</f>
        <v>0</v>
      </c>
      <c r="G514" s="0" t="n">
        <f aca="false">IF(AND(IF($B514="Trash",INDEX('Materials Master'!$F$2:$F$27,MATCH($C514,'Materials Master'!$A$2:$A$27,0)),IF($B514="GMPC Recycling",INDEX('Materials Master'!$G$2:$G$27,MATCH($C514,'Materials Master'!$A$2:$A$27,0)),IF($B514="Organics Recycling",INDEX('Materials Master'!$H$2:$H$27,MATCH($C514,'Materials Master'!$A$2:$A$27,0)),IF($B514="Cardboard Recycling",INDEX('Materials Master'!$I$2:$I$27,MATCH($C514,'Materials Master'!$A$2:$A$27,0)),IF($B514="Paper Recycling",INDEX('Materials Master'!$J$2:$J$27,MATCH($C514,'Materials Master'!$A$2:$A$27,0)),IF($B514="Terracycle",INDEX('Materials Master'!$K$2:$K$27,MATCH($C514,'Materials Master'!$A$2:$A$27,0)),"No"))))))="Yes",INDEX('Materials Master'!$E$2:$E$27,MATCH($C514,'Materials Master'!$A$2:$A$27,0))="Yes",$B514&lt;&gt;"Trash"),1,0)</f>
        <v>0</v>
      </c>
      <c r="H514" s="0" t="str">
        <f aca="false">INDEX('Materials Master'!$E$2:$E$27,MATCH($C514,'Materials Master'!$A$2:$A$27,0))</f>
        <v>No</v>
      </c>
      <c r="I514" s="0" t="str">
        <f aca="false">IFERROR(INDEX(Areas!$C$2:$C$6,MATCH($A514,Areas!$B$2:$B$6,0)),"")</f>
        <v>Rest of Building</v>
      </c>
      <c r="J514" s="0" t="n">
        <f aca="false">IF(IF($B514="Trash",INDEX('Materials Master'!$F$2:$F$27,MATCH($C514,'Materials Master'!$A$2:$A$27,0)),IF($B514="GMPC Recycling",INDEX('Materials Master'!$G$2:$G$27,MATCH($C514,'Materials Master'!$A$2:$A$27,0)),IF($B514="Organics Recycling",INDEX('Materials Master'!$H$2:$H$27,MATCH($C514,'Materials Master'!$A$2:$A$27,0)),IF($B514="Cardboard Recycling",INDEX('Materials Master'!$I$2:$I$27,MATCH($C514,'Materials Master'!$A$2:$A$27,0)),IF($B514="Paper Recycling",INDEX('Materials Master'!$J$2:$J$27,MATCH($C514,'Materials Master'!$A$2:$A$27,0)),IF($B514="Terracycle",INDEX('Materials Master'!$K$2:$K$27,MATCH($C514,'Materials Master'!$A$2:$A$27,0)),"No"))))))="Yes",1,0)</f>
        <v>0</v>
      </c>
    </row>
    <row r="515" customFormat="false" ht="15" hidden="false" customHeight="false" outlineLevel="0" collapsed="false">
      <c r="A515" s="0" t="s">
        <v>99</v>
      </c>
      <c r="B515" s="0" t="s">
        <v>104</v>
      </c>
      <c r="C515" s="0" t="s">
        <v>71</v>
      </c>
      <c r="D515" s="0" t="str">
        <f aca="false">IFERROR(INDEX('Materials Master'!$B$2:$B$27,MATCH($C515,'Materials Master'!$A$2:$A$27,0)),"")</f>
        <v>PLA Compostable Serviceware</v>
      </c>
      <c r="E515" s="0" t="str">
        <f aca="false">IFERROR(INDEX('Materials Master'!$C$2:$C$27,MATCH($C515,'Materials Master'!$A$2:$A$27,0)),"")</f>
        <v>Organics</v>
      </c>
      <c r="F515" s="0" t="n">
        <f aca="false">(SUMIFS(Fact_PreSortWeights!$E$2:$E$15,Fact_PreSortWeights!$C$2:$C$15,$A515,Fact_PreSortWeights!$B$2:$B$15,$B515,Fact_PreSortWeights!$F$2:$F$15,$C515))+(SUMIFS(Fact_SortedWeights!$E$2:$E$6,Fact_SortedWeights!$C$2:$C$6,$A515,Fact_SortedWeights!$B$2:$B$6,$B515,Fact_SortedWeights!$D$2:$D$6,$C515,Fact_SortedWeights!$L$2:$L$6,"Yes"))+IF((SUMIFS(Fact_SortedWeights!$E$2:$E$6,Fact_SortedWeights!$C$2:$C$6,$A515,Fact_SortedWeights!$B$2:$B$6,$B515,Fact_SortedWeights!$L$2:$L$6,"No"))=0,0,(SUMIFS(Fact_SortedWeights!$E$2:$E$6,Fact_SortedWeights!$C$2:$C$6,$A515,Fact_SortedWeights!$B$2:$B$6,$B515,Fact_SortedWeights!$D$2:$D$6,$C515,Fact_SortedWeights!$L$2:$L$6,"No"))/(SUMIFS(Fact_SortedWeights!$E$2:$E$6,Fact_SortedWeights!$C$2:$C$6,$A515,Fact_SortedWeights!$B$2:$B$6,$B515,Fact_SortedWeights!$L$2:$L$6,"No"))*((SUMIFS(Fact_PreSortWeights!$E$2:$E$15,Fact_PreSortWeights!$C$2:$C$15,$A515,Fact_PreSortWeights!$B$2:$B$15,$B515,Fact_PreSortWeights!$F$2:$F$15,""))-(SUMIFS(Fact_SortedWeights!$E$2:$E$6,Fact_SortedWeights!$C$2:$C$6,$A515,Fact_SortedWeights!$B$2:$B$6,$B515,Fact_SortedWeights!$L$2:$L$6,"Yes"))))</f>
        <v>0</v>
      </c>
      <c r="G515" s="0" t="n">
        <f aca="false">IF(AND(IF($B515="Trash",INDEX('Materials Master'!$F$2:$F$27,MATCH($C515,'Materials Master'!$A$2:$A$27,0)),IF($B515="GMPC Recycling",INDEX('Materials Master'!$G$2:$G$27,MATCH($C515,'Materials Master'!$A$2:$A$27,0)),IF($B515="Organics Recycling",INDEX('Materials Master'!$H$2:$H$27,MATCH($C515,'Materials Master'!$A$2:$A$27,0)),IF($B515="Cardboard Recycling",INDEX('Materials Master'!$I$2:$I$27,MATCH($C515,'Materials Master'!$A$2:$A$27,0)),IF($B515="Paper Recycling",INDEX('Materials Master'!$J$2:$J$27,MATCH($C515,'Materials Master'!$A$2:$A$27,0)),IF($B515="Terracycle",INDEX('Materials Master'!$K$2:$K$27,MATCH($C515,'Materials Master'!$A$2:$A$27,0)),"No"))))))="Yes",INDEX('Materials Master'!$E$2:$E$27,MATCH($C515,'Materials Master'!$A$2:$A$27,0))="Yes",$B515&lt;&gt;"Trash"),1,0)</f>
        <v>0</v>
      </c>
      <c r="H515" s="0" t="str">
        <f aca="false">INDEX('Materials Master'!$E$2:$E$27,MATCH($C515,'Materials Master'!$A$2:$A$27,0))</f>
        <v>No</v>
      </c>
      <c r="I515" s="0" t="str">
        <f aca="false">IFERROR(INDEX(Areas!$C$2:$C$6,MATCH($A515,Areas!$B$2:$B$6,0)),"")</f>
        <v>Rest of Building</v>
      </c>
      <c r="J515" s="0" t="n">
        <f aca="false">IF(IF($B515="Trash",INDEX('Materials Master'!$F$2:$F$27,MATCH($C515,'Materials Master'!$A$2:$A$27,0)),IF($B515="GMPC Recycling",INDEX('Materials Master'!$G$2:$G$27,MATCH($C515,'Materials Master'!$A$2:$A$27,0)),IF($B515="Organics Recycling",INDEX('Materials Master'!$H$2:$H$27,MATCH($C515,'Materials Master'!$A$2:$A$27,0)),IF($B515="Cardboard Recycling",INDEX('Materials Master'!$I$2:$I$27,MATCH($C515,'Materials Master'!$A$2:$A$27,0)),IF($B515="Paper Recycling",INDEX('Materials Master'!$J$2:$J$27,MATCH($C515,'Materials Master'!$A$2:$A$27,0)),IF($B515="Terracycle",INDEX('Materials Master'!$K$2:$K$27,MATCH($C515,'Materials Master'!$A$2:$A$27,0)),"No"))))))="Yes",1,0)</f>
        <v>0</v>
      </c>
    </row>
    <row r="516" customFormat="false" ht="15" hidden="false" customHeight="false" outlineLevel="0" collapsed="false">
      <c r="A516" s="0" t="s">
        <v>99</v>
      </c>
      <c r="B516" s="0" t="s">
        <v>104</v>
      </c>
      <c r="C516" s="0" t="s">
        <v>73</v>
      </c>
      <c r="D516" s="0" t="str">
        <f aca="false">IFERROR(INDEX('Materials Master'!$B$2:$B$27,MATCH($C516,'Materials Master'!$A$2:$A$27,0)),"")</f>
        <v>E/U Waste</v>
      </c>
      <c r="E516" s="0" t="str">
        <f aca="false">IFERROR(INDEX('Materials Master'!$C$2:$C$27,MATCH($C516,'Materials Master'!$A$2:$A$27,0)),"")</f>
        <v>Unacceptable</v>
      </c>
      <c r="F516" s="0" t="n">
        <f aca="false">(SUMIFS(Fact_PreSortWeights!$E$2:$E$15,Fact_PreSortWeights!$C$2:$C$15,$A516,Fact_PreSortWeights!$B$2:$B$15,$B516,Fact_PreSortWeights!$F$2:$F$15,$C516))+(SUMIFS(Fact_SortedWeights!$E$2:$E$6,Fact_SortedWeights!$C$2:$C$6,$A516,Fact_SortedWeights!$B$2:$B$6,$B516,Fact_SortedWeights!$D$2:$D$6,$C516,Fact_SortedWeights!$L$2:$L$6,"Yes"))+IF((SUMIFS(Fact_SortedWeights!$E$2:$E$6,Fact_SortedWeights!$C$2:$C$6,$A516,Fact_SortedWeights!$B$2:$B$6,$B516,Fact_SortedWeights!$L$2:$L$6,"No"))=0,0,(SUMIFS(Fact_SortedWeights!$E$2:$E$6,Fact_SortedWeights!$C$2:$C$6,$A516,Fact_SortedWeights!$B$2:$B$6,$B516,Fact_SortedWeights!$D$2:$D$6,$C516,Fact_SortedWeights!$L$2:$L$6,"No"))/(SUMIFS(Fact_SortedWeights!$E$2:$E$6,Fact_SortedWeights!$C$2:$C$6,$A516,Fact_SortedWeights!$B$2:$B$6,$B516,Fact_SortedWeights!$L$2:$L$6,"No"))*((SUMIFS(Fact_PreSortWeights!$E$2:$E$15,Fact_PreSortWeights!$C$2:$C$15,$A516,Fact_PreSortWeights!$B$2:$B$15,$B516,Fact_PreSortWeights!$F$2:$F$15,""))-(SUMIFS(Fact_SortedWeights!$E$2:$E$6,Fact_SortedWeights!$C$2:$C$6,$A516,Fact_SortedWeights!$B$2:$B$6,$B516,Fact_SortedWeights!$L$2:$L$6,"Yes"))))</f>
        <v>0</v>
      </c>
      <c r="G516" s="0" t="n">
        <f aca="false">IF(AND(IF($B516="Trash",INDEX('Materials Master'!$F$2:$F$27,MATCH($C516,'Materials Master'!$A$2:$A$27,0)),IF($B516="GMPC Recycling",INDEX('Materials Master'!$G$2:$G$27,MATCH($C516,'Materials Master'!$A$2:$A$27,0)),IF($B516="Organics Recycling",INDEX('Materials Master'!$H$2:$H$27,MATCH($C516,'Materials Master'!$A$2:$A$27,0)),IF($B516="Cardboard Recycling",INDEX('Materials Master'!$I$2:$I$27,MATCH($C516,'Materials Master'!$A$2:$A$27,0)),IF($B516="Paper Recycling",INDEX('Materials Master'!$J$2:$J$27,MATCH($C516,'Materials Master'!$A$2:$A$27,0)),IF($B516="Terracycle",INDEX('Materials Master'!$K$2:$K$27,MATCH($C516,'Materials Master'!$A$2:$A$27,0)),"No"))))))="Yes",INDEX('Materials Master'!$E$2:$E$27,MATCH($C516,'Materials Master'!$A$2:$A$27,0))="Yes",$B516&lt;&gt;"Trash"),1,0)</f>
        <v>0</v>
      </c>
      <c r="H516" s="0" t="str">
        <f aca="false">INDEX('Materials Master'!$E$2:$E$27,MATCH($C516,'Materials Master'!$A$2:$A$27,0))</f>
        <v>No</v>
      </c>
      <c r="I516" s="0" t="str">
        <f aca="false">IFERROR(INDEX(Areas!$C$2:$C$6,MATCH($A516,Areas!$B$2:$B$6,0)),"")</f>
        <v>Rest of Building</v>
      </c>
      <c r="J516" s="0" t="n">
        <f aca="false">IF(IF($B516="Trash",INDEX('Materials Master'!$F$2:$F$27,MATCH($C516,'Materials Master'!$A$2:$A$27,0)),IF($B516="GMPC Recycling",INDEX('Materials Master'!$G$2:$G$27,MATCH($C516,'Materials Master'!$A$2:$A$27,0)),IF($B516="Organics Recycling",INDEX('Materials Master'!$H$2:$H$27,MATCH($C516,'Materials Master'!$A$2:$A$27,0)),IF($B516="Cardboard Recycling",INDEX('Materials Master'!$I$2:$I$27,MATCH($C516,'Materials Master'!$A$2:$A$27,0)),IF($B516="Paper Recycling",INDEX('Materials Master'!$J$2:$J$27,MATCH($C516,'Materials Master'!$A$2:$A$27,0)),IF($B516="Terracycle",INDEX('Materials Master'!$K$2:$K$27,MATCH($C516,'Materials Master'!$A$2:$A$27,0)),"No"))))))="Yes",1,0)</f>
        <v>0</v>
      </c>
    </row>
    <row r="517" customFormat="false" ht="15" hidden="false" customHeight="false" outlineLevel="0" collapsed="false">
      <c r="A517" s="0" t="s">
        <v>99</v>
      </c>
      <c r="B517" s="0" t="s">
        <v>104</v>
      </c>
      <c r="C517" s="0" t="s">
        <v>76</v>
      </c>
      <c r="D517" s="0" t="str">
        <f aca="false">IFERROR(INDEX('Materials Master'!$B$2:$B$27,MATCH($C517,'Materials Master'!$A$2:$A$27,0)),"")</f>
        <v>Textiles</v>
      </c>
      <c r="E517" s="0" t="str">
        <f aca="false">IFERROR(INDEX('Materials Master'!$C$2:$C$27,MATCH($C517,'Materials Master'!$A$2:$A$27,0)),"")</f>
        <v>Unacceptable</v>
      </c>
      <c r="F517" s="0" t="n">
        <f aca="false">(SUMIFS(Fact_PreSortWeights!$E$2:$E$15,Fact_PreSortWeights!$C$2:$C$15,$A517,Fact_PreSortWeights!$B$2:$B$15,$B517,Fact_PreSortWeights!$F$2:$F$15,$C517))+(SUMIFS(Fact_SortedWeights!$E$2:$E$6,Fact_SortedWeights!$C$2:$C$6,$A517,Fact_SortedWeights!$B$2:$B$6,$B517,Fact_SortedWeights!$D$2:$D$6,$C517,Fact_SortedWeights!$L$2:$L$6,"Yes"))+IF((SUMIFS(Fact_SortedWeights!$E$2:$E$6,Fact_SortedWeights!$C$2:$C$6,$A517,Fact_SortedWeights!$B$2:$B$6,$B517,Fact_SortedWeights!$L$2:$L$6,"No"))=0,0,(SUMIFS(Fact_SortedWeights!$E$2:$E$6,Fact_SortedWeights!$C$2:$C$6,$A517,Fact_SortedWeights!$B$2:$B$6,$B517,Fact_SortedWeights!$D$2:$D$6,$C517,Fact_SortedWeights!$L$2:$L$6,"No"))/(SUMIFS(Fact_SortedWeights!$E$2:$E$6,Fact_SortedWeights!$C$2:$C$6,$A517,Fact_SortedWeights!$B$2:$B$6,$B517,Fact_SortedWeights!$L$2:$L$6,"No"))*((SUMIFS(Fact_PreSortWeights!$E$2:$E$15,Fact_PreSortWeights!$C$2:$C$15,$A517,Fact_PreSortWeights!$B$2:$B$15,$B517,Fact_PreSortWeights!$F$2:$F$15,""))-(SUMIFS(Fact_SortedWeights!$E$2:$E$6,Fact_SortedWeights!$C$2:$C$6,$A517,Fact_SortedWeights!$B$2:$B$6,$B517,Fact_SortedWeights!$L$2:$L$6,"Yes"))))</f>
        <v>0</v>
      </c>
      <c r="G517" s="0" t="n">
        <f aca="false">IF(AND(IF($B517="Trash",INDEX('Materials Master'!$F$2:$F$27,MATCH($C517,'Materials Master'!$A$2:$A$27,0)),IF($B517="GMPC Recycling",INDEX('Materials Master'!$G$2:$G$27,MATCH($C517,'Materials Master'!$A$2:$A$27,0)),IF($B517="Organics Recycling",INDEX('Materials Master'!$H$2:$H$27,MATCH($C517,'Materials Master'!$A$2:$A$27,0)),IF($B517="Cardboard Recycling",INDEX('Materials Master'!$I$2:$I$27,MATCH($C517,'Materials Master'!$A$2:$A$27,0)),IF($B517="Paper Recycling",INDEX('Materials Master'!$J$2:$J$27,MATCH($C517,'Materials Master'!$A$2:$A$27,0)),IF($B517="Terracycle",INDEX('Materials Master'!$K$2:$K$27,MATCH($C517,'Materials Master'!$A$2:$A$27,0)),"No"))))))="Yes",INDEX('Materials Master'!$E$2:$E$27,MATCH($C517,'Materials Master'!$A$2:$A$27,0))="Yes",$B517&lt;&gt;"Trash"),1,0)</f>
        <v>0</v>
      </c>
      <c r="H517" s="0" t="str">
        <f aca="false">INDEX('Materials Master'!$E$2:$E$27,MATCH($C517,'Materials Master'!$A$2:$A$27,0))</f>
        <v>No</v>
      </c>
      <c r="I517" s="0" t="str">
        <f aca="false">IFERROR(INDEX(Areas!$C$2:$C$6,MATCH($A517,Areas!$B$2:$B$6,0)),"")</f>
        <v>Rest of Building</v>
      </c>
      <c r="J517" s="0" t="n">
        <f aca="false">IF(IF($B517="Trash",INDEX('Materials Master'!$F$2:$F$27,MATCH($C517,'Materials Master'!$A$2:$A$27,0)),IF($B517="GMPC Recycling",INDEX('Materials Master'!$G$2:$G$27,MATCH($C517,'Materials Master'!$A$2:$A$27,0)),IF($B517="Organics Recycling",INDEX('Materials Master'!$H$2:$H$27,MATCH($C517,'Materials Master'!$A$2:$A$27,0)),IF($B517="Cardboard Recycling",INDEX('Materials Master'!$I$2:$I$27,MATCH($C517,'Materials Master'!$A$2:$A$27,0)),IF($B517="Paper Recycling",INDEX('Materials Master'!$J$2:$J$27,MATCH($C517,'Materials Master'!$A$2:$A$27,0)),IF($B517="Terracycle",INDEX('Materials Master'!$K$2:$K$27,MATCH($C517,'Materials Master'!$A$2:$A$27,0)),"No"))))))="Yes",1,0)</f>
        <v>0</v>
      </c>
    </row>
    <row r="518" customFormat="false" ht="15" hidden="false" customHeight="false" outlineLevel="0" collapsed="false">
      <c r="A518" s="0" t="s">
        <v>99</v>
      </c>
      <c r="B518" s="0" t="s">
        <v>104</v>
      </c>
      <c r="C518" s="0" t="s">
        <v>78</v>
      </c>
      <c r="D518" s="0" t="str">
        <f aca="false">IFERROR(INDEX('Materials Master'!$B$2:$B$27,MATCH($C518,'Materials Master'!$A$2:$A$27,0)),"")</f>
        <v>Other Unacceptable (specify)</v>
      </c>
      <c r="E518" s="0" t="str">
        <f aca="false">IFERROR(INDEX('Materials Master'!$C$2:$C$27,MATCH($C518,'Materials Master'!$A$2:$A$27,0)),"")</f>
        <v>Unacceptable</v>
      </c>
      <c r="F518" s="0" t="n">
        <f aca="false">(SUMIFS(Fact_PreSortWeights!$E$2:$E$15,Fact_PreSortWeights!$C$2:$C$15,$A518,Fact_PreSortWeights!$B$2:$B$15,$B518,Fact_PreSortWeights!$F$2:$F$15,$C518))+(SUMIFS(Fact_SortedWeights!$E$2:$E$6,Fact_SortedWeights!$C$2:$C$6,$A518,Fact_SortedWeights!$B$2:$B$6,$B518,Fact_SortedWeights!$D$2:$D$6,$C518,Fact_SortedWeights!$L$2:$L$6,"Yes"))+IF((SUMIFS(Fact_SortedWeights!$E$2:$E$6,Fact_SortedWeights!$C$2:$C$6,$A518,Fact_SortedWeights!$B$2:$B$6,$B518,Fact_SortedWeights!$L$2:$L$6,"No"))=0,0,(SUMIFS(Fact_SortedWeights!$E$2:$E$6,Fact_SortedWeights!$C$2:$C$6,$A518,Fact_SortedWeights!$B$2:$B$6,$B518,Fact_SortedWeights!$D$2:$D$6,$C518,Fact_SortedWeights!$L$2:$L$6,"No"))/(SUMIFS(Fact_SortedWeights!$E$2:$E$6,Fact_SortedWeights!$C$2:$C$6,$A518,Fact_SortedWeights!$B$2:$B$6,$B518,Fact_SortedWeights!$L$2:$L$6,"No"))*((SUMIFS(Fact_PreSortWeights!$E$2:$E$15,Fact_PreSortWeights!$C$2:$C$15,$A518,Fact_PreSortWeights!$B$2:$B$15,$B518,Fact_PreSortWeights!$F$2:$F$15,""))-(SUMIFS(Fact_SortedWeights!$E$2:$E$6,Fact_SortedWeights!$C$2:$C$6,$A518,Fact_SortedWeights!$B$2:$B$6,$B518,Fact_SortedWeights!$L$2:$L$6,"Yes"))))</f>
        <v>0</v>
      </c>
      <c r="G518" s="0" t="n">
        <f aca="false">IF(AND(IF($B518="Trash",INDEX('Materials Master'!$F$2:$F$27,MATCH($C518,'Materials Master'!$A$2:$A$27,0)),IF($B518="GMPC Recycling",INDEX('Materials Master'!$G$2:$G$27,MATCH($C518,'Materials Master'!$A$2:$A$27,0)),IF($B518="Organics Recycling",INDEX('Materials Master'!$H$2:$H$27,MATCH($C518,'Materials Master'!$A$2:$A$27,0)),IF($B518="Cardboard Recycling",INDEX('Materials Master'!$I$2:$I$27,MATCH($C518,'Materials Master'!$A$2:$A$27,0)),IF($B518="Paper Recycling",INDEX('Materials Master'!$J$2:$J$27,MATCH($C518,'Materials Master'!$A$2:$A$27,0)),IF($B518="Terracycle",INDEX('Materials Master'!$K$2:$K$27,MATCH($C518,'Materials Master'!$A$2:$A$27,0)),"No"))))))="Yes",INDEX('Materials Master'!$E$2:$E$27,MATCH($C518,'Materials Master'!$A$2:$A$27,0))="Yes",$B518&lt;&gt;"Trash"),1,0)</f>
        <v>0</v>
      </c>
      <c r="H518" s="0" t="str">
        <f aca="false">INDEX('Materials Master'!$E$2:$E$27,MATCH($C518,'Materials Master'!$A$2:$A$27,0))</f>
        <v>No</v>
      </c>
      <c r="I518" s="0" t="str">
        <f aca="false">IFERROR(INDEX(Areas!$C$2:$C$6,MATCH($A518,Areas!$B$2:$B$6,0)),"")</f>
        <v>Rest of Building</v>
      </c>
      <c r="J518" s="0" t="n">
        <f aca="false">IF(IF($B518="Trash",INDEX('Materials Master'!$F$2:$F$27,MATCH($C518,'Materials Master'!$A$2:$A$27,0)),IF($B518="GMPC Recycling",INDEX('Materials Master'!$G$2:$G$27,MATCH($C518,'Materials Master'!$A$2:$A$27,0)),IF($B518="Organics Recycling",INDEX('Materials Master'!$H$2:$H$27,MATCH($C518,'Materials Master'!$A$2:$A$27,0)),IF($B518="Cardboard Recycling",INDEX('Materials Master'!$I$2:$I$27,MATCH($C518,'Materials Master'!$A$2:$A$27,0)),IF($B518="Paper Recycling",INDEX('Materials Master'!$J$2:$J$27,MATCH($C518,'Materials Master'!$A$2:$A$27,0)),IF($B518="Terracycle",INDEX('Materials Master'!$K$2:$K$27,MATCH($C518,'Materials Master'!$A$2:$A$27,0)),"No"))))))="Yes",1,0)</f>
        <v>0</v>
      </c>
    </row>
    <row r="519" customFormat="false" ht="15" hidden="false" customHeight="false" outlineLevel="0" collapsed="false">
      <c r="A519" s="0" t="s">
        <v>99</v>
      </c>
      <c r="B519" s="0" t="s">
        <v>104</v>
      </c>
      <c r="C519" s="0" t="s">
        <v>80</v>
      </c>
      <c r="D519" s="0" t="str">
        <f aca="false">IFERROR(INDEX('Materials Master'!$B$2:$B$27,MATCH($C519,'Materials Master'!$A$2:$A$27,0)),"")</f>
        <v>Liquids</v>
      </c>
      <c r="E519" s="0" t="str">
        <f aca="false">IFERROR(INDEX('Materials Master'!$C$2:$C$27,MATCH($C519,'Materials Master'!$A$2:$A$27,0)),"")</f>
        <v>Unacceptable</v>
      </c>
      <c r="F519" s="0" t="n">
        <f aca="false">(SUMIFS(Fact_PreSortWeights!$E$2:$E$15,Fact_PreSortWeights!$C$2:$C$15,$A519,Fact_PreSortWeights!$B$2:$B$15,$B519,Fact_PreSortWeights!$F$2:$F$15,$C519))+(SUMIFS(Fact_SortedWeights!$E$2:$E$6,Fact_SortedWeights!$C$2:$C$6,$A519,Fact_SortedWeights!$B$2:$B$6,$B519,Fact_SortedWeights!$D$2:$D$6,$C519,Fact_SortedWeights!$L$2:$L$6,"Yes"))+IF((SUMIFS(Fact_SortedWeights!$E$2:$E$6,Fact_SortedWeights!$C$2:$C$6,$A519,Fact_SortedWeights!$B$2:$B$6,$B519,Fact_SortedWeights!$L$2:$L$6,"No"))=0,0,(SUMIFS(Fact_SortedWeights!$E$2:$E$6,Fact_SortedWeights!$C$2:$C$6,$A519,Fact_SortedWeights!$B$2:$B$6,$B519,Fact_SortedWeights!$D$2:$D$6,$C519,Fact_SortedWeights!$L$2:$L$6,"No"))/(SUMIFS(Fact_SortedWeights!$E$2:$E$6,Fact_SortedWeights!$C$2:$C$6,$A519,Fact_SortedWeights!$B$2:$B$6,$B519,Fact_SortedWeights!$L$2:$L$6,"No"))*((SUMIFS(Fact_PreSortWeights!$E$2:$E$15,Fact_PreSortWeights!$C$2:$C$15,$A519,Fact_PreSortWeights!$B$2:$B$15,$B519,Fact_PreSortWeights!$F$2:$F$15,""))-(SUMIFS(Fact_SortedWeights!$E$2:$E$6,Fact_SortedWeights!$C$2:$C$6,$A519,Fact_SortedWeights!$B$2:$B$6,$B519,Fact_SortedWeights!$L$2:$L$6,"Yes"))))</f>
        <v>0</v>
      </c>
      <c r="G519" s="0" t="n">
        <f aca="false">IF(AND(IF($B519="Trash",INDEX('Materials Master'!$F$2:$F$27,MATCH($C519,'Materials Master'!$A$2:$A$27,0)),IF($B519="GMPC Recycling",INDEX('Materials Master'!$G$2:$G$27,MATCH($C519,'Materials Master'!$A$2:$A$27,0)),IF($B519="Organics Recycling",INDEX('Materials Master'!$H$2:$H$27,MATCH($C519,'Materials Master'!$A$2:$A$27,0)),IF($B519="Cardboard Recycling",INDEX('Materials Master'!$I$2:$I$27,MATCH($C519,'Materials Master'!$A$2:$A$27,0)),IF($B519="Paper Recycling",INDEX('Materials Master'!$J$2:$J$27,MATCH($C519,'Materials Master'!$A$2:$A$27,0)),IF($B519="Terracycle",INDEX('Materials Master'!$K$2:$K$27,MATCH($C519,'Materials Master'!$A$2:$A$27,0)),"No"))))))="Yes",INDEX('Materials Master'!$E$2:$E$27,MATCH($C519,'Materials Master'!$A$2:$A$27,0))="Yes",$B519&lt;&gt;"Trash"),1,0)</f>
        <v>0</v>
      </c>
      <c r="H519" s="0" t="str">
        <f aca="false">INDEX('Materials Master'!$E$2:$E$27,MATCH($C519,'Materials Master'!$A$2:$A$27,0))</f>
        <v>No</v>
      </c>
      <c r="I519" s="0" t="str">
        <f aca="false">IFERROR(INDEX(Areas!$C$2:$C$6,MATCH($A519,Areas!$B$2:$B$6,0)),"")</f>
        <v>Rest of Building</v>
      </c>
      <c r="J519" s="0" t="n">
        <f aca="false">IF(IF($B519="Trash",INDEX('Materials Master'!$F$2:$F$27,MATCH($C519,'Materials Master'!$A$2:$A$27,0)),IF($B519="GMPC Recycling",INDEX('Materials Master'!$G$2:$G$27,MATCH($C519,'Materials Master'!$A$2:$A$27,0)),IF($B519="Organics Recycling",INDEX('Materials Master'!$H$2:$H$27,MATCH($C519,'Materials Master'!$A$2:$A$27,0)),IF($B519="Cardboard Recycling",INDEX('Materials Master'!$I$2:$I$27,MATCH($C519,'Materials Master'!$A$2:$A$27,0)),IF($B519="Paper Recycling",INDEX('Materials Master'!$J$2:$J$27,MATCH($C519,'Materials Master'!$A$2:$A$27,0)),IF($B519="Terracycle",INDEX('Materials Master'!$K$2:$K$27,MATCH($C519,'Materials Master'!$A$2:$A$27,0)),"No"))))))="Yes",1,0)</f>
        <v>0</v>
      </c>
    </row>
    <row r="520" customFormat="false" ht="15" hidden="false" customHeight="false" outlineLevel="0" collapsed="false">
      <c r="A520" s="0" t="s">
        <v>99</v>
      </c>
      <c r="B520" s="0" t="s">
        <v>104</v>
      </c>
      <c r="C520" s="0" t="s">
        <v>82</v>
      </c>
      <c r="D520" s="0" t="str">
        <f aca="false">IFERROR(INDEX('Materials Master'!$B$2:$B$27,MATCH($C520,'Materials Master'!$A$2:$A$27,0)),"")</f>
        <v>Snack Wrappers (Composites)</v>
      </c>
      <c r="E520" s="0" t="str">
        <f aca="false">IFERROR(INDEX('Materials Master'!$C$2:$C$27,MATCH($C520,'Materials Master'!$A$2:$A$27,0)),"")</f>
        <v>Other</v>
      </c>
      <c r="F520" s="0" t="n">
        <f aca="false">(SUMIFS(Fact_PreSortWeights!$E$2:$E$15,Fact_PreSortWeights!$C$2:$C$15,$A520,Fact_PreSortWeights!$B$2:$B$15,$B520,Fact_PreSortWeights!$F$2:$F$15,$C520))+(SUMIFS(Fact_SortedWeights!$E$2:$E$6,Fact_SortedWeights!$C$2:$C$6,$A520,Fact_SortedWeights!$B$2:$B$6,$B520,Fact_SortedWeights!$D$2:$D$6,$C520,Fact_SortedWeights!$L$2:$L$6,"Yes"))+IF((SUMIFS(Fact_SortedWeights!$E$2:$E$6,Fact_SortedWeights!$C$2:$C$6,$A520,Fact_SortedWeights!$B$2:$B$6,$B520,Fact_SortedWeights!$L$2:$L$6,"No"))=0,0,(SUMIFS(Fact_SortedWeights!$E$2:$E$6,Fact_SortedWeights!$C$2:$C$6,$A520,Fact_SortedWeights!$B$2:$B$6,$B520,Fact_SortedWeights!$D$2:$D$6,$C520,Fact_SortedWeights!$L$2:$L$6,"No"))/(SUMIFS(Fact_SortedWeights!$E$2:$E$6,Fact_SortedWeights!$C$2:$C$6,$A520,Fact_SortedWeights!$B$2:$B$6,$B520,Fact_SortedWeights!$L$2:$L$6,"No"))*((SUMIFS(Fact_PreSortWeights!$E$2:$E$15,Fact_PreSortWeights!$C$2:$C$15,$A520,Fact_PreSortWeights!$B$2:$B$15,$B520,Fact_PreSortWeights!$F$2:$F$15,""))-(SUMIFS(Fact_SortedWeights!$E$2:$E$6,Fact_SortedWeights!$C$2:$C$6,$A520,Fact_SortedWeights!$B$2:$B$6,$B520,Fact_SortedWeights!$L$2:$L$6,"Yes"))))</f>
        <v>0</v>
      </c>
      <c r="G520" s="0" t="n">
        <f aca="false">IF(AND(IF($B520="Trash",INDEX('Materials Master'!$F$2:$F$27,MATCH($C520,'Materials Master'!$A$2:$A$27,0)),IF($B520="GMPC Recycling",INDEX('Materials Master'!$G$2:$G$27,MATCH($C520,'Materials Master'!$A$2:$A$27,0)),IF($B520="Organics Recycling",INDEX('Materials Master'!$H$2:$H$27,MATCH($C520,'Materials Master'!$A$2:$A$27,0)),IF($B520="Cardboard Recycling",INDEX('Materials Master'!$I$2:$I$27,MATCH($C520,'Materials Master'!$A$2:$A$27,0)),IF($B520="Paper Recycling",INDEX('Materials Master'!$J$2:$J$27,MATCH($C520,'Materials Master'!$A$2:$A$27,0)),IF($B520="Terracycle",INDEX('Materials Master'!$K$2:$K$27,MATCH($C520,'Materials Master'!$A$2:$A$27,0)),"No"))))))="Yes",INDEX('Materials Master'!$E$2:$E$27,MATCH($C520,'Materials Master'!$A$2:$A$27,0))="Yes",$B520&lt;&gt;"Trash"),1,0)</f>
        <v>0</v>
      </c>
      <c r="H520" s="0" t="str">
        <f aca="false">INDEX('Materials Master'!$E$2:$E$27,MATCH($C520,'Materials Master'!$A$2:$A$27,0))</f>
        <v>Yes</v>
      </c>
      <c r="I520" s="0" t="str">
        <f aca="false">IFERROR(INDEX(Areas!$C$2:$C$6,MATCH($A520,Areas!$B$2:$B$6,0)),"")</f>
        <v>Rest of Building</v>
      </c>
      <c r="J520" s="0" t="n">
        <f aca="false">IF(IF($B520="Trash",INDEX('Materials Master'!$F$2:$F$27,MATCH($C520,'Materials Master'!$A$2:$A$27,0)),IF($B520="GMPC Recycling",INDEX('Materials Master'!$G$2:$G$27,MATCH($C520,'Materials Master'!$A$2:$A$27,0)),IF($B520="Organics Recycling",INDEX('Materials Master'!$H$2:$H$27,MATCH($C520,'Materials Master'!$A$2:$A$27,0)),IF($B520="Cardboard Recycling",INDEX('Materials Master'!$I$2:$I$27,MATCH($C520,'Materials Master'!$A$2:$A$27,0)),IF($B520="Paper Recycling",INDEX('Materials Master'!$J$2:$J$27,MATCH($C520,'Materials Master'!$A$2:$A$27,0)),IF($B520="Terracycle",INDEX('Materials Master'!$K$2:$K$27,MATCH($C520,'Materials Master'!$A$2:$A$27,0)),"No"))))))="Yes",1,0)</f>
        <v>0</v>
      </c>
    </row>
    <row r="521" customFormat="false" ht="15" hidden="false" customHeight="false" outlineLevel="0" collapsed="false">
      <c r="A521" s="0" t="s">
        <v>99</v>
      </c>
      <c r="B521" s="0" t="s">
        <v>104</v>
      </c>
      <c r="C521" s="0" t="s">
        <v>85</v>
      </c>
      <c r="D521" s="0" t="str">
        <f aca="false">IFERROR(INDEX('Materials Master'!$B$2:$B$27,MATCH($C521,'Materials Master'!$A$2:$A$27,0)),"")</f>
        <v>Other/Residual Materials</v>
      </c>
      <c r="E521" s="0" t="str">
        <f aca="false">IFERROR(INDEX('Materials Master'!$C$2:$C$27,MATCH($C521,'Materials Master'!$A$2:$A$27,0)),"")</f>
        <v>Other</v>
      </c>
      <c r="F521" s="0" t="n">
        <f aca="false">(SUMIFS(Fact_PreSortWeights!$E$2:$E$15,Fact_PreSortWeights!$C$2:$C$15,$A521,Fact_PreSortWeights!$B$2:$B$15,$B521,Fact_PreSortWeights!$F$2:$F$15,$C521))+(SUMIFS(Fact_SortedWeights!$E$2:$E$6,Fact_SortedWeights!$C$2:$C$6,$A521,Fact_SortedWeights!$B$2:$B$6,$B521,Fact_SortedWeights!$D$2:$D$6,$C521,Fact_SortedWeights!$L$2:$L$6,"Yes"))+IF((SUMIFS(Fact_SortedWeights!$E$2:$E$6,Fact_SortedWeights!$C$2:$C$6,$A521,Fact_SortedWeights!$B$2:$B$6,$B521,Fact_SortedWeights!$L$2:$L$6,"No"))=0,0,(SUMIFS(Fact_SortedWeights!$E$2:$E$6,Fact_SortedWeights!$C$2:$C$6,$A521,Fact_SortedWeights!$B$2:$B$6,$B521,Fact_SortedWeights!$D$2:$D$6,$C521,Fact_SortedWeights!$L$2:$L$6,"No"))/(SUMIFS(Fact_SortedWeights!$E$2:$E$6,Fact_SortedWeights!$C$2:$C$6,$A521,Fact_SortedWeights!$B$2:$B$6,$B521,Fact_SortedWeights!$L$2:$L$6,"No"))*((SUMIFS(Fact_PreSortWeights!$E$2:$E$15,Fact_PreSortWeights!$C$2:$C$15,$A521,Fact_PreSortWeights!$B$2:$B$15,$B521,Fact_PreSortWeights!$F$2:$F$15,""))-(SUMIFS(Fact_SortedWeights!$E$2:$E$6,Fact_SortedWeights!$C$2:$C$6,$A521,Fact_SortedWeights!$B$2:$B$6,$B521,Fact_SortedWeights!$L$2:$L$6,"Yes"))))</f>
        <v>0</v>
      </c>
      <c r="G521" s="0" t="n">
        <f aca="false">IF(AND(IF($B521="Trash",INDEX('Materials Master'!$F$2:$F$27,MATCH($C521,'Materials Master'!$A$2:$A$27,0)),IF($B521="GMPC Recycling",INDEX('Materials Master'!$G$2:$G$27,MATCH($C521,'Materials Master'!$A$2:$A$27,0)),IF($B521="Organics Recycling",INDEX('Materials Master'!$H$2:$H$27,MATCH($C521,'Materials Master'!$A$2:$A$27,0)),IF($B521="Cardboard Recycling",INDEX('Materials Master'!$I$2:$I$27,MATCH($C521,'Materials Master'!$A$2:$A$27,0)),IF($B521="Paper Recycling",INDEX('Materials Master'!$J$2:$J$27,MATCH($C521,'Materials Master'!$A$2:$A$27,0)),IF($B521="Terracycle",INDEX('Materials Master'!$K$2:$K$27,MATCH($C521,'Materials Master'!$A$2:$A$27,0)),"No"))))))="Yes",INDEX('Materials Master'!$E$2:$E$27,MATCH($C521,'Materials Master'!$A$2:$A$27,0))="Yes",$B521&lt;&gt;"Trash"),1,0)</f>
        <v>0</v>
      </c>
      <c r="H521" s="0" t="str">
        <f aca="false">INDEX('Materials Master'!$E$2:$E$27,MATCH($C521,'Materials Master'!$A$2:$A$27,0))</f>
        <v>No</v>
      </c>
      <c r="I521" s="0" t="str">
        <f aca="false">IFERROR(INDEX(Areas!$C$2:$C$6,MATCH($A521,Areas!$B$2:$B$6,0)),"")</f>
        <v>Rest of Building</v>
      </c>
      <c r="J521" s="0" t="n">
        <f aca="false">IF(IF($B521="Trash",INDEX('Materials Master'!$F$2:$F$27,MATCH($C521,'Materials Master'!$A$2:$A$27,0)),IF($B521="GMPC Recycling",INDEX('Materials Master'!$G$2:$G$27,MATCH($C521,'Materials Master'!$A$2:$A$27,0)),IF($B521="Organics Recycling",INDEX('Materials Master'!$H$2:$H$27,MATCH($C521,'Materials Master'!$A$2:$A$27,0)),IF($B521="Cardboard Recycling",INDEX('Materials Master'!$I$2:$I$27,MATCH($C521,'Materials Master'!$A$2:$A$27,0)),IF($B521="Paper Recycling",INDEX('Materials Master'!$J$2:$J$27,MATCH($C521,'Materials Master'!$A$2:$A$27,0)),IF($B521="Terracycle",INDEX('Materials Master'!$K$2:$K$27,MATCH($C521,'Materials Master'!$A$2:$A$27,0)),"No"))))))="Yes",1,0)</f>
        <v>0</v>
      </c>
    </row>
    <row r="522" customFormat="false" ht="15" hidden="false" customHeight="false" outlineLevel="0" collapsed="false">
      <c r="A522" s="0" t="s">
        <v>99</v>
      </c>
      <c r="B522" s="0" t="s">
        <v>105</v>
      </c>
      <c r="C522" s="0" t="s">
        <v>26</v>
      </c>
      <c r="D522" s="0" t="str">
        <f aca="false">IFERROR(INDEX('Materials Master'!$B$2:$B$27,MATCH($C522,'Materials Master'!$A$2:$A$27,0)),"")</f>
        <v>Corrugated Cardboard</v>
      </c>
      <c r="E522" s="0" t="str">
        <f aca="false">IFERROR(INDEX('Materials Master'!$C$2:$C$27,MATCH($C522,'Materials Master'!$A$2:$A$27,0)),"")</f>
        <v>Fibers</v>
      </c>
      <c r="F522" s="0" t="n">
        <f aca="false">(SUMIFS(Fact_PreSortWeights!$E$2:$E$15,Fact_PreSortWeights!$C$2:$C$15,$A522,Fact_PreSortWeights!$B$2:$B$15,$B522,Fact_PreSortWeights!$F$2:$F$15,$C522))+(SUMIFS(Fact_SortedWeights!$E$2:$E$6,Fact_SortedWeights!$C$2:$C$6,$A522,Fact_SortedWeights!$B$2:$B$6,$B522,Fact_SortedWeights!$D$2:$D$6,$C522,Fact_SortedWeights!$L$2:$L$6,"Yes"))+IF((SUMIFS(Fact_SortedWeights!$E$2:$E$6,Fact_SortedWeights!$C$2:$C$6,$A522,Fact_SortedWeights!$B$2:$B$6,$B522,Fact_SortedWeights!$L$2:$L$6,"No"))=0,0,(SUMIFS(Fact_SortedWeights!$E$2:$E$6,Fact_SortedWeights!$C$2:$C$6,$A522,Fact_SortedWeights!$B$2:$B$6,$B522,Fact_SortedWeights!$D$2:$D$6,$C522,Fact_SortedWeights!$L$2:$L$6,"No"))/(SUMIFS(Fact_SortedWeights!$E$2:$E$6,Fact_SortedWeights!$C$2:$C$6,$A522,Fact_SortedWeights!$B$2:$B$6,$B522,Fact_SortedWeights!$L$2:$L$6,"No"))*((SUMIFS(Fact_PreSortWeights!$E$2:$E$15,Fact_PreSortWeights!$C$2:$C$15,$A522,Fact_PreSortWeights!$B$2:$B$15,$B522,Fact_PreSortWeights!$F$2:$F$15,""))-(SUMIFS(Fact_SortedWeights!$E$2:$E$6,Fact_SortedWeights!$C$2:$C$6,$A522,Fact_SortedWeights!$B$2:$B$6,$B522,Fact_SortedWeights!$L$2:$L$6,"Yes"))))</f>
        <v>0</v>
      </c>
      <c r="G522" s="0" t="n">
        <f aca="false">IF(AND(IF($B522="Trash",INDEX('Materials Master'!$F$2:$F$27,MATCH($C522,'Materials Master'!$A$2:$A$27,0)),IF($B522="GMPC Recycling",INDEX('Materials Master'!$G$2:$G$27,MATCH($C522,'Materials Master'!$A$2:$A$27,0)),IF($B522="Organics Recycling",INDEX('Materials Master'!$H$2:$H$27,MATCH($C522,'Materials Master'!$A$2:$A$27,0)),IF($B522="Cardboard Recycling",INDEX('Materials Master'!$I$2:$I$27,MATCH($C522,'Materials Master'!$A$2:$A$27,0)),IF($B522="Paper Recycling",INDEX('Materials Master'!$J$2:$J$27,MATCH($C522,'Materials Master'!$A$2:$A$27,0)),IF($B522="Terracycle",INDEX('Materials Master'!$K$2:$K$27,MATCH($C522,'Materials Master'!$A$2:$A$27,0)),"No"))))))="Yes",INDEX('Materials Master'!$E$2:$E$27,MATCH($C522,'Materials Master'!$A$2:$A$27,0))="Yes",$B522&lt;&gt;"Trash"),1,0)</f>
        <v>0</v>
      </c>
      <c r="H522" s="0" t="str">
        <f aca="false">INDEX('Materials Master'!$E$2:$E$27,MATCH($C522,'Materials Master'!$A$2:$A$27,0))</f>
        <v>Yes</v>
      </c>
      <c r="I522" s="0" t="str">
        <f aca="false">IFERROR(INDEX(Areas!$C$2:$C$6,MATCH($A522,Areas!$B$2:$B$6,0)),"")</f>
        <v>Rest of Building</v>
      </c>
      <c r="J522" s="0" t="n">
        <f aca="false">IF(IF($B522="Trash",INDEX('Materials Master'!$F$2:$F$27,MATCH($C522,'Materials Master'!$A$2:$A$27,0)),IF($B522="GMPC Recycling",INDEX('Materials Master'!$G$2:$G$27,MATCH($C522,'Materials Master'!$A$2:$A$27,0)),IF($B522="Organics Recycling",INDEX('Materials Master'!$H$2:$H$27,MATCH($C522,'Materials Master'!$A$2:$A$27,0)),IF($B522="Cardboard Recycling",INDEX('Materials Master'!$I$2:$I$27,MATCH($C522,'Materials Master'!$A$2:$A$27,0)),IF($B522="Paper Recycling",INDEX('Materials Master'!$J$2:$J$27,MATCH($C522,'Materials Master'!$A$2:$A$27,0)),IF($B522="Terracycle",INDEX('Materials Master'!$K$2:$K$27,MATCH($C522,'Materials Master'!$A$2:$A$27,0)),"No"))))))="Yes",1,0)</f>
        <v>0</v>
      </c>
    </row>
    <row r="523" customFormat="false" ht="15" hidden="false" customHeight="false" outlineLevel="0" collapsed="false">
      <c r="A523" s="0" t="s">
        <v>99</v>
      </c>
      <c r="B523" s="0" t="s">
        <v>105</v>
      </c>
      <c r="C523" s="0" t="s">
        <v>31</v>
      </c>
      <c r="D523" s="0" t="str">
        <f aca="false">IFERROR(INDEX('Materials Master'!$B$2:$B$27,MATCH($C523,'Materials Master'!$A$2:$A$27,0)),"")</f>
        <v>Soiled Cardboard</v>
      </c>
      <c r="E523" s="0" t="str">
        <f aca="false">IFERROR(INDEX('Materials Master'!$C$2:$C$27,MATCH($C523,'Materials Master'!$A$2:$A$27,0)),"")</f>
        <v>Fibers</v>
      </c>
      <c r="F523" s="0" t="n">
        <f aca="false">(SUMIFS(Fact_PreSortWeights!$E$2:$E$15,Fact_PreSortWeights!$C$2:$C$15,$A523,Fact_PreSortWeights!$B$2:$B$15,$B523,Fact_PreSortWeights!$F$2:$F$15,$C523))+(SUMIFS(Fact_SortedWeights!$E$2:$E$6,Fact_SortedWeights!$C$2:$C$6,$A523,Fact_SortedWeights!$B$2:$B$6,$B523,Fact_SortedWeights!$D$2:$D$6,$C523,Fact_SortedWeights!$L$2:$L$6,"Yes"))+IF((SUMIFS(Fact_SortedWeights!$E$2:$E$6,Fact_SortedWeights!$C$2:$C$6,$A523,Fact_SortedWeights!$B$2:$B$6,$B523,Fact_SortedWeights!$L$2:$L$6,"No"))=0,0,(SUMIFS(Fact_SortedWeights!$E$2:$E$6,Fact_SortedWeights!$C$2:$C$6,$A523,Fact_SortedWeights!$B$2:$B$6,$B523,Fact_SortedWeights!$D$2:$D$6,$C523,Fact_SortedWeights!$L$2:$L$6,"No"))/(SUMIFS(Fact_SortedWeights!$E$2:$E$6,Fact_SortedWeights!$C$2:$C$6,$A523,Fact_SortedWeights!$B$2:$B$6,$B523,Fact_SortedWeights!$L$2:$L$6,"No"))*((SUMIFS(Fact_PreSortWeights!$E$2:$E$15,Fact_PreSortWeights!$C$2:$C$15,$A523,Fact_PreSortWeights!$B$2:$B$15,$B523,Fact_PreSortWeights!$F$2:$F$15,""))-(SUMIFS(Fact_SortedWeights!$E$2:$E$6,Fact_SortedWeights!$C$2:$C$6,$A523,Fact_SortedWeights!$B$2:$B$6,$B523,Fact_SortedWeights!$L$2:$L$6,"Yes"))))</f>
        <v>0</v>
      </c>
      <c r="G523" s="0" t="n">
        <f aca="false">IF(AND(IF($B523="Trash",INDEX('Materials Master'!$F$2:$F$27,MATCH($C523,'Materials Master'!$A$2:$A$27,0)),IF($B523="GMPC Recycling",INDEX('Materials Master'!$G$2:$G$27,MATCH($C523,'Materials Master'!$A$2:$A$27,0)),IF($B523="Organics Recycling",INDEX('Materials Master'!$H$2:$H$27,MATCH($C523,'Materials Master'!$A$2:$A$27,0)),IF($B523="Cardboard Recycling",INDEX('Materials Master'!$I$2:$I$27,MATCH($C523,'Materials Master'!$A$2:$A$27,0)),IF($B523="Paper Recycling",INDEX('Materials Master'!$J$2:$J$27,MATCH($C523,'Materials Master'!$A$2:$A$27,0)),IF($B523="Terracycle",INDEX('Materials Master'!$K$2:$K$27,MATCH($C523,'Materials Master'!$A$2:$A$27,0)),"No"))))))="Yes",INDEX('Materials Master'!$E$2:$E$27,MATCH($C523,'Materials Master'!$A$2:$A$27,0))="Yes",$B523&lt;&gt;"Trash"),1,0)</f>
        <v>0</v>
      </c>
      <c r="H523" s="0" t="str">
        <f aca="false">INDEX('Materials Master'!$E$2:$E$27,MATCH($C523,'Materials Master'!$A$2:$A$27,0))</f>
        <v>No</v>
      </c>
      <c r="I523" s="0" t="str">
        <f aca="false">IFERROR(INDEX(Areas!$C$2:$C$6,MATCH($A523,Areas!$B$2:$B$6,0)),"")</f>
        <v>Rest of Building</v>
      </c>
      <c r="J523" s="0" t="n">
        <f aca="false">IF(IF($B523="Trash",INDEX('Materials Master'!$F$2:$F$27,MATCH($C523,'Materials Master'!$A$2:$A$27,0)),IF($B523="GMPC Recycling",INDEX('Materials Master'!$G$2:$G$27,MATCH($C523,'Materials Master'!$A$2:$A$27,0)),IF($B523="Organics Recycling",INDEX('Materials Master'!$H$2:$H$27,MATCH($C523,'Materials Master'!$A$2:$A$27,0)),IF($B523="Cardboard Recycling",INDEX('Materials Master'!$I$2:$I$27,MATCH($C523,'Materials Master'!$A$2:$A$27,0)),IF($B523="Paper Recycling",INDEX('Materials Master'!$J$2:$J$27,MATCH($C523,'Materials Master'!$A$2:$A$27,0)),IF($B523="Terracycle",INDEX('Materials Master'!$K$2:$K$27,MATCH($C523,'Materials Master'!$A$2:$A$27,0)),"No"))))))="Yes",1,0)</f>
        <v>0</v>
      </c>
    </row>
    <row r="524" customFormat="false" ht="15" hidden="false" customHeight="false" outlineLevel="0" collapsed="false">
      <c r="A524" s="0" t="s">
        <v>99</v>
      </c>
      <c r="B524" s="0" t="s">
        <v>105</v>
      </c>
      <c r="C524" s="0" t="s">
        <v>33</v>
      </c>
      <c r="D524" s="0" t="str">
        <f aca="false">IFERROR(INDEX('Materials Master'!$B$2:$B$27,MATCH($C524,'Materials Master'!$A$2:$A$27,0)),"")</f>
        <v>Waxed Cardboard</v>
      </c>
      <c r="E524" s="0" t="str">
        <f aca="false">IFERROR(INDEX('Materials Master'!$C$2:$C$27,MATCH($C524,'Materials Master'!$A$2:$A$27,0)),"")</f>
        <v>Fibers</v>
      </c>
      <c r="F524" s="0" t="n">
        <f aca="false">(SUMIFS(Fact_PreSortWeights!$E$2:$E$15,Fact_PreSortWeights!$C$2:$C$15,$A524,Fact_PreSortWeights!$B$2:$B$15,$B524,Fact_PreSortWeights!$F$2:$F$15,$C524))+(SUMIFS(Fact_SortedWeights!$E$2:$E$6,Fact_SortedWeights!$C$2:$C$6,$A524,Fact_SortedWeights!$B$2:$B$6,$B524,Fact_SortedWeights!$D$2:$D$6,$C524,Fact_SortedWeights!$L$2:$L$6,"Yes"))+IF((SUMIFS(Fact_SortedWeights!$E$2:$E$6,Fact_SortedWeights!$C$2:$C$6,$A524,Fact_SortedWeights!$B$2:$B$6,$B524,Fact_SortedWeights!$L$2:$L$6,"No"))=0,0,(SUMIFS(Fact_SortedWeights!$E$2:$E$6,Fact_SortedWeights!$C$2:$C$6,$A524,Fact_SortedWeights!$B$2:$B$6,$B524,Fact_SortedWeights!$D$2:$D$6,$C524,Fact_SortedWeights!$L$2:$L$6,"No"))/(SUMIFS(Fact_SortedWeights!$E$2:$E$6,Fact_SortedWeights!$C$2:$C$6,$A524,Fact_SortedWeights!$B$2:$B$6,$B524,Fact_SortedWeights!$L$2:$L$6,"No"))*((SUMIFS(Fact_PreSortWeights!$E$2:$E$15,Fact_PreSortWeights!$C$2:$C$15,$A524,Fact_PreSortWeights!$B$2:$B$15,$B524,Fact_PreSortWeights!$F$2:$F$15,""))-(SUMIFS(Fact_SortedWeights!$E$2:$E$6,Fact_SortedWeights!$C$2:$C$6,$A524,Fact_SortedWeights!$B$2:$B$6,$B524,Fact_SortedWeights!$L$2:$L$6,"Yes"))))</f>
        <v>0</v>
      </c>
      <c r="G524" s="0" t="n">
        <f aca="false">IF(AND(IF($B524="Trash",INDEX('Materials Master'!$F$2:$F$27,MATCH($C524,'Materials Master'!$A$2:$A$27,0)),IF($B524="GMPC Recycling",INDEX('Materials Master'!$G$2:$G$27,MATCH($C524,'Materials Master'!$A$2:$A$27,0)),IF($B524="Organics Recycling",INDEX('Materials Master'!$H$2:$H$27,MATCH($C524,'Materials Master'!$A$2:$A$27,0)),IF($B524="Cardboard Recycling",INDEX('Materials Master'!$I$2:$I$27,MATCH($C524,'Materials Master'!$A$2:$A$27,0)),IF($B524="Paper Recycling",INDEX('Materials Master'!$J$2:$J$27,MATCH($C524,'Materials Master'!$A$2:$A$27,0)),IF($B524="Terracycle",INDEX('Materials Master'!$K$2:$K$27,MATCH($C524,'Materials Master'!$A$2:$A$27,0)),"No"))))))="Yes",INDEX('Materials Master'!$E$2:$E$27,MATCH($C524,'Materials Master'!$A$2:$A$27,0))="Yes",$B524&lt;&gt;"Trash"),1,0)</f>
        <v>0</v>
      </c>
      <c r="H524" s="0" t="str">
        <f aca="false">INDEX('Materials Master'!$E$2:$E$27,MATCH($C524,'Materials Master'!$A$2:$A$27,0))</f>
        <v>No</v>
      </c>
      <c r="I524" s="0" t="str">
        <f aca="false">IFERROR(INDEX(Areas!$C$2:$C$6,MATCH($A524,Areas!$B$2:$B$6,0)),"")</f>
        <v>Rest of Building</v>
      </c>
      <c r="J524" s="0" t="n">
        <f aca="false">IF(IF($B524="Trash",INDEX('Materials Master'!$F$2:$F$27,MATCH($C524,'Materials Master'!$A$2:$A$27,0)),IF($B524="GMPC Recycling",INDEX('Materials Master'!$G$2:$G$27,MATCH($C524,'Materials Master'!$A$2:$A$27,0)),IF($B524="Organics Recycling",INDEX('Materials Master'!$H$2:$H$27,MATCH($C524,'Materials Master'!$A$2:$A$27,0)),IF($B524="Cardboard Recycling",INDEX('Materials Master'!$I$2:$I$27,MATCH($C524,'Materials Master'!$A$2:$A$27,0)),IF($B524="Paper Recycling",INDEX('Materials Master'!$J$2:$J$27,MATCH($C524,'Materials Master'!$A$2:$A$27,0)),IF($B524="Terracycle",INDEX('Materials Master'!$K$2:$K$27,MATCH($C524,'Materials Master'!$A$2:$A$27,0)),"No"))))))="Yes",1,0)</f>
        <v>0</v>
      </c>
    </row>
    <row r="525" customFormat="false" ht="15" hidden="false" customHeight="false" outlineLevel="0" collapsed="false">
      <c r="A525" s="0" t="s">
        <v>99</v>
      </c>
      <c r="B525" s="0" t="s">
        <v>105</v>
      </c>
      <c r="C525" s="0" t="s">
        <v>35</v>
      </c>
      <c r="D525" s="0" t="str">
        <f aca="false">IFERROR(INDEX('Materials Master'!$B$2:$B$27,MATCH($C525,'Materials Master'!$A$2:$A$27,0)),"")</f>
        <v>Mixed Paper</v>
      </c>
      <c r="E525" s="0" t="str">
        <f aca="false">IFERROR(INDEX('Materials Master'!$C$2:$C$27,MATCH($C525,'Materials Master'!$A$2:$A$27,0)),"")</f>
        <v>Fibers</v>
      </c>
      <c r="F525" s="0" t="n">
        <f aca="false">(SUMIFS(Fact_PreSortWeights!$E$2:$E$15,Fact_PreSortWeights!$C$2:$C$15,$A525,Fact_PreSortWeights!$B$2:$B$15,$B525,Fact_PreSortWeights!$F$2:$F$15,$C525))+(SUMIFS(Fact_SortedWeights!$E$2:$E$6,Fact_SortedWeights!$C$2:$C$6,$A525,Fact_SortedWeights!$B$2:$B$6,$B525,Fact_SortedWeights!$D$2:$D$6,$C525,Fact_SortedWeights!$L$2:$L$6,"Yes"))+IF((SUMIFS(Fact_SortedWeights!$E$2:$E$6,Fact_SortedWeights!$C$2:$C$6,$A525,Fact_SortedWeights!$B$2:$B$6,$B525,Fact_SortedWeights!$L$2:$L$6,"No"))=0,0,(SUMIFS(Fact_SortedWeights!$E$2:$E$6,Fact_SortedWeights!$C$2:$C$6,$A525,Fact_SortedWeights!$B$2:$B$6,$B525,Fact_SortedWeights!$D$2:$D$6,$C525,Fact_SortedWeights!$L$2:$L$6,"No"))/(SUMIFS(Fact_SortedWeights!$E$2:$E$6,Fact_SortedWeights!$C$2:$C$6,$A525,Fact_SortedWeights!$B$2:$B$6,$B525,Fact_SortedWeights!$L$2:$L$6,"No"))*((SUMIFS(Fact_PreSortWeights!$E$2:$E$15,Fact_PreSortWeights!$C$2:$C$15,$A525,Fact_PreSortWeights!$B$2:$B$15,$B525,Fact_PreSortWeights!$F$2:$F$15,""))-(SUMIFS(Fact_SortedWeights!$E$2:$E$6,Fact_SortedWeights!$C$2:$C$6,$A525,Fact_SortedWeights!$B$2:$B$6,$B525,Fact_SortedWeights!$L$2:$L$6,"Yes"))))</f>
        <v>0</v>
      </c>
      <c r="G525" s="0" t="n">
        <f aca="false">IF(AND(IF($B525="Trash",INDEX('Materials Master'!$F$2:$F$27,MATCH($C525,'Materials Master'!$A$2:$A$27,0)),IF($B525="GMPC Recycling",INDEX('Materials Master'!$G$2:$G$27,MATCH($C525,'Materials Master'!$A$2:$A$27,0)),IF($B525="Organics Recycling",INDEX('Materials Master'!$H$2:$H$27,MATCH($C525,'Materials Master'!$A$2:$A$27,0)),IF($B525="Cardboard Recycling",INDEX('Materials Master'!$I$2:$I$27,MATCH($C525,'Materials Master'!$A$2:$A$27,0)),IF($B525="Paper Recycling",INDEX('Materials Master'!$J$2:$J$27,MATCH($C525,'Materials Master'!$A$2:$A$27,0)),IF($B525="Terracycle",INDEX('Materials Master'!$K$2:$K$27,MATCH($C525,'Materials Master'!$A$2:$A$27,0)),"No"))))))="Yes",INDEX('Materials Master'!$E$2:$E$27,MATCH($C525,'Materials Master'!$A$2:$A$27,0))="Yes",$B525&lt;&gt;"Trash"),1,0)</f>
        <v>1</v>
      </c>
      <c r="H525" s="0" t="str">
        <f aca="false">INDEX('Materials Master'!$E$2:$E$27,MATCH($C525,'Materials Master'!$A$2:$A$27,0))</f>
        <v>Yes</v>
      </c>
      <c r="I525" s="0" t="str">
        <f aca="false">IFERROR(INDEX(Areas!$C$2:$C$6,MATCH($A525,Areas!$B$2:$B$6,0)),"")</f>
        <v>Rest of Building</v>
      </c>
      <c r="J525" s="0" t="n">
        <f aca="false">IF(IF($B525="Trash",INDEX('Materials Master'!$F$2:$F$27,MATCH($C525,'Materials Master'!$A$2:$A$27,0)),IF($B525="GMPC Recycling",INDEX('Materials Master'!$G$2:$G$27,MATCH($C525,'Materials Master'!$A$2:$A$27,0)),IF($B525="Organics Recycling",INDEX('Materials Master'!$H$2:$H$27,MATCH($C525,'Materials Master'!$A$2:$A$27,0)),IF($B525="Cardboard Recycling",INDEX('Materials Master'!$I$2:$I$27,MATCH($C525,'Materials Master'!$A$2:$A$27,0)),IF($B525="Paper Recycling",INDEX('Materials Master'!$J$2:$J$27,MATCH($C525,'Materials Master'!$A$2:$A$27,0)),IF($B525="Terracycle",INDEX('Materials Master'!$K$2:$K$27,MATCH($C525,'Materials Master'!$A$2:$A$27,0)),"No"))))))="Yes",1,0)</f>
        <v>1</v>
      </c>
    </row>
    <row r="526" customFormat="false" ht="15" hidden="false" customHeight="false" outlineLevel="0" collapsed="false">
      <c r="A526" s="0" t="s">
        <v>99</v>
      </c>
      <c r="B526" s="0" t="s">
        <v>105</v>
      </c>
      <c r="C526" s="0" t="s">
        <v>37</v>
      </c>
      <c r="D526" s="0" t="str">
        <f aca="false">IFERROR(INDEX('Materials Master'!$B$2:$B$27,MATCH($C526,'Materials Master'!$A$2:$A$27,0)),"")</f>
        <v>Soiled Paper</v>
      </c>
      <c r="E526" s="0" t="str">
        <f aca="false">IFERROR(INDEX('Materials Master'!$C$2:$C$27,MATCH($C526,'Materials Master'!$A$2:$A$27,0)),"")</f>
        <v>Fibers</v>
      </c>
      <c r="F526" s="0" t="n">
        <f aca="false">(SUMIFS(Fact_PreSortWeights!$E$2:$E$15,Fact_PreSortWeights!$C$2:$C$15,$A526,Fact_PreSortWeights!$B$2:$B$15,$B526,Fact_PreSortWeights!$F$2:$F$15,$C526))+(SUMIFS(Fact_SortedWeights!$E$2:$E$6,Fact_SortedWeights!$C$2:$C$6,$A526,Fact_SortedWeights!$B$2:$B$6,$B526,Fact_SortedWeights!$D$2:$D$6,$C526,Fact_SortedWeights!$L$2:$L$6,"Yes"))+IF((SUMIFS(Fact_SortedWeights!$E$2:$E$6,Fact_SortedWeights!$C$2:$C$6,$A526,Fact_SortedWeights!$B$2:$B$6,$B526,Fact_SortedWeights!$L$2:$L$6,"No"))=0,0,(SUMIFS(Fact_SortedWeights!$E$2:$E$6,Fact_SortedWeights!$C$2:$C$6,$A526,Fact_SortedWeights!$B$2:$B$6,$B526,Fact_SortedWeights!$D$2:$D$6,$C526,Fact_SortedWeights!$L$2:$L$6,"No"))/(SUMIFS(Fact_SortedWeights!$E$2:$E$6,Fact_SortedWeights!$C$2:$C$6,$A526,Fact_SortedWeights!$B$2:$B$6,$B526,Fact_SortedWeights!$L$2:$L$6,"No"))*((SUMIFS(Fact_PreSortWeights!$E$2:$E$15,Fact_PreSortWeights!$C$2:$C$15,$A526,Fact_PreSortWeights!$B$2:$B$15,$B526,Fact_PreSortWeights!$F$2:$F$15,""))-(SUMIFS(Fact_SortedWeights!$E$2:$E$6,Fact_SortedWeights!$C$2:$C$6,$A526,Fact_SortedWeights!$B$2:$B$6,$B526,Fact_SortedWeights!$L$2:$L$6,"Yes"))))</f>
        <v>0</v>
      </c>
      <c r="G526" s="0" t="n">
        <f aca="false">IF(AND(IF($B526="Trash",INDEX('Materials Master'!$F$2:$F$27,MATCH($C526,'Materials Master'!$A$2:$A$27,0)),IF($B526="GMPC Recycling",INDEX('Materials Master'!$G$2:$G$27,MATCH($C526,'Materials Master'!$A$2:$A$27,0)),IF($B526="Organics Recycling",INDEX('Materials Master'!$H$2:$H$27,MATCH($C526,'Materials Master'!$A$2:$A$27,0)),IF($B526="Cardboard Recycling",INDEX('Materials Master'!$I$2:$I$27,MATCH($C526,'Materials Master'!$A$2:$A$27,0)),IF($B526="Paper Recycling",INDEX('Materials Master'!$J$2:$J$27,MATCH($C526,'Materials Master'!$A$2:$A$27,0)),IF($B526="Terracycle",INDEX('Materials Master'!$K$2:$K$27,MATCH($C526,'Materials Master'!$A$2:$A$27,0)),"No"))))))="Yes",INDEX('Materials Master'!$E$2:$E$27,MATCH($C526,'Materials Master'!$A$2:$A$27,0))="Yes",$B526&lt;&gt;"Trash"),1,0)</f>
        <v>0</v>
      </c>
      <c r="H526" s="0" t="str">
        <f aca="false">INDEX('Materials Master'!$E$2:$E$27,MATCH($C526,'Materials Master'!$A$2:$A$27,0))</f>
        <v>No</v>
      </c>
      <c r="I526" s="0" t="str">
        <f aca="false">IFERROR(INDEX(Areas!$C$2:$C$6,MATCH($A526,Areas!$B$2:$B$6,0)),"")</f>
        <v>Rest of Building</v>
      </c>
      <c r="J526" s="0" t="n">
        <f aca="false">IF(IF($B526="Trash",INDEX('Materials Master'!$F$2:$F$27,MATCH($C526,'Materials Master'!$A$2:$A$27,0)),IF($B526="GMPC Recycling",INDEX('Materials Master'!$G$2:$G$27,MATCH($C526,'Materials Master'!$A$2:$A$27,0)),IF($B526="Organics Recycling",INDEX('Materials Master'!$H$2:$H$27,MATCH($C526,'Materials Master'!$A$2:$A$27,0)),IF($B526="Cardboard Recycling",INDEX('Materials Master'!$I$2:$I$27,MATCH($C526,'Materials Master'!$A$2:$A$27,0)),IF($B526="Paper Recycling",INDEX('Materials Master'!$J$2:$J$27,MATCH($C526,'Materials Master'!$A$2:$A$27,0)),IF($B526="Terracycle",INDEX('Materials Master'!$K$2:$K$27,MATCH($C526,'Materials Master'!$A$2:$A$27,0)),"No"))))))="Yes",1,0)</f>
        <v>0</v>
      </c>
    </row>
    <row r="527" customFormat="false" ht="15" hidden="false" customHeight="false" outlineLevel="0" collapsed="false">
      <c r="A527" s="0" t="s">
        <v>99</v>
      </c>
      <c r="B527" s="0" t="s">
        <v>105</v>
      </c>
      <c r="C527" s="0" t="s">
        <v>39</v>
      </c>
      <c r="D527" s="0" t="str">
        <f aca="false">IFERROR(INDEX('Materials Master'!$B$2:$B$27,MATCH($C527,'Materials Master'!$A$2:$A$27,0)),"")</f>
        <v>Beverage Cartons</v>
      </c>
      <c r="E527" s="0" t="str">
        <f aca="false">IFERROR(INDEX('Materials Master'!$C$2:$C$27,MATCH($C527,'Materials Master'!$A$2:$A$27,0)),"")</f>
        <v>Fibers</v>
      </c>
      <c r="F527" s="0" t="n">
        <f aca="false">(SUMIFS(Fact_PreSortWeights!$E$2:$E$15,Fact_PreSortWeights!$C$2:$C$15,$A527,Fact_PreSortWeights!$B$2:$B$15,$B527,Fact_PreSortWeights!$F$2:$F$15,$C527))+(SUMIFS(Fact_SortedWeights!$E$2:$E$6,Fact_SortedWeights!$C$2:$C$6,$A527,Fact_SortedWeights!$B$2:$B$6,$B527,Fact_SortedWeights!$D$2:$D$6,$C527,Fact_SortedWeights!$L$2:$L$6,"Yes"))+IF((SUMIFS(Fact_SortedWeights!$E$2:$E$6,Fact_SortedWeights!$C$2:$C$6,$A527,Fact_SortedWeights!$B$2:$B$6,$B527,Fact_SortedWeights!$L$2:$L$6,"No"))=0,0,(SUMIFS(Fact_SortedWeights!$E$2:$E$6,Fact_SortedWeights!$C$2:$C$6,$A527,Fact_SortedWeights!$B$2:$B$6,$B527,Fact_SortedWeights!$D$2:$D$6,$C527,Fact_SortedWeights!$L$2:$L$6,"No"))/(SUMIFS(Fact_SortedWeights!$E$2:$E$6,Fact_SortedWeights!$C$2:$C$6,$A527,Fact_SortedWeights!$B$2:$B$6,$B527,Fact_SortedWeights!$L$2:$L$6,"No"))*((SUMIFS(Fact_PreSortWeights!$E$2:$E$15,Fact_PreSortWeights!$C$2:$C$15,$A527,Fact_PreSortWeights!$B$2:$B$15,$B527,Fact_PreSortWeights!$F$2:$F$15,""))-(SUMIFS(Fact_SortedWeights!$E$2:$E$6,Fact_SortedWeights!$C$2:$C$6,$A527,Fact_SortedWeights!$B$2:$B$6,$B527,Fact_SortedWeights!$L$2:$L$6,"Yes"))))</f>
        <v>0</v>
      </c>
      <c r="G527" s="0" t="n">
        <f aca="false">IF(AND(IF($B527="Trash",INDEX('Materials Master'!$F$2:$F$27,MATCH($C527,'Materials Master'!$A$2:$A$27,0)),IF($B527="GMPC Recycling",INDEX('Materials Master'!$G$2:$G$27,MATCH($C527,'Materials Master'!$A$2:$A$27,0)),IF($B527="Organics Recycling",INDEX('Materials Master'!$H$2:$H$27,MATCH($C527,'Materials Master'!$A$2:$A$27,0)),IF($B527="Cardboard Recycling",INDEX('Materials Master'!$I$2:$I$27,MATCH($C527,'Materials Master'!$A$2:$A$27,0)),IF($B527="Paper Recycling",INDEX('Materials Master'!$J$2:$J$27,MATCH($C527,'Materials Master'!$A$2:$A$27,0)),IF($B527="Terracycle",INDEX('Materials Master'!$K$2:$K$27,MATCH($C527,'Materials Master'!$A$2:$A$27,0)),"No"))))))="Yes",INDEX('Materials Master'!$E$2:$E$27,MATCH($C527,'Materials Master'!$A$2:$A$27,0))="Yes",$B527&lt;&gt;"Trash"),1,0)</f>
        <v>0</v>
      </c>
      <c r="H527" s="0" t="str">
        <f aca="false">INDEX('Materials Master'!$E$2:$E$27,MATCH($C527,'Materials Master'!$A$2:$A$27,0))</f>
        <v>Yes</v>
      </c>
      <c r="I527" s="0" t="str">
        <f aca="false">IFERROR(INDEX(Areas!$C$2:$C$6,MATCH($A527,Areas!$B$2:$B$6,0)),"")</f>
        <v>Rest of Building</v>
      </c>
      <c r="J527" s="0" t="n">
        <f aca="false">IF(IF($B527="Trash",INDEX('Materials Master'!$F$2:$F$27,MATCH($C527,'Materials Master'!$A$2:$A$27,0)),IF($B527="GMPC Recycling",INDEX('Materials Master'!$G$2:$G$27,MATCH($C527,'Materials Master'!$A$2:$A$27,0)),IF($B527="Organics Recycling",INDEX('Materials Master'!$H$2:$H$27,MATCH($C527,'Materials Master'!$A$2:$A$27,0)),IF($B527="Cardboard Recycling",INDEX('Materials Master'!$I$2:$I$27,MATCH($C527,'Materials Master'!$A$2:$A$27,0)),IF($B527="Paper Recycling",INDEX('Materials Master'!$J$2:$J$27,MATCH($C527,'Materials Master'!$A$2:$A$27,0)),IF($B527="Terracycle",INDEX('Materials Master'!$K$2:$K$27,MATCH($C527,'Materials Master'!$A$2:$A$27,0)),"No"))))))="Yes",1,0)</f>
        <v>0</v>
      </c>
    </row>
    <row r="528" customFormat="false" ht="15" hidden="false" customHeight="false" outlineLevel="0" collapsed="false">
      <c r="A528" s="0" t="s">
        <v>99</v>
      </c>
      <c r="B528" s="0" t="s">
        <v>105</v>
      </c>
      <c r="C528" s="0" t="s">
        <v>41</v>
      </c>
      <c r="D528" s="0" t="str">
        <f aca="false">IFERROR(INDEX('Materials Master'!$B$2:$B$27,MATCH($C528,'Materials Master'!$A$2:$A$27,0)),"")</f>
        <v>Soiled Beverage Cartons</v>
      </c>
      <c r="E528" s="0" t="str">
        <f aca="false">IFERROR(INDEX('Materials Master'!$C$2:$C$27,MATCH($C528,'Materials Master'!$A$2:$A$27,0)),"")</f>
        <v>Fibers</v>
      </c>
      <c r="F528" s="0" t="n">
        <f aca="false">(SUMIFS(Fact_PreSortWeights!$E$2:$E$15,Fact_PreSortWeights!$C$2:$C$15,$A528,Fact_PreSortWeights!$B$2:$B$15,$B528,Fact_PreSortWeights!$F$2:$F$15,$C528))+(SUMIFS(Fact_SortedWeights!$E$2:$E$6,Fact_SortedWeights!$C$2:$C$6,$A528,Fact_SortedWeights!$B$2:$B$6,$B528,Fact_SortedWeights!$D$2:$D$6,$C528,Fact_SortedWeights!$L$2:$L$6,"Yes"))+IF((SUMIFS(Fact_SortedWeights!$E$2:$E$6,Fact_SortedWeights!$C$2:$C$6,$A528,Fact_SortedWeights!$B$2:$B$6,$B528,Fact_SortedWeights!$L$2:$L$6,"No"))=0,0,(SUMIFS(Fact_SortedWeights!$E$2:$E$6,Fact_SortedWeights!$C$2:$C$6,$A528,Fact_SortedWeights!$B$2:$B$6,$B528,Fact_SortedWeights!$D$2:$D$6,$C528,Fact_SortedWeights!$L$2:$L$6,"No"))/(SUMIFS(Fact_SortedWeights!$E$2:$E$6,Fact_SortedWeights!$C$2:$C$6,$A528,Fact_SortedWeights!$B$2:$B$6,$B528,Fact_SortedWeights!$L$2:$L$6,"No"))*((SUMIFS(Fact_PreSortWeights!$E$2:$E$15,Fact_PreSortWeights!$C$2:$C$15,$A528,Fact_PreSortWeights!$B$2:$B$15,$B528,Fact_PreSortWeights!$F$2:$F$15,""))-(SUMIFS(Fact_SortedWeights!$E$2:$E$6,Fact_SortedWeights!$C$2:$C$6,$A528,Fact_SortedWeights!$B$2:$B$6,$B528,Fact_SortedWeights!$L$2:$L$6,"Yes"))))</f>
        <v>0</v>
      </c>
      <c r="G528" s="0" t="n">
        <f aca="false">IF(AND(IF($B528="Trash",INDEX('Materials Master'!$F$2:$F$27,MATCH($C528,'Materials Master'!$A$2:$A$27,0)),IF($B528="GMPC Recycling",INDEX('Materials Master'!$G$2:$G$27,MATCH($C528,'Materials Master'!$A$2:$A$27,0)),IF($B528="Organics Recycling",INDEX('Materials Master'!$H$2:$H$27,MATCH($C528,'Materials Master'!$A$2:$A$27,0)),IF($B528="Cardboard Recycling",INDEX('Materials Master'!$I$2:$I$27,MATCH($C528,'Materials Master'!$A$2:$A$27,0)),IF($B528="Paper Recycling",INDEX('Materials Master'!$J$2:$J$27,MATCH($C528,'Materials Master'!$A$2:$A$27,0)),IF($B528="Terracycle",INDEX('Materials Master'!$K$2:$K$27,MATCH($C528,'Materials Master'!$A$2:$A$27,0)),"No"))))))="Yes",INDEX('Materials Master'!$E$2:$E$27,MATCH($C528,'Materials Master'!$A$2:$A$27,0))="Yes",$B528&lt;&gt;"Trash"),1,0)</f>
        <v>0</v>
      </c>
      <c r="H528" s="0" t="str">
        <f aca="false">INDEX('Materials Master'!$E$2:$E$27,MATCH($C528,'Materials Master'!$A$2:$A$27,0))</f>
        <v>No</v>
      </c>
      <c r="I528" s="0" t="str">
        <f aca="false">IFERROR(INDEX(Areas!$C$2:$C$6,MATCH($A528,Areas!$B$2:$B$6,0)),"")</f>
        <v>Rest of Building</v>
      </c>
      <c r="J528" s="0" t="n">
        <f aca="false">IF(IF($B528="Trash",INDEX('Materials Master'!$F$2:$F$27,MATCH($C528,'Materials Master'!$A$2:$A$27,0)),IF($B528="GMPC Recycling",INDEX('Materials Master'!$G$2:$G$27,MATCH($C528,'Materials Master'!$A$2:$A$27,0)),IF($B528="Organics Recycling",INDEX('Materials Master'!$H$2:$H$27,MATCH($C528,'Materials Master'!$A$2:$A$27,0)),IF($B528="Cardboard Recycling",INDEX('Materials Master'!$I$2:$I$27,MATCH($C528,'Materials Master'!$A$2:$A$27,0)),IF($B528="Paper Recycling",INDEX('Materials Master'!$J$2:$J$27,MATCH($C528,'Materials Master'!$A$2:$A$27,0)),IF($B528="Terracycle",INDEX('Materials Master'!$K$2:$K$27,MATCH($C528,'Materials Master'!$A$2:$A$27,0)),"No"))))))="Yes",1,0)</f>
        <v>0</v>
      </c>
    </row>
    <row r="529" customFormat="false" ht="15" hidden="false" customHeight="false" outlineLevel="0" collapsed="false">
      <c r="A529" s="0" t="s">
        <v>99</v>
      </c>
      <c r="B529" s="0" t="s">
        <v>105</v>
      </c>
      <c r="C529" s="0" t="s">
        <v>43</v>
      </c>
      <c r="D529" s="0" t="str">
        <f aca="false">IFERROR(INDEX('Materials Master'!$B$2:$B$27,MATCH($C529,'Materials Master'!$A$2:$A$27,0)),"")</f>
        <v>Paper Cups / Other Coated Paper Containers</v>
      </c>
      <c r="E529" s="0" t="str">
        <f aca="false">IFERROR(INDEX('Materials Master'!$C$2:$C$27,MATCH($C529,'Materials Master'!$A$2:$A$27,0)),"")</f>
        <v>Fibers</v>
      </c>
      <c r="F529" s="0" t="n">
        <f aca="false">(SUMIFS(Fact_PreSortWeights!$E$2:$E$15,Fact_PreSortWeights!$C$2:$C$15,$A529,Fact_PreSortWeights!$B$2:$B$15,$B529,Fact_PreSortWeights!$F$2:$F$15,$C529))+(SUMIFS(Fact_SortedWeights!$E$2:$E$6,Fact_SortedWeights!$C$2:$C$6,$A529,Fact_SortedWeights!$B$2:$B$6,$B529,Fact_SortedWeights!$D$2:$D$6,$C529,Fact_SortedWeights!$L$2:$L$6,"Yes"))+IF((SUMIFS(Fact_SortedWeights!$E$2:$E$6,Fact_SortedWeights!$C$2:$C$6,$A529,Fact_SortedWeights!$B$2:$B$6,$B529,Fact_SortedWeights!$L$2:$L$6,"No"))=0,0,(SUMIFS(Fact_SortedWeights!$E$2:$E$6,Fact_SortedWeights!$C$2:$C$6,$A529,Fact_SortedWeights!$B$2:$B$6,$B529,Fact_SortedWeights!$D$2:$D$6,$C529,Fact_SortedWeights!$L$2:$L$6,"No"))/(SUMIFS(Fact_SortedWeights!$E$2:$E$6,Fact_SortedWeights!$C$2:$C$6,$A529,Fact_SortedWeights!$B$2:$B$6,$B529,Fact_SortedWeights!$L$2:$L$6,"No"))*((SUMIFS(Fact_PreSortWeights!$E$2:$E$15,Fact_PreSortWeights!$C$2:$C$15,$A529,Fact_PreSortWeights!$B$2:$B$15,$B529,Fact_PreSortWeights!$F$2:$F$15,""))-(SUMIFS(Fact_SortedWeights!$E$2:$E$6,Fact_SortedWeights!$C$2:$C$6,$A529,Fact_SortedWeights!$B$2:$B$6,$B529,Fact_SortedWeights!$L$2:$L$6,"Yes"))))</f>
        <v>0</v>
      </c>
      <c r="G529" s="0" t="n">
        <f aca="false">IF(AND(IF($B529="Trash",INDEX('Materials Master'!$F$2:$F$27,MATCH($C529,'Materials Master'!$A$2:$A$27,0)),IF($B529="GMPC Recycling",INDEX('Materials Master'!$G$2:$G$27,MATCH($C529,'Materials Master'!$A$2:$A$27,0)),IF($B529="Organics Recycling",INDEX('Materials Master'!$H$2:$H$27,MATCH($C529,'Materials Master'!$A$2:$A$27,0)),IF($B529="Cardboard Recycling",INDEX('Materials Master'!$I$2:$I$27,MATCH($C529,'Materials Master'!$A$2:$A$27,0)),IF($B529="Paper Recycling",INDEX('Materials Master'!$J$2:$J$27,MATCH($C529,'Materials Master'!$A$2:$A$27,0)),IF($B529="Terracycle",INDEX('Materials Master'!$K$2:$K$27,MATCH($C529,'Materials Master'!$A$2:$A$27,0)),"No"))))))="Yes",INDEX('Materials Master'!$E$2:$E$27,MATCH($C529,'Materials Master'!$A$2:$A$27,0))="Yes",$B529&lt;&gt;"Trash"),1,0)</f>
        <v>0</v>
      </c>
      <c r="H529" s="0" t="str">
        <f aca="false">INDEX('Materials Master'!$E$2:$E$27,MATCH($C529,'Materials Master'!$A$2:$A$27,0))</f>
        <v>No</v>
      </c>
      <c r="I529" s="0" t="str">
        <f aca="false">IFERROR(INDEX(Areas!$C$2:$C$6,MATCH($A529,Areas!$B$2:$B$6,0)),"")</f>
        <v>Rest of Building</v>
      </c>
      <c r="J529" s="0" t="n">
        <f aca="false">IF(IF($B529="Trash",INDEX('Materials Master'!$F$2:$F$27,MATCH($C529,'Materials Master'!$A$2:$A$27,0)),IF($B529="GMPC Recycling",INDEX('Materials Master'!$G$2:$G$27,MATCH($C529,'Materials Master'!$A$2:$A$27,0)),IF($B529="Organics Recycling",INDEX('Materials Master'!$H$2:$H$27,MATCH($C529,'Materials Master'!$A$2:$A$27,0)),IF($B529="Cardboard Recycling",INDEX('Materials Master'!$I$2:$I$27,MATCH($C529,'Materials Master'!$A$2:$A$27,0)),IF($B529="Paper Recycling",INDEX('Materials Master'!$J$2:$J$27,MATCH($C529,'Materials Master'!$A$2:$A$27,0)),IF($B529="Terracycle",INDEX('Materials Master'!$K$2:$K$27,MATCH($C529,'Materials Master'!$A$2:$A$27,0)),"No"))))))="Yes",1,0)</f>
        <v>0</v>
      </c>
    </row>
    <row r="530" customFormat="false" ht="15" hidden="false" customHeight="false" outlineLevel="0" collapsed="false">
      <c r="A530" s="0" t="s">
        <v>99</v>
      </c>
      <c r="B530" s="0" t="s">
        <v>105</v>
      </c>
      <c r="C530" s="0" t="s">
        <v>45</v>
      </c>
      <c r="D530" s="0" t="str">
        <f aca="false">IFERROR(INDEX('Materials Master'!$B$2:$B$27,MATCH($C530,'Materials Master'!$A$2:$A$27,0)),"")</f>
        <v>Glass Bottles &amp; Jars</v>
      </c>
      <c r="E530" s="0" t="str">
        <f aca="false">IFERROR(INDEX('Materials Master'!$C$2:$C$27,MATCH($C530,'Materials Master'!$A$2:$A$27,0)),"")</f>
        <v>Glass</v>
      </c>
      <c r="F530" s="0" t="n">
        <f aca="false">(SUMIFS(Fact_PreSortWeights!$E$2:$E$15,Fact_PreSortWeights!$C$2:$C$15,$A530,Fact_PreSortWeights!$B$2:$B$15,$B530,Fact_PreSortWeights!$F$2:$F$15,$C530))+(SUMIFS(Fact_SortedWeights!$E$2:$E$6,Fact_SortedWeights!$C$2:$C$6,$A530,Fact_SortedWeights!$B$2:$B$6,$B530,Fact_SortedWeights!$D$2:$D$6,$C530,Fact_SortedWeights!$L$2:$L$6,"Yes"))+IF((SUMIFS(Fact_SortedWeights!$E$2:$E$6,Fact_SortedWeights!$C$2:$C$6,$A530,Fact_SortedWeights!$B$2:$B$6,$B530,Fact_SortedWeights!$L$2:$L$6,"No"))=0,0,(SUMIFS(Fact_SortedWeights!$E$2:$E$6,Fact_SortedWeights!$C$2:$C$6,$A530,Fact_SortedWeights!$B$2:$B$6,$B530,Fact_SortedWeights!$D$2:$D$6,$C530,Fact_SortedWeights!$L$2:$L$6,"No"))/(SUMIFS(Fact_SortedWeights!$E$2:$E$6,Fact_SortedWeights!$C$2:$C$6,$A530,Fact_SortedWeights!$B$2:$B$6,$B530,Fact_SortedWeights!$L$2:$L$6,"No"))*((SUMIFS(Fact_PreSortWeights!$E$2:$E$15,Fact_PreSortWeights!$C$2:$C$15,$A530,Fact_PreSortWeights!$B$2:$B$15,$B530,Fact_PreSortWeights!$F$2:$F$15,""))-(SUMIFS(Fact_SortedWeights!$E$2:$E$6,Fact_SortedWeights!$C$2:$C$6,$A530,Fact_SortedWeights!$B$2:$B$6,$B530,Fact_SortedWeights!$L$2:$L$6,"Yes"))))</f>
        <v>0</v>
      </c>
      <c r="G530" s="0" t="n">
        <f aca="false">IF(AND(IF($B530="Trash",INDEX('Materials Master'!$F$2:$F$27,MATCH($C530,'Materials Master'!$A$2:$A$27,0)),IF($B530="GMPC Recycling",INDEX('Materials Master'!$G$2:$G$27,MATCH($C530,'Materials Master'!$A$2:$A$27,0)),IF($B530="Organics Recycling",INDEX('Materials Master'!$H$2:$H$27,MATCH($C530,'Materials Master'!$A$2:$A$27,0)),IF($B530="Cardboard Recycling",INDEX('Materials Master'!$I$2:$I$27,MATCH($C530,'Materials Master'!$A$2:$A$27,0)),IF($B530="Paper Recycling",INDEX('Materials Master'!$J$2:$J$27,MATCH($C530,'Materials Master'!$A$2:$A$27,0)),IF($B530="Terracycle",INDEX('Materials Master'!$K$2:$K$27,MATCH($C530,'Materials Master'!$A$2:$A$27,0)),"No"))))))="Yes",INDEX('Materials Master'!$E$2:$E$27,MATCH($C530,'Materials Master'!$A$2:$A$27,0))="Yes",$B530&lt;&gt;"Trash"),1,0)</f>
        <v>0</v>
      </c>
      <c r="H530" s="0" t="str">
        <f aca="false">INDEX('Materials Master'!$E$2:$E$27,MATCH($C530,'Materials Master'!$A$2:$A$27,0))</f>
        <v>Yes</v>
      </c>
      <c r="I530" s="0" t="str">
        <f aca="false">IFERROR(INDEX(Areas!$C$2:$C$6,MATCH($A530,Areas!$B$2:$B$6,0)),"")</f>
        <v>Rest of Building</v>
      </c>
      <c r="J530" s="0" t="n">
        <f aca="false">IF(IF($B530="Trash",INDEX('Materials Master'!$F$2:$F$27,MATCH($C530,'Materials Master'!$A$2:$A$27,0)),IF($B530="GMPC Recycling",INDEX('Materials Master'!$G$2:$G$27,MATCH($C530,'Materials Master'!$A$2:$A$27,0)),IF($B530="Organics Recycling",INDEX('Materials Master'!$H$2:$H$27,MATCH($C530,'Materials Master'!$A$2:$A$27,0)),IF($B530="Cardboard Recycling",INDEX('Materials Master'!$I$2:$I$27,MATCH($C530,'Materials Master'!$A$2:$A$27,0)),IF($B530="Paper Recycling",INDEX('Materials Master'!$J$2:$J$27,MATCH($C530,'Materials Master'!$A$2:$A$27,0)),IF($B530="Terracycle",INDEX('Materials Master'!$K$2:$K$27,MATCH($C530,'Materials Master'!$A$2:$A$27,0)),"No"))))))="Yes",1,0)</f>
        <v>0</v>
      </c>
    </row>
    <row r="531" customFormat="false" ht="15" hidden="false" customHeight="false" outlineLevel="0" collapsed="false">
      <c r="A531" s="0" t="s">
        <v>99</v>
      </c>
      <c r="B531" s="0" t="s">
        <v>105</v>
      </c>
      <c r="C531" s="0" t="s">
        <v>48</v>
      </c>
      <c r="D531" s="0" t="str">
        <f aca="false">IFERROR(INDEX('Materials Master'!$B$2:$B$27,MATCH($C531,'Materials Master'!$A$2:$A$27,0)),"")</f>
        <v>Soiled Glass</v>
      </c>
      <c r="E531" s="0" t="str">
        <f aca="false">IFERROR(INDEX('Materials Master'!$C$2:$C$27,MATCH($C531,'Materials Master'!$A$2:$A$27,0)),"")</f>
        <v>Glass</v>
      </c>
      <c r="F531" s="0" t="n">
        <f aca="false">(SUMIFS(Fact_PreSortWeights!$E$2:$E$15,Fact_PreSortWeights!$C$2:$C$15,$A531,Fact_PreSortWeights!$B$2:$B$15,$B531,Fact_PreSortWeights!$F$2:$F$15,$C531))+(SUMIFS(Fact_SortedWeights!$E$2:$E$6,Fact_SortedWeights!$C$2:$C$6,$A531,Fact_SortedWeights!$B$2:$B$6,$B531,Fact_SortedWeights!$D$2:$D$6,$C531,Fact_SortedWeights!$L$2:$L$6,"Yes"))+IF((SUMIFS(Fact_SortedWeights!$E$2:$E$6,Fact_SortedWeights!$C$2:$C$6,$A531,Fact_SortedWeights!$B$2:$B$6,$B531,Fact_SortedWeights!$L$2:$L$6,"No"))=0,0,(SUMIFS(Fact_SortedWeights!$E$2:$E$6,Fact_SortedWeights!$C$2:$C$6,$A531,Fact_SortedWeights!$B$2:$B$6,$B531,Fact_SortedWeights!$D$2:$D$6,$C531,Fact_SortedWeights!$L$2:$L$6,"No"))/(SUMIFS(Fact_SortedWeights!$E$2:$E$6,Fact_SortedWeights!$C$2:$C$6,$A531,Fact_SortedWeights!$B$2:$B$6,$B531,Fact_SortedWeights!$L$2:$L$6,"No"))*((SUMIFS(Fact_PreSortWeights!$E$2:$E$15,Fact_PreSortWeights!$C$2:$C$15,$A531,Fact_PreSortWeights!$B$2:$B$15,$B531,Fact_PreSortWeights!$F$2:$F$15,""))-(SUMIFS(Fact_SortedWeights!$E$2:$E$6,Fact_SortedWeights!$C$2:$C$6,$A531,Fact_SortedWeights!$B$2:$B$6,$B531,Fact_SortedWeights!$L$2:$L$6,"Yes"))))</f>
        <v>0</v>
      </c>
      <c r="G531" s="0" t="n">
        <f aca="false">IF(AND(IF($B531="Trash",INDEX('Materials Master'!$F$2:$F$27,MATCH($C531,'Materials Master'!$A$2:$A$27,0)),IF($B531="GMPC Recycling",INDEX('Materials Master'!$G$2:$G$27,MATCH($C531,'Materials Master'!$A$2:$A$27,0)),IF($B531="Organics Recycling",INDEX('Materials Master'!$H$2:$H$27,MATCH($C531,'Materials Master'!$A$2:$A$27,0)),IF($B531="Cardboard Recycling",INDEX('Materials Master'!$I$2:$I$27,MATCH($C531,'Materials Master'!$A$2:$A$27,0)),IF($B531="Paper Recycling",INDEX('Materials Master'!$J$2:$J$27,MATCH($C531,'Materials Master'!$A$2:$A$27,0)),IF($B531="Terracycle",INDEX('Materials Master'!$K$2:$K$27,MATCH($C531,'Materials Master'!$A$2:$A$27,0)),"No"))))))="Yes",INDEX('Materials Master'!$E$2:$E$27,MATCH($C531,'Materials Master'!$A$2:$A$27,0))="Yes",$B531&lt;&gt;"Trash"),1,0)</f>
        <v>0</v>
      </c>
      <c r="H531" s="0" t="str">
        <f aca="false">INDEX('Materials Master'!$E$2:$E$27,MATCH($C531,'Materials Master'!$A$2:$A$27,0))</f>
        <v>No</v>
      </c>
      <c r="I531" s="0" t="str">
        <f aca="false">IFERROR(INDEX(Areas!$C$2:$C$6,MATCH($A531,Areas!$B$2:$B$6,0)),"")</f>
        <v>Rest of Building</v>
      </c>
      <c r="J531" s="0" t="n">
        <f aca="false">IF(IF($B531="Trash",INDEX('Materials Master'!$F$2:$F$27,MATCH($C531,'Materials Master'!$A$2:$A$27,0)),IF($B531="GMPC Recycling",INDEX('Materials Master'!$G$2:$G$27,MATCH($C531,'Materials Master'!$A$2:$A$27,0)),IF($B531="Organics Recycling",INDEX('Materials Master'!$H$2:$H$27,MATCH($C531,'Materials Master'!$A$2:$A$27,0)),IF($B531="Cardboard Recycling",INDEX('Materials Master'!$I$2:$I$27,MATCH($C531,'Materials Master'!$A$2:$A$27,0)),IF($B531="Paper Recycling",INDEX('Materials Master'!$J$2:$J$27,MATCH($C531,'Materials Master'!$A$2:$A$27,0)),IF($B531="Terracycle",INDEX('Materials Master'!$K$2:$K$27,MATCH($C531,'Materials Master'!$A$2:$A$27,0)),"No"))))))="Yes",1,0)</f>
        <v>0</v>
      </c>
    </row>
    <row r="532" customFormat="false" ht="15" hidden="false" customHeight="false" outlineLevel="0" collapsed="false">
      <c r="A532" s="0" t="s">
        <v>99</v>
      </c>
      <c r="B532" s="0" t="s">
        <v>105</v>
      </c>
      <c r="C532" s="0" t="s">
        <v>50</v>
      </c>
      <c r="D532" s="0" t="str">
        <f aca="false">IFERROR(INDEX('Materials Master'!$B$2:$B$27,MATCH($C532,'Materials Master'!$A$2:$A$27,0)),"")</f>
        <v>Aluminum &amp; Bi-Metal Containers</v>
      </c>
      <c r="E532" s="0" t="str">
        <f aca="false">IFERROR(INDEX('Materials Master'!$C$2:$C$27,MATCH($C532,'Materials Master'!$A$2:$A$27,0)),"")</f>
        <v>Metals</v>
      </c>
      <c r="F532" s="0" t="n">
        <f aca="false">(SUMIFS(Fact_PreSortWeights!$E$2:$E$15,Fact_PreSortWeights!$C$2:$C$15,$A532,Fact_PreSortWeights!$B$2:$B$15,$B532,Fact_PreSortWeights!$F$2:$F$15,$C532))+(SUMIFS(Fact_SortedWeights!$E$2:$E$6,Fact_SortedWeights!$C$2:$C$6,$A532,Fact_SortedWeights!$B$2:$B$6,$B532,Fact_SortedWeights!$D$2:$D$6,$C532,Fact_SortedWeights!$L$2:$L$6,"Yes"))+IF((SUMIFS(Fact_SortedWeights!$E$2:$E$6,Fact_SortedWeights!$C$2:$C$6,$A532,Fact_SortedWeights!$B$2:$B$6,$B532,Fact_SortedWeights!$L$2:$L$6,"No"))=0,0,(SUMIFS(Fact_SortedWeights!$E$2:$E$6,Fact_SortedWeights!$C$2:$C$6,$A532,Fact_SortedWeights!$B$2:$B$6,$B532,Fact_SortedWeights!$D$2:$D$6,$C532,Fact_SortedWeights!$L$2:$L$6,"No"))/(SUMIFS(Fact_SortedWeights!$E$2:$E$6,Fact_SortedWeights!$C$2:$C$6,$A532,Fact_SortedWeights!$B$2:$B$6,$B532,Fact_SortedWeights!$L$2:$L$6,"No"))*((SUMIFS(Fact_PreSortWeights!$E$2:$E$15,Fact_PreSortWeights!$C$2:$C$15,$A532,Fact_PreSortWeights!$B$2:$B$15,$B532,Fact_PreSortWeights!$F$2:$F$15,""))-(SUMIFS(Fact_SortedWeights!$E$2:$E$6,Fact_SortedWeights!$C$2:$C$6,$A532,Fact_SortedWeights!$B$2:$B$6,$B532,Fact_SortedWeights!$L$2:$L$6,"Yes"))))</f>
        <v>0</v>
      </c>
      <c r="G532" s="0" t="n">
        <f aca="false">IF(AND(IF($B532="Trash",INDEX('Materials Master'!$F$2:$F$27,MATCH($C532,'Materials Master'!$A$2:$A$27,0)),IF($B532="GMPC Recycling",INDEX('Materials Master'!$G$2:$G$27,MATCH($C532,'Materials Master'!$A$2:$A$27,0)),IF($B532="Organics Recycling",INDEX('Materials Master'!$H$2:$H$27,MATCH($C532,'Materials Master'!$A$2:$A$27,0)),IF($B532="Cardboard Recycling",INDEX('Materials Master'!$I$2:$I$27,MATCH($C532,'Materials Master'!$A$2:$A$27,0)),IF($B532="Paper Recycling",INDEX('Materials Master'!$J$2:$J$27,MATCH($C532,'Materials Master'!$A$2:$A$27,0)),IF($B532="Terracycle",INDEX('Materials Master'!$K$2:$K$27,MATCH($C532,'Materials Master'!$A$2:$A$27,0)),"No"))))))="Yes",INDEX('Materials Master'!$E$2:$E$27,MATCH($C532,'Materials Master'!$A$2:$A$27,0))="Yes",$B532&lt;&gt;"Trash"),1,0)</f>
        <v>0</v>
      </c>
      <c r="H532" s="0" t="str">
        <f aca="false">INDEX('Materials Master'!$E$2:$E$27,MATCH($C532,'Materials Master'!$A$2:$A$27,0))</f>
        <v>Yes</v>
      </c>
      <c r="I532" s="0" t="str">
        <f aca="false">IFERROR(INDEX(Areas!$C$2:$C$6,MATCH($A532,Areas!$B$2:$B$6,0)),"")</f>
        <v>Rest of Building</v>
      </c>
      <c r="J532" s="0" t="n">
        <f aca="false">IF(IF($B532="Trash",INDEX('Materials Master'!$F$2:$F$27,MATCH($C532,'Materials Master'!$A$2:$A$27,0)),IF($B532="GMPC Recycling",INDEX('Materials Master'!$G$2:$G$27,MATCH($C532,'Materials Master'!$A$2:$A$27,0)),IF($B532="Organics Recycling",INDEX('Materials Master'!$H$2:$H$27,MATCH($C532,'Materials Master'!$A$2:$A$27,0)),IF($B532="Cardboard Recycling",INDEX('Materials Master'!$I$2:$I$27,MATCH($C532,'Materials Master'!$A$2:$A$27,0)),IF($B532="Paper Recycling",INDEX('Materials Master'!$J$2:$J$27,MATCH($C532,'Materials Master'!$A$2:$A$27,0)),IF($B532="Terracycle",INDEX('Materials Master'!$K$2:$K$27,MATCH($C532,'Materials Master'!$A$2:$A$27,0)),"No"))))))="Yes",1,0)</f>
        <v>0</v>
      </c>
    </row>
    <row r="533" customFormat="false" ht="15" hidden="false" customHeight="false" outlineLevel="0" collapsed="false">
      <c r="A533" s="0" t="s">
        <v>99</v>
      </c>
      <c r="B533" s="0" t="s">
        <v>105</v>
      </c>
      <c r="C533" s="0" t="s">
        <v>53</v>
      </c>
      <c r="D533" s="0" t="str">
        <f aca="false">IFERROR(INDEX('Materials Master'!$B$2:$B$27,MATCH($C533,'Materials Master'!$A$2:$A$27,0)),"")</f>
        <v>Soiled Metals</v>
      </c>
      <c r="E533" s="0" t="str">
        <f aca="false">IFERROR(INDEX('Materials Master'!$C$2:$C$27,MATCH($C533,'Materials Master'!$A$2:$A$27,0)),"")</f>
        <v>Metals</v>
      </c>
      <c r="F533" s="0" t="n">
        <f aca="false">(SUMIFS(Fact_PreSortWeights!$E$2:$E$15,Fact_PreSortWeights!$C$2:$C$15,$A533,Fact_PreSortWeights!$B$2:$B$15,$B533,Fact_PreSortWeights!$F$2:$F$15,$C533))+(SUMIFS(Fact_SortedWeights!$E$2:$E$6,Fact_SortedWeights!$C$2:$C$6,$A533,Fact_SortedWeights!$B$2:$B$6,$B533,Fact_SortedWeights!$D$2:$D$6,$C533,Fact_SortedWeights!$L$2:$L$6,"Yes"))+IF((SUMIFS(Fact_SortedWeights!$E$2:$E$6,Fact_SortedWeights!$C$2:$C$6,$A533,Fact_SortedWeights!$B$2:$B$6,$B533,Fact_SortedWeights!$L$2:$L$6,"No"))=0,0,(SUMIFS(Fact_SortedWeights!$E$2:$E$6,Fact_SortedWeights!$C$2:$C$6,$A533,Fact_SortedWeights!$B$2:$B$6,$B533,Fact_SortedWeights!$D$2:$D$6,$C533,Fact_SortedWeights!$L$2:$L$6,"No"))/(SUMIFS(Fact_SortedWeights!$E$2:$E$6,Fact_SortedWeights!$C$2:$C$6,$A533,Fact_SortedWeights!$B$2:$B$6,$B533,Fact_SortedWeights!$L$2:$L$6,"No"))*((SUMIFS(Fact_PreSortWeights!$E$2:$E$15,Fact_PreSortWeights!$C$2:$C$15,$A533,Fact_PreSortWeights!$B$2:$B$15,$B533,Fact_PreSortWeights!$F$2:$F$15,""))-(SUMIFS(Fact_SortedWeights!$E$2:$E$6,Fact_SortedWeights!$C$2:$C$6,$A533,Fact_SortedWeights!$B$2:$B$6,$B533,Fact_SortedWeights!$L$2:$L$6,"Yes"))))</f>
        <v>0</v>
      </c>
      <c r="G533" s="0" t="n">
        <f aca="false">IF(AND(IF($B533="Trash",INDEX('Materials Master'!$F$2:$F$27,MATCH($C533,'Materials Master'!$A$2:$A$27,0)),IF($B533="GMPC Recycling",INDEX('Materials Master'!$G$2:$G$27,MATCH($C533,'Materials Master'!$A$2:$A$27,0)),IF($B533="Organics Recycling",INDEX('Materials Master'!$H$2:$H$27,MATCH($C533,'Materials Master'!$A$2:$A$27,0)),IF($B533="Cardboard Recycling",INDEX('Materials Master'!$I$2:$I$27,MATCH($C533,'Materials Master'!$A$2:$A$27,0)),IF($B533="Paper Recycling",INDEX('Materials Master'!$J$2:$J$27,MATCH($C533,'Materials Master'!$A$2:$A$27,0)),IF($B533="Terracycle",INDEX('Materials Master'!$K$2:$K$27,MATCH($C533,'Materials Master'!$A$2:$A$27,0)),"No"))))))="Yes",INDEX('Materials Master'!$E$2:$E$27,MATCH($C533,'Materials Master'!$A$2:$A$27,0))="Yes",$B533&lt;&gt;"Trash"),1,0)</f>
        <v>0</v>
      </c>
      <c r="H533" s="0" t="str">
        <f aca="false">INDEX('Materials Master'!$E$2:$E$27,MATCH($C533,'Materials Master'!$A$2:$A$27,0))</f>
        <v>No</v>
      </c>
      <c r="I533" s="0" t="str">
        <f aca="false">IFERROR(INDEX(Areas!$C$2:$C$6,MATCH($A533,Areas!$B$2:$B$6,0)),"")</f>
        <v>Rest of Building</v>
      </c>
      <c r="J533" s="0" t="n">
        <f aca="false">IF(IF($B533="Trash",INDEX('Materials Master'!$F$2:$F$27,MATCH($C533,'Materials Master'!$A$2:$A$27,0)),IF($B533="GMPC Recycling",INDEX('Materials Master'!$G$2:$G$27,MATCH($C533,'Materials Master'!$A$2:$A$27,0)),IF($B533="Organics Recycling",INDEX('Materials Master'!$H$2:$H$27,MATCH($C533,'Materials Master'!$A$2:$A$27,0)),IF($B533="Cardboard Recycling",INDEX('Materials Master'!$I$2:$I$27,MATCH($C533,'Materials Master'!$A$2:$A$27,0)),IF($B533="Paper Recycling",INDEX('Materials Master'!$J$2:$J$27,MATCH($C533,'Materials Master'!$A$2:$A$27,0)),IF($B533="Terracycle",INDEX('Materials Master'!$K$2:$K$27,MATCH($C533,'Materials Master'!$A$2:$A$27,0)),"No"))))))="Yes",1,0)</f>
        <v>0</v>
      </c>
    </row>
    <row r="534" customFormat="false" ht="15" hidden="false" customHeight="false" outlineLevel="0" collapsed="false">
      <c r="A534" s="0" t="s">
        <v>99</v>
      </c>
      <c r="B534" s="0" t="s">
        <v>105</v>
      </c>
      <c r="C534" s="0" t="s">
        <v>55</v>
      </c>
      <c r="D534" s="0" t="str">
        <f aca="false">IFERROR(INDEX('Materials Master'!$B$2:$B$27,MATCH($C534,'Materials Master'!$A$2:$A$27,0)),"")</f>
        <v>Rigid Plastics (1-6)</v>
      </c>
      <c r="E534" s="0" t="str">
        <f aca="false">IFERROR(INDEX('Materials Master'!$C$2:$C$27,MATCH($C534,'Materials Master'!$A$2:$A$27,0)),"")</f>
        <v>Plastics</v>
      </c>
      <c r="F534" s="0" t="n">
        <f aca="false">(SUMIFS(Fact_PreSortWeights!$E$2:$E$15,Fact_PreSortWeights!$C$2:$C$15,$A534,Fact_PreSortWeights!$B$2:$B$15,$B534,Fact_PreSortWeights!$F$2:$F$15,$C534))+(SUMIFS(Fact_SortedWeights!$E$2:$E$6,Fact_SortedWeights!$C$2:$C$6,$A534,Fact_SortedWeights!$B$2:$B$6,$B534,Fact_SortedWeights!$D$2:$D$6,$C534,Fact_SortedWeights!$L$2:$L$6,"Yes"))+IF((SUMIFS(Fact_SortedWeights!$E$2:$E$6,Fact_SortedWeights!$C$2:$C$6,$A534,Fact_SortedWeights!$B$2:$B$6,$B534,Fact_SortedWeights!$L$2:$L$6,"No"))=0,0,(SUMIFS(Fact_SortedWeights!$E$2:$E$6,Fact_SortedWeights!$C$2:$C$6,$A534,Fact_SortedWeights!$B$2:$B$6,$B534,Fact_SortedWeights!$D$2:$D$6,$C534,Fact_SortedWeights!$L$2:$L$6,"No"))/(SUMIFS(Fact_SortedWeights!$E$2:$E$6,Fact_SortedWeights!$C$2:$C$6,$A534,Fact_SortedWeights!$B$2:$B$6,$B534,Fact_SortedWeights!$L$2:$L$6,"No"))*((SUMIFS(Fact_PreSortWeights!$E$2:$E$15,Fact_PreSortWeights!$C$2:$C$15,$A534,Fact_PreSortWeights!$B$2:$B$15,$B534,Fact_PreSortWeights!$F$2:$F$15,""))-(SUMIFS(Fact_SortedWeights!$E$2:$E$6,Fact_SortedWeights!$C$2:$C$6,$A534,Fact_SortedWeights!$B$2:$B$6,$B534,Fact_SortedWeights!$L$2:$L$6,"Yes"))))</f>
        <v>0</v>
      </c>
      <c r="G534" s="0" t="n">
        <f aca="false">IF(AND(IF($B534="Trash",INDEX('Materials Master'!$F$2:$F$27,MATCH($C534,'Materials Master'!$A$2:$A$27,0)),IF($B534="GMPC Recycling",INDEX('Materials Master'!$G$2:$G$27,MATCH($C534,'Materials Master'!$A$2:$A$27,0)),IF($B534="Organics Recycling",INDEX('Materials Master'!$H$2:$H$27,MATCH($C534,'Materials Master'!$A$2:$A$27,0)),IF($B534="Cardboard Recycling",INDEX('Materials Master'!$I$2:$I$27,MATCH($C534,'Materials Master'!$A$2:$A$27,0)),IF($B534="Paper Recycling",INDEX('Materials Master'!$J$2:$J$27,MATCH($C534,'Materials Master'!$A$2:$A$27,0)),IF($B534="Terracycle",INDEX('Materials Master'!$K$2:$K$27,MATCH($C534,'Materials Master'!$A$2:$A$27,0)),"No"))))))="Yes",INDEX('Materials Master'!$E$2:$E$27,MATCH($C534,'Materials Master'!$A$2:$A$27,0))="Yes",$B534&lt;&gt;"Trash"),1,0)</f>
        <v>0</v>
      </c>
      <c r="H534" s="0" t="str">
        <f aca="false">INDEX('Materials Master'!$E$2:$E$27,MATCH($C534,'Materials Master'!$A$2:$A$27,0))</f>
        <v>Yes</v>
      </c>
      <c r="I534" s="0" t="str">
        <f aca="false">IFERROR(INDEX(Areas!$C$2:$C$6,MATCH($A534,Areas!$B$2:$B$6,0)),"")</f>
        <v>Rest of Building</v>
      </c>
      <c r="J534" s="0" t="n">
        <f aca="false">IF(IF($B534="Trash",INDEX('Materials Master'!$F$2:$F$27,MATCH($C534,'Materials Master'!$A$2:$A$27,0)),IF($B534="GMPC Recycling",INDEX('Materials Master'!$G$2:$G$27,MATCH($C534,'Materials Master'!$A$2:$A$27,0)),IF($B534="Organics Recycling",INDEX('Materials Master'!$H$2:$H$27,MATCH($C534,'Materials Master'!$A$2:$A$27,0)),IF($B534="Cardboard Recycling",INDEX('Materials Master'!$I$2:$I$27,MATCH($C534,'Materials Master'!$A$2:$A$27,0)),IF($B534="Paper Recycling",INDEX('Materials Master'!$J$2:$J$27,MATCH($C534,'Materials Master'!$A$2:$A$27,0)),IF($B534="Terracycle",INDEX('Materials Master'!$K$2:$K$27,MATCH($C534,'Materials Master'!$A$2:$A$27,0)),"No"))))))="Yes",1,0)</f>
        <v>0</v>
      </c>
    </row>
    <row r="535" customFormat="false" ht="15" hidden="false" customHeight="false" outlineLevel="0" collapsed="false">
      <c r="A535" s="0" t="s">
        <v>99</v>
      </c>
      <c r="B535" s="0" t="s">
        <v>105</v>
      </c>
      <c r="C535" s="0" t="s">
        <v>58</v>
      </c>
      <c r="D535" s="0" t="str">
        <f aca="false">IFERROR(INDEX('Materials Master'!$B$2:$B$27,MATCH($C535,'Materials Master'!$A$2:$A$27,0)),"")</f>
        <v>Soiled Rigid Plastics</v>
      </c>
      <c r="E535" s="0" t="str">
        <f aca="false">IFERROR(INDEX('Materials Master'!$C$2:$C$27,MATCH($C535,'Materials Master'!$A$2:$A$27,0)),"")</f>
        <v>Plastics</v>
      </c>
      <c r="F535" s="0" t="n">
        <f aca="false">(SUMIFS(Fact_PreSortWeights!$E$2:$E$15,Fact_PreSortWeights!$C$2:$C$15,$A535,Fact_PreSortWeights!$B$2:$B$15,$B535,Fact_PreSortWeights!$F$2:$F$15,$C535))+(SUMIFS(Fact_SortedWeights!$E$2:$E$6,Fact_SortedWeights!$C$2:$C$6,$A535,Fact_SortedWeights!$B$2:$B$6,$B535,Fact_SortedWeights!$D$2:$D$6,$C535,Fact_SortedWeights!$L$2:$L$6,"Yes"))+IF((SUMIFS(Fact_SortedWeights!$E$2:$E$6,Fact_SortedWeights!$C$2:$C$6,$A535,Fact_SortedWeights!$B$2:$B$6,$B535,Fact_SortedWeights!$L$2:$L$6,"No"))=0,0,(SUMIFS(Fact_SortedWeights!$E$2:$E$6,Fact_SortedWeights!$C$2:$C$6,$A535,Fact_SortedWeights!$B$2:$B$6,$B535,Fact_SortedWeights!$D$2:$D$6,$C535,Fact_SortedWeights!$L$2:$L$6,"No"))/(SUMIFS(Fact_SortedWeights!$E$2:$E$6,Fact_SortedWeights!$C$2:$C$6,$A535,Fact_SortedWeights!$B$2:$B$6,$B535,Fact_SortedWeights!$L$2:$L$6,"No"))*((SUMIFS(Fact_PreSortWeights!$E$2:$E$15,Fact_PreSortWeights!$C$2:$C$15,$A535,Fact_PreSortWeights!$B$2:$B$15,$B535,Fact_PreSortWeights!$F$2:$F$15,""))-(SUMIFS(Fact_SortedWeights!$E$2:$E$6,Fact_SortedWeights!$C$2:$C$6,$A535,Fact_SortedWeights!$B$2:$B$6,$B535,Fact_SortedWeights!$L$2:$L$6,"Yes"))))</f>
        <v>0</v>
      </c>
      <c r="G535" s="0" t="n">
        <f aca="false">IF(AND(IF($B535="Trash",INDEX('Materials Master'!$F$2:$F$27,MATCH($C535,'Materials Master'!$A$2:$A$27,0)),IF($B535="GMPC Recycling",INDEX('Materials Master'!$G$2:$G$27,MATCH($C535,'Materials Master'!$A$2:$A$27,0)),IF($B535="Organics Recycling",INDEX('Materials Master'!$H$2:$H$27,MATCH($C535,'Materials Master'!$A$2:$A$27,0)),IF($B535="Cardboard Recycling",INDEX('Materials Master'!$I$2:$I$27,MATCH($C535,'Materials Master'!$A$2:$A$27,0)),IF($B535="Paper Recycling",INDEX('Materials Master'!$J$2:$J$27,MATCH($C535,'Materials Master'!$A$2:$A$27,0)),IF($B535="Terracycle",INDEX('Materials Master'!$K$2:$K$27,MATCH($C535,'Materials Master'!$A$2:$A$27,0)),"No"))))))="Yes",INDEX('Materials Master'!$E$2:$E$27,MATCH($C535,'Materials Master'!$A$2:$A$27,0))="Yes",$B535&lt;&gt;"Trash"),1,0)</f>
        <v>0</v>
      </c>
      <c r="H535" s="0" t="str">
        <f aca="false">INDEX('Materials Master'!$E$2:$E$27,MATCH($C535,'Materials Master'!$A$2:$A$27,0))</f>
        <v>No</v>
      </c>
      <c r="I535" s="0" t="str">
        <f aca="false">IFERROR(INDEX(Areas!$C$2:$C$6,MATCH($A535,Areas!$B$2:$B$6,0)),"")</f>
        <v>Rest of Building</v>
      </c>
      <c r="J535" s="0" t="n">
        <f aca="false">IF(IF($B535="Trash",INDEX('Materials Master'!$F$2:$F$27,MATCH($C535,'Materials Master'!$A$2:$A$27,0)),IF($B535="GMPC Recycling",INDEX('Materials Master'!$G$2:$G$27,MATCH($C535,'Materials Master'!$A$2:$A$27,0)),IF($B535="Organics Recycling",INDEX('Materials Master'!$H$2:$H$27,MATCH($C535,'Materials Master'!$A$2:$A$27,0)),IF($B535="Cardboard Recycling",INDEX('Materials Master'!$I$2:$I$27,MATCH($C535,'Materials Master'!$A$2:$A$27,0)),IF($B535="Paper Recycling",INDEX('Materials Master'!$J$2:$J$27,MATCH($C535,'Materials Master'!$A$2:$A$27,0)),IF($B535="Terracycle",INDEX('Materials Master'!$K$2:$K$27,MATCH($C535,'Materials Master'!$A$2:$A$27,0)),"No"))))))="Yes",1,0)</f>
        <v>0</v>
      </c>
    </row>
    <row r="536" customFormat="false" ht="15" hidden="false" customHeight="false" outlineLevel="0" collapsed="false">
      <c r="A536" s="0" t="s">
        <v>99</v>
      </c>
      <c r="B536" s="0" t="s">
        <v>105</v>
      </c>
      <c r="C536" s="0" t="s">
        <v>60</v>
      </c>
      <c r="D536" s="0" t="str">
        <f aca="false">IFERROR(INDEX('Materials Master'!$B$2:$B$27,MATCH($C536,'Materials Master'!$A$2:$A$27,0)),"")</f>
        <v>Film Plastics</v>
      </c>
      <c r="E536" s="0" t="str">
        <f aca="false">IFERROR(INDEX('Materials Master'!$C$2:$C$27,MATCH($C536,'Materials Master'!$A$2:$A$27,0)),"")</f>
        <v>Plastics</v>
      </c>
      <c r="F536" s="0" t="n">
        <f aca="false">(SUMIFS(Fact_PreSortWeights!$E$2:$E$15,Fact_PreSortWeights!$C$2:$C$15,$A536,Fact_PreSortWeights!$B$2:$B$15,$B536,Fact_PreSortWeights!$F$2:$F$15,$C536))+(SUMIFS(Fact_SortedWeights!$E$2:$E$6,Fact_SortedWeights!$C$2:$C$6,$A536,Fact_SortedWeights!$B$2:$B$6,$B536,Fact_SortedWeights!$D$2:$D$6,$C536,Fact_SortedWeights!$L$2:$L$6,"Yes"))+IF((SUMIFS(Fact_SortedWeights!$E$2:$E$6,Fact_SortedWeights!$C$2:$C$6,$A536,Fact_SortedWeights!$B$2:$B$6,$B536,Fact_SortedWeights!$L$2:$L$6,"No"))=0,0,(SUMIFS(Fact_SortedWeights!$E$2:$E$6,Fact_SortedWeights!$C$2:$C$6,$A536,Fact_SortedWeights!$B$2:$B$6,$B536,Fact_SortedWeights!$D$2:$D$6,$C536,Fact_SortedWeights!$L$2:$L$6,"No"))/(SUMIFS(Fact_SortedWeights!$E$2:$E$6,Fact_SortedWeights!$C$2:$C$6,$A536,Fact_SortedWeights!$B$2:$B$6,$B536,Fact_SortedWeights!$L$2:$L$6,"No"))*((SUMIFS(Fact_PreSortWeights!$E$2:$E$15,Fact_PreSortWeights!$C$2:$C$15,$A536,Fact_PreSortWeights!$B$2:$B$15,$B536,Fact_PreSortWeights!$F$2:$F$15,""))-(SUMIFS(Fact_SortedWeights!$E$2:$E$6,Fact_SortedWeights!$C$2:$C$6,$A536,Fact_SortedWeights!$B$2:$B$6,$B536,Fact_SortedWeights!$L$2:$L$6,"Yes"))))</f>
        <v>0</v>
      </c>
      <c r="G536" s="0" t="n">
        <f aca="false">IF(AND(IF($B536="Trash",INDEX('Materials Master'!$F$2:$F$27,MATCH($C536,'Materials Master'!$A$2:$A$27,0)),IF($B536="GMPC Recycling",INDEX('Materials Master'!$G$2:$G$27,MATCH($C536,'Materials Master'!$A$2:$A$27,0)),IF($B536="Organics Recycling",INDEX('Materials Master'!$H$2:$H$27,MATCH($C536,'Materials Master'!$A$2:$A$27,0)),IF($B536="Cardboard Recycling",INDEX('Materials Master'!$I$2:$I$27,MATCH($C536,'Materials Master'!$A$2:$A$27,0)),IF($B536="Paper Recycling",INDEX('Materials Master'!$J$2:$J$27,MATCH($C536,'Materials Master'!$A$2:$A$27,0)),IF($B536="Terracycle",INDEX('Materials Master'!$K$2:$K$27,MATCH($C536,'Materials Master'!$A$2:$A$27,0)),"No"))))))="Yes",INDEX('Materials Master'!$E$2:$E$27,MATCH($C536,'Materials Master'!$A$2:$A$27,0))="Yes",$B536&lt;&gt;"Trash"),1,0)</f>
        <v>0</v>
      </c>
      <c r="H536" s="0" t="str">
        <f aca="false">INDEX('Materials Master'!$E$2:$E$27,MATCH($C536,'Materials Master'!$A$2:$A$27,0))</f>
        <v>No</v>
      </c>
      <c r="I536" s="0" t="str">
        <f aca="false">IFERROR(INDEX(Areas!$C$2:$C$6,MATCH($A536,Areas!$B$2:$B$6,0)),"")</f>
        <v>Rest of Building</v>
      </c>
      <c r="J536" s="0" t="n">
        <f aca="false">IF(IF($B536="Trash",INDEX('Materials Master'!$F$2:$F$27,MATCH($C536,'Materials Master'!$A$2:$A$27,0)),IF($B536="GMPC Recycling",INDEX('Materials Master'!$G$2:$G$27,MATCH($C536,'Materials Master'!$A$2:$A$27,0)),IF($B536="Organics Recycling",INDEX('Materials Master'!$H$2:$H$27,MATCH($C536,'Materials Master'!$A$2:$A$27,0)),IF($B536="Cardboard Recycling",INDEX('Materials Master'!$I$2:$I$27,MATCH($C536,'Materials Master'!$A$2:$A$27,0)),IF($B536="Paper Recycling",INDEX('Materials Master'!$J$2:$J$27,MATCH($C536,'Materials Master'!$A$2:$A$27,0)),IF($B536="Terracycle",INDEX('Materials Master'!$K$2:$K$27,MATCH($C536,'Materials Master'!$A$2:$A$27,0)),"No"))))))="Yes",1,0)</f>
        <v>0</v>
      </c>
    </row>
    <row r="537" customFormat="false" ht="15" hidden="false" customHeight="false" outlineLevel="0" collapsed="false">
      <c r="A537" s="0" t="s">
        <v>99</v>
      </c>
      <c r="B537" s="0" t="s">
        <v>105</v>
      </c>
      <c r="C537" s="0" t="s">
        <v>62</v>
      </c>
      <c r="D537" s="0" t="str">
        <f aca="false">IFERROR(INDEX('Materials Master'!$B$2:$B$27,MATCH($C537,'Materials Master'!$A$2:$A$27,0)),"")</f>
        <v>Foams</v>
      </c>
      <c r="E537" s="0" t="str">
        <f aca="false">IFERROR(INDEX('Materials Master'!$C$2:$C$27,MATCH($C537,'Materials Master'!$A$2:$A$27,0)),"")</f>
        <v>Plastics</v>
      </c>
      <c r="F537" s="0" t="n">
        <f aca="false">(SUMIFS(Fact_PreSortWeights!$E$2:$E$15,Fact_PreSortWeights!$C$2:$C$15,$A537,Fact_PreSortWeights!$B$2:$B$15,$B537,Fact_PreSortWeights!$F$2:$F$15,$C537))+(SUMIFS(Fact_SortedWeights!$E$2:$E$6,Fact_SortedWeights!$C$2:$C$6,$A537,Fact_SortedWeights!$B$2:$B$6,$B537,Fact_SortedWeights!$D$2:$D$6,$C537,Fact_SortedWeights!$L$2:$L$6,"Yes"))+IF((SUMIFS(Fact_SortedWeights!$E$2:$E$6,Fact_SortedWeights!$C$2:$C$6,$A537,Fact_SortedWeights!$B$2:$B$6,$B537,Fact_SortedWeights!$L$2:$L$6,"No"))=0,0,(SUMIFS(Fact_SortedWeights!$E$2:$E$6,Fact_SortedWeights!$C$2:$C$6,$A537,Fact_SortedWeights!$B$2:$B$6,$B537,Fact_SortedWeights!$D$2:$D$6,$C537,Fact_SortedWeights!$L$2:$L$6,"No"))/(SUMIFS(Fact_SortedWeights!$E$2:$E$6,Fact_SortedWeights!$C$2:$C$6,$A537,Fact_SortedWeights!$B$2:$B$6,$B537,Fact_SortedWeights!$L$2:$L$6,"No"))*((SUMIFS(Fact_PreSortWeights!$E$2:$E$15,Fact_PreSortWeights!$C$2:$C$15,$A537,Fact_PreSortWeights!$B$2:$B$15,$B537,Fact_PreSortWeights!$F$2:$F$15,""))-(SUMIFS(Fact_SortedWeights!$E$2:$E$6,Fact_SortedWeights!$C$2:$C$6,$A537,Fact_SortedWeights!$B$2:$B$6,$B537,Fact_SortedWeights!$L$2:$L$6,"Yes"))))</f>
        <v>0</v>
      </c>
      <c r="G537" s="0" t="n">
        <f aca="false">IF(AND(IF($B537="Trash",INDEX('Materials Master'!$F$2:$F$27,MATCH($C537,'Materials Master'!$A$2:$A$27,0)),IF($B537="GMPC Recycling",INDEX('Materials Master'!$G$2:$G$27,MATCH($C537,'Materials Master'!$A$2:$A$27,0)),IF($B537="Organics Recycling",INDEX('Materials Master'!$H$2:$H$27,MATCH($C537,'Materials Master'!$A$2:$A$27,0)),IF($B537="Cardboard Recycling",INDEX('Materials Master'!$I$2:$I$27,MATCH($C537,'Materials Master'!$A$2:$A$27,0)),IF($B537="Paper Recycling",INDEX('Materials Master'!$J$2:$J$27,MATCH($C537,'Materials Master'!$A$2:$A$27,0)),IF($B537="Terracycle",INDEX('Materials Master'!$K$2:$K$27,MATCH($C537,'Materials Master'!$A$2:$A$27,0)),"No"))))))="Yes",INDEX('Materials Master'!$E$2:$E$27,MATCH($C537,'Materials Master'!$A$2:$A$27,0))="Yes",$B537&lt;&gt;"Trash"),1,0)</f>
        <v>0</v>
      </c>
      <c r="H537" s="0" t="str">
        <f aca="false">INDEX('Materials Master'!$E$2:$E$27,MATCH($C537,'Materials Master'!$A$2:$A$27,0))</f>
        <v>No</v>
      </c>
      <c r="I537" s="0" t="str">
        <f aca="false">IFERROR(INDEX(Areas!$C$2:$C$6,MATCH($A537,Areas!$B$2:$B$6,0)),"")</f>
        <v>Rest of Building</v>
      </c>
      <c r="J537" s="0" t="n">
        <f aca="false">IF(IF($B537="Trash",INDEX('Materials Master'!$F$2:$F$27,MATCH($C537,'Materials Master'!$A$2:$A$27,0)),IF($B537="GMPC Recycling",INDEX('Materials Master'!$G$2:$G$27,MATCH($C537,'Materials Master'!$A$2:$A$27,0)),IF($B537="Organics Recycling",INDEX('Materials Master'!$H$2:$H$27,MATCH($C537,'Materials Master'!$A$2:$A$27,0)),IF($B537="Cardboard Recycling",INDEX('Materials Master'!$I$2:$I$27,MATCH($C537,'Materials Master'!$A$2:$A$27,0)),IF($B537="Paper Recycling",INDEX('Materials Master'!$J$2:$J$27,MATCH($C537,'Materials Master'!$A$2:$A$27,0)),IF($B537="Terracycle",INDEX('Materials Master'!$K$2:$K$27,MATCH($C537,'Materials Master'!$A$2:$A$27,0)),"No"))))))="Yes",1,0)</f>
        <v>0</v>
      </c>
    </row>
    <row r="538" customFormat="false" ht="15" hidden="false" customHeight="false" outlineLevel="0" collapsed="false">
      <c r="A538" s="0" t="s">
        <v>99</v>
      </c>
      <c r="B538" s="0" t="s">
        <v>105</v>
      </c>
      <c r="C538" s="0" t="s">
        <v>64</v>
      </c>
      <c r="D538" s="0" t="str">
        <f aca="false">IFERROR(INDEX('Materials Master'!$B$2:$B$27,MATCH($C538,'Materials Master'!$A$2:$A$27,0)),"")</f>
        <v>Food Waste</v>
      </c>
      <c r="E538" s="0" t="str">
        <f aca="false">IFERROR(INDEX('Materials Master'!$C$2:$C$27,MATCH($C538,'Materials Master'!$A$2:$A$27,0)),"")</f>
        <v>Organics</v>
      </c>
      <c r="F538" s="0" t="n">
        <f aca="false">(SUMIFS(Fact_PreSortWeights!$E$2:$E$15,Fact_PreSortWeights!$C$2:$C$15,$A538,Fact_PreSortWeights!$B$2:$B$15,$B538,Fact_PreSortWeights!$F$2:$F$15,$C538))+(SUMIFS(Fact_SortedWeights!$E$2:$E$6,Fact_SortedWeights!$C$2:$C$6,$A538,Fact_SortedWeights!$B$2:$B$6,$B538,Fact_SortedWeights!$D$2:$D$6,$C538,Fact_SortedWeights!$L$2:$L$6,"Yes"))+IF((SUMIFS(Fact_SortedWeights!$E$2:$E$6,Fact_SortedWeights!$C$2:$C$6,$A538,Fact_SortedWeights!$B$2:$B$6,$B538,Fact_SortedWeights!$L$2:$L$6,"No"))=0,0,(SUMIFS(Fact_SortedWeights!$E$2:$E$6,Fact_SortedWeights!$C$2:$C$6,$A538,Fact_SortedWeights!$B$2:$B$6,$B538,Fact_SortedWeights!$D$2:$D$6,$C538,Fact_SortedWeights!$L$2:$L$6,"No"))/(SUMIFS(Fact_SortedWeights!$E$2:$E$6,Fact_SortedWeights!$C$2:$C$6,$A538,Fact_SortedWeights!$B$2:$B$6,$B538,Fact_SortedWeights!$L$2:$L$6,"No"))*((SUMIFS(Fact_PreSortWeights!$E$2:$E$15,Fact_PreSortWeights!$C$2:$C$15,$A538,Fact_PreSortWeights!$B$2:$B$15,$B538,Fact_PreSortWeights!$F$2:$F$15,""))-(SUMIFS(Fact_SortedWeights!$E$2:$E$6,Fact_SortedWeights!$C$2:$C$6,$A538,Fact_SortedWeights!$B$2:$B$6,$B538,Fact_SortedWeights!$L$2:$L$6,"Yes"))))</f>
        <v>0</v>
      </c>
      <c r="G538" s="0" t="n">
        <f aca="false">IF(AND(IF($B538="Trash",INDEX('Materials Master'!$F$2:$F$27,MATCH($C538,'Materials Master'!$A$2:$A$27,0)),IF($B538="GMPC Recycling",INDEX('Materials Master'!$G$2:$G$27,MATCH($C538,'Materials Master'!$A$2:$A$27,0)),IF($B538="Organics Recycling",INDEX('Materials Master'!$H$2:$H$27,MATCH($C538,'Materials Master'!$A$2:$A$27,0)),IF($B538="Cardboard Recycling",INDEX('Materials Master'!$I$2:$I$27,MATCH($C538,'Materials Master'!$A$2:$A$27,0)),IF($B538="Paper Recycling",INDEX('Materials Master'!$J$2:$J$27,MATCH($C538,'Materials Master'!$A$2:$A$27,0)),IF($B538="Terracycle",INDEX('Materials Master'!$K$2:$K$27,MATCH($C538,'Materials Master'!$A$2:$A$27,0)),"No"))))))="Yes",INDEX('Materials Master'!$E$2:$E$27,MATCH($C538,'Materials Master'!$A$2:$A$27,0))="Yes",$B538&lt;&gt;"Trash"),1,0)</f>
        <v>1</v>
      </c>
      <c r="H538" s="0" t="str">
        <f aca="false">INDEX('Materials Master'!$E$2:$E$27,MATCH($C538,'Materials Master'!$A$2:$A$27,0))</f>
        <v>Yes</v>
      </c>
      <c r="I538" s="0" t="str">
        <f aca="false">IFERROR(INDEX(Areas!$C$2:$C$6,MATCH($A538,Areas!$B$2:$B$6,0)),"")</f>
        <v>Rest of Building</v>
      </c>
      <c r="J538" s="0" t="n">
        <f aca="false">IF(IF($B538="Trash",INDEX('Materials Master'!$F$2:$F$27,MATCH($C538,'Materials Master'!$A$2:$A$27,0)),IF($B538="GMPC Recycling",INDEX('Materials Master'!$G$2:$G$27,MATCH($C538,'Materials Master'!$A$2:$A$27,0)),IF($B538="Organics Recycling",INDEX('Materials Master'!$H$2:$H$27,MATCH($C538,'Materials Master'!$A$2:$A$27,0)),IF($B538="Cardboard Recycling",INDEX('Materials Master'!$I$2:$I$27,MATCH($C538,'Materials Master'!$A$2:$A$27,0)),IF($B538="Paper Recycling",INDEX('Materials Master'!$J$2:$J$27,MATCH($C538,'Materials Master'!$A$2:$A$27,0)),IF($B538="Terracycle",INDEX('Materials Master'!$K$2:$K$27,MATCH($C538,'Materials Master'!$A$2:$A$27,0)),"No"))))))="Yes",1,0)</f>
        <v>1</v>
      </c>
    </row>
    <row r="539" customFormat="false" ht="15" hidden="false" customHeight="false" outlineLevel="0" collapsed="false">
      <c r="A539" s="0" t="s">
        <v>99</v>
      </c>
      <c r="B539" s="0" t="s">
        <v>105</v>
      </c>
      <c r="C539" s="0" t="s">
        <v>67</v>
      </c>
      <c r="D539" s="0" t="str">
        <f aca="false">IFERROR(INDEX('Materials Master'!$B$2:$B$27,MATCH($C539,'Materials Master'!$A$2:$A$27,0)),"")</f>
        <v>Paper Fibers and Food-Soiled Paper (FSP)</v>
      </c>
      <c r="E539" s="0" t="str">
        <f aca="false">IFERROR(INDEX('Materials Master'!$C$2:$C$27,MATCH($C539,'Materials Master'!$A$2:$A$27,0)),"")</f>
        <v>Organics</v>
      </c>
      <c r="F539" s="0" t="n">
        <f aca="false">(SUMIFS(Fact_PreSortWeights!$E$2:$E$15,Fact_PreSortWeights!$C$2:$C$15,$A539,Fact_PreSortWeights!$B$2:$B$15,$B539,Fact_PreSortWeights!$F$2:$F$15,$C539))+(SUMIFS(Fact_SortedWeights!$E$2:$E$6,Fact_SortedWeights!$C$2:$C$6,$A539,Fact_SortedWeights!$B$2:$B$6,$B539,Fact_SortedWeights!$D$2:$D$6,$C539,Fact_SortedWeights!$L$2:$L$6,"Yes"))+IF((SUMIFS(Fact_SortedWeights!$E$2:$E$6,Fact_SortedWeights!$C$2:$C$6,$A539,Fact_SortedWeights!$B$2:$B$6,$B539,Fact_SortedWeights!$L$2:$L$6,"No"))=0,0,(SUMIFS(Fact_SortedWeights!$E$2:$E$6,Fact_SortedWeights!$C$2:$C$6,$A539,Fact_SortedWeights!$B$2:$B$6,$B539,Fact_SortedWeights!$D$2:$D$6,$C539,Fact_SortedWeights!$L$2:$L$6,"No"))/(SUMIFS(Fact_SortedWeights!$E$2:$E$6,Fact_SortedWeights!$C$2:$C$6,$A539,Fact_SortedWeights!$B$2:$B$6,$B539,Fact_SortedWeights!$L$2:$L$6,"No"))*((SUMIFS(Fact_PreSortWeights!$E$2:$E$15,Fact_PreSortWeights!$C$2:$C$15,$A539,Fact_PreSortWeights!$B$2:$B$15,$B539,Fact_PreSortWeights!$F$2:$F$15,""))-(SUMIFS(Fact_SortedWeights!$E$2:$E$6,Fact_SortedWeights!$C$2:$C$6,$A539,Fact_SortedWeights!$B$2:$B$6,$B539,Fact_SortedWeights!$L$2:$L$6,"Yes"))))</f>
        <v>0</v>
      </c>
      <c r="G539" s="0" t="n">
        <f aca="false">IF(AND(IF($B539="Trash",INDEX('Materials Master'!$F$2:$F$27,MATCH($C539,'Materials Master'!$A$2:$A$27,0)),IF($B539="GMPC Recycling",INDEX('Materials Master'!$G$2:$G$27,MATCH($C539,'Materials Master'!$A$2:$A$27,0)),IF($B539="Organics Recycling",INDEX('Materials Master'!$H$2:$H$27,MATCH($C539,'Materials Master'!$A$2:$A$27,0)),IF($B539="Cardboard Recycling",INDEX('Materials Master'!$I$2:$I$27,MATCH($C539,'Materials Master'!$A$2:$A$27,0)),IF($B539="Paper Recycling",INDEX('Materials Master'!$J$2:$J$27,MATCH($C539,'Materials Master'!$A$2:$A$27,0)),IF($B539="Terracycle",INDEX('Materials Master'!$K$2:$K$27,MATCH($C539,'Materials Master'!$A$2:$A$27,0)),"No"))))))="Yes",INDEX('Materials Master'!$E$2:$E$27,MATCH($C539,'Materials Master'!$A$2:$A$27,0))="Yes",$B539&lt;&gt;"Trash"),1,0)</f>
        <v>0</v>
      </c>
      <c r="H539" s="0" t="str">
        <f aca="false">INDEX('Materials Master'!$E$2:$E$27,MATCH($C539,'Materials Master'!$A$2:$A$27,0))</f>
        <v>No</v>
      </c>
      <c r="I539" s="0" t="str">
        <f aca="false">IFERROR(INDEX(Areas!$C$2:$C$6,MATCH($A539,Areas!$B$2:$B$6,0)),"")</f>
        <v>Rest of Building</v>
      </c>
      <c r="J539" s="0" t="n">
        <f aca="false">IF(IF($B539="Trash",INDEX('Materials Master'!$F$2:$F$27,MATCH($C539,'Materials Master'!$A$2:$A$27,0)),IF($B539="GMPC Recycling",INDEX('Materials Master'!$G$2:$G$27,MATCH($C539,'Materials Master'!$A$2:$A$27,0)),IF($B539="Organics Recycling",INDEX('Materials Master'!$H$2:$H$27,MATCH($C539,'Materials Master'!$A$2:$A$27,0)),IF($B539="Cardboard Recycling",INDEX('Materials Master'!$I$2:$I$27,MATCH($C539,'Materials Master'!$A$2:$A$27,0)),IF($B539="Paper Recycling",INDEX('Materials Master'!$J$2:$J$27,MATCH($C539,'Materials Master'!$A$2:$A$27,0)),IF($B539="Terracycle",INDEX('Materials Master'!$K$2:$K$27,MATCH($C539,'Materials Master'!$A$2:$A$27,0)),"No"))))))="Yes",1,0)</f>
        <v>0</v>
      </c>
    </row>
    <row r="540" customFormat="false" ht="15" hidden="false" customHeight="false" outlineLevel="0" collapsed="false">
      <c r="A540" s="0" t="s">
        <v>99</v>
      </c>
      <c r="B540" s="0" t="s">
        <v>105</v>
      </c>
      <c r="C540" s="0" t="s">
        <v>69</v>
      </c>
      <c r="D540" s="0" t="str">
        <f aca="false">IFERROR(INDEX('Materials Master'!$B$2:$B$27,MATCH($C540,'Materials Master'!$A$2:$A$27,0)),"")</f>
        <v>Fiber-based Compostable Serviceware</v>
      </c>
      <c r="E540" s="0" t="str">
        <f aca="false">IFERROR(INDEX('Materials Master'!$C$2:$C$27,MATCH($C540,'Materials Master'!$A$2:$A$27,0)),"")</f>
        <v>Organics</v>
      </c>
      <c r="F540" s="0" t="n">
        <f aca="false">(SUMIFS(Fact_PreSortWeights!$E$2:$E$15,Fact_PreSortWeights!$C$2:$C$15,$A540,Fact_PreSortWeights!$B$2:$B$15,$B540,Fact_PreSortWeights!$F$2:$F$15,$C540))+(SUMIFS(Fact_SortedWeights!$E$2:$E$6,Fact_SortedWeights!$C$2:$C$6,$A540,Fact_SortedWeights!$B$2:$B$6,$B540,Fact_SortedWeights!$D$2:$D$6,$C540,Fact_SortedWeights!$L$2:$L$6,"Yes"))+IF((SUMIFS(Fact_SortedWeights!$E$2:$E$6,Fact_SortedWeights!$C$2:$C$6,$A540,Fact_SortedWeights!$B$2:$B$6,$B540,Fact_SortedWeights!$L$2:$L$6,"No"))=0,0,(SUMIFS(Fact_SortedWeights!$E$2:$E$6,Fact_SortedWeights!$C$2:$C$6,$A540,Fact_SortedWeights!$B$2:$B$6,$B540,Fact_SortedWeights!$D$2:$D$6,$C540,Fact_SortedWeights!$L$2:$L$6,"No"))/(SUMIFS(Fact_SortedWeights!$E$2:$E$6,Fact_SortedWeights!$C$2:$C$6,$A540,Fact_SortedWeights!$B$2:$B$6,$B540,Fact_SortedWeights!$L$2:$L$6,"No"))*((SUMIFS(Fact_PreSortWeights!$E$2:$E$15,Fact_PreSortWeights!$C$2:$C$15,$A540,Fact_PreSortWeights!$B$2:$B$15,$B540,Fact_PreSortWeights!$F$2:$F$15,""))-(SUMIFS(Fact_SortedWeights!$E$2:$E$6,Fact_SortedWeights!$C$2:$C$6,$A540,Fact_SortedWeights!$B$2:$B$6,$B540,Fact_SortedWeights!$L$2:$L$6,"Yes"))))</f>
        <v>0</v>
      </c>
      <c r="G540" s="0" t="n">
        <f aca="false">IF(AND(IF($B540="Trash",INDEX('Materials Master'!$F$2:$F$27,MATCH($C540,'Materials Master'!$A$2:$A$27,0)),IF($B540="GMPC Recycling",INDEX('Materials Master'!$G$2:$G$27,MATCH($C540,'Materials Master'!$A$2:$A$27,0)),IF($B540="Organics Recycling",INDEX('Materials Master'!$H$2:$H$27,MATCH($C540,'Materials Master'!$A$2:$A$27,0)),IF($B540="Cardboard Recycling",INDEX('Materials Master'!$I$2:$I$27,MATCH($C540,'Materials Master'!$A$2:$A$27,0)),IF($B540="Paper Recycling",INDEX('Materials Master'!$J$2:$J$27,MATCH($C540,'Materials Master'!$A$2:$A$27,0)),IF($B540="Terracycle",INDEX('Materials Master'!$K$2:$K$27,MATCH($C540,'Materials Master'!$A$2:$A$27,0)),"No"))))))="Yes",INDEX('Materials Master'!$E$2:$E$27,MATCH($C540,'Materials Master'!$A$2:$A$27,0))="Yes",$B540&lt;&gt;"Trash"),1,0)</f>
        <v>0</v>
      </c>
      <c r="H540" s="0" t="str">
        <f aca="false">INDEX('Materials Master'!$E$2:$E$27,MATCH($C540,'Materials Master'!$A$2:$A$27,0))</f>
        <v>No</v>
      </c>
      <c r="I540" s="0" t="str">
        <f aca="false">IFERROR(INDEX(Areas!$C$2:$C$6,MATCH($A540,Areas!$B$2:$B$6,0)),"")</f>
        <v>Rest of Building</v>
      </c>
      <c r="J540" s="0" t="n">
        <f aca="false">IF(IF($B540="Trash",INDEX('Materials Master'!$F$2:$F$27,MATCH($C540,'Materials Master'!$A$2:$A$27,0)),IF($B540="GMPC Recycling",INDEX('Materials Master'!$G$2:$G$27,MATCH($C540,'Materials Master'!$A$2:$A$27,0)),IF($B540="Organics Recycling",INDEX('Materials Master'!$H$2:$H$27,MATCH($C540,'Materials Master'!$A$2:$A$27,0)),IF($B540="Cardboard Recycling",INDEX('Materials Master'!$I$2:$I$27,MATCH($C540,'Materials Master'!$A$2:$A$27,0)),IF($B540="Paper Recycling",INDEX('Materials Master'!$J$2:$J$27,MATCH($C540,'Materials Master'!$A$2:$A$27,0)),IF($B540="Terracycle",INDEX('Materials Master'!$K$2:$K$27,MATCH($C540,'Materials Master'!$A$2:$A$27,0)),"No"))))))="Yes",1,0)</f>
        <v>0</v>
      </c>
    </row>
    <row r="541" customFormat="false" ht="15" hidden="false" customHeight="false" outlineLevel="0" collapsed="false">
      <c r="A541" s="0" t="s">
        <v>99</v>
      </c>
      <c r="B541" s="0" t="s">
        <v>105</v>
      </c>
      <c r="C541" s="0" t="s">
        <v>71</v>
      </c>
      <c r="D541" s="0" t="str">
        <f aca="false">IFERROR(INDEX('Materials Master'!$B$2:$B$27,MATCH($C541,'Materials Master'!$A$2:$A$27,0)),"")</f>
        <v>PLA Compostable Serviceware</v>
      </c>
      <c r="E541" s="0" t="str">
        <f aca="false">IFERROR(INDEX('Materials Master'!$C$2:$C$27,MATCH($C541,'Materials Master'!$A$2:$A$27,0)),"")</f>
        <v>Organics</v>
      </c>
      <c r="F541" s="0" t="n">
        <f aca="false">(SUMIFS(Fact_PreSortWeights!$E$2:$E$15,Fact_PreSortWeights!$C$2:$C$15,$A541,Fact_PreSortWeights!$B$2:$B$15,$B541,Fact_PreSortWeights!$F$2:$F$15,$C541))+(SUMIFS(Fact_SortedWeights!$E$2:$E$6,Fact_SortedWeights!$C$2:$C$6,$A541,Fact_SortedWeights!$B$2:$B$6,$B541,Fact_SortedWeights!$D$2:$D$6,$C541,Fact_SortedWeights!$L$2:$L$6,"Yes"))+IF((SUMIFS(Fact_SortedWeights!$E$2:$E$6,Fact_SortedWeights!$C$2:$C$6,$A541,Fact_SortedWeights!$B$2:$B$6,$B541,Fact_SortedWeights!$L$2:$L$6,"No"))=0,0,(SUMIFS(Fact_SortedWeights!$E$2:$E$6,Fact_SortedWeights!$C$2:$C$6,$A541,Fact_SortedWeights!$B$2:$B$6,$B541,Fact_SortedWeights!$D$2:$D$6,$C541,Fact_SortedWeights!$L$2:$L$6,"No"))/(SUMIFS(Fact_SortedWeights!$E$2:$E$6,Fact_SortedWeights!$C$2:$C$6,$A541,Fact_SortedWeights!$B$2:$B$6,$B541,Fact_SortedWeights!$L$2:$L$6,"No"))*((SUMIFS(Fact_PreSortWeights!$E$2:$E$15,Fact_PreSortWeights!$C$2:$C$15,$A541,Fact_PreSortWeights!$B$2:$B$15,$B541,Fact_PreSortWeights!$F$2:$F$15,""))-(SUMIFS(Fact_SortedWeights!$E$2:$E$6,Fact_SortedWeights!$C$2:$C$6,$A541,Fact_SortedWeights!$B$2:$B$6,$B541,Fact_SortedWeights!$L$2:$L$6,"Yes"))))</f>
        <v>0</v>
      </c>
      <c r="G541" s="0" t="n">
        <f aca="false">IF(AND(IF($B541="Trash",INDEX('Materials Master'!$F$2:$F$27,MATCH($C541,'Materials Master'!$A$2:$A$27,0)),IF($B541="GMPC Recycling",INDEX('Materials Master'!$G$2:$G$27,MATCH($C541,'Materials Master'!$A$2:$A$27,0)),IF($B541="Organics Recycling",INDEX('Materials Master'!$H$2:$H$27,MATCH($C541,'Materials Master'!$A$2:$A$27,0)),IF($B541="Cardboard Recycling",INDEX('Materials Master'!$I$2:$I$27,MATCH($C541,'Materials Master'!$A$2:$A$27,0)),IF($B541="Paper Recycling",INDEX('Materials Master'!$J$2:$J$27,MATCH($C541,'Materials Master'!$A$2:$A$27,0)),IF($B541="Terracycle",INDEX('Materials Master'!$K$2:$K$27,MATCH($C541,'Materials Master'!$A$2:$A$27,0)),"No"))))))="Yes",INDEX('Materials Master'!$E$2:$E$27,MATCH($C541,'Materials Master'!$A$2:$A$27,0))="Yes",$B541&lt;&gt;"Trash"),1,0)</f>
        <v>0</v>
      </c>
      <c r="H541" s="0" t="str">
        <f aca="false">INDEX('Materials Master'!$E$2:$E$27,MATCH($C541,'Materials Master'!$A$2:$A$27,0))</f>
        <v>No</v>
      </c>
      <c r="I541" s="0" t="str">
        <f aca="false">IFERROR(INDEX(Areas!$C$2:$C$6,MATCH($A541,Areas!$B$2:$B$6,0)),"")</f>
        <v>Rest of Building</v>
      </c>
      <c r="J541" s="0" t="n">
        <f aca="false">IF(IF($B541="Trash",INDEX('Materials Master'!$F$2:$F$27,MATCH($C541,'Materials Master'!$A$2:$A$27,0)),IF($B541="GMPC Recycling",INDEX('Materials Master'!$G$2:$G$27,MATCH($C541,'Materials Master'!$A$2:$A$27,0)),IF($B541="Organics Recycling",INDEX('Materials Master'!$H$2:$H$27,MATCH($C541,'Materials Master'!$A$2:$A$27,0)),IF($B541="Cardboard Recycling",INDEX('Materials Master'!$I$2:$I$27,MATCH($C541,'Materials Master'!$A$2:$A$27,0)),IF($B541="Paper Recycling",INDEX('Materials Master'!$J$2:$J$27,MATCH($C541,'Materials Master'!$A$2:$A$27,0)),IF($B541="Terracycle",INDEX('Materials Master'!$K$2:$K$27,MATCH($C541,'Materials Master'!$A$2:$A$27,0)),"No"))))))="Yes",1,0)</f>
        <v>0</v>
      </c>
    </row>
    <row r="542" customFormat="false" ht="15" hidden="false" customHeight="false" outlineLevel="0" collapsed="false">
      <c r="A542" s="0" t="s">
        <v>99</v>
      </c>
      <c r="B542" s="0" t="s">
        <v>105</v>
      </c>
      <c r="C542" s="0" t="s">
        <v>73</v>
      </c>
      <c r="D542" s="0" t="str">
        <f aca="false">IFERROR(INDEX('Materials Master'!$B$2:$B$27,MATCH($C542,'Materials Master'!$A$2:$A$27,0)),"")</f>
        <v>E/U Waste</v>
      </c>
      <c r="E542" s="0" t="str">
        <f aca="false">IFERROR(INDEX('Materials Master'!$C$2:$C$27,MATCH($C542,'Materials Master'!$A$2:$A$27,0)),"")</f>
        <v>Unacceptable</v>
      </c>
      <c r="F542" s="0" t="n">
        <f aca="false">(SUMIFS(Fact_PreSortWeights!$E$2:$E$15,Fact_PreSortWeights!$C$2:$C$15,$A542,Fact_PreSortWeights!$B$2:$B$15,$B542,Fact_PreSortWeights!$F$2:$F$15,$C542))+(SUMIFS(Fact_SortedWeights!$E$2:$E$6,Fact_SortedWeights!$C$2:$C$6,$A542,Fact_SortedWeights!$B$2:$B$6,$B542,Fact_SortedWeights!$D$2:$D$6,$C542,Fact_SortedWeights!$L$2:$L$6,"Yes"))+IF((SUMIFS(Fact_SortedWeights!$E$2:$E$6,Fact_SortedWeights!$C$2:$C$6,$A542,Fact_SortedWeights!$B$2:$B$6,$B542,Fact_SortedWeights!$L$2:$L$6,"No"))=0,0,(SUMIFS(Fact_SortedWeights!$E$2:$E$6,Fact_SortedWeights!$C$2:$C$6,$A542,Fact_SortedWeights!$B$2:$B$6,$B542,Fact_SortedWeights!$D$2:$D$6,$C542,Fact_SortedWeights!$L$2:$L$6,"No"))/(SUMIFS(Fact_SortedWeights!$E$2:$E$6,Fact_SortedWeights!$C$2:$C$6,$A542,Fact_SortedWeights!$B$2:$B$6,$B542,Fact_SortedWeights!$L$2:$L$6,"No"))*((SUMIFS(Fact_PreSortWeights!$E$2:$E$15,Fact_PreSortWeights!$C$2:$C$15,$A542,Fact_PreSortWeights!$B$2:$B$15,$B542,Fact_PreSortWeights!$F$2:$F$15,""))-(SUMIFS(Fact_SortedWeights!$E$2:$E$6,Fact_SortedWeights!$C$2:$C$6,$A542,Fact_SortedWeights!$B$2:$B$6,$B542,Fact_SortedWeights!$L$2:$L$6,"Yes"))))</f>
        <v>0</v>
      </c>
      <c r="G542" s="0" t="n">
        <f aca="false">IF(AND(IF($B542="Trash",INDEX('Materials Master'!$F$2:$F$27,MATCH($C542,'Materials Master'!$A$2:$A$27,0)),IF($B542="GMPC Recycling",INDEX('Materials Master'!$G$2:$G$27,MATCH($C542,'Materials Master'!$A$2:$A$27,0)),IF($B542="Organics Recycling",INDEX('Materials Master'!$H$2:$H$27,MATCH($C542,'Materials Master'!$A$2:$A$27,0)),IF($B542="Cardboard Recycling",INDEX('Materials Master'!$I$2:$I$27,MATCH($C542,'Materials Master'!$A$2:$A$27,0)),IF($B542="Paper Recycling",INDEX('Materials Master'!$J$2:$J$27,MATCH($C542,'Materials Master'!$A$2:$A$27,0)),IF($B542="Terracycle",INDEX('Materials Master'!$K$2:$K$27,MATCH($C542,'Materials Master'!$A$2:$A$27,0)),"No"))))))="Yes",INDEX('Materials Master'!$E$2:$E$27,MATCH($C542,'Materials Master'!$A$2:$A$27,0))="Yes",$B542&lt;&gt;"Trash"),1,0)</f>
        <v>0</v>
      </c>
      <c r="H542" s="0" t="str">
        <f aca="false">INDEX('Materials Master'!$E$2:$E$27,MATCH($C542,'Materials Master'!$A$2:$A$27,0))</f>
        <v>No</v>
      </c>
      <c r="I542" s="0" t="str">
        <f aca="false">IFERROR(INDEX(Areas!$C$2:$C$6,MATCH($A542,Areas!$B$2:$B$6,0)),"")</f>
        <v>Rest of Building</v>
      </c>
      <c r="J542" s="0" t="n">
        <f aca="false">IF(IF($B542="Trash",INDEX('Materials Master'!$F$2:$F$27,MATCH($C542,'Materials Master'!$A$2:$A$27,0)),IF($B542="GMPC Recycling",INDEX('Materials Master'!$G$2:$G$27,MATCH($C542,'Materials Master'!$A$2:$A$27,0)),IF($B542="Organics Recycling",INDEX('Materials Master'!$H$2:$H$27,MATCH($C542,'Materials Master'!$A$2:$A$27,0)),IF($B542="Cardboard Recycling",INDEX('Materials Master'!$I$2:$I$27,MATCH($C542,'Materials Master'!$A$2:$A$27,0)),IF($B542="Paper Recycling",INDEX('Materials Master'!$J$2:$J$27,MATCH($C542,'Materials Master'!$A$2:$A$27,0)),IF($B542="Terracycle",INDEX('Materials Master'!$K$2:$K$27,MATCH($C542,'Materials Master'!$A$2:$A$27,0)),"No"))))))="Yes",1,0)</f>
        <v>0</v>
      </c>
    </row>
    <row r="543" customFormat="false" ht="15" hidden="false" customHeight="false" outlineLevel="0" collapsed="false">
      <c r="A543" s="0" t="s">
        <v>99</v>
      </c>
      <c r="B543" s="0" t="s">
        <v>105</v>
      </c>
      <c r="C543" s="0" t="s">
        <v>76</v>
      </c>
      <c r="D543" s="0" t="str">
        <f aca="false">IFERROR(INDEX('Materials Master'!$B$2:$B$27,MATCH($C543,'Materials Master'!$A$2:$A$27,0)),"")</f>
        <v>Textiles</v>
      </c>
      <c r="E543" s="0" t="str">
        <f aca="false">IFERROR(INDEX('Materials Master'!$C$2:$C$27,MATCH($C543,'Materials Master'!$A$2:$A$27,0)),"")</f>
        <v>Unacceptable</v>
      </c>
      <c r="F543" s="0" t="n">
        <f aca="false">(SUMIFS(Fact_PreSortWeights!$E$2:$E$15,Fact_PreSortWeights!$C$2:$C$15,$A543,Fact_PreSortWeights!$B$2:$B$15,$B543,Fact_PreSortWeights!$F$2:$F$15,$C543))+(SUMIFS(Fact_SortedWeights!$E$2:$E$6,Fact_SortedWeights!$C$2:$C$6,$A543,Fact_SortedWeights!$B$2:$B$6,$B543,Fact_SortedWeights!$D$2:$D$6,$C543,Fact_SortedWeights!$L$2:$L$6,"Yes"))+IF((SUMIFS(Fact_SortedWeights!$E$2:$E$6,Fact_SortedWeights!$C$2:$C$6,$A543,Fact_SortedWeights!$B$2:$B$6,$B543,Fact_SortedWeights!$L$2:$L$6,"No"))=0,0,(SUMIFS(Fact_SortedWeights!$E$2:$E$6,Fact_SortedWeights!$C$2:$C$6,$A543,Fact_SortedWeights!$B$2:$B$6,$B543,Fact_SortedWeights!$D$2:$D$6,$C543,Fact_SortedWeights!$L$2:$L$6,"No"))/(SUMIFS(Fact_SortedWeights!$E$2:$E$6,Fact_SortedWeights!$C$2:$C$6,$A543,Fact_SortedWeights!$B$2:$B$6,$B543,Fact_SortedWeights!$L$2:$L$6,"No"))*((SUMIFS(Fact_PreSortWeights!$E$2:$E$15,Fact_PreSortWeights!$C$2:$C$15,$A543,Fact_PreSortWeights!$B$2:$B$15,$B543,Fact_PreSortWeights!$F$2:$F$15,""))-(SUMIFS(Fact_SortedWeights!$E$2:$E$6,Fact_SortedWeights!$C$2:$C$6,$A543,Fact_SortedWeights!$B$2:$B$6,$B543,Fact_SortedWeights!$L$2:$L$6,"Yes"))))</f>
        <v>0</v>
      </c>
      <c r="G543" s="0" t="n">
        <f aca="false">IF(AND(IF($B543="Trash",INDEX('Materials Master'!$F$2:$F$27,MATCH($C543,'Materials Master'!$A$2:$A$27,0)),IF($B543="GMPC Recycling",INDEX('Materials Master'!$G$2:$G$27,MATCH($C543,'Materials Master'!$A$2:$A$27,0)),IF($B543="Organics Recycling",INDEX('Materials Master'!$H$2:$H$27,MATCH($C543,'Materials Master'!$A$2:$A$27,0)),IF($B543="Cardboard Recycling",INDEX('Materials Master'!$I$2:$I$27,MATCH($C543,'Materials Master'!$A$2:$A$27,0)),IF($B543="Paper Recycling",INDEX('Materials Master'!$J$2:$J$27,MATCH($C543,'Materials Master'!$A$2:$A$27,0)),IF($B543="Terracycle",INDEX('Materials Master'!$K$2:$K$27,MATCH($C543,'Materials Master'!$A$2:$A$27,0)),"No"))))))="Yes",INDEX('Materials Master'!$E$2:$E$27,MATCH($C543,'Materials Master'!$A$2:$A$27,0))="Yes",$B543&lt;&gt;"Trash"),1,0)</f>
        <v>0</v>
      </c>
      <c r="H543" s="0" t="str">
        <f aca="false">INDEX('Materials Master'!$E$2:$E$27,MATCH($C543,'Materials Master'!$A$2:$A$27,0))</f>
        <v>No</v>
      </c>
      <c r="I543" s="0" t="str">
        <f aca="false">IFERROR(INDEX(Areas!$C$2:$C$6,MATCH($A543,Areas!$B$2:$B$6,0)),"")</f>
        <v>Rest of Building</v>
      </c>
      <c r="J543" s="0" t="n">
        <f aca="false">IF(IF($B543="Trash",INDEX('Materials Master'!$F$2:$F$27,MATCH($C543,'Materials Master'!$A$2:$A$27,0)),IF($B543="GMPC Recycling",INDEX('Materials Master'!$G$2:$G$27,MATCH($C543,'Materials Master'!$A$2:$A$27,0)),IF($B543="Organics Recycling",INDEX('Materials Master'!$H$2:$H$27,MATCH($C543,'Materials Master'!$A$2:$A$27,0)),IF($B543="Cardboard Recycling",INDEX('Materials Master'!$I$2:$I$27,MATCH($C543,'Materials Master'!$A$2:$A$27,0)),IF($B543="Paper Recycling",INDEX('Materials Master'!$J$2:$J$27,MATCH($C543,'Materials Master'!$A$2:$A$27,0)),IF($B543="Terracycle",INDEX('Materials Master'!$K$2:$K$27,MATCH($C543,'Materials Master'!$A$2:$A$27,0)),"No"))))))="Yes",1,0)</f>
        <v>0</v>
      </c>
    </row>
    <row r="544" customFormat="false" ht="15" hidden="false" customHeight="false" outlineLevel="0" collapsed="false">
      <c r="A544" s="0" t="s">
        <v>99</v>
      </c>
      <c r="B544" s="0" t="s">
        <v>105</v>
      </c>
      <c r="C544" s="0" t="s">
        <v>78</v>
      </c>
      <c r="D544" s="0" t="str">
        <f aca="false">IFERROR(INDEX('Materials Master'!$B$2:$B$27,MATCH($C544,'Materials Master'!$A$2:$A$27,0)),"")</f>
        <v>Other Unacceptable (specify)</v>
      </c>
      <c r="E544" s="0" t="str">
        <f aca="false">IFERROR(INDEX('Materials Master'!$C$2:$C$27,MATCH($C544,'Materials Master'!$A$2:$A$27,0)),"")</f>
        <v>Unacceptable</v>
      </c>
      <c r="F544" s="0" t="n">
        <f aca="false">(SUMIFS(Fact_PreSortWeights!$E$2:$E$15,Fact_PreSortWeights!$C$2:$C$15,$A544,Fact_PreSortWeights!$B$2:$B$15,$B544,Fact_PreSortWeights!$F$2:$F$15,$C544))+(SUMIFS(Fact_SortedWeights!$E$2:$E$6,Fact_SortedWeights!$C$2:$C$6,$A544,Fact_SortedWeights!$B$2:$B$6,$B544,Fact_SortedWeights!$D$2:$D$6,$C544,Fact_SortedWeights!$L$2:$L$6,"Yes"))+IF((SUMIFS(Fact_SortedWeights!$E$2:$E$6,Fact_SortedWeights!$C$2:$C$6,$A544,Fact_SortedWeights!$B$2:$B$6,$B544,Fact_SortedWeights!$L$2:$L$6,"No"))=0,0,(SUMIFS(Fact_SortedWeights!$E$2:$E$6,Fact_SortedWeights!$C$2:$C$6,$A544,Fact_SortedWeights!$B$2:$B$6,$B544,Fact_SortedWeights!$D$2:$D$6,$C544,Fact_SortedWeights!$L$2:$L$6,"No"))/(SUMIFS(Fact_SortedWeights!$E$2:$E$6,Fact_SortedWeights!$C$2:$C$6,$A544,Fact_SortedWeights!$B$2:$B$6,$B544,Fact_SortedWeights!$L$2:$L$6,"No"))*((SUMIFS(Fact_PreSortWeights!$E$2:$E$15,Fact_PreSortWeights!$C$2:$C$15,$A544,Fact_PreSortWeights!$B$2:$B$15,$B544,Fact_PreSortWeights!$F$2:$F$15,""))-(SUMIFS(Fact_SortedWeights!$E$2:$E$6,Fact_SortedWeights!$C$2:$C$6,$A544,Fact_SortedWeights!$B$2:$B$6,$B544,Fact_SortedWeights!$L$2:$L$6,"Yes"))))</f>
        <v>0</v>
      </c>
      <c r="G544" s="0" t="n">
        <f aca="false">IF(AND(IF($B544="Trash",INDEX('Materials Master'!$F$2:$F$27,MATCH($C544,'Materials Master'!$A$2:$A$27,0)),IF($B544="GMPC Recycling",INDEX('Materials Master'!$G$2:$G$27,MATCH($C544,'Materials Master'!$A$2:$A$27,0)),IF($B544="Organics Recycling",INDEX('Materials Master'!$H$2:$H$27,MATCH($C544,'Materials Master'!$A$2:$A$27,0)),IF($B544="Cardboard Recycling",INDEX('Materials Master'!$I$2:$I$27,MATCH($C544,'Materials Master'!$A$2:$A$27,0)),IF($B544="Paper Recycling",INDEX('Materials Master'!$J$2:$J$27,MATCH($C544,'Materials Master'!$A$2:$A$27,0)),IF($B544="Terracycle",INDEX('Materials Master'!$K$2:$K$27,MATCH($C544,'Materials Master'!$A$2:$A$27,0)),"No"))))))="Yes",INDEX('Materials Master'!$E$2:$E$27,MATCH($C544,'Materials Master'!$A$2:$A$27,0))="Yes",$B544&lt;&gt;"Trash"),1,0)</f>
        <v>0</v>
      </c>
      <c r="H544" s="0" t="str">
        <f aca="false">INDEX('Materials Master'!$E$2:$E$27,MATCH($C544,'Materials Master'!$A$2:$A$27,0))</f>
        <v>No</v>
      </c>
      <c r="I544" s="0" t="str">
        <f aca="false">IFERROR(INDEX(Areas!$C$2:$C$6,MATCH($A544,Areas!$B$2:$B$6,0)),"")</f>
        <v>Rest of Building</v>
      </c>
      <c r="J544" s="0" t="n">
        <f aca="false">IF(IF($B544="Trash",INDEX('Materials Master'!$F$2:$F$27,MATCH($C544,'Materials Master'!$A$2:$A$27,0)),IF($B544="GMPC Recycling",INDEX('Materials Master'!$G$2:$G$27,MATCH($C544,'Materials Master'!$A$2:$A$27,0)),IF($B544="Organics Recycling",INDEX('Materials Master'!$H$2:$H$27,MATCH($C544,'Materials Master'!$A$2:$A$27,0)),IF($B544="Cardboard Recycling",INDEX('Materials Master'!$I$2:$I$27,MATCH($C544,'Materials Master'!$A$2:$A$27,0)),IF($B544="Paper Recycling",INDEX('Materials Master'!$J$2:$J$27,MATCH($C544,'Materials Master'!$A$2:$A$27,0)),IF($B544="Terracycle",INDEX('Materials Master'!$K$2:$K$27,MATCH($C544,'Materials Master'!$A$2:$A$27,0)),"No"))))))="Yes",1,0)</f>
        <v>0</v>
      </c>
    </row>
    <row r="545" customFormat="false" ht="15" hidden="false" customHeight="false" outlineLevel="0" collapsed="false">
      <c r="A545" s="0" t="s">
        <v>99</v>
      </c>
      <c r="B545" s="0" t="s">
        <v>105</v>
      </c>
      <c r="C545" s="0" t="s">
        <v>80</v>
      </c>
      <c r="D545" s="0" t="str">
        <f aca="false">IFERROR(INDEX('Materials Master'!$B$2:$B$27,MATCH($C545,'Materials Master'!$A$2:$A$27,0)),"")</f>
        <v>Liquids</v>
      </c>
      <c r="E545" s="0" t="str">
        <f aca="false">IFERROR(INDEX('Materials Master'!$C$2:$C$27,MATCH($C545,'Materials Master'!$A$2:$A$27,0)),"")</f>
        <v>Unacceptable</v>
      </c>
      <c r="F545" s="0" t="n">
        <f aca="false">(SUMIFS(Fact_PreSortWeights!$E$2:$E$15,Fact_PreSortWeights!$C$2:$C$15,$A545,Fact_PreSortWeights!$B$2:$B$15,$B545,Fact_PreSortWeights!$F$2:$F$15,$C545))+(SUMIFS(Fact_SortedWeights!$E$2:$E$6,Fact_SortedWeights!$C$2:$C$6,$A545,Fact_SortedWeights!$B$2:$B$6,$B545,Fact_SortedWeights!$D$2:$D$6,$C545,Fact_SortedWeights!$L$2:$L$6,"Yes"))+IF((SUMIFS(Fact_SortedWeights!$E$2:$E$6,Fact_SortedWeights!$C$2:$C$6,$A545,Fact_SortedWeights!$B$2:$B$6,$B545,Fact_SortedWeights!$L$2:$L$6,"No"))=0,0,(SUMIFS(Fact_SortedWeights!$E$2:$E$6,Fact_SortedWeights!$C$2:$C$6,$A545,Fact_SortedWeights!$B$2:$B$6,$B545,Fact_SortedWeights!$D$2:$D$6,$C545,Fact_SortedWeights!$L$2:$L$6,"No"))/(SUMIFS(Fact_SortedWeights!$E$2:$E$6,Fact_SortedWeights!$C$2:$C$6,$A545,Fact_SortedWeights!$B$2:$B$6,$B545,Fact_SortedWeights!$L$2:$L$6,"No"))*((SUMIFS(Fact_PreSortWeights!$E$2:$E$15,Fact_PreSortWeights!$C$2:$C$15,$A545,Fact_PreSortWeights!$B$2:$B$15,$B545,Fact_PreSortWeights!$F$2:$F$15,""))-(SUMIFS(Fact_SortedWeights!$E$2:$E$6,Fact_SortedWeights!$C$2:$C$6,$A545,Fact_SortedWeights!$B$2:$B$6,$B545,Fact_SortedWeights!$L$2:$L$6,"Yes"))))</f>
        <v>0</v>
      </c>
      <c r="G545" s="0" t="n">
        <f aca="false">IF(AND(IF($B545="Trash",INDEX('Materials Master'!$F$2:$F$27,MATCH($C545,'Materials Master'!$A$2:$A$27,0)),IF($B545="GMPC Recycling",INDEX('Materials Master'!$G$2:$G$27,MATCH($C545,'Materials Master'!$A$2:$A$27,0)),IF($B545="Organics Recycling",INDEX('Materials Master'!$H$2:$H$27,MATCH($C545,'Materials Master'!$A$2:$A$27,0)),IF($B545="Cardboard Recycling",INDEX('Materials Master'!$I$2:$I$27,MATCH($C545,'Materials Master'!$A$2:$A$27,0)),IF($B545="Paper Recycling",INDEX('Materials Master'!$J$2:$J$27,MATCH($C545,'Materials Master'!$A$2:$A$27,0)),IF($B545="Terracycle",INDEX('Materials Master'!$K$2:$K$27,MATCH($C545,'Materials Master'!$A$2:$A$27,0)),"No"))))))="Yes",INDEX('Materials Master'!$E$2:$E$27,MATCH($C545,'Materials Master'!$A$2:$A$27,0))="Yes",$B545&lt;&gt;"Trash"),1,0)</f>
        <v>0</v>
      </c>
      <c r="H545" s="0" t="str">
        <f aca="false">INDEX('Materials Master'!$E$2:$E$27,MATCH($C545,'Materials Master'!$A$2:$A$27,0))</f>
        <v>No</v>
      </c>
      <c r="I545" s="0" t="str">
        <f aca="false">IFERROR(INDEX(Areas!$C$2:$C$6,MATCH($A545,Areas!$B$2:$B$6,0)),"")</f>
        <v>Rest of Building</v>
      </c>
      <c r="J545" s="0" t="n">
        <f aca="false">IF(IF($B545="Trash",INDEX('Materials Master'!$F$2:$F$27,MATCH($C545,'Materials Master'!$A$2:$A$27,0)),IF($B545="GMPC Recycling",INDEX('Materials Master'!$G$2:$G$27,MATCH($C545,'Materials Master'!$A$2:$A$27,0)),IF($B545="Organics Recycling",INDEX('Materials Master'!$H$2:$H$27,MATCH($C545,'Materials Master'!$A$2:$A$27,0)),IF($B545="Cardboard Recycling",INDEX('Materials Master'!$I$2:$I$27,MATCH($C545,'Materials Master'!$A$2:$A$27,0)),IF($B545="Paper Recycling",INDEX('Materials Master'!$J$2:$J$27,MATCH($C545,'Materials Master'!$A$2:$A$27,0)),IF($B545="Terracycle",INDEX('Materials Master'!$K$2:$K$27,MATCH($C545,'Materials Master'!$A$2:$A$27,0)),"No"))))))="Yes",1,0)</f>
        <v>0</v>
      </c>
    </row>
    <row r="546" customFormat="false" ht="15" hidden="false" customHeight="false" outlineLevel="0" collapsed="false">
      <c r="A546" s="0" t="s">
        <v>99</v>
      </c>
      <c r="B546" s="0" t="s">
        <v>105</v>
      </c>
      <c r="C546" s="0" t="s">
        <v>82</v>
      </c>
      <c r="D546" s="0" t="str">
        <f aca="false">IFERROR(INDEX('Materials Master'!$B$2:$B$27,MATCH($C546,'Materials Master'!$A$2:$A$27,0)),"")</f>
        <v>Snack Wrappers (Composites)</v>
      </c>
      <c r="E546" s="0" t="str">
        <f aca="false">IFERROR(INDEX('Materials Master'!$C$2:$C$27,MATCH($C546,'Materials Master'!$A$2:$A$27,0)),"")</f>
        <v>Other</v>
      </c>
      <c r="F546" s="0" t="n">
        <f aca="false">(SUMIFS(Fact_PreSortWeights!$E$2:$E$15,Fact_PreSortWeights!$C$2:$C$15,$A546,Fact_PreSortWeights!$B$2:$B$15,$B546,Fact_PreSortWeights!$F$2:$F$15,$C546))+(SUMIFS(Fact_SortedWeights!$E$2:$E$6,Fact_SortedWeights!$C$2:$C$6,$A546,Fact_SortedWeights!$B$2:$B$6,$B546,Fact_SortedWeights!$D$2:$D$6,$C546,Fact_SortedWeights!$L$2:$L$6,"Yes"))+IF((SUMIFS(Fact_SortedWeights!$E$2:$E$6,Fact_SortedWeights!$C$2:$C$6,$A546,Fact_SortedWeights!$B$2:$B$6,$B546,Fact_SortedWeights!$L$2:$L$6,"No"))=0,0,(SUMIFS(Fact_SortedWeights!$E$2:$E$6,Fact_SortedWeights!$C$2:$C$6,$A546,Fact_SortedWeights!$B$2:$B$6,$B546,Fact_SortedWeights!$D$2:$D$6,$C546,Fact_SortedWeights!$L$2:$L$6,"No"))/(SUMIFS(Fact_SortedWeights!$E$2:$E$6,Fact_SortedWeights!$C$2:$C$6,$A546,Fact_SortedWeights!$B$2:$B$6,$B546,Fact_SortedWeights!$L$2:$L$6,"No"))*((SUMIFS(Fact_PreSortWeights!$E$2:$E$15,Fact_PreSortWeights!$C$2:$C$15,$A546,Fact_PreSortWeights!$B$2:$B$15,$B546,Fact_PreSortWeights!$F$2:$F$15,""))-(SUMIFS(Fact_SortedWeights!$E$2:$E$6,Fact_SortedWeights!$C$2:$C$6,$A546,Fact_SortedWeights!$B$2:$B$6,$B546,Fact_SortedWeights!$L$2:$L$6,"Yes"))))</f>
        <v>0</v>
      </c>
      <c r="G546" s="0" t="n">
        <f aca="false">IF(AND(IF($B546="Trash",INDEX('Materials Master'!$F$2:$F$27,MATCH($C546,'Materials Master'!$A$2:$A$27,0)),IF($B546="GMPC Recycling",INDEX('Materials Master'!$G$2:$G$27,MATCH($C546,'Materials Master'!$A$2:$A$27,0)),IF($B546="Organics Recycling",INDEX('Materials Master'!$H$2:$H$27,MATCH($C546,'Materials Master'!$A$2:$A$27,0)),IF($B546="Cardboard Recycling",INDEX('Materials Master'!$I$2:$I$27,MATCH($C546,'Materials Master'!$A$2:$A$27,0)),IF($B546="Paper Recycling",INDEX('Materials Master'!$J$2:$J$27,MATCH($C546,'Materials Master'!$A$2:$A$27,0)),IF($B546="Terracycle",INDEX('Materials Master'!$K$2:$K$27,MATCH($C546,'Materials Master'!$A$2:$A$27,0)),"No"))))))="Yes",INDEX('Materials Master'!$E$2:$E$27,MATCH($C546,'Materials Master'!$A$2:$A$27,0))="Yes",$B546&lt;&gt;"Trash"),1,0)</f>
        <v>0</v>
      </c>
      <c r="H546" s="0" t="str">
        <f aca="false">INDEX('Materials Master'!$E$2:$E$27,MATCH($C546,'Materials Master'!$A$2:$A$27,0))</f>
        <v>Yes</v>
      </c>
      <c r="I546" s="0" t="str">
        <f aca="false">IFERROR(INDEX(Areas!$C$2:$C$6,MATCH($A546,Areas!$B$2:$B$6,0)),"")</f>
        <v>Rest of Building</v>
      </c>
      <c r="J546" s="0" t="n">
        <f aca="false">IF(IF($B546="Trash",INDEX('Materials Master'!$F$2:$F$27,MATCH($C546,'Materials Master'!$A$2:$A$27,0)),IF($B546="GMPC Recycling",INDEX('Materials Master'!$G$2:$G$27,MATCH($C546,'Materials Master'!$A$2:$A$27,0)),IF($B546="Organics Recycling",INDEX('Materials Master'!$H$2:$H$27,MATCH($C546,'Materials Master'!$A$2:$A$27,0)),IF($B546="Cardboard Recycling",INDEX('Materials Master'!$I$2:$I$27,MATCH($C546,'Materials Master'!$A$2:$A$27,0)),IF($B546="Paper Recycling",INDEX('Materials Master'!$J$2:$J$27,MATCH($C546,'Materials Master'!$A$2:$A$27,0)),IF($B546="Terracycle",INDEX('Materials Master'!$K$2:$K$27,MATCH($C546,'Materials Master'!$A$2:$A$27,0)),"No"))))))="Yes",1,0)</f>
        <v>0</v>
      </c>
    </row>
    <row r="547" customFormat="false" ht="15" hidden="false" customHeight="false" outlineLevel="0" collapsed="false">
      <c r="A547" s="0" t="s">
        <v>99</v>
      </c>
      <c r="B547" s="0" t="s">
        <v>105</v>
      </c>
      <c r="C547" s="0" t="s">
        <v>85</v>
      </c>
      <c r="D547" s="0" t="str">
        <f aca="false">IFERROR(INDEX('Materials Master'!$B$2:$B$27,MATCH($C547,'Materials Master'!$A$2:$A$27,0)),"")</f>
        <v>Other/Residual Materials</v>
      </c>
      <c r="E547" s="0" t="str">
        <f aca="false">IFERROR(INDEX('Materials Master'!$C$2:$C$27,MATCH($C547,'Materials Master'!$A$2:$A$27,0)),"")</f>
        <v>Other</v>
      </c>
      <c r="F547" s="0" t="n">
        <f aca="false">(SUMIFS(Fact_PreSortWeights!$E$2:$E$15,Fact_PreSortWeights!$C$2:$C$15,$A547,Fact_PreSortWeights!$B$2:$B$15,$B547,Fact_PreSortWeights!$F$2:$F$15,$C547))+(SUMIFS(Fact_SortedWeights!$E$2:$E$6,Fact_SortedWeights!$C$2:$C$6,$A547,Fact_SortedWeights!$B$2:$B$6,$B547,Fact_SortedWeights!$D$2:$D$6,$C547,Fact_SortedWeights!$L$2:$L$6,"Yes"))+IF((SUMIFS(Fact_SortedWeights!$E$2:$E$6,Fact_SortedWeights!$C$2:$C$6,$A547,Fact_SortedWeights!$B$2:$B$6,$B547,Fact_SortedWeights!$L$2:$L$6,"No"))=0,0,(SUMIFS(Fact_SortedWeights!$E$2:$E$6,Fact_SortedWeights!$C$2:$C$6,$A547,Fact_SortedWeights!$B$2:$B$6,$B547,Fact_SortedWeights!$D$2:$D$6,$C547,Fact_SortedWeights!$L$2:$L$6,"No"))/(SUMIFS(Fact_SortedWeights!$E$2:$E$6,Fact_SortedWeights!$C$2:$C$6,$A547,Fact_SortedWeights!$B$2:$B$6,$B547,Fact_SortedWeights!$L$2:$L$6,"No"))*((SUMIFS(Fact_PreSortWeights!$E$2:$E$15,Fact_PreSortWeights!$C$2:$C$15,$A547,Fact_PreSortWeights!$B$2:$B$15,$B547,Fact_PreSortWeights!$F$2:$F$15,""))-(SUMIFS(Fact_SortedWeights!$E$2:$E$6,Fact_SortedWeights!$C$2:$C$6,$A547,Fact_SortedWeights!$B$2:$B$6,$B547,Fact_SortedWeights!$L$2:$L$6,"Yes"))))</f>
        <v>0</v>
      </c>
      <c r="G547" s="0" t="n">
        <f aca="false">IF(AND(IF($B547="Trash",INDEX('Materials Master'!$F$2:$F$27,MATCH($C547,'Materials Master'!$A$2:$A$27,0)),IF($B547="GMPC Recycling",INDEX('Materials Master'!$G$2:$G$27,MATCH($C547,'Materials Master'!$A$2:$A$27,0)),IF($B547="Organics Recycling",INDEX('Materials Master'!$H$2:$H$27,MATCH($C547,'Materials Master'!$A$2:$A$27,0)),IF($B547="Cardboard Recycling",INDEX('Materials Master'!$I$2:$I$27,MATCH($C547,'Materials Master'!$A$2:$A$27,0)),IF($B547="Paper Recycling",INDEX('Materials Master'!$J$2:$J$27,MATCH($C547,'Materials Master'!$A$2:$A$27,0)),IF($B547="Terracycle",INDEX('Materials Master'!$K$2:$K$27,MATCH($C547,'Materials Master'!$A$2:$A$27,0)),"No"))))))="Yes",INDEX('Materials Master'!$E$2:$E$27,MATCH($C547,'Materials Master'!$A$2:$A$27,0))="Yes",$B547&lt;&gt;"Trash"),1,0)</f>
        <v>0</v>
      </c>
      <c r="H547" s="0" t="str">
        <f aca="false">INDEX('Materials Master'!$E$2:$E$27,MATCH($C547,'Materials Master'!$A$2:$A$27,0))</f>
        <v>No</v>
      </c>
      <c r="I547" s="0" t="str">
        <f aca="false">IFERROR(INDEX(Areas!$C$2:$C$6,MATCH($A547,Areas!$B$2:$B$6,0)),"")</f>
        <v>Rest of Building</v>
      </c>
      <c r="J547" s="0" t="n">
        <f aca="false">IF(IF($B547="Trash",INDEX('Materials Master'!$F$2:$F$27,MATCH($C547,'Materials Master'!$A$2:$A$27,0)),IF($B547="GMPC Recycling",INDEX('Materials Master'!$G$2:$G$27,MATCH($C547,'Materials Master'!$A$2:$A$27,0)),IF($B547="Organics Recycling",INDEX('Materials Master'!$H$2:$H$27,MATCH($C547,'Materials Master'!$A$2:$A$27,0)),IF($B547="Cardboard Recycling",INDEX('Materials Master'!$I$2:$I$27,MATCH($C547,'Materials Master'!$A$2:$A$27,0)),IF($B547="Paper Recycling",INDEX('Materials Master'!$J$2:$J$27,MATCH($C547,'Materials Master'!$A$2:$A$27,0)),IF($B547="Terracycle",INDEX('Materials Master'!$K$2:$K$27,MATCH($C547,'Materials Master'!$A$2:$A$27,0)),"No"))))))="Yes",1,0)</f>
        <v>0</v>
      </c>
    </row>
    <row r="548" customFormat="false" ht="15" hidden="false" customHeight="false" outlineLevel="0" collapsed="false">
      <c r="A548" s="0" t="s">
        <v>99</v>
      </c>
      <c r="B548" s="0" t="s">
        <v>106</v>
      </c>
      <c r="C548" s="0" t="s">
        <v>26</v>
      </c>
      <c r="D548" s="0" t="str">
        <f aca="false">IFERROR(INDEX('Materials Master'!$B$2:$B$27,MATCH($C548,'Materials Master'!$A$2:$A$27,0)),"")</f>
        <v>Corrugated Cardboard</v>
      </c>
      <c r="E548" s="0" t="str">
        <f aca="false">IFERROR(INDEX('Materials Master'!$C$2:$C$27,MATCH($C548,'Materials Master'!$A$2:$A$27,0)),"")</f>
        <v>Fibers</v>
      </c>
      <c r="F548" s="0" t="n">
        <f aca="false">SUMIFS(Fact_SortedWeights!$E$2:$E$6,Fact_SortedWeights!$C$2:$C$6,$A548,Fact_SortedWeights!$B$2:$B$6,$B548,Fact_SortedWeights!$D$2:$D$6,$C548)</f>
        <v>0</v>
      </c>
      <c r="G548" s="0" t="n">
        <f aca="false">IF(AND(IF($B548="Trash",INDEX('Materials Master'!$F$2:$F$27,MATCH($C548,'Materials Master'!$A$2:$A$27,0)),IF($B548="GMPC Recycling",INDEX('Materials Master'!$G$2:$G$27,MATCH($C548,'Materials Master'!$A$2:$A$27,0)),IF($B548="Organics Recycling",INDEX('Materials Master'!$H$2:$H$27,MATCH($C548,'Materials Master'!$A$2:$A$27,0)),IF($B548="Cardboard Recycling",INDEX('Materials Master'!$I$2:$I$27,MATCH($C548,'Materials Master'!$A$2:$A$27,0)),IF($B548="Paper Recycling",INDEX('Materials Master'!$J$2:$J$27,MATCH($C548,'Materials Master'!$A$2:$A$27,0)),IF($B548="Terracycle",INDEX('Materials Master'!$K$2:$K$27,MATCH($C548,'Materials Master'!$A$2:$A$27,0)),"No"))))))="Yes",INDEX('Materials Master'!$E$2:$E$27,MATCH($C548,'Materials Master'!$A$2:$A$27,0))="Yes",$B548&lt;&gt;"Trash"),1,0)</f>
        <v>1</v>
      </c>
      <c r="H548" s="0" t="str">
        <f aca="false">INDEX('Materials Master'!$E$2:$E$27,MATCH($C548,'Materials Master'!$A$2:$A$27,0))</f>
        <v>Yes</v>
      </c>
      <c r="I548" s="0" t="str">
        <f aca="false">IFERROR(INDEX(Areas!$C$2:$C$6,MATCH($A548,Areas!$B$2:$B$6,0)),"")</f>
        <v>Rest of Building</v>
      </c>
      <c r="J548" s="0" t="n">
        <f aca="false">IF(IF($B548="Trash",INDEX('Materials Master'!$F$2:$F$27,MATCH($C548,'Materials Master'!$A$2:$A$27,0)),IF($B548="GMPC Recycling",INDEX('Materials Master'!$G$2:$G$27,MATCH($C548,'Materials Master'!$A$2:$A$27,0)),IF($B548="Organics Recycling",INDEX('Materials Master'!$H$2:$H$27,MATCH($C548,'Materials Master'!$A$2:$A$27,0)),IF($B548="Cardboard Recycling",INDEX('Materials Master'!$I$2:$I$27,MATCH($C548,'Materials Master'!$A$2:$A$27,0)),IF($B548="Paper Recycling",INDEX('Materials Master'!$J$2:$J$27,MATCH($C548,'Materials Master'!$A$2:$A$27,0)),IF($B548="Terracycle",INDEX('Materials Master'!$K$2:$K$27,MATCH($C548,'Materials Master'!$A$2:$A$27,0)),"No"))))))="Yes",1,0)</f>
        <v>1</v>
      </c>
    </row>
    <row r="549" customFormat="false" ht="15" hidden="false" customHeight="false" outlineLevel="0" collapsed="false">
      <c r="A549" s="0" t="s">
        <v>99</v>
      </c>
      <c r="B549" s="0" t="s">
        <v>106</v>
      </c>
      <c r="C549" s="0" t="s">
        <v>31</v>
      </c>
      <c r="D549" s="0" t="str">
        <f aca="false">IFERROR(INDEX('Materials Master'!$B$2:$B$27,MATCH($C549,'Materials Master'!$A$2:$A$27,0)),"")</f>
        <v>Soiled Cardboard</v>
      </c>
      <c r="E549" s="0" t="str">
        <f aca="false">IFERROR(INDEX('Materials Master'!$C$2:$C$27,MATCH($C549,'Materials Master'!$A$2:$A$27,0)),"")</f>
        <v>Fibers</v>
      </c>
      <c r="F549" s="0" t="n">
        <f aca="false">SUMIFS(Fact_SortedWeights!$E$2:$E$6,Fact_SortedWeights!$C$2:$C$6,$A549,Fact_SortedWeights!$B$2:$B$6,$B549,Fact_SortedWeights!$D$2:$D$6,$C549)</f>
        <v>0</v>
      </c>
      <c r="G549" s="0" t="n">
        <f aca="false">IF(AND(IF($B549="Trash",INDEX('Materials Master'!$F$2:$F$27,MATCH($C549,'Materials Master'!$A$2:$A$27,0)),IF($B549="GMPC Recycling",INDEX('Materials Master'!$G$2:$G$27,MATCH($C549,'Materials Master'!$A$2:$A$27,0)),IF($B549="Organics Recycling",INDEX('Materials Master'!$H$2:$H$27,MATCH($C549,'Materials Master'!$A$2:$A$27,0)),IF($B549="Cardboard Recycling",INDEX('Materials Master'!$I$2:$I$27,MATCH($C549,'Materials Master'!$A$2:$A$27,0)),IF($B549="Paper Recycling",INDEX('Materials Master'!$J$2:$J$27,MATCH($C549,'Materials Master'!$A$2:$A$27,0)),IF($B549="Terracycle",INDEX('Materials Master'!$K$2:$K$27,MATCH($C549,'Materials Master'!$A$2:$A$27,0)),"No"))))))="Yes",INDEX('Materials Master'!$E$2:$E$27,MATCH($C549,'Materials Master'!$A$2:$A$27,0))="Yes",$B549&lt;&gt;"Trash"),1,0)</f>
        <v>0</v>
      </c>
      <c r="H549" s="0" t="str">
        <f aca="false">INDEX('Materials Master'!$E$2:$E$27,MATCH($C549,'Materials Master'!$A$2:$A$27,0))</f>
        <v>No</v>
      </c>
      <c r="I549" s="0" t="str">
        <f aca="false">IFERROR(INDEX(Areas!$C$2:$C$6,MATCH($A549,Areas!$B$2:$B$6,0)),"")</f>
        <v>Rest of Building</v>
      </c>
      <c r="J549" s="0" t="n">
        <f aca="false">IF(IF($B549="Trash",INDEX('Materials Master'!$F$2:$F$27,MATCH($C549,'Materials Master'!$A$2:$A$27,0)),IF($B549="GMPC Recycling",INDEX('Materials Master'!$G$2:$G$27,MATCH($C549,'Materials Master'!$A$2:$A$27,0)),IF($B549="Organics Recycling",INDEX('Materials Master'!$H$2:$H$27,MATCH($C549,'Materials Master'!$A$2:$A$27,0)),IF($B549="Cardboard Recycling",INDEX('Materials Master'!$I$2:$I$27,MATCH($C549,'Materials Master'!$A$2:$A$27,0)),IF($B549="Paper Recycling",INDEX('Materials Master'!$J$2:$J$27,MATCH($C549,'Materials Master'!$A$2:$A$27,0)),IF($B549="Terracycle",INDEX('Materials Master'!$K$2:$K$27,MATCH($C549,'Materials Master'!$A$2:$A$27,0)),"No"))))))="Yes",1,0)</f>
        <v>0</v>
      </c>
    </row>
    <row r="550" customFormat="false" ht="15" hidden="false" customHeight="false" outlineLevel="0" collapsed="false">
      <c r="A550" s="0" t="s">
        <v>99</v>
      </c>
      <c r="B550" s="0" t="s">
        <v>106</v>
      </c>
      <c r="C550" s="0" t="s">
        <v>33</v>
      </c>
      <c r="D550" s="0" t="str">
        <f aca="false">IFERROR(INDEX('Materials Master'!$B$2:$B$27,MATCH($C550,'Materials Master'!$A$2:$A$27,0)),"")</f>
        <v>Waxed Cardboard</v>
      </c>
      <c r="E550" s="0" t="str">
        <f aca="false">IFERROR(INDEX('Materials Master'!$C$2:$C$27,MATCH($C550,'Materials Master'!$A$2:$A$27,0)),"")</f>
        <v>Fibers</v>
      </c>
      <c r="F550" s="0" t="n">
        <f aca="false">SUMIFS(Fact_SortedWeights!$E$2:$E$6,Fact_SortedWeights!$C$2:$C$6,$A550,Fact_SortedWeights!$B$2:$B$6,$B550,Fact_SortedWeights!$D$2:$D$6,$C550)</f>
        <v>0</v>
      </c>
      <c r="G550" s="0" t="n">
        <f aca="false">IF(AND(IF($B550="Trash",INDEX('Materials Master'!$F$2:$F$27,MATCH($C550,'Materials Master'!$A$2:$A$27,0)),IF($B550="GMPC Recycling",INDEX('Materials Master'!$G$2:$G$27,MATCH($C550,'Materials Master'!$A$2:$A$27,0)),IF($B550="Organics Recycling",INDEX('Materials Master'!$H$2:$H$27,MATCH($C550,'Materials Master'!$A$2:$A$27,0)),IF($B550="Cardboard Recycling",INDEX('Materials Master'!$I$2:$I$27,MATCH($C550,'Materials Master'!$A$2:$A$27,0)),IF($B550="Paper Recycling",INDEX('Materials Master'!$J$2:$J$27,MATCH($C550,'Materials Master'!$A$2:$A$27,0)),IF($B550="Terracycle",INDEX('Materials Master'!$K$2:$K$27,MATCH($C550,'Materials Master'!$A$2:$A$27,0)),"No"))))))="Yes",INDEX('Materials Master'!$E$2:$E$27,MATCH($C550,'Materials Master'!$A$2:$A$27,0))="Yes",$B550&lt;&gt;"Trash"),1,0)</f>
        <v>0</v>
      </c>
      <c r="H550" s="0" t="str">
        <f aca="false">INDEX('Materials Master'!$E$2:$E$27,MATCH($C550,'Materials Master'!$A$2:$A$27,0))</f>
        <v>No</v>
      </c>
      <c r="I550" s="0" t="str">
        <f aca="false">IFERROR(INDEX(Areas!$C$2:$C$6,MATCH($A550,Areas!$B$2:$B$6,0)),"")</f>
        <v>Rest of Building</v>
      </c>
      <c r="J550" s="0" t="n">
        <f aca="false">IF(IF($B550="Trash",INDEX('Materials Master'!$F$2:$F$27,MATCH($C550,'Materials Master'!$A$2:$A$27,0)),IF($B550="GMPC Recycling",INDEX('Materials Master'!$G$2:$G$27,MATCH($C550,'Materials Master'!$A$2:$A$27,0)),IF($B550="Organics Recycling",INDEX('Materials Master'!$H$2:$H$27,MATCH($C550,'Materials Master'!$A$2:$A$27,0)),IF($B550="Cardboard Recycling",INDEX('Materials Master'!$I$2:$I$27,MATCH($C550,'Materials Master'!$A$2:$A$27,0)),IF($B550="Paper Recycling",INDEX('Materials Master'!$J$2:$J$27,MATCH($C550,'Materials Master'!$A$2:$A$27,0)),IF($B550="Terracycle",INDEX('Materials Master'!$K$2:$K$27,MATCH($C550,'Materials Master'!$A$2:$A$27,0)),"No"))))))="Yes",1,0)</f>
        <v>0</v>
      </c>
    </row>
    <row r="551" customFormat="false" ht="15" hidden="false" customHeight="false" outlineLevel="0" collapsed="false">
      <c r="A551" s="0" t="s">
        <v>99</v>
      </c>
      <c r="B551" s="0" t="s">
        <v>106</v>
      </c>
      <c r="C551" s="0" t="s">
        <v>35</v>
      </c>
      <c r="D551" s="0" t="str">
        <f aca="false">IFERROR(INDEX('Materials Master'!$B$2:$B$27,MATCH($C551,'Materials Master'!$A$2:$A$27,0)),"")</f>
        <v>Mixed Paper</v>
      </c>
      <c r="E551" s="0" t="str">
        <f aca="false">IFERROR(INDEX('Materials Master'!$C$2:$C$27,MATCH($C551,'Materials Master'!$A$2:$A$27,0)),"")</f>
        <v>Fibers</v>
      </c>
      <c r="F551" s="0" t="n">
        <f aca="false">SUMIFS(Fact_SortedWeights!$E$2:$E$6,Fact_SortedWeights!$C$2:$C$6,$A551,Fact_SortedWeights!$B$2:$B$6,$B551,Fact_SortedWeights!$D$2:$D$6,$C551)</f>
        <v>0</v>
      </c>
      <c r="G551" s="0" t="n">
        <f aca="false">IF(AND(IF($B551="Trash",INDEX('Materials Master'!$F$2:$F$27,MATCH($C551,'Materials Master'!$A$2:$A$27,0)),IF($B551="GMPC Recycling",INDEX('Materials Master'!$G$2:$G$27,MATCH($C551,'Materials Master'!$A$2:$A$27,0)),IF($B551="Organics Recycling",INDEX('Materials Master'!$H$2:$H$27,MATCH($C551,'Materials Master'!$A$2:$A$27,0)),IF($B551="Cardboard Recycling",INDEX('Materials Master'!$I$2:$I$27,MATCH($C551,'Materials Master'!$A$2:$A$27,0)),IF($B551="Paper Recycling",INDEX('Materials Master'!$J$2:$J$27,MATCH($C551,'Materials Master'!$A$2:$A$27,0)),IF($B551="Terracycle",INDEX('Materials Master'!$K$2:$K$27,MATCH($C551,'Materials Master'!$A$2:$A$27,0)),"No"))))))="Yes",INDEX('Materials Master'!$E$2:$E$27,MATCH($C551,'Materials Master'!$A$2:$A$27,0))="Yes",$B551&lt;&gt;"Trash"),1,0)</f>
        <v>0</v>
      </c>
      <c r="H551" s="0" t="str">
        <f aca="false">INDEX('Materials Master'!$E$2:$E$27,MATCH($C551,'Materials Master'!$A$2:$A$27,0))</f>
        <v>Yes</v>
      </c>
      <c r="I551" s="0" t="str">
        <f aca="false">IFERROR(INDEX(Areas!$C$2:$C$6,MATCH($A551,Areas!$B$2:$B$6,0)),"")</f>
        <v>Rest of Building</v>
      </c>
      <c r="J551" s="0" t="n">
        <f aca="false">IF(IF($B551="Trash",INDEX('Materials Master'!$F$2:$F$27,MATCH($C551,'Materials Master'!$A$2:$A$27,0)),IF($B551="GMPC Recycling",INDEX('Materials Master'!$G$2:$G$27,MATCH($C551,'Materials Master'!$A$2:$A$27,0)),IF($B551="Organics Recycling",INDEX('Materials Master'!$H$2:$H$27,MATCH($C551,'Materials Master'!$A$2:$A$27,0)),IF($B551="Cardboard Recycling",INDEX('Materials Master'!$I$2:$I$27,MATCH($C551,'Materials Master'!$A$2:$A$27,0)),IF($B551="Paper Recycling",INDEX('Materials Master'!$J$2:$J$27,MATCH($C551,'Materials Master'!$A$2:$A$27,0)),IF($B551="Terracycle",INDEX('Materials Master'!$K$2:$K$27,MATCH($C551,'Materials Master'!$A$2:$A$27,0)),"No"))))))="Yes",1,0)</f>
        <v>0</v>
      </c>
    </row>
    <row r="552" customFormat="false" ht="15" hidden="false" customHeight="false" outlineLevel="0" collapsed="false">
      <c r="A552" s="0" t="s">
        <v>99</v>
      </c>
      <c r="B552" s="0" t="s">
        <v>106</v>
      </c>
      <c r="C552" s="0" t="s">
        <v>37</v>
      </c>
      <c r="D552" s="0" t="str">
        <f aca="false">IFERROR(INDEX('Materials Master'!$B$2:$B$27,MATCH($C552,'Materials Master'!$A$2:$A$27,0)),"")</f>
        <v>Soiled Paper</v>
      </c>
      <c r="E552" s="0" t="str">
        <f aca="false">IFERROR(INDEX('Materials Master'!$C$2:$C$27,MATCH($C552,'Materials Master'!$A$2:$A$27,0)),"")</f>
        <v>Fibers</v>
      </c>
      <c r="F552" s="0" t="n">
        <f aca="false">SUMIFS(Fact_SortedWeights!$E$2:$E$6,Fact_SortedWeights!$C$2:$C$6,$A552,Fact_SortedWeights!$B$2:$B$6,$B552,Fact_SortedWeights!$D$2:$D$6,$C552)</f>
        <v>0</v>
      </c>
      <c r="G552" s="0" t="n">
        <f aca="false">IF(AND(IF($B552="Trash",INDEX('Materials Master'!$F$2:$F$27,MATCH($C552,'Materials Master'!$A$2:$A$27,0)),IF($B552="GMPC Recycling",INDEX('Materials Master'!$G$2:$G$27,MATCH($C552,'Materials Master'!$A$2:$A$27,0)),IF($B552="Organics Recycling",INDEX('Materials Master'!$H$2:$H$27,MATCH($C552,'Materials Master'!$A$2:$A$27,0)),IF($B552="Cardboard Recycling",INDEX('Materials Master'!$I$2:$I$27,MATCH($C552,'Materials Master'!$A$2:$A$27,0)),IF($B552="Paper Recycling",INDEX('Materials Master'!$J$2:$J$27,MATCH($C552,'Materials Master'!$A$2:$A$27,0)),IF($B552="Terracycle",INDEX('Materials Master'!$K$2:$K$27,MATCH($C552,'Materials Master'!$A$2:$A$27,0)),"No"))))))="Yes",INDEX('Materials Master'!$E$2:$E$27,MATCH($C552,'Materials Master'!$A$2:$A$27,0))="Yes",$B552&lt;&gt;"Trash"),1,0)</f>
        <v>0</v>
      </c>
      <c r="H552" s="0" t="str">
        <f aca="false">INDEX('Materials Master'!$E$2:$E$27,MATCH($C552,'Materials Master'!$A$2:$A$27,0))</f>
        <v>No</v>
      </c>
      <c r="I552" s="0" t="str">
        <f aca="false">IFERROR(INDEX(Areas!$C$2:$C$6,MATCH($A552,Areas!$B$2:$B$6,0)),"")</f>
        <v>Rest of Building</v>
      </c>
      <c r="J552" s="0" t="n">
        <f aca="false">IF(IF($B552="Trash",INDEX('Materials Master'!$F$2:$F$27,MATCH($C552,'Materials Master'!$A$2:$A$27,0)),IF($B552="GMPC Recycling",INDEX('Materials Master'!$G$2:$G$27,MATCH($C552,'Materials Master'!$A$2:$A$27,0)),IF($B552="Organics Recycling",INDEX('Materials Master'!$H$2:$H$27,MATCH($C552,'Materials Master'!$A$2:$A$27,0)),IF($B552="Cardboard Recycling",INDEX('Materials Master'!$I$2:$I$27,MATCH($C552,'Materials Master'!$A$2:$A$27,0)),IF($B552="Paper Recycling",INDEX('Materials Master'!$J$2:$J$27,MATCH($C552,'Materials Master'!$A$2:$A$27,0)),IF($B552="Terracycle",INDEX('Materials Master'!$K$2:$K$27,MATCH($C552,'Materials Master'!$A$2:$A$27,0)),"No"))))))="Yes",1,0)</f>
        <v>0</v>
      </c>
    </row>
    <row r="553" customFormat="false" ht="15" hidden="false" customHeight="false" outlineLevel="0" collapsed="false">
      <c r="A553" s="0" t="s">
        <v>99</v>
      </c>
      <c r="B553" s="0" t="s">
        <v>106</v>
      </c>
      <c r="C553" s="0" t="s">
        <v>39</v>
      </c>
      <c r="D553" s="0" t="str">
        <f aca="false">IFERROR(INDEX('Materials Master'!$B$2:$B$27,MATCH($C553,'Materials Master'!$A$2:$A$27,0)),"")</f>
        <v>Beverage Cartons</v>
      </c>
      <c r="E553" s="0" t="str">
        <f aca="false">IFERROR(INDEX('Materials Master'!$C$2:$C$27,MATCH($C553,'Materials Master'!$A$2:$A$27,0)),"")</f>
        <v>Fibers</v>
      </c>
      <c r="F553" s="0" t="n">
        <f aca="false">SUMIFS(Fact_SortedWeights!$E$2:$E$6,Fact_SortedWeights!$C$2:$C$6,$A553,Fact_SortedWeights!$B$2:$B$6,$B553,Fact_SortedWeights!$D$2:$D$6,$C553)</f>
        <v>0</v>
      </c>
      <c r="G553" s="0" t="n">
        <f aca="false">IF(AND(IF($B553="Trash",INDEX('Materials Master'!$F$2:$F$27,MATCH($C553,'Materials Master'!$A$2:$A$27,0)),IF($B553="GMPC Recycling",INDEX('Materials Master'!$G$2:$G$27,MATCH($C553,'Materials Master'!$A$2:$A$27,0)),IF($B553="Organics Recycling",INDEX('Materials Master'!$H$2:$H$27,MATCH($C553,'Materials Master'!$A$2:$A$27,0)),IF($B553="Cardboard Recycling",INDEX('Materials Master'!$I$2:$I$27,MATCH($C553,'Materials Master'!$A$2:$A$27,0)),IF($B553="Paper Recycling",INDEX('Materials Master'!$J$2:$J$27,MATCH($C553,'Materials Master'!$A$2:$A$27,0)),IF($B553="Terracycle",INDEX('Materials Master'!$K$2:$K$27,MATCH($C553,'Materials Master'!$A$2:$A$27,0)),"No"))))))="Yes",INDEX('Materials Master'!$E$2:$E$27,MATCH($C553,'Materials Master'!$A$2:$A$27,0))="Yes",$B553&lt;&gt;"Trash"),1,0)</f>
        <v>1</v>
      </c>
      <c r="H553" s="0" t="str">
        <f aca="false">INDEX('Materials Master'!$E$2:$E$27,MATCH($C553,'Materials Master'!$A$2:$A$27,0))</f>
        <v>Yes</v>
      </c>
      <c r="I553" s="0" t="str">
        <f aca="false">IFERROR(INDEX(Areas!$C$2:$C$6,MATCH($A553,Areas!$B$2:$B$6,0)),"")</f>
        <v>Rest of Building</v>
      </c>
      <c r="J553" s="0" t="n">
        <f aca="false">IF(IF($B553="Trash",INDEX('Materials Master'!$F$2:$F$27,MATCH($C553,'Materials Master'!$A$2:$A$27,0)),IF($B553="GMPC Recycling",INDEX('Materials Master'!$G$2:$G$27,MATCH($C553,'Materials Master'!$A$2:$A$27,0)),IF($B553="Organics Recycling",INDEX('Materials Master'!$H$2:$H$27,MATCH($C553,'Materials Master'!$A$2:$A$27,0)),IF($B553="Cardboard Recycling",INDEX('Materials Master'!$I$2:$I$27,MATCH($C553,'Materials Master'!$A$2:$A$27,0)),IF($B553="Paper Recycling",INDEX('Materials Master'!$J$2:$J$27,MATCH($C553,'Materials Master'!$A$2:$A$27,0)),IF($B553="Terracycle",INDEX('Materials Master'!$K$2:$K$27,MATCH($C553,'Materials Master'!$A$2:$A$27,0)),"No"))))))="Yes",1,0)</f>
        <v>1</v>
      </c>
    </row>
    <row r="554" customFormat="false" ht="15" hidden="false" customHeight="false" outlineLevel="0" collapsed="false">
      <c r="A554" s="0" t="s">
        <v>99</v>
      </c>
      <c r="B554" s="0" t="s">
        <v>106</v>
      </c>
      <c r="C554" s="0" t="s">
        <v>41</v>
      </c>
      <c r="D554" s="0" t="str">
        <f aca="false">IFERROR(INDEX('Materials Master'!$B$2:$B$27,MATCH($C554,'Materials Master'!$A$2:$A$27,0)),"")</f>
        <v>Soiled Beverage Cartons</v>
      </c>
      <c r="E554" s="0" t="str">
        <f aca="false">IFERROR(INDEX('Materials Master'!$C$2:$C$27,MATCH($C554,'Materials Master'!$A$2:$A$27,0)),"")</f>
        <v>Fibers</v>
      </c>
      <c r="F554" s="0" t="n">
        <f aca="false">SUMIFS(Fact_SortedWeights!$E$2:$E$6,Fact_SortedWeights!$C$2:$C$6,$A554,Fact_SortedWeights!$B$2:$B$6,$B554,Fact_SortedWeights!$D$2:$D$6,$C554)</f>
        <v>0</v>
      </c>
      <c r="G554" s="0" t="n">
        <f aca="false">IF(AND(IF($B554="Trash",INDEX('Materials Master'!$F$2:$F$27,MATCH($C554,'Materials Master'!$A$2:$A$27,0)),IF($B554="GMPC Recycling",INDEX('Materials Master'!$G$2:$G$27,MATCH($C554,'Materials Master'!$A$2:$A$27,0)),IF($B554="Organics Recycling",INDEX('Materials Master'!$H$2:$H$27,MATCH($C554,'Materials Master'!$A$2:$A$27,0)),IF($B554="Cardboard Recycling",INDEX('Materials Master'!$I$2:$I$27,MATCH($C554,'Materials Master'!$A$2:$A$27,0)),IF($B554="Paper Recycling",INDEX('Materials Master'!$J$2:$J$27,MATCH($C554,'Materials Master'!$A$2:$A$27,0)),IF($B554="Terracycle",INDEX('Materials Master'!$K$2:$K$27,MATCH($C554,'Materials Master'!$A$2:$A$27,0)),"No"))))))="Yes",INDEX('Materials Master'!$E$2:$E$27,MATCH($C554,'Materials Master'!$A$2:$A$27,0))="Yes",$B554&lt;&gt;"Trash"),1,0)</f>
        <v>0</v>
      </c>
      <c r="H554" s="0" t="str">
        <f aca="false">INDEX('Materials Master'!$E$2:$E$27,MATCH($C554,'Materials Master'!$A$2:$A$27,0))</f>
        <v>No</v>
      </c>
      <c r="I554" s="0" t="str">
        <f aca="false">IFERROR(INDEX(Areas!$C$2:$C$6,MATCH($A554,Areas!$B$2:$B$6,0)),"")</f>
        <v>Rest of Building</v>
      </c>
      <c r="J554" s="0" t="n">
        <f aca="false">IF(IF($B554="Trash",INDEX('Materials Master'!$F$2:$F$27,MATCH($C554,'Materials Master'!$A$2:$A$27,0)),IF($B554="GMPC Recycling",INDEX('Materials Master'!$G$2:$G$27,MATCH($C554,'Materials Master'!$A$2:$A$27,0)),IF($B554="Organics Recycling",INDEX('Materials Master'!$H$2:$H$27,MATCH($C554,'Materials Master'!$A$2:$A$27,0)),IF($B554="Cardboard Recycling",INDEX('Materials Master'!$I$2:$I$27,MATCH($C554,'Materials Master'!$A$2:$A$27,0)),IF($B554="Paper Recycling",INDEX('Materials Master'!$J$2:$J$27,MATCH($C554,'Materials Master'!$A$2:$A$27,0)),IF($B554="Terracycle",INDEX('Materials Master'!$K$2:$K$27,MATCH($C554,'Materials Master'!$A$2:$A$27,0)),"No"))))))="Yes",1,0)</f>
        <v>0</v>
      </c>
    </row>
    <row r="555" customFormat="false" ht="15" hidden="false" customHeight="false" outlineLevel="0" collapsed="false">
      <c r="A555" s="0" t="s">
        <v>99</v>
      </c>
      <c r="B555" s="0" t="s">
        <v>106</v>
      </c>
      <c r="C555" s="0" t="s">
        <v>43</v>
      </c>
      <c r="D555" s="0" t="str">
        <f aca="false">IFERROR(INDEX('Materials Master'!$B$2:$B$27,MATCH($C555,'Materials Master'!$A$2:$A$27,0)),"")</f>
        <v>Paper Cups / Other Coated Paper Containers</v>
      </c>
      <c r="E555" s="0" t="str">
        <f aca="false">IFERROR(INDEX('Materials Master'!$C$2:$C$27,MATCH($C555,'Materials Master'!$A$2:$A$27,0)),"")</f>
        <v>Fibers</v>
      </c>
      <c r="F555" s="0" t="n">
        <f aca="false">SUMIFS(Fact_SortedWeights!$E$2:$E$6,Fact_SortedWeights!$C$2:$C$6,$A555,Fact_SortedWeights!$B$2:$B$6,$B555,Fact_SortedWeights!$D$2:$D$6,$C555)</f>
        <v>0</v>
      </c>
      <c r="G555" s="0" t="n">
        <f aca="false">IF(AND(IF($B555="Trash",INDEX('Materials Master'!$F$2:$F$27,MATCH($C555,'Materials Master'!$A$2:$A$27,0)),IF($B555="GMPC Recycling",INDEX('Materials Master'!$G$2:$G$27,MATCH($C555,'Materials Master'!$A$2:$A$27,0)),IF($B555="Organics Recycling",INDEX('Materials Master'!$H$2:$H$27,MATCH($C555,'Materials Master'!$A$2:$A$27,0)),IF($B555="Cardboard Recycling",INDEX('Materials Master'!$I$2:$I$27,MATCH($C555,'Materials Master'!$A$2:$A$27,0)),IF($B555="Paper Recycling",INDEX('Materials Master'!$J$2:$J$27,MATCH($C555,'Materials Master'!$A$2:$A$27,0)),IF($B555="Terracycle",INDEX('Materials Master'!$K$2:$K$27,MATCH($C555,'Materials Master'!$A$2:$A$27,0)),"No"))))))="Yes",INDEX('Materials Master'!$E$2:$E$27,MATCH($C555,'Materials Master'!$A$2:$A$27,0))="Yes",$B555&lt;&gt;"Trash"),1,0)</f>
        <v>0</v>
      </c>
      <c r="H555" s="0" t="str">
        <f aca="false">INDEX('Materials Master'!$E$2:$E$27,MATCH($C555,'Materials Master'!$A$2:$A$27,0))</f>
        <v>No</v>
      </c>
      <c r="I555" s="0" t="str">
        <f aca="false">IFERROR(INDEX(Areas!$C$2:$C$6,MATCH($A555,Areas!$B$2:$B$6,0)),"")</f>
        <v>Rest of Building</v>
      </c>
      <c r="J555" s="0" t="n">
        <f aca="false">IF(IF($B555="Trash",INDEX('Materials Master'!$F$2:$F$27,MATCH($C555,'Materials Master'!$A$2:$A$27,0)),IF($B555="GMPC Recycling",INDEX('Materials Master'!$G$2:$G$27,MATCH($C555,'Materials Master'!$A$2:$A$27,0)),IF($B555="Organics Recycling",INDEX('Materials Master'!$H$2:$H$27,MATCH($C555,'Materials Master'!$A$2:$A$27,0)),IF($B555="Cardboard Recycling",INDEX('Materials Master'!$I$2:$I$27,MATCH($C555,'Materials Master'!$A$2:$A$27,0)),IF($B555="Paper Recycling",INDEX('Materials Master'!$J$2:$J$27,MATCH($C555,'Materials Master'!$A$2:$A$27,0)),IF($B555="Terracycle",INDEX('Materials Master'!$K$2:$K$27,MATCH($C555,'Materials Master'!$A$2:$A$27,0)),"No"))))))="Yes",1,0)</f>
        <v>0</v>
      </c>
    </row>
    <row r="556" customFormat="false" ht="15" hidden="false" customHeight="false" outlineLevel="0" collapsed="false">
      <c r="A556" s="0" t="s">
        <v>99</v>
      </c>
      <c r="B556" s="0" t="s">
        <v>106</v>
      </c>
      <c r="C556" s="0" t="s">
        <v>45</v>
      </c>
      <c r="D556" s="0" t="str">
        <f aca="false">IFERROR(INDEX('Materials Master'!$B$2:$B$27,MATCH($C556,'Materials Master'!$A$2:$A$27,0)),"")</f>
        <v>Glass Bottles &amp; Jars</v>
      </c>
      <c r="E556" s="0" t="str">
        <f aca="false">IFERROR(INDEX('Materials Master'!$C$2:$C$27,MATCH($C556,'Materials Master'!$A$2:$A$27,0)),"")</f>
        <v>Glass</v>
      </c>
      <c r="F556" s="0" t="n">
        <f aca="false">SUMIFS(Fact_SortedWeights!$E$2:$E$6,Fact_SortedWeights!$C$2:$C$6,$A556,Fact_SortedWeights!$B$2:$B$6,$B556,Fact_SortedWeights!$D$2:$D$6,$C556)</f>
        <v>0</v>
      </c>
      <c r="G556" s="0" t="n">
        <f aca="false">IF(AND(IF($B556="Trash",INDEX('Materials Master'!$F$2:$F$27,MATCH($C556,'Materials Master'!$A$2:$A$27,0)),IF($B556="GMPC Recycling",INDEX('Materials Master'!$G$2:$G$27,MATCH($C556,'Materials Master'!$A$2:$A$27,0)),IF($B556="Organics Recycling",INDEX('Materials Master'!$H$2:$H$27,MATCH($C556,'Materials Master'!$A$2:$A$27,0)),IF($B556="Cardboard Recycling",INDEX('Materials Master'!$I$2:$I$27,MATCH($C556,'Materials Master'!$A$2:$A$27,0)),IF($B556="Paper Recycling",INDEX('Materials Master'!$J$2:$J$27,MATCH($C556,'Materials Master'!$A$2:$A$27,0)),IF($B556="Terracycle",INDEX('Materials Master'!$K$2:$K$27,MATCH($C556,'Materials Master'!$A$2:$A$27,0)),"No"))))))="Yes",INDEX('Materials Master'!$E$2:$E$27,MATCH($C556,'Materials Master'!$A$2:$A$27,0))="Yes",$B556&lt;&gt;"Trash"),1,0)</f>
        <v>1</v>
      </c>
      <c r="H556" s="0" t="str">
        <f aca="false">INDEX('Materials Master'!$E$2:$E$27,MATCH($C556,'Materials Master'!$A$2:$A$27,0))</f>
        <v>Yes</v>
      </c>
      <c r="I556" s="0" t="str">
        <f aca="false">IFERROR(INDEX(Areas!$C$2:$C$6,MATCH($A556,Areas!$B$2:$B$6,0)),"")</f>
        <v>Rest of Building</v>
      </c>
      <c r="J556" s="0" t="n">
        <f aca="false">IF(IF($B556="Trash",INDEX('Materials Master'!$F$2:$F$27,MATCH($C556,'Materials Master'!$A$2:$A$27,0)),IF($B556="GMPC Recycling",INDEX('Materials Master'!$G$2:$G$27,MATCH($C556,'Materials Master'!$A$2:$A$27,0)),IF($B556="Organics Recycling",INDEX('Materials Master'!$H$2:$H$27,MATCH($C556,'Materials Master'!$A$2:$A$27,0)),IF($B556="Cardboard Recycling",INDEX('Materials Master'!$I$2:$I$27,MATCH($C556,'Materials Master'!$A$2:$A$27,0)),IF($B556="Paper Recycling",INDEX('Materials Master'!$J$2:$J$27,MATCH($C556,'Materials Master'!$A$2:$A$27,0)),IF($B556="Terracycle",INDEX('Materials Master'!$K$2:$K$27,MATCH($C556,'Materials Master'!$A$2:$A$27,0)),"No"))))))="Yes",1,0)</f>
        <v>1</v>
      </c>
    </row>
    <row r="557" customFormat="false" ht="15" hidden="false" customHeight="false" outlineLevel="0" collapsed="false">
      <c r="A557" s="0" t="s">
        <v>99</v>
      </c>
      <c r="B557" s="0" t="s">
        <v>106</v>
      </c>
      <c r="C557" s="0" t="s">
        <v>48</v>
      </c>
      <c r="D557" s="0" t="str">
        <f aca="false">IFERROR(INDEX('Materials Master'!$B$2:$B$27,MATCH($C557,'Materials Master'!$A$2:$A$27,0)),"")</f>
        <v>Soiled Glass</v>
      </c>
      <c r="E557" s="0" t="str">
        <f aca="false">IFERROR(INDEX('Materials Master'!$C$2:$C$27,MATCH($C557,'Materials Master'!$A$2:$A$27,0)),"")</f>
        <v>Glass</v>
      </c>
      <c r="F557" s="0" t="n">
        <f aca="false">SUMIFS(Fact_SortedWeights!$E$2:$E$6,Fact_SortedWeights!$C$2:$C$6,$A557,Fact_SortedWeights!$B$2:$B$6,$B557,Fact_SortedWeights!$D$2:$D$6,$C557)</f>
        <v>0</v>
      </c>
      <c r="G557" s="0" t="n">
        <f aca="false">IF(AND(IF($B557="Trash",INDEX('Materials Master'!$F$2:$F$27,MATCH($C557,'Materials Master'!$A$2:$A$27,0)),IF($B557="GMPC Recycling",INDEX('Materials Master'!$G$2:$G$27,MATCH($C557,'Materials Master'!$A$2:$A$27,0)),IF($B557="Organics Recycling",INDEX('Materials Master'!$H$2:$H$27,MATCH($C557,'Materials Master'!$A$2:$A$27,0)),IF($B557="Cardboard Recycling",INDEX('Materials Master'!$I$2:$I$27,MATCH($C557,'Materials Master'!$A$2:$A$27,0)),IF($B557="Paper Recycling",INDEX('Materials Master'!$J$2:$J$27,MATCH($C557,'Materials Master'!$A$2:$A$27,0)),IF($B557="Terracycle",INDEX('Materials Master'!$K$2:$K$27,MATCH($C557,'Materials Master'!$A$2:$A$27,0)),"No"))))))="Yes",INDEX('Materials Master'!$E$2:$E$27,MATCH($C557,'Materials Master'!$A$2:$A$27,0))="Yes",$B557&lt;&gt;"Trash"),1,0)</f>
        <v>0</v>
      </c>
      <c r="H557" s="0" t="str">
        <f aca="false">INDEX('Materials Master'!$E$2:$E$27,MATCH($C557,'Materials Master'!$A$2:$A$27,0))</f>
        <v>No</v>
      </c>
      <c r="I557" s="0" t="str">
        <f aca="false">IFERROR(INDEX(Areas!$C$2:$C$6,MATCH($A557,Areas!$B$2:$B$6,0)),"")</f>
        <v>Rest of Building</v>
      </c>
      <c r="J557" s="0" t="n">
        <f aca="false">IF(IF($B557="Trash",INDEX('Materials Master'!$F$2:$F$27,MATCH($C557,'Materials Master'!$A$2:$A$27,0)),IF($B557="GMPC Recycling",INDEX('Materials Master'!$G$2:$G$27,MATCH($C557,'Materials Master'!$A$2:$A$27,0)),IF($B557="Organics Recycling",INDEX('Materials Master'!$H$2:$H$27,MATCH($C557,'Materials Master'!$A$2:$A$27,0)),IF($B557="Cardboard Recycling",INDEX('Materials Master'!$I$2:$I$27,MATCH($C557,'Materials Master'!$A$2:$A$27,0)),IF($B557="Paper Recycling",INDEX('Materials Master'!$J$2:$J$27,MATCH($C557,'Materials Master'!$A$2:$A$27,0)),IF($B557="Terracycle",INDEX('Materials Master'!$K$2:$K$27,MATCH($C557,'Materials Master'!$A$2:$A$27,0)),"No"))))))="Yes",1,0)</f>
        <v>0</v>
      </c>
    </row>
    <row r="558" customFormat="false" ht="15" hidden="false" customHeight="false" outlineLevel="0" collapsed="false">
      <c r="A558" s="0" t="s">
        <v>99</v>
      </c>
      <c r="B558" s="0" t="s">
        <v>106</v>
      </c>
      <c r="C558" s="0" t="s">
        <v>50</v>
      </c>
      <c r="D558" s="0" t="str">
        <f aca="false">IFERROR(INDEX('Materials Master'!$B$2:$B$27,MATCH($C558,'Materials Master'!$A$2:$A$27,0)),"")</f>
        <v>Aluminum &amp; Bi-Metal Containers</v>
      </c>
      <c r="E558" s="0" t="str">
        <f aca="false">IFERROR(INDEX('Materials Master'!$C$2:$C$27,MATCH($C558,'Materials Master'!$A$2:$A$27,0)),"")</f>
        <v>Metals</v>
      </c>
      <c r="F558" s="0" t="n">
        <f aca="false">SUMIFS(Fact_SortedWeights!$E$2:$E$6,Fact_SortedWeights!$C$2:$C$6,$A558,Fact_SortedWeights!$B$2:$B$6,$B558,Fact_SortedWeights!$D$2:$D$6,$C558)</f>
        <v>0</v>
      </c>
      <c r="G558" s="0" t="n">
        <f aca="false">IF(AND(IF($B558="Trash",INDEX('Materials Master'!$F$2:$F$27,MATCH($C558,'Materials Master'!$A$2:$A$27,0)),IF($B558="GMPC Recycling",INDEX('Materials Master'!$G$2:$G$27,MATCH($C558,'Materials Master'!$A$2:$A$27,0)),IF($B558="Organics Recycling",INDEX('Materials Master'!$H$2:$H$27,MATCH($C558,'Materials Master'!$A$2:$A$27,0)),IF($B558="Cardboard Recycling",INDEX('Materials Master'!$I$2:$I$27,MATCH($C558,'Materials Master'!$A$2:$A$27,0)),IF($B558="Paper Recycling",INDEX('Materials Master'!$J$2:$J$27,MATCH($C558,'Materials Master'!$A$2:$A$27,0)),IF($B558="Terracycle",INDEX('Materials Master'!$K$2:$K$27,MATCH($C558,'Materials Master'!$A$2:$A$27,0)),"No"))))))="Yes",INDEX('Materials Master'!$E$2:$E$27,MATCH($C558,'Materials Master'!$A$2:$A$27,0))="Yes",$B558&lt;&gt;"Trash"),1,0)</f>
        <v>1</v>
      </c>
      <c r="H558" s="0" t="str">
        <f aca="false">INDEX('Materials Master'!$E$2:$E$27,MATCH($C558,'Materials Master'!$A$2:$A$27,0))</f>
        <v>Yes</v>
      </c>
      <c r="I558" s="0" t="str">
        <f aca="false">IFERROR(INDEX(Areas!$C$2:$C$6,MATCH($A558,Areas!$B$2:$B$6,0)),"")</f>
        <v>Rest of Building</v>
      </c>
      <c r="J558" s="0" t="n">
        <f aca="false">IF(IF($B558="Trash",INDEX('Materials Master'!$F$2:$F$27,MATCH($C558,'Materials Master'!$A$2:$A$27,0)),IF($B558="GMPC Recycling",INDEX('Materials Master'!$G$2:$G$27,MATCH($C558,'Materials Master'!$A$2:$A$27,0)),IF($B558="Organics Recycling",INDEX('Materials Master'!$H$2:$H$27,MATCH($C558,'Materials Master'!$A$2:$A$27,0)),IF($B558="Cardboard Recycling",INDEX('Materials Master'!$I$2:$I$27,MATCH($C558,'Materials Master'!$A$2:$A$27,0)),IF($B558="Paper Recycling",INDEX('Materials Master'!$J$2:$J$27,MATCH($C558,'Materials Master'!$A$2:$A$27,0)),IF($B558="Terracycle",INDEX('Materials Master'!$K$2:$K$27,MATCH($C558,'Materials Master'!$A$2:$A$27,0)),"No"))))))="Yes",1,0)</f>
        <v>1</v>
      </c>
    </row>
    <row r="559" customFormat="false" ht="15" hidden="false" customHeight="false" outlineLevel="0" collapsed="false">
      <c r="A559" s="0" t="s">
        <v>99</v>
      </c>
      <c r="B559" s="0" t="s">
        <v>106</v>
      </c>
      <c r="C559" s="0" t="s">
        <v>53</v>
      </c>
      <c r="D559" s="0" t="str">
        <f aca="false">IFERROR(INDEX('Materials Master'!$B$2:$B$27,MATCH($C559,'Materials Master'!$A$2:$A$27,0)),"")</f>
        <v>Soiled Metals</v>
      </c>
      <c r="E559" s="0" t="str">
        <f aca="false">IFERROR(INDEX('Materials Master'!$C$2:$C$27,MATCH($C559,'Materials Master'!$A$2:$A$27,0)),"")</f>
        <v>Metals</v>
      </c>
      <c r="F559" s="0" t="n">
        <f aca="false">SUMIFS(Fact_SortedWeights!$E$2:$E$6,Fact_SortedWeights!$C$2:$C$6,$A559,Fact_SortedWeights!$B$2:$B$6,$B559,Fact_SortedWeights!$D$2:$D$6,$C559)</f>
        <v>0</v>
      </c>
      <c r="G559" s="0" t="n">
        <f aca="false">IF(AND(IF($B559="Trash",INDEX('Materials Master'!$F$2:$F$27,MATCH($C559,'Materials Master'!$A$2:$A$27,0)),IF($B559="GMPC Recycling",INDEX('Materials Master'!$G$2:$G$27,MATCH($C559,'Materials Master'!$A$2:$A$27,0)),IF($B559="Organics Recycling",INDEX('Materials Master'!$H$2:$H$27,MATCH($C559,'Materials Master'!$A$2:$A$27,0)),IF($B559="Cardboard Recycling",INDEX('Materials Master'!$I$2:$I$27,MATCH($C559,'Materials Master'!$A$2:$A$27,0)),IF($B559="Paper Recycling",INDEX('Materials Master'!$J$2:$J$27,MATCH($C559,'Materials Master'!$A$2:$A$27,0)),IF($B559="Terracycle",INDEX('Materials Master'!$K$2:$K$27,MATCH($C559,'Materials Master'!$A$2:$A$27,0)),"No"))))))="Yes",INDEX('Materials Master'!$E$2:$E$27,MATCH($C559,'Materials Master'!$A$2:$A$27,0))="Yes",$B559&lt;&gt;"Trash"),1,0)</f>
        <v>0</v>
      </c>
      <c r="H559" s="0" t="str">
        <f aca="false">INDEX('Materials Master'!$E$2:$E$27,MATCH($C559,'Materials Master'!$A$2:$A$27,0))</f>
        <v>No</v>
      </c>
      <c r="I559" s="0" t="str">
        <f aca="false">IFERROR(INDEX(Areas!$C$2:$C$6,MATCH($A559,Areas!$B$2:$B$6,0)),"")</f>
        <v>Rest of Building</v>
      </c>
      <c r="J559" s="0" t="n">
        <f aca="false">IF(IF($B559="Trash",INDEX('Materials Master'!$F$2:$F$27,MATCH($C559,'Materials Master'!$A$2:$A$27,0)),IF($B559="GMPC Recycling",INDEX('Materials Master'!$G$2:$G$27,MATCH($C559,'Materials Master'!$A$2:$A$27,0)),IF($B559="Organics Recycling",INDEX('Materials Master'!$H$2:$H$27,MATCH($C559,'Materials Master'!$A$2:$A$27,0)),IF($B559="Cardboard Recycling",INDEX('Materials Master'!$I$2:$I$27,MATCH($C559,'Materials Master'!$A$2:$A$27,0)),IF($B559="Paper Recycling",INDEX('Materials Master'!$J$2:$J$27,MATCH($C559,'Materials Master'!$A$2:$A$27,0)),IF($B559="Terracycle",INDEX('Materials Master'!$K$2:$K$27,MATCH($C559,'Materials Master'!$A$2:$A$27,0)),"No"))))))="Yes",1,0)</f>
        <v>0</v>
      </c>
    </row>
    <row r="560" customFormat="false" ht="15" hidden="false" customHeight="false" outlineLevel="0" collapsed="false">
      <c r="A560" s="0" t="s">
        <v>99</v>
      </c>
      <c r="B560" s="0" t="s">
        <v>106</v>
      </c>
      <c r="C560" s="0" t="s">
        <v>55</v>
      </c>
      <c r="D560" s="0" t="str">
        <f aca="false">IFERROR(INDEX('Materials Master'!$B$2:$B$27,MATCH($C560,'Materials Master'!$A$2:$A$27,0)),"")</f>
        <v>Rigid Plastics (1-6)</v>
      </c>
      <c r="E560" s="0" t="str">
        <f aca="false">IFERROR(INDEX('Materials Master'!$C$2:$C$27,MATCH($C560,'Materials Master'!$A$2:$A$27,0)),"")</f>
        <v>Plastics</v>
      </c>
      <c r="F560" s="0" t="n">
        <f aca="false">SUMIFS(Fact_SortedWeights!$E$2:$E$6,Fact_SortedWeights!$C$2:$C$6,$A560,Fact_SortedWeights!$B$2:$B$6,$B560,Fact_SortedWeights!$D$2:$D$6,$C560)</f>
        <v>0</v>
      </c>
      <c r="G560" s="0" t="n">
        <f aca="false">IF(AND(IF($B560="Trash",INDEX('Materials Master'!$F$2:$F$27,MATCH($C560,'Materials Master'!$A$2:$A$27,0)),IF($B560="GMPC Recycling",INDEX('Materials Master'!$G$2:$G$27,MATCH($C560,'Materials Master'!$A$2:$A$27,0)),IF($B560="Organics Recycling",INDEX('Materials Master'!$H$2:$H$27,MATCH($C560,'Materials Master'!$A$2:$A$27,0)),IF($B560="Cardboard Recycling",INDEX('Materials Master'!$I$2:$I$27,MATCH($C560,'Materials Master'!$A$2:$A$27,0)),IF($B560="Paper Recycling",INDEX('Materials Master'!$J$2:$J$27,MATCH($C560,'Materials Master'!$A$2:$A$27,0)),IF($B560="Terracycle",INDEX('Materials Master'!$K$2:$K$27,MATCH($C560,'Materials Master'!$A$2:$A$27,0)),"No"))))))="Yes",INDEX('Materials Master'!$E$2:$E$27,MATCH($C560,'Materials Master'!$A$2:$A$27,0))="Yes",$B560&lt;&gt;"Trash"),1,0)</f>
        <v>1</v>
      </c>
      <c r="H560" s="0" t="str">
        <f aca="false">INDEX('Materials Master'!$E$2:$E$27,MATCH($C560,'Materials Master'!$A$2:$A$27,0))</f>
        <v>Yes</v>
      </c>
      <c r="I560" s="0" t="str">
        <f aca="false">IFERROR(INDEX(Areas!$C$2:$C$6,MATCH($A560,Areas!$B$2:$B$6,0)),"")</f>
        <v>Rest of Building</v>
      </c>
      <c r="J560" s="0" t="n">
        <f aca="false">IF(IF($B560="Trash",INDEX('Materials Master'!$F$2:$F$27,MATCH($C560,'Materials Master'!$A$2:$A$27,0)),IF($B560="GMPC Recycling",INDEX('Materials Master'!$G$2:$G$27,MATCH($C560,'Materials Master'!$A$2:$A$27,0)),IF($B560="Organics Recycling",INDEX('Materials Master'!$H$2:$H$27,MATCH($C560,'Materials Master'!$A$2:$A$27,0)),IF($B560="Cardboard Recycling",INDEX('Materials Master'!$I$2:$I$27,MATCH($C560,'Materials Master'!$A$2:$A$27,0)),IF($B560="Paper Recycling",INDEX('Materials Master'!$J$2:$J$27,MATCH($C560,'Materials Master'!$A$2:$A$27,0)),IF($B560="Terracycle",INDEX('Materials Master'!$K$2:$K$27,MATCH($C560,'Materials Master'!$A$2:$A$27,0)),"No"))))))="Yes",1,0)</f>
        <v>1</v>
      </c>
    </row>
    <row r="561" customFormat="false" ht="15" hidden="false" customHeight="false" outlineLevel="0" collapsed="false">
      <c r="A561" s="0" t="s">
        <v>99</v>
      </c>
      <c r="B561" s="0" t="s">
        <v>106</v>
      </c>
      <c r="C561" s="0" t="s">
        <v>58</v>
      </c>
      <c r="D561" s="0" t="str">
        <f aca="false">IFERROR(INDEX('Materials Master'!$B$2:$B$27,MATCH($C561,'Materials Master'!$A$2:$A$27,0)),"")</f>
        <v>Soiled Rigid Plastics</v>
      </c>
      <c r="E561" s="0" t="str">
        <f aca="false">IFERROR(INDEX('Materials Master'!$C$2:$C$27,MATCH($C561,'Materials Master'!$A$2:$A$27,0)),"")</f>
        <v>Plastics</v>
      </c>
      <c r="F561" s="0" t="n">
        <f aca="false">SUMIFS(Fact_SortedWeights!$E$2:$E$6,Fact_SortedWeights!$C$2:$C$6,$A561,Fact_SortedWeights!$B$2:$B$6,$B561,Fact_SortedWeights!$D$2:$D$6,$C561)</f>
        <v>0</v>
      </c>
      <c r="G561" s="0" t="n">
        <f aca="false">IF(AND(IF($B561="Trash",INDEX('Materials Master'!$F$2:$F$27,MATCH($C561,'Materials Master'!$A$2:$A$27,0)),IF($B561="GMPC Recycling",INDEX('Materials Master'!$G$2:$G$27,MATCH($C561,'Materials Master'!$A$2:$A$27,0)),IF($B561="Organics Recycling",INDEX('Materials Master'!$H$2:$H$27,MATCH($C561,'Materials Master'!$A$2:$A$27,0)),IF($B561="Cardboard Recycling",INDEX('Materials Master'!$I$2:$I$27,MATCH($C561,'Materials Master'!$A$2:$A$27,0)),IF($B561="Paper Recycling",INDEX('Materials Master'!$J$2:$J$27,MATCH($C561,'Materials Master'!$A$2:$A$27,0)),IF($B561="Terracycle",INDEX('Materials Master'!$K$2:$K$27,MATCH($C561,'Materials Master'!$A$2:$A$27,0)),"No"))))))="Yes",INDEX('Materials Master'!$E$2:$E$27,MATCH($C561,'Materials Master'!$A$2:$A$27,0))="Yes",$B561&lt;&gt;"Trash"),1,0)</f>
        <v>0</v>
      </c>
      <c r="H561" s="0" t="str">
        <f aca="false">INDEX('Materials Master'!$E$2:$E$27,MATCH($C561,'Materials Master'!$A$2:$A$27,0))</f>
        <v>No</v>
      </c>
      <c r="I561" s="0" t="str">
        <f aca="false">IFERROR(INDEX(Areas!$C$2:$C$6,MATCH($A561,Areas!$B$2:$B$6,0)),"")</f>
        <v>Rest of Building</v>
      </c>
      <c r="J561" s="0" t="n">
        <f aca="false">IF(IF($B561="Trash",INDEX('Materials Master'!$F$2:$F$27,MATCH($C561,'Materials Master'!$A$2:$A$27,0)),IF($B561="GMPC Recycling",INDEX('Materials Master'!$G$2:$G$27,MATCH($C561,'Materials Master'!$A$2:$A$27,0)),IF($B561="Organics Recycling",INDEX('Materials Master'!$H$2:$H$27,MATCH($C561,'Materials Master'!$A$2:$A$27,0)),IF($B561="Cardboard Recycling",INDEX('Materials Master'!$I$2:$I$27,MATCH($C561,'Materials Master'!$A$2:$A$27,0)),IF($B561="Paper Recycling",INDEX('Materials Master'!$J$2:$J$27,MATCH($C561,'Materials Master'!$A$2:$A$27,0)),IF($B561="Terracycle",INDEX('Materials Master'!$K$2:$K$27,MATCH($C561,'Materials Master'!$A$2:$A$27,0)),"No"))))))="Yes",1,0)</f>
        <v>0</v>
      </c>
    </row>
    <row r="562" customFormat="false" ht="15" hidden="false" customHeight="false" outlineLevel="0" collapsed="false">
      <c r="A562" s="0" t="s">
        <v>99</v>
      </c>
      <c r="B562" s="0" t="s">
        <v>106</v>
      </c>
      <c r="C562" s="0" t="s">
        <v>60</v>
      </c>
      <c r="D562" s="0" t="str">
        <f aca="false">IFERROR(INDEX('Materials Master'!$B$2:$B$27,MATCH($C562,'Materials Master'!$A$2:$A$27,0)),"")</f>
        <v>Film Plastics</v>
      </c>
      <c r="E562" s="0" t="str">
        <f aca="false">IFERROR(INDEX('Materials Master'!$C$2:$C$27,MATCH($C562,'Materials Master'!$A$2:$A$27,0)),"")</f>
        <v>Plastics</v>
      </c>
      <c r="F562" s="0" t="n">
        <f aca="false">SUMIFS(Fact_SortedWeights!$E$2:$E$6,Fact_SortedWeights!$C$2:$C$6,$A562,Fact_SortedWeights!$B$2:$B$6,$B562,Fact_SortedWeights!$D$2:$D$6,$C562)</f>
        <v>0</v>
      </c>
      <c r="G562" s="0" t="n">
        <f aca="false">IF(AND(IF($B562="Trash",INDEX('Materials Master'!$F$2:$F$27,MATCH($C562,'Materials Master'!$A$2:$A$27,0)),IF($B562="GMPC Recycling",INDEX('Materials Master'!$G$2:$G$27,MATCH($C562,'Materials Master'!$A$2:$A$27,0)),IF($B562="Organics Recycling",INDEX('Materials Master'!$H$2:$H$27,MATCH($C562,'Materials Master'!$A$2:$A$27,0)),IF($B562="Cardboard Recycling",INDEX('Materials Master'!$I$2:$I$27,MATCH($C562,'Materials Master'!$A$2:$A$27,0)),IF($B562="Paper Recycling",INDEX('Materials Master'!$J$2:$J$27,MATCH($C562,'Materials Master'!$A$2:$A$27,0)),IF($B562="Terracycle",INDEX('Materials Master'!$K$2:$K$27,MATCH($C562,'Materials Master'!$A$2:$A$27,0)),"No"))))))="Yes",INDEX('Materials Master'!$E$2:$E$27,MATCH($C562,'Materials Master'!$A$2:$A$27,0))="Yes",$B562&lt;&gt;"Trash"),1,0)</f>
        <v>0</v>
      </c>
      <c r="H562" s="0" t="str">
        <f aca="false">INDEX('Materials Master'!$E$2:$E$27,MATCH($C562,'Materials Master'!$A$2:$A$27,0))</f>
        <v>No</v>
      </c>
      <c r="I562" s="0" t="str">
        <f aca="false">IFERROR(INDEX(Areas!$C$2:$C$6,MATCH($A562,Areas!$B$2:$B$6,0)),"")</f>
        <v>Rest of Building</v>
      </c>
      <c r="J562" s="0" t="n">
        <f aca="false">IF(IF($B562="Trash",INDEX('Materials Master'!$F$2:$F$27,MATCH($C562,'Materials Master'!$A$2:$A$27,0)),IF($B562="GMPC Recycling",INDEX('Materials Master'!$G$2:$G$27,MATCH($C562,'Materials Master'!$A$2:$A$27,0)),IF($B562="Organics Recycling",INDEX('Materials Master'!$H$2:$H$27,MATCH($C562,'Materials Master'!$A$2:$A$27,0)),IF($B562="Cardboard Recycling",INDEX('Materials Master'!$I$2:$I$27,MATCH($C562,'Materials Master'!$A$2:$A$27,0)),IF($B562="Paper Recycling",INDEX('Materials Master'!$J$2:$J$27,MATCH($C562,'Materials Master'!$A$2:$A$27,0)),IF($B562="Terracycle",INDEX('Materials Master'!$K$2:$K$27,MATCH($C562,'Materials Master'!$A$2:$A$27,0)),"No"))))))="Yes",1,0)</f>
        <v>0</v>
      </c>
    </row>
    <row r="563" customFormat="false" ht="15" hidden="false" customHeight="false" outlineLevel="0" collapsed="false">
      <c r="A563" s="0" t="s">
        <v>99</v>
      </c>
      <c r="B563" s="0" t="s">
        <v>106</v>
      </c>
      <c r="C563" s="0" t="s">
        <v>62</v>
      </c>
      <c r="D563" s="0" t="str">
        <f aca="false">IFERROR(INDEX('Materials Master'!$B$2:$B$27,MATCH($C563,'Materials Master'!$A$2:$A$27,0)),"")</f>
        <v>Foams</v>
      </c>
      <c r="E563" s="0" t="str">
        <f aca="false">IFERROR(INDEX('Materials Master'!$C$2:$C$27,MATCH($C563,'Materials Master'!$A$2:$A$27,0)),"")</f>
        <v>Plastics</v>
      </c>
      <c r="F563" s="0" t="n">
        <f aca="false">SUMIFS(Fact_SortedWeights!$E$2:$E$6,Fact_SortedWeights!$C$2:$C$6,$A563,Fact_SortedWeights!$B$2:$B$6,$B563,Fact_SortedWeights!$D$2:$D$6,$C563)</f>
        <v>0</v>
      </c>
      <c r="G563" s="0" t="n">
        <f aca="false">IF(AND(IF($B563="Trash",INDEX('Materials Master'!$F$2:$F$27,MATCH($C563,'Materials Master'!$A$2:$A$27,0)),IF($B563="GMPC Recycling",INDEX('Materials Master'!$G$2:$G$27,MATCH($C563,'Materials Master'!$A$2:$A$27,0)),IF($B563="Organics Recycling",INDEX('Materials Master'!$H$2:$H$27,MATCH($C563,'Materials Master'!$A$2:$A$27,0)),IF($B563="Cardboard Recycling",INDEX('Materials Master'!$I$2:$I$27,MATCH($C563,'Materials Master'!$A$2:$A$27,0)),IF($B563="Paper Recycling",INDEX('Materials Master'!$J$2:$J$27,MATCH($C563,'Materials Master'!$A$2:$A$27,0)),IF($B563="Terracycle",INDEX('Materials Master'!$K$2:$K$27,MATCH($C563,'Materials Master'!$A$2:$A$27,0)),"No"))))))="Yes",INDEX('Materials Master'!$E$2:$E$27,MATCH($C563,'Materials Master'!$A$2:$A$27,0))="Yes",$B563&lt;&gt;"Trash"),1,0)</f>
        <v>0</v>
      </c>
      <c r="H563" s="0" t="str">
        <f aca="false">INDEX('Materials Master'!$E$2:$E$27,MATCH($C563,'Materials Master'!$A$2:$A$27,0))</f>
        <v>No</v>
      </c>
      <c r="I563" s="0" t="str">
        <f aca="false">IFERROR(INDEX(Areas!$C$2:$C$6,MATCH($A563,Areas!$B$2:$B$6,0)),"")</f>
        <v>Rest of Building</v>
      </c>
      <c r="J563" s="0" t="n">
        <f aca="false">IF(IF($B563="Trash",INDEX('Materials Master'!$F$2:$F$27,MATCH($C563,'Materials Master'!$A$2:$A$27,0)),IF($B563="GMPC Recycling",INDEX('Materials Master'!$G$2:$G$27,MATCH($C563,'Materials Master'!$A$2:$A$27,0)),IF($B563="Organics Recycling",INDEX('Materials Master'!$H$2:$H$27,MATCH($C563,'Materials Master'!$A$2:$A$27,0)),IF($B563="Cardboard Recycling",INDEX('Materials Master'!$I$2:$I$27,MATCH($C563,'Materials Master'!$A$2:$A$27,0)),IF($B563="Paper Recycling",INDEX('Materials Master'!$J$2:$J$27,MATCH($C563,'Materials Master'!$A$2:$A$27,0)),IF($B563="Terracycle",INDEX('Materials Master'!$K$2:$K$27,MATCH($C563,'Materials Master'!$A$2:$A$27,0)),"No"))))))="Yes",1,0)</f>
        <v>0</v>
      </c>
    </row>
    <row r="564" customFormat="false" ht="15" hidden="false" customHeight="false" outlineLevel="0" collapsed="false">
      <c r="A564" s="0" t="s">
        <v>99</v>
      </c>
      <c r="B564" s="0" t="s">
        <v>106</v>
      </c>
      <c r="C564" s="0" t="s">
        <v>64</v>
      </c>
      <c r="D564" s="0" t="str">
        <f aca="false">IFERROR(INDEX('Materials Master'!$B$2:$B$27,MATCH($C564,'Materials Master'!$A$2:$A$27,0)),"")</f>
        <v>Food Waste</v>
      </c>
      <c r="E564" s="0" t="str">
        <f aca="false">IFERROR(INDEX('Materials Master'!$C$2:$C$27,MATCH($C564,'Materials Master'!$A$2:$A$27,0)),"")</f>
        <v>Organics</v>
      </c>
      <c r="F564" s="0" t="n">
        <f aca="false">SUMIFS(Fact_SortedWeights!$E$2:$E$6,Fact_SortedWeights!$C$2:$C$6,$A564,Fact_SortedWeights!$B$2:$B$6,$B564,Fact_SortedWeights!$D$2:$D$6,$C564)</f>
        <v>0</v>
      </c>
      <c r="G564" s="0" t="n">
        <f aca="false">IF(AND(IF($B564="Trash",INDEX('Materials Master'!$F$2:$F$27,MATCH($C564,'Materials Master'!$A$2:$A$27,0)),IF($B564="GMPC Recycling",INDEX('Materials Master'!$G$2:$G$27,MATCH($C564,'Materials Master'!$A$2:$A$27,0)),IF($B564="Organics Recycling",INDEX('Materials Master'!$H$2:$H$27,MATCH($C564,'Materials Master'!$A$2:$A$27,0)),IF($B564="Cardboard Recycling",INDEX('Materials Master'!$I$2:$I$27,MATCH($C564,'Materials Master'!$A$2:$A$27,0)),IF($B564="Paper Recycling",INDEX('Materials Master'!$J$2:$J$27,MATCH($C564,'Materials Master'!$A$2:$A$27,0)),IF($B564="Terracycle",INDEX('Materials Master'!$K$2:$K$27,MATCH($C564,'Materials Master'!$A$2:$A$27,0)),"No"))))))="Yes",INDEX('Materials Master'!$E$2:$E$27,MATCH($C564,'Materials Master'!$A$2:$A$27,0))="Yes",$B564&lt;&gt;"Trash"),1,0)</f>
        <v>0</v>
      </c>
      <c r="H564" s="0" t="str">
        <f aca="false">INDEX('Materials Master'!$E$2:$E$27,MATCH($C564,'Materials Master'!$A$2:$A$27,0))</f>
        <v>Yes</v>
      </c>
      <c r="I564" s="0" t="str">
        <f aca="false">IFERROR(INDEX(Areas!$C$2:$C$6,MATCH($A564,Areas!$B$2:$B$6,0)),"")</f>
        <v>Rest of Building</v>
      </c>
      <c r="J564" s="0" t="n">
        <f aca="false">IF(IF($B564="Trash",INDEX('Materials Master'!$F$2:$F$27,MATCH($C564,'Materials Master'!$A$2:$A$27,0)),IF($B564="GMPC Recycling",INDEX('Materials Master'!$G$2:$G$27,MATCH($C564,'Materials Master'!$A$2:$A$27,0)),IF($B564="Organics Recycling",INDEX('Materials Master'!$H$2:$H$27,MATCH($C564,'Materials Master'!$A$2:$A$27,0)),IF($B564="Cardboard Recycling",INDEX('Materials Master'!$I$2:$I$27,MATCH($C564,'Materials Master'!$A$2:$A$27,0)),IF($B564="Paper Recycling",INDEX('Materials Master'!$J$2:$J$27,MATCH($C564,'Materials Master'!$A$2:$A$27,0)),IF($B564="Terracycle",INDEX('Materials Master'!$K$2:$K$27,MATCH($C564,'Materials Master'!$A$2:$A$27,0)),"No"))))))="Yes",1,0)</f>
        <v>0</v>
      </c>
    </row>
    <row r="565" customFormat="false" ht="15" hidden="false" customHeight="false" outlineLevel="0" collapsed="false">
      <c r="A565" s="0" t="s">
        <v>99</v>
      </c>
      <c r="B565" s="0" t="s">
        <v>106</v>
      </c>
      <c r="C565" s="0" t="s">
        <v>67</v>
      </c>
      <c r="D565" s="0" t="str">
        <f aca="false">IFERROR(INDEX('Materials Master'!$B$2:$B$27,MATCH($C565,'Materials Master'!$A$2:$A$27,0)),"")</f>
        <v>Paper Fibers and Food-Soiled Paper (FSP)</v>
      </c>
      <c r="E565" s="0" t="str">
        <f aca="false">IFERROR(INDEX('Materials Master'!$C$2:$C$27,MATCH($C565,'Materials Master'!$A$2:$A$27,0)),"")</f>
        <v>Organics</v>
      </c>
      <c r="F565" s="0" t="n">
        <f aca="false">SUMIFS(Fact_SortedWeights!$E$2:$E$6,Fact_SortedWeights!$C$2:$C$6,$A565,Fact_SortedWeights!$B$2:$B$6,$B565,Fact_SortedWeights!$D$2:$D$6,$C565)</f>
        <v>0</v>
      </c>
      <c r="G565" s="0" t="n">
        <f aca="false">IF(AND(IF($B565="Trash",INDEX('Materials Master'!$F$2:$F$27,MATCH($C565,'Materials Master'!$A$2:$A$27,0)),IF($B565="GMPC Recycling",INDEX('Materials Master'!$G$2:$G$27,MATCH($C565,'Materials Master'!$A$2:$A$27,0)),IF($B565="Organics Recycling",INDEX('Materials Master'!$H$2:$H$27,MATCH($C565,'Materials Master'!$A$2:$A$27,0)),IF($B565="Cardboard Recycling",INDEX('Materials Master'!$I$2:$I$27,MATCH($C565,'Materials Master'!$A$2:$A$27,0)),IF($B565="Paper Recycling",INDEX('Materials Master'!$J$2:$J$27,MATCH($C565,'Materials Master'!$A$2:$A$27,0)),IF($B565="Terracycle",INDEX('Materials Master'!$K$2:$K$27,MATCH($C565,'Materials Master'!$A$2:$A$27,0)),"No"))))))="Yes",INDEX('Materials Master'!$E$2:$E$27,MATCH($C565,'Materials Master'!$A$2:$A$27,0))="Yes",$B565&lt;&gt;"Trash"),1,0)</f>
        <v>0</v>
      </c>
      <c r="H565" s="0" t="str">
        <f aca="false">INDEX('Materials Master'!$E$2:$E$27,MATCH($C565,'Materials Master'!$A$2:$A$27,0))</f>
        <v>No</v>
      </c>
      <c r="I565" s="0" t="str">
        <f aca="false">IFERROR(INDEX(Areas!$C$2:$C$6,MATCH($A565,Areas!$B$2:$B$6,0)),"")</f>
        <v>Rest of Building</v>
      </c>
      <c r="J565" s="0" t="n">
        <f aca="false">IF(IF($B565="Trash",INDEX('Materials Master'!$F$2:$F$27,MATCH($C565,'Materials Master'!$A$2:$A$27,0)),IF($B565="GMPC Recycling",INDEX('Materials Master'!$G$2:$G$27,MATCH($C565,'Materials Master'!$A$2:$A$27,0)),IF($B565="Organics Recycling",INDEX('Materials Master'!$H$2:$H$27,MATCH($C565,'Materials Master'!$A$2:$A$27,0)),IF($B565="Cardboard Recycling",INDEX('Materials Master'!$I$2:$I$27,MATCH($C565,'Materials Master'!$A$2:$A$27,0)),IF($B565="Paper Recycling",INDEX('Materials Master'!$J$2:$J$27,MATCH($C565,'Materials Master'!$A$2:$A$27,0)),IF($B565="Terracycle",INDEX('Materials Master'!$K$2:$K$27,MATCH($C565,'Materials Master'!$A$2:$A$27,0)),"No"))))))="Yes",1,0)</f>
        <v>0</v>
      </c>
    </row>
    <row r="566" customFormat="false" ht="15" hidden="false" customHeight="false" outlineLevel="0" collapsed="false">
      <c r="A566" s="0" t="s">
        <v>99</v>
      </c>
      <c r="B566" s="0" t="s">
        <v>106</v>
      </c>
      <c r="C566" s="0" t="s">
        <v>69</v>
      </c>
      <c r="D566" s="0" t="str">
        <f aca="false">IFERROR(INDEX('Materials Master'!$B$2:$B$27,MATCH($C566,'Materials Master'!$A$2:$A$27,0)),"")</f>
        <v>Fiber-based Compostable Serviceware</v>
      </c>
      <c r="E566" s="0" t="str">
        <f aca="false">IFERROR(INDEX('Materials Master'!$C$2:$C$27,MATCH($C566,'Materials Master'!$A$2:$A$27,0)),"")</f>
        <v>Organics</v>
      </c>
      <c r="F566" s="0" t="n">
        <f aca="false">SUMIFS(Fact_SortedWeights!$E$2:$E$6,Fact_SortedWeights!$C$2:$C$6,$A566,Fact_SortedWeights!$B$2:$B$6,$B566,Fact_SortedWeights!$D$2:$D$6,$C566)</f>
        <v>0</v>
      </c>
      <c r="G566" s="0" t="n">
        <f aca="false">IF(AND(IF($B566="Trash",INDEX('Materials Master'!$F$2:$F$27,MATCH($C566,'Materials Master'!$A$2:$A$27,0)),IF($B566="GMPC Recycling",INDEX('Materials Master'!$G$2:$G$27,MATCH($C566,'Materials Master'!$A$2:$A$27,0)),IF($B566="Organics Recycling",INDEX('Materials Master'!$H$2:$H$27,MATCH($C566,'Materials Master'!$A$2:$A$27,0)),IF($B566="Cardboard Recycling",INDEX('Materials Master'!$I$2:$I$27,MATCH($C566,'Materials Master'!$A$2:$A$27,0)),IF($B566="Paper Recycling",INDEX('Materials Master'!$J$2:$J$27,MATCH($C566,'Materials Master'!$A$2:$A$27,0)),IF($B566="Terracycle",INDEX('Materials Master'!$K$2:$K$27,MATCH($C566,'Materials Master'!$A$2:$A$27,0)),"No"))))))="Yes",INDEX('Materials Master'!$E$2:$E$27,MATCH($C566,'Materials Master'!$A$2:$A$27,0))="Yes",$B566&lt;&gt;"Trash"),1,0)</f>
        <v>0</v>
      </c>
      <c r="H566" s="0" t="str">
        <f aca="false">INDEX('Materials Master'!$E$2:$E$27,MATCH($C566,'Materials Master'!$A$2:$A$27,0))</f>
        <v>No</v>
      </c>
      <c r="I566" s="0" t="str">
        <f aca="false">IFERROR(INDEX(Areas!$C$2:$C$6,MATCH($A566,Areas!$B$2:$B$6,0)),"")</f>
        <v>Rest of Building</v>
      </c>
      <c r="J566" s="0" t="n">
        <f aca="false">IF(IF($B566="Trash",INDEX('Materials Master'!$F$2:$F$27,MATCH($C566,'Materials Master'!$A$2:$A$27,0)),IF($B566="GMPC Recycling",INDEX('Materials Master'!$G$2:$G$27,MATCH($C566,'Materials Master'!$A$2:$A$27,0)),IF($B566="Organics Recycling",INDEX('Materials Master'!$H$2:$H$27,MATCH($C566,'Materials Master'!$A$2:$A$27,0)),IF($B566="Cardboard Recycling",INDEX('Materials Master'!$I$2:$I$27,MATCH($C566,'Materials Master'!$A$2:$A$27,0)),IF($B566="Paper Recycling",INDEX('Materials Master'!$J$2:$J$27,MATCH($C566,'Materials Master'!$A$2:$A$27,0)),IF($B566="Terracycle",INDEX('Materials Master'!$K$2:$K$27,MATCH($C566,'Materials Master'!$A$2:$A$27,0)),"No"))))))="Yes",1,0)</f>
        <v>0</v>
      </c>
    </row>
    <row r="567" customFormat="false" ht="15" hidden="false" customHeight="false" outlineLevel="0" collapsed="false">
      <c r="A567" s="0" t="s">
        <v>99</v>
      </c>
      <c r="B567" s="0" t="s">
        <v>106</v>
      </c>
      <c r="C567" s="0" t="s">
        <v>71</v>
      </c>
      <c r="D567" s="0" t="str">
        <f aca="false">IFERROR(INDEX('Materials Master'!$B$2:$B$27,MATCH($C567,'Materials Master'!$A$2:$A$27,0)),"")</f>
        <v>PLA Compostable Serviceware</v>
      </c>
      <c r="E567" s="0" t="str">
        <f aca="false">IFERROR(INDEX('Materials Master'!$C$2:$C$27,MATCH($C567,'Materials Master'!$A$2:$A$27,0)),"")</f>
        <v>Organics</v>
      </c>
      <c r="F567" s="0" t="n">
        <f aca="false">SUMIFS(Fact_SortedWeights!$E$2:$E$6,Fact_SortedWeights!$C$2:$C$6,$A567,Fact_SortedWeights!$B$2:$B$6,$B567,Fact_SortedWeights!$D$2:$D$6,$C567)</f>
        <v>0</v>
      </c>
      <c r="G567" s="0" t="n">
        <f aca="false">IF(AND(IF($B567="Trash",INDEX('Materials Master'!$F$2:$F$27,MATCH($C567,'Materials Master'!$A$2:$A$27,0)),IF($B567="GMPC Recycling",INDEX('Materials Master'!$G$2:$G$27,MATCH($C567,'Materials Master'!$A$2:$A$27,0)),IF($B567="Organics Recycling",INDEX('Materials Master'!$H$2:$H$27,MATCH($C567,'Materials Master'!$A$2:$A$27,0)),IF($B567="Cardboard Recycling",INDEX('Materials Master'!$I$2:$I$27,MATCH($C567,'Materials Master'!$A$2:$A$27,0)),IF($B567="Paper Recycling",INDEX('Materials Master'!$J$2:$J$27,MATCH($C567,'Materials Master'!$A$2:$A$27,0)),IF($B567="Terracycle",INDEX('Materials Master'!$K$2:$K$27,MATCH($C567,'Materials Master'!$A$2:$A$27,0)),"No"))))))="Yes",INDEX('Materials Master'!$E$2:$E$27,MATCH($C567,'Materials Master'!$A$2:$A$27,0))="Yes",$B567&lt;&gt;"Trash"),1,0)</f>
        <v>0</v>
      </c>
      <c r="H567" s="0" t="str">
        <f aca="false">INDEX('Materials Master'!$E$2:$E$27,MATCH($C567,'Materials Master'!$A$2:$A$27,0))</f>
        <v>No</v>
      </c>
      <c r="I567" s="0" t="str">
        <f aca="false">IFERROR(INDEX(Areas!$C$2:$C$6,MATCH($A567,Areas!$B$2:$B$6,0)),"")</f>
        <v>Rest of Building</v>
      </c>
      <c r="J567" s="0" t="n">
        <f aca="false">IF(IF($B567="Trash",INDEX('Materials Master'!$F$2:$F$27,MATCH($C567,'Materials Master'!$A$2:$A$27,0)),IF($B567="GMPC Recycling",INDEX('Materials Master'!$G$2:$G$27,MATCH($C567,'Materials Master'!$A$2:$A$27,0)),IF($B567="Organics Recycling",INDEX('Materials Master'!$H$2:$H$27,MATCH($C567,'Materials Master'!$A$2:$A$27,0)),IF($B567="Cardboard Recycling",INDEX('Materials Master'!$I$2:$I$27,MATCH($C567,'Materials Master'!$A$2:$A$27,0)),IF($B567="Paper Recycling",INDEX('Materials Master'!$J$2:$J$27,MATCH($C567,'Materials Master'!$A$2:$A$27,0)),IF($B567="Terracycle",INDEX('Materials Master'!$K$2:$K$27,MATCH($C567,'Materials Master'!$A$2:$A$27,0)),"No"))))))="Yes",1,0)</f>
        <v>0</v>
      </c>
    </row>
    <row r="568" customFormat="false" ht="15" hidden="false" customHeight="false" outlineLevel="0" collapsed="false">
      <c r="A568" s="0" t="s">
        <v>99</v>
      </c>
      <c r="B568" s="0" t="s">
        <v>106</v>
      </c>
      <c r="C568" s="0" t="s">
        <v>73</v>
      </c>
      <c r="D568" s="0" t="str">
        <f aca="false">IFERROR(INDEX('Materials Master'!$B$2:$B$27,MATCH($C568,'Materials Master'!$A$2:$A$27,0)),"")</f>
        <v>E/U Waste</v>
      </c>
      <c r="E568" s="0" t="str">
        <f aca="false">IFERROR(INDEX('Materials Master'!$C$2:$C$27,MATCH($C568,'Materials Master'!$A$2:$A$27,0)),"")</f>
        <v>Unacceptable</v>
      </c>
      <c r="F568" s="0" t="n">
        <f aca="false">SUMIFS(Fact_SortedWeights!$E$2:$E$6,Fact_SortedWeights!$C$2:$C$6,$A568,Fact_SortedWeights!$B$2:$B$6,$B568,Fact_SortedWeights!$D$2:$D$6,$C568)</f>
        <v>0</v>
      </c>
      <c r="G568" s="0" t="n">
        <f aca="false">IF(AND(IF($B568="Trash",INDEX('Materials Master'!$F$2:$F$27,MATCH($C568,'Materials Master'!$A$2:$A$27,0)),IF($B568="GMPC Recycling",INDEX('Materials Master'!$G$2:$G$27,MATCH($C568,'Materials Master'!$A$2:$A$27,0)),IF($B568="Organics Recycling",INDEX('Materials Master'!$H$2:$H$27,MATCH($C568,'Materials Master'!$A$2:$A$27,0)),IF($B568="Cardboard Recycling",INDEX('Materials Master'!$I$2:$I$27,MATCH($C568,'Materials Master'!$A$2:$A$27,0)),IF($B568="Paper Recycling",INDEX('Materials Master'!$J$2:$J$27,MATCH($C568,'Materials Master'!$A$2:$A$27,0)),IF($B568="Terracycle",INDEX('Materials Master'!$K$2:$K$27,MATCH($C568,'Materials Master'!$A$2:$A$27,0)),"No"))))))="Yes",INDEX('Materials Master'!$E$2:$E$27,MATCH($C568,'Materials Master'!$A$2:$A$27,0))="Yes",$B568&lt;&gt;"Trash"),1,0)</f>
        <v>0</v>
      </c>
      <c r="H568" s="0" t="str">
        <f aca="false">INDEX('Materials Master'!$E$2:$E$27,MATCH($C568,'Materials Master'!$A$2:$A$27,0))</f>
        <v>No</v>
      </c>
      <c r="I568" s="0" t="str">
        <f aca="false">IFERROR(INDEX(Areas!$C$2:$C$6,MATCH($A568,Areas!$B$2:$B$6,0)),"")</f>
        <v>Rest of Building</v>
      </c>
      <c r="J568" s="0" t="n">
        <f aca="false">IF(IF($B568="Trash",INDEX('Materials Master'!$F$2:$F$27,MATCH($C568,'Materials Master'!$A$2:$A$27,0)),IF($B568="GMPC Recycling",INDEX('Materials Master'!$G$2:$G$27,MATCH($C568,'Materials Master'!$A$2:$A$27,0)),IF($B568="Organics Recycling",INDEX('Materials Master'!$H$2:$H$27,MATCH($C568,'Materials Master'!$A$2:$A$27,0)),IF($B568="Cardboard Recycling",INDEX('Materials Master'!$I$2:$I$27,MATCH($C568,'Materials Master'!$A$2:$A$27,0)),IF($B568="Paper Recycling",INDEX('Materials Master'!$J$2:$J$27,MATCH($C568,'Materials Master'!$A$2:$A$27,0)),IF($B568="Terracycle",INDEX('Materials Master'!$K$2:$K$27,MATCH($C568,'Materials Master'!$A$2:$A$27,0)),"No"))))))="Yes",1,0)</f>
        <v>0</v>
      </c>
    </row>
    <row r="569" customFormat="false" ht="15" hidden="false" customHeight="false" outlineLevel="0" collapsed="false">
      <c r="A569" s="0" t="s">
        <v>99</v>
      </c>
      <c r="B569" s="0" t="s">
        <v>106</v>
      </c>
      <c r="C569" s="0" t="s">
        <v>76</v>
      </c>
      <c r="D569" s="0" t="str">
        <f aca="false">IFERROR(INDEX('Materials Master'!$B$2:$B$27,MATCH($C569,'Materials Master'!$A$2:$A$27,0)),"")</f>
        <v>Textiles</v>
      </c>
      <c r="E569" s="0" t="str">
        <f aca="false">IFERROR(INDEX('Materials Master'!$C$2:$C$27,MATCH($C569,'Materials Master'!$A$2:$A$27,0)),"")</f>
        <v>Unacceptable</v>
      </c>
      <c r="F569" s="0" t="n">
        <f aca="false">SUMIFS(Fact_SortedWeights!$E$2:$E$6,Fact_SortedWeights!$C$2:$C$6,$A569,Fact_SortedWeights!$B$2:$B$6,$B569,Fact_SortedWeights!$D$2:$D$6,$C569)</f>
        <v>0</v>
      </c>
      <c r="G569" s="0" t="n">
        <f aca="false">IF(AND(IF($B569="Trash",INDEX('Materials Master'!$F$2:$F$27,MATCH($C569,'Materials Master'!$A$2:$A$27,0)),IF($B569="GMPC Recycling",INDEX('Materials Master'!$G$2:$G$27,MATCH($C569,'Materials Master'!$A$2:$A$27,0)),IF($B569="Organics Recycling",INDEX('Materials Master'!$H$2:$H$27,MATCH($C569,'Materials Master'!$A$2:$A$27,0)),IF($B569="Cardboard Recycling",INDEX('Materials Master'!$I$2:$I$27,MATCH($C569,'Materials Master'!$A$2:$A$27,0)),IF($B569="Paper Recycling",INDEX('Materials Master'!$J$2:$J$27,MATCH($C569,'Materials Master'!$A$2:$A$27,0)),IF($B569="Terracycle",INDEX('Materials Master'!$K$2:$K$27,MATCH($C569,'Materials Master'!$A$2:$A$27,0)),"No"))))))="Yes",INDEX('Materials Master'!$E$2:$E$27,MATCH($C569,'Materials Master'!$A$2:$A$27,0))="Yes",$B569&lt;&gt;"Trash"),1,0)</f>
        <v>0</v>
      </c>
      <c r="H569" s="0" t="str">
        <f aca="false">INDEX('Materials Master'!$E$2:$E$27,MATCH($C569,'Materials Master'!$A$2:$A$27,0))</f>
        <v>No</v>
      </c>
      <c r="I569" s="0" t="str">
        <f aca="false">IFERROR(INDEX(Areas!$C$2:$C$6,MATCH($A569,Areas!$B$2:$B$6,0)),"")</f>
        <v>Rest of Building</v>
      </c>
      <c r="J569" s="0" t="n">
        <f aca="false">IF(IF($B569="Trash",INDEX('Materials Master'!$F$2:$F$27,MATCH($C569,'Materials Master'!$A$2:$A$27,0)),IF($B569="GMPC Recycling",INDEX('Materials Master'!$G$2:$G$27,MATCH($C569,'Materials Master'!$A$2:$A$27,0)),IF($B569="Organics Recycling",INDEX('Materials Master'!$H$2:$H$27,MATCH($C569,'Materials Master'!$A$2:$A$27,0)),IF($B569="Cardboard Recycling",INDEX('Materials Master'!$I$2:$I$27,MATCH($C569,'Materials Master'!$A$2:$A$27,0)),IF($B569="Paper Recycling",INDEX('Materials Master'!$J$2:$J$27,MATCH($C569,'Materials Master'!$A$2:$A$27,0)),IF($B569="Terracycle",INDEX('Materials Master'!$K$2:$K$27,MATCH($C569,'Materials Master'!$A$2:$A$27,0)),"No"))))))="Yes",1,0)</f>
        <v>0</v>
      </c>
    </row>
    <row r="570" customFormat="false" ht="15" hidden="false" customHeight="false" outlineLevel="0" collapsed="false">
      <c r="A570" s="0" t="s">
        <v>99</v>
      </c>
      <c r="B570" s="0" t="s">
        <v>106</v>
      </c>
      <c r="C570" s="0" t="s">
        <v>78</v>
      </c>
      <c r="D570" s="0" t="str">
        <f aca="false">IFERROR(INDEX('Materials Master'!$B$2:$B$27,MATCH($C570,'Materials Master'!$A$2:$A$27,0)),"")</f>
        <v>Other Unacceptable (specify)</v>
      </c>
      <c r="E570" s="0" t="str">
        <f aca="false">IFERROR(INDEX('Materials Master'!$C$2:$C$27,MATCH($C570,'Materials Master'!$A$2:$A$27,0)),"")</f>
        <v>Unacceptable</v>
      </c>
      <c r="F570" s="0" t="n">
        <f aca="false">SUMIFS(Fact_SortedWeights!$E$2:$E$6,Fact_SortedWeights!$C$2:$C$6,$A570,Fact_SortedWeights!$B$2:$B$6,$B570,Fact_SortedWeights!$D$2:$D$6,$C570)</f>
        <v>0</v>
      </c>
      <c r="G570" s="0" t="n">
        <f aca="false">IF(AND(IF($B570="Trash",INDEX('Materials Master'!$F$2:$F$27,MATCH($C570,'Materials Master'!$A$2:$A$27,0)),IF($B570="GMPC Recycling",INDEX('Materials Master'!$G$2:$G$27,MATCH($C570,'Materials Master'!$A$2:$A$27,0)),IF($B570="Organics Recycling",INDEX('Materials Master'!$H$2:$H$27,MATCH($C570,'Materials Master'!$A$2:$A$27,0)),IF($B570="Cardboard Recycling",INDEX('Materials Master'!$I$2:$I$27,MATCH($C570,'Materials Master'!$A$2:$A$27,0)),IF($B570="Paper Recycling",INDEX('Materials Master'!$J$2:$J$27,MATCH($C570,'Materials Master'!$A$2:$A$27,0)),IF($B570="Terracycle",INDEX('Materials Master'!$K$2:$K$27,MATCH($C570,'Materials Master'!$A$2:$A$27,0)),"No"))))))="Yes",INDEX('Materials Master'!$E$2:$E$27,MATCH($C570,'Materials Master'!$A$2:$A$27,0))="Yes",$B570&lt;&gt;"Trash"),1,0)</f>
        <v>0</v>
      </c>
      <c r="H570" s="0" t="str">
        <f aca="false">INDEX('Materials Master'!$E$2:$E$27,MATCH($C570,'Materials Master'!$A$2:$A$27,0))</f>
        <v>No</v>
      </c>
      <c r="I570" s="0" t="str">
        <f aca="false">IFERROR(INDEX(Areas!$C$2:$C$6,MATCH($A570,Areas!$B$2:$B$6,0)),"")</f>
        <v>Rest of Building</v>
      </c>
      <c r="J570" s="0" t="n">
        <f aca="false">IF(IF($B570="Trash",INDEX('Materials Master'!$F$2:$F$27,MATCH($C570,'Materials Master'!$A$2:$A$27,0)),IF($B570="GMPC Recycling",INDEX('Materials Master'!$G$2:$G$27,MATCH($C570,'Materials Master'!$A$2:$A$27,0)),IF($B570="Organics Recycling",INDEX('Materials Master'!$H$2:$H$27,MATCH($C570,'Materials Master'!$A$2:$A$27,0)),IF($B570="Cardboard Recycling",INDEX('Materials Master'!$I$2:$I$27,MATCH($C570,'Materials Master'!$A$2:$A$27,0)),IF($B570="Paper Recycling",INDEX('Materials Master'!$J$2:$J$27,MATCH($C570,'Materials Master'!$A$2:$A$27,0)),IF($B570="Terracycle",INDEX('Materials Master'!$K$2:$K$27,MATCH($C570,'Materials Master'!$A$2:$A$27,0)),"No"))))))="Yes",1,0)</f>
        <v>0</v>
      </c>
    </row>
    <row r="571" customFormat="false" ht="15" hidden="false" customHeight="false" outlineLevel="0" collapsed="false">
      <c r="A571" s="0" t="s">
        <v>99</v>
      </c>
      <c r="B571" s="0" t="s">
        <v>106</v>
      </c>
      <c r="C571" s="0" t="s">
        <v>80</v>
      </c>
      <c r="D571" s="0" t="str">
        <f aca="false">IFERROR(INDEX('Materials Master'!$B$2:$B$27,MATCH($C571,'Materials Master'!$A$2:$A$27,0)),"")</f>
        <v>Liquids</v>
      </c>
      <c r="E571" s="0" t="str">
        <f aca="false">IFERROR(INDEX('Materials Master'!$C$2:$C$27,MATCH($C571,'Materials Master'!$A$2:$A$27,0)),"")</f>
        <v>Unacceptable</v>
      </c>
      <c r="F571" s="0" t="n">
        <f aca="false">SUMIFS(Fact_SortedWeights!$E$2:$E$6,Fact_SortedWeights!$C$2:$C$6,$A571,Fact_SortedWeights!$B$2:$B$6,$B571,Fact_SortedWeights!$D$2:$D$6,$C571)</f>
        <v>0</v>
      </c>
      <c r="G571" s="0" t="n">
        <f aca="false">IF(AND(IF($B571="Trash",INDEX('Materials Master'!$F$2:$F$27,MATCH($C571,'Materials Master'!$A$2:$A$27,0)),IF($B571="GMPC Recycling",INDEX('Materials Master'!$G$2:$G$27,MATCH($C571,'Materials Master'!$A$2:$A$27,0)),IF($B571="Organics Recycling",INDEX('Materials Master'!$H$2:$H$27,MATCH($C571,'Materials Master'!$A$2:$A$27,0)),IF($B571="Cardboard Recycling",INDEX('Materials Master'!$I$2:$I$27,MATCH($C571,'Materials Master'!$A$2:$A$27,0)),IF($B571="Paper Recycling",INDEX('Materials Master'!$J$2:$J$27,MATCH($C571,'Materials Master'!$A$2:$A$27,0)),IF($B571="Terracycle",INDEX('Materials Master'!$K$2:$K$27,MATCH($C571,'Materials Master'!$A$2:$A$27,0)),"No"))))))="Yes",INDEX('Materials Master'!$E$2:$E$27,MATCH($C571,'Materials Master'!$A$2:$A$27,0))="Yes",$B571&lt;&gt;"Trash"),1,0)</f>
        <v>0</v>
      </c>
      <c r="H571" s="0" t="str">
        <f aca="false">INDEX('Materials Master'!$E$2:$E$27,MATCH($C571,'Materials Master'!$A$2:$A$27,0))</f>
        <v>No</v>
      </c>
      <c r="I571" s="0" t="str">
        <f aca="false">IFERROR(INDEX(Areas!$C$2:$C$6,MATCH($A571,Areas!$B$2:$B$6,0)),"")</f>
        <v>Rest of Building</v>
      </c>
      <c r="J571" s="0" t="n">
        <f aca="false">IF(IF($B571="Trash",INDEX('Materials Master'!$F$2:$F$27,MATCH($C571,'Materials Master'!$A$2:$A$27,0)),IF($B571="GMPC Recycling",INDEX('Materials Master'!$G$2:$G$27,MATCH($C571,'Materials Master'!$A$2:$A$27,0)),IF($B571="Organics Recycling",INDEX('Materials Master'!$H$2:$H$27,MATCH($C571,'Materials Master'!$A$2:$A$27,0)),IF($B571="Cardboard Recycling",INDEX('Materials Master'!$I$2:$I$27,MATCH($C571,'Materials Master'!$A$2:$A$27,0)),IF($B571="Paper Recycling",INDEX('Materials Master'!$J$2:$J$27,MATCH($C571,'Materials Master'!$A$2:$A$27,0)),IF($B571="Terracycle",INDEX('Materials Master'!$K$2:$K$27,MATCH($C571,'Materials Master'!$A$2:$A$27,0)),"No"))))))="Yes",1,0)</f>
        <v>0</v>
      </c>
    </row>
    <row r="572" customFormat="false" ht="15" hidden="false" customHeight="false" outlineLevel="0" collapsed="false">
      <c r="A572" s="0" t="s">
        <v>99</v>
      </c>
      <c r="B572" s="0" t="s">
        <v>106</v>
      </c>
      <c r="C572" s="0" t="s">
        <v>82</v>
      </c>
      <c r="D572" s="0" t="str">
        <f aca="false">IFERROR(INDEX('Materials Master'!$B$2:$B$27,MATCH($C572,'Materials Master'!$A$2:$A$27,0)),"")</f>
        <v>Snack Wrappers (Composites)</v>
      </c>
      <c r="E572" s="0" t="str">
        <f aca="false">IFERROR(INDEX('Materials Master'!$C$2:$C$27,MATCH($C572,'Materials Master'!$A$2:$A$27,0)),"")</f>
        <v>Other</v>
      </c>
      <c r="F572" s="0" t="n">
        <f aca="false">SUMIFS(Fact_SortedWeights!$E$2:$E$6,Fact_SortedWeights!$C$2:$C$6,$A572,Fact_SortedWeights!$B$2:$B$6,$B572,Fact_SortedWeights!$D$2:$D$6,$C572)</f>
        <v>0</v>
      </c>
      <c r="G572" s="0" t="n">
        <f aca="false">IF(AND(IF($B572="Trash",INDEX('Materials Master'!$F$2:$F$27,MATCH($C572,'Materials Master'!$A$2:$A$27,0)),IF($B572="GMPC Recycling",INDEX('Materials Master'!$G$2:$G$27,MATCH($C572,'Materials Master'!$A$2:$A$27,0)),IF($B572="Organics Recycling",INDEX('Materials Master'!$H$2:$H$27,MATCH($C572,'Materials Master'!$A$2:$A$27,0)),IF($B572="Cardboard Recycling",INDEX('Materials Master'!$I$2:$I$27,MATCH($C572,'Materials Master'!$A$2:$A$27,0)),IF($B572="Paper Recycling",INDEX('Materials Master'!$J$2:$J$27,MATCH($C572,'Materials Master'!$A$2:$A$27,0)),IF($B572="Terracycle",INDEX('Materials Master'!$K$2:$K$27,MATCH($C572,'Materials Master'!$A$2:$A$27,0)),"No"))))))="Yes",INDEX('Materials Master'!$E$2:$E$27,MATCH($C572,'Materials Master'!$A$2:$A$27,0))="Yes",$B572&lt;&gt;"Trash"),1,0)</f>
        <v>0</v>
      </c>
      <c r="H572" s="0" t="str">
        <f aca="false">INDEX('Materials Master'!$E$2:$E$27,MATCH($C572,'Materials Master'!$A$2:$A$27,0))</f>
        <v>Yes</v>
      </c>
      <c r="I572" s="0" t="str">
        <f aca="false">IFERROR(INDEX(Areas!$C$2:$C$6,MATCH($A572,Areas!$B$2:$B$6,0)),"")</f>
        <v>Rest of Building</v>
      </c>
      <c r="J572" s="0" t="n">
        <f aca="false">IF(IF($B572="Trash",INDEX('Materials Master'!$F$2:$F$27,MATCH($C572,'Materials Master'!$A$2:$A$27,0)),IF($B572="GMPC Recycling",INDEX('Materials Master'!$G$2:$G$27,MATCH($C572,'Materials Master'!$A$2:$A$27,0)),IF($B572="Organics Recycling",INDEX('Materials Master'!$H$2:$H$27,MATCH($C572,'Materials Master'!$A$2:$A$27,0)),IF($B572="Cardboard Recycling",INDEX('Materials Master'!$I$2:$I$27,MATCH($C572,'Materials Master'!$A$2:$A$27,0)),IF($B572="Paper Recycling",INDEX('Materials Master'!$J$2:$J$27,MATCH($C572,'Materials Master'!$A$2:$A$27,0)),IF($B572="Terracycle",INDEX('Materials Master'!$K$2:$K$27,MATCH($C572,'Materials Master'!$A$2:$A$27,0)),"No"))))))="Yes",1,0)</f>
        <v>0</v>
      </c>
    </row>
    <row r="573" customFormat="false" ht="15" hidden="false" customHeight="false" outlineLevel="0" collapsed="false">
      <c r="A573" s="0" t="s">
        <v>99</v>
      </c>
      <c r="B573" s="0" t="s">
        <v>106</v>
      </c>
      <c r="C573" s="0" t="s">
        <v>85</v>
      </c>
      <c r="D573" s="0" t="str">
        <f aca="false">IFERROR(INDEX('Materials Master'!$B$2:$B$27,MATCH($C573,'Materials Master'!$A$2:$A$27,0)),"")</f>
        <v>Other/Residual Materials</v>
      </c>
      <c r="E573" s="0" t="str">
        <f aca="false">IFERROR(INDEX('Materials Master'!$C$2:$C$27,MATCH($C573,'Materials Master'!$A$2:$A$27,0)),"")</f>
        <v>Other</v>
      </c>
      <c r="F573" s="0" t="n">
        <f aca="false">SUMIFS(Fact_SortedWeights!$E$2:$E$6,Fact_SortedWeights!$C$2:$C$6,$A573,Fact_SortedWeights!$B$2:$B$6,$B573,Fact_SortedWeights!$D$2:$D$6,$C573)</f>
        <v>0</v>
      </c>
      <c r="G573" s="0" t="n">
        <f aca="false">IF(AND(IF($B573="Trash",INDEX('Materials Master'!$F$2:$F$27,MATCH($C573,'Materials Master'!$A$2:$A$27,0)),IF($B573="GMPC Recycling",INDEX('Materials Master'!$G$2:$G$27,MATCH($C573,'Materials Master'!$A$2:$A$27,0)),IF($B573="Organics Recycling",INDEX('Materials Master'!$H$2:$H$27,MATCH($C573,'Materials Master'!$A$2:$A$27,0)),IF($B573="Cardboard Recycling",INDEX('Materials Master'!$I$2:$I$27,MATCH($C573,'Materials Master'!$A$2:$A$27,0)),IF($B573="Paper Recycling",INDEX('Materials Master'!$J$2:$J$27,MATCH($C573,'Materials Master'!$A$2:$A$27,0)),IF($B573="Terracycle",INDEX('Materials Master'!$K$2:$K$27,MATCH($C573,'Materials Master'!$A$2:$A$27,0)),"No"))))))="Yes",INDEX('Materials Master'!$E$2:$E$27,MATCH($C573,'Materials Master'!$A$2:$A$27,0))="Yes",$B573&lt;&gt;"Trash"),1,0)</f>
        <v>0</v>
      </c>
      <c r="H573" s="0" t="str">
        <f aca="false">INDEX('Materials Master'!$E$2:$E$27,MATCH($C573,'Materials Master'!$A$2:$A$27,0))</f>
        <v>No</v>
      </c>
      <c r="I573" s="0" t="str">
        <f aca="false">IFERROR(INDEX(Areas!$C$2:$C$6,MATCH($A573,Areas!$B$2:$B$6,0)),"")</f>
        <v>Rest of Building</v>
      </c>
      <c r="J573" s="0" t="n">
        <f aca="false">IF(IF($B573="Trash",INDEX('Materials Master'!$F$2:$F$27,MATCH($C573,'Materials Master'!$A$2:$A$27,0)),IF($B573="GMPC Recycling",INDEX('Materials Master'!$G$2:$G$27,MATCH($C573,'Materials Master'!$A$2:$A$27,0)),IF($B573="Organics Recycling",INDEX('Materials Master'!$H$2:$H$27,MATCH($C573,'Materials Master'!$A$2:$A$27,0)),IF($B573="Cardboard Recycling",INDEX('Materials Master'!$I$2:$I$27,MATCH($C573,'Materials Master'!$A$2:$A$27,0)),IF($B573="Paper Recycling",INDEX('Materials Master'!$J$2:$J$27,MATCH($C573,'Materials Master'!$A$2:$A$27,0)),IF($B573="Terracycle",INDEX('Materials Master'!$K$2:$K$27,MATCH($C573,'Materials Master'!$A$2:$A$27,0)),"No"))))))="Yes",1,0)</f>
        <v>0</v>
      </c>
    </row>
    <row r="574" customFormat="false" ht="15" hidden="false" customHeight="false" outlineLevel="0" collapsed="false">
      <c r="A574" s="0" t="s">
        <v>99</v>
      </c>
      <c r="B574" s="0" t="s">
        <v>107</v>
      </c>
      <c r="C574" s="0" t="s">
        <v>26</v>
      </c>
      <c r="D574" s="0" t="str">
        <f aca="false">IFERROR(INDEX('Materials Master'!$B$2:$B$27,MATCH($C574,'Materials Master'!$A$2:$A$27,0)),"")</f>
        <v>Corrugated Cardboard</v>
      </c>
      <c r="E574" s="0" t="str">
        <f aca="false">IFERROR(INDEX('Materials Master'!$C$2:$C$27,MATCH($C574,'Materials Master'!$A$2:$A$27,0)),"")</f>
        <v>Fibers</v>
      </c>
      <c r="F574" s="0" t="n">
        <f aca="false">(SUMIFS(Fact_PreSortWeights!$E$2:$E$15,Fact_PreSortWeights!$C$2:$C$15,$A574,Fact_PreSortWeights!$B$2:$B$15,$B574,Fact_PreSortWeights!$F$2:$F$15,$C574))+(SUMIFS(Fact_SortedWeights!$E$2:$E$6,Fact_SortedWeights!$C$2:$C$6,$A574,Fact_SortedWeights!$B$2:$B$6,$B574,Fact_SortedWeights!$D$2:$D$6,$C574,Fact_SortedWeights!$L$2:$L$6,"Yes"))+IF((SUMIFS(Fact_SortedWeights!$E$2:$E$6,Fact_SortedWeights!$C$2:$C$6,$A574,Fact_SortedWeights!$B$2:$B$6,$B574,Fact_SortedWeights!$L$2:$L$6,"No"))=0,0,(SUMIFS(Fact_SortedWeights!$E$2:$E$6,Fact_SortedWeights!$C$2:$C$6,$A574,Fact_SortedWeights!$B$2:$B$6,$B574,Fact_SortedWeights!$D$2:$D$6,$C574,Fact_SortedWeights!$L$2:$L$6,"No"))/(SUMIFS(Fact_SortedWeights!$E$2:$E$6,Fact_SortedWeights!$C$2:$C$6,$A574,Fact_SortedWeights!$B$2:$B$6,$B574,Fact_SortedWeights!$L$2:$L$6,"No"))*((SUMIFS(Fact_PreSortWeights!$E$2:$E$15,Fact_PreSortWeights!$C$2:$C$15,$A574,Fact_PreSortWeights!$B$2:$B$15,$B574,Fact_PreSortWeights!$F$2:$F$15,""))-(SUMIFS(Fact_SortedWeights!$E$2:$E$6,Fact_SortedWeights!$C$2:$C$6,$A574,Fact_SortedWeights!$B$2:$B$6,$B574,Fact_SortedWeights!$L$2:$L$6,"Yes"))))</f>
        <v>0</v>
      </c>
      <c r="G574" s="0" t="n">
        <f aca="false">IF(AND(IF($B574="Trash",INDEX('Materials Master'!$F$2:$F$27,MATCH($C574,'Materials Master'!$A$2:$A$27,0)),IF($B574="GMPC Recycling",INDEX('Materials Master'!$G$2:$G$27,MATCH($C574,'Materials Master'!$A$2:$A$27,0)),IF($B574="Organics Recycling",INDEX('Materials Master'!$H$2:$H$27,MATCH($C574,'Materials Master'!$A$2:$A$27,0)),IF($B574="Cardboard Recycling",INDEX('Materials Master'!$I$2:$I$27,MATCH($C574,'Materials Master'!$A$2:$A$27,0)),IF($B574="Paper Recycling",INDEX('Materials Master'!$J$2:$J$27,MATCH($C574,'Materials Master'!$A$2:$A$27,0)),IF($B574="Terracycle",INDEX('Materials Master'!$K$2:$K$27,MATCH($C574,'Materials Master'!$A$2:$A$27,0)),"No"))))))="Yes",INDEX('Materials Master'!$E$2:$E$27,MATCH($C574,'Materials Master'!$A$2:$A$27,0))="Yes",$B574&lt;&gt;"Trash"),1,0)</f>
        <v>1</v>
      </c>
      <c r="H574" s="0" t="str">
        <f aca="false">INDEX('Materials Master'!$E$2:$E$27,MATCH($C574,'Materials Master'!$A$2:$A$27,0))</f>
        <v>Yes</v>
      </c>
      <c r="I574" s="0" t="str">
        <f aca="false">IFERROR(INDEX(Areas!$C$2:$C$6,MATCH($A574,Areas!$B$2:$B$6,0)),"")</f>
        <v>Rest of Building</v>
      </c>
      <c r="J574" s="0" t="n">
        <f aca="false">IF(IF($B574="Trash",INDEX('Materials Master'!$F$2:$F$27,MATCH($C574,'Materials Master'!$A$2:$A$27,0)),IF($B574="GMPC Recycling",INDEX('Materials Master'!$G$2:$G$27,MATCH($C574,'Materials Master'!$A$2:$A$27,0)),IF($B574="Organics Recycling",INDEX('Materials Master'!$H$2:$H$27,MATCH($C574,'Materials Master'!$A$2:$A$27,0)),IF($B574="Cardboard Recycling",INDEX('Materials Master'!$I$2:$I$27,MATCH($C574,'Materials Master'!$A$2:$A$27,0)),IF($B574="Paper Recycling",INDEX('Materials Master'!$J$2:$J$27,MATCH($C574,'Materials Master'!$A$2:$A$27,0)),IF($B574="Terracycle",INDEX('Materials Master'!$K$2:$K$27,MATCH($C574,'Materials Master'!$A$2:$A$27,0)),"No"))))))="Yes",1,0)</f>
        <v>1</v>
      </c>
    </row>
    <row r="575" customFormat="false" ht="15" hidden="false" customHeight="false" outlineLevel="0" collapsed="false">
      <c r="A575" s="0" t="s">
        <v>99</v>
      </c>
      <c r="B575" s="0" t="s">
        <v>107</v>
      </c>
      <c r="C575" s="0" t="s">
        <v>31</v>
      </c>
      <c r="D575" s="0" t="str">
        <f aca="false">IFERROR(INDEX('Materials Master'!$B$2:$B$27,MATCH($C575,'Materials Master'!$A$2:$A$27,0)),"")</f>
        <v>Soiled Cardboard</v>
      </c>
      <c r="E575" s="0" t="str">
        <f aca="false">IFERROR(INDEX('Materials Master'!$C$2:$C$27,MATCH($C575,'Materials Master'!$A$2:$A$27,0)),"")</f>
        <v>Fibers</v>
      </c>
      <c r="F575" s="0" t="n">
        <f aca="false">(SUMIFS(Fact_PreSortWeights!$E$2:$E$15,Fact_PreSortWeights!$C$2:$C$15,$A575,Fact_PreSortWeights!$B$2:$B$15,$B575,Fact_PreSortWeights!$F$2:$F$15,$C575))+(SUMIFS(Fact_SortedWeights!$E$2:$E$6,Fact_SortedWeights!$C$2:$C$6,$A575,Fact_SortedWeights!$B$2:$B$6,$B575,Fact_SortedWeights!$D$2:$D$6,$C575,Fact_SortedWeights!$L$2:$L$6,"Yes"))+IF((SUMIFS(Fact_SortedWeights!$E$2:$E$6,Fact_SortedWeights!$C$2:$C$6,$A575,Fact_SortedWeights!$B$2:$B$6,$B575,Fact_SortedWeights!$L$2:$L$6,"No"))=0,0,(SUMIFS(Fact_SortedWeights!$E$2:$E$6,Fact_SortedWeights!$C$2:$C$6,$A575,Fact_SortedWeights!$B$2:$B$6,$B575,Fact_SortedWeights!$D$2:$D$6,$C575,Fact_SortedWeights!$L$2:$L$6,"No"))/(SUMIFS(Fact_SortedWeights!$E$2:$E$6,Fact_SortedWeights!$C$2:$C$6,$A575,Fact_SortedWeights!$B$2:$B$6,$B575,Fact_SortedWeights!$L$2:$L$6,"No"))*((SUMIFS(Fact_PreSortWeights!$E$2:$E$15,Fact_PreSortWeights!$C$2:$C$15,$A575,Fact_PreSortWeights!$B$2:$B$15,$B575,Fact_PreSortWeights!$F$2:$F$15,""))-(SUMIFS(Fact_SortedWeights!$E$2:$E$6,Fact_SortedWeights!$C$2:$C$6,$A575,Fact_SortedWeights!$B$2:$B$6,$B575,Fact_SortedWeights!$L$2:$L$6,"Yes"))))</f>
        <v>0</v>
      </c>
      <c r="G575" s="0" t="n">
        <f aca="false">IF(AND(IF($B575="Trash",INDEX('Materials Master'!$F$2:$F$27,MATCH($C575,'Materials Master'!$A$2:$A$27,0)),IF($B575="GMPC Recycling",INDEX('Materials Master'!$G$2:$G$27,MATCH($C575,'Materials Master'!$A$2:$A$27,0)),IF($B575="Organics Recycling",INDEX('Materials Master'!$H$2:$H$27,MATCH($C575,'Materials Master'!$A$2:$A$27,0)),IF($B575="Cardboard Recycling",INDEX('Materials Master'!$I$2:$I$27,MATCH($C575,'Materials Master'!$A$2:$A$27,0)),IF($B575="Paper Recycling",INDEX('Materials Master'!$J$2:$J$27,MATCH($C575,'Materials Master'!$A$2:$A$27,0)),IF($B575="Terracycle",INDEX('Materials Master'!$K$2:$K$27,MATCH($C575,'Materials Master'!$A$2:$A$27,0)),"No"))))))="Yes",INDEX('Materials Master'!$E$2:$E$27,MATCH($C575,'Materials Master'!$A$2:$A$27,0))="Yes",$B575&lt;&gt;"Trash"),1,0)</f>
        <v>0</v>
      </c>
      <c r="H575" s="0" t="str">
        <f aca="false">INDEX('Materials Master'!$E$2:$E$27,MATCH($C575,'Materials Master'!$A$2:$A$27,0))</f>
        <v>No</v>
      </c>
      <c r="I575" s="0" t="str">
        <f aca="false">IFERROR(INDEX(Areas!$C$2:$C$6,MATCH($A575,Areas!$B$2:$B$6,0)),"")</f>
        <v>Rest of Building</v>
      </c>
      <c r="J575" s="0" t="n">
        <f aca="false">IF(IF($B575="Trash",INDEX('Materials Master'!$F$2:$F$27,MATCH($C575,'Materials Master'!$A$2:$A$27,0)),IF($B575="GMPC Recycling",INDEX('Materials Master'!$G$2:$G$27,MATCH($C575,'Materials Master'!$A$2:$A$27,0)),IF($B575="Organics Recycling",INDEX('Materials Master'!$H$2:$H$27,MATCH($C575,'Materials Master'!$A$2:$A$27,0)),IF($B575="Cardboard Recycling",INDEX('Materials Master'!$I$2:$I$27,MATCH($C575,'Materials Master'!$A$2:$A$27,0)),IF($B575="Paper Recycling",INDEX('Materials Master'!$J$2:$J$27,MATCH($C575,'Materials Master'!$A$2:$A$27,0)),IF($B575="Terracycle",INDEX('Materials Master'!$K$2:$K$27,MATCH($C575,'Materials Master'!$A$2:$A$27,0)),"No"))))))="Yes",1,0)</f>
        <v>0</v>
      </c>
    </row>
    <row r="576" customFormat="false" ht="15" hidden="false" customHeight="false" outlineLevel="0" collapsed="false">
      <c r="A576" s="0" t="s">
        <v>99</v>
      </c>
      <c r="B576" s="0" t="s">
        <v>107</v>
      </c>
      <c r="C576" s="0" t="s">
        <v>33</v>
      </c>
      <c r="D576" s="0" t="str">
        <f aca="false">IFERROR(INDEX('Materials Master'!$B$2:$B$27,MATCH($C576,'Materials Master'!$A$2:$A$27,0)),"")</f>
        <v>Waxed Cardboard</v>
      </c>
      <c r="E576" s="0" t="str">
        <f aca="false">IFERROR(INDEX('Materials Master'!$C$2:$C$27,MATCH($C576,'Materials Master'!$A$2:$A$27,0)),"")</f>
        <v>Fibers</v>
      </c>
      <c r="F576" s="0" t="n">
        <f aca="false">(SUMIFS(Fact_PreSortWeights!$E$2:$E$15,Fact_PreSortWeights!$C$2:$C$15,$A576,Fact_PreSortWeights!$B$2:$B$15,$B576,Fact_PreSortWeights!$F$2:$F$15,$C576))+(SUMIFS(Fact_SortedWeights!$E$2:$E$6,Fact_SortedWeights!$C$2:$C$6,$A576,Fact_SortedWeights!$B$2:$B$6,$B576,Fact_SortedWeights!$D$2:$D$6,$C576,Fact_SortedWeights!$L$2:$L$6,"Yes"))+IF((SUMIFS(Fact_SortedWeights!$E$2:$E$6,Fact_SortedWeights!$C$2:$C$6,$A576,Fact_SortedWeights!$B$2:$B$6,$B576,Fact_SortedWeights!$L$2:$L$6,"No"))=0,0,(SUMIFS(Fact_SortedWeights!$E$2:$E$6,Fact_SortedWeights!$C$2:$C$6,$A576,Fact_SortedWeights!$B$2:$B$6,$B576,Fact_SortedWeights!$D$2:$D$6,$C576,Fact_SortedWeights!$L$2:$L$6,"No"))/(SUMIFS(Fact_SortedWeights!$E$2:$E$6,Fact_SortedWeights!$C$2:$C$6,$A576,Fact_SortedWeights!$B$2:$B$6,$B576,Fact_SortedWeights!$L$2:$L$6,"No"))*((SUMIFS(Fact_PreSortWeights!$E$2:$E$15,Fact_PreSortWeights!$C$2:$C$15,$A576,Fact_PreSortWeights!$B$2:$B$15,$B576,Fact_PreSortWeights!$F$2:$F$15,""))-(SUMIFS(Fact_SortedWeights!$E$2:$E$6,Fact_SortedWeights!$C$2:$C$6,$A576,Fact_SortedWeights!$B$2:$B$6,$B576,Fact_SortedWeights!$L$2:$L$6,"Yes"))))</f>
        <v>0</v>
      </c>
      <c r="G576" s="0" t="n">
        <f aca="false">IF(AND(IF($B576="Trash",INDEX('Materials Master'!$F$2:$F$27,MATCH($C576,'Materials Master'!$A$2:$A$27,0)),IF($B576="GMPC Recycling",INDEX('Materials Master'!$G$2:$G$27,MATCH($C576,'Materials Master'!$A$2:$A$27,0)),IF($B576="Organics Recycling",INDEX('Materials Master'!$H$2:$H$27,MATCH($C576,'Materials Master'!$A$2:$A$27,0)),IF($B576="Cardboard Recycling",INDEX('Materials Master'!$I$2:$I$27,MATCH($C576,'Materials Master'!$A$2:$A$27,0)),IF($B576="Paper Recycling",INDEX('Materials Master'!$J$2:$J$27,MATCH($C576,'Materials Master'!$A$2:$A$27,0)),IF($B576="Terracycle",INDEX('Materials Master'!$K$2:$K$27,MATCH($C576,'Materials Master'!$A$2:$A$27,0)),"No"))))))="Yes",INDEX('Materials Master'!$E$2:$E$27,MATCH($C576,'Materials Master'!$A$2:$A$27,0))="Yes",$B576&lt;&gt;"Trash"),1,0)</f>
        <v>0</v>
      </c>
      <c r="H576" s="0" t="str">
        <f aca="false">INDEX('Materials Master'!$E$2:$E$27,MATCH($C576,'Materials Master'!$A$2:$A$27,0))</f>
        <v>No</v>
      </c>
      <c r="I576" s="0" t="str">
        <f aca="false">IFERROR(INDEX(Areas!$C$2:$C$6,MATCH($A576,Areas!$B$2:$B$6,0)),"")</f>
        <v>Rest of Building</v>
      </c>
      <c r="J576" s="0" t="n">
        <f aca="false">IF(IF($B576="Trash",INDEX('Materials Master'!$F$2:$F$27,MATCH($C576,'Materials Master'!$A$2:$A$27,0)),IF($B576="GMPC Recycling",INDEX('Materials Master'!$G$2:$G$27,MATCH($C576,'Materials Master'!$A$2:$A$27,0)),IF($B576="Organics Recycling",INDEX('Materials Master'!$H$2:$H$27,MATCH($C576,'Materials Master'!$A$2:$A$27,0)),IF($B576="Cardboard Recycling",INDEX('Materials Master'!$I$2:$I$27,MATCH($C576,'Materials Master'!$A$2:$A$27,0)),IF($B576="Paper Recycling",INDEX('Materials Master'!$J$2:$J$27,MATCH($C576,'Materials Master'!$A$2:$A$27,0)),IF($B576="Terracycle",INDEX('Materials Master'!$K$2:$K$27,MATCH($C576,'Materials Master'!$A$2:$A$27,0)),"No"))))))="Yes",1,0)</f>
        <v>0</v>
      </c>
    </row>
    <row r="577" customFormat="false" ht="15" hidden="false" customHeight="false" outlineLevel="0" collapsed="false">
      <c r="A577" s="0" t="s">
        <v>99</v>
      </c>
      <c r="B577" s="0" t="s">
        <v>107</v>
      </c>
      <c r="C577" s="0" t="s">
        <v>35</v>
      </c>
      <c r="D577" s="0" t="str">
        <f aca="false">IFERROR(INDEX('Materials Master'!$B$2:$B$27,MATCH($C577,'Materials Master'!$A$2:$A$27,0)),"")</f>
        <v>Mixed Paper</v>
      </c>
      <c r="E577" s="0" t="str">
        <f aca="false">IFERROR(INDEX('Materials Master'!$C$2:$C$27,MATCH($C577,'Materials Master'!$A$2:$A$27,0)),"")</f>
        <v>Fibers</v>
      </c>
      <c r="F577" s="0" t="n">
        <f aca="false">(SUMIFS(Fact_PreSortWeights!$E$2:$E$15,Fact_PreSortWeights!$C$2:$C$15,$A577,Fact_PreSortWeights!$B$2:$B$15,$B577,Fact_PreSortWeights!$F$2:$F$15,$C577))+(SUMIFS(Fact_SortedWeights!$E$2:$E$6,Fact_SortedWeights!$C$2:$C$6,$A577,Fact_SortedWeights!$B$2:$B$6,$B577,Fact_SortedWeights!$D$2:$D$6,$C577,Fact_SortedWeights!$L$2:$L$6,"Yes"))+IF((SUMIFS(Fact_SortedWeights!$E$2:$E$6,Fact_SortedWeights!$C$2:$C$6,$A577,Fact_SortedWeights!$B$2:$B$6,$B577,Fact_SortedWeights!$L$2:$L$6,"No"))=0,0,(SUMIFS(Fact_SortedWeights!$E$2:$E$6,Fact_SortedWeights!$C$2:$C$6,$A577,Fact_SortedWeights!$B$2:$B$6,$B577,Fact_SortedWeights!$D$2:$D$6,$C577,Fact_SortedWeights!$L$2:$L$6,"No"))/(SUMIFS(Fact_SortedWeights!$E$2:$E$6,Fact_SortedWeights!$C$2:$C$6,$A577,Fact_SortedWeights!$B$2:$B$6,$B577,Fact_SortedWeights!$L$2:$L$6,"No"))*((SUMIFS(Fact_PreSortWeights!$E$2:$E$15,Fact_PreSortWeights!$C$2:$C$15,$A577,Fact_PreSortWeights!$B$2:$B$15,$B577,Fact_PreSortWeights!$F$2:$F$15,""))-(SUMIFS(Fact_SortedWeights!$E$2:$E$6,Fact_SortedWeights!$C$2:$C$6,$A577,Fact_SortedWeights!$B$2:$B$6,$B577,Fact_SortedWeights!$L$2:$L$6,"Yes"))))</f>
        <v>0</v>
      </c>
      <c r="G577" s="0" t="n">
        <f aca="false">IF(AND(IF($B577="Trash",INDEX('Materials Master'!$F$2:$F$27,MATCH($C577,'Materials Master'!$A$2:$A$27,0)),IF($B577="GMPC Recycling",INDEX('Materials Master'!$G$2:$G$27,MATCH($C577,'Materials Master'!$A$2:$A$27,0)),IF($B577="Organics Recycling",INDEX('Materials Master'!$H$2:$H$27,MATCH($C577,'Materials Master'!$A$2:$A$27,0)),IF($B577="Cardboard Recycling",INDEX('Materials Master'!$I$2:$I$27,MATCH($C577,'Materials Master'!$A$2:$A$27,0)),IF($B577="Paper Recycling",INDEX('Materials Master'!$J$2:$J$27,MATCH($C577,'Materials Master'!$A$2:$A$27,0)),IF($B577="Terracycle",INDEX('Materials Master'!$K$2:$K$27,MATCH($C577,'Materials Master'!$A$2:$A$27,0)),"No"))))))="Yes",INDEX('Materials Master'!$E$2:$E$27,MATCH($C577,'Materials Master'!$A$2:$A$27,0))="Yes",$B577&lt;&gt;"Trash"),1,0)</f>
        <v>0</v>
      </c>
      <c r="H577" s="0" t="str">
        <f aca="false">INDEX('Materials Master'!$E$2:$E$27,MATCH($C577,'Materials Master'!$A$2:$A$27,0))</f>
        <v>Yes</v>
      </c>
      <c r="I577" s="0" t="str">
        <f aca="false">IFERROR(INDEX(Areas!$C$2:$C$6,MATCH($A577,Areas!$B$2:$B$6,0)),"")</f>
        <v>Rest of Building</v>
      </c>
      <c r="J577" s="0" t="n">
        <f aca="false">IF(IF($B577="Trash",INDEX('Materials Master'!$F$2:$F$27,MATCH($C577,'Materials Master'!$A$2:$A$27,0)),IF($B577="GMPC Recycling",INDEX('Materials Master'!$G$2:$G$27,MATCH($C577,'Materials Master'!$A$2:$A$27,0)),IF($B577="Organics Recycling",INDEX('Materials Master'!$H$2:$H$27,MATCH($C577,'Materials Master'!$A$2:$A$27,0)),IF($B577="Cardboard Recycling",INDEX('Materials Master'!$I$2:$I$27,MATCH($C577,'Materials Master'!$A$2:$A$27,0)),IF($B577="Paper Recycling",INDEX('Materials Master'!$J$2:$J$27,MATCH($C577,'Materials Master'!$A$2:$A$27,0)),IF($B577="Terracycle",INDEX('Materials Master'!$K$2:$K$27,MATCH($C577,'Materials Master'!$A$2:$A$27,0)),"No"))))))="Yes",1,0)</f>
        <v>0</v>
      </c>
    </row>
    <row r="578" customFormat="false" ht="15" hidden="false" customHeight="false" outlineLevel="0" collapsed="false">
      <c r="A578" s="0" t="s">
        <v>99</v>
      </c>
      <c r="B578" s="0" t="s">
        <v>107</v>
      </c>
      <c r="C578" s="0" t="s">
        <v>37</v>
      </c>
      <c r="D578" s="0" t="str">
        <f aca="false">IFERROR(INDEX('Materials Master'!$B$2:$B$27,MATCH($C578,'Materials Master'!$A$2:$A$27,0)),"")</f>
        <v>Soiled Paper</v>
      </c>
      <c r="E578" s="0" t="str">
        <f aca="false">IFERROR(INDEX('Materials Master'!$C$2:$C$27,MATCH($C578,'Materials Master'!$A$2:$A$27,0)),"")</f>
        <v>Fibers</v>
      </c>
      <c r="F578" s="0" t="n">
        <f aca="false">(SUMIFS(Fact_PreSortWeights!$E$2:$E$15,Fact_PreSortWeights!$C$2:$C$15,$A578,Fact_PreSortWeights!$B$2:$B$15,$B578,Fact_PreSortWeights!$F$2:$F$15,$C578))+(SUMIFS(Fact_SortedWeights!$E$2:$E$6,Fact_SortedWeights!$C$2:$C$6,$A578,Fact_SortedWeights!$B$2:$B$6,$B578,Fact_SortedWeights!$D$2:$D$6,$C578,Fact_SortedWeights!$L$2:$L$6,"Yes"))+IF((SUMIFS(Fact_SortedWeights!$E$2:$E$6,Fact_SortedWeights!$C$2:$C$6,$A578,Fact_SortedWeights!$B$2:$B$6,$B578,Fact_SortedWeights!$L$2:$L$6,"No"))=0,0,(SUMIFS(Fact_SortedWeights!$E$2:$E$6,Fact_SortedWeights!$C$2:$C$6,$A578,Fact_SortedWeights!$B$2:$B$6,$B578,Fact_SortedWeights!$D$2:$D$6,$C578,Fact_SortedWeights!$L$2:$L$6,"No"))/(SUMIFS(Fact_SortedWeights!$E$2:$E$6,Fact_SortedWeights!$C$2:$C$6,$A578,Fact_SortedWeights!$B$2:$B$6,$B578,Fact_SortedWeights!$L$2:$L$6,"No"))*((SUMIFS(Fact_PreSortWeights!$E$2:$E$15,Fact_PreSortWeights!$C$2:$C$15,$A578,Fact_PreSortWeights!$B$2:$B$15,$B578,Fact_PreSortWeights!$F$2:$F$15,""))-(SUMIFS(Fact_SortedWeights!$E$2:$E$6,Fact_SortedWeights!$C$2:$C$6,$A578,Fact_SortedWeights!$B$2:$B$6,$B578,Fact_SortedWeights!$L$2:$L$6,"Yes"))))</f>
        <v>0</v>
      </c>
      <c r="G578" s="0" t="n">
        <f aca="false">IF(AND(IF($B578="Trash",INDEX('Materials Master'!$F$2:$F$27,MATCH($C578,'Materials Master'!$A$2:$A$27,0)),IF($B578="GMPC Recycling",INDEX('Materials Master'!$G$2:$G$27,MATCH($C578,'Materials Master'!$A$2:$A$27,0)),IF($B578="Organics Recycling",INDEX('Materials Master'!$H$2:$H$27,MATCH($C578,'Materials Master'!$A$2:$A$27,0)),IF($B578="Cardboard Recycling",INDEX('Materials Master'!$I$2:$I$27,MATCH($C578,'Materials Master'!$A$2:$A$27,0)),IF($B578="Paper Recycling",INDEX('Materials Master'!$J$2:$J$27,MATCH($C578,'Materials Master'!$A$2:$A$27,0)),IF($B578="Terracycle",INDEX('Materials Master'!$K$2:$K$27,MATCH($C578,'Materials Master'!$A$2:$A$27,0)),"No"))))))="Yes",INDEX('Materials Master'!$E$2:$E$27,MATCH($C578,'Materials Master'!$A$2:$A$27,0))="Yes",$B578&lt;&gt;"Trash"),1,0)</f>
        <v>0</v>
      </c>
      <c r="H578" s="0" t="str">
        <f aca="false">INDEX('Materials Master'!$E$2:$E$27,MATCH($C578,'Materials Master'!$A$2:$A$27,0))</f>
        <v>No</v>
      </c>
      <c r="I578" s="0" t="str">
        <f aca="false">IFERROR(INDEX(Areas!$C$2:$C$6,MATCH($A578,Areas!$B$2:$B$6,0)),"")</f>
        <v>Rest of Building</v>
      </c>
      <c r="J578" s="0" t="n">
        <f aca="false">IF(IF($B578="Trash",INDEX('Materials Master'!$F$2:$F$27,MATCH($C578,'Materials Master'!$A$2:$A$27,0)),IF($B578="GMPC Recycling",INDEX('Materials Master'!$G$2:$G$27,MATCH($C578,'Materials Master'!$A$2:$A$27,0)),IF($B578="Organics Recycling",INDEX('Materials Master'!$H$2:$H$27,MATCH($C578,'Materials Master'!$A$2:$A$27,0)),IF($B578="Cardboard Recycling",INDEX('Materials Master'!$I$2:$I$27,MATCH($C578,'Materials Master'!$A$2:$A$27,0)),IF($B578="Paper Recycling",INDEX('Materials Master'!$J$2:$J$27,MATCH($C578,'Materials Master'!$A$2:$A$27,0)),IF($B578="Terracycle",INDEX('Materials Master'!$K$2:$K$27,MATCH($C578,'Materials Master'!$A$2:$A$27,0)),"No"))))))="Yes",1,0)</f>
        <v>0</v>
      </c>
    </row>
    <row r="579" customFormat="false" ht="15" hidden="false" customHeight="false" outlineLevel="0" collapsed="false">
      <c r="A579" s="0" t="s">
        <v>99</v>
      </c>
      <c r="B579" s="0" t="s">
        <v>107</v>
      </c>
      <c r="C579" s="0" t="s">
        <v>39</v>
      </c>
      <c r="D579" s="0" t="str">
        <f aca="false">IFERROR(INDEX('Materials Master'!$B$2:$B$27,MATCH($C579,'Materials Master'!$A$2:$A$27,0)),"")</f>
        <v>Beverage Cartons</v>
      </c>
      <c r="E579" s="0" t="str">
        <f aca="false">IFERROR(INDEX('Materials Master'!$C$2:$C$27,MATCH($C579,'Materials Master'!$A$2:$A$27,0)),"")</f>
        <v>Fibers</v>
      </c>
      <c r="F579" s="0" t="n">
        <f aca="false">(SUMIFS(Fact_PreSortWeights!$E$2:$E$15,Fact_PreSortWeights!$C$2:$C$15,$A579,Fact_PreSortWeights!$B$2:$B$15,$B579,Fact_PreSortWeights!$F$2:$F$15,$C579))+(SUMIFS(Fact_SortedWeights!$E$2:$E$6,Fact_SortedWeights!$C$2:$C$6,$A579,Fact_SortedWeights!$B$2:$B$6,$B579,Fact_SortedWeights!$D$2:$D$6,$C579,Fact_SortedWeights!$L$2:$L$6,"Yes"))+IF((SUMIFS(Fact_SortedWeights!$E$2:$E$6,Fact_SortedWeights!$C$2:$C$6,$A579,Fact_SortedWeights!$B$2:$B$6,$B579,Fact_SortedWeights!$L$2:$L$6,"No"))=0,0,(SUMIFS(Fact_SortedWeights!$E$2:$E$6,Fact_SortedWeights!$C$2:$C$6,$A579,Fact_SortedWeights!$B$2:$B$6,$B579,Fact_SortedWeights!$D$2:$D$6,$C579,Fact_SortedWeights!$L$2:$L$6,"No"))/(SUMIFS(Fact_SortedWeights!$E$2:$E$6,Fact_SortedWeights!$C$2:$C$6,$A579,Fact_SortedWeights!$B$2:$B$6,$B579,Fact_SortedWeights!$L$2:$L$6,"No"))*((SUMIFS(Fact_PreSortWeights!$E$2:$E$15,Fact_PreSortWeights!$C$2:$C$15,$A579,Fact_PreSortWeights!$B$2:$B$15,$B579,Fact_PreSortWeights!$F$2:$F$15,""))-(SUMIFS(Fact_SortedWeights!$E$2:$E$6,Fact_SortedWeights!$C$2:$C$6,$A579,Fact_SortedWeights!$B$2:$B$6,$B579,Fact_SortedWeights!$L$2:$L$6,"Yes"))))</f>
        <v>0</v>
      </c>
      <c r="G579" s="0" t="n">
        <f aca="false">IF(AND(IF($B579="Trash",INDEX('Materials Master'!$F$2:$F$27,MATCH($C579,'Materials Master'!$A$2:$A$27,0)),IF($B579="GMPC Recycling",INDEX('Materials Master'!$G$2:$G$27,MATCH($C579,'Materials Master'!$A$2:$A$27,0)),IF($B579="Organics Recycling",INDEX('Materials Master'!$H$2:$H$27,MATCH($C579,'Materials Master'!$A$2:$A$27,0)),IF($B579="Cardboard Recycling",INDEX('Materials Master'!$I$2:$I$27,MATCH($C579,'Materials Master'!$A$2:$A$27,0)),IF($B579="Paper Recycling",INDEX('Materials Master'!$J$2:$J$27,MATCH($C579,'Materials Master'!$A$2:$A$27,0)),IF($B579="Terracycle",INDEX('Materials Master'!$K$2:$K$27,MATCH($C579,'Materials Master'!$A$2:$A$27,0)),"No"))))))="Yes",INDEX('Materials Master'!$E$2:$E$27,MATCH($C579,'Materials Master'!$A$2:$A$27,0))="Yes",$B579&lt;&gt;"Trash"),1,0)</f>
        <v>1</v>
      </c>
      <c r="H579" s="0" t="str">
        <f aca="false">INDEX('Materials Master'!$E$2:$E$27,MATCH($C579,'Materials Master'!$A$2:$A$27,0))</f>
        <v>Yes</v>
      </c>
      <c r="I579" s="0" t="str">
        <f aca="false">IFERROR(INDEX(Areas!$C$2:$C$6,MATCH($A579,Areas!$B$2:$B$6,0)),"")</f>
        <v>Rest of Building</v>
      </c>
      <c r="J579" s="0" t="n">
        <f aca="false">IF(IF($B579="Trash",INDEX('Materials Master'!$F$2:$F$27,MATCH($C579,'Materials Master'!$A$2:$A$27,0)),IF($B579="GMPC Recycling",INDEX('Materials Master'!$G$2:$G$27,MATCH($C579,'Materials Master'!$A$2:$A$27,0)),IF($B579="Organics Recycling",INDEX('Materials Master'!$H$2:$H$27,MATCH($C579,'Materials Master'!$A$2:$A$27,0)),IF($B579="Cardboard Recycling",INDEX('Materials Master'!$I$2:$I$27,MATCH($C579,'Materials Master'!$A$2:$A$27,0)),IF($B579="Paper Recycling",INDEX('Materials Master'!$J$2:$J$27,MATCH($C579,'Materials Master'!$A$2:$A$27,0)),IF($B579="Terracycle",INDEX('Materials Master'!$K$2:$K$27,MATCH($C579,'Materials Master'!$A$2:$A$27,0)),"No"))))))="Yes",1,0)</f>
        <v>1</v>
      </c>
    </row>
    <row r="580" customFormat="false" ht="15" hidden="false" customHeight="false" outlineLevel="0" collapsed="false">
      <c r="A580" s="0" t="s">
        <v>99</v>
      </c>
      <c r="B580" s="0" t="s">
        <v>107</v>
      </c>
      <c r="C580" s="0" t="s">
        <v>41</v>
      </c>
      <c r="D580" s="0" t="str">
        <f aca="false">IFERROR(INDEX('Materials Master'!$B$2:$B$27,MATCH($C580,'Materials Master'!$A$2:$A$27,0)),"")</f>
        <v>Soiled Beverage Cartons</v>
      </c>
      <c r="E580" s="0" t="str">
        <f aca="false">IFERROR(INDEX('Materials Master'!$C$2:$C$27,MATCH($C580,'Materials Master'!$A$2:$A$27,0)),"")</f>
        <v>Fibers</v>
      </c>
      <c r="F580" s="0" t="n">
        <f aca="false">(SUMIFS(Fact_PreSortWeights!$E$2:$E$15,Fact_PreSortWeights!$C$2:$C$15,$A580,Fact_PreSortWeights!$B$2:$B$15,$B580,Fact_PreSortWeights!$F$2:$F$15,$C580))+(SUMIFS(Fact_SortedWeights!$E$2:$E$6,Fact_SortedWeights!$C$2:$C$6,$A580,Fact_SortedWeights!$B$2:$B$6,$B580,Fact_SortedWeights!$D$2:$D$6,$C580,Fact_SortedWeights!$L$2:$L$6,"Yes"))+IF((SUMIFS(Fact_SortedWeights!$E$2:$E$6,Fact_SortedWeights!$C$2:$C$6,$A580,Fact_SortedWeights!$B$2:$B$6,$B580,Fact_SortedWeights!$L$2:$L$6,"No"))=0,0,(SUMIFS(Fact_SortedWeights!$E$2:$E$6,Fact_SortedWeights!$C$2:$C$6,$A580,Fact_SortedWeights!$B$2:$B$6,$B580,Fact_SortedWeights!$D$2:$D$6,$C580,Fact_SortedWeights!$L$2:$L$6,"No"))/(SUMIFS(Fact_SortedWeights!$E$2:$E$6,Fact_SortedWeights!$C$2:$C$6,$A580,Fact_SortedWeights!$B$2:$B$6,$B580,Fact_SortedWeights!$L$2:$L$6,"No"))*((SUMIFS(Fact_PreSortWeights!$E$2:$E$15,Fact_PreSortWeights!$C$2:$C$15,$A580,Fact_PreSortWeights!$B$2:$B$15,$B580,Fact_PreSortWeights!$F$2:$F$15,""))-(SUMIFS(Fact_SortedWeights!$E$2:$E$6,Fact_SortedWeights!$C$2:$C$6,$A580,Fact_SortedWeights!$B$2:$B$6,$B580,Fact_SortedWeights!$L$2:$L$6,"Yes"))))</f>
        <v>0</v>
      </c>
      <c r="G580" s="0" t="n">
        <f aca="false">IF(AND(IF($B580="Trash",INDEX('Materials Master'!$F$2:$F$27,MATCH($C580,'Materials Master'!$A$2:$A$27,0)),IF($B580="GMPC Recycling",INDEX('Materials Master'!$G$2:$G$27,MATCH($C580,'Materials Master'!$A$2:$A$27,0)),IF($B580="Organics Recycling",INDEX('Materials Master'!$H$2:$H$27,MATCH($C580,'Materials Master'!$A$2:$A$27,0)),IF($B580="Cardboard Recycling",INDEX('Materials Master'!$I$2:$I$27,MATCH($C580,'Materials Master'!$A$2:$A$27,0)),IF($B580="Paper Recycling",INDEX('Materials Master'!$J$2:$J$27,MATCH($C580,'Materials Master'!$A$2:$A$27,0)),IF($B580="Terracycle",INDEX('Materials Master'!$K$2:$K$27,MATCH($C580,'Materials Master'!$A$2:$A$27,0)),"No"))))))="Yes",INDEX('Materials Master'!$E$2:$E$27,MATCH($C580,'Materials Master'!$A$2:$A$27,0))="Yes",$B580&lt;&gt;"Trash"),1,0)</f>
        <v>0</v>
      </c>
      <c r="H580" s="0" t="str">
        <f aca="false">INDEX('Materials Master'!$E$2:$E$27,MATCH($C580,'Materials Master'!$A$2:$A$27,0))</f>
        <v>No</v>
      </c>
      <c r="I580" s="0" t="str">
        <f aca="false">IFERROR(INDEX(Areas!$C$2:$C$6,MATCH($A580,Areas!$B$2:$B$6,0)),"")</f>
        <v>Rest of Building</v>
      </c>
      <c r="J580" s="0" t="n">
        <f aca="false">IF(IF($B580="Trash",INDEX('Materials Master'!$F$2:$F$27,MATCH($C580,'Materials Master'!$A$2:$A$27,0)),IF($B580="GMPC Recycling",INDEX('Materials Master'!$G$2:$G$27,MATCH($C580,'Materials Master'!$A$2:$A$27,0)),IF($B580="Organics Recycling",INDEX('Materials Master'!$H$2:$H$27,MATCH($C580,'Materials Master'!$A$2:$A$27,0)),IF($B580="Cardboard Recycling",INDEX('Materials Master'!$I$2:$I$27,MATCH($C580,'Materials Master'!$A$2:$A$27,0)),IF($B580="Paper Recycling",INDEX('Materials Master'!$J$2:$J$27,MATCH($C580,'Materials Master'!$A$2:$A$27,0)),IF($B580="Terracycle",INDEX('Materials Master'!$K$2:$K$27,MATCH($C580,'Materials Master'!$A$2:$A$27,0)),"No"))))))="Yes",1,0)</f>
        <v>0</v>
      </c>
    </row>
    <row r="581" customFormat="false" ht="15" hidden="false" customHeight="false" outlineLevel="0" collapsed="false">
      <c r="A581" s="0" t="s">
        <v>99</v>
      </c>
      <c r="B581" s="0" t="s">
        <v>107</v>
      </c>
      <c r="C581" s="0" t="s">
        <v>43</v>
      </c>
      <c r="D581" s="0" t="str">
        <f aca="false">IFERROR(INDEX('Materials Master'!$B$2:$B$27,MATCH($C581,'Materials Master'!$A$2:$A$27,0)),"")</f>
        <v>Paper Cups / Other Coated Paper Containers</v>
      </c>
      <c r="E581" s="0" t="str">
        <f aca="false">IFERROR(INDEX('Materials Master'!$C$2:$C$27,MATCH($C581,'Materials Master'!$A$2:$A$27,0)),"")</f>
        <v>Fibers</v>
      </c>
      <c r="F581" s="0" t="n">
        <f aca="false">(SUMIFS(Fact_PreSortWeights!$E$2:$E$15,Fact_PreSortWeights!$C$2:$C$15,$A581,Fact_PreSortWeights!$B$2:$B$15,$B581,Fact_PreSortWeights!$F$2:$F$15,$C581))+(SUMIFS(Fact_SortedWeights!$E$2:$E$6,Fact_SortedWeights!$C$2:$C$6,$A581,Fact_SortedWeights!$B$2:$B$6,$B581,Fact_SortedWeights!$D$2:$D$6,$C581,Fact_SortedWeights!$L$2:$L$6,"Yes"))+IF((SUMIFS(Fact_SortedWeights!$E$2:$E$6,Fact_SortedWeights!$C$2:$C$6,$A581,Fact_SortedWeights!$B$2:$B$6,$B581,Fact_SortedWeights!$L$2:$L$6,"No"))=0,0,(SUMIFS(Fact_SortedWeights!$E$2:$E$6,Fact_SortedWeights!$C$2:$C$6,$A581,Fact_SortedWeights!$B$2:$B$6,$B581,Fact_SortedWeights!$D$2:$D$6,$C581,Fact_SortedWeights!$L$2:$L$6,"No"))/(SUMIFS(Fact_SortedWeights!$E$2:$E$6,Fact_SortedWeights!$C$2:$C$6,$A581,Fact_SortedWeights!$B$2:$B$6,$B581,Fact_SortedWeights!$L$2:$L$6,"No"))*((SUMIFS(Fact_PreSortWeights!$E$2:$E$15,Fact_PreSortWeights!$C$2:$C$15,$A581,Fact_PreSortWeights!$B$2:$B$15,$B581,Fact_PreSortWeights!$F$2:$F$15,""))-(SUMIFS(Fact_SortedWeights!$E$2:$E$6,Fact_SortedWeights!$C$2:$C$6,$A581,Fact_SortedWeights!$B$2:$B$6,$B581,Fact_SortedWeights!$L$2:$L$6,"Yes"))))</f>
        <v>0</v>
      </c>
      <c r="G581" s="0" t="n">
        <f aca="false">IF(AND(IF($B581="Trash",INDEX('Materials Master'!$F$2:$F$27,MATCH($C581,'Materials Master'!$A$2:$A$27,0)),IF($B581="GMPC Recycling",INDEX('Materials Master'!$G$2:$G$27,MATCH($C581,'Materials Master'!$A$2:$A$27,0)),IF($B581="Organics Recycling",INDEX('Materials Master'!$H$2:$H$27,MATCH($C581,'Materials Master'!$A$2:$A$27,0)),IF($B581="Cardboard Recycling",INDEX('Materials Master'!$I$2:$I$27,MATCH($C581,'Materials Master'!$A$2:$A$27,0)),IF($B581="Paper Recycling",INDEX('Materials Master'!$J$2:$J$27,MATCH($C581,'Materials Master'!$A$2:$A$27,0)),IF($B581="Terracycle",INDEX('Materials Master'!$K$2:$K$27,MATCH($C581,'Materials Master'!$A$2:$A$27,0)),"No"))))))="Yes",INDEX('Materials Master'!$E$2:$E$27,MATCH($C581,'Materials Master'!$A$2:$A$27,0))="Yes",$B581&lt;&gt;"Trash"),1,0)</f>
        <v>0</v>
      </c>
      <c r="H581" s="0" t="str">
        <f aca="false">INDEX('Materials Master'!$E$2:$E$27,MATCH($C581,'Materials Master'!$A$2:$A$27,0))</f>
        <v>No</v>
      </c>
      <c r="I581" s="0" t="str">
        <f aca="false">IFERROR(INDEX(Areas!$C$2:$C$6,MATCH($A581,Areas!$B$2:$B$6,0)),"")</f>
        <v>Rest of Building</v>
      </c>
      <c r="J581" s="0" t="n">
        <f aca="false">IF(IF($B581="Trash",INDEX('Materials Master'!$F$2:$F$27,MATCH($C581,'Materials Master'!$A$2:$A$27,0)),IF($B581="GMPC Recycling",INDEX('Materials Master'!$G$2:$G$27,MATCH($C581,'Materials Master'!$A$2:$A$27,0)),IF($B581="Organics Recycling",INDEX('Materials Master'!$H$2:$H$27,MATCH($C581,'Materials Master'!$A$2:$A$27,0)),IF($B581="Cardboard Recycling",INDEX('Materials Master'!$I$2:$I$27,MATCH($C581,'Materials Master'!$A$2:$A$27,0)),IF($B581="Paper Recycling",INDEX('Materials Master'!$J$2:$J$27,MATCH($C581,'Materials Master'!$A$2:$A$27,0)),IF($B581="Terracycle",INDEX('Materials Master'!$K$2:$K$27,MATCH($C581,'Materials Master'!$A$2:$A$27,0)),"No"))))))="Yes",1,0)</f>
        <v>0</v>
      </c>
    </row>
    <row r="582" customFormat="false" ht="15" hidden="false" customHeight="false" outlineLevel="0" collapsed="false">
      <c r="A582" s="0" t="s">
        <v>99</v>
      </c>
      <c r="B582" s="0" t="s">
        <v>107</v>
      </c>
      <c r="C582" s="0" t="s">
        <v>45</v>
      </c>
      <c r="D582" s="0" t="str">
        <f aca="false">IFERROR(INDEX('Materials Master'!$B$2:$B$27,MATCH($C582,'Materials Master'!$A$2:$A$27,0)),"")</f>
        <v>Glass Bottles &amp; Jars</v>
      </c>
      <c r="E582" s="0" t="str">
        <f aca="false">IFERROR(INDEX('Materials Master'!$C$2:$C$27,MATCH($C582,'Materials Master'!$A$2:$A$27,0)),"")</f>
        <v>Glass</v>
      </c>
      <c r="F582" s="0" t="n">
        <f aca="false">(SUMIFS(Fact_PreSortWeights!$E$2:$E$15,Fact_PreSortWeights!$C$2:$C$15,$A582,Fact_PreSortWeights!$B$2:$B$15,$B582,Fact_PreSortWeights!$F$2:$F$15,$C582))+(SUMIFS(Fact_SortedWeights!$E$2:$E$6,Fact_SortedWeights!$C$2:$C$6,$A582,Fact_SortedWeights!$B$2:$B$6,$B582,Fact_SortedWeights!$D$2:$D$6,$C582,Fact_SortedWeights!$L$2:$L$6,"Yes"))+IF((SUMIFS(Fact_SortedWeights!$E$2:$E$6,Fact_SortedWeights!$C$2:$C$6,$A582,Fact_SortedWeights!$B$2:$B$6,$B582,Fact_SortedWeights!$L$2:$L$6,"No"))=0,0,(SUMIFS(Fact_SortedWeights!$E$2:$E$6,Fact_SortedWeights!$C$2:$C$6,$A582,Fact_SortedWeights!$B$2:$B$6,$B582,Fact_SortedWeights!$D$2:$D$6,$C582,Fact_SortedWeights!$L$2:$L$6,"No"))/(SUMIFS(Fact_SortedWeights!$E$2:$E$6,Fact_SortedWeights!$C$2:$C$6,$A582,Fact_SortedWeights!$B$2:$B$6,$B582,Fact_SortedWeights!$L$2:$L$6,"No"))*((SUMIFS(Fact_PreSortWeights!$E$2:$E$15,Fact_PreSortWeights!$C$2:$C$15,$A582,Fact_PreSortWeights!$B$2:$B$15,$B582,Fact_PreSortWeights!$F$2:$F$15,""))-(SUMIFS(Fact_SortedWeights!$E$2:$E$6,Fact_SortedWeights!$C$2:$C$6,$A582,Fact_SortedWeights!$B$2:$B$6,$B582,Fact_SortedWeights!$L$2:$L$6,"Yes"))))</f>
        <v>0</v>
      </c>
      <c r="G582" s="0" t="n">
        <f aca="false">IF(AND(IF($B582="Trash",INDEX('Materials Master'!$F$2:$F$27,MATCH($C582,'Materials Master'!$A$2:$A$27,0)),IF($B582="GMPC Recycling",INDEX('Materials Master'!$G$2:$G$27,MATCH($C582,'Materials Master'!$A$2:$A$27,0)),IF($B582="Organics Recycling",INDEX('Materials Master'!$H$2:$H$27,MATCH($C582,'Materials Master'!$A$2:$A$27,0)),IF($B582="Cardboard Recycling",INDEX('Materials Master'!$I$2:$I$27,MATCH($C582,'Materials Master'!$A$2:$A$27,0)),IF($B582="Paper Recycling",INDEX('Materials Master'!$J$2:$J$27,MATCH($C582,'Materials Master'!$A$2:$A$27,0)),IF($B582="Terracycle",INDEX('Materials Master'!$K$2:$K$27,MATCH($C582,'Materials Master'!$A$2:$A$27,0)),"No"))))))="Yes",INDEX('Materials Master'!$E$2:$E$27,MATCH($C582,'Materials Master'!$A$2:$A$27,0))="Yes",$B582&lt;&gt;"Trash"),1,0)</f>
        <v>1</v>
      </c>
      <c r="H582" s="0" t="str">
        <f aca="false">INDEX('Materials Master'!$E$2:$E$27,MATCH($C582,'Materials Master'!$A$2:$A$27,0))</f>
        <v>Yes</v>
      </c>
      <c r="I582" s="0" t="str">
        <f aca="false">IFERROR(INDEX(Areas!$C$2:$C$6,MATCH($A582,Areas!$B$2:$B$6,0)),"")</f>
        <v>Rest of Building</v>
      </c>
      <c r="J582" s="0" t="n">
        <f aca="false">IF(IF($B582="Trash",INDEX('Materials Master'!$F$2:$F$27,MATCH($C582,'Materials Master'!$A$2:$A$27,0)),IF($B582="GMPC Recycling",INDEX('Materials Master'!$G$2:$G$27,MATCH($C582,'Materials Master'!$A$2:$A$27,0)),IF($B582="Organics Recycling",INDEX('Materials Master'!$H$2:$H$27,MATCH($C582,'Materials Master'!$A$2:$A$27,0)),IF($B582="Cardboard Recycling",INDEX('Materials Master'!$I$2:$I$27,MATCH($C582,'Materials Master'!$A$2:$A$27,0)),IF($B582="Paper Recycling",INDEX('Materials Master'!$J$2:$J$27,MATCH($C582,'Materials Master'!$A$2:$A$27,0)),IF($B582="Terracycle",INDEX('Materials Master'!$K$2:$K$27,MATCH($C582,'Materials Master'!$A$2:$A$27,0)),"No"))))))="Yes",1,0)</f>
        <v>1</v>
      </c>
    </row>
    <row r="583" customFormat="false" ht="15" hidden="false" customHeight="false" outlineLevel="0" collapsed="false">
      <c r="A583" s="0" t="s">
        <v>99</v>
      </c>
      <c r="B583" s="0" t="s">
        <v>107</v>
      </c>
      <c r="C583" s="0" t="s">
        <v>48</v>
      </c>
      <c r="D583" s="0" t="str">
        <f aca="false">IFERROR(INDEX('Materials Master'!$B$2:$B$27,MATCH($C583,'Materials Master'!$A$2:$A$27,0)),"")</f>
        <v>Soiled Glass</v>
      </c>
      <c r="E583" s="0" t="str">
        <f aca="false">IFERROR(INDEX('Materials Master'!$C$2:$C$27,MATCH($C583,'Materials Master'!$A$2:$A$27,0)),"")</f>
        <v>Glass</v>
      </c>
      <c r="F583" s="0" t="n">
        <f aca="false">(SUMIFS(Fact_PreSortWeights!$E$2:$E$15,Fact_PreSortWeights!$C$2:$C$15,$A583,Fact_PreSortWeights!$B$2:$B$15,$B583,Fact_PreSortWeights!$F$2:$F$15,$C583))+(SUMIFS(Fact_SortedWeights!$E$2:$E$6,Fact_SortedWeights!$C$2:$C$6,$A583,Fact_SortedWeights!$B$2:$B$6,$B583,Fact_SortedWeights!$D$2:$D$6,$C583,Fact_SortedWeights!$L$2:$L$6,"Yes"))+IF((SUMIFS(Fact_SortedWeights!$E$2:$E$6,Fact_SortedWeights!$C$2:$C$6,$A583,Fact_SortedWeights!$B$2:$B$6,$B583,Fact_SortedWeights!$L$2:$L$6,"No"))=0,0,(SUMIFS(Fact_SortedWeights!$E$2:$E$6,Fact_SortedWeights!$C$2:$C$6,$A583,Fact_SortedWeights!$B$2:$B$6,$B583,Fact_SortedWeights!$D$2:$D$6,$C583,Fact_SortedWeights!$L$2:$L$6,"No"))/(SUMIFS(Fact_SortedWeights!$E$2:$E$6,Fact_SortedWeights!$C$2:$C$6,$A583,Fact_SortedWeights!$B$2:$B$6,$B583,Fact_SortedWeights!$L$2:$L$6,"No"))*((SUMIFS(Fact_PreSortWeights!$E$2:$E$15,Fact_PreSortWeights!$C$2:$C$15,$A583,Fact_PreSortWeights!$B$2:$B$15,$B583,Fact_PreSortWeights!$F$2:$F$15,""))-(SUMIFS(Fact_SortedWeights!$E$2:$E$6,Fact_SortedWeights!$C$2:$C$6,$A583,Fact_SortedWeights!$B$2:$B$6,$B583,Fact_SortedWeights!$L$2:$L$6,"Yes"))))</f>
        <v>0</v>
      </c>
      <c r="G583" s="0" t="n">
        <f aca="false">IF(AND(IF($B583="Trash",INDEX('Materials Master'!$F$2:$F$27,MATCH($C583,'Materials Master'!$A$2:$A$27,0)),IF($B583="GMPC Recycling",INDEX('Materials Master'!$G$2:$G$27,MATCH($C583,'Materials Master'!$A$2:$A$27,0)),IF($B583="Organics Recycling",INDEX('Materials Master'!$H$2:$H$27,MATCH($C583,'Materials Master'!$A$2:$A$27,0)),IF($B583="Cardboard Recycling",INDEX('Materials Master'!$I$2:$I$27,MATCH($C583,'Materials Master'!$A$2:$A$27,0)),IF($B583="Paper Recycling",INDEX('Materials Master'!$J$2:$J$27,MATCH($C583,'Materials Master'!$A$2:$A$27,0)),IF($B583="Terracycle",INDEX('Materials Master'!$K$2:$K$27,MATCH($C583,'Materials Master'!$A$2:$A$27,0)),"No"))))))="Yes",INDEX('Materials Master'!$E$2:$E$27,MATCH($C583,'Materials Master'!$A$2:$A$27,0))="Yes",$B583&lt;&gt;"Trash"),1,0)</f>
        <v>0</v>
      </c>
      <c r="H583" s="0" t="str">
        <f aca="false">INDEX('Materials Master'!$E$2:$E$27,MATCH($C583,'Materials Master'!$A$2:$A$27,0))</f>
        <v>No</v>
      </c>
      <c r="I583" s="0" t="str">
        <f aca="false">IFERROR(INDEX(Areas!$C$2:$C$6,MATCH($A583,Areas!$B$2:$B$6,0)),"")</f>
        <v>Rest of Building</v>
      </c>
      <c r="J583" s="0" t="n">
        <f aca="false">IF(IF($B583="Trash",INDEX('Materials Master'!$F$2:$F$27,MATCH($C583,'Materials Master'!$A$2:$A$27,0)),IF($B583="GMPC Recycling",INDEX('Materials Master'!$G$2:$G$27,MATCH($C583,'Materials Master'!$A$2:$A$27,0)),IF($B583="Organics Recycling",INDEX('Materials Master'!$H$2:$H$27,MATCH($C583,'Materials Master'!$A$2:$A$27,0)),IF($B583="Cardboard Recycling",INDEX('Materials Master'!$I$2:$I$27,MATCH($C583,'Materials Master'!$A$2:$A$27,0)),IF($B583="Paper Recycling",INDEX('Materials Master'!$J$2:$J$27,MATCH($C583,'Materials Master'!$A$2:$A$27,0)),IF($B583="Terracycle",INDEX('Materials Master'!$K$2:$K$27,MATCH($C583,'Materials Master'!$A$2:$A$27,0)),"No"))))))="Yes",1,0)</f>
        <v>0</v>
      </c>
    </row>
    <row r="584" customFormat="false" ht="15" hidden="false" customHeight="false" outlineLevel="0" collapsed="false">
      <c r="A584" s="0" t="s">
        <v>99</v>
      </c>
      <c r="B584" s="0" t="s">
        <v>107</v>
      </c>
      <c r="C584" s="0" t="s">
        <v>50</v>
      </c>
      <c r="D584" s="0" t="str">
        <f aca="false">IFERROR(INDEX('Materials Master'!$B$2:$B$27,MATCH($C584,'Materials Master'!$A$2:$A$27,0)),"")</f>
        <v>Aluminum &amp; Bi-Metal Containers</v>
      </c>
      <c r="E584" s="0" t="str">
        <f aca="false">IFERROR(INDEX('Materials Master'!$C$2:$C$27,MATCH($C584,'Materials Master'!$A$2:$A$27,0)),"")</f>
        <v>Metals</v>
      </c>
      <c r="F584" s="0" t="n">
        <f aca="false">(SUMIFS(Fact_PreSortWeights!$E$2:$E$15,Fact_PreSortWeights!$C$2:$C$15,$A584,Fact_PreSortWeights!$B$2:$B$15,$B584,Fact_PreSortWeights!$F$2:$F$15,$C584))+(SUMIFS(Fact_SortedWeights!$E$2:$E$6,Fact_SortedWeights!$C$2:$C$6,$A584,Fact_SortedWeights!$B$2:$B$6,$B584,Fact_SortedWeights!$D$2:$D$6,$C584,Fact_SortedWeights!$L$2:$L$6,"Yes"))+IF((SUMIFS(Fact_SortedWeights!$E$2:$E$6,Fact_SortedWeights!$C$2:$C$6,$A584,Fact_SortedWeights!$B$2:$B$6,$B584,Fact_SortedWeights!$L$2:$L$6,"No"))=0,0,(SUMIFS(Fact_SortedWeights!$E$2:$E$6,Fact_SortedWeights!$C$2:$C$6,$A584,Fact_SortedWeights!$B$2:$B$6,$B584,Fact_SortedWeights!$D$2:$D$6,$C584,Fact_SortedWeights!$L$2:$L$6,"No"))/(SUMIFS(Fact_SortedWeights!$E$2:$E$6,Fact_SortedWeights!$C$2:$C$6,$A584,Fact_SortedWeights!$B$2:$B$6,$B584,Fact_SortedWeights!$L$2:$L$6,"No"))*((SUMIFS(Fact_PreSortWeights!$E$2:$E$15,Fact_PreSortWeights!$C$2:$C$15,$A584,Fact_PreSortWeights!$B$2:$B$15,$B584,Fact_PreSortWeights!$F$2:$F$15,""))-(SUMIFS(Fact_SortedWeights!$E$2:$E$6,Fact_SortedWeights!$C$2:$C$6,$A584,Fact_SortedWeights!$B$2:$B$6,$B584,Fact_SortedWeights!$L$2:$L$6,"Yes"))))</f>
        <v>0</v>
      </c>
      <c r="G584" s="0" t="n">
        <f aca="false">IF(AND(IF($B584="Trash",INDEX('Materials Master'!$F$2:$F$27,MATCH($C584,'Materials Master'!$A$2:$A$27,0)),IF($B584="GMPC Recycling",INDEX('Materials Master'!$G$2:$G$27,MATCH($C584,'Materials Master'!$A$2:$A$27,0)),IF($B584="Organics Recycling",INDEX('Materials Master'!$H$2:$H$27,MATCH($C584,'Materials Master'!$A$2:$A$27,0)),IF($B584="Cardboard Recycling",INDEX('Materials Master'!$I$2:$I$27,MATCH($C584,'Materials Master'!$A$2:$A$27,0)),IF($B584="Paper Recycling",INDEX('Materials Master'!$J$2:$J$27,MATCH($C584,'Materials Master'!$A$2:$A$27,0)),IF($B584="Terracycle",INDEX('Materials Master'!$K$2:$K$27,MATCH($C584,'Materials Master'!$A$2:$A$27,0)),"No"))))))="Yes",INDEX('Materials Master'!$E$2:$E$27,MATCH($C584,'Materials Master'!$A$2:$A$27,0))="Yes",$B584&lt;&gt;"Trash"),1,0)</f>
        <v>1</v>
      </c>
      <c r="H584" s="0" t="str">
        <f aca="false">INDEX('Materials Master'!$E$2:$E$27,MATCH($C584,'Materials Master'!$A$2:$A$27,0))</f>
        <v>Yes</v>
      </c>
      <c r="I584" s="0" t="str">
        <f aca="false">IFERROR(INDEX(Areas!$C$2:$C$6,MATCH($A584,Areas!$B$2:$B$6,0)),"")</f>
        <v>Rest of Building</v>
      </c>
      <c r="J584" s="0" t="n">
        <f aca="false">IF(IF($B584="Trash",INDEX('Materials Master'!$F$2:$F$27,MATCH($C584,'Materials Master'!$A$2:$A$27,0)),IF($B584="GMPC Recycling",INDEX('Materials Master'!$G$2:$G$27,MATCH($C584,'Materials Master'!$A$2:$A$27,0)),IF($B584="Organics Recycling",INDEX('Materials Master'!$H$2:$H$27,MATCH($C584,'Materials Master'!$A$2:$A$27,0)),IF($B584="Cardboard Recycling",INDEX('Materials Master'!$I$2:$I$27,MATCH($C584,'Materials Master'!$A$2:$A$27,0)),IF($B584="Paper Recycling",INDEX('Materials Master'!$J$2:$J$27,MATCH($C584,'Materials Master'!$A$2:$A$27,0)),IF($B584="Terracycle",INDEX('Materials Master'!$K$2:$K$27,MATCH($C584,'Materials Master'!$A$2:$A$27,0)),"No"))))))="Yes",1,0)</f>
        <v>1</v>
      </c>
    </row>
    <row r="585" customFormat="false" ht="15" hidden="false" customHeight="false" outlineLevel="0" collapsed="false">
      <c r="A585" s="0" t="s">
        <v>99</v>
      </c>
      <c r="B585" s="0" t="s">
        <v>107</v>
      </c>
      <c r="C585" s="0" t="s">
        <v>53</v>
      </c>
      <c r="D585" s="0" t="str">
        <f aca="false">IFERROR(INDEX('Materials Master'!$B$2:$B$27,MATCH($C585,'Materials Master'!$A$2:$A$27,0)),"")</f>
        <v>Soiled Metals</v>
      </c>
      <c r="E585" s="0" t="str">
        <f aca="false">IFERROR(INDEX('Materials Master'!$C$2:$C$27,MATCH($C585,'Materials Master'!$A$2:$A$27,0)),"")</f>
        <v>Metals</v>
      </c>
      <c r="F585" s="0" t="n">
        <f aca="false">(SUMIFS(Fact_PreSortWeights!$E$2:$E$15,Fact_PreSortWeights!$C$2:$C$15,$A585,Fact_PreSortWeights!$B$2:$B$15,$B585,Fact_PreSortWeights!$F$2:$F$15,$C585))+(SUMIFS(Fact_SortedWeights!$E$2:$E$6,Fact_SortedWeights!$C$2:$C$6,$A585,Fact_SortedWeights!$B$2:$B$6,$B585,Fact_SortedWeights!$D$2:$D$6,$C585,Fact_SortedWeights!$L$2:$L$6,"Yes"))+IF((SUMIFS(Fact_SortedWeights!$E$2:$E$6,Fact_SortedWeights!$C$2:$C$6,$A585,Fact_SortedWeights!$B$2:$B$6,$B585,Fact_SortedWeights!$L$2:$L$6,"No"))=0,0,(SUMIFS(Fact_SortedWeights!$E$2:$E$6,Fact_SortedWeights!$C$2:$C$6,$A585,Fact_SortedWeights!$B$2:$B$6,$B585,Fact_SortedWeights!$D$2:$D$6,$C585,Fact_SortedWeights!$L$2:$L$6,"No"))/(SUMIFS(Fact_SortedWeights!$E$2:$E$6,Fact_SortedWeights!$C$2:$C$6,$A585,Fact_SortedWeights!$B$2:$B$6,$B585,Fact_SortedWeights!$L$2:$L$6,"No"))*((SUMIFS(Fact_PreSortWeights!$E$2:$E$15,Fact_PreSortWeights!$C$2:$C$15,$A585,Fact_PreSortWeights!$B$2:$B$15,$B585,Fact_PreSortWeights!$F$2:$F$15,""))-(SUMIFS(Fact_SortedWeights!$E$2:$E$6,Fact_SortedWeights!$C$2:$C$6,$A585,Fact_SortedWeights!$B$2:$B$6,$B585,Fact_SortedWeights!$L$2:$L$6,"Yes"))))</f>
        <v>0</v>
      </c>
      <c r="G585" s="0" t="n">
        <f aca="false">IF(AND(IF($B585="Trash",INDEX('Materials Master'!$F$2:$F$27,MATCH($C585,'Materials Master'!$A$2:$A$27,0)),IF($B585="GMPC Recycling",INDEX('Materials Master'!$G$2:$G$27,MATCH($C585,'Materials Master'!$A$2:$A$27,0)),IF($B585="Organics Recycling",INDEX('Materials Master'!$H$2:$H$27,MATCH($C585,'Materials Master'!$A$2:$A$27,0)),IF($B585="Cardboard Recycling",INDEX('Materials Master'!$I$2:$I$27,MATCH($C585,'Materials Master'!$A$2:$A$27,0)),IF($B585="Paper Recycling",INDEX('Materials Master'!$J$2:$J$27,MATCH($C585,'Materials Master'!$A$2:$A$27,0)),IF($B585="Terracycle",INDEX('Materials Master'!$K$2:$K$27,MATCH($C585,'Materials Master'!$A$2:$A$27,0)),"No"))))))="Yes",INDEX('Materials Master'!$E$2:$E$27,MATCH($C585,'Materials Master'!$A$2:$A$27,0))="Yes",$B585&lt;&gt;"Trash"),1,0)</f>
        <v>0</v>
      </c>
      <c r="H585" s="0" t="str">
        <f aca="false">INDEX('Materials Master'!$E$2:$E$27,MATCH($C585,'Materials Master'!$A$2:$A$27,0))</f>
        <v>No</v>
      </c>
      <c r="I585" s="0" t="str">
        <f aca="false">IFERROR(INDEX(Areas!$C$2:$C$6,MATCH($A585,Areas!$B$2:$B$6,0)),"")</f>
        <v>Rest of Building</v>
      </c>
      <c r="J585" s="0" t="n">
        <f aca="false">IF(IF($B585="Trash",INDEX('Materials Master'!$F$2:$F$27,MATCH($C585,'Materials Master'!$A$2:$A$27,0)),IF($B585="GMPC Recycling",INDEX('Materials Master'!$G$2:$G$27,MATCH($C585,'Materials Master'!$A$2:$A$27,0)),IF($B585="Organics Recycling",INDEX('Materials Master'!$H$2:$H$27,MATCH($C585,'Materials Master'!$A$2:$A$27,0)),IF($B585="Cardboard Recycling",INDEX('Materials Master'!$I$2:$I$27,MATCH($C585,'Materials Master'!$A$2:$A$27,0)),IF($B585="Paper Recycling",INDEX('Materials Master'!$J$2:$J$27,MATCH($C585,'Materials Master'!$A$2:$A$27,0)),IF($B585="Terracycle",INDEX('Materials Master'!$K$2:$K$27,MATCH($C585,'Materials Master'!$A$2:$A$27,0)),"No"))))))="Yes",1,0)</f>
        <v>0</v>
      </c>
    </row>
    <row r="586" customFormat="false" ht="15" hidden="false" customHeight="false" outlineLevel="0" collapsed="false">
      <c r="A586" s="0" t="s">
        <v>99</v>
      </c>
      <c r="B586" s="0" t="s">
        <v>107</v>
      </c>
      <c r="C586" s="0" t="s">
        <v>55</v>
      </c>
      <c r="D586" s="0" t="str">
        <f aca="false">IFERROR(INDEX('Materials Master'!$B$2:$B$27,MATCH($C586,'Materials Master'!$A$2:$A$27,0)),"")</f>
        <v>Rigid Plastics (1-6)</v>
      </c>
      <c r="E586" s="0" t="str">
        <f aca="false">IFERROR(INDEX('Materials Master'!$C$2:$C$27,MATCH($C586,'Materials Master'!$A$2:$A$27,0)),"")</f>
        <v>Plastics</v>
      </c>
      <c r="F586" s="0" t="n">
        <f aca="false">(SUMIFS(Fact_PreSortWeights!$E$2:$E$15,Fact_PreSortWeights!$C$2:$C$15,$A586,Fact_PreSortWeights!$B$2:$B$15,$B586,Fact_PreSortWeights!$F$2:$F$15,$C586))+(SUMIFS(Fact_SortedWeights!$E$2:$E$6,Fact_SortedWeights!$C$2:$C$6,$A586,Fact_SortedWeights!$B$2:$B$6,$B586,Fact_SortedWeights!$D$2:$D$6,$C586,Fact_SortedWeights!$L$2:$L$6,"Yes"))+IF((SUMIFS(Fact_SortedWeights!$E$2:$E$6,Fact_SortedWeights!$C$2:$C$6,$A586,Fact_SortedWeights!$B$2:$B$6,$B586,Fact_SortedWeights!$L$2:$L$6,"No"))=0,0,(SUMIFS(Fact_SortedWeights!$E$2:$E$6,Fact_SortedWeights!$C$2:$C$6,$A586,Fact_SortedWeights!$B$2:$B$6,$B586,Fact_SortedWeights!$D$2:$D$6,$C586,Fact_SortedWeights!$L$2:$L$6,"No"))/(SUMIFS(Fact_SortedWeights!$E$2:$E$6,Fact_SortedWeights!$C$2:$C$6,$A586,Fact_SortedWeights!$B$2:$B$6,$B586,Fact_SortedWeights!$L$2:$L$6,"No"))*((SUMIFS(Fact_PreSortWeights!$E$2:$E$15,Fact_PreSortWeights!$C$2:$C$15,$A586,Fact_PreSortWeights!$B$2:$B$15,$B586,Fact_PreSortWeights!$F$2:$F$15,""))-(SUMIFS(Fact_SortedWeights!$E$2:$E$6,Fact_SortedWeights!$C$2:$C$6,$A586,Fact_SortedWeights!$B$2:$B$6,$B586,Fact_SortedWeights!$L$2:$L$6,"Yes"))))</f>
        <v>0</v>
      </c>
      <c r="G586" s="0" t="n">
        <f aca="false">IF(AND(IF($B586="Trash",INDEX('Materials Master'!$F$2:$F$27,MATCH($C586,'Materials Master'!$A$2:$A$27,0)),IF($B586="GMPC Recycling",INDEX('Materials Master'!$G$2:$G$27,MATCH($C586,'Materials Master'!$A$2:$A$27,0)),IF($B586="Organics Recycling",INDEX('Materials Master'!$H$2:$H$27,MATCH($C586,'Materials Master'!$A$2:$A$27,0)),IF($B586="Cardboard Recycling",INDEX('Materials Master'!$I$2:$I$27,MATCH($C586,'Materials Master'!$A$2:$A$27,0)),IF($B586="Paper Recycling",INDEX('Materials Master'!$J$2:$J$27,MATCH($C586,'Materials Master'!$A$2:$A$27,0)),IF($B586="Terracycle",INDEX('Materials Master'!$K$2:$K$27,MATCH($C586,'Materials Master'!$A$2:$A$27,0)),"No"))))))="Yes",INDEX('Materials Master'!$E$2:$E$27,MATCH($C586,'Materials Master'!$A$2:$A$27,0))="Yes",$B586&lt;&gt;"Trash"),1,0)</f>
        <v>1</v>
      </c>
      <c r="H586" s="0" t="str">
        <f aca="false">INDEX('Materials Master'!$E$2:$E$27,MATCH($C586,'Materials Master'!$A$2:$A$27,0))</f>
        <v>Yes</v>
      </c>
      <c r="I586" s="0" t="str">
        <f aca="false">IFERROR(INDEX(Areas!$C$2:$C$6,MATCH($A586,Areas!$B$2:$B$6,0)),"")</f>
        <v>Rest of Building</v>
      </c>
      <c r="J586" s="0" t="n">
        <f aca="false">IF(IF($B586="Trash",INDEX('Materials Master'!$F$2:$F$27,MATCH($C586,'Materials Master'!$A$2:$A$27,0)),IF($B586="GMPC Recycling",INDEX('Materials Master'!$G$2:$G$27,MATCH($C586,'Materials Master'!$A$2:$A$27,0)),IF($B586="Organics Recycling",INDEX('Materials Master'!$H$2:$H$27,MATCH($C586,'Materials Master'!$A$2:$A$27,0)),IF($B586="Cardboard Recycling",INDEX('Materials Master'!$I$2:$I$27,MATCH($C586,'Materials Master'!$A$2:$A$27,0)),IF($B586="Paper Recycling",INDEX('Materials Master'!$J$2:$J$27,MATCH($C586,'Materials Master'!$A$2:$A$27,0)),IF($B586="Terracycle",INDEX('Materials Master'!$K$2:$K$27,MATCH($C586,'Materials Master'!$A$2:$A$27,0)),"No"))))))="Yes",1,0)</f>
        <v>1</v>
      </c>
    </row>
    <row r="587" customFormat="false" ht="15" hidden="false" customHeight="false" outlineLevel="0" collapsed="false">
      <c r="A587" s="0" t="s">
        <v>99</v>
      </c>
      <c r="B587" s="0" t="s">
        <v>107</v>
      </c>
      <c r="C587" s="0" t="s">
        <v>58</v>
      </c>
      <c r="D587" s="0" t="str">
        <f aca="false">IFERROR(INDEX('Materials Master'!$B$2:$B$27,MATCH($C587,'Materials Master'!$A$2:$A$27,0)),"")</f>
        <v>Soiled Rigid Plastics</v>
      </c>
      <c r="E587" s="0" t="str">
        <f aca="false">IFERROR(INDEX('Materials Master'!$C$2:$C$27,MATCH($C587,'Materials Master'!$A$2:$A$27,0)),"")</f>
        <v>Plastics</v>
      </c>
      <c r="F587" s="0" t="n">
        <f aca="false">(SUMIFS(Fact_PreSortWeights!$E$2:$E$15,Fact_PreSortWeights!$C$2:$C$15,$A587,Fact_PreSortWeights!$B$2:$B$15,$B587,Fact_PreSortWeights!$F$2:$F$15,$C587))+(SUMIFS(Fact_SortedWeights!$E$2:$E$6,Fact_SortedWeights!$C$2:$C$6,$A587,Fact_SortedWeights!$B$2:$B$6,$B587,Fact_SortedWeights!$D$2:$D$6,$C587,Fact_SortedWeights!$L$2:$L$6,"Yes"))+IF((SUMIFS(Fact_SortedWeights!$E$2:$E$6,Fact_SortedWeights!$C$2:$C$6,$A587,Fact_SortedWeights!$B$2:$B$6,$B587,Fact_SortedWeights!$L$2:$L$6,"No"))=0,0,(SUMIFS(Fact_SortedWeights!$E$2:$E$6,Fact_SortedWeights!$C$2:$C$6,$A587,Fact_SortedWeights!$B$2:$B$6,$B587,Fact_SortedWeights!$D$2:$D$6,$C587,Fact_SortedWeights!$L$2:$L$6,"No"))/(SUMIFS(Fact_SortedWeights!$E$2:$E$6,Fact_SortedWeights!$C$2:$C$6,$A587,Fact_SortedWeights!$B$2:$B$6,$B587,Fact_SortedWeights!$L$2:$L$6,"No"))*((SUMIFS(Fact_PreSortWeights!$E$2:$E$15,Fact_PreSortWeights!$C$2:$C$15,$A587,Fact_PreSortWeights!$B$2:$B$15,$B587,Fact_PreSortWeights!$F$2:$F$15,""))-(SUMIFS(Fact_SortedWeights!$E$2:$E$6,Fact_SortedWeights!$C$2:$C$6,$A587,Fact_SortedWeights!$B$2:$B$6,$B587,Fact_SortedWeights!$L$2:$L$6,"Yes"))))</f>
        <v>0</v>
      </c>
      <c r="G587" s="0" t="n">
        <f aca="false">IF(AND(IF($B587="Trash",INDEX('Materials Master'!$F$2:$F$27,MATCH($C587,'Materials Master'!$A$2:$A$27,0)),IF($B587="GMPC Recycling",INDEX('Materials Master'!$G$2:$G$27,MATCH($C587,'Materials Master'!$A$2:$A$27,0)),IF($B587="Organics Recycling",INDEX('Materials Master'!$H$2:$H$27,MATCH($C587,'Materials Master'!$A$2:$A$27,0)),IF($B587="Cardboard Recycling",INDEX('Materials Master'!$I$2:$I$27,MATCH($C587,'Materials Master'!$A$2:$A$27,0)),IF($B587="Paper Recycling",INDEX('Materials Master'!$J$2:$J$27,MATCH($C587,'Materials Master'!$A$2:$A$27,0)),IF($B587="Terracycle",INDEX('Materials Master'!$K$2:$K$27,MATCH($C587,'Materials Master'!$A$2:$A$27,0)),"No"))))))="Yes",INDEX('Materials Master'!$E$2:$E$27,MATCH($C587,'Materials Master'!$A$2:$A$27,0))="Yes",$B587&lt;&gt;"Trash"),1,0)</f>
        <v>0</v>
      </c>
      <c r="H587" s="0" t="str">
        <f aca="false">INDEX('Materials Master'!$E$2:$E$27,MATCH($C587,'Materials Master'!$A$2:$A$27,0))</f>
        <v>No</v>
      </c>
      <c r="I587" s="0" t="str">
        <f aca="false">IFERROR(INDEX(Areas!$C$2:$C$6,MATCH($A587,Areas!$B$2:$B$6,0)),"")</f>
        <v>Rest of Building</v>
      </c>
      <c r="J587" s="0" t="n">
        <f aca="false">IF(IF($B587="Trash",INDEX('Materials Master'!$F$2:$F$27,MATCH($C587,'Materials Master'!$A$2:$A$27,0)),IF($B587="GMPC Recycling",INDEX('Materials Master'!$G$2:$G$27,MATCH($C587,'Materials Master'!$A$2:$A$27,0)),IF($B587="Organics Recycling",INDEX('Materials Master'!$H$2:$H$27,MATCH($C587,'Materials Master'!$A$2:$A$27,0)),IF($B587="Cardboard Recycling",INDEX('Materials Master'!$I$2:$I$27,MATCH($C587,'Materials Master'!$A$2:$A$27,0)),IF($B587="Paper Recycling",INDEX('Materials Master'!$J$2:$J$27,MATCH($C587,'Materials Master'!$A$2:$A$27,0)),IF($B587="Terracycle",INDEX('Materials Master'!$K$2:$K$27,MATCH($C587,'Materials Master'!$A$2:$A$27,0)),"No"))))))="Yes",1,0)</f>
        <v>0</v>
      </c>
    </row>
    <row r="588" customFormat="false" ht="15" hidden="false" customHeight="false" outlineLevel="0" collapsed="false">
      <c r="A588" s="0" t="s">
        <v>99</v>
      </c>
      <c r="B588" s="0" t="s">
        <v>107</v>
      </c>
      <c r="C588" s="0" t="s">
        <v>60</v>
      </c>
      <c r="D588" s="0" t="str">
        <f aca="false">IFERROR(INDEX('Materials Master'!$B$2:$B$27,MATCH($C588,'Materials Master'!$A$2:$A$27,0)),"")</f>
        <v>Film Plastics</v>
      </c>
      <c r="E588" s="0" t="str">
        <f aca="false">IFERROR(INDEX('Materials Master'!$C$2:$C$27,MATCH($C588,'Materials Master'!$A$2:$A$27,0)),"")</f>
        <v>Plastics</v>
      </c>
      <c r="F588" s="0" t="n">
        <f aca="false">(SUMIFS(Fact_PreSortWeights!$E$2:$E$15,Fact_PreSortWeights!$C$2:$C$15,$A588,Fact_PreSortWeights!$B$2:$B$15,$B588,Fact_PreSortWeights!$F$2:$F$15,$C588))+(SUMIFS(Fact_SortedWeights!$E$2:$E$6,Fact_SortedWeights!$C$2:$C$6,$A588,Fact_SortedWeights!$B$2:$B$6,$B588,Fact_SortedWeights!$D$2:$D$6,$C588,Fact_SortedWeights!$L$2:$L$6,"Yes"))+IF((SUMIFS(Fact_SortedWeights!$E$2:$E$6,Fact_SortedWeights!$C$2:$C$6,$A588,Fact_SortedWeights!$B$2:$B$6,$B588,Fact_SortedWeights!$L$2:$L$6,"No"))=0,0,(SUMIFS(Fact_SortedWeights!$E$2:$E$6,Fact_SortedWeights!$C$2:$C$6,$A588,Fact_SortedWeights!$B$2:$B$6,$B588,Fact_SortedWeights!$D$2:$D$6,$C588,Fact_SortedWeights!$L$2:$L$6,"No"))/(SUMIFS(Fact_SortedWeights!$E$2:$E$6,Fact_SortedWeights!$C$2:$C$6,$A588,Fact_SortedWeights!$B$2:$B$6,$B588,Fact_SortedWeights!$L$2:$L$6,"No"))*((SUMIFS(Fact_PreSortWeights!$E$2:$E$15,Fact_PreSortWeights!$C$2:$C$15,$A588,Fact_PreSortWeights!$B$2:$B$15,$B588,Fact_PreSortWeights!$F$2:$F$15,""))-(SUMIFS(Fact_SortedWeights!$E$2:$E$6,Fact_SortedWeights!$C$2:$C$6,$A588,Fact_SortedWeights!$B$2:$B$6,$B588,Fact_SortedWeights!$L$2:$L$6,"Yes"))))</f>
        <v>0</v>
      </c>
      <c r="G588" s="0" t="n">
        <f aca="false">IF(AND(IF($B588="Trash",INDEX('Materials Master'!$F$2:$F$27,MATCH($C588,'Materials Master'!$A$2:$A$27,0)),IF($B588="GMPC Recycling",INDEX('Materials Master'!$G$2:$G$27,MATCH($C588,'Materials Master'!$A$2:$A$27,0)),IF($B588="Organics Recycling",INDEX('Materials Master'!$H$2:$H$27,MATCH($C588,'Materials Master'!$A$2:$A$27,0)),IF($B588="Cardboard Recycling",INDEX('Materials Master'!$I$2:$I$27,MATCH($C588,'Materials Master'!$A$2:$A$27,0)),IF($B588="Paper Recycling",INDEX('Materials Master'!$J$2:$J$27,MATCH($C588,'Materials Master'!$A$2:$A$27,0)),IF($B588="Terracycle",INDEX('Materials Master'!$K$2:$K$27,MATCH($C588,'Materials Master'!$A$2:$A$27,0)),"No"))))))="Yes",INDEX('Materials Master'!$E$2:$E$27,MATCH($C588,'Materials Master'!$A$2:$A$27,0))="Yes",$B588&lt;&gt;"Trash"),1,0)</f>
        <v>0</v>
      </c>
      <c r="H588" s="0" t="str">
        <f aca="false">INDEX('Materials Master'!$E$2:$E$27,MATCH($C588,'Materials Master'!$A$2:$A$27,0))</f>
        <v>No</v>
      </c>
      <c r="I588" s="0" t="str">
        <f aca="false">IFERROR(INDEX(Areas!$C$2:$C$6,MATCH($A588,Areas!$B$2:$B$6,0)),"")</f>
        <v>Rest of Building</v>
      </c>
      <c r="J588" s="0" t="n">
        <f aca="false">IF(IF($B588="Trash",INDEX('Materials Master'!$F$2:$F$27,MATCH($C588,'Materials Master'!$A$2:$A$27,0)),IF($B588="GMPC Recycling",INDEX('Materials Master'!$G$2:$G$27,MATCH($C588,'Materials Master'!$A$2:$A$27,0)),IF($B588="Organics Recycling",INDEX('Materials Master'!$H$2:$H$27,MATCH($C588,'Materials Master'!$A$2:$A$27,0)),IF($B588="Cardboard Recycling",INDEX('Materials Master'!$I$2:$I$27,MATCH($C588,'Materials Master'!$A$2:$A$27,0)),IF($B588="Paper Recycling",INDEX('Materials Master'!$J$2:$J$27,MATCH($C588,'Materials Master'!$A$2:$A$27,0)),IF($B588="Terracycle",INDEX('Materials Master'!$K$2:$K$27,MATCH($C588,'Materials Master'!$A$2:$A$27,0)),"No"))))))="Yes",1,0)</f>
        <v>0</v>
      </c>
    </row>
    <row r="589" customFormat="false" ht="15" hidden="false" customHeight="false" outlineLevel="0" collapsed="false">
      <c r="A589" s="0" t="s">
        <v>99</v>
      </c>
      <c r="B589" s="0" t="s">
        <v>107</v>
      </c>
      <c r="C589" s="0" t="s">
        <v>62</v>
      </c>
      <c r="D589" s="0" t="str">
        <f aca="false">IFERROR(INDEX('Materials Master'!$B$2:$B$27,MATCH($C589,'Materials Master'!$A$2:$A$27,0)),"")</f>
        <v>Foams</v>
      </c>
      <c r="E589" s="0" t="str">
        <f aca="false">IFERROR(INDEX('Materials Master'!$C$2:$C$27,MATCH($C589,'Materials Master'!$A$2:$A$27,0)),"")</f>
        <v>Plastics</v>
      </c>
      <c r="F589" s="0" t="n">
        <f aca="false">(SUMIFS(Fact_PreSortWeights!$E$2:$E$15,Fact_PreSortWeights!$C$2:$C$15,$A589,Fact_PreSortWeights!$B$2:$B$15,$B589,Fact_PreSortWeights!$F$2:$F$15,$C589))+(SUMIFS(Fact_SortedWeights!$E$2:$E$6,Fact_SortedWeights!$C$2:$C$6,$A589,Fact_SortedWeights!$B$2:$B$6,$B589,Fact_SortedWeights!$D$2:$D$6,$C589,Fact_SortedWeights!$L$2:$L$6,"Yes"))+IF((SUMIFS(Fact_SortedWeights!$E$2:$E$6,Fact_SortedWeights!$C$2:$C$6,$A589,Fact_SortedWeights!$B$2:$B$6,$B589,Fact_SortedWeights!$L$2:$L$6,"No"))=0,0,(SUMIFS(Fact_SortedWeights!$E$2:$E$6,Fact_SortedWeights!$C$2:$C$6,$A589,Fact_SortedWeights!$B$2:$B$6,$B589,Fact_SortedWeights!$D$2:$D$6,$C589,Fact_SortedWeights!$L$2:$L$6,"No"))/(SUMIFS(Fact_SortedWeights!$E$2:$E$6,Fact_SortedWeights!$C$2:$C$6,$A589,Fact_SortedWeights!$B$2:$B$6,$B589,Fact_SortedWeights!$L$2:$L$6,"No"))*((SUMIFS(Fact_PreSortWeights!$E$2:$E$15,Fact_PreSortWeights!$C$2:$C$15,$A589,Fact_PreSortWeights!$B$2:$B$15,$B589,Fact_PreSortWeights!$F$2:$F$15,""))-(SUMIFS(Fact_SortedWeights!$E$2:$E$6,Fact_SortedWeights!$C$2:$C$6,$A589,Fact_SortedWeights!$B$2:$B$6,$B589,Fact_SortedWeights!$L$2:$L$6,"Yes"))))</f>
        <v>0</v>
      </c>
      <c r="G589" s="0" t="n">
        <f aca="false">IF(AND(IF($B589="Trash",INDEX('Materials Master'!$F$2:$F$27,MATCH($C589,'Materials Master'!$A$2:$A$27,0)),IF($B589="GMPC Recycling",INDEX('Materials Master'!$G$2:$G$27,MATCH($C589,'Materials Master'!$A$2:$A$27,0)),IF($B589="Organics Recycling",INDEX('Materials Master'!$H$2:$H$27,MATCH($C589,'Materials Master'!$A$2:$A$27,0)),IF($B589="Cardboard Recycling",INDEX('Materials Master'!$I$2:$I$27,MATCH($C589,'Materials Master'!$A$2:$A$27,0)),IF($B589="Paper Recycling",INDEX('Materials Master'!$J$2:$J$27,MATCH($C589,'Materials Master'!$A$2:$A$27,0)),IF($B589="Terracycle",INDEX('Materials Master'!$K$2:$K$27,MATCH($C589,'Materials Master'!$A$2:$A$27,0)),"No"))))))="Yes",INDEX('Materials Master'!$E$2:$E$27,MATCH($C589,'Materials Master'!$A$2:$A$27,0))="Yes",$B589&lt;&gt;"Trash"),1,0)</f>
        <v>0</v>
      </c>
      <c r="H589" s="0" t="str">
        <f aca="false">INDEX('Materials Master'!$E$2:$E$27,MATCH($C589,'Materials Master'!$A$2:$A$27,0))</f>
        <v>No</v>
      </c>
      <c r="I589" s="0" t="str">
        <f aca="false">IFERROR(INDEX(Areas!$C$2:$C$6,MATCH($A589,Areas!$B$2:$B$6,0)),"")</f>
        <v>Rest of Building</v>
      </c>
      <c r="J589" s="0" t="n">
        <f aca="false">IF(IF($B589="Trash",INDEX('Materials Master'!$F$2:$F$27,MATCH($C589,'Materials Master'!$A$2:$A$27,0)),IF($B589="GMPC Recycling",INDEX('Materials Master'!$G$2:$G$27,MATCH($C589,'Materials Master'!$A$2:$A$27,0)),IF($B589="Organics Recycling",INDEX('Materials Master'!$H$2:$H$27,MATCH($C589,'Materials Master'!$A$2:$A$27,0)),IF($B589="Cardboard Recycling",INDEX('Materials Master'!$I$2:$I$27,MATCH($C589,'Materials Master'!$A$2:$A$27,0)),IF($B589="Paper Recycling",INDEX('Materials Master'!$J$2:$J$27,MATCH($C589,'Materials Master'!$A$2:$A$27,0)),IF($B589="Terracycle",INDEX('Materials Master'!$K$2:$K$27,MATCH($C589,'Materials Master'!$A$2:$A$27,0)),"No"))))))="Yes",1,0)</f>
        <v>0</v>
      </c>
    </row>
    <row r="590" customFormat="false" ht="15" hidden="false" customHeight="false" outlineLevel="0" collapsed="false">
      <c r="A590" s="0" t="s">
        <v>99</v>
      </c>
      <c r="B590" s="0" t="s">
        <v>107</v>
      </c>
      <c r="C590" s="0" t="s">
        <v>64</v>
      </c>
      <c r="D590" s="0" t="str">
        <f aca="false">IFERROR(INDEX('Materials Master'!$B$2:$B$27,MATCH($C590,'Materials Master'!$A$2:$A$27,0)),"")</f>
        <v>Food Waste</v>
      </c>
      <c r="E590" s="0" t="str">
        <f aca="false">IFERROR(INDEX('Materials Master'!$C$2:$C$27,MATCH($C590,'Materials Master'!$A$2:$A$27,0)),"")</f>
        <v>Organics</v>
      </c>
      <c r="F590" s="0" t="n">
        <f aca="false">(SUMIFS(Fact_PreSortWeights!$E$2:$E$15,Fact_PreSortWeights!$C$2:$C$15,$A590,Fact_PreSortWeights!$B$2:$B$15,$B590,Fact_PreSortWeights!$F$2:$F$15,$C590))+(SUMIFS(Fact_SortedWeights!$E$2:$E$6,Fact_SortedWeights!$C$2:$C$6,$A590,Fact_SortedWeights!$B$2:$B$6,$B590,Fact_SortedWeights!$D$2:$D$6,$C590,Fact_SortedWeights!$L$2:$L$6,"Yes"))+IF((SUMIFS(Fact_SortedWeights!$E$2:$E$6,Fact_SortedWeights!$C$2:$C$6,$A590,Fact_SortedWeights!$B$2:$B$6,$B590,Fact_SortedWeights!$L$2:$L$6,"No"))=0,0,(SUMIFS(Fact_SortedWeights!$E$2:$E$6,Fact_SortedWeights!$C$2:$C$6,$A590,Fact_SortedWeights!$B$2:$B$6,$B590,Fact_SortedWeights!$D$2:$D$6,$C590,Fact_SortedWeights!$L$2:$L$6,"No"))/(SUMIFS(Fact_SortedWeights!$E$2:$E$6,Fact_SortedWeights!$C$2:$C$6,$A590,Fact_SortedWeights!$B$2:$B$6,$B590,Fact_SortedWeights!$L$2:$L$6,"No"))*((SUMIFS(Fact_PreSortWeights!$E$2:$E$15,Fact_PreSortWeights!$C$2:$C$15,$A590,Fact_PreSortWeights!$B$2:$B$15,$B590,Fact_PreSortWeights!$F$2:$F$15,""))-(SUMIFS(Fact_SortedWeights!$E$2:$E$6,Fact_SortedWeights!$C$2:$C$6,$A590,Fact_SortedWeights!$B$2:$B$6,$B590,Fact_SortedWeights!$L$2:$L$6,"Yes"))))</f>
        <v>0</v>
      </c>
      <c r="G590" s="0" t="n">
        <f aca="false">IF(AND(IF($B590="Trash",INDEX('Materials Master'!$F$2:$F$27,MATCH($C590,'Materials Master'!$A$2:$A$27,0)),IF($B590="GMPC Recycling",INDEX('Materials Master'!$G$2:$G$27,MATCH($C590,'Materials Master'!$A$2:$A$27,0)),IF($B590="Organics Recycling",INDEX('Materials Master'!$H$2:$H$27,MATCH($C590,'Materials Master'!$A$2:$A$27,0)),IF($B590="Cardboard Recycling",INDEX('Materials Master'!$I$2:$I$27,MATCH($C590,'Materials Master'!$A$2:$A$27,0)),IF($B590="Paper Recycling",INDEX('Materials Master'!$J$2:$J$27,MATCH($C590,'Materials Master'!$A$2:$A$27,0)),IF($B590="Terracycle",INDEX('Materials Master'!$K$2:$K$27,MATCH($C590,'Materials Master'!$A$2:$A$27,0)),"No"))))))="Yes",INDEX('Materials Master'!$E$2:$E$27,MATCH($C590,'Materials Master'!$A$2:$A$27,0))="Yes",$B590&lt;&gt;"Trash"),1,0)</f>
        <v>0</v>
      </c>
      <c r="H590" s="0" t="str">
        <f aca="false">INDEX('Materials Master'!$E$2:$E$27,MATCH($C590,'Materials Master'!$A$2:$A$27,0))</f>
        <v>Yes</v>
      </c>
      <c r="I590" s="0" t="str">
        <f aca="false">IFERROR(INDEX(Areas!$C$2:$C$6,MATCH($A590,Areas!$B$2:$B$6,0)),"")</f>
        <v>Rest of Building</v>
      </c>
      <c r="J590" s="0" t="n">
        <f aca="false">IF(IF($B590="Trash",INDEX('Materials Master'!$F$2:$F$27,MATCH($C590,'Materials Master'!$A$2:$A$27,0)),IF($B590="GMPC Recycling",INDEX('Materials Master'!$G$2:$G$27,MATCH($C590,'Materials Master'!$A$2:$A$27,0)),IF($B590="Organics Recycling",INDEX('Materials Master'!$H$2:$H$27,MATCH($C590,'Materials Master'!$A$2:$A$27,0)),IF($B590="Cardboard Recycling",INDEX('Materials Master'!$I$2:$I$27,MATCH($C590,'Materials Master'!$A$2:$A$27,0)),IF($B590="Paper Recycling",INDEX('Materials Master'!$J$2:$J$27,MATCH($C590,'Materials Master'!$A$2:$A$27,0)),IF($B590="Terracycle",INDEX('Materials Master'!$K$2:$K$27,MATCH($C590,'Materials Master'!$A$2:$A$27,0)),"No"))))))="Yes",1,0)</f>
        <v>0</v>
      </c>
    </row>
    <row r="591" customFormat="false" ht="15" hidden="false" customHeight="false" outlineLevel="0" collapsed="false">
      <c r="A591" s="0" t="s">
        <v>99</v>
      </c>
      <c r="B591" s="0" t="s">
        <v>107</v>
      </c>
      <c r="C591" s="0" t="s">
        <v>67</v>
      </c>
      <c r="D591" s="0" t="str">
        <f aca="false">IFERROR(INDEX('Materials Master'!$B$2:$B$27,MATCH($C591,'Materials Master'!$A$2:$A$27,0)),"")</f>
        <v>Paper Fibers and Food-Soiled Paper (FSP)</v>
      </c>
      <c r="E591" s="0" t="str">
        <f aca="false">IFERROR(INDEX('Materials Master'!$C$2:$C$27,MATCH($C591,'Materials Master'!$A$2:$A$27,0)),"")</f>
        <v>Organics</v>
      </c>
      <c r="F591" s="0" t="n">
        <f aca="false">(SUMIFS(Fact_PreSortWeights!$E$2:$E$15,Fact_PreSortWeights!$C$2:$C$15,$A591,Fact_PreSortWeights!$B$2:$B$15,$B591,Fact_PreSortWeights!$F$2:$F$15,$C591))+(SUMIFS(Fact_SortedWeights!$E$2:$E$6,Fact_SortedWeights!$C$2:$C$6,$A591,Fact_SortedWeights!$B$2:$B$6,$B591,Fact_SortedWeights!$D$2:$D$6,$C591,Fact_SortedWeights!$L$2:$L$6,"Yes"))+IF((SUMIFS(Fact_SortedWeights!$E$2:$E$6,Fact_SortedWeights!$C$2:$C$6,$A591,Fact_SortedWeights!$B$2:$B$6,$B591,Fact_SortedWeights!$L$2:$L$6,"No"))=0,0,(SUMIFS(Fact_SortedWeights!$E$2:$E$6,Fact_SortedWeights!$C$2:$C$6,$A591,Fact_SortedWeights!$B$2:$B$6,$B591,Fact_SortedWeights!$D$2:$D$6,$C591,Fact_SortedWeights!$L$2:$L$6,"No"))/(SUMIFS(Fact_SortedWeights!$E$2:$E$6,Fact_SortedWeights!$C$2:$C$6,$A591,Fact_SortedWeights!$B$2:$B$6,$B591,Fact_SortedWeights!$L$2:$L$6,"No"))*((SUMIFS(Fact_PreSortWeights!$E$2:$E$15,Fact_PreSortWeights!$C$2:$C$15,$A591,Fact_PreSortWeights!$B$2:$B$15,$B591,Fact_PreSortWeights!$F$2:$F$15,""))-(SUMIFS(Fact_SortedWeights!$E$2:$E$6,Fact_SortedWeights!$C$2:$C$6,$A591,Fact_SortedWeights!$B$2:$B$6,$B591,Fact_SortedWeights!$L$2:$L$6,"Yes"))))</f>
        <v>0</v>
      </c>
      <c r="G591" s="0" t="n">
        <f aca="false">IF(AND(IF($B591="Trash",INDEX('Materials Master'!$F$2:$F$27,MATCH($C591,'Materials Master'!$A$2:$A$27,0)),IF($B591="GMPC Recycling",INDEX('Materials Master'!$G$2:$G$27,MATCH($C591,'Materials Master'!$A$2:$A$27,0)),IF($B591="Organics Recycling",INDEX('Materials Master'!$H$2:$H$27,MATCH($C591,'Materials Master'!$A$2:$A$27,0)),IF($B591="Cardboard Recycling",INDEX('Materials Master'!$I$2:$I$27,MATCH($C591,'Materials Master'!$A$2:$A$27,0)),IF($B591="Paper Recycling",INDEX('Materials Master'!$J$2:$J$27,MATCH($C591,'Materials Master'!$A$2:$A$27,0)),IF($B591="Terracycle",INDEX('Materials Master'!$K$2:$K$27,MATCH($C591,'Materials Master'!$A$2:$A$27,0)),"No"))))))="Yes",INDEX('Materials Master'!$E$2:$E$27,MATCH($C591,'Materials Master'!$A$2:$A$27,0))="Yes",$B591&lt;&gt;"Trash"),1,0)</f>
        <v>0</v>
      </c>
      <c r="H591" s="0" t="str">
        <f aca="false">INDEX('Materials Master'!$E$2:$E$27,MATCH($C591,'Materials Master'!$A$2:$A$27,0))</f>
        <v>No</v>
      </c>
      <c r="I591" s="0" t="str">
        <f aca="false">IFERROR(INDEX(Areas!$C$2:$C$6,MATCH($A591,Areas!$B$2:$B$6,0)),"")</f>
        <v>Rest of Building</v>
      </c>
      <c r="J591" s="0" t="n">
        <f aca="false">IF(IF($B591="Trash",INDEX('Materials Master'!$F$2:$F$27,MATCH($C591,'Materials Master'!$A$2:$A$27,0)),IF($B591="GMPC Recycling",INDEX('Materials Master'!$G$2:$G$27,MATCH($C591,'Materials Master'!$A$2:$A$27,0)),IF($B591="Organics Recycling",INDEX('Materials Master'!$H$2:$H$27,MATCH($C591,'Materials Master'!$A$2:$A$27,0)),IF($B591="Cardboard Recycling",INDEX('Materials Master'!$I$2:$I$27,MATCH($C591,'Materials Master'!$A$2:$A$27,0)),IF($B591="Paper Recycling",INDEX('Materials Master'!$J$2:$J$27,MATCH($C591,'Materials Master'!$A$2:$A$27,0)),IF($B591="Terracycle",INDEX('Materials Master'!$K$2:$K$27,MATCH($C591,'Materials Master'!$A$2:$A$27,0)),"No"))))))="Yes",1,0)</f>
        <v>0</v>
      </c>
    </row>
    <row r="592" customFormat="false" ht="15" hidden="false" customHeight="false" outlineLevel="0" collapsed="false">
      <c r="A592" s="0" t="s">
        <v>99</v>
      </c>
      <c r="B592" s="0" t="s">
        <v>107</v>
      </c>
      <c r="C592" s="0" t="s">
        <v>69</v>
      </c>
      <c r="D592" s="0" t="str">
        <f aca="false">IFERROR(INDEX('Materials Master'!$B$2:$B$27,MATCH($C592,'Materials Master'!$A$2:$A$27,0)),"")</f>
        <v>Fiber-based Compostable Serviceware</v>
      </c>
      <c r="E592" s="0" t="str">
        <f aca="false">IFERROR(INDEX('Materials Master'!$C$2:$C$27,MATCH($C592,'Materials Master'!$A$2:$A$27,0)),"")</f>
        <v>Organics</v>
      </c>
      <c r="F592" s="0" t="n">
        <f aca="false">(SUMIFS(Fact_PreSortWeights!$E$2:$E$15,Fact_PreSortWeights!$C$2:$C$15,$A592,Fact_PreSortWeights!$B$2:$B$15,$B592,Fact_PreSortWeights!$F$2:$F$15,$C592))+(SUMIFS(Fact_SortedWeights!$E$2:$E$6,Fact_SortedWeights!$C$2:$C$6,$A592,Fact_SortedWeights!$B$2:$B$6,$B592,Fact_SortedWeights!$D$2:$D$6,$C592,Fact_SortedWeights!$L$2:$L$6,"Yes"))+IF((SUMIFS(Fact_SortedWeights!$E$2:$E$6,Fact_SortedWeights!$C$2:$C$6,$A592,Fact_SortedWeights!$B$2:$B$6,$B592,Fact_SortedWeights!$L$2:$L$6,"No"))=0,0,(SUMIFS(Fact_SortedWeights!$E$2:$E$6,Fact_SortedWeights!$C$2:$C$6,$A592,Fact_SortedWeights!$B$2:$B$6,$B592,Fact_SortedWeights!$D$2:$D$6,$C592,Fact_SortedWeights!$L$2:$L$6,"No"))/(SUMIFS(Fact_SortedWeights!$E$2:$E$6,Fact_SortedWeights!$C$2:$C$6,$A592,Fact_SortedWeights!$B$2:$B$6,$B592,Fact_SortedWeights!$L$2:$L$6,"No"))*((SUMIFS(Fact_PreSortWeights!$E$2:$E$15,Fact_PreSortWeights!$C$2:$C$15,$A592,Fact_PreSortWeights!$B$2:$B$15,$B592,Fact_PreSortWeights!$F$2:$F$15,""))-(SUMIFS(Fact_SortedWeights!$E$2:$E$6,Fact_SortedWeights!$C$2:$C$6,$A592,Fact_SortedWeights!$B$2:$B$6,$B592,Fact_SortedWeights!$L$2:$L$6,"Yes"))))</f>
        <v>0</v>
      </c>
      <c r="G592" s="0" t="n">
        <f aca="false">IF(AND(IF($B592="Trash",INDEX('Materials Master'!$F$2:$F$27,MATCH($C592,'Materials Master'!$A$2:$A$27,0)),IF($B592="GMPC Recycling",INDEX('Materials Master'!$G$2:$G$27,MATCH($C592,'Materials Master'!$A$2:$A$27,0)),IF($B592="Organics Recycling",INDEX('Materials Master'!$H$2:$H$27,MATCH($C592,'Materials Master'!$A$2:$A$27,0)),IF($B592="Cardboard Recycling",INDEX('Materials Master'!$I$2:$I$27,MATCH($C592,'Materials Master'!$A$2:$A$27,0)),IF($B592="Paper Recycling",INDEX('Materials Master'!$J$2:$J$27,MATCH($C592,'Materials Master'!$A$2:$A$27,0)),IF($B592="Terracycle",INDEX('Materials Master'!$K$2:$K$27,MATCH($C592,'Materials Master'!$A$2:$A$27,0)),"No"))))))="Yes",INDEX('Materials Master'!$E$2:$E$27,MATCH($C592,'Materials Master'!$A$2:$A$27,0))="Yes",$B592&lt;&gt;"Trash"),1,0)</f>
        <v>0</v>
      </c>
      <c r="H592" s="0" t="str">
        <f aca="false">INDEX('Materials Master'!$E$2:$E$27,MATCH($C592,'Materials Master'!$A$2:$A$27,0))</f>
        <v>No</v>
      </c>
      <c r="I592" s="0" t="str">
        <f aca="false">IFERROR(INDEX(Areas!$C$2:$C$6,MATCH($A592,Areas!$B$2:$B$6,0)),"")</f>
        <v>Rest of Building</v>
      </c>
      <c r="J592" s="0" t="n">
        <f aca="false">IF(IF($B592="Trash",INDEX('Materials Master'!$F$2:$F$27,MATCH($C592,'Materials Master'!$A$2:$A$27,0)),IF($B592="GMPC Recycling",INDEX('Materials Master'!$G$2:$G$27,MATCH($C592,'Materials Master'!$A$2:$A$27,0)),IF($B592="Organics Recycling",INDEX('Materials Master'!$H$2:$H$27,MATCH($C592,'Materials Master'!$A$2:$A$27,0)),IF($B592="Cardboard Recycling",INDEX('Materials Master'!$I$2:$I$27,MATCH($C592,'Materials Master'!$A$2:$A$27,0)),IF($B592="Paper Recycling",INDEX('Materials Master'!$J$2:$J$27,MATCH($C592,'Materials Master'!$A$2:$A$27,0)),IF($B592="Terracycle",INDEX('Materials Master'!$K$2:$K$27,MATCH($C592,'Materials Master'!$A$2:$A$27,0)),"No"))))))="Yes",1,0)</f>
        <v>0</v>
      </c>
    </row>
    <row r="593" customFormat="false" ht="15" hidden="false" customHeight="false" outlineLevel="0" collapsed="false">
      <c r="A593" s="0" t="s">
        <v>99</v>
      </c>
      <c r="B593" s="0" t="s">
        <v>107</v>
      </c>
      <c r="C593" s="0" t="s">
        <v>71</v>
      </c>
      <c r="D593" s="0" t="str">
        <f aca="false">IFERROR(INDEX('Materials Master'!$B$2:$B$27,MATCH($C593,'Materials Master'!$A$2:$A$27,0)),"")</f>
        <v>PLA Compostable Serviceware</v>
      </c>
      <c r="E593" s="0" t="str">
        <f aca="false">IFERROR(INDEX('Materials Master'!$C$2:$C$27,MATCH($C593,'Materials Master'!$A$2:$A$27,0)),"")</f>
        <v>Organics</v>
      </c>
      <c r="F593" s="0" t="n">
        <f aca="false">(SUMIFS(Fact_PreSortWeights!$E$2:$E$15,Fact_PreSortWeights!$C$2:$C$15,$A593,Fact_PreSortWeights!$B$2:$B$15,$B593,Fact_PreSortWeights!$F$2:$F$15,$C593))+(SUMIFS(Fact_SortedWeights!$E$2:$E$6,Fact_SortedWeights!$C$2:$C$6,$A593,Fact_SortedWeights!$B$2:$B$6,$B593,Fact_SortedWeights!$D$2:$D$6,$C593,Fact_SortedWeights!$L$2:$L$6,"Yes"))+IF((SUMIFS(Fact_SortedWeights!$E$2:$E$6,Fact_SortedWeights!$C$2:$C$6,$A593,Fact_SortedWeights!$B$2:$B$6,$B593,Fact_SortedWeights!$L$2:$L$6,"No"))=0,0,(SUMIFS(Fact_SortedWeights!$E$2:$E$6,Fact_SortedWeights!$C$2:$C$6,$A593,Fact_SortedWeights!$B$2:$B$6,$B593,Fact_SortedWeights!$D$2:$D$6,$C593,Fact_SortedWeights!$L$2:$L$6,"No"))/(SUMIFS(Fact_SortedWeights!$E$2:$E$6,Fact_SortedWeights!$C$2:$C$6,$A593,Fact_SortedWeights!$B$2:$B$6,$B593,Fact_SortedWeights!$L$2:$L$6,"No"))*((SUMIFS(Fact_PreSortWeights!$E$2:$E$15,Fact_PreSortWeights!$C$2:$C$15,$A593,Fact_PreSortWeights!$B$2:$B$15,$B593,Fact_PreSortWeights!$F$2:$F$15,""))-(SUMIFS(Fact_SortedWeights!$E$2:$E$6,Fact_SortedWeights!$C$2:$C$6,$A593,Fact_SortedWeights!$B$2:$B$6,$B593,Fact_SortedWeights!$L$2:$L$6,"Yes"))))</f>
        <v>0</v>
      </c>
      <c r="G593" s="0" t="n">
        <f aca="false">IF(AND(IF($B593="Trash",INDEX('Materials Master'!$F$2:$F$27,MATCH($C593,'Materials Master'!$A$2:$A$27,0)),IF($B593="GMPC Recycling",INDEX('Materials Master'!$G$2:$G$27,MATCH($C593,'Materials Master'!$A$2:$A$27,0)),IF($B593="Organics Recycling",INDEX('Materials Master'!$H$2:$H$27,MATCH($C593,'Materials Master'!$A$2:$A$27,0)),IF($B593="Cardboard Recycling",INDEX('Materials Master'!$I$2:$I$27,MATCH($C593,'Materials Master'!$A$2:$A$27,0)),IF($B593="Paper Recycling",INDEX('Materials Master'!$J$2:$J$27,MATCH($C593,'Materials Master'!$A$2:$A$27,0)),IF($B593="Terracycle",INDEX('Materials Master'!$K$2:$K$27,MATCH($C593,'Materials Master'!$A$2:$A$27,0)),"No"))))))="Yes",INDEX('Materials Master'!$E$2:$E$27,MATCH($C593,'Materials Master'!$A$2:$A$27,0))="Yes",$B593&lt;&gt;"Trash"),1,0)</f>
        <v>0</v>
      </c>
      <c r="H593" s="0" t="str">
        <f aca="false">INDEX('Materials Master'!$E$2:$E$27,MATCH($C593,'Materials Master'!$A$2:$A$27,0))</f>
        <v>No</v>
      </c>
      <c r="I593" s="0" t="str">
        <f aca="false">IFERROR(INDEX(Areas!$C$2:$C$6,MATCH($A593,Areas!$B$2:$B$6,0)),"")</f>
        <v>Rest of Building</v>
      </c>
      <c r="J593" s="0" t="n">
        <f aca="false">IF(IF($B593="Trash",INDEX('Materials Master'!$F$2:$F$27,MATCH($C593,'Materials Master'!$A$2:$A$27,0)),IF($B593="GMPC Recycling",INDEX('Materials Master'!$G$2:$G$27,MATCH($C593,'Materials Master'!$A$2:$A$27,0)),IF($B593="Organics Recycling",INDEX('Materials Master'!$H$2:$H$27,MATCH($C593,'Materials Master'!$A$2:$A$27,0)),IF($B593="Cardboard Recycling",INDEX('Materials Master'!$I$2:$I$27,MATCH($C593,'Materials Master'!$A$2:$A$27,0)),IF($B593="Paper Recycling",INDEX('Materials Master'!$J$2:$J$27,MATCH($C593,'Materials Master'!$A$2:$A$27,0)),IF($B593="Terracycle",INDEX('Materials Master'!$K$2:$K$27,MATCH($C593,'Materials Master'!$A$2:$A$27,0)),"No"))))))="Yes",1,0)</f>
        <v>0</v>
      </c>
    </row>
    <row r="594" customFormat="false" ht="15" hidden="false" customHeight="false" outlineLevel="0" collapsed="false">
      <c r="A594" s="0" t="s">
        <v>99</v>
      </c>
      <c r="B594" s="0" t="s">
        <v>107</v>
      </c>
      <c r="C594" s="0" t="s">
        <v>73</v>
      </c>
      <c r="D594" s="0" t="str">
        <f aca="false">IFERROR(INDEX('Materials Master'!$B$2:$B$27,MATCH($C594,'Materials Master'!$A$2:$A$27,0)),"")</f>
        <v>E/U Waste</v>
      </c>
      <c r="E594" s="0" t="str">
        <f aca="false">IFERROR(INDEX('Materials Master'!$C$2:$C$27,MATCH($C594,'Materials Master'!$A$2:$A$27,0)),"")</f>
        <v>Unacceptable</v>
      </c>
      <c r="F594" s="0" t="n">
        <f aca="false">(SUMIFS(Fact_PreSortWeights!$E$2:$E$15,Fact_PreSortWeights!$C$2:$C$15,$A594,Fact_PreSortWeights!$B$2:$B$15,$B594,Fact_PreSortWeights!$F$2:$F$15,$C594))+(SUMIFS(Fact_SortedWeights!$E$2:$E$6,Fact_SortedWeights!$C$2:$C$6,$A594,Fact_SortedWeights!$B$2:$B$6,$B594,Fact_SortedWeights!$D$2:$D$6,$C594,Fact_SortedWeights!$L$2:$L$6,"Yes"))+IF((SUMIFS(Fact_SortedWeights!$E$2:$E$6,Fact_SortedWeights!$C$2:$C$6,$A594,Fact_SortedWeights!$B$2:$B$6,$B594,Fact_SortedWeights!$L$2:$L$6,"No"))=0,0,(SUMIFS(Fact_SortedWeights!$E$2:$E$6,Fact_SortedWeights!$C$2:$C$6,$A594,Fact_SortedWeights!$B$2:$B$6,$B594,Fact_SortedWeights!$D$2:$D$6,$C594,Fact_SortedWeights!$L$2:$L$6,"No"))/(SUMIFS(Fact_SortedWeights!$E$2:$E$6,Fact_SortedWeights!$C$2:$C$6,$A594,Fact_SortedWeights!$B$2:$B$6,$B594,Fact_SortedWeights!$L$2:$L$6,"No"))*((SUMIFS(Fact_PreSortWeights!$E$2:$E$15,Fact_PreSortWeights!$C$2:$C$15,$A594,Fact_PreSortWeights!$B$2:$B$15,$B594,Fact_PreSortWeights!$F$2:$F$15,""))-(SUMIFS(Fact_SortedWeights!$E$2:$E$6,Fact_SortedWeights!$C$2:$C$6,$A594,Fact_SortedWeights!$B$2:$B$6,$B594,Fact_SortedWeights!$L$2:$L$6,"Yes"))))</f>
        <v>0</v>
      </c>
      <c r="G594" s="0" t="n">
        <f aca="false">IF(AND(IF($B594="Trash",INDEX('Materials Master'!$F$2:$F$27,MATCH($C594,'Materials Master'!$A$2:$A$27,0)),IF($B594="GMPC Recycling",INDEX('Materials Master'!$G$2:$G$27,MATCH($C594,'Materials Master'!$A$2:$A$27,0)),IF($B594="Organics Recycling",INDEX('Materials Master'!$H$2:$H$27,MATCH($C594,'Materials Master'!$A$2:$A$27,0)),IF($B594="Cardboard Recycling",INDEX('Materials Master'!$I$2:$I$27,MATCH($C594,'Materials Master'!$A$2:$A$27,0)),IF($B594="Paper Recycling",INDEX('Materials Master'!$J$2:$J$27,MATCH($C594,'Materials Master'!$A$2:$A$27,0)),IF($B594="Terracycle",INDEX('Materials Master'!$K$2:$K$27,MATCH($C594,'Materials Master'!$A$2:$A$27,0)),"No"))))))="Yes",INDEX('Materials Master'!$E$2:$E$27,MATCH($C594,'Materials Master'!$A$2:$A$27,0))="Yes",$B594&lt;&gt;"Trash"),1,0)</f>
        <v>0</v>
      </c>
      <c r="H594" s="0" t="str">
        <f aca="false">INDEX('Materials Master'!$E$2:$E$27,MATCH($C594,'Materials Master'!$A$2:$A$27,0))</f>
        <v>No</v>
      </c>
      <c r="I594" s="0" t="str">
        <f aca="false">IFERROR(INDEX(Areas!$C$2:$C$6,MATCH($A594,Areas!$B$2:$B$6,0)),"")</f>
        <v>Rest of Building</v>
      </c>
      <c r="J594" s="0" t="n">
        <f aca="false">IF(IF($B594="Trash",INDEX('Materials Master'!$F$2:$F$27,MATCH($C594,'Materials Master'!$A$2:$A$27,0)),IF($B594="GMPC Recycling",INDEX('Materials Master'!$G$2:$G$27,MATCH($C594,'Materials Master'!$A$2:$A$27,0)),IF($B594="Organics Recycling",INDEX('Materials Master'!$H$2:$H$27,MATCH($C594,'Materials Master'!$A$2:$A$27,0)),IF($B594="Cardboard Recycling",INDEX('Materials Master'!$I$2:$I$27,MATCH($C594,'Materials Master'!$A$2:$A$27,0)),IF($B594="Paper Recycling",INDEX('Materials Master'!$J$2:$J$27,MATCH($C594,'Materials Master'!$A$2:$A$27,0)),IF($B594="Terracycle",INDEX('Materials Master'!$K$2:$K$27,MATCH($C594,'Materials Master'!$A$2:$A$27,0)),"No"))))))="Yes",1,0)</f>
        <v>0</v>
      </c>
    </row>
    <row r="595" customFormat="false" ht="15" hidden="false" customHeight="false" outlineLevel="0" collapsed="false">
      <c r="A595" s="0" t="s">
        <v>99</v>
      </c>
      <c r="B595" s="0" t="s">
        <v>107</v>
      </c>
      <c r="C595" s="0" t="s">
        <v>76</v>
      </c>
      <c r="D595" s="0" t="str">
        <f aca="false">IFERROR(INDEX('Materials Master'!$B$2:$B$27,MATCH($C595,'Materials Master'!$A$2:$A$27,0)),"")</f>
        <v>Textiles</v>
      </c>
      <c r="E595" s="0" t="str">
        <f aca="false">IFERROR(INDEX('Materials Master'!$C$2:$C$27,MATCH($C595,'Materials Master'!$A$2:$A$27,0)),"")</f>
        <v>Unacceptable</v>
      </c>
      <c r="F595" s="0" t="n">
        <f aca="false">(SUMIFS(Fact_PreSortWeights!$E$2:$E$15,Fact_PreSortWeights!$C$2:$C$15,$A595,Fact_PreSortWeights!$B$2:$B$15,$B595,Fact_PreSortWeights!$F$2:$F$15,$C595))+(SUMIFS(Fact_SortedWeights!$E$2:$E$6,Fact_SortedWeights!$C$2:$C$6,$A595,Fact_SortedWeights!$B$2:$B$6,$B595,Fact_SortedWeights!$D$2:$D$6,$C595,Fact_SortedWeights!$L$2:$L$6,"Yes"))+IF((SUMIFS(Fact_SortedWeights!$E$2:$E$6,Fact_SortedWeights!$C$2:$C$6,$A595,Fact_SortedWeights!$B$2:$B$6,$B595,Fact_SortedWeights!$L$2:$L$6,"No"))=0,0,(SUMIFS(Fact_SortedWeights!$E$2:$E$6,Fact_SortedWeights!$C$2:$C$6,$A595,Fact_SortedWeights!$B$2:$B$6,$B595,Fact_SortedWeights!$D$2:$D$6,$C595,Fact_SortedWeights!$L$2:$L$6,"No"))/(SUMIFS(Fact_SortedWeights!$E$2:$E$6,Fact_SortedWeights!$C$2:$C$6,$A595,Fact_SortedWeights!$B$2:$B$6,$B595,Fact_SortedWeights!$L$2:$L$6,"No"))*((SUMIFS(Fact_PreSortWeights!$E$2:$E$15,Fact_PreSortWeights!$C$2:$C$15,$A595,Fact_PreSortWeights!$B$2:$B$15,$B595,Fact_PreSortWeights!$F$2:$F$15,""))-(SUMIFS(Fact_SortedWeights!$E$2:$E$6,Fact_SortedWeights!$C$2:$C$6,$A595,Fact_SortedWeights!$B$2:$B$6,$B595,Fact_SortedWeights!$L$2:$L$6,"Yes"))))</f>
        <v>0</v>
      </c>
      <c r="G595" s="0" t="n">
        <f aca="false">IF(AND(IF($B595="Trash",INDEX('Materials Master'!$F$2:$F$27,MATCH($C595,'Materials Master'!$A$2:$A$27,0)),IF($B595="GMPC Recycling",INDEX('Materials Master'!$G$2:$G$27,MATCH($C595,'Materials Master'!$A$2:$A$27,0)),IF($B595="Organics Recycling",INDEX('Materials Master'!$H$2:$H$27,MATCH($C595,'Materials Master'!$A$2:$A$27,0)),IF($B595="Cardboard Recycling",INDEX('Materials Master'!$I$2:$I$27,MATCH($C595,'Materials Master'!$A$2:$A$27,0)),IF($B595="Paper Recycling",INDEX('Materials Master'!$J$2:$J$27,MATCH($C595,'Materials Master'!$A$2:$A$27,0)),IF($B595="Terracycle",INDEX('Materials Master'!$K$2:$K$27,MATCH($C595,'Materials Master'!$A$2:$A$27,0)),"No"))))))="Yes",INDEX('Materials Master'!$E$2:$E$27,MATCH($C595,'Materials Master'!$A$2:$A$27,0))="Yes",$B595&lt;&gt;"Trash"),1,0)</f>
        <v>0</v>
      </c>
      <c r="H595" s="0" t="str">
        <f aca="false">INDEX('Materials Master'!$E$2:$E$27,MATCH($C595,'Materials Master'!$A$2:$A$27,0))</f>
        <v>No</v>
      </c>
      <c r="I595" s="0" t="str">
        <f aca="false">IFERROR(INDEX(Areas!$C$2:$C$6,MATCH($A595,Areas!$B$2:$B$6,0)),"")</f>
        <v>Rest of Building</v>
      </c>
      <c r="J595" s="0" t="n">
        <f aca="false">IF(IF($B595="Trash",INDEX('Materials Master'!$F$2:$F$27,MATCH($C595,'Materials Master'!$A$2:$A$27,0)),IF($B595="GMPC Recycling",INDEX('Materials Master'!$G$2:$G$27,MATCH($C595,'Materials Master'!$A$2:$A$27,0)),IF($B595="Organics Recycling",INDEX('Materials Master'!$H$2:$H$27,MATCH($C595,'Materials Master'!$A$2:$A$27,0)),IF($B595="Cardboard Recycling",INDEX('Materials Master'!$I$2:$I$27,MATCH($C595,'Materials Master'!$A$2:$A$27,0)),IF($B595="Paper Recycling",INDEX('Materials Master'!$J$2:$J$27,MATCH($C595,'Materials Master'!$A$2:$A$27,0)),IF($B595="Terracycle",INDEX('Materials Master'!$K$2:$K$27,MATCH($C595,'Materials Master'!$A$2:$A$27,0)),"No"))))))="Yes",1,0)</f>
        <v>0</v>
      </c>
    </row>
    <row r="596" customFormat="false" ht="15" hidden="false" customHeight="false" outlineLevel="0" collapsed="false">
      <c r="A596" s="0" t="s">
        <v>99</v>
      </c>
      <c r="B596" s="0" t="s">
        <v>107</v>
      </c>
      <c r="C596" s="0" t="s">
        <v>78</v>
      </c>
      <c r="D596" s="0" t="str">
        <f aca="false">IFERROR(INDEX('Materials Master'!$B$2:$B$27,MATCH($C596,'Materials Master'!$A$2:$A$27,0)),"")</f>
        <v>Other Unacceptable (specify)</v>
      </c>
      <c r="E596" s="0" t="str">
        <f aca="false">IFERROR(INDEX('Materials Master'!$C$2:$C$27,MATCH($C596,'Materials Master'!$A$2:$A$27,0)),"")</f>
        <v>Unacceptable</v>
      </c>
      <c r="F596" s="0" t="n">
        <f aca="false">(SUMIFS(Fact_PreSortWeights!$E$2:$E$15,Fact_PreSortWeights!$C$2:$C$15,$A596,Fact_PreSortWeights!$B$2:$B$15,$B596,Fact_PreSortWeights!$F$2:$F$15,$C596))+(SUMIFS(Fact_SortedWeights!$E$2:$E$6,Fact_SortedWeights!$C$2:$C$6,$A596,Fact_SortedWeights!$B$2:$B$6,$B596,Fact_SortedWeights!$D$2:$D$6,$C596,Fact_SortedWeights!$L$2:$L$6,"Yes"))+IF((SUMIFS(Fact_SortedWeights!$E$2:$E$6,Fact_SortedWeights!$C$2:$C$6,$A596,Fact_SortedWeights!$B$2:$B$6,$B596,Fact_SortedWeights!$L$2:$L$6,"No"))=0,0,(SUMIFS(Fact_SortedWeights!$E$2:$E$6,Fact_SortedWeights!$C$2:$C$6,$A596,Fact_SortedWeights!$B$2:$B$6,$B596,Fact_SortedWeights!$D$2:$D$6,$C596,Fact_SortedWeights!$L$2:$L$6,"No"))/(SUMIFS(Fact_SortedWeights!$E$2:$E$6,Fact_SortedWeights!$C$2:$C$6,$A596,Fact_SortedWeights!$B$2:$B$6,$B596,Fact_SortedWeights!$L$2:$L$6,"No"))*((SUMIFS(Fact_PreSortWeights!$E$2:$E$15,Fact_PreSortWeights!$C$2:$C$15,$A596,Fact_PreSortWeights!$B$2:$B$15,$B596,Fact_PreSortWeights!$F$2:$F$15,""))-(SUMIFS(Fact_SortedWeights!$E$2:$E$6,Fact_SortedWeights!$C$2:$C$6,$A596,Fact_SortedWeights!$B$2:$B$6,$B596,Fact_SortedWeights!$L$2:$L$6,"Yes"))))</f>
        <v>0</v>
      </c>
      <c r="G596" s="0" t="n">
        <f aca="false">IF(AND(IF($B596="Trash",INDEX('Materials Master'!$F$2:$F$27,MATCH($C596,'Materials Master'!$A$2:$A$27,0)),IF($B596="GMPC Recycling",INDEX('Materials Master'!$G$2:$G$27,MATCH($C596,'Materials Master'!$A$2:$A$27,0)),IF($B596="Organics Recycling",INDEX('Materials Master'!$H$2:$H$27,MATCH($C596,'Materials Master'!$A$2:$A$27,0)),IF($B596="Cardboard Recycling",INDEX('Materials Master'!$I$2:$I$27,MATCH($C596,'Materials Master'!$A$2:$A$27,0)),IF($B596="Paper Recycling",INDEX('Materials Master'!$J$2:$J$27,MATCH($C596,'Materials Master'!$A$2:$A$27,0)),IF($B596="Terracycle",INDEX('Materials Master'!$K$2:$K$27,MATCH($C596,'Materials Master'!$A$2:$A$27,0)),"No"))))))="Yes",INDEX('Materials Master'!$E$2:$E$27,MATCH($C596,'Materials Master'!$A$2:$A$27,0))="Yes",$B596&lt;&gt;"Trash"),1,0)</f>
        <v>0</v>
      </c>
      <c r="H596" s="0" t="str">
        <f aca="false">INDEX('Materials Master'!$E$2:$E$27,MATCH($C596,'Materials Master'!$A$2:$A$27,0))</f>
        <v>No</v>
      </c>
      <c r="I596" s="0" t="str">
        <f aca="false">IFERROR(INDEX(Areas!$C$2:$C$6,MATCH($A596,Areas!$B$2:$B$6,0)),"")</f>
        <v>Rest of Building</v>
      </c>
      <c r="J596" s="0" t="n">
        <f aca="false">IF(IF($B596="Trash",INDEX('Materials Master'!$F$2:$F$27,MATCH($C596,'Materials Master'!$A$2:$A$27,0)),IF($B596="GMPC Recycling",INDEX('Materials Master'!$G$2:$G$27,MATCH($C596,'Materials Master'!$A$2:$A$27,0)),IF($B596="Organics Recycling",INDEX('Materials Master'!$H$2:$H$27,MATCH($C596,'Materials Master'!$A$2:$A$27,0)),IF($B596="Cardboard Recycling",INDEX('Materials Master'!$I$2:$I$27,MATCH($C596,'Materials Master'!$A$2:$A$27,0)),IF($B596="Paper Recycling",INDEX('Materials Master'!$J$2:$J$27,MATCH($C596,'Materials Master'!$A$2:$A$27,0)),IF($B596="Terracycle",INDEX('Materials Master'!$K$2:$K$27,MATCH($C596,'Materials Master'!$A$2:$A$27,0)),"No"))))))="Yes",1,0)</f>
        <v>0</v>
      </c>
    </row>
    <row r="597" customFormat="false" ht="15" hidden="false" customHeight="false" outlineLevel="0" collapsed="false">
      <c r="A597" s="0" t="s">
        <v>99</v>
      </c>
      <c r="B597" s="0" t="s">
        <v>107</v>
      </c>
      <c r="C597" s="0" t="s">
        <v>80</v>
      </c>
      <c r="D597" s="0" t="str">
        <f aca="false">IFERROR(INDEX('Materials Master'!$B$2:$B$27,MATCH($C597,'Materials Master'!$A$2:$A$27,0)),"")</f>
        <v>Liquids</v>
      </c>
      <c r="E597" s="0" t="str">
        <f aca="false">IFERROR(INDEX('Materials Master'!$C$2:$C$27,MATCH($C597,'Materials Master'!$A$2:$A$27,0)),"")</f>
        <v>Unacceptable</v>
      </c>
      <c r="F597" s="0" t="n">
        <f aca="false">(SUMIFS(Fact_PreSortWeights!$E$2:$E$15,Fact_PreSortWeights!$C$2:$C$15,$A597,Fact_PreSortWeights!$B$2:$B$15,$B597,Fact_PreSortWeights!$F$2:$F$15,$C597))+(SUMIFS(Fact_SortedWeights!$E$2:$E$6,Fact_SortedWeights!$C$2:$C$6,$A597,Fact_SortedWeights!$B$2:$B$6,$B597,Fact_SortedWeights!$D$2:$D$6,$C597,Fact_SortedWeights!$L$2:$L$6,"Yes"))+IF((SUMIFS(Fact_SortedWeights!$E$2:$E$6,Fact_SortedWeights!$C$2:$C$6,$A597,Fact_SortedWeights!$B$2:$B$6,$B597,Fact_SortedWeights!$L$2:$L$6,"No"))=0,0,(SUMIFS(Fact_SortedWeights!$E$2:$E$6,Fact_SortedWeights!$C$2:$C$6,$A597,Fact_SortedWeights!$B$2:$B$6,$B597,Fact_SortedWeights!$D$2:$D$6,$C597,Fact_SortedWeights!$L$2:$L$6,"No"))/(SUMIFS(Fact_SortedWeights!$E$2:$E$6,Fact_SortedWeights!$C$2:$C$6,$A597,Fact_SortedWeights!$B$2:$B$6,$B597,Fact_SortedWeights!$L$2:$L$6,"No"))*((SUMIFS(Fact_PreSortWeights!$E$2:$E$15,Fact_PreSortWeights!$C$2:$C$15,$A597,Fact_PreSortWeights!$B$2:$B$15,$B597,Fact_PreSortWeights!$F$2:$F$15,""))-(SUMIFS(Fact_SortedWeights!$E$2:$E$6,Fact_SortedWeights!$C$2:$C$6,$A597,Fact_SortedWeights!$B$2:$B$6,$B597,Fact_SortedWeights!$L$2:$L$6,"Yes"))))</f>
        <v>0</v>
      </c>
      <c r="G597" s="0" t="n">
        <f aca="false">IF(AND(IF($B597="Trash",INDEX('Materials Master'!$F$2:$F$27,MATCH($C597,'Materials Master'!$A$2:$A$27,0)),IF($B597="GMPC Recycling",INDEX('Materials Master'!$G$2:$G$27,MATCH($C597,'Materials Master'!$A$2:$A$27,0)),IF($B597="Organics Recycling",INDEX('Materials Master'!$H$2:$H$27,MATCH($C597,'Materials Master'!$A$2:$A$27,0)),IF($B597="Cardboard Recycling",INDEX('Materials Master'!$I$2:$I$27,MATCH($C597,'Materials Master'!$A$2:$A$27,0)),IF($B597="Paper Recycling",INDEX('Materials Master'!$J$2:$J$27,MATCH($C597,'Materials Master'!$A$2:$A$27,0)),IF($B597="Terracycle",INDEX('Materials Master'!$K$2:$K$27,MATCH($C597,'Materials Master'!$A$2:$A$27,0)),"No"))))))="Yes",INDEX('Materials Master'!$E$2:$E$27,MATCH($C597,'Materials Master'!$A$2:$A$27,0))="Yes",$B597&lt;&gt;"Trash"),1,0)</f>
        <v>0</v>
      </c>
      <c r="H597" s="0" t="str">
        <f aca="false">INDEX('Materials Master'!$E$2:$E$27,MATCH($C597,'Materials Master'!$A$2:$A$27,0))</f>
        <v>No</v>
      </c>
      <c r="I597" s="0" t="str">
        <f aca="false">IFERROR(INDEX(Areas!$C$2:$C$6,MATCH($A597,Areas!$B$2:$B$6,0)),"")</f>
        <v>Rest of Building</v>
      </c>
      <c r="J597" s="0" t="n">
        <f aca="false">IF(IF($B597="Trash",INDEX('Materials Master'!$F$2:$F$27,MATCH($C597,'Materials Master'!$A$2:$A$27,0)),IF($B597="GMPC Recycling",INDEX('Materials Master'!$G$2:$G$27,MATCH($C597,'Materials Master'!$A$2:$A$27,0)),IF($B597="Organics Recycling",INDEX('Materials Master'!$H$2:$H$27,MATCH($C597,'Materials Master'!$A$2:$A$27,0)),IF($B597="Cardboard Recycling",INDEX('Materials Master'!$I$2:$I$27,MATCH($C597,'Materials Master'!$A$2:$A$27,0)),IF($B597="Paper Recycling",INDEX('Materials Master'!$J$2:$J$27,MATCH($C597,'Materials Master'!$A$2:$A$27,0)),IF($B597="Terracycle",INDEX('Materials Master'!$K$2:$K$27,MATCH($C597,'Materials Master'!$A$2:$A$27,0)),"No"))))))="Yes",1,0)</f>
        <v>0</v>
      </c>
    </row>
    <row r="598" customFormat="false" ht="15" hidden="false" customHeight="false" outlineLevel="0" collapsed="false">
      <c r="A598" s="0" t="s">
        <v>99</v>
      </c>
      <c r="B598" s="0" t="s">
        <v>107</v>
      </c>
      <c r="C598" s="0" t="s">
        <v>82</v>
      </c>
      <c r="D598" s="0" t="str">
        <f aca="false">IFERROR(INDEX('Materials Master'!$B$2:$B$27,MATCH($C598,'Materials Master'!$A$2:$A$27,0)),"")</f>
        <v>Snack Wrappers (Composites)</v>
      </c>
      <c r="E598" s="0" t="str">
        <f aca="false">IFERROR(INDEX('Materials Master'!$C$2:$C$27,MATCH($C598,'Materials Master'!$A$2:$A$27,0)),"")</f>
        <v>Other</v>
      </c>
      <c r="F598" s="0" t="n">
        <f aca="false">(SUMIFS(Fact_PreSortWeights!$E$2:$E$15,Fact_PreSortWeights!$C$2:$C$15,$A598,Fact_PreSortWeights!$B$2:$B$15,$B598,Fact_PreSortWeights!$F$2:$F$15,$C598))+(SUMIFS(Fact_SortedWeights!$E$2:$E$6,Fact_SortedWeights!$C$2:$C$6,$A598,Fact_SortedWeights!$B$2:$B$6,$B598,Fact_SortedWeights!$D$2:$D$6,$C598,Fact_SortedWeights!$L$2:$L$6,"Yes"))+IF((SUMIFS(Fact_SortedWeights!$E$2:$E$6,Fact_SortedWeights!$C$2:$C$6,$A598,Fact_SortedWeights!$B$2:$B$6,$B598,Fact_SortedWeights!$L$2:$L$6,"No"))=0,0,(SUMIFS(Fact_SortedWeights!$E$2:$E$6,Fact_SortedWeights!$C$2:$C$6,$A598,Fact_SortedWeights!$B$2:$B$6,$B598,Fact_SortedWeights!$D$2:$D$6,$C598,Fact_SortedWeights!$L$2:$L$6,"No"))/(SUMIFS(Fact_SortedWeights!$E$2:$E$6,Fact_SortedWeights!$C$2:$C$6,$A598,Fact_SortedWeights!$B$2:$B$6,$B598,Fact_SortedWeights!$L$2:$L$6,"No"))*((SUMIFS(Fact_PreSortWeights!$E$2:$E$15,Fact_PreSortWeights!$C$2:$C$15,$A598,Fact_PreSortWeights!$B$2:$B$15,$B598,Fact_PreSortWeights!$F$2:$F$15,""))-(SUMIFS(Fact_SortedWeights!$E$2:$E$6,Fact_SortedWeights!$C$2:$C$6,$A598,Fact_SortedWeights!$B$2:$B$6,$B598,Fact_SortedWeights!$L$2:$L$6,"Yes"))))</f>
        <v>0</v>
      </c>
      <c r="G598" s="0" t="n">
        <f aca="false">IF(AND(IF($B598="Trash",INDEX('Materials Master'!$F$2:$F$27,MATCH($C598,'Materials Master'!$A$2:$A$27,0)),IF($B598="GMPC Recycling",INDEX('Materials Master'!$G$2:$G$27,MATCH($C598,'Materials Master'!$A$2:$A$27,0)),IF($B598="Organics Recycling",INDEX('Materials Master'!$H$2:$H$27,MATCH($C598,'Materials Master'!$A$2:$A$27,0)),IF($B598="Cardboard Recycling",INDEX('Materials Master'!$I$2:$I$27,MATCH($C598,'Materials Master'!$A$2:$A$27,0)),IF($B598="Paper Recycling",INDEX('Materials Master'!$J$2:$J$27,MATCH($C598,'Materials Master'!$A$2:$A$27,0)),IF($B598="Terracycle",INDEX('Materials Master'!$K$2:$K$27,MATCH($C598,'Materials Master'!$A$2:$A$27,0)),"No"))))))="Yes",INDEX('Materials Master'!$E$2:$E$27,MATCH($C598,'Materials Master'!$A$2:$A$27,0))="Yes",$B598&lt;&gt;"Trash"),1,0)</f>
        <v>0</v>
      </c>
      <c r="H598" s="0" t="str">
        <f aca="false">INDEX('Materials Master'!$E$2:$E$27,MATCH($C598,'Materials Master'!$A$2:$A$27,0))</f>
        <v>Yes</v>
      </c>
      <c r="I598" s="0" t="str">
        <f aca="false">IFERROR(INDEX(Areas!$C$2:$C$6,MATCH($A598,Areas!$B$2:$B$6,0)),"")</f>
        <v>Rest of Building</v>
      </c>
      <c r="J598" s="0" t="n">
        <f aca="false">IF(IF($B598="Trash",INDEX('Materials Master'!$F$2:$F$27,MATCH($C598,'Materials Master'!$A$2:$A$27,0)),IF($B598="GMPC Recycling",INDEX('Materials Master'!$G$2:$G$27,MATCH($C598,'Materials Master'!$A$2:$A$27,0)),IF($B598="Organics Recycling",INDEX('Materials Master'!$H$2:$H$27,MATCH($C598,'Materials Master'!$A$2:$A$27,0)),IF($B598="Cardboard Recycling",INDEX('Materials Master'!$I$2:$I$27,MATCH($C598,'Materials Master'!$A$2:$A$27,0)),IF($B598="Paper Recycling",INDEX('Materials Master'!$J$2:$J$27,MATCH($C598,'Materials Master'!$A$2:$A$27,0)),IF($B598="Terracycle",INDEX('Materials Master'!$K$2:$K$27,MATCH($C598,'Materials Master'!$A$2:$A$27,0)),"No"))))))="Yes",1,0)</f>
        <v>0</v>
      </c>
    </row>
    <row r="599" customFormat="false" ht="15" hidden="false" customHeight="false" outlineLevel="0" collapsed="false">
      <c r="A599" s="0" t="s">
        <v>99</v>
      </c>
      <c r="B599" s="0" t="s">
        <v>107</v>
      </c>
      <c r="C599" s="0" t="s">
        <v>85</v>
      </c>
      <c r="D599" s="0" t="str">
        <f aca="false">IFERROR(INDEX('Materials Master'!$B$2:$B$27,MATCH($C599,'Materials Master'!$A$2:$A$27,0)),"")</f>
        <v>Other/Residual Materials</v>
      </c>
      <c r="E599" s="0" t="str">
        <f aca="false">IFERROR(INDEX('Materials Master'!$C$2:$C$27,MATCH($C599,'Materials Master'!$A$2:$A$27,0)),"")</f>
        <v>Other</v>
      </c>
      <c r="F599" s="0" t="n">
        <f aca="false">(SUMIFS(Fact_PreSortWeights!$E$2:$E$15,Fact_PreSortWeights!$C$2:$C$15,$A599,Fact_PreSortWeights!$B$2:$B$15,$B599,Fact_PreSortWeights!$F$2:$F$15,$C599))+(SUMIFS(Fact_SortedWeights!$E$2:$E$6,Fact_SortedWeights!$C$2:$C$6,$A599,Fact_SortedWeights!$B$2:$B$6,$B599,Fact_SortedWeights!$D$2:$D$6,$C599,Fact_SortedWeights!$L$2:$L$6,"Yes"))+IF((SUMIFS(Fact_SortedWeights!$E$2:$E$6,Fact_SortedWeights!$C$2:$C$6,$A599,Fact_SortedWeights!$B$2:$B$6,$B599,Fact_SortedWeights!$L$2:$L$6,"No"))=0,0,(SUMIFS(Fact_SortedWeights!$E$2:$E$6,Fact_SortedWeights!$C$2:$C$6,$A599,Fact_SortedWeights!$B$2:$B$6,$B599,Fact_SortedWeights!$D$2:$D$6,$C599,Fact_SortedWeights!$L$2:$L$6,"No"))/(SUMIFS(Fact_SortedWeights!$E$2:$E$6,Fact_SortedWeights!$C$2:$C$6,$A599,Fact_SortedWeights!$B$2:$B$6,$B599,Fact_SortedWeights!$L$2:$L$6,"No"))*((SUMIFS(Fact_PreSortWeights!$E$2:$E$15,Fact_PreSortWeights!$C$2:$C$15,$A599,Fact_PreSortWeights!$B$2:$B$15,$B599,Fact_PreSortWeights!$F$2:$F$15,""))-(SUMIFS(Fact_SortedWeights!$E$2:$E$6,Fact_SortedWeights!$C$2:$C$6,$A599,Fact_SortedWeights!$B$2:$B$6,$B599,Fact_SortedWeights!$L$2:$L$6,"Yes"))))</f>
        <v>0</v>
      </c>
      <c r="G599" s="0" t="n">
        <f aca="false">IF(AND(IF($B599="Trash",INDEX('Materials Master'!$F$2:$F$27,MATCH($C599,'Materials Master'!$A$2:$A$27,0)),IF($B599="GMPC Recycling",INDEX('Materials Master'!$G$2:$G$27,MATCH($C599,'Materials Master'!$A$2:$A$27,0)),IF($B599="Organics Recycling",INDEX('Materials Master'!$H$2:$H$27,MATCH($C599,'Materials Master'!$A$2:$A$27,0)),IF($B599="Cardboard Recycling",INDEX('Materials Master'!$I$2:$I$27,MATCH($C599,'Materials Master'!$A$2:$A$27,0)),IF($B599="Paper Recycling",INDEX('Materials Master'!$J$2:$J$27,MATCH($C599,'Materials Master'!$A$2:$A$27,0)),IF($B599="Terracycle",INDEX('Materials Master'!$K$2:$K$27,MATCH($C599,'Materials Master'!$A$2:$A$27,0)),"No"))))))="Yes",INDEX('Materials Master'!$E$2:$E$27,MATCH($C599,'Materials Master'!$A$2:$A$27,0))="Yes",$B599&lt;&gt;"Trash"),1,0)</f>
        <v>0</v>
      </c>
      <c r="H599" s="0" t="str">
        <f aca="false">INDEX('Materials Master'!$E$2:$E$27,MATCH($C599,'Materials Master'!$A$2:$A$27,0))</f>
        <v>No</v>
      </c>
      <c r="I599" s="0" t="str">
        <f aca="false">IFERROR(INDEX(Areas!$C$2:$C$6,MATCH($A599,Areas!$B$2:$B$6,0)),"")</f>
        <v>Rest of Building</v>
      </c>
      <c r="J599" s="0" t="n">
        <f aca="false">IF(IF($B599="Trash",INDEX('Materials Master'!$F$2:$F$27,MATCH($C599,'Materials Master'!$A$2:$A$27,0)),IF($B599="GMPC Recycling",INDEX('Materials Master'!$G$2:$G$27,MATCH($C599,'Materials Master'!$A$2:$A$27,0)),IF($B599="Organics Recycling",INDEX('Materials Master'!$H$2:$H$27,MATCH($C599,'Materials Master'!$A$2:$A$27,0)),IF($B599="Cardboard Recycling",INDEX('Materials Master'!$I$2:$I$27,MATCH($C599,'Materials Master'!$A$2:$A$27,0)),IF($B599="Paper Recycling",INDEX('Materials Master'!$J$2:$J$27,MATCH($C599,'Materials Master'!$A$2:$A$27,0)),IF($B599="Terracycle",INDEX('Materials Master'!$K$2:$K$27,MATCH($C599,'Materials Master'!$A$2:$A$27,0)),"No"))))))="Yes",1,0)</f>
        <v>0</v>
      </c>
    </row>
    <row r="600" customFormat="false" ht="15" hidden="false" customHeight="false" outlineLevel="0" collapsed="false">
      <c r="A600" s="0" t="s">
        <v>99</v>
      </c>
      <c r="B600" s="0" t="s">
        <v>108</v>
      </c>
      <c r="C600" s="0" t="s">
        <v>26</v>
      </c>
      <c r="D600" s="0" t="str">
        <f aca="false">IFERROR(INDEX('Materials Master'!$B$2:$B$27,MATCH($C600,'Materials Master'!$A$2:$A$27,0)),"")</f>
        <v>Corrugated Cardboard</v>
      </c>
      <c r="E600" s="0" t="str">
        <f aca="false">IFERROR(INDEX('Materials Master'!$C$2:$C$27,MATCH($C600,'Materials Master'!$A$2:$A$27,0)),"")</f>
        <v>Fibers</v>
      </c>
      <c r="F600" s="0" t="n">
        <f aca="false">(SUMIFS(Fact_PreSortWeights!$E$2:$E$15,Fact_PreSortWeights!$C$2:$C$15,$A600,Fact_PreSortWeights!$B$2:$B$15,$B600,Fact_PreSortWeights!$F$2:$F$15,$C600))+(SUMIFS(Fact_SortedWeights!$E$2:$E$6,Fact_SortedWeights!$C$2:$C$6,$A600,Fact_SortedWeights!$B$2:$B$6,$B600,Fact_SortedWeights!$D$2:$D$6,$C600,Fact_SortedWeights!$L$2:$L$6,"Yes"))+IF((SUMIFS(Fact_SortedWeights!$E$2:$E$6,Fact_SortedWeights!$C$2:$C$6,$A600,Fact_SortedWeights!$B$2:$B$6,$B600,Fact_SortedWeights!$L$2:$L$6,"No"))=0,0,(SUMIFS(Fact_SortedWeights!$E$2:$E$6,Fact_SortedWeights!$C$2:$C$6,$A600,Fact_SortedWeights!$B$2:$B$6,$B600,Fact_SortedWeights!$D$2:$D$6,$C600,Fact_SortedWeights!$L$2:$L$6,"No"))/(SUMIFS(Fact_SortedWeights!$E$2:$E$6,Fact_SortedWeights!$C$2:$C$6,$A600,Fact_SortedWeights!$B$2:$B$6,$B600,Fact_SortedWeights!$L$2:$L$6,"No"))*((SUMIFS(Fact_PreSortWeights!$E$2:$E$15,Fact_PreSortWeights!$C$2:$C$15,$A600,Fact_PreSortWeights!$B$2:$B$15,$B600,Fact_PreSortWeights!$F$2:$F$15,""))-(SUMIFS(Fact_SortedWeights!$E$2:$E$6,Fact_SortedWeights!$C$2:$C$6,$A600,Fact_SortedWeights!$B$2:$B$6,$B600,Fact_SortedWeights!$L$2:$L$6,"Yes"))))</f>
        <v>0</v>
      </c>
      <c r="G600" s="0" t="n">
        <f aca="false">IF(AND(IF($B600="Trash",INDEX('Materials Master'!$F$2:$F$27,MATCH($C600,'Materials Master'!$A$2:$A$27,0)),IF($B600="GMPC Recycling",INDEX('Materials Master'!$G$2:$G$27,MATCH($C600,'Materials Master'!$A$2:$A$27,0)),IF($B600="Organics Recycling",INDEX('Materials Master'!$H$2:$H$27,MATCH($C600,'Materials Master'!$A$2:$A$27,0)),IF($B600="Cardboard Recycling",INDEX('Materials Master'!$I$2:$I$27,MATCH($C600,'Materials Master'!$A$2:$A$27,0)),IF($B600="Paper Recycling",INDEX('Materials Master'!$J$2:$J$27,MATCH($C600,'Materials Master'!$A$2:$A$27,0)),IF($B600="Terracycle",INDEX('Materials Master'!$K$2:$K$27,MATCH($C600,'Materials Master'!$A$2:$A$27,0)),"No"))))))="Yes",INDEX('Materials Master'!$E$2:$E$27,MATCH($C600,'Materials Master'!$A$2:$A$27,0))="Yes",$B600&lt;&gt;"Trash"),1,0)</f>
        <v>0</v>
      </c>
      <c r="H600" s="0" t="str">
        <f aca="false">INDEX('Materials Master'!$E$2:$E$27,MATCH($C600,'Materials Master'!$A$2:$A$27,0))</f>
        <v>Yes</v>
      </c>
      <c r="I600" s="0" t="str">
        <f aca="false">IFERROR(INDEX(Areas!$C$2:$C$6,MATCH($A600,Areas!$B$2:$B$6,0)),"")</f>
        <v>Rest of Building</v>
      </c>
      <c r="J600" s="0" t="n">
        <f aca="false">IF(IF($B600="Trash",INDEX('Materials Master'!$F$2:$F$27,MATCH($C600,'Materials Master'!$A$2:$A$27,0)),IF($B600="GMPC Recycling",INDEX('Materials Master'!$G$2:$G$27,MATCH($C600,'Materials Master'!$A$2:$A$27,0)),IF($B600="Organics Recycling",INDEX('Materials Master'!$H$2:$H$27,MATCH($C600,'Materials Master'!$A$2:$A$27,0)),IF($B600="Cardboard Recycling",INDEX('Materials Master'!$I$2:$I$27,MATCH($C600,'Materials Master'!$A$2:$A$27,0)),IF($B600="Paper Recycling",INDEX('Materials Master'!$J$2:$J$27,MATCH($C600,'Materials Master'!$A$2:$A$27,0)),IF($B600="Terracycle",INDEX('Materials Master'!$K$2:$K$27,MATCH($C600,'Materials Master'!$A$2:$A$27,0)),"No"))))))="Yes",1,0)</f>
        <v>0</v>
      </c>
    </row>
    <row r="601" customFormat="false" ht="15" hidden="false" customHeight="false" outlineLevel="0" collapsed="false">
      <c r="A601" s="0" t="s">
        <v>99</v>
      </c>
      <c r="B601" s="0" t="s">
        <v>108</v>
      </c>
      <c r="C601" s="0" t="s">
        <v>31</v>
      </c>
      <c r="D601" s="0" t="str">
        <f aca="false">IFERROR(INDEX('Materials Master'!$B$2:$B$27,MATCH($C601,'Materials Master'!$A$2:$A$27,0)),"")</f>
        <v>Soiled Cardboard</v>
      </c>
      <c r="E601" s="0" t="str">
        <f aca="false">IFERROR(INDEX('Materials Master'!$C$2:$C$27,MATCH($C601,'Materials Master'!$A$2:$A$27,0)),"")</f>
        <v>Fibers</v>
      </c>
      <c r="F601" s="0" t="n">
        <f aca="false">(SUMIFS(Fact_PreSortWeights!$E$2:$E$15,Fact_PreSortWeights!$C$2:$C$15,$A601,Fact_PreSortWeights!$B$2:$B$15,$B601,Fact_PreSortWeights!$F$2:$F$15,$C601))+(SUMIFS(Fact_SortedWeights!$E$2:$E$6,Fact_SortedWeights!$C$2:$C$6,$A601,Fact_SortedWeights!$B$2:$B$6,$B601,Fact_SortedWeights!$D$2:$D$6,$C601,Fact_SortedWeights!$L$2:$L$6,"Yes"))+IF((SUMIFS(Fact_SortedWeights!$E$2:$E$6,Fact_SortedWeights!$C$2:$C$6,$A601,Fact_SortedWeights!$B$2:$B$6,$B601,Fact_SortedWeights!$L$2:$L$6,"No"))=0,0,(SUMIFS(Fact_SortedWeights!$E$2:$E$6,Fact_SortedWeights!$C$2:$C$6,$A601,Fact_SortedWeights!$B$2:$B$6,$B601,Fact_SortedWeights!$D$2:$D$6,$C601,Fact_SortedWeights!$L$2:$L$6,"No"))/(SUMIFS(Fact_SortedWeights!$E$2:$E$6,Fact_SortedWeights!$C$2:$C$6,$A601,Fact_SortedWeights!$B$2:$B$6,$B601,Fact_SortedWeights!$L$2:$L$6,"No"))*((SUMIFS(Fact_PreSortWeights!$E$2:$E$15,Fact_PreSortWeights!$C$2:$C$15,$A601,Fact_PreSortWeights!$B$2:$B$15,$B601,Fact_PreSortWeights!$F$2:$F$15,""))-(SUMIFS(Fact_SortedWeights!$E$2:$E$6,Fact_SortedWeights!$C$2:$C$6,$A601,Fact_SortedWeights!$B$2:$B$6,$B601,Fact_SortedWeights!$L$2:$L$6,"Yes"))))</f>
        <v>0</v>
      </c>
      <c r="G601" s="0" t="n">
        <f aca="false">IF(AND(IF($B601="Trash",INDEX('Materials Master'!$F$2:$F$27,MATCH($C601,'Materials Master'!$A$2:$A$27,0)),IF($B601="GMPC Recycling",INDEX('Materials Master'!$G$2:$G$27,MATCH($C601,'Materials Master'!$A$2:$A$27,0)),IF($B601="Organics Recycling",INDEX('Materials Master'!$H$2:$H$27,MATCH($C601,'Materials Master'!$A$2:$A$27,0)),IF($B601="Cardboard Recycling",INDEX('Materials Master'!$I$2:$I$27,MATCH($C601,'Materials Master'!$A$2:$A$27,0)),IF($B601="Paper Recycling",INDEX('Materials Master'!$J$2:$J$27,MATCH($C601,'Materials Master'!$A$2:$A$27,0)),IF($B601="Terracycle",INDEX('Materials Master'!$K$2:$K$27,MATCH($C601,'Materials Master'!$A$2:$A$27,0)),"No"))))))="Yes",INDEX('Materials Master'!$E$2:$E$27,MATCH($C601,'Materials Master'!$A$2:$A$27,0))="Yes",$B601&lt;&gt;"Trash"),1,0)</f>
        <v>0</v>
      </c>
      <c r="H601" s="0" t="str">
        <f aca="false">INDEX('Materials Master'!$E$2:$E$27,MATCH($C601,'Materials Master'!$A$2:$A$27,0))</f>
        <v>No</v>
      </c>
      <c r="I601" s="0" t="str">
        <f aca="false">IFERROR(INDEX(Areas!$C$2:$C$6,MATCH($A601,Areas!$B$2:$B$6,0)),"")</f>
        <v>Rest of Building</v>
      </c>
      <c r="J601" s="0" t="n">
        <f aca="false">IF(IF($B601="Trash",INDEX('Materials Master'!$F$2:$F$27,MATCH($C601,'Materials Master'!$A$2:$A$27,0)),IF($B601="GMPC Recycling",INDEX('Materials Master'!$G$2:$G$27,MATCH($C601,'Materials Master'!$A$2:$A$27,0)),IF($B601="Organics Recycling",INDEX('Materials Master'!$H$2:$H$27,MATCH($C601,'Materials Master'!$A$2:$A$27,0)),IF($B601="Cardboard Recycling",INDEX('Materials Master'!$I$2:$I$27,MATCH($C601,'Materials Master'!$A$2:$A$27,0)),IF($B601="Paper Recycling",INDEX('Materials Master'!$J$2:$J$27,MATCH($C601,'Materials Master'!$A$2:$A$27,0)),IF($B601="Terracycle",INDEX('Materials Master'!$K$2:$K$27,MATCH($C601,'Materials Master'!$A$2:$A$27,0)),"No"))))))="Yes",1,0)</f>
        <v>0</v>
      </c>
    </row>
    <row r="602" customFormat="false" ht="15" hidden="false" customHeight="false" outlineLevel="0" collapsed="false">
      <c r="A602" s="0" t="s">
        <v>99</v>
      </c>
      <c r="B602" s="0" t="s">
        <v>108</v>
      </c>
      <c r="C602" s="0" t="s">
        <v>33</v>
      </c>
      <c r="D602" s="0" t="str">
        <f aca="false">IFERROR(INDEX('Materials Master'!$B$2:$B$27,MATCH($C602,'Materials Master'!$A$2:$A$27,0)),"")</f>
        <v>Waxed Cardboard</v>
      </c>
      <c r="E602" s="0" t="str">
        <f aca="false">IFERROR(INDEX('Materials Master'!$C$2:$C$27,MATCH($C602,'Materials Master'!$A$2:$A$27,0)),"")</f>
        <v>Fibers</v>
      </c>
      <c r="F602" s="0" t="n">
        <f aca="false">(SUMIFS(Fact_PreSortWeights!$E$2:$E$15,Fact_PreSortWeights!$C$2:$C$15,$A602,Fact_PreSortWeights!$B$2:$B$15,$B602,Fact_PreSortWeights!$F$2:$F$15,$C602))+(SUMIFS(Fact_SortedWeights!$E$2:$E$6,Fact_SortedWeights!$C$2:$C$6,$A602,Fact_SortedWeights!$B$2:$B$6,$B602,Fact_SortedWeights!$D$2:$D$6,$C602,Fact_SortedWeights!$L$2:$L$6,"Yes"))+IF((SUMIFS(Fact_SortedWeights!$E$2:$E$6,Fact_SortedWeights!$C$2:$C$6,$A602,Fact_SortedWeights!$B$2:$B$6,$B602,Fact_SortedWeights!$L$2:$L$6,"No"))=0,0,(SUMIFS(Fact_SortedWeights!$E$2:$E$6,Fact_SortedWeights!$C$2:$C$6,$A602,Fact_SortedWeights!$B$2:$B$6,$B602,Fact_SortedWeights!$D$2:$D$6,$C602,Fact_SortedWeights!$L$2:$L$6,"No"))/(SUMIFS(Fact_SortedWeights!$E$2:$E$6,Fact_SortedWeights!$C$2:$C$6,$A602,Fact_SortedWeights!$B$2:$B$6,$B602,Fact_SortedWeights!$L$2:$L$6,"No"))*((SUMIFS(Fact_PreSortWeights!$E$2:$E$15,Fact_PreSortWeights!$C$2:$C$15,$A602,Fact_PreSortWeights!$B$2:$B$15,$B602,Fact_PreSortWeights!$F$2:$F$15,""))-(SUMIFS(Fact_SortedWeights!$E$2:$E$6,Fact_SortedWeights!$C$2:$C$6,$A602,Fact_SortedWeights!$B$2:$B$6,$B602,Fact_SortedWeights!$L$2:$L$6,"Yes"))))</f>
        <v>0</v>
      </c>
      <c r="G602" s="0" t="n">
        <f aca="false">IF(AND(IF($B602="Trash",INDEX('Materials Master'!$F$2:$F$27,MATCH($C602,'Materials Master'!$A$2:$A$27,0)),IF($B602="GMPC Recycling",INDEX('Materials Master'!$G$2:$G$27,MATCH($C602,'Materials Master'!$A$2:$A$27,0)),IF($B602="Organics Recycling",INDEX('Materials Master'!$H$2:$H$27,MATCH($C602,'Materials Master'!$A$2:$A$27,0)),IF($B602="Cardboard Recycling",INDEX('Materials Master'!$I$2:$I$27,MATCH($C602,'Materials Master'!$A$2:$A$27,0)),IF($B602="Paper Recycling",INDEX('Materials Master'!$J$2:$J$27,MATCH($C602,'Materials Master'!$A$2:$A$27,0)),IF($B602="Terracycle",INDEX('Materials Master'!$K$2:$K$27,MATCH($C602,'Materials Master'!$A$2:$A$27,0)),"No"))))))="Yes",INDEX('Materials Master'!$E$2:$E$27,MATCH($C602,'Materials Master'!$A$2:$A$27,0))="Yes",$B602&lt;&gt;"Trash"),1,0)</f>
        <v>0</v>
      </c>
      <c r="H602" s="0" t="str">
        <f aca="false">INDEX('Materials Master'!$E$2:$E$27,MATCH($C602,'Materials Master'!$A$2:$A$27,0))</f>
        <v>No</v>
      </c>
      <c r="I602" s="0" t="str">
        <f aca="false">IFERROR(INDEX(Areas!$C$2:$C$6,MATCH($A602,Areas!$B$2:$B$6,0)),"")</f>
        <v>Rest of Building</v>
      </c>
      <c r="J602" s="0" t="n">
        <f aca="false">IF(IF($B602="Trash",INDEX('Materials Master'!$F$2:$F$27,MATCH($C602,'Materials Master'!$A$2:$A$27,0)),IF($B602="GMPC Recycling",INDEX('Materials Master'!$G$2:$G$27,MATCH($C602,'Materials Master'!$A$2:$A$27,0)),IF($B602="Organics Recycling",INDEX('Materials Master'!$H$2:$H$27,MATCH($C602,'Materials Master'!$A$2:$A$27,0)),IF($B602="Cardboard Recycling",INDEX('Materials Master'!$I$2:$I$27,MATCH($C602,'Materials Master'!$A$2:$A$27,0)),IF($B602="Paper Recycling",INDEX('Materials Master'!$J$2:$J$27,MATCH($C602,'Materials Master'!$A$2:$A$27,0)),IF($B602="Terracycle",INDEX('Materials Master'!$K$2:$K$27,MATCH($C602,'Materials Master'!$A$2:$A$27,0)),"No"))))))="Yes",1,0)</f>
        <v>0</v>
      </c>
    </row>
    <row r="603" customFormat="false" ht="15" hidden="false" customHeight="false" outlineLevel="0" collapsed="false">
      <c r="A603" s="0" t="s">
        <v>99</v>
      </c>
      <c r="B603" s="0" t="s">
        <v>108</v>
      </c>
      <c r="C603" s="0" t="s">
        <v>35</v>
      </c>
      <c r="D603" s="0" t="str">
        <f aca="false">IFERROR(INDEX('Materials Master'!$B$2:$B$27,MATCH($C603,'Materials Master'!$A$2:$A$27,0)),"")</f>
        <v>Mixed Paper</v>
      </c>
      <c r="E603" s="0" t="str">
        <f aca="false">IFERROR(INDEX('Materials Master'!$C$2:$C$27,MATCH($C603,'Materials Master'!$A$2:$A$27,0)),"")</f>
        <v>Fibers</v>
      </c>
      <c r="F603" s="0" t="n">
        <f aca="false">(SUMIFS(Fact_PreSortWeights!$E$2:$E$15,Fact_PreSortWeights!$C$2:$C$15,$A603,Fact_PreSortWeights!$B$2:$B$15,$B603,Fact_PreSortWeights!$F$2:$F$15,$C603))+(SUMIFS(Fact_SortedWeights!$E$2:$E$6,Fact_SortedWeights!$C$2:$C$6,$A603,Fact_SortedWeights!$B$2:$B$6,$B603,Fact_SortedWeights!$D$2:$D$6,$C603,Fact_SortedWeights!$L$2:$L$6,"Yes"))+IF((SUMIFS(Fact_SortedWeights!$E$2:$E$6,Fact_SortedWeights!$C$2:$C$6,$A603,Fact_SortedWeights!$B$2:$B$6,$B603,Fact_SortedWeights!$L$2:$L$6,"No"))=0,0,(SUMIFS(Fact_SortedWeights!$E$2:$E$6,Fact_SortedWeights!$C$2:$C$6,$A603,Fact_SortedWeights!$B$2:$B$6,$B603,Fact_SortedWeights!$D$2:$D$6,$C603,Fact_SortedWeights!$L$2:$L$6,"No"))/(SUMIFS(Fact_SortedWeights!$E$2:$E$6,Fact_SortedWeights!$C$2:$C$6,$A603,Fact_SortedWeights!$B$2:$B$6,$B603,Fact_SortedWeights!$L$2:$L$6,"No"))*((SUMIFS(Fact_PreSortWeights!$E$2:$E$15,Fact_PreSortWeights!$C$2:$C$15,$A603,Fact_PreSortWeights!$B$2:$B$15,$B603,Fact_PreSortWeights!$F$2:$F$15,""))-(SUMIFS(Fact_SortedWeights!$E$2:$E$6,Fact_SortedWeights!$C$2:$C$6,$A603,Fact_SortedWeights!$B$2:$B$6,$B603,Fact_SortedWeights!$L$2:$L$6,"Yes"))))</f>
        <v>0</v>
      </c>
      <c r="G603" s="0" t="n">
        <f aca="false">IF(AND(IF($B603="Trash",INDEX('Materials Master'!$F$2:$F$27,MATCH($C603,'Materials Master'!$A$2:$A$27,0)),IF($B603="GMPC Recycling",INDEX('Materials Master'!$G$2:$G$27,MATCH($C603,'Materials Master'!$A$2:$A$27,0)),IF($B603="Organics Recycling",INDEX('Materials Master'!$H$2:$H$27,MATCH($C603,'Materials Master'!$A$2:$A$27,0)),IF($B603="Cardboard Recycling",INDEX('Materials Master'!$I$2:$I$27,MATCH($C603,'Materials Master'!$A$2:$A$27,0)),IF($B603="Paper Recycling",INDEX('Materials Master'!$J$2:$J$27,MATCH($C603,'Materials Master'!$A$2:$A$27,0)),IF($B603="Terracycle",INDEX('Materials Master'!$K$2:$K$27,MATCH($C603,'Materials Master'!$A$2:$A$27,0)),"No"))))))="Yes",INDEX('Materials Master'!$E$2:$E$27,MATCH($C603,'Materials Master'!$A$2:$A$27,0))="Yes",$B603&lt;&gt;"Trash"),1,0)</f>
        <v>0</v>
      </c>
      <c r="H603" s="0" t="str">
        <f aca="false">INDEX('Materials Master'!$E$2:$E$27,MATCH($C603,'Materials Master'!$A$2:$A$27,0))</f>
        <v>Yes</v>
      </c>
      <c r="I603" s="0" t="str">
        <f aca="false">IFERROR(INDEX(Areas!$C$2:$C$6,MATCH($A603,Areas!$B$2:$B$6,0)),"")</f>
        <v>Rest of Building</v>
      </c>
      <c r="J603" s="0" t="n">
        <f aca="false">IF(IF($B603="Trash",INDEX('Materials Master'!$F$2:$F$27,MATCH($C603,'Materials Master'!$A$2:$A$27,0)),IF($B603="GMPC Recycling",INDEX('Materials Master'!$G$2:$G$27,MATCH($C603,'Materials Master'!$A$2:$A$27,0)),IF($B603="Organics Recycling",INDEX('Materials Master'!$H$2:$H$27,MATCH($C603,'Materials Master'!$A$2:$A$27,0)),IF($B603="Cardboard Recycling",INDEX('Materials Master'!$I$2:$I$27,MATCH($C603,'Materials Master'!$A$2:$A$27,0)),IF($B603="Paper Recycling",INDEX('Materials Master'!$J$2:$J$27,MATCH($C603,'Materials Master'!$A$2:$A$27,0)),IF($B603="Terracycle",INDEX('Materials Master'!$K$2:$K$27,MATCH($C603,'Materials Master'!$A$2:$A$27,0)),"No"))))))="Yes",1,0)</f>
        <v>0</v>
      </c>
    </row>
    <row r="604" customFormat="false" ht="15" hidden="false" customHeight="false" outlineLevel="0" collapsed="false">
      <c r="A604" s="0" t="s">
        <v>99</v>
      </c>
      <c r="B604" s="0" t="s">
        <v>108</v>
      </c>
      <c r="C604" s="0" t="s">
        <v>37</v>
      </c>
      <c r="D604" s="0" t="str">
        <f aca="false">IFERROR(INDEX('Materials Master'!$B$2:$B$27,MATCH($C604,'Materials Master'!$A$2:$A$27,0)),"")</f>
        <v>Soiled Paper</v>
      </c>
      <c r="E604" s="0" t="str">
        <f aca="false">IFERROR(INDEX('Materials Master'!$C$2:$C$27,MATCH($C604,'Materials Master'!$A$2:$A$27,0)),"")</f>
        <v>Fibers</v>
      </c>
      <c r="F604" s="0" t="n">
        <f aca="false">(SUMIFS(Fact_PreSortWeights!$E$2:$E$15,Fact_PreSortWeights!$C$2:$C$15,$A604,Fact_PreSortWeights!$B$2:$B$15,$B604,Fact_PreSortWeights!$F$2:$F$15,$C604))+(SUMIFS(Fact_SortedWeights!$E$2:$E$6,Fact_SortedWeights!$C$2:$C$6,$A604,Fact_SortedWeights!$B$2:$B$6,$B604,Fact_SortedWeights!$D$2:$D$6,$C604,Fact_SortedWeights!$L$2:$L$6,"Yes"))+IF((SUMIFS(Fact_SortedWeights!$E$2:$E$6,Fact_SortedWeights!$C$2:$C$6,$A604,Fact_SortedWeights!$B$2:$B$6,$B604,Fact_SortedWeights!$L$2:$L$6,"No"))=0,0,(SUMIFS(Fact_SortedWeights!$E$2:$E$6,Fact_SortedWeights!$C$2:$C$6,$A604,Fact_SortedWeights!$B$2:$B$6,$B604,Fact_SortedWeights!$D$2:$D$6,$C604,Fact_SortedWeights!$L$2:$L$6,"No"))/(SUMIFS(Fact_SortedWeights!$E$2:$E$6,Fact_SortedWeights!$C$2:$C$6,$A604,Fact_SortedWeights!$B$2:$B$6,$B604,Fact_SortedWeights!$L$2:$L$6,"No"))*((SUMIFS(Fact_PreSortWeights!$E$2:$E$15,Fact_PreSortWeights!$C$2:$C$15,$A604,Fact_PreSortWeights!$B$2:$B$15,$B604,Fact_PreSortWeights!$F$2:$F$15,""))-(SUMIFS(Fact_SortedWeights!$E$2:$E$6,Fact_SortedWeights!$C$2:$C$6,$A604,Fact_SortedWeights!$B$2:$B$6,$B604,Fact_SortedWeights!$L$2:$L$6,"Yes"))))</f>
        <v>0</v>
      </c>
      <c r="G604" s="0" t="n">
        <f aca="false">IF(AND(IF($B604="Trash",INDEX('Materials Master'!$F$2:$F$27,MATCH($C604,'Materials Master'!$A$2:$A$27,0)),IF($B604="GMPC Recycling",INDEX('Materials Master'!$G$2:$G$27,MATCH($C604,'Materials Master'!$A$2:$A$27,0)),IF($B604="Organics Recycling",INDEX('Materials Master'!$H$2:$H$27,MATCH($C604,'Materials Master'!$A$2:$A$27,0)),IF($B604="Cardboard Recycling",INDEX('Materials Master'!$I$2:$I$27,MATCH($C604,'Materials Master'!$A$2:$A$27,0)),IF($B604="Paper Recycling",INDEX('Materials Master'!$J$2:$J$27,MATCH($C604,'Materials Master'!$A$2:$A$27,0)),IF($B604="Terracycle",INDEX('Materials Master'!$K$2:$K$27,MATCH($C604,'Materials Master'!$A$2:$A$27,0)),"No"))))))="Yes",INDEX('Materials Master'!$E$2:$E$27,MATCH($C604,'Materials Master'!$A$2:$A$27,0))="Yes",$B604&lt;&gt;"Trash"),1,0)</f>
        <v>0</v>
      </c>
      <c r="H604" s="0" t="str">
        <f aca="false">INDEX('Materials Master'!$E$2:$E$27,MATCH($C604,'Materials Master'!$A$2:$A$27,0))</f>
        <v>No</v>
      </c>
      <c r="I604" s="0" t="str">
        <f aca="false">IFERROR(INDEX(Areas!$C$2:$C$6,MATCH($A604,Areas!$B$2:$B$6,0)),"")</f>
        <v>Rest of Building</v>
      </c>
      <c r="J604" s="0" t="n">
        <f aca="false">IF(IF($B604="Trash",INDEX('Materials Master'!$F$2:$F$27,MATCH($C604,'Materials Master'!$A$2:$A$27,0)),IF($B604="GMPC Recycling",INDEX('Materials Master'!$G$2:$G$27,MATCH($C604,'Materials Master'!$A$2:$A$27,0)),IF($B604="Organics Recycling",INDEX('Materials Master'!$H$2:$H$27,MATCH($C604,'Materials Master'!$A$2:$A$27,0)),IF($B604="Cardboard Recycling",INDEX('Materials Master'!$I$2:$I$27,MATCH($C604,'Materials Master'!$A$2:$A$27,0)),IF($B604="Paper Recycling",INDEX('Materials Master'!$J$2:$J$27,MATCH($C604,'Materials Master'!$A$2:$A$27,0)),IF($B604="Terracycle",INDEX('Materials Master'!$K$2:$K$27,MATCH($C604,'Materials Master'!$A$2:$A$27,0)),"No"))))))="Yes",1,0)</f>
        <v>0</v>
      </c>
    </row>
    <row r="605" customFormat="false" ht="15" hidden="false" customHeight="false" outlineLevel="0" collapsed="false">
      <c r="A605" s="0" t="s">
        <v>99</v>
      </c>
      <c r="B605" s="0" t="s">
        <v>108</v>
      </c>
      <c r="C605" s="0" t="s">
        <v>39</v>
      </c>
      <c r="D605" s="0" t="str">
        <f aca="false">IFERROR(INDEX('Materials Master'!$B$2:$B$27,MATCH($C605,'Materials Master'!$A$2:$A$27,0)),"")</f>
        <v>Beverage Cartons</v>
      </c>
      <c r="E605" s="0" t="str">
        <f aca="false">IFERROR(INDEX('Materials Master'!$C$2:$C$27,MATCH($C605,'Materials Master'!$A$2:$A$27,0)),"")</f>
        <v>Fibers</v>
      </c>
      <c r="F605" s="0" t="n">
        <f aca="false">(SUMIFS(Fact_PreSortWeights!$E$2:$E$15,Fact_PreSortWeights!$C$2:$C$15,$A605,Fact_PreSortWeights!$B$2:$B$15,$B605,Fact_PreSortWeights!$F$2:$F$15,$C605))+(SUMIFS(Fact_SortedWeights!$E$2:$E$6,Fact_SortedWeights!$C$2:$C$6,$A605,Fact_SortedWeights!$B$2:$B$6,$B605,Fact_SortedWeights!$D$2:$D$6,$C605,Fact_SortedWeights!$L$2:$L$6,"Yes"))+IF((SUMIFS(Fact_SortedWeights!$E$2:$E$6,Fact_SortedWeights!$C$2:$C$6,$A605,Fact_SortedWeights!$B$2:$B$6,$B605,Fact_SortedWeights!$L$2:$L$6,"No"))=0,0,(SUMIFS(Fact_SortedWeights!$E$2:$E$6,Fact_SortedWeights!$C$2:$C$6,$A605,Fact_SortedWeights!$B$2:$B$6,$B605,Fact_SortedWeights!$D$2:$D$6,$C605,Fact_SortedWeights!$L$2:$L$6,"No"))/(SUMIFS(Fact_SortedWeights!$E$2:$E$6,Fact_SortedWeights!$C$2:$C$6,$A605,Fact_SortedWeights!$B$2:$B$6,$B605,Fact_SortedWeights!$L$2:$L$6,"No"))*((SUMIFS(Fact_PreSortWeights!$E$2:$E$15,Fact_PreSortWeights!$C$2:$C$15,$A605,Fact_PreSortWeights!$B$2:$B$15,$B605,Fact_PreSortWeights!$F$2:$F$15,""))-(SUMIFS(Fact_SortedWeights!$E$2:$E$6,Fact_SortedWeights!$C$2:$C$6,$A605,Fact_SortedWeights!$B$2:$B$6,$B605,Fact_SortedWeights!$L$2:$L$6,"Yes"))))</f>
        <v>0</v>
      </c>
      <c r="G605" s="0" t="n">
        <f aca="false">IF(AND(IF($B605="Trash",INDEX('Materials Master'!$F$2:$F$27,MATCH($C605,'Materials Master'!$A$2:$A$27,0)),IF($B605="GMPC Recycling",INDEX('Materials Master'!$G$2:$G$27,MATCH($C605,'Materials Master'!$A$2:$A$27,0)),IF($B605="Organics Recycling",INDEX('Materials Master'!$H$2:$H$27,MATCH($C605,'Materials Master'!$A$2:$A$27,0)),IF($B605="Cardboard Recycling",INDEX('Materials Master'!$I$2:$I$27,MATCH($C605,'Materials Master'!$A$2:$A$27,0)),IF($B605="Paper Recycling",INDEX('Materials Master'!$J$2:$J$27,MATCH($C605,'Materials Master'!$A$2:$A$27,0)),IF($B605="Terracycle",INDEX('Materials Master'!$K$2:$K$27,MATCH($C605,'Materials Master'!$A$2:$A$27,0)),"No"))))))="Yes",INDEX('Materials Master'!$E$2:$E$27,MATCH($C605,'Materials Master'!$A$2:$A$27,0))="Yes",$B605&lt;&gt;"Trash"),1,0)</f>
        <v>0</v>
      </c>
      <c r="H605" s="0" t="str">
        <f aca="false">INDEX('Materials Master'!$E$2:$E$27,MATCH($C605,'Materials Master'!$A$2:$A$27,0))</f>
        <v>Yes</v>
      </c>
      <c r="I605" s="0" t="str">
        <f aca="false">IFERROR(INDEX(Areas!$C$2:$C$6,MATCH($A605,Areas!$B$2:$B$6,0)),"")</f>
        <v>Rest of Building</v>
      </c>
      <c r="J605" s="0" t="n">
        <f aca="false">IF(IF($B605="Trash",INDEX('Materials Master'!$F$2:$F$27,MATCH($C605,'Materials Master'!$A$2:$A$27,0)),IF($B605="GMPC Recycling",INDEX('Materials Master'!$G$2:$G$27,MATCH($C605,'Materials Master'!$A$2:$A$27,0)),IF($B605="Organics Recycling",INDEX('Materials Master'!$H$2:$H$27,MATCH($C605,'Materials Master'!$A$2:$A$27,0)),IF($B605="Cardboard Recycling",INDEX('Materials Master'!$I$2:$I$27,MATCH($C605,'Materials Master'!$A$2:$A$27,0)),IF($B605="Paper Recycling",INDEX('Materials Master'!$J$2:$J$27,MATCH($C605,'Materials Master'!$A$2:$A$27,0)),IF($B605="Terracycle",INDEX('Materials Master'!$K$2:$K$27,MATCH($C605,'Materials Master'!$A$2:$A$27,0)),"No"))))))="Yes",1,0)</f>
        <v>0</v>
      </c>
    </row>
    <row r="606" customFormat="false" ht="15" hidden="false" customHeight="false" outlineLevel="0" collapsed="false">
      <c r="A606" s="0" t="s">
        <v>99</v>
      </c>
      <c r="B606" s="0" t="s">
        <v>108</v>
      </c>
      <c r="C606" s="0" t="s">
        <v>41</v>
      </c>
      <c r="D606" s="0" t="str">
        <f aca="false">IFERROR(INDEX('Materials Master'!$B$2:$B$27,MATCH($C606,'Materials Master'!$A$2:$A$27,0)),"")</f>
        <v>Soiled Beverage Cartons</v>
      </c>
      <c r="E606" s="0" t="str">
        <f aca="false">IFERROR(INDEX('Materials Master'!$C$2:$C$27,MATCH($C606,'Materials Master'!$A$2:$A$27,0)),"")</f>
        <v>Fibers</v>
      </c>
      <c r="F606" s="0" t="n">
        <f aca="false">(SUMIFS(Fact_PreSortWeights!$E$2:$E$15,Fact_PreSortWeights!$C$2:$C$15,$A606,Fact_PreSortWeights!$B$2:$B$15,$B606,Fact_PreSortWeights!$F$2:$F$15,$C606))+(SUMIFS(Fact_SortedWeights!$E$2:$E$6,Fact_SortedWeights!$C$2:$C$6,$A606,Fact_SortedWeights!$B$2:$B$6,$B606,Fact_SortedWeights!$D$2:$D$6,$C606,Fact_SortedWeights!$L$2:$L$6,"Yes"))+IF((SUMIFS(Fact_SortedWeights!$E$2:$E$6,Fact_SortedWeights!$C$2:$C$6,$A606,Fact_SortedWeights!$B$2:$B$6,$B606,Fact_SortedWeights!$L$2:$L$6,"No"))=0,0,(SUMIFS(Fact_SortedWeights!$E$2:$E$6,Fact_SortedWeights!$C$2:$C$6,$A606,Fact_SortedWeights!$B$2:$B$6,$B606,Fact_SortedWeights!$D$2:$D$6,$C606,Fact_SortedWeights!$L$2:$L$6,"No"))/(SUMIFS(Fact_SortedWeights!$E$2:$E$6,Fact_SortedWeights!$C$2:$C$6,$A606,Fact_SortedWeights!$B$2:$B$6,$B606,Fact_SortedWeights!$L$2:$L$6,"No"))*((SUMIFS(Fact_PreSortWeights!$E$2:$E$15,Fact_PreSortWeights!$C$2:$C$15,$A606,Fact_PreSortWeights!$B$2:$B$15,$B606,Fact_PreSortWeights!$F$2:$F$15,""))-(SUMIFS(Fact_SortedWeights!$E$2:$E$6,Fact_SortedWeights!$C$2:$C$6,$A606,Fact_SortedWeights!$B$2:$B$6,$B606,Fact_SortedWeights!$L$2:$L$6,"Yes"))))</f>
        <v>0</v>
      </c>
      <c r="G606" s="0" t="n">
        <f aca="false">IF(AND(IF($B606="Trash",INDEX('Materials Master'!$F$2:$F$27,MATCH($C606,'Materials Master'!$A$2:$A$27,0)),IF($B606="GMPC Recycling",INDEX('Materials Master'!$G$2:$G$27,MATCH($C606,'Materials Master'!$A$2:$A$27,0)),IF($B606="Organics Recycling",INDEX('Materials Master'!$H$2:$H$27,MATCH($C606,'Materials Master'!$A$2:$A$27,0)),IF($B606="Cardboard Recycling",INDEX('Materials Master'!$I$2:$I$27,MATCH($C606,'Materials Master'!$A$2:$A$27,0)),IF($B606="Paper Recycling",INDEX('Materials Master'!$J$2:$J$27,MATCH($C606,'Materials Master'!$A$2:$A$27,0)),IF($B606="Terracycle",INDEX('Materials Master'!$K$2:$K$27,MATCH($C606,'Materials Master'!$A$2:$A$27,0)),"No"))))))="Yes",INDEX('Materials Master'!$E$2:$E$27,MATCH($C606,'Materials Master'!$A$2:$A$27,0))="Yes",$B606&lt;&gt;"Trash"),1,0)</f>
        <v>0</v>
      </c>
      <c r="H606" s="0" t="str">
        <f aca="false">INDEX('Materials Master'!$E$2:$E$27,MATCH($C606,'Materials Master'!$A$2:$A$27,0))</f>
        <v>No</v>
      </c>
      <c r="I606" s="0" t="str">
        <f aca="false">IFERROR(INDEX(Areas!$C$2:$C$6,MATCH($A606,Areas!$B$2:$B$6,0)),"")</f>
        <v>Rest of Building</v>
      </c>
      <c r="J606" s="0" t="n">
        <f aca="false">IF(IF($B606="Trash",INDEX('Materials Master'!$F$2:$F$27,MATCH($C606,'Materials Master'!$A$2:$A$27,0)),IF($B606="GMPC Recycling",INDEX('Materials Master'!$G$2:$G$27,MATCH($C606,'Materials Master'!$A$2:$A$27,0)),IF($B606="Organics Recycling",INDEX('Materials Master'!$H$2:$H$27,MATCH($C606,'Materials Master'!$A$2:$A$27,0)),IF($B606="Cardboard Recycling",INDEX('Materials Master'!$I$2:$I$27,MATCH($C606,'Materials Master'!$A$2:$A$27,0)),IF($B606="Paper Recycling",INDEX('Materials Master'!$J$2:$J$27,MATCH($C606,'Materials Master'!$A$2:$A$27,0)),IF($B606="Terracycle",INDEX('Materials Master'!$K$2:$K$27,MATCH($C606,'Materials Master'!$A$2:$A$27,0)),"No"))))))="Yes",1,0)</f>
        <v>0</v>
      </c>
    </row>
    <row r="607" customFormat="false" ht="15" hidden="false" customHeight="false" outlineLevel="0" collapsed="false">
      <c r="A607" s="0" t="s">
        <v>99</v>
      </c>
      <c r="B607" s="0" t="s">
        <v>108</v>
      </c>
      <c r="C607" s="0" t="s">
        <v>43</v>
      </c>
      <c r="D607" s="0" t="str">
        <f aca="false">IFERROR(INDEX('Materials Master'!$B$2:$B$27,MATCH($C607,'Materials Master'!$A$2:$A$27,0)),"")</f>
        <v>Paper Cups / Other Coated Paper Containers</v>
      </c>
      <c r="E607" s="0" t="str">
        <f aca="false">IFERROR(INDEX('Materials Master'!$C$2:$C$27,MATCH($C607,'Materials Master'!$A$2:$A$27,0)),"")</f>
        <v>Fibers</v>
      </c>
      <c r="F607" s="0" t="n">
        <f aca="false">(SUMIFS(Fact_PreSortWeights!$E$2:$E$15,Fact_PreSortWeights!$C$2:$C$15,$A607,Fact_PreSortWeights!$B$2:$B$15,$B607,Fact_PreSortWeights!$F$2:$F$15,$C607))+(SUMIFS(Fact_SortedWeights!$E$2:$E$6,Fact_SortedWeights!$C$2:$C$6,$A607,Fact_SortedWeights!$B$2:$B$6,$B607,Fact_SortedWeights!$D$2:$D$6,$C607,Fact_SortedWeights!$L$2:$L$6,"Yes"))+IF((SUMIFS(Fact_SortedWeights!$E$2:$E$6,Fact_SortedWeights!$C$2:$C$6,$A607,Fact_SortedWeights!$B$2:$B$6,$B607,Fact_SortedWeights!$L$2:$L$6,"No"))=0,0,(SUMIFS(Fact_SortedWeights!$E$2:$E$6,Fact_SortedWeights!$C$2:$C$6,$A607,Fact_SortedWeights!$B$2:$B$6,$B607,Fact_SortedWeights!$D$2:$D$6,$C607,Fact_SortedWeights!$L$2:$L$6,"No"))/(SUMIFS(Fact_SortedWeights!$E$2:$E$6,Fact_SortedWeights!$C$2:$C$6,$A607,Fact_SortedWeights!$B$2:$B$6,$B607,Fact_SortedWeights!$L$2:$L$6,"No"))*((SUMIFS(Fact_PreSortWeights!$E$2:$E$15,Fact_PreSortWeights!$C$2:$C$15,$A607,Fact_PreSortWeights!$B$2:$B$15,$B607,Fact_PreSortWeights!$F$2:$F$15,""))-(SUMIFS(Fact_SortedWeights!$E$2:$E$6,Fact_SortedWeights!$C$2:$C$6,$A607,Fact_SortedWeights!$B$2:$B$6,$B607,Fact_SortedWeights!$L$2:$L$6,"Yes"))))</f>
        <v>0</v>
      </c>
      <c r="G607" s="0" t="n">
        <f aca="false">IF(AND(IF($B607="Trash",INDEX('Materials Master'!$F$2:$F$27,MATCH($C607,'Materials Master'!$A$2:$A$27,0)),IF($B607="GMPC Recycling",INDEX('Materials Master'!$G$2:$G$27,MATCH($C607,'Materials Master'!$A$2:$A$27,0)),IF($B607="Organics Recycling",INDEX('Materials Master'!$H$2:$H$27,MATCH($C607,'Materials Master'!$A$2:$A$27,0)),IF($B607="Cardboard Recycling",INDEX('Materials Master'!$I$2:$I$27,MATCH($C607,'Materials Master'!$A$2:$A$27,0)),IF($B607="Paper Recycling",INDEX('Materials Master'!$J$2:$J$27,MATCH($C607,'Materials Master'!$A$2:$A$27,0)),IF($B607="Terracycle",INDEX('Materials Master'!$K$2:$K$27,MATCH($C607,'Materials Master'!$A$2:$A$27,0)),"No"))))))="Yes",INDEX('Materials Master'!$E$2:$E$27,MATCH($C607,'Materials Master'!$A$2:$A$27,0))="Yes",$B607&lt;&gt;"Trash"),1,0)</f>
        <v>0</v>
      </c>
      <c r="H607" s="0" t="str">
        <f aca="false">INDEX('Materials Master'!$E$2:$E$27,MATCH($C607,'Materials Master'!$A$2:$A$27,0))</f>
        <v>No</v>
      </c>
      <c r="I607" s="0" t="str">
        <f aca="false">IFERROR(INDEX(Areas!$C$2:$C$6,MATCH($A607,Areas!$B$2:$B$6,0)),"")</f>
        <v>Rest of Building</v>
      </c>
      <c r="J607" s="0" t="n">
        <f aca="false">IF(IF($B607="Trash",INDEX('Materials Master'!$F$2:$F$27,MATCH($C607,'Materials Master'!$A$2:$A$27,0)),IF($B607="GMPC Recycling",INDEX('Materials Master'!$G$2:$G$27,MATCH($C607,'Materials Master'!$A$2:$A$27,0)),IF($B607="Organics Recycling",INDEX('Materials Master'!$H$2:$H$27,MATCH($C607,'Materials Master'!$A$2:$A$27,0)),IF($B607="Cardboard Recycling",INDEX('Materials Master'!$I$2:$I$27,MATCH($C607,'Materials Master'!$A$2:$A$27,0)),IF($B607="Paper Recycling",INDEX('Materials Master'!$J$2:$J$27,MATCH($C607,'Materials Master'!$A$2:$A$27,0)),IF($B607="Terracycle",INDEX('Materials Master'!$K$2:$K$27,MATCH($C607,'Materials Master'!$A$2:$A$27,0)),"No"))))))="Yes",1,0)</f>
        <v>0</v>
      </c>
    </row>
    <row r="608" customFormat="false" ht="15" hidden="false" customHeight="false" outlineLevel="0" collapsed="false">
      <c r="A608" s="0" t="s">
        <v>99</v>
      </c>
      <c r="B608" s="0" t="s">
        <v>108</v>
      </c>
      <c r="C608" s="0" t="s">
        <v>45</v>
      </c>
      <c r="D608" s="0" t="str">
        <f aca="false">IFERROR(INDEX('Materials Master'!$B$2:$B$27,MATCH($C608,'Materials Master'!$A$2:$A$27,0)),"")</f>
        <v>Glass Bottles &amp; Jars</v>
      </c>
      <c r="E608" s="0" t="str">
        <f aca="false">IFERROR(INDEX('Materials Master'!$C$2:$C$27,MATCH($C608,'Materials Master'!$A$2:$A$27,0)),"")</f>
        <v>Glass</v>
      </c>
      <c r="F608" s="0" t="n">
        <f aca="false">(SUMIFS(Fact_PreSortWeights!$E$2:$E$15,Fact_PreSortWeights!$C$2:$C$15,$A608,Fact_PreSortWeights!$B$2:$B$15,$B608,Fact_PreSortWeights!$F$2:$F$15,$C608))+(SUMIFS(Fact_SortedWeights!$E$2:$E$6,Fact_SortedWeights!$C$2:$C$6,$A608,Fact_SortedWeights!$B$2:$B$6,$B608,Fact_SortedWeights!$D$2:$D$6,$C608,Fact_SortedWeights!$L$2:$L$6,"Yes"))+IF((SUMIFS(Fact_SortedWeights!$E$2:$E$6,Fact_SortedWeights!$C$2:$C$6,$A608,Fact_SortedWeights!$B$2:$B$6,$B608,Fact_SortedWeights!$L$2:$L$6,"No"))=0,0,(SUMIFS(Fact_SortedWeights!$E$2:$E$6,Fact_SortedWeights!$C$2:$C$6,$A608,Fact_SortedWeights!$B$2:$B$6,$B608,Fact_SortedWeights!$D$2:$D$6,$C608,Fact_SortedWeights!$L$2:$L$6,"No"))/(SUMIFS(Fact_SortedWeights!$E$2:$E$6,Fact_SortedWeights!$C$2:$C$6,$A608,Fact_SortedWeights!$B$2:$B$6,$B608,Fact_SortedWeights!$L$2:$L$6,"No"))*((SUMIFS(Fact_PreSortWeights!$E$2:$E$15,Fact_PreSortWeights!$C$2:$C$15,$A608,Fact_PreSortWeights!$B$2:$B$15,$B608,Fact_PreSortWeights!$F$2:$F$15,""))-(SUMIFS(Fact_SortedWeights!$E$2:$E$6,Fact_SortedWeights!$C$2:$C$6,$A608,Fact_SortedWeights!$B$2:$B$6,$B608,Fact_SortedWeights!$L$2:$L$6,"Yes"))))</f>
        <v>0</v>
      </c>
      <c r="G608" s="0" t="n">
        <f aca="false">IF(AND(IF($B608="Trash",INDEX('Materials Master'!$F$2:$F$27,MATCH($C608,'Materials Master'!$A$2:$A$27,0)),IF($B608="GMPC Recycling",INDEX('Materials Master'!$G$2:$G$27,MATCH($C608,'Materials Master'!$A$2:$A$27,0)),IF($B608="Organics Recycling",INDEX('Materials Master'!$H$2:$H$27,MATCH($C608,'Materials Master'!$A$2:$A$27,0)),IF($B608="Cardboard Recycling",INDEX('Materials Master'!$I$2:$I$27,MATCH($C608,'Materials Master'!$A$2:$A$27,0)),IF($B608="Paper Recycling",INDEX('Materials Master'!$J$2:$J$27,MATCH($C608,'Materials Master'!$A$2:$A$27,0)),IF($B608="Terracycle",INDEX('Materials Master'!$K$2:$K$27,MATCH($C608,'Materials Master'!$A$2:$A$27,0)),"No"))))))="Yes",INDEX('Materials Master'!$E$2:$E$27,MATCH($C608,'Materials Master'!$A$2:$A$27,0))="Yes",$B608&lt;&gt;"Trash"),1,0)</f>
        <v>0</v>
      </c>
      <c r="H608" s="0" t="str">
        <f aca="false">INDEX('Materials Master'!$E$2:$E$27,MATCH($C608,'Materials Master'!$A$2:$A$27,0))</f>
        <v>Yes</v>
      </c>
      <c r="I608" s="0" t="str">
        <f aca="false">IFERROR(INDEX(Areas!$C$2:$C$6,MATCH($A608,Areas!$B$2:$B$6,0)),"")</f>
        <v>Rest of Building</v>
      </c>
      <c r="J608" s="0" t="n">
        <f aca="false">IF(IF($B608="Trash",INDEX('Materials Master'!$F$2:$F$27,MATCH($C608,'Materials Master'!$A$2:$A$27,0)),IF($B608="GMPC Recycling",INDEX('Materials Master'!$G$2:$G$27,MATCH($C608,'Materials Master'!$A$2:$A$27,0)),IF($B608="Organics Recycling",INDEX('Materials Master'!$H$2:$H$27,MATCH($C608,'Materials Master'!$A$2:$A$27,0)),IF($B608="Cardboard Recycling",INDEX('Materials Master'!$I$2:$I$27,MATCH($C608,'Materials Master'!$A$2:$A$27,0)),IF($B608="Paper Recycling",INDEX('Materials Master'!$J$2:$J$27,MATCH($C608,'Materials Master'!$A$2:$A$27,0)),IF($B608="Terracycle",INDEX('Materials Master'!$K$2:$K$27,MATCH($C608,'Materials Master'!$A$2:$A$27,0)),"No"))))))="Yes",1,0)</f>
        <v>0</v>
      </c>
    </row>
    <row r="609" customFormat="false" ht="15" hidden="false" customHeight="false" outlineLevel="0" collapsed="false">
      <c r="A609" s="0" t="s">
        <v>99</v>
      </c>
      <c r="B609" s="0" t="s">
        <v>108</v>
      </c>
      <c r="C609" s="0" t="s">
        <v>48</v>
      </c>
      <c r="D609" s="0" t="str">
        <f aca="false">IFERROR(INDEX('Materials Master'!$B$2:$B$27,MATCH($C609,'Materials Master'!$A$2:$A$27,0)),"")</f>
        <v>Soiled Glass</v>
      </c>
      <c r="E609" s="0" t="str">
        <f aca="false">IFERROR(INDEX('Materials Master'!$C$2:$C$27,MATCH($C609,'Materials Master'!$A$2:$A$27,0)),"")</f>
        <v>Glass</v>
      </c>
      <c r="F609" s="0" t="n">
        <f aca="false">(SUMIFS(Fact_PreSortWeights!$E$2:$E$15,Fact_PreSortWeights!$C$2:$C$15,$A609,Fact_PreSortWeights!$B$2:$B$15,$B609,Fact_PreSortWeights!$F$2:$F$15,$C609))+(SUMIFS(Fact_SortedWeights!$E$2:$E$6,Fact_SortedWeights!$C$2:$C$6,$A609,Fact_SortedWeights!$B$2:$B$6,$B609,Fact_SortedWeights!$D$2:$D$6,$C609,Fact_SortedWeights!$L$2:$L$6,"Yes"))+IF((SUMIFS(Fact_SortedWeights!$E$2:$E$6,Fact_SortedWeights!$C$2:$C$6,$A609,Fact_SortedWeights!$B$2:$B$6,$B609,Fact_SortedWeights!$L$2:$L$6,"No"))=0,0,(SUMIFS(Fact_SortedWeights!$E$2:$E$6,Fact_SortedWeights!$C$2:$C$6,$A609,Fact_SortedWeights!$B$2:$B$6,$B609,Fact_SortedWeights!$D$2:$D$6,$C609,Fact_SortedWeights!$L$2:$L$6,"No"))/(SUMIFS(Fact_SortedWeights!$E$2:$E$6,Fact_SortedWeights!$C$2:$C$6,$A609,Fact_SortedWeights!$B$2:$B$6,$B609,Fact_SortedWeights!$L$2:$L$6,"No"))*((SUMIFS(Fact_PreSortWeights!$E$2:$E$15,Fact_PreSortWeights!$C$2:$C$15,$A609,Fact_PreSortWeights!$B$2:$B$15,$B609,Fact_PreSortWeights!$F$2:$F$15,""))-(SUMIFS(Fact_SortedWeights!$E$2:$E$6,Fact_SortedWeights!$C$2:$C$6,$A609,Fact_SortedWeights!$B$2:$B$6,$B609,Fact_SortedWeights!$L$2:$L$6,"Yes"))))</f>
        <v>0</v>
      </c>
      <c r="G609" s="0" t="n">
        <f aca="false">IF(AND(IF($B609="Trash",INDEX('Materials Master'!$F$2:$F$27,MATCH($C609,'Materials Master'!$A$2:$A$27,0)),IF($B609="GMPC Recycling",INDEX('Materials Master'!$G$2:$G$27,MATCH($C609,'Materials Master'!$A$2:$A$27,0)),IF($B609="Organics Recycling",INDEX('Materials Master'!$H$2:$H$27,MATCH($C609,'Materials Master'!$A$2:$A$27,0)),IF($B609="Cardboard Recycling",INDEX('Materials Master'!$I$2:$I$27,MATCH($C609,'Materials Master'!$A$2:$A$27,0)),IF($B609="Paper Recycling",INDEX('Materials Master'!$J$2:$J$27,MATCH($C609,'Materials Master'!$A$2:$A$27,0)),IF($B609="Terracycle",INDEX('Materials Master'!$K$2:$K$27,MATCH($C609,'Materials Master'!$A$2:$A$27,0)),"No"))))))="Yes",INDEX('Materials Master'!$E$2:$E$27,MATCH($C609,'Materials Master'!$A$2:$A$27,0))="Yes",$B609&lt;&gt;"Trash"),1,0)</f>
        <v>0</v>
      </c>
      <c r="H609" s="0" t="str">
        <f aca="false">INDEX('Materials Master'!$E$2:$E$27,MATCH($C609,'Materials Master'!$A$2:$A$27,0))</f>
        <v>No</v>
      </c>
      <c r="I609" s="0" t="str">
        <f aca="false">IFERROR(INDEX(Areas!$C$2:$C$6,MATCH($A609,Areas!$B$2:$B$6,0)),"")</f>
        <v>Rest of Building</v>
      </c>
      <c r="J609" s="0" t="n">
        <f aca="false">IF(IF($B609="Trash",INDEX('Materials Master'!$F$2:$F$27,MATCH($C609,'Materials Master'!$A$2:$A$27,0)),IF($B609="GMPC Recycling",INDEX('Materials Master'!$G$2:$G$27,MATCH($C609,'Materials Master'!$A$2:$A$27,0)),IF($B609="Organics Recycling",INDEX('Materials Master'!$H$2:$H$27,MATCH($C609,'Materials Master'!$A$2:$A$27,0)),IF($B609="Cardboard Recycling",INDEX('Materials Master'!$I$2:$I$27,MATCH($C609,'Materials Master'!$A$2:$A$27,0)),IF($B609="Paper Recycling",INDEX('Materials Master'!$J$2:$J$27,MATCH($C609,'Materials Master'!$A$2:$A$27,0)),IF($B609="Terracycle",INDEX('Materials Master'!$K$2:$K$27,MATCH($C609,'Materials Master'!$A$2:$A$27,0)),"No"))))))="Yes",1,0)</f>
        <v>0</v>
      </c>
    </row>
    <row r="610" customFormat="false" ht="15" hidden="false" customHeight="false" outlineLevel="0" collapsed="false">
      <c r="A610" s="0" t="s">
        <v>99</v>
      </c>
      <c r="B610" s="0" t="s">
        <v>108</v>
      </c>
      <c r="C610" s="0" t="s">
        <v>50</v>
      </c>
      <c r="D610" s="0" t="str">
        <f aca="false">IFERROR(INDEX('Materials Master'!$B$2:$B$27,MATCH($C610,'Materials Master'!$A$2:$A$27,0)),"")</f>
        <v>Aluminum &amp; Bi-Metal Containers</v>
      </c>
      <c r="E610" s="0" t="str">
        <f aca="false">IFERROR(INDEX('Materials Master'!$C$2:$C$27,MATCH($C610,'Materials Master'!$A$2:$A$27,0)),"")</f>
        <v>Metals</v>
      </c>
      <c r="F610" s="0" t="n">
        <f aca="false">(SUMIFS(Fact_PreSortWeights!$E$2:$E$15,Fact_PreSortWeights!$C$2:$C$15,$A610,Fact_PreSortWeights!$B$2:$B$15,$B610,Fact_PreSortWeights!$F$2:$F$15,$C610))+(SUMIFS(Fact_SortedWeights!$E$2:$E$6,Fact_SortedWeights!$C$2:$C$6,$A610,Fact_SortedWeights!$B$2:$B$6,$B610,Fact_SortedWeights!$D$2:$D$6,$C610,Fact_SortedWeights!$L$2:$L$6,"Yes"))+IF((SUMIFS(Fact_SortedWeights!$E$2:$E$6,Fact_SortedWeights!$C$2:$C$6,$A610,Fact_SortedWeights!$B$2:$B$6,$B610,Fact_SortedWeights!$L$2:$L$6,"No"))=0,0,(SUMIFS(Fact_SortedWeights!$E$2:$E$6,Fact_SortedWeights!$C$2:$C$6,$A610,Fact_SortedWeights!$B$2:$B$6,$B610,Fact_SortedWeights!$D$2:$D$6,$C610,Fact_SortedWeights!$L$2:$L$6,"No"))/(SUMIFS(Fact_SortedWeights!$E$2:$E$6,Fact_SortedWeights!$C$2:$C$6,$A610,Fact_SortedWeights!$B$2:$B$6,$B610,Fact_SortedWeights!$L$2:$L$6,"No"))*((SUMIFS(Fact_PreSortWeights!$E$2:$E$15,Fact_PreSortWeights!$C$2:$C$15,$A610,Fact_PreSortWeights!$B$2:$B$15,$B610,Fact_PreSortWeights!$F$2:$F$15,""))-(SUMIFS(Fact_SortedWeights!$E$2:$E$6,Fact_SortedWeights!$C$2:$C$6,$A610,Fact_SortedWeights!$B$2:$B$6,$B610,Fact_SortedWeights!$L$2:$L$6,"Yes"))))</f>
        <v>0</v>
      </c>
      <c r="G610" s="0" t="n">
        <f aca="false">IF(AND(IF($B610="Trash",INDEX('Materials Master'!$F$2:$F$27,MATCH($C610,'Materials Master'!$A$2:$A$27,0)),IF($B610="GMPC Recycling",INDEX('Materials Master'!$G$2:$G$27,MATCH($C610,'Materials Master'!$A$2:$A$27,0)),IF($B610="Organics Recycling",INDEX('Materials Master'!$H$2:$H$27,MATCH($C610,'Materials Master'!$A$2:$A$27,0)),IF($B610="Cardboard Recycling",INDEX('Materials Master'!$I$2:$I$27,MATCH($C610,'Materials Master'!$A$2:$A$27,0)),IF($B610="Paper Recycling",INDEX('Materials Master'!$J$2:$J$27,MATCH($C610,'Materials Master'!$A$2:$A$27,0)),IF($B610="Terracycle",INDEX('Materials Master'!$K$2:$K$27,MATCH($C610,'Materials Master'!$A$2:$A$27,0)),"No"))))))="Yes",INDEX('Materials Master'!$E$2:$E$27,MATCH($C610,'Materials Master'!$A$2:$A$27,0))="Yes",$B610&lt;&gt;"Trash"),1,0)</f>
        <v>0</v>
      </c>
      <c r="H610" s="0" t="str">
        <f aca="false">INDEX('Materials Master'!$E$2:$E$27,MATCH($C610,'Materials Master'!$A$2:$A$27,0))</f>
        <v>Yes</v>
      </c>
      <c r="I610" s="0" t="str">
        <f aca="false">IFERROR(INDEX(Areas!$C$2:$C$6,MATCH($A610,Areas!$B$2:$B$6,0)),"")</f>
        <v>Rest of Building</v>
      </c>
      <c r="J610" s="0" t="n">
        <f aca="false">IF(IF($B610="Trash",INDEX('Materials Master'!$F$2:$F$27,MATCH($C610,'Materials Master'!$A$2:$A$27,0)),IF($B610="GMPC Recycling",INDEX('Materials Master'!$G$2:$G$27,MATCH($C610,'Materials Master'!$A$2:$A$27,0)),IF($B610="Organics Recycling",INDEX('Materials Master'!$H$2:$H$27,MATCH($C610,'Materials Master'!$A$2:$A$27,0)),IF($B610="Cardboard Recycling",INDEX('Materials Master'!$I$2:$I$27,MATCH($C610,'Materials Master'!$A$2:$A$27,0)),IF($B610="Paper Recycling",INDEX('Materials Master'!$J$2:$J$27,MATCH($C610,'Materials Master'!$A$2:$A$27,0)),IF($B610="Terracycle",INDEX('Materials Master'!$K$2:$K$27,MATCH($C610,'Materials Master'!$A$2:$A$27,0)),"No"))))))="Yes",1,0)</f>
        <v>0</v>
      </c>
    </row>
    <row r="611" customFormat="false" ht="15" hidden="false" customHeight="false" outlineLevel="0" collapsed="false">
      <c r="A611" s="0" t="s">
        <v>99</v>
      </c>
      <c r="B611" s="0" t="s">
        <v>108</v>
      </c>
      <c r="C611" s="0" t="s">
        <v>53</v>
      </c>
      <c r="D611" s="0" t="str">
        <f aca="false">IFERROR(INDEX('Materials Master'!$B$2:$B$27,MATCH($C611,'Materials Master'!$A$2:$A$27,0)),"")</f>
        <v>Soiled Metals</v>
      </c>
      <c r="E611" s="0" t="str">
        <f aca="false">IFERROR(INDEX('Materials Master'!$C$2:$C$27,MATCH($C611,'Materials Master'!$A$2:$A$27,0)),"")</f>
        <v>Metals</v>
      </c>
      <c r="F611" s="0" t="n">
        <f aca="false">(SUMIFS(Fact_PreSortWeights!$E$2:$E$15,Fact_PreSortWeights!$C$2:$C$15,$A611,Fact_PreSortWeights!$B$2:$B$15,$B611,Fact_PreSortWeights!$F$2:$F$15,$C611))+(SUMIFS(Fact_SortedWeights!$E$2:$E$6,Fact_SortedWeights!$C$2:$C$6,$A611,Fact_SortedWeights!$B$2:$B$6,$B611,Fact_SortedWeights!$D$2:$D$6,$C611,Fact_SortedWeights!$L$2:$L$6,"Yes"))+IF((SUMIFS(Fact_SortedWeights!$E$2:$E$6,Fact_SortedWeights!$C$2:$C$6,$A611,Fact_SortedWeights!$B$2:$B$6,$B611,Fact_SortedWeights!$L$2:$L$6,"No"))=0,0,(SUMIFS(Fact_SortedWeights!$E$2:$E$6,Fact_SortedWeights!$C$2:$C$6,$A611,Fact_SortedWeights!$B$2:$B$6,$B611,Fact_SortedWeights!$D$2:$D$6,$C611,Fact_SortedWeights!$L$2:$L$6,"No"))/(SUMIFS(Fact_SortedWeights!$E$2:$E$6,Fact_SortedWeights!$C$2:$C$6,$A611,Fact_SortedWeights!$B$2:$B$6,$B611,Fact_SortedWeights!$L$2:$L$6,"No"))*((SUMIFS(Fact_PreSortWeights!$E$2:$E$15,Fact_PreSortWeights!$C$2:$C$15,$A611,Fact_PreSortWeights!$B$2:$B$15,$B611,Fact_PreSortWeights!$F$2:$F$15,""))-(SUMIFS(Fact_SortedWeights!$E$2:$E$6,Fact_SortedWeights!$C$2:$C$6,$A611,Fact_SortedWeights!$B$2:$B$6,$B611,Fact_SortedWeights!$L$2:$L$6,"Yes"))))</f>
        <v>0</v>
      </c>
      <c r="G611" s="0" t="n">
        <f aca="false">IF(AND(IF($B611="Trash",INDEX('Materials Master'!$F$2:$F$27,MATCH($C611,'Materials Master'!$A$2:$A$27,0)),IF($B611="GMPC Recycling",INDEX('Materials Master'!$G$2:$G$27,MATCH($C611,'Materials Master'!$A$2:$A$27,0)),IF($B611="Organics Recycling",INDEX('Materials Master'!$H$2:$H$27,MATCH($C611,'Materials Master'!$A$2:$A$27,0)),IF($B611="Cardboard Recycling",INDEX('Materials Master'!$I$2:$I$27,MATCH($C611,'Materials Master'!$A$2:$A$27,0)),IF($B611="Paper Recycling",INDEX('Materials Master'!$J$2:$J$27,MATCH($C611,'Materials Master'!$A$2:$A$27,0)),IF($B611="Terracycle",INDEX('Materials Master'!$K$2:$K$27,MATCH($C611,'Materials Master'!$A$2:$A$27,0)),"No"))))))="Yes",INDEX('Materials Master'!$E$2:$E$27,MATCH($C611,'Materials Master'!$A$2:$A$27,0))="Yes",$B611&lt;&gt;"Trash"),1,0)</f>
        <v>0</v>
      </c>
      <c r="H611" s="0" t="str">
        <f aca="false">INDEX('Materials Master'!$E$2:$E$27,MATCH($C611,'Materials Master'!$A$2:$A$27,0))</f>
        <v>No</v>
      </c>
      <c r="I611" s="0" t="str">
        <f aca="false">IFERROR(INDEX(Areas!$C$2:$C$6,MATCH($A611,Areas!$B$2:$B$6,0)),"")</f>
        <v>Rest of Building</v>
      </c>
      <c r="J611" s="0" t="n">
        <f aca="false">IF(IF($B611="Trash",INDEX('Materials Master'!$F$2:$F$27,MATCH($C611,'Materials Master'!$A$2:$A$27,0)),IF($B611="GMPC Recycling",INDEX('Materials Master'!$G$2:$G$27,MATCH($C611,'Materials Master'!$A$2:$A$27,0)),IF($B611="Organics Recycling",INDEX('Materials Master'!$H$2:$H$27,MATCH($C611,'Materials Master'!$A$2:$A$27,0)),IF($B611="Cardboard Recycling",INDEX('Materials Master'!$I$2:$I$27,MATCH($C611,'Materials Master'!$A$2:$A$27,0)),IF($B611="Paper Recycling",INDEX('Materials Master'!$J$2:$J$27,MATCH($C611,'Materials Master'!$A$2:$A$27,0)),IF($B611="Terracycle",INDEX('Materials Master'!$K$2:$K$27,MATCH($C611,'Materials Master'!$A$2:$A$27,0)),"No"))))))="Yes",1,0)</f>
        <v>0</v>
      </c>
    </row>
    <row r="612" customFormat="false" ht="15" hidden="false" customHeight="false" outlineLevel="0" collapsed="false">
      <c r="A612" s="0" t="s">
        <v>99</v>
      </c>
      <c r="B612" s="0" t="s">
        <v>108</v>
      </c>
      <c r="C612" s="0" t="s">
        <v>55</v>
      </c>
      <c r="D612" s="0" t="str">
        <f aca="false">IFERROR(INDEX('Materials Master'!$B$2:$B$27,MATCH($C612,'Materials Master'!$A$2:$A$27,0)),"")</f>
        <v>Rigid Plastics (1-6)</v>
      </c>
      <c r="E612" s="0" t="str">
        <f aca="false">IFERROR(INDEX('Materials Master'!$C$2:$C$27,MATCH($C612,'Materials Master'!$A$2:$A$27,0)),"")</f>
        <v>Plastics</v>
      </c>
      <c r="F612" s="0" t="n">
        <f aca="false">(SUMIFS(Fact_PreSortWeights!$E$2:$E$15,Fact_PreSortWeights!$C$2:$C$15,$A612,Fact_PreSortWeights!$B$2:$B$15,$B612,Fact_PreSortWeights!$F$2:$F$15,$C612))+(SUMIFS(Fact_SortedWeights!$E$2:$E$6,Fact_SortedWeights!$C$2:$C$6,$A612,Fact_SortedWeights!$B$2:$B$6,$B612,Fact_SortedWeights!$D$2:$D$6,$C612,Fact_SortedWeights!$L$2:$L$6,"Yes"))+IF((SUMIFS(Fact_SortedWeights!$E$2:$E$6,Fact_SortedWeights!$C$2:$C$6,$A612,Fact_SortedWeights!$B$2:$B$6,$B612,Fact_SortedWeights!$L$2:$L$6,"No"))=0,0,(SUMIFS(Fact_SortedWeights!$E$2:$E$6,Fact_SortedWeights!$C$2:$C$6,$A612,Fact_SortedWeights!$B$2:$B$6,$B612,Fact_SortedWeights!$D$2:$D$6,$C612,Fact_SortedWeights!$L$2:$L$6,"No"))/(SUMIFS(Fact_SortedWeights!$E$2:$E$6,Fact_SortedWeights!$C$2:$C$6,$A612,Fact_SortedWeights!$B$2:$B$6,$B612,Fact_SortedWeights!$L$2:$L$6,"No"))*((SUMIFS(Fact_PreSortWeights!$E$2:$E$15,Fact_PreSortWeights!$C$2:$C$15,$A612,Fact_PreSortWeights!$B$2:$B$15,$B612,Fact_PreSortWeights!$F$2:$F$15,""))-(SUMIFS(Fact_SortedWeights!$E$2:$E$6,Fact_SortedWeights!$C$2:$C$6,$A612,Fact_SortedWeights!$B$2:$B$6,$B612,Fact_SortedWeights!$L$2:$L$6,"Yes"))))</f>
        <v>0</v>
      </c>
      <c r="G612" s="0" t="n">
        <f aca="false">IF(AND(IF($B612="Trash",INDEX('Materials Master'!$F$2:$F$27,MATCH($C612,'Materials Master'!$A$2:$A$27,0)),IF($B612="GMPC Recycling",INDEX('Materials Master'!$G$2:$G$27,MATCH($C612,'Materials Master'!$A$2:$A$27,0)),IF($B612="Organics Recycling",INDEX('Materials Master'!$H$2:$H$27,MATCH($C612,'Materials Master'!$A$2:$A$27,0)),IF($B612="Cardboard Recycling",INDEX('Materials Master'!$I$2:$I$27,MATCH($C612,'Materials Master'!$A$2:$A$27,0)),IF($B612="Paper Recycling",INDEX('Materials Master'!$J$2:$J$27,MATCH($C612,'Materials Master'!$A$2:$A$27,0)),IF($B612="Terracycle",INDEX('Materials Master'!$K$2:$K$27,MATCH($C612,'Materials Master'!$A$2:$A$27,0)),"No"))))))="Yes",INDEX('Materials Master'!$E$2:$E$27,MATCH($C612,'Materials Master'!$A$2:$A$27,0))="Yes",$B612&lt;&gt;"Trash"),1,0)</f>
        <v>0</v>
      </c>
      <c r="H612" s="0" t="str">
        <f aca="false">INDEX('Materials Master'!$E$2:$E$27,MATCH($C612,'Materials Master'!$A$2:$A$27,0))</f>
        <v>Yes</v>
      </c>
      <c r="I612" s="0" t="str">
        <f aca="false">IFERROR(INDEX(Areas!$C$2:$C$6,MATCH($A612,Areas!$B$2:$B$6,0)),"")</f>
        <v>Rest of Building</v>
      </c>
      <c r="J612" s="0" t="n">
        <f aca="false">IF(IF($B612="Trash",INDEX('Materials Master'!$F$2:$F$27,MATCH($C612,'Materials Master'!$A$2:$A$27,0)),IF($B612="GMPC Recycling",INDEX('Materials Master'!$G$2:$G$27,MATCH($C612,'Materials Master'!$A$2:$A$27,0)),IF($B612="Organics Recycling",INDEX('Materials Master'!$H$2:$H$27,MATCH($C612,'Materials Master'!$A$2:$A$27,0)),IF($B612="Cardboard Recycling",INDEX('Materials Master'!$I$2:$I$27,MATCH($C612,'Materials Master'!$A$2:$A$27,0)),IF($B612="Paper Recycling",INDEX('Materials Master'!$J$2:$J$27,MATCH($C612,'Materials Master'!$A$2:$A$27,0)),IF($B612="Terracycle",INDEX('Materials Master'!$K$2:$K$27,MATCH($C612,'Materials Master'!$A$2:$A$27,0)),"No"))))))="Yes",1,0)</f>
        <v>0</v>
      </c>
    </row>
    <row r="613" customFormat="false" ht="15" hidden="false" customHeight="false" outlineLevel="0" collapsed="false">
      <c r="A613" s="0" t="s">
        <v>99</v>
      </c>
      <c r="B613" s="0" t="s">
        <v>108</v>
      </c>
      <c r="C613" s="0" t="s">
        <v>58</v>
      </c>
      <c r="D613" s="0" t="str">
        <f aca="false">IFERROR(INDEX('Materials Master'!$B$2:$B$27,MATCH($C613,'Materials Master'!$A$2:$A$27,0)),"")</f>
        <v>Soiled Rigid Plastics</v>
      </c>
      <c r="E613" s="0" t="str">
        <f aca="false">IFERROR(INDEX('Materials Master'!$C$2:$C$27,MATCH($C613,'Materials Master'!$A$2:$A$27,0)),"")</f>
        <v>Plastics</v>
      </c>
      <c r="F613" s="0" t="n">
        <f aca="false">(SUMIFS(Fact_PreSortWeights!$E$2:$E$15,Fact_PreSortWeights!$C$2:$C$15,$A613,Fact_PreSortWeights!$B$2:$B$15,$B613,Fact_PreSortWeights!$F$2:$F$15,$C613))+(SUMIFS(Fact_SortedWeights!$E$2:$E$6,Fact_SortedWeights!$C$2:$C$6,$A613,Fact_SortedWeights!$B$2:$B$6,$B613,Fact_SortedWeights!$D$2:$D$6,$C613,Fact_SortedWeights!$L$2:$L$6,"Yes"))+IF((SUMIFS(Fact_SortedWeights!$E$2:$E$6,Fact_SortedWeights!$C$2:$C$6,$A613,Fact_SortedWeights!$B$2:$B$6,$B613,Fact_SortedWeights!$L$2:$L$6,"No"))=0,0,(SUMIFS(Fact_SortedWeights!$E$2:$E$6,Fact_SortedWeights!$C$2:$C$6,$A613,Fact_SortedWeights!$B$2:$B$6,$B613,Fact_SortedWeights!$D$2:$D$6,$C613,Fact_SortedWeights!$L$2:$L$6,"No"))/(SUMIFS(Fact_SortedWeights!$E$2:$E$6,Fact_SortedWeights!$C$2:$C$6,$A613,Fact_SortedWeights!$B$2:$B$6,$B613,Fact_SortedWeights!$L$2:$L$6,"No"))*((SUMIFS(Fact_PreSortWeights!$E$2:$E$15,Fact_PreSortWeights!$C$2:$C$15,$A613,Fact_PreSortWeights!$B$2:$B$15,$B613,Fact_PreSortWeights!$F$2:$F$15,""))-(SUMIFS(Fact_SortedWeights!$E$2:$E$6,Fact_SortedWeights!$C$2:$C$6,$A613,Fact_SortedWeights!$B$2:$B$6,$B613,Fact_SortedWeights!$L$2:$L$6,"Yes"))))</f>
        <v>0</v>
      </c>
      <c r="G613" s="0" t="n">
        <f aca="false">IF(AND(IF($B613="Trash",INDEX('Materials Master'!$F$2:$F$27,MATCH($C613,'Materials Master'!$A$2:$A$27,0)),IF($B613="GMPC Recycling",INDEX('Materials Master'!$G$2:$G$27,MATCH($C613,'Materials Master'!$A$2:$A$27,0)),IF($B613="Organics Recycling",INDEX('Materials Master'!$H$2:$H$27,MATCH($C613,'Materials Master'!$A$2:$A$27,0)),IF($B613="Cardboard Recycling",INDEX('Materials Master'!$I$2:$I$27,MATCH($C613,'Materials Master'!$A$2:$A$27,0)),IF($B613="Paper Recycling",INDEX('Materials Master'!$J$2:$J$27,MATCH($C613,'Materials Master'!$A$2:$A$27,0)),IF($B613="Terracycle",INDEX('Materials Master'!$K$2:$K$27,MATCH($C613,'Materials Master'!$A$2:$A$27,0)),"No"))))))="Yes",INDEX('Materials Master'!$E$2:$E$27,MATCH($C613,'Materials Master'!$A$2:$A$27,0))="Yes",$B613&lt;&gt;"Trash"),1,0)</f>
        <v>0</v>
      </c>
      <c r="H613" s="0" t="str">
        <f aca="false">INDEX('Materials Master'!$E$2:$E$27,MATCH($C613,'Materials Master'!$A$2:$A$27,0))</f>
        <v>No</v>
      </c>
      <c r="I613" s="0" t="str">
        <f aca="false">IFERROR(INDEX(Areas!$C$2:$C$6,MATCH($A613,Areas!$B$2:$B$6,0)),"")</f>
        <v>Rest of Building</v>
      </c>
      <c r="J613" s="0" t="n">
        <f aca="false">IF(IF($B613="Trash",INDEX('Materials Master'!$F$2:$F$27,MATCH($C613,'Materials Master'!$A$2:$A$27,0)),IF($B613="GMPC Recycling",INDEX('Materials Master'!$G$2:$G$27,MATCH($C613,'Materials Master'!$A$2:$A$27,0)),IF($B613="Organics Recycling",INDEX('Materials Master'!$H$2:$H$27,MATCH($C613,'Materials Master'!$A$2:$A$27,0)),IF($B613="Cardboard Recycling",INDEX('Materials Master'!$I$2:$I$27,MATCH($C613,'Materials Master'!$A$2:$A$27,0)),IF($B613="Paper Recycling",INDEX('Materials Master'!$J$2:$J$27,MATCH($C613,'Materials Master'!$A$2:$A$27,0)),IF($B613="Terracycle",INDEX('Materials Master'!$K$2:$K$27,MATCH($C613,'Materials Master'!$A$2:$A$27,0)),"No"))))))="Yes",1,0)</f>
        <v>0</v>
      </c>
    </row>
    <row r="614" customFormat="false" ht="15" hidden="false" customHeight="false" outlineLevel="0" collapsed="false">
      <c r="A614" s="0" t="s">
        <v>99</v>
      </c>
      <c r="B614" s="0" t="s">
        <v>108</v>
      </c>
      <c r="C614" s="0" t="s">
        <v>60</v>
      </c>
      <c r="D614" s="0" t="str">
        <f aca="false">IFERROR(INDEX('Materials Master'!$B$2:$B$27,MATCH($C614,'Materials Master'!$A$2:$A$27,0)),"")</f>
        <v>Film Plastics</v>
      </c>
      <c r="E614" s="0" t="str">
        <f aca="false">IFERROR(INDEX('Materials Master'!$C$2:$C$27,MATCH($C614,'Materials Master'!$A$2:$A$27,0)),"")</f>
        <v>Plastics</v>
      </c>
      <c r="F614" s="0" t="n">
        <f aca="false">(SUMIFS(Fact_PreSortWeights!$E$2:$E$15,Fact_PreSortWeights!$C$2:$C$15,$A614,Fact_PreSortWeights!$B$2:$B$15,$B614,Fact_PreSortWeights!$F$2:$F$15,$C614))+(SUMIFS(Fact_SortedWeights!$E$2:$E$6,Fact_SortedWeights!$C$2:$C$6,$A614,Fact_SortedWeights!$B$2:$B$6,$B614,Fact_SortedWeights!$D$2:$D$6,$C614,Fact_SortedWeights!$L$2:$L$6,"Yes"))+IF((SUMIFS(Fact_SortedWeights!$E$2:$E$6,Fact_SortedWeights!$C$2:$C$6,$A614,Fact_SortedWeights!$B$2:$B$6,$B614,Fact_SortedWeights!$L$2:$L$6,"No"))=0,0,(SUMIFS(Fact_SortedWeights!$E$2:$E$6,Fact_SortedWeights!$C$2:$C$6,$A614,Fact_SortedWeights!$B$2:$B$6,$B614,Fact_SortedWeights!$D$2:$D$6,$C614,Fact_SortedWeights!$L$2:$L$6,"No"))/(SUMIFS(Fact_SortedWeights!$E$2:$E$6,Fact_SortedWeights!$C$2:$C$6,$A614,Fact_SortedWeights!$B$2:$B$6,$B614,Fact_SortedWeights!$L$2:$L$6,"No"))*((SUMIFS(Fact_PreSortWeights!$E$2:$E$15,Fact_PreSortWeights!$C$2:$C$15,$A614,Fact_PreSortWeights!$B$2:$B$15,$B614,Fact_PreSortWeights!$F$2:$F$15,""))-(SUMIFS(Fact_SortedWeights!$E$2:$E$6,Fact_SortedWeights!$C$2:$C$6,$A614,Fact_SortedWeights!$B$2:$B$6,$B614,Fact_SortedWeights!$L$2:$L$6,"Yes"))))</f>
        <v>0</v>
      </c>
      <c r="G614" s="0" t="n">
        <f aca="false">IF(AND(IF($B614="Trash",INDEX('Materials Master'!$F$2:$F$27,MATCH($C614,'Materials Master'!$A$2:$A$27,0)),IF($B614="GMPC Recycling",INDEX('Materials Master'!$G$2:$G$27,MATCH($C614,'Materials Master'!$A$2:$A$27,0)),IF($B614="Organics Recycling",INDEX('Materials Master'!$H$2:$H$27,MATCH($C614,'Materials Master'!$A$2:$A$27,0)),IF($B614="Cardboard Recycling",INDEX('Materials Master'!$I$2:$I$27,MATCH($C614,'Materials Master'!$A$2:$A$27,0)),IF($B614="Paper Recycling",INDEX('Materials Master'!$J$2:$J$27,MATCH($C614,'Materials Master'!$A$2:$A$27,0)),IF($B614="Terracycle",INDEX('Materials Master'!$K$2:$K$27,MATCH($C614,'Materials Master'!$A$2:$A$27,0)),"No"))))))="Yes",INDEX('Materials Master'!$E$2:$E$27,MATCH($C614,'Materials Master'!$A$2:$A$27,0))="Yes",$B614&lt;&gt;"Trash"),1,0)</f>
        <v>0</v>
      </c>
      <c r="H614" s="0" t="str">
        <f aca="false">INDEX('Materials Master'!$E$2:$E$27,MATCH($C614,'Materials Master'!$A$2:$A$27,0))</f>
        <v>No</v>
      </c>
      <c r="I614" s="0" t="str">
        <f aca="false">IFERROR(INDEX(Areas!$C$2:$C$6,MATCH($A614,Areas!$B$2:$B$6,0)),"")</f>
        <v>Rest of Building</v>
      </c>
      <c r="J614" s="0" t="n">
        <f aca="false">IF(IF($B614="Trash",INDEX('Materials Master'!$F$2:$F$27,MATCH($C614,'Materials Master'!$A$2:$A$27,0)),IF($B614="GMPC Recycling",INDEX('Materials Master'!$G$2:$G$27,MATCH($C614,'Materials Master'!$A$2:$A$27,0)),IF($B614="Organics Recycling",INDEX('Materials Master'!$H$2:$H$27,MATCH($C614,'Materials Master'!$A$2:$A$27,0)),IF($B614="Cardboard Recycling",INDEX('Materials Master'!$I$2:$I$27,MATCH($C614,'Materials Master'!$A$2:$A$27,0)),IF($B614="Paper Recycling",INDEX('Materials Master'!$J$2:$J$27,MATCH($C614,'Materials Master'!$A$2:$A$27,0)),IF($B614="Terracycle",INDEX('Materials Master'!$K$2:$K$27,MATCH($C614,'Materials Master'!$A$2:$A$27,0)),"No"))))))="Yes",1,0)</f>
        <v>0</v>
      </c>
    </row>
    <row r="615" customFormat="false" ht="15" hidden="false" customHeight="false" outlineLevel="0" collapsed="false">
      <c r="A615" s="0" t="s">
        <v>99</v>
      </c>
      <c r="B615" s="0" t="s">
        <v>108</v>
      </c>
      <c r="C615" s="0" t="s">
        <v>62</v>
      </c>
      <c r="D615" s="0" t="str">
        <f aca="false">IFERROR(INDEX('Materials Master'!$B$2:$B$27,MATCH($C615,'Materials Master'!$A$2:$A$27,0)),"")</f>
        <v>Foams</v>
      </c>
      <c r="E615" s="0" t="str">
        <f aca="false">IFERROR(INDEX('Materials Master'!$C$2:$C$27,MATCH($C615,'Materials Master'!$A$2:$A$27,0)),"")</f>
        <v>Plastics</v>
      </c>
      <c r="F615" s="0" t="n">
        <f aca="false">(SUMIFS(Fact_PreSortWeights!$E$2:$E$15,Fact_PreSortWeights!$C$2:$C$15,$A615,Fact_PreSortWeights!$B$2:$B$15,$B615,Fact_PreSortWeights!$F$2:$F$15,$C615))+(SUMIFS(Fact_SortedWeights!$E$2:$E$6,Fact_SortedWeights!$C$2:$C$6,$A615,Fact_SortedWeights!$B$2:$B$6,$B615,Fact_SortedWeights!$D$2:$D$6,$C615,Fact_SortedWeights!$L$2:$L$6,"Yes"))+IF((SUMIFS(Fact_SortedWeights!$E$2:$E$6,Fact_SortedWeights!$C$2:$C$6,$A615,Fact_SortedWeights!$B$2:$B$6,$B615,Fact_SortedWeights!$L$2:$L$6,"No"))=0,0,(SUMIFS(Fact_SortedWeights!$E$2:$E$6,Fact_SortedWeights!$C$2:$C$6,$A615,Fact_SortedWeights!$B$2:$B$6,$B615,Fact_SortedWeights!$D$2:$D$6,$C615,Fact_SortedWeights!$L$2:$L$6,"No"))/(SUMIFS(Fact_SortedWeights!$E$2:$E$6,Fact_SortedWeights!$C$2:$C$6,$A615,Fact_SortedWeights!$B$2:$B$6,$B615,Fact_SortedWeights!$L$2:$L$6,"No"))*((SUMIFS(Fact_PreSortWeights!$E$2:$E$15,Fact_PreSortWeights!$C$2:$C$15,$A615,Fact_PreSortWeights!$B$2:$B$15,$B615,Fact_PreSortWeights!$F$2:$F$15,""))-(SUMIFS(Fact_SortedWeights!$E$2:$E$6,Fact_SortedWeights!$C$2:$C$6,$A615,Fact_SortedWeights!$B$2:$B$6,$B615,Fact_SortedWeights!$L$2:$L$6,"Yes"))))</f>
        <v>0</v>
      </c>
      <c r="G615" s="0" t="n">
        <f aca="false">IF(AND(IF($B615="Trash",INDEX('Materials Master'!$F$2:$F$27,MATCH($C615,'Materials Master'!$A$2:$A$27,0)),IF($B615="GMPC Recycling",INDEX('Materials Master'!$G$2:$G$27,MATCH($C615,'Materials Master'!$A$2:$A$27,0)),IF($B615="Organics Recycling",INDEX('Materials Master'!$H$2:$H$27,MATCH($C615,'Materials Master'!$A$2:$A$27,0)),IF($B615="Cardboard Recycling",INDEX('Materials Master'!$I$2:$I$27,MATCH($C615,'Materials Master'!$A$2:$A$27,0)),IF($B615="Paper Recycling",INDEX('Materials Master'!$J$2:$J$27,MATCH($C615,'Materials Master'!$A$2:$A$27,0)),IF($B615="Terracycle",INDEX('Materials Master'!$K$2:$K$27,MATCH($C615,'Materials Master'!$A$2:$A$27,0)),"No"))))))="Yes",INDEX('Materials Master'!$E$2:$E$27,MATCH($C615,'Materials Master'!$A$2:$A$27,0))="Yes",$B615&lt;&gt;"Trash"),1,0)</f>
        <v>0</v>
      </c>
      <c r="H615" s="0" t="str">
        <f aca="false">INDEX('Materials Master'!$E$2:$E$27,MATCH($C615,'Materials Master'!$A$2:$A$27,0))</f>
        <v>No</v>
      </c>
      <c r="I615" s="0" t="str">
        <f aca="false">IFERROR(INDEX(Areas!$C$2:$C$6,MATCH($A615,Areas!$B$2:$B$6,0)),"")</f>
        <v>Rest of Building</v>
      </c>
      <c r="J615" s="0" t="n">
        <f aca="false">IF(IF($B615="Trash",INDEX('Materials Master'!$F$2:$F$27,MATCH($C615,'Materials Master'!$A$2:$A$27,0)),IF($B615="GMPC Recycling",INDEX('Materials Master'!$G$2:$G$27,MATCH($C615,'Materials Master'!$A$2:$A$27,0)),IF($B615="Organics Recycling",INDEX('Materials Master'!$H$2:$H$27,MATCH($C615,'Materials Master'!$A$2:$A$27,0)),IF($B615="Cardboard Recycling",INDEX('Materials Master'!$I$2:$I$27,MATCH($C615,'Materials Master'!$A$2:$A$27,0)),IF($B615="Paper Recycling",INDEX('Materials Master'!$J$2:$J$27,MATCH($C615,'Materials Master'!$A$2:$A$27,0)),IF($B615="Terracycle",INDEX('Materials Master'!$K$2:$K$27,MATCH($C615,'Materials Master'!$A$2:$A$27,0)),"No"))))))="Yes",1,0)</f>
        <v>0</v>
      </c>
    </row>
    <row r="616" customFormat="false" ht="15" hidden="false" customHeight="false" outlineLevel="0" collapsed="false">
      <c r="A616" s="0" t="s">
        <v>99</v>
      </c>
      <c r="B616" s="0" t="s">
        <v>108</v>
      </c>
      <c r="C616" s="0" t="s">
        <v>64</v>
      </c>
      <c r="D616" s="0" t="str">
        <f aca="false">IFERROR(INDEX('Materials Master'!$B$2:$B$27,MATCH($C616,'Materials Master'!$A$2:$A$27,0)),"")</f>
        <v>Food Waste</v>
      </c>
      <c r="E616" s="0" t="str">
        <f aca="false">IFERROR(INDEX('Materials Master'!$C$2:$C$27,MATCH($C616,'Materials Master'!$A$2:$A$27,0)),"")</f>
        <v>Organics</v>
      </c>
      <c r="F616" s="0" t="n">
        <f aca="false">(SUMIFS(Fact_PreSortWeights!$E$2:$E$15,Fact_PreSortWeights!$C$2:$C$15,$A616,Fact_PreSortWeights!$B$2:$B$15,$B616,Fact_PreSortWeights!$F$2:$F$15,$C616))+(SUMIFS(Fact_SortedWeights!$E$2:$E$6,Fact_SortedWeights!$C$2:$C$6,$A616,Fact_SortedWeights!$B$2:$B$6,$B616,Fact_SortedWeights!$D$2:$D$6,$C616,Fact_SortedWeights!$L$2:$L$6,"Yes"))+IF((SUMIFS(Fact_SortedWeights!$E$2:$E$6,Fact_SortedWeights!$C$2:$C$6,$A616,Fact_SortedWeights!$B$2:$B$6,$B616,Fact_SortedWeights!$L$2:$L$6,"No"))=0,0,(SUMIFS(Fact_SortedWeights!$E$2:$E$6,Fact_SortedWeights!$C$2:$C$6,$A616,Fact_SortedWeights!$B$2:$B$6,$B616,Fact_SortedWeights!$D$2:$D$6,$C616,Fact_SortedWeights!$L$2:$L$6,"No"))/(SUMIFS(Fact_SortedWeights!$E$2:$E$6,Fact_SortedWeights!$C$2:$C$6,$A616,Fact_SortedWeights!$B$2:$B$6,$B616,Fact_SortedWeights!$L$2:$L$6,"No"))*((SUMIFS(Fact_PreSortWeights!$E$2:$E$15,Fact_PreSortWeights!$C$2:$C$15,$A616,Fact_PreSortWeights!$B$2:$B$15,$B616,Fact_PreSortWeights!$F$2:$F$15,""))-(SUMIFS(Fact_SortedWeights!$E$2:$E$6,Fact_SortedWeights!$C$2:$C$6,$A616,Fact_SortedWeights!$B$2:$B$6,$B616,Fact_SortedWeights!$L$2:$L$6,"Yes"))))</f>
        <v>0</v>
      </c>
      <c r="G616" s="0" t="n">
        <f aca="false">IF(AND(IF($B616="Trash",INDEX('Materials Master'!$F$2:$F$27,MATCH($C616,'Materials Master'!$A$2:$A$27,0)),IF($B616="GMPC Recycling",INDEX('Materials Master'!$G$2:$G$27,MATCH($C616,'Materials Master'!$A$2:$A$27,0)),IF($B616="Organics Recycling",INDEX('Materials Master'!$H$2:$H$27,MATCH($C616,'Materials Master'!$A$2:$A$27,0)),IF($B616="Cardboard Recycling",INDEX('Materials Master'!$I$2:$I$27,MATCH($C616,'Materials Master'!$A$2:$A$27,0)),IF($B616="Paper Recycling",INDEX('Materials Master'!$J$2:$J$27,MATCH($C616,'Materials Master'!$A$2:$A$27,0)),IF($B616="Terracycle",INDEX('Materials Master'!$K$2:$K$27,MATCH($C616,'Materials Master'!$A$2:$A$27,0)),"No"))))))="Yes",INDEX('Materials Master'!$E$2:$E$27,MATCH($C616,'Materials Master'!$A$2:$A$27,0))="Yes",$B616&lt;&gt;"Trash"),1,0)</f>
        <v>0</v>
      </c>
      <c r="H616" s="0" t="str">
        <f aca="false">INDEX('Materials Master'!$E$2:$E$27,MATCH($C616,'Materials Master'!$A$2:$A$27,0))</f>
        <v>Yes</v>
      </c>
      <c r="I616" s="0" t="str">
        <f aca="false">IFERROR(INDEX(Areas!$C$2:$C$6,MATCH($A616,Areas!$B$2:$B$6,0)),"")</f>
        <v>Rest of Building</v>
      </c>
      <c r="J616" s="0" t="n">
        <f aca="false">IF(IF($B616="Trash",INDEX('Materials Master'!$F$2:$F$27,MATCH($C616,'Materials Master'!$A$2:$A$27,0)),IF($B616="GMPC Recycling",INDEX('Materials Master'!$G$2:$G$27,MATCH($C616,'Materials Master'!$A$2:$A$27,0)),IF($B616="Organics Recycling",INDEX('Materials Master'!$H$2:$H$27,MATCH($C616,'Materials Master'!$A$2:$A$27,0)),IF($B616="Cardboard Recycling",INDEX('Materials Master'!$I$2:$I$27,MATCH($C616,'Materials Master'!$A$2:$A$27,0)),IF($B616="Paper Recycling",INDEX('Materials Master'!$J$2:$J$27,MATCH($C616,'Materials Master'!$A$2:$A$27,0)),IF($B616="Terracycle",INDEX('Materials Master'!$K$2:$K$27,MATCH($C616,'Materials Master'!$A$2:$A$27,0)),"No"))))))="Yes",1,0)</f>
        <v>0</v>
      </c>
    </row>
    <row r="617" customFormat="false" ht="15" hidden="false" customHeight="false" outlineLevel="0" collapsed="false">
      <c r="A617" s="0" t="s">
        <v>99</v>
      </c>
      <c r="B617" s="0" t="s">
        <v>108</v>
      </c>
      <c r="C617" s="0" t="s">
        <v>67</v>
      </c>
      <c r="D617" s="0" t="str">
        <f aca="false">IFERROR(INDEX('Materials Master'!$B$2:$B$27,MATCH($C617,'Materials Master'!$A$2:$A$27,0)),"")</f>
        <v>Paper Fibers and Food-Soiled Paper (FSP)</v>
      </c>
      <c r="E617" s="0" t="str">
        <f aca="false">IFERROR(INDEX('Materials Master'!$C$2:$C$27,MATCH($C617,'Materials Master'!$A$2:$A$27,0)),"")</f>
        <v>Organics</v>
      </c>
      <c r="F617" s="0" t="n">
        <f aca="false">(SUMIFS(Fact_PreSortWeights!$E$2:$E$15,Fact_PreSortWeights!$C$2:$C$15,$A617,Fact_PreSortWeights!$B$2:$B$15,$B617,Fact_PreSortWeights!$F$2:$F$15,$C617))+(SUMIFS(Fact_SortedWeights!$E$2:$E$6,Fact_SortedWeights!$C$2:$C$6,$A617,Fact_SortedWeights!$B$2:$B$6,$B617,Fact_SortedWeights!$D$2:$D$6,$C617,Fact_SortedWeights!$L$2:$L$6,"Yes"))+IF((SUMIFS(Fact_SortedWeights!$E$2:$E$6,Fact_SortedWeights!$C$2:$C$6,$A617,Fact_SortedWeights!$B$2:$B$6,$B617,Fact_SortedWeights!$L$2:$L$6,"No"))=0,0,(SUMIFS(Fact_SortedWeights!$E$2:$E$6,Fact_SortedWeights!$C$2:$C$6,$A617,Fact_SortedWeights!$B$2:$B$6,$B617,Fact_SortedWeights!$D$2:$D$6,$C617,Fact_SortedWeights!$L$2:$L$6,"No"))/(SUMIFS(Fact_SortedWeights!$E$2:$E$6,Fact_SortedWeights!$C$2:$C$6,$A617,Fact_SortedWeights!$B$2:$B$6,$B617,Fact_SortedWeights!$L$2:$L$6,"No"))*((SUMIFS(Fact_PreSortWeights!$E$2:$E$15,Fact_PreSortWeights!$C$2:$C$15,$A617,Fact_PreSortWeights!$B$2:$B$15,$B617,Fact_PreSortWeights!$F$2:$F$15,""))-(SUMIFS(Fact_SortedWeights!$E$2:$E$6,Fact_SortedWeights!$C$2:$C$6,$A617,Fact_SortedWeights!$B$2:$B$6,$B617,Fact_SortedWeights!$L$2:$L$6,"Yes"))))</f>
        <v>0</v>
      </c>
      <c r="G617" s="0" t="n">
        <f aca="false">IF(AND(IF($B617="Trash",INDEX('Materials Master'!$F$2:$F$27,MATCH($C617,'Materials Master'!$A$2:$A$27,0)),IF($B617="GMPC Recycling",INDEX('Materials Master'!$G$2:$G$27,MATCH($C617,'Materials Master'!$A$2:$A$27,0)),IF($B617="Organics Recycling",INDEX('Materials Master'!$H$2:$H$27,MATCH($C617,'Materials Master'!$A$2:$A$27,0)),IF($B617="Cardboard Recycling",INDEX('Materials Master'!$I$2:$I$27,MATCH($C617,'Materials Master'!$A$2:$A$27,0)),IF($B617="Paper Recycling",INDEX('Materials Master'!$J$2:$J$27,MATCH($C617,'Materials Master'!$A$2:$A$27,0)),IF($B617="Terracycle",INDEX('Materials Master'!$K$2:$K$27,MATCH($C617,'Materials Master'!$A$2:$A$27,0)),"No"))))))="Yes",INDEX('Materials Master'!$E$2:$E$27,MATCH($C617,'Materials Master'!$A$2:$A$27,0))="Yes",$B617&lt;&gt;"Trash"),1,0)</f>
        <v>0</v>
      </c>
      <c r="H617" s="0" t="str">
        <f aca="false">INDEX('Materials Master'!$E$2:$E$27,MATCH($C617,'Materials Master'!$A$2:$A$27,0))</f>
        <v>No</v>
      </c>
      <c r="I617" s="0" t="str">
        <f aca="false">IFERROR(INDEX(Areas!$C$2:$C$6,MATCH($A617,Areas!$B$2:$B$6,0)),"")</f>
        <v>Rest of Building</v>
      </c>
      <c r="J617" s="0" t="n">
        <f aca="false">IF(IF($B617="Trash",INDEX('Materials Master'!$F$2:$F$27,MATCH($C617,'Materials Master'!$A$2:$A$27,0)),IF($B617="GMPC Recycling",INDEX('Materials Master'!$G$2:$G$27,MATCH($C617,'Materials Master'!$A$2:$A$27,0)),IF($B617="Organics Recycling",INDEX('Materials Master'!$H$2:$H$27,MATCH($C617,'Materials Master'!$A$2:$A$27,0)),IF($B617="Cardboard Recycling",INDEX('Materials Master'!$I$2:$I$27,MATCH($C617,'Materials Master'!$A$2:$A$27,0)),IF($B617="Paper Recycling",INDEX('Materials Master'!$J$2:$J$27,MATCH($C617,'Materials Master'!$A$2:$A$27,0)),IF($B617="Terracycle",INDEX('Materials Master'!$K$2:$K$27,MATCH($C617,'Materials Master'!$A$2:$A$27,0)),"No"))))))="Yes",1,0)</f>
        <v>0</v>
      </c>
    </row>
    <row r="618" customFormat="false" ht="15" hidden="false" customHeight="false" outlineLevel="0" collapsed="false">
      <c r="A618" s="0" t="s">
        <v>99</v>
      </c>
      <c r="B618" s="0" t="s">
        <v>108</v>
      </c>
      <c r="C618" s="0" t="s">
        <v>69</v>
      </c>
      <c r="D618" s="0" t="str">
        <f aca="false">IFERROR(INDEX('Materials Master'!$B$2:$B$27,MATCH($C618,'Materials Master'!$A$2:$A$27,0)),"")</f>
        <v>Fiber-based Compostable Serviceware</v>
      </c>
      <c r="E618" s="0" t="str">
        <f aca="false">IFERROR(INDEX('Materials Master'!$C$2:$C$27,MATCH($C618,'Materials Master'!$A$2:$A$27,0)),"")</f>
        <v>Organics</v>
      </c>
      <c r="F618" s="0" t="n">
        <f aca="false">(SUMIFS(Fact_PreSortWeights!$E$2:$E$15,Fact_PreSortWeights!$C$2:$C$15,$A618,Fact_PreSortWeights!$B$2:$B$15,$B618,Fact_PreSortWeights!$F$2:$F$15,$C618))+(SUMIFS(Fact_SortedWeights!$E$2:$E$6,Fact_SortedWeights!$C$2:$C$6,$A618,Fact_SortedWeights!$B$2:$B$6,$B618,Fact_SortedWeights!$D$2:$D$6,$C618,Fact_SortedWeights!$L$2:$L$6,"Yes"))+IF((SUMIFS(Fact_SortedWeights!$E$2:$E$6,Fact_SortedWeights!$C$2:$C$6,$A618,Fact_SortedWeights!$B$2:$B$6,$B618,Fact_SortedWeights!$L$2:$L$6,"No"))=0,0,(SUMIFS(Fact_SortedWeights!$E$2:$E$6,Fact_SortedWeights!$C$2:$C$6,$A618,Fact_SortedWeights!$B$2:$B$6,$B618,Fact_SortedWeights!$D$2:$D$6,$C618,Fact_SortedWeights!$L$2:$L$6,"No"))/(SUMIFS(Fact_SortedWeights!$E$2:$E$6,Fact_SortedWeights!$C$2:$C$6,$A618,Fact_SortedWeights!$B$2:$B$6,$B618,Fact_SortedWeights!$L$2:$L$6,"No"))*((SUMIFS(Fact_PreSortWeights!$E$2:$E$15,Fact_PreSortWeights!$C$2:$C$15,$A618,Fact_PreSortWeights!$B$2:$B$15,$B618,Fact_PreSortWeights!$F$2:$F$15,""))-(SUMIFS(Fact_SortedWeights!$E$2:$E$6,Fact_SortedWeights!$C$2:$C$6,$A618,Fact_SortedWeights!$B$2:$B$6,$B618,Fact_SortedWeights!$L$2:$L$6,"Yes"))))</f>
        <v>0</v>
      </c>
      <c r="G618" s="0" t="n">
        <f aca="false">IF(AND(IF($B618="Trash",INDEX('Materials Master'!$F$2:$F$27,MATCH($C618,'Materials Master'!$A$2:$A$27,0)),IF($B618="GMPC Recycling",INDEX('Materials Master'!$G$2:$G$27,MATCH($C618,'Materials Master'!$A$2:$A$27,0)),IF($B618="Organics Recycling",INDEX('Materials Master'!$H$2:$H$27,MATCH($C618,'Materials Master'!$A$2:$A$27,0)),IF($B618="Cardboard Recycling",INDEX('Materials Master'!$I$2:$I$27,MATCH($C618,'Materials Master'!$A$2:$A$27,0)),IF($B618="Paper Recycling",INDEX('Materials Master'!$J$2:$J$27,MATCH($C618,'Materials Master'!$A$2:$A$27,0)),IF($B618="Terracycle",INDEX('Materials Master'!$K$2:$K$27,MATCH($C618,'Materials Master'!$A$2:$A$27,0)),"No"))))))="Yes",INDEX('Materials Master'!$E$2:$E$27,MATCH($C618,'Materials Master'!$A$2:$A$27,0))="Yes",$B618&lt;&gt;"Trash"),1,0)</f>
        <v>0</v>
      </c>
      <c r="H618" s="0" t="str">
        <f aca="false">INDEX('Materials Master'!$E$2:$E$27,MATCH($C618,'Materials Master'!$A$2:$A$27,0))</f>
        <v>No</v>
      </c>
      <c r="I618" s="0" t="str">
        <f aca="false">IFERROR(INDEX(Areas!$C$2:$C$6,MATCH($A618,Areas!$B$2:$B$6,0)),"")</f>
        <v>Rest of Building</v>
      </c>
      <c r="J618" s="0" t="n">
        <f aca="false">IF(IF($B618="Trash",INDEX('Materials Master'!$F$2:$F$27,MATCH($C618,'Materials Master'!$A$2:$A$27,0)),IF($B618="GMPC Recycling",INDEX('Materials Master'!$G$2:$G$27,MATCH($C618,'Materials Master'!$A$2:$A$27,0)),IF($B618="Organics Recycling",INDEX('Materials Master'!$H$2:$H$27,MATCH($C618,'Materials Master'!$A$2:$A$27,0)),IF($B618="Cardboard Recycling",INDEX('Materials Master'!$I$2:$I$27,MATCH($C618,'Materials Master'!$A$2:$A$27,0)),IF($B618="Paper Recycling",INDEX('Materials Master'!$J$2:$J$27,MATCH($C618,'Materials Master'!$A$2:$A$27,0)),IF($B618="Terracycle",INDEX('Materials Master'!$K$2:$K$27,MATCH($C618,'Materials Master'!$A$2:$A$27,0)),"No"))))))="Yes",1,0)</f>
        <v>0</v>
      </c>
    </row>
    <row r="619" customFormat="false" ht="15" hidden="false" customHeight="false" outlineLevel="0" collapsed="false">
      <c r="A619" s="0" t="s">
        <v>99</v>
      </c>
      <c r="B619" s="0" t="s">
        <v>108</v>
      </c>
      <c r="C619" s="0" t="s">
        <v>71</v>
      </c>
      <c r="D619" s="0" t="str">
        <f aca="false">IFERROR(INDEX('Materials Master'!$B$2:$B$27,MATCH($C619,'Materials Master'!$A$2:$A$27,0)),"")</f>
        <v>PLA Compostable Serviceware</v>
      </c>
      <c r="E619" s="0" t="str">
        <f aca="false">IFERROR(INDEX('Materials Master'!$C$2:$C$27,MATCH($C619,'Materials Master'!$A$2:$A$27,0)),"")</f>
        <v>Organics</v>
      </c>
      <c r="F619" s="0" t="n">
        <f aca="false">(SUMIFS(Fact_PreSortWeights!$E$2:$E$15,Fact_PreSortWeights!$C$2:$C$15,$A619,Fact_PreSortWeights!$B$2:$B$15,$B619,Fact_PreSortWeights!$F$2:$F$15,$C619))+(SUMIFS(Fact_SortedWeights!$E$2:$E$6,Fact_SortedWeights!$C$2:$C$6,$A619,Fact_SortedWeights!$B$2:$B$6,$B619,Fact_SortedWeights!$D$2:$D$6,$C619,Fact_SortedWeights!$L$2:$L$6,"Yes"))+IF((SUMIFS(Fact_SortedWeights!$E$2:$E$6,Fact_SortedWeights!$C$2:$C$6,$A619,Fact_SortedWeights!$B$2:$B$6,$B619,Fact_SortedWeights!$L$2:$L$6,"No"))=0,0,(SUMIFS(Fact_SortedWeights!$E$2:$E$6,Fact_SortedWeights!$C$2:$C$6,$A619,Fact_SortedWeights!$B$2:$B$6,$B619,Fact_SortedWeights!$D$2:$D$6,$C619,Fact_SortedWeights!$L$2:$L$6,"No"))/(SUMIFS(Fact_SortedWeights!$E$2:$E$6,Fact_SortedWeights!$C$2:$C$6,$A619,Fact_SortedWeights!$B$2:$B$6,$B619,Fact_SortedWeights!$L$2:$L$6,"No"))*((SUMIFS(Fact_PreSortWeights!$E$2:$E$15,Fact_PreSortWeights!$C$2:$C$15,$A619,Fact_PreSortWeights!$B$2:$B$15,$B619,Fact_PreSortWeights!$F$2:$F$15,""))-(SUMIFS(Fact_SortedWeights!$E$2:$E$6,Fact_SortedWeights!$C$2:$C$6,$A619,Fact_SortedWeights!$B$2:$B$6,$B619,Fact_SortedWeights!$L$2:$L$6,"Yes"))))</f>
        <v>0</v>
      </c>
      <c r="G619" s="0" t="n">
        <f aca="false">IF(AND(IF($B619="Trash",INDEX('Materials Master'!$F$2:$F$27,MATCH($C619,'Materials Master'!$A$2:$A$27,0)),IF($B619="GMPC Recycling",INDEX('Materials Master'!$G$2:$G$27,MATCH($C619,'Materials Master'!$A$2:$A$27,0)),IF($B619="Organics Recycling",INDEX('Materials Master'!$H$2:$H$27,MATCH($C619,'Materials Master'!$A$2:$A$27,0)),IF($B619="Cardboard Recycling",INDEX('Materials Master'!$I$2:$I$27,MATCH($C619,'Materials Master'!$A$2:$A$27,0)),IF($B619="Paper Recycling",INDEX('Materials Master'!$J$2:$J$27,MATCH($C619,'Materials Master'!$A$2:$A$27,0)),IF($B619="Terracycle",INDEX('Materials Master'!$K$2:$K$27,MATCH($C619,'Materials Master'!$A$2:$A$27,0)),"No"))))))="Yes",INDEX('Materials Master'!$E$2:$E$27,MATCH($C619,'Materials Master'!$A$2:$A$27,0))="Yes",$B619&lt;&gt;"Trash"),1,0)</f>
        <v>0</v>
      </c>
      <c r="H619" s="0" t="str">
        <f aca="false">INDEX('Materials Master'!$E$2:$E$27,MATCH($C619,'Materials Master'!$A$2:$A$27,0))</f>
        <v>No</v>
      </c>
      <c r="I619" s="0" t="str">
        <f aca="false">IFERROR(INDEX(Areas!$C$2:$C$6,MATCH($A619,Areas!$B$2:$B$6,0)),"")</f>
        <v>Rest of Building</v>
      </c>
      <c r="J619" s="0" t="n">
        <f aca="false">IF(IF($B619="Trash",INDEX('Materials Master'!$F$2:$F$27,MATCH($C619,'Materials Master'!$A$2:$A$27,0)),IF($B619="GMPC Recycling",INDEX('Materials Master'!$G$2:$G$27,MATCH($C619,'Materials Master'!$A$2:$A$27,0)),IF($B619="Organics Recycling",INDEX('Materials Master'!$H$2:$H$27,MATCH($C619,'Materials Master'!$A$2:$A$27,0)),IF($B619="Cardboard Recycling",INDEX('Materials Master'!$I$2:$I$27,MATCH($C619,'Materials Master'!$A$2:$A$27,0)),IF($B619="Paper Recycling",INDEX('Materials Master'!$J$2:$J$27,MATCH($C619,'Materials Master'!$A$2:$A$27,0)),IF($B619="Terracycle",INDEX('Materials Master'!$K$2:$K$27,MATCH($C619,'Materials Master'!$A$2:$A$27,0)),"No"))))))="Yes",1,0)</f>
        <v>0</v>
      </c>
    </row>
    <row r="620" customFormat="false" ht="15" hidden="false" customHeight="false" outlineLevel="0" collapsed="false">
      <c r="A620" s="0" t="s">
        <v>99</v>
      </c>
      <c r="B620" s="0" t="s">
        <v>108</v>
      </c>
      <c r="C620" s="0" t="s">
        <v>73</v>
      </c>
      <c r="D620" s="0" t="str">
        <f aca="false">IFERROR(INDEX('Materials Master'!$B$2:$B$27,MATCH($C620,'Materials Master'!$A$2:$A$27,0)),"")</f>
        <v>E/U Waste</v>
      </c>
      <c r="E620" s="0" t="str">
        <f aca="false">IFERROR(INDEX('Materials Master'!$C$2:$C$27,MATCH($C620,'Materials Master'!$A$2:$A$27,0)),"")</f>
        <v>Unacceptable</v>
      </c>
      <c r="F620" s="0" t="n">
        <f aca="false">(SUMIFS(Fact_PreSortWeights!$E$2:$E$15,Fact_PreSortWeights!$C$2:$C$15,$A620,Fact_PreSortWeights!$B$2:$B$15,$B620,Fact_PreSortWeights!$F$2:$F$15,$C620))+(SUMIFS(Fact_SortedWeights!$E$2:$E$6,Fact_SortedWeights!$C$2:$C$6,$A620,Fact_SortedWeights!$B$2:$B$6,$B620,Fact_SortedWeights!$D$2:$D$6,$C620,Fact_SortedWeights!$L$2:$L$6,"Yes"))+IF((SUMIFS(Fact_SortedWeights!$E$2:$E$6,Fact_SortedWeights!$C$2:$C$6,$A620,Fact_SortedWeights!$B$2:$B$6,$B620,Fact_SortedWeights!$L$2:$L$6,"No"))=0,0,(SUMIFS(Fact_SortedWeights!$E$2:$E$6,Fact_SortedWeights!$C$2:$C$6,$A620,Fact_SortedWeights!$B$2:$B$6,$B620,Fact_SortedWeights!$D$2:$D$6,$C620,Fact_SortedWeights!$L$2:$L$6,"No"))/(SUMIFS(Fact_SortedWeights!$E$2:$E$6,Fact_SortedWeights!$C$2:$C$6,$A620,Fact_SortedWeights!$B$2:$B$6,$B620,Fact_SortedWeights!$L$2:$L$6,"No"))*((SUMIFS(Fact_PreSortWeights!$E$2:$E$15,Fact_PreSortWeights!$C$2:$C$15,$A620,Fact_PreSortWeights!$B$2:$B$15,$B620,Fact_PreSortWeights!$F$2:$F$15,""))-(SUMIFS(Fact_SortedWeights!$E$2:$E$6,Fact_SortedWeights!$C$2:$C$6,$A620,Fact_SortedWeights!$B$2:$B$6,$B620,Fact_SortedWeights!$L$2:$L$6,"Yes"))))</f>
        <v>0</v>
      </c>
      <c r="G620" s="0" t="n">
        <f aca="false">IF(AND(IF($B620="Trash",INDEX('Materials Master'!$F$2:$F$27,MATCH($C620,'Materials Master'!$A$2:$A$27,0)),IF($B620="GMPC Recycling",INDEX('Materials Master'!$G$2:$G$27,MATCH($C620,'Materials Master'!$A$2:$A$27,0)),IF($B620="Organics Recycling",INDEX('Materials Master'!$H$2:$H$27,MATCH($C620,'Materials Master'!$A$2:$A$27,0)),IF($B620="Cardboard Recycling",INDEX('Materials Master'!$I$2:$I$27,MATCH($C620,'Materials Master'!$A$2:$A$27,0)),IF($B620="Paper Recycling",INDEX('Materials Master'!$J$2:$J$27,MATCH($C620,'Materials Master'!$A$2:$A$27,0)),IF($B620="Terracycle",INDEX('Materials Master'!$K$2:$K$27,MATCH($C620,'Materials Master'!$A$2:$A$27,0)),"No"))))))="Yes",INDEX('Materials Master'!$E$2:$E$27,MATCH($C620,'Materials Master'!$A$2:$A$27,0))="Yes",$B620&lt;&gt;"Trash"),1,0)</f>
        <v>0</v>
      </c>
      <c r="H620" s="0" t="str">
        <f aca="false">INDEX('Materials Master'!$E$2:$E$27,MATCH($C620,'Materials Master'!$A$2:$A$27,0))</f>
        <v>No</v>
      </c>
      <c r="I620" s="0" t="str">
        <f aca="false">IFERROR(INDEX(Areas!$C$2:$C$6,MATCH($A620,Areas!$B$2:$B$6,0)),"")</f>
        <v>Rest of Building</v>
      </c>
      <c r="J620" s="0" t="n">
        <f aca="false">IF(IF($B620="Trash",INDEX('Materials Master'!$F$2:$F$27,MATCH($C620,'Materials Master'!$A$2:$A$27,0)),IF($B620="GMPC Recycling",INDEX('Materials Master'!$G$2:$G$27,MATCH($C620,'Materials Master'!$A$2:$A$27,0)),IF($B620="Organics Recycling",INDEX('Materials Master'!$H$2:$H$27,MATCH($C620,'Materials Master'!$A$2:$A$27,0)),IF($B620="Cardboard Recycling",INDEX('Materials Master'!$I$2:$I$27,MATCH($C620,'Materials Master'!$A$2:$A$27,0)),IF($B620="Paper Recycling",INDEX('Materials Master'!$J$2:$J$27,MATCH($C620,'Materials Master'!$A$2:$A$27,0)),IF($B620="Terracycle",INDEX('Materials Master'!$K$2:$K$27,MATCH($C620,'Materials Master'!$A$2:$A$27,0)),"No"))))))="Yes",1,0)</f>
        <v>0</v>
      </c>
    </row>
    <row r="621" customFormat="false" ht="15" hidden="false" customHeight="false" outlineLevel="0" collapsed="false">
      <c r="A621" s="0" t="s">
        <v>99</v>
      </c>
      <c r="B621" s="0" t="s">
        <v>108</v>
      </c>
      <c r="C621" s="0" t="s">
        <v>76</v>
      </c>
      <c r="D621" s="0" t="str">
        <f aca="false">IFERROR(INDEX('Materials Master'!$B$2:$B$27,MATCH($C621,'Materials Master'!$A$2:$A$27,0)),"")</f>
        <v>Textiles</v>
      </c>
      <c r="E621" s="0" t="str">
        <f aca="false">IFERROR(INDEX('Materials Master'!$C$2:$C$27,MATCH($C621,'Materials Master'!$A$2:$A$27,0)),"")</f>
        <v>Unacceptable</v>
      </c>
      <c r="F621" s="0" t="n">
        <f aca="false">(SUMIFS(Fact_PreSortWeights!$E$2:$E$15,Fact_PreSortWeights!$C$2:$C$15,$A621,Fact_PreSortWeights!$B$2:$B$15,$B621,Fact_PreSortWeights!$F$2:$F$15,$C621))+(SUMIFS(Fact_SortedWeights!$E$2:$E$6,Fact_SortedWeights!$C$2:$C$6,$A621,Fact_SortedWeights!$B$2:$B$6,$B621,Fact_SortedWeights!$D$2:$D$6,$C621,Fact_SortedWeights!$L$2:$L$6,"Yes"))+IF((SUMIFS(Fact_SortedWeights!$E$2:$E$6,Fact_SortedWeights!$C$2:$C$6,$A621,Fact_SortedWeights!$B$2:$B$6,$B621,Fact_SortedWeights!$L$2:$L$6,"No"))=0,0,(SUMIFS(Fact_SortedWeights!$E$2:$E$6,Fact_SortedWeights!$C$2:$C$6,$A621,Fact_SortedWeights!$B$2:$B$6,$B621,Fact_SortedWeights!$D$2:$D$6,$C621,Fact_SortedWeights!$L$2:$L$6,"No"))/(SUMIFS(Fact_SortedWeights!$E$2:$E$6,Fact_SortedWeights!$C$2:$C$6,$A621,Fact_SortedWeights!$B$2:$B$6,$B621,Fact_SortedWeights!$L$2:$L$6,"No"))*((SUMIFS(Fact_PreSortWeights!$E$2:$E$15,Fact_PreSortWeights!$C$2:$C$15,$A621,Fact_PreSortWeights!$B$2:$B$15,$B621,Fact_PreSortWeights!$F$2:$F$15,""))-(SUMIFS(Fact_SortedWeights!$E$2:$E$6,Fact_SortedWeights!$C$2:$C$6,$A621,Fact_SortedWeights!$B$2:$B$6,$B621,Fact_SortedWeights!$L$2:$L$6,"Yes"))))</f>
        <v>0</v>
      </c>
      <c r="G621" s="0" t="n">
        <f aca="false">IF(AND(IF($B621="Trash",INDEX('Materials Master'!$F$2:$F$27,MATCH($C621,'Materials Master'!$A$2:$A$27,0)),IF($B621="GMPC Recycling",INDEX('Materials Master'!$G$2:$G$27,MATCH($C621,'Materials Master'!$A$2:$A$27,0)),IF($B621="Organics Recycling",INDEX('Materials Master'!$H$2:$H$27,MATCH($C621,'Materials Master'!$A$2:$A$27,0)),IF($B621="Cardboard Recycling",INDEX('Materials Master'!$I$2:$I$27,MATCH($C621,'Materials Master'!$A$2:$A$27,0)),IF($B621="Paper Recycling",INDEX('Materials Master'!$J$2:$J$27,MATCH($C621,'Materials Master'!$A$2:$A$27,0)),IF($B621="Terracycle",INDEX('Materials Master'!$K$2:$K$27,MATCH($C621,'Materials Master'!$A$2:$A$27,0)),"No"))))))="Yes",INDEX('Materials Master'!$E$2:$E$27,MATCH($C621,'Materials Master'!$A$2:$A$27,0))="Yes",$B621&lt;&gt;"Trash"),1,0)</f>
        <v>0</v>
      </c>
      <c r="H621" s="0" t="str">
        <f aca="false">INDEX('Materials Master'!$E$2:$E$27,MATCH($C621,'Materials Master'!$A$2:$A$27,0))</f>
        <v>No</v>
      </c>
      <c r="I621" s="0" t="str">
        <f aca="false">IFERROR(INDEX(Areas!$C$2:$C$6,MATCH($A621,Areas!$B$2:$B$6,0)),"")</f>
        <v>Rest of Building</v>
      </c>
      <c r="J621" s="0" t="n">
        <f aca="false">IF(IF($B621="Trash",INDEX('Materials Master'!$F$2:$F$27,MATCH($C621,'Materials Master'!$A$2:$A$27,0)),IF($B621="GMPC Recycling",INDEX('Materials Master'!$G$2:$G$27,MATCH($C621,'Materials Master'!$A$2:$A$27,0)),IF($B621="Organics Recycling",INDEX('Materials Master'!$H$2:$H$27,MATCH($C621,'Materials Master'!$A$2:$A$27,0)),IF($B621="Cardboard Recycling",INDEX('Materials Master'!$I$2:$I$27,MATCH($C621,'Materials Master'!$A$2:$A$27,0)),IF($B621="Paper Recycling",INDEX('Materials Master'!$J$2:$J$27,MATCH($C621,'Materials Master'!$A$2:$A$27,0)),IF($B621="Terracycle",INDEX('Materials Master'!$K$2:$K$27,MATCH($C621,'Materials Master'!$A$2:$A$27,0)),"No"))))))="Yes",1,0)</f>
        <v>0</v>
      </c>
    </row>
    <row r="622" customFormat="false" ht="15" hidden="false" customHeight="false" outlineLevel="0" collapsed="false">
      <c r="A622" s="0" t="s">
        <v>99</v>
      </c>
      <c r="B622" s="0" t="s">
        <v>108</v>
      </c>
      <c r="C622" s="0" t="s">
        <v>78</v>
      </c>
      <c r="D622" s="0" t="str">
        <f aca="false">IFERROR(INDEX('Materials Master'!$B$2:$B$27,MATCH($C622,'Materials Master'!$A$2:$A$27,0)),"")</f>
        <v>Other Unacceptable (specify)</v>
      </c>
      <c r="E622" s="0" t="str">
        <f aca="false">IFERROR(INDEX('Materials Master'!$C$2:$C$27,MATCH($C622,'Materials Master'!$A$2:$A$27,0)),"")</f>
        <v>Unacceptable</v>
      </c>
      <c r="F622" s="0" t="n">
        <f aca="false">(SUMIFS(Fact_PreSortWeights!$E$2:$E$15,Fact_PreSortWeights!$C$2:$C$15,$A622,Fact_PreSortWeights!$B$2:$B$15,$B622,Fact_PreSortWeights!$F$2:$F$15,$C622))+(SUMIFS(Fact_SortedWeights!$E$2:$E$6,Fact_SortedWeights!$C$2:$C$6,$A622,Fact_SortedWeights!$B$2:$B$6,$B622,Fact_SortedWeights!$D$2:$D$6,$C622,Fact_SortedWeights!$L$2:$L$6,"Yes"))+IF((SUMIFS(Fact_SortedWeights!$E$2:$E$6,Fact_SortedWeights!$C$2:$C$6,$A622,Fact_SortedWeights!$B$2:$B$6,$B622,Fact_SortedWeights!$L$2:$L$6,"No"))=0,0,(SUMIFS(Fact_SortedWeights!$E$2:$E$6,Fact_SortedWeights!$C$2:$C$6,$A622,Fact_SortedWeights!$B$2:$B$6,$B622,Fact_SortedWeights!$D$2:$D$6,$C622,Fact_SortedWeights!$L$2:$L$6,"No"))/(SUMIFS(Fact_SortedWeights!$E$2:$E$6,Fact_SortedWeights!$C$2:$C$6,$A622,Fact_SortedWeights!$B$2:$B$6,$B622,Fact_SortedWeights!$L$2:$L$6,"No"))*((SUMIFS(Fact_PreSortWeights!$E$2:$E$15,Fact_PreSortWeights!$C$2:$C$15,$A622,Fact_PreSortWeights!$B$2:$B$15,$B622,Fact_PreSortWeights!$F$2:$F$15,""))-(SUMIFS(Fact_SortedWeights!$E$2:$E$6,Fact_SortedWeights!$C$2:$C$6,$A622,Fact_SortedWeights!$B$2:$B$6,$B622,Fact_SortedWeights!$L$2:$L$6,"Yes"))))</f>
        <v>0</v>
      </c>
      <c r="G622" s="0" t="n">
        <f aca="false">IF(AND(IF($B622="Trash",INDEX('Materials Master'!$F$2:$F$27,MATCH($C622,'Materials Master'!$A$2:$A$27,0)),IF($B622="GMPC Recycling",INDEX('Materials Master'!$G$2:$G$27,MATCH($C622,'Materials Master'!$A$2:$A$27,0)),IF($B622="Organics Recycling",INDEX('Materials Master'!$H$2:$H$27,MATCH($C622,'Materials Master'!$A$2:$A$27,0)),IF($B622="Cardboard Recycling",INDEX('Materials Master'!$I$2:$I$27,MATCH($C622,'Materials Master'!$A$2:$A$27,0)),IF($B622="Paper Recycling",INDEX('Materials Master'!$J$2:$J$27,MATCH($C622,'Materials Master'!$A$2:$A$27,0)),IF($B622="Terracycle",INDEX('Materials Master'!$K$2:$K$27,MATCH($C622,'Materials Master'!$A$2:$A$27,0)),"No"))))))="Yes",INDEX('Materials Master'!$E$2:$E$27,MATCH($C622,'Materials Master'!$A$2:$A$27,0))="Yes",$B622&lt;&gt;"Trash"),1,0)</f>
        <v>0</v>
      </c>
      <c r="H622" s="0" t="str">
        <f aca="false">INDEX('Materials Master'!$E$2:$E$27,MATCH($C622,'Materials Master'!$A$2:$A$27,0))</f>
        <v>No</v>
      </c>
      <c r="I622" s="0" t="str">
        <f aca="false">IFERROR(INDEX(Areas!$C$2:$C$6,MATCH($A622,Areas!$B$2:$B$6,0)),"")</f>
        <v>Rest of Building</v>
      </c>
      <c r="J622" s="0" t="n">
        <f aca="false">IF(IF($B622="Trash",INDEX('Materials Master'!$F$2:$F$27,MATCH($C622,'Materials Master'!$A$2:$A$27,0)),IF($B622="GMPC Recycling",INDEX('Materials Master'!$G$2:$G$27,MATCH($C622,'Materials Master'!$A$2:$A$27,0)),IF($B622="Organics Recycling",INDEX('Materials Master'!$H$2:$H$27,MATCH($C622,'Materials Master'!$A$2:$A$27,0)),IF($B622="Cardboard Recycling",INDEX('Materials Master'!$I$2:$I$27,MATCH($C622,'Materials Master'!$A$2:$A$27,0)),IF($B622="Paper Recycling",INDEX('Materials Master'!$J$2:$J$27,MATCH($C622,'Materials Master'!$A$2:$A$27,0)),IF($B622="Terracycle",INDEX('Materials Master'!$K$2:$K$27,MATCH($C622,'Materials Master'!$A$2:$A$27,0)),"No"))))))="Yes",1,0)</f>
        <v>0</v>
      </c>
    </row>
    <row r="623" customFormat="false" ht="15" hidden="false" customHeight="false" outlineLevel="0" collapsed="false">
      <c r="A623" s="0" t="s">
        <v>99</v>
      </c>
      <c r="B623" s="0" t="s">
        <v>108</v>
      </c>
      <c r="C623" s="0" t="s">
        <v>80</v>
      </c>
      <c r="D623" s="0" t="str">
        <f aca="false">IFERROR(INDEX('Materials Master'!$B$2:$B$27,MATCH($C623,'Materials Master'!$A$2:$A$27,0)),"")</f>
        <v>Liquids</v>
      </c>
      <c r="E623" s="0" t="str">
        <f aca="false">IFERROR(INDEX('Materials Master'!$C$2:$C$27,MATCH($C623,'Materials Master'!$A$2:$A$27,0)),"")</f>
        <v>Unacceptable</v>
      </c>
      <c r="F623" s="0" t="n">
        <f aca="false">(SUMIFS(Fact_PreSortWeights!$E$2:$E$15,Fact_PreSortWeights!$C$2:$C$15,$A623,Fact_PreSortWeights!$B$2:$B$15,$B623,Fact_PreSortWeights!$F$2:$F$15,$C623))+(SUMIFS(Fact_SortedWeights!$E$2:$E$6,Fact_SortedWeights!$C$2:$C$6,$A623,Fact_SortedWeights!$B$2:$B$6,$B623,Fact_SortedWeights!$D$2:$D$6,$C623,Fact_SortedWeights!$L$2:$L$6,"Yes"))+IF((SUMIFS(Fact_SortedWeights!$E$2:$E$6,Fact_SortedWeights!$C$2:$C$6,$A623,Fact_SortedWeights!$B$2:$B$6,$B623,Fact_SortedWeights!$L$2:$L$6,"No"))=0,0,(SUMIFS(Fact_SortedWeights!$E$2:$E$6,Fact_SortedWeights!$C$2:$C$6,$A623,Fact_SortedWeights!$B$2:$B$6,$B623,Fact_SortedWeights!$D$2:$D$6,$C623,Fact_SortedWeights!$L$2:$L$6,"No"))/(SUMIFS(Fact_SortedWeights!$E$2:$E$6,Fact_SortedWeights!$C$2:$C$6,$A623,Fact_SortedWeights!$B$2:$B$6,$B623,Fact_SortedWeights!$L$2:$L$6,"No"))*((SUMIFS(Fact_PreSortWeights!$E$2:$E$15,Fact_PreSortWeights!$C$2:$C$15,$A623,Fact_PreSortWeights!$B$2:$B$15,$B623,Fact_PreSortWeights!$F$2:$F$15,""))-(SUMIFS(Fact_SortedWeights!$E$2:$E$6,Fact_SortedWeights!$C$2:$C$6,$A623,Fact_SortedWeights!$B$2:$B$6,$B623,Fact_SortedWeights!$L$2:$L$6,"Yes"))))</f>
        <v>0</v>
      </c>
      <c r="G623" s="0" t="n">
        <f aca="false">IF(AND(IF($B623="Trash",INDEX('Materials Master'!$F$2:$F$27,MATCH($C623,'Materials Master'!$A$2:$A$27,0)),IF($B623="GMPC Recycling",INDEX('Materials Master'!$G$2:$G$27,MATCH($C623,'Materials Master'!$A$2:$A$27,0)),IF($B623="Organics Recycling",INDEX('Materials Master'!$H$2:$H$27,MATCH($C623,'Materials Master'!$A$2:$A$27,0)),IF($B623="Cardboard Recycling",INDEX('Materials Master'!$I$2:$I$27,MATCH($C623,'Materials Master'!$A$2:$A$27,0)),IF($B623="Paper Recycling",INDEX('Materials Master'!$J$2:$J$27,MATCH($C623,'Materials Master'!$A$2:$A$27,0)),IF($B623="Terracycle",INDEX('Materials Master'!$K$2:$K$27,MATCH($C623,'Materials Master'!$A$2:$A$27,0)),"No"))))))="Yes",INDEX('Materials Master'!$E$2:$E$27,MATCH($C623,'Materials Master'!$A$2:$A$27,0))="Yes",$B623&lt;&gt;"Trash"),1,0)</f>
        <v>0</v>
      </c>
      <c r="H623" s="0" t="str">
        <f aca="false">INDEX('Materials Master'!$E$2:$E$27,MATCH($C623,'Materials Master'!$A$2:$A$27,0))</f>
        <v>No</v>
      </c>
      <c r="I623" s="0" t="str">
        <f aca="false">IFERROR(INDEX(Areas!$C$2:$C$6,MATCH($A623,Areas!$B$2:$B$6,0)),"")</f>
        <v>Rest of Building</v>
      </c>
      <c r="J623" s="0" t="n">
        <f aca="false">IF(IF($B623="Trash",INDEX('Materials Master'!$F$2:$F$27,MATCH($C623,'Materials Master'!$A$2:$A$27,0)),IF($B623="GMPC Recycling",INDEX('Materials Master'!$G$2:$G$27,MATCH($C623,'Materials Master'!$A$2:$A$27,0)),IF($B623="Organics Recycling",INDEX('Materials Master'!$H$2:$H$27,MATCH($C623,'Materials Master'!$A$2:$A$27,0)),IF($B623="Cardboard Recycling",INDEX('Materials Master'!$I$2:$I$27,MATCH($C623,'Materials Master'!$A$2:$A$27,0)),IF($B623="Paper Recycling",INDEX('Materials Master'!$J$2:$J$27,MATCH($C623,'Materials Master'!$A$2:$A$27,0)),IF($B623="Terracycle",INDEX('Materials Master'!$K$2:$K$27,MATCH($C623,'Materials Master'!$A$2:$A$27,0)),"No"))))))="Yes",1,0)</f>
        <v>0</v>
      </c>
    </row>
    <row r="624" customFormat="false" ht="15" hidden="false" customHeight="false" outlineLevel="0" collapsed="false">
      <c r="A624" s="0" t="s">
        <v>99</v>
      </c>
      <c r="B624" s="0" t="s">
        <v>108</v>
      </c>
      <c r="C624" s="0" t="s">
        <v>82</v>
      </c>
      <c r="D624" s="0" t="str">
        <f aca="false">IFERROR(INDEX('Materials Master'!$B$2:$B$27,MATCH($C624,'Materials Master'!$A$2:$A$27,0)),"")</f>
        <v>Snack Wrappers (Composites)</v>
      </c>
      <c r="E624" s="0" t="str">
        <f aca="false">IFERROR(INDEX('Materials Master'!$C$2:$C$27,MATCH($C624,'Materials Master'!$A$2:$A$27,0)),"")</f>
        <v>Other</v>
      </c>
      <c r="F624" s="0" t="n">
        <f aca="false">(SUMIFS(Fact_PreSortWeights!$E$2:$E$15,Fact_PreSortWeights!$C$2:$C$15,$A624,Fact_PreSortWeights!$B$2:$B$15,$B624,Fact_PreSortWeights!$F$2:$F$15,$C624))+(SUMIFS(Fact_SortedWeights!$E$2:$E$6,Fact_SortedWeights!$C$2:$C$6,$A624,Fact_SortedWeights!$B$2:$B$6,$B624,Fact_SortedWeights!$D$2:$D$6,$C624,Fact_SortedWeights!$L$2:$L$6,"Yes"))+IF((SUMIFS(Fact_SortedWeights!$E$2:$E$6,Fact_SortedWeights!$C$2:$C$6,$A624,Fact_SortedWeights!$B$2:$B$6,$B624,Fact_SortedWeights!$L$2:$L$6,"No"))=0,0,(SUMIFS(Fact_SortedWeights!$E$2:$E$6,Fact_SortedWeights!$C$2:$C$6,$A624,Fact_SortedWeights!$B$2:$B$6,$B624,Fact_SortedWeights!$D$2:$D$6,$C624,Fact_SortedWeights!$L$2:$L$6,"No"))/(SUMIFS(Fact_SortedWeights!$E$2:$E$6,Fact_SortedWeights!$C$2:$C$6,$A624,Fact_SortedWeights!$B$2:$B$6,$B624,Fact_SortedWeights!$L$2:$L$6,"No"))*((SUMIFS(Fact_PreSortWeights!$E$2:$E$15,Fact_PreSortWeights!$C$2:$C$15,$A624,Fact_PreSortWeights!$B$2:$B$15,$B624,Fact_PreSortWeights!$F$2:$F$15,""))-(SUMIFS(Fact_SortedWeights!$E$2:$E$6,Fact_SortedWeights!$C$2:$C$6,$A624,Fact_SortedWeights!$B$2:$B$6,$B624,Fact_SortedWeights!$L$2:$L$6,"Yes"))))</f>
        <v>0</v>
      </c>
      <c r="G624" s="0" t="n">
        <f aca="false">IF(AND(IF($B624="Trash",INDEX('Materials Master'!$F$2:$F$27,MATCH($C624,'Materials Master'!$A$2:$A$27,0)),IF($B624="GMPC Recycling",INDEX('Materials Master'!$G$2:$G$27,MATCH($C624,'Materials Master'!$A$2:$A$27,0)),IF($B624="Organics Recycling",INDEX('Materials Master'!$H$2:$H$27,MATCH($C624,'Materials Master'!$A$2:$A$27,0)),IF($B624="Cardboard Recycling",INDEX('Materials Master'!$I$2:$I$27,MATCH($C624,'Materials Master'!$A$2:$A$27,0)),IF($B624="Paper Recycling",INDEX('Materials Master'!$J$2:$J$27,MATCH($C624,'Materials Master'!$A$2:$A$27,0)),IF($B624="Terracycle",INDEX('Materials Master'!$K$2:$K$27,MATCH($C624,'Materials Master'!$A$2:$A$27,0)),"No"))))))="Yes",INDEX('Materials Master'!$E$2:$E$27,MATCH($C624,'Materials Master'!$A$2:$A$27,0))="Yes",$B624&lt;&gt;"Trash"),1,0)</f>
        <v>1</v>
      </c>
      <c r="H624" s="0" t="str">
        <f aca="false">INDEX('Materials Master'!$E$2:$E$27,MATCH($C624,'Materials Master'!$A$2:$A$27,0))</f>
        <v>Yes</v>
      </c>
      <c r="I624" s="0" t="str">
        <f aca="false">IFERROR(INDEX(Areas!$C$2:$C$6,MATCH($A624,Areas!$B$2:$B$6,0)),"")</f>
        <v>Rest of Building</v>
      </c>
      <c r="J624" s="0" t="n">
        <f aca="false">IF(IF($B624="Trash",INDEX('Materials Master'!$F$2:$F$27,MATCH($C624,'Materials Master'!$A$2:$A$27,0)),IF($B624="GMPC Recycling",INDEX('Materials Master'!$G$2:$G$27,MATCH($C624,'Materials Master'!$A$2:$A$27,0)),IF($B624="Organics Recycling",INDEX('Materials Master'!$H$2:$H$27,MATCH($C624,'Materials Master'!$A$2:$A$27,0)),IF($B624="Cardboard Recycling",INDEX('Materials Master'!$I$2:$I$27,MATCH($C624,'Materials Master'!$A$2:$A$27,0)),IF($B624="Paper Recycling",INDEX('Materials Master'!$J$2:$J$27,MATCH($C624,'Materials Master'!$A$2:$A$27,0)),IF($B624="Terracycle",INDEX('Materials Master'!$K$2:$K$27,MATCH($C624,'Materials Master'!$A$2:$A$27,0)),"No"))))))="Yes",1,0)</f>
        <v>1</v>
      </c>
    </row>
    <row r="625" customFormat="false" ht="15" hidden="false" customHeight="false" outlineLevel="0" collapsed="false">
      <c r="A625" s="0" t="s">
        <v>99</v>
      </c>
      <c r="B625" s="0" t="s">
        <v>108</v>
      </c>
      <c r="C625" s="0" t="s">
        <v>85</v>
      </c>
      <c r="D625" s="0" t="str">
        <f aca="false">IFERROR(INDEX('Materials Master'!$B$2:$B$27,MATCH($C625,'Materials Master'!$A$2:$A$27,0)),"")</f>
        <v>Other/Residual Materials</v>
      </c>
      <c r="E625" s="0" t="str">
        <f aca="false">IFERROR(INDEX('Materials Master'!$C$2:$C$27,MATCH($C625,'Materials Master'!$A$2:$A$27,0)),"")</f>
        <v>Other</v>
      </c>
      <c r="F625" s="0" t="n">
        <f aca="false">(SUMIFS(Fact_PreSortWeights!$E$2:$E$15,Fact_PreSortWeights!$C$2:$C$15,$A625,Fact_PreSortWeights!$B$2:$B$15,$B625,Fact_PreSortWeights!$F$2:$F$15,$C625))+(SUMIFS(Fact_SortedWeights!$E$2:$E$6,Fact_SortedWeights!$C$2:$C$6,$A625,Fact_SortedWeights!$B$2:$B$6,$B625,Fact_SortedWeights!$D$2:$D$6,$C625,Fact_SortedWeights!$L$2:$L$6,"Yes"))+IF((SUMIFS(Fact_SortedWeights!$E$2:$E$6,Fact_SortedWeights!$C$2:$C$6,$A625,Fact_SortedWeights!$B$2:$B$6,$B625,Fact_SortedWeights!$L$2:$L$6,"No"))=0,0,(SUMIFS(Fact_SortedWeights!$E$2:$E$6,Fact_SortedWeights!$C$2:$C$6,$A625,Fact_SortedWeights!$B$2:$B$6,$B625,Fact_SortedWeights!$D$2:$D$6,$C625,Fact_SortedWeights!$L$2:$L$6,"No"))/(SUMIFS(Fact_SortedWeights!$E$2:$E$6,Fact_SortedWeights!$C$2:$C$6,$A625,Fact_SortedWeights!$B$2:$B$6,$B625,Fact_SortedWeights!$L$2:$L$6,"No"))*((SUMIFS(Fact_PreSortWeights!$E$2:$E$15,Fact_PreSortWeights!$C$2:$C$15,$A625,Fact_PreSortWeights!$B$2:$B$15,$B625,Fact_PreSortWeights!$F$2:$F$15,""))-(SUMIFS(Fact_SortedWeights!$E$2:$E$6,Fact_SortedWeights!$C$2:$C$6,$A625,Fact_SortedWeights!$B$2:$B$6,$B625,Fact_SortedWeights!$L$2:$L$6,"Yes"))))</f>
        <v>0</v>
      </c>
      <c r="G625" s="0" t="n">
        <f aca="false">IF(AND(IF($B625="Trash",INDEX('Materials Master'!$F$2:$F$27,MATCH($C625,'Materials Master'!$A$2:$A$27,0)),IF($B625="GMPC Recycling",INDEX('Materials Master'!$G$2:$G$27,MATCH($C625,'Materials Master'!$A$2:$A$27,0)),IF($B625="Organics Recycling",INDEX('Materials Master'!$H$2:$H$27,MATCH($C625,'Materials Master'!$A$2:$A$27,0)),IF($B625="Cardboard Recycling",INDEX('Materials Master'!$I$2:$I$27,MATCH($C625,'Materials Master'!$A$2:$A$27,0)),IF($B625="Paper Recycling",INDEX('Materials Master'!$J$2:$J$27,MATCH($C625,'Materials Master'!$A$2:$A$27,0)),IF($B625="Terracycle",INDEX('Materials Master'!$K$2:$K$27,MATCH($C625,'Materials Master'!$A$2:$A$27,0)),"No"))))))="Yes",INDEX('Materials Master'!$E$2:$E$27,MATCH($C625,'Materials Master'!$A$2:$A$27,0))="Yes",$B625&lt;&gt;"Trash"),1,0)</f>
        <v>0</v>
      </c>
      <c r="H625" s="0" t="str">
        <f aca="false">INDEX('Materials Master'!$E$2:$E$27,MATCH($C625,'Materials Master'!$A$2:$A$27,0))</f>
        <v>No</v>
      </c>
      <c r="I625" s="0" t="str">
        <f aca="false">IFERROR(INDEX(Areas!$C$2:$C$6,MATCH($A625,Areas!$B$2:$B$6,0)),"")</f>
        <v>Rest of Building</v>
      </c>
      <c r="J625" s="0" t="n">
        <f aca="false">IF(IF($B625="Trash",INDEX('Materials Master'!$F$2:$F$27,MATCH($C625,'Materials Master'!$A$2:$A$27,0)),IF($B625="GMPC Recycling",INDEX('Materials Master'!$G$2:$G$27,MATCH($C625,'Materials Master'!$A$2:$A$27,0)),IF($B625="Organics Recycling",INDEX('Materials Master'!$H$2:$H$27,MATCH($C625,'Materials Master'!$A$2:$A$27,0)),IF($B625="Cardboard Recycling",INDEX('Materials Master'!$I$2:$I$27,MATCH($C625,'Materials Master'!$A$2:$A$27,0)),IF($B625="Paper Recycling",INDEX('Materials Master'!$J$2:$J$27,MATCH($C625,'Materials Master'!$A$2:$A$27,0)),IF($B625="Terracycle",INDEX('Materials Master'!$K$2:$K$27,MATCH($C625,'Materials Master'!$A$2:$A$27,0)),"No"))))))="Yes",1,0)</f>
        <v>0</v>
      </c>
    </row>
    <row r="626" customFormat="false" ht="15" hidden="false" customHeight="false" outlineLevel="0" collapsed="false">
      <c r="A626" s="0" t="s">
        <v>100</v>
      </c>
      <c r="B626" s="0" t="s">
        <v>103</v>
      </c>
      <c r="C626" s="0" t="s">
        <v>26</v>
      </c>
      <c r="D626" s="0" t="str">
        <f aca="false">IFERROR(INDEX('Materials Master'!$B$2:$B$27,MATCH($C626,'Materials Master'!$A$2:$A$27,0)),"")</f>
        <v>Corrugated Cardboard</v>
      </c>
      <c r="E626" s="0" t="str">
        <f aca="false">IFERROR(INDEX('Materials Master'!$C$2:$C$27,MATCH($C626,'Materials Master'!$A$2:$A$27,0)),"")</f>
        <v>Fibers</v>
      </c>
      <c r="F626" s="0" t="n">
        <f aca="false">(SUMIFS(Fact_PreSortWeights!$E$2:$E$15,Fact_PreSortWeights!$C$2:$C$15,$A626,Fact_PreSortWeights!$B$2:$B$15,$B626,Fact_PreSortWeights!$F$2:$F$15,$C626))+(SUMIFS(Fact_SortedWeights!$E$2:$E$6,Fact_SortedWeights!$C$2:$C$6,$A626,Fact_SortedWeights!$B$2:$B$6,$B626,Fact_SortedWeights!$D$2:$D$6,$C626,Fact_SortedWeights!$L$2:$L$6,"Yes"))+IF((SUMIFS(Fact_SortedWeights!$E$2:$E$6,Fact_SortedWeights!$C$2:$C$6,$A626,Fact_SortedWeights!$B$2:$B$6,$B626,Fact_SortedWeights!$L$2:$L$6,"No"))=0,0,(SUMIFS(Fact_SortedWeights!$E$2:$E$6,Fact_SortedWeights!$C$2:$C$6,$A626,Fact_SortedWeights!$B$2:$B$6,$B626,Fact_SortedWeights!$D$2:$D$6,$C626,Fact_SortedWeights!$L$2:$L$6,"No"))/(SUMIFS(Fact_SortedWeights!$E$2:$E$6,Fact_SortedWeights!$C$2:$C$6,$A626,Fact_SortedWeights!$B$2:$B$6,$B626,Fact_SortedWeights!$L$2:$L$6,"No"))*((SUMIFS(Fact_PreSortWeights!$E$2:$E$15,Fact_PreSortWeights!$C$2:$C$15,$A626,Fact_PreSortWeights!$B$2:$B$15,$B626,Fact_PreSortWeights!$F$2:$F$15,""))-(SUMIFS(Fact_SortedWeights!$E$2:$E$6,Fact_SortedWeights!$C$2:$C$6,$A626,Fact_SortedWeights!$B$2:$B$6,$B626,Fact_SortedWeights!$L$2:$L$6,"Yes"))))</f>
        <v>0</v>
      </c>
      <c r="G626" s="0" t="n">
        <f aca="false">IF(AND(IF($B626="Trash",INDEX('Materials Master'!$F$2:$F$27,MATCH($C626,'Materials Master'!$A$2:$A$27,0)),IF($B626="GMPC Recycling",INDEX('Materials Master'!$G$2:$G$27,MATCH($C626,'Materials Master'!$A$2:$A$27,0)),IF($B626="Organics Recycling",INDEX('Materials Master'!$H$2:$H$27,MATCH($C626,'Materials Master'!$A$2:$A$27,0)),IF($B626="Cardboard Recycling",INDEX('Materials Master'!$I$2:$I$27,MATCH($C626,'Materials Master'!$A$2:$A$27,0)),IF($B626="Paper Recycling",INDEX('Materials Master'!$J$2:$J$27,MATCH($C626,'Materials Master'!$A$2:$A$27,0)),IF($B626="Terracycle",INDEX('Materials Master'!$K$2:$K$27,MATCH($C626,'Materials Master'!$A$2:$A$27,0)),"No"))))))="Yes",INDEX('Materials Master'!$E$2:$E$27,MATCH($C626,'Materials Master'!$A$2:$A$27,0))="Yes",$B626&lt;&gt;"Trash"),1,0)</f>
        <v>0</v>
      </c>
      <c r="H626" s="0" t="str">
        <f aca="false">INDEX('Materials Master'!$E$2:$E$27,MATCH($C626,'Materials Master'!$A$2:$A$27,0))</f>
        <v>Yes</v>
      </c>
      <c r="I626" s="0" t="str">
        <f aca="false">IFERROR(INDEX(Areas!$C$2:$C$6,MATCH($A626,Areas!$B$2:$B$6,0)),"")</f>
        <v>Rest of Building</v>
      </c>
      <c r="J626" s="0" t="n">
        <f aca="false">IF(IF($B626="Trash",INDEX('Materials Master'!$F$2:$F$27,MATCH($C626,'Materials Master'!$A$2:$A$27,0)),IF($B626="GMPC Recycling",INDEX('Materials Master'!$G$2:$G$27,MATCH($C626,'Materials Master'!$A$2:$A$27,0)),IF($B626="Organics Recycling",INDEX('Materials Master'!$H$2:$H$27,MATCH($C626,'Materials Master'!$A$2:$A$27,0)),IF($B626="Cardboard Recycling",INDEX('Materials Master'!$I$2:$I$27,MATCH($C626,'Materials Master'!$A$2:$A$27,0)),IF($B626="Paper Recycling",INDEX('Materials Master'!$J$2:$J$27,MATCH($C626,'Materials Master'!$A$2:$A$27,0)),IF($B626="Terracycle",INDEX('Materials Master'!$K$2:$K$27,MATCH($C626,'Materials Master'!$A$2:$A$27,0)),"No"))))))="Yes",1,0)</f>
        <v>0</v>
      </c>
    </row>
    <row r="627" customFormat="false" ht="15" hidden="false" customHeight="false" outlineLevel="0" collapsed="false">
      <c r="A627" s="0" t="s">
        <v>100</v>
      </c>
      <c r="B627" s="0" t="s">
        <v>103</v>
      </c>
      <c r="C627" s="0" t="s">
        <v>31</v>
      </c>
      <c r="D627" s="0" t="str">
        <f aca="false">IFERROR(INDEX('Materials Master'!$B$2:$B$27,MATCH($C627,'Materials Master'!$A$2:$A$27,0)),"")</f>
        <v>Soiled Cardboard</v>
      </c>
      <c r="E627" s="0" t="str">
        <f aca="false">IFERROR(INDEX('Materials Master'!$C$2:$C$27,MATCH($C627,'Materials Master'!$A$2:$A$27,0)),"")</f>
        <v>Fibers</v>
      </c>
      <c r="F627" s="0" t="n">
        <f aca="false">(SUMIFS(Fact_PreSortWeights!$E$2:$E$15,Fact_PreSortWeights!$C$2:$C$15,$A627,Fact_PreSortWeights!$B$2:$B$15,$B627,Fact_PreSortWeights!$F$2:$F$15,$C627))+(SUMIFS(Fact_SortedWeights!$E$2:$E$6,Fact_SortedWeights!$C$2:$C$6,$A627,Fact_SortedWeights!$B$2:$B$6,$B627,Fact_SortedWeights!$D$2:$D$6,$C627,Fact_SortedWeights!$L$2:$L$6,"Yes"))+IF((SUMIFS(Fact_SortedWeights!$E$2:$E$6,Fact_SortedWeights!$C$2:$C$6,$A627,Fact_SortedWeights!$B$2:$B$6,$B627,Fact_SortedWeights!$L$2:$L$6,"No"))=0,0,(SUMIFS(Fact_SortedWeights!$E$2:$E$6,Fact_SortedWeights!$C$2:$C$6,$A627,Fact_SortedWeights!$B$2:$B$6,$B627,Fact_SortedWeights!$D$2:$D$6,$C627,Fact_SortedWeights!$L$2:$L$6,"No"))/(SUMIFS(Fact_SortedWeights!$E$2:$E$6,Fact_SortedWeights!$C$2:$C$6,$A627,Fact_SortedWeights!$B$2:$B$6,$B627,Fact_SortedWeights!$L$2:$L$6,"No"))*((SUMIFS(Fact_PreSortWeights!$E$2:$E$15,Fact_PreSortWeights!$C$2:$C$15,$A627,Fact_PreSortWeights!$B$2:$B$15,$B627,Fact_PreSortWeights!$F$2:$F$15,""))-(SUMIFS(Fact_SortedWeights!$E$2:$E$6,Fact_SortedWeights!$C$2:$C$6,$A627,Fact_SortedWeights!$B$2:$B$6,$B627,Fact_SortedWeights!$L$2:$L$6,"Yes"))))</f>
        <v>0</v>
      </c>
      <c r="G627" s="0" t="n">
        <f aca="false">IF(AND(IF($B627="Trash",INDEX('Materials Master'!$F$2:$F$27,MATCH($C627,'Materials Master'!$A$2:$A$27,0)),IF($B627="GMPC Recycling",INDEX('Materials Master'!$G$2:$G$27,MATCH($C627,'Materials Master'!$A$2:$A$27,0)),IF($B627="Organics Recycling",INDEX('Materials Master'!$H$2:$H$27,MATCH($C627,'Materials Master'!$A$2:$A$27,0)),IF($B627="Cardboard Recycling",INDEX('Materials Master'!$I$2:$I$27,MATCH($C627,'Materials Master'!$A$2:$A$27,0)),IF($B627="Paper Recycling",INDEX('Materials Master'!$J$2:$J$27,MATCH($C627,'Materials Master'!$A$2:$A$27,0)),IF($B627="Terracycle",INDEX('Materials Master'!$K$2:$K$27,MATCH($C627,'Materials Master'!$A$2:$A$27,0)),"No"))))))="Yes",INDEX('Materials Master'!$E$2:$E$27,MATCH($C627,'Materials Master'!$A$2:$A$27,0))="Yes",$B627&lt;&gt;"Trash"),1,0)</f>
        <v>0</v>
      </c>
      <c r="H627" s="0" t="str">
        <f aca="false">INDEX('Materials Master'!$E$2:$E$27,MATCH($C627,'Materials Master'!$A$2:$A$27,0))</f>
        <v>No</v>
      </c>
      <c r="I627" s="0" t="str">
        <f aca="false">IFERROR(INDEX(Areas!$C$2:$C$6,MATCH($A627,Areas!$B$2:$B$6,0)),"")</f>
        <v>Rest of Building</v>
      </c>
      <c r="J627" s="0" t="n">
        <f aca="false">IF(IF($B627="Trash",INDEX('Materials Master'!$F$2:$F$27,MATCH($C627,'Materials Master'!$A$2:$A$27,0)),IF($B627="GMPC Recycling",INDEX('Materials Master'!$G$2:$G$27,MATCH($C627,'Materials Master'!$A$2:$A$27,0)),IF($B627="Organics Recycling",INDEX('Materials Master'!$H$2:$H$27,MATCH($C627,'Materials Master'!$A$2:$A$27,0)),IF($B627="Cardboard Recycling",INDEX('Materials Master'!$I$2:$I$27,MATCH($C627,'Materials Master'!$A$2:$A$27,0)),IF($B627="Paper Recycling",INDEX('Materials Master'!$J$2:$J$27,MATCH($C627,'Materials Master'!$A$2:$A$27,0)),IF($B627="Terracycle",INDEX('Materials Master'!$K$2:$K$27,MATCH($C627,'Materials Master'!$A$2:$A$27,0)),"No"))))))="Yes",1,0)</f>
        <v>1</v>
      </c>
    </row>
    <row r="628" customFormat="false" ht="15" hidden="false" customHeight="false" outlineLevel="0" collapsed="false">
      <c r="A628" s="0" t="s">
        <v>100</v>
      </c>
      <c r="B628" s="0" t="s">
        <v>103</v>
      </c>
      <c r="C628" s="0" t="s">
        <v>33</v>
      </c>
      <c r="D628" s="0" t="str">
        <f aca="false">IFERROR(INDEX('Materials Master'!$B$2:$B$27,MATCH($C628,'Materials Master'!$A$2:$A$27,0)),"")</f>
        <v>Waxed Cardboard</v>
      </c>
      <c r="E628" s="0" t="str">
        <f aca="false">IFERROR(INDEX('Materials Master'!$C$2:$C$27,MATCH($C628,'Materials Master'!$A$2:$A$27,0)),"")</f>
        <v>Fibers</v>
      </c>
      <c r="F628" s="0" t="n">
        <f aca="false">(SUMIFS(Fact_PreSortWeights!$E$2:$E$15,Fact_PreSortWeights!$C$2:$C$15,$A628,Fact_PreSortWeights!$B$2:$B$15,$B628,Fact_PreSortWeights!$F$2:$F$15,$C628))+(SUMIFS(Fact_SortedWeights!$E$2:$E$6,Fact_SortedWeights!$C$2:$C$6,$A628,Fact_SortedWeights!$B$2:$B$6,$B628,Fact_SortedWeights!$D$2:$D$6,$C628,Fact_SortedWeights!$L$2:$L$6,"Yes"))+IF((SUMIFS(Fact_SortedWeights!$E$2:$E$6,Fact_SortedWeights!$C$2:$C$6,$A628,Fact_SortedWeights!$B$2:$B$6,$B628,Fact_SortedWeights!$L$2:$L$6,"No"))=0,0,(SUMIFS(Fact_SortedWeights!$E$2:$E$6,Fact_SortedWeights!$C$2:$C$6,$A628,Fact_SortedWeights!$B$2:$B$6,$B628,Fact_SortedWeights!$D$2:$D$6,$C628,Fact_SortedWeights!$L$2:$L$6,"No"))/(SUMIFS(Fact_SortedWeights!$E$2:$E$6,Fact_SortedWeights!$C$2:$C$6,$A628,Fact_SortedWeights!$B$2:$B$6,$B628,Fact_SortedWeights!$L$2:$L$6,"No"))*((SUMIFS(Fact_PreSortWeights!$E$2:$E$15,Fact_PreSortWeights!$C$2:$C$15,$A628,Fact_PreSortWeights!$B$2:$B$15,$B628,Fact_PreSortWeights!$F$2:$F$15,""))-(SUMIFS(Fact_SortedWeights!$E$2:$E$6,Fact_SortedWeights!$C$2:$C$6,$A628,Fact_SortedWeights!$B$2:$B$6,$B628,Fact_SortedWeights!$L$2:$L$6,"Yes"))))</f>
        <v>0</v>
      </c>
      <c r="G628" s="0" t="n">
        <f aca="false">IF(AND(IF($B628="Trash",INDEX('Materials Master'!$F$2:$F$27,MATCH($C628,'Materials Master'!$A$2:$A$27,0)),IF($B628="GMPC Recycling",INDEX('Materials Master'!$G$2:$G$27,MATCH($C628,'Materials Master'!$A$2:$A$27,0)),IF($B628="Organics Recycling",INDEX('Materials Master'!$H$2:$H$27,MATCH($C628,'Materials Master'!$A$2:$A$27,0)),IF($B628="Cardboard Recycling",INDEX('Materials Master'!$I$2:$I$27,MATCH($C628,'Materials Master'!$A$2:$A$27,0)),IF($B628="Paper Recycling",INDEX('Materials Master'!$J$2:$J$27,MATCH($C628,'Materials Master'!$A$2:$A$27,0)),IF($B628="Terracycle",INDEX('Materials Master'!$K$2:$K$27,MATCH($C628,'Materials Master'!$A$2:$A$27,0)),"No"))))))="Yes",INDEX('Materials Master'!$E$2:$E$27,MATCH($C628,'Materials Master'!$A$2:$A$27,0))="Yes",$B628&lt;&gt;"Trash"),1,0)</f>
        <v>0</v>
      </c>
      <c r="H628" s="0" t="str">
        <f aca="false">INDEX('Materials Master'!$E$2:$E$27,MATCH($C628,'Materials Master'!$A$2:$A$27,0))</f>
        <v>No</v>
      </c>
      <c r="I628" s="0" t="str">
        <f aca="false">IFERROR(INDEX(Areas!$C$2:$C$6,MATCH($A628,Areas!$B$2:$B$6,0)),"")</f>
        <v>Rest of Building</v>
      </c>
      <c r="J628" s="0" t="n">
        <f aca="false">IF(IF($B628="Trash",INDEX('Materials Master'!$F$2:$F$27,MATCH($C628,'Materials Master'!$A$2:$A$27,0)),IF($B628="GMPC Recycling",INDEX('Materials Master'!$G$2:$G$27,MATCH($C628,'Materials Master'!$A$2:$A$27,0)),IF($B628="Organics Recycling",INDEX('Materials Master'!$H$2:$H$27,MATCH($C628,'Materials Master'!$A$2:$A$27,0)),IF($B628="Cardboard Recycling",INDEX('Materials Master'!$I$2:$I$27,MATCH($C628,'Materials Master'!$A$2:$A$27,0)),IF($B628="Paper Recycling",INDEX('Materials Master'!$J$2:$J$27,MATCH($C628,'Materials Master'!$A$2:$A$27,0)),IF($B628="Terracycle",INDEX('Materials Master'!$K$2:$K$27,MATCH($C628,'Materials Master'!$A$2:$A$27,0)),"No"))))))="Yes",1,0)</f>
        <v>1</v>
      </c>
    </row>
    <row r="629" customFormat="false" ht="15" hidden="false" customHeight="false" outlineLevel="0" collapsed="false">
      <c r="A629" s="0" t="s">
        <v>100</v>
      </c>
      <c r="B629" s="0" t="s">
        <v>103</v>
      </c>
      <c r="C629" s="0" t="s">
        <v>35</v>
      </c>
      <c r="D629" s="0" t="str">
        <f aca="false">IFERROR(INDEX('Materials Master'!$B$2:$B$27,MATCH($C629,'Materials Master'!$A$2:$A$27,0)),"")</f>
        <v>Mixed Paper</v>
      </c>
      <c r="E629" s="0" t="str">
        <f aca="false">IFERROR(INDEX('Materials Master'!$C$2:$C$27,MATCH($C629,'Materials Master'!$A$2:$A$27,0)),"")</f>
        <v>Fibers</v>
      </c>
      <c r="F629" s="0" t="n">
        <f aca="false">(SUMIFS(Fact_PreSortWeights!$E$2:$E$15,Fact_PreSortWeights!$C$2:$C$15,$A629,Fact_PreSortWeights!$B$2:$B$15,$B629,Fact_PreSortWeights!$F$2:$F$15,$C629))+(SUMIFS(Fact_SortedWeights!$E$2:$E$6,Fact_SortedWeights!$C$2:$C$6,$A629,Fact_SortedWeights!$B$2:$B$6,$B629,Fact_SortedWeights!$D$2:$D$6,$C629,Fact_SortedWeights!$L$2:$L$6,"Yes"))+IF((SUMIFS(Fact_SortedWeights!$E$2:$E$6,Fact_SortedWeights!$C$2:$C$6,$A629,Fact_SortedWeights!$B$2:$B$6,$B629,Fact_SortedWeights!$L$2:$L$6,"No"))=0,0,(SUMIFS(Fact_SortedWeights!$E$2:$E$6,Fact_SortedWeights!$C$2:$C$6,$A629,Fact_SortedWeights!$B$2:$B$6,$B629,Fact_SortedWeights!$D$2:$D$6,$C629,Fact_SortedWeights!$L$2:$L$6,"No"))/(SUMIFS(Fact_SortedWeights!$E$2:$E$6,Fact_SortedWeights!$C$2:$C$6,$A629,Fact_SortedWeights!$B$2:$B$6,$B629,Fact_SortedWeights!$L$2:$L$6,"No"))*((SUMIFS(Fact_PreSortWeights!$E$2:$E$15,Fact_PreSortWeights!$C$2:$C$15,$A629,Fact_PreSortWeights!$B$2:$B$15,$B629,Fact_PreSortWeights!$F$2:$F$15,""))-(SUMIFS(Fact_SortedWeights!$E$2:$E$6,Fact_SortedWeights!$C$2:$C$6,$A629,Fact_SortedWeights!$B$2:$B$6,$B629,Fact_SortedWeights!$L$2:$L$6,"Yes"))))</f>
        <v>0</v>
      </c>
      <c r="G629" s="0" t="n">
        <f aca="false">IF(AND(IF($B629="Trash",INDEX('Materials Master'!$F$2:$F$27,MATCH($C629,'Materials Master'!$A$2:$A$27,0)),IF($B629="GMPC Recycling",INDEX('Materials Master'!$G$2:$G$27,MATCH($C629,'Materials Master'!$A$2:$A$27,0)),IF($B629="Organics Recycling",INDEX('Materials Master'!$H$2:$H$27,MATCH($C629,'Materials Master'!$A$2:$A$27,0)),IF($B629="Cardboard Recycling",INDEX('Materials Master'!$I$2:$I$27,MATCH($C629,'Materials Master'!$A$2:$A$27,0)),IF($B629="Paper Recycling",INDEX('Materials Master'!$J$2:$J$27,MATCH($C629,'Materials Master'!$A$2:$A$27,0)),IF($B629="Terracycle",INDEX('Materials Master'!$K$2:$K$27,MATCH($C629,'Materials Master'!$A$2:$A$27,0)),"No"))))))="Yes",INDEX('Materials Master'!$E$2:$E$27,MATCH($C629,'Materials Master'!$A$2:$A$27,0))="Yes",$B629&lt;&gt;"Trash"),1,0)</f>
        <v>0</v>
      </c>
      <c r="H629" s="0" t="str">
        <f aca="false">INDEX('Materials Master'!$E$2:$E$27,MATCH($C629,'Materials Master'!$A$2:$A$27,0))</f>
        <v>Yes</v>
      </c>
      <c r="I629" s="0" t="str">
        <f aca="false">IFERROR(INDEX(Areas!$C$2:$C$6,MATCH($A629,Areas!$B$2:$B$6,0)),"")</f>
        <v>Rest of Building</v>
      </c>
      <c r="J629" s="0" t="n">
        <f aca="false">IF(IF($B629="Trash",INDEX('Materials Master'!$F$2:$F$27,MATCH($C629,'Materials Master'!$A$2:$A$27,0)),IF($B629="GMPC Recycling",INDEX('Materials Master'!$G$2:$G$27,MATCH($C629,'Materials Master'!$A$2:$A$27,0)),IF($B629="Organics Recycling",INDEX('Materials Master'!$H$2:$H$27,MATCH($C629,'Materials Master'!$A$2:$A$27,0)),IF($B629="Cardboard Recycling",INDEX('Materials Master'!$I$2:$I$27,MATCH($C629,'Materials Master'!$A$2:$A$27,0)),IF($B629="Paper Recycling",INDEX('Materials Master'!$J$2:$J$27,MATCH($C629,'Materials Master'!$A$2:$A$27,0)),IF($B629="Terracycle",INDEX('Materials Master'!$K$2:$K$27,MATCH($C629,'Materials Master'!$A$2:$A$27,0)),"No"))))))="Yes",1,0)</f>
        <v>0</v>
      </c>
    </row>
    <row r="630" customFormat="false" ht="15" hidden="false" customHeight="false" outlineLevel="0" collapsed="false">
      <c r="A630" s="0" t="s">
        <v>100</v>
      </c>
      <c r="B630" s="0" t="s">
        <v>103</v>
      </c>
      <c r="C630" s="0" t="s">
        <v>37</v>
      </c>
      <c r="D630" s="0" t="str">
        <f aca="false">IFERROR(INDEX('Materials Master'!$B$2:$B$27,MATCH($C630,'Materials Master'!$A$2:$A$27,0)),"")</f>
        <v>Soiled Paper</v>
      </c>
      <c r="E630" s="0" t="str">
        <f aca="false">IFERROR(INDEX('Materials Master'!$C$2:$C$27,MATCH($C630,'Materials Master'!$A$2:$A$27,0)),"")</f>
        <v>Fibers</v>
      </c>
      <c r="F630" s="0" t="n">
        <f aca="false">(SUMIFS(Fact_PreSortWeights!$E$2:$E$15,Fact_PreSortWeights!$C$2:$C$15,$A630,Fact_PreSortWeights!$B$2:$B$15,$B630,Fact_PreSortWeights!$F$2:$F$15,$C630))+(SUMIFS(Fact_SortedWeights!$E$2:$E$6,Fact_SortedWeights!$C$2:$C$6,$A630,Fact_SortedWeights!$B$2:$B$6,$B630,Fact_SortedWeights!$D$2:$D$6,$C630,Fact_SortedWeights!$L$2:$L$6,"Yes"))+IF((SUMIFS(Fact_SortedWeights!$E$2:$E$6,Fact_SortedWeights!$C$2:$C$6,$A630,Fact_SortedWeights!$B$2:$B$6,$B630,Fact_SortedWeights!$L$2:$L$6,"No"))=0,0,(SUMIFS(Fact_SortedWeights!$E$2:$E$6,Fact_SortedWeights!$C$2:$C$6,$A630,Fact_SortedWeights!$B$2:$B$6,$B630,Fact_SortedWeights!$D$2:$D$6,$C630,Fact_SortedWeights!$L$2:$L$6,"No"))/(SUMIFS(Fact_SortedWeights!$E$2:$E$6,Fact_SortedWeights!$C$2:$C$6,$A630,Fact_SortedWeights!$B$2:$B$6,$B630,Fact_SortedWeights!$L$2:$L$6,"No"))*((SUMIFS(Fact_PreSortWeights!$E$2:$E$15,Fact_PreSortWeights!$C$2:$C$15,$A630,Fact_PreSortWeights!$B$2:$B$15,$B630,Fact_PreSortWeights!$F$2:$F$15,""))-(SUMIFS(Fact_SortedWeights!$E$2:$E$6,Fact_SortedWeights!$C$2:$C$6,$A630,Fact_SortedWeights!$B$2:$B$6,$B630,Fact_SortedWeights!$L$2:$L$6,"Yes"))))</f>
        <v>0</v>
      </c>
      <c r="G630" s="0" t="n">
        <f aca="false">IF(AND(IF($B630="Trash",INDEX('Materials Master'!$F$2:$F$27,MATCH($C630,'Materials Master'!$A$2:$A$27,0)),IF($B630="GMPC Recycling",INDEX('Materials Master'!$G$2:$G$27,MATCH($C630,'Materials Master'!$A$2:$A$27,0)),IF($B630="Organics Recycling",INDEX('Materials Master'!$H$2:$H$27,MATCH($C630,'Materials Master'!$A$2:$A$27,0)),IF($B630="Cardboard Recycling",INDEX('Materials Master'!$I$2:$I$27,MATCH($C630,'Materials Master'!$A$2:$A$27,0)),IF($B630="Paper Recycling",INDEX('Materials Master'!$J$2:$J$27,MATCH($C630,'Materials Master'!$A$2:$A$27,0)),IF($B630="Terracycle",INDEX('Materials Master'!$K$2:$K$27,MATCH($C630,'Materials Master'!$A$2:$A$27,0)),"No"))))))="Yes",INDEX('Materials Master'!$E$2:$E$27,MATCH($C630,'Materials Master'!$A$2:$A$27,0))="Yes",$B630&lt;&gt;"Trash"),1,0)</f>
        <v>0</v>
      </c>
      <c r="H630" s="0" t="str">
        <f aca="false">INDEX('Materials Master'!$E$2:$E$27,MATCH($C630,'Materials Master'!$A$2:$A$27,0))</f>
        <v>No</v>
      </c>
      <c r="I630" s="0" t="str">
        <f aca="false">IFERROR(INDEX(Areas!$C$2:$C$6,MATCH($A630,Areas!$B$2:$B$6,0)),"")</f>
        <v>Rest of Building</v>
      </c>
      <c r="J630" s="0" t="n">
        <f aca="false">IF(IF($B630="Trash",INDEX('Materials Master'!$F$2:$F$27,MATCH($C630,'Materials Master'!$A$2:$A$27,0)),IF($B630="GMPC Recycling",INDEX('Materials Master'!$G$2:$G$27,MATCH($C630,'Materials Master'!$A$2:$A$27,0)),IF($B630="Organics Recycling",INDEX('Materials Master'!$H$2:$H$27,MATCH($C630,'Materials Master'!$A$2:$A$27,0)),IF($B630="Cardboard Recycling",INDEX('Materials Master'!$I$2:$I$27,MATCH($C630,'Materials Master'!$A$2:$A$27,0)),IF($B630="Paper Recycling",INDEX('Materials Master'!$J$2:$J$27,MATCH($C630,'Materials Master'!$A$2:$A$27,0)),IF($B630="Terracycle",INDEX('Materials Master'!$K$2:$K$27,MATCH($C630,'Materials Master'!$A$2:$A$27,0)),"No"))))))="Yes",1,0)</f>
        <v>1</v>
      </c>
    </row>
    <row r="631" customFormat="false" ht="15" hidden="false" customHeight="false" outlineLevel="0" collapsed="false">
      <c r="A631" s="0" t="s">
        <v>100</v>
      </c>
      <c r="B631" s="0" t="s">
        <v>103</v>
      </c>
      <c r="C631" s="0" t="s">
        <v>39</v>
      </c>
      <c r="D631" s="0" t="str">
        <f aca="false">IFERROR(INDEX('Materials Master'!$B$2:$B$27,MATCH($C631,'Materials Master'!$A$2:$A$27,0)),"")</f>
        <v>Beverage Cartons</v>
      </c>
      <c r="E631" s="0" t="str">
        <f aca="false">IFERROR(INDEX('Materials Master'!$C$2:$C$27,MATCH($C631,'Materials Master'!$A$2:$A$27,0)),"")</f>
        <v>Fibers</v>
      </c>
      <c r="F631" s="0" t="n">
        <f aca="false">(SUMIFS(Fact_PreSortWeights!$E$2:$E$15,Fact_PreSortWeights!$C$2:$C$15,$A631,Fact_PreSortWeights!$B$2:$B$15,$B631,Fact_PreSortWeights!$F$2:$F$15,$C631))+(SUMIFS(Fact_SortedWeights!$E$2:$E$6,Fact_SortedWeights!$C$2:$C$6,$A631,Fact_SortedWeights!$B$2:$B$6,$B631,Fact_SortedWeights!$D$2:$D$6,$C631,Fact_SortedWeights!$L$2:$L$6,"Yes"))+IF((SUMIFS(Fact_SortedWeights!$E$2:$E$6,Fact_SortedWeights!$C$2:$C$6,$A631,Fact_SortedWeights!$B$2:$B$6,$B631,Fact_SortedWeights!$L$2:$L$6,"No"))=0,0,(SUMIFS(Fact_SortedWeights!$E$2:$E$6,Fact_SortedWeights!$C$2:$C$6,$A631,Fact_SortedWeights!$B$2:$B$6,$B631,Fact_SortedWeights!$D$2:$D$6,$C631,Fact_SortedWeights!$L$2:$L$6,"No"))/(SUMIFS(Fact_SortedWeights!$E$2:$E$6,Fact_SortedWeights!$C$2:$C$6,$A631,Fact_SortedWeights!$B$2:$B$6,$B631,Fact_SortedWeights!$L$2:$L$6,"No"))*((SUMIFS(Fact_PreSortWeights!$E$2:$E$15,Fact_PreSortWeights!$C$2:$C$15,$A631,Fact_PreSortWeights!$B$2:$B$15,$B631,Fact_PreSortWeights!$F$2:$F$15,""))-(SUMIFS(Fact_SortedWeights!$E$2:$E$6,Fact_SortedWeights!$C$2:$C$6,$A631,Fact_SortedWeights!$B$2:$B$6,$B631,Fact_SortedWeights!$L$2:$L$6,"Yes"))))</f>
        <v>0</v>
      </c>
      <c r="G631" s="0" t="n">
        <f aca="false">IF(AND(IF($B631="Trash",INDEX('Materials Master'!$F$2:$F$27,MATCH($C631,'Materials Master'!$A$2:$A$27,0)),IF($B631="GMPC Recycling",INDEX('Materials Master'!$G$2:$G$27,MATCH($C631,'Materials Master'!$A$2:$A$27,0)),IF($B631="Organics Recycling",INDEX('Materials Master'!$H$2:$H$27,MATCH($C631,'Materials Master'!$A$2:$A$27,0)),IF($B631="Cardboard Recycling",INDEX('Materials Master'!$I$2:$I$27,MATCH($C631,'Materials Master'!$A$2:$A$27,0)),IF($B631="Paper Recycling",INDEX('Materials Master'!$J$2:$J$27,MATCH($C631,'Materials Master'!$A$2:$A$27,0)),IF($B631="Terracycle",INDEX('Materials Master'!$K$2:$K$27,MATCH($C631,'Materials Master'!$A$2:$A$27,0)),"No"))))))="Yes",INDEX('Materials Master'!$E$2:$E$27,MATCH($C631,'Materials Master'!$A$2:$A$27,0))="Yes",$B631&lt;&gt;"Trash"),1,0)</f>
        <v>0</v>
      </c>
      <c r="H631" s="0" t="str">
        <f aca="false">INDEX('Materials Master'!$E$2:$E$27,MATCH($C631,'Materials Master'!$A$2:$A$27,0))</f>
        <v>Yes</v>
      </c>
      <c r="I631" s="0" t="str">
        <f aca="false">IFERROR(INDEX(Areas!$C$2:$C$6,MATCH($A631,Areas!$B$2:$B$6,0)),"")</f>
        <v>Rest of Building</v>
      </c>
      <c r="J631" s="0" t="n">
        <f aca="false">IF(IF($B631="Trash",INDEX('Materials Master'!$F$2:$F$27,MATCH($C631,'Materials Master'!$A$2:$A$27,0)),IF($B631="GMPC Recycling",INDEX('Materials Master'!$G$2:$G$27,MATCH($C631,'Materials Master'!$A$2:$A$27,0)),IF($B631="Organics Recycling",INDEX('Materials Master'!$H$2:$H$27,MATCH($C631,'Materials Master'!$A$2:$A$27,0)),IF($B631="Cardboard Recycling",INDEX('Materials Master'!$I$2:$I$27,MATCH($C631,'Materials Master'!$A$2:$A$27,0)),IF($B631="Paper Recycling",INDEX('Materials Master'!$J$2:$J$27,MATCH($C631,'Materials Master'!$A$2:$A$27,0)),IF($B631="Terracycle",INDEX('Materials Master'!$K$2:$K$27,MATCH($C631,'Materials Master'!$A$2:$A$27,0)),"No"))))))="Yes",1,0)</f>
        <v>0</v>
      </c>
    </row>
    <row r="632" customFormat="false" ht="15" hidden="false" customHeight="false" outlineLevel="0" collapsed="false">
      <c r="A632" s="0" t="s">
        <v>100</v>
      </c>
      <c r="B632" s="0" t="s">
        <v>103</v>
      </c>
      <c r="C632" s="0" t="s">
        <v>41</v>
      </c>
      <c r="D632" s="0" t="str">
        <f aca="false">IFERROR(INDEX('Materials Master'!$B$2:$B$27,MATCH($C632,'Materials Master'!$A$2:$A$27,0)),"")</f>
        <v>Soiled Beverage Cartons</v>
      </c>
      <c r="E632" s="0" t="str">
        <f aca="false">IFERROR(INDEX('Materials Master'!$C$2:$C$27,MATCH($C632,'Materials Master'!$A$2:$A$27,0)),"")</f>
        <v>Fibers</v>
      </c>
      <c r="F632" s="0" t="n">
        <f aca="false">(SUMIFS(Fact_PreSortWeights!$E$2:$E$15,Fact_PreSortWeights!$C$2:$C$15,$A632,Fact_PreSortWeights!$B$2:$B$15,$B632,Fact_PreSortWeights!$F$2:$F$15,$C632))+(SUMIFS(Fact_SortedWeights!$E$2:$E$6,Fact_SortedWeights!$C$2:$C$6,$A632,Fact_SortedWeights!$B$2:$B$6,$B632,Fact_SortedWeights!$D$2:$D$6,$C632,Fact_SortedWeights!$L$2:$L$6,"Yes"))+IF((SUMIFS(Fact_SortedWeights!$E$2:$E$6,Fact_SortedWeights!$C$2:$C$6,$A632,Fact_SortedWeights!$B$2:$B$6,$B632,Fact_SortedWeights!$L$2:$L$6,"No"))=0,0,(SUMIFS(Fact_SortedWeights!$E$2:$E$6,Fact_SortedWeights!$C$2:$C$6,$A632,Fact_SortedWeights!$B$2:$B$6,$B632,Fact_SortedWeights!$D$2:$D$6,$C632,Fact_SortedWeights!$L$2:$L$6,"No"))/(SUMIFS(Fact_SortedWeights!$E$2:$E$6,Fact_SortedWeights!$C$2:$C$6,$A632,Fact_SortedWeights!$B$2:$B$6,$B632,Fact_SortedWeights!$L$2:$L$6,"No"))*((SUMIFS(Fact_PreSortWeights!$E$2:$E$15,Fact_PreSortWeights!$C$2:$C$15,$A632,Fact_PreSortWeights!$B$2:$B$15,$B632,Fact_PreSortWeights!$F$2:$F$15,""))-(SUMIFS(Fact_SortedWeights!$E$2:$E$6,Fact_SortedWeights!$C$2:$C$6,$A632,Fact_SortedWeights!$B$2:$B$6,$B632,Fact_SortedWeights!$L$2:$L$6,"Yes"))))</f>
        <v>0</v>
      </c>
      <c r="G632" s="0" t="n">
        <f aca="false">IF(AND(IF($B632="Trash",INDEX('Materials Master'!$F$2:$F$27,MATCH($C632,'Materials Master'!$A$2:$A$27,0)),IF($B632="GMPC Recycling",INDEX('Materials Master'!$G$2:$G$27,MATCH($C632,'Materials Master'!$A$2:$A$27,0)),IF($B632="Organics Recycling",INDEX('Materials Master'!$H$2:$H$27,MATCH($C632,'Materials Master'!$A$2:$A$27,0)),IF($B632="Cardboard Recycling",INDEX('Materials Master'!$I$2:$I$27,MATCH($C632,'Materials Master'!$A$2:$A$27,0)),IF($B632="Paper Recycling",INDEX('Materials Master'!$J$2:$J$27,MATCH($C632,'Materials Master'!$A$2:$A$27,0)),IF($B632="Terracycle",INDEX('Materials Master'!$K$2:$K$27,MATCH($C632,'Materials Master'!$A$2:$A$27,0)),"No"))))))="Yes",INDEX('Materials Master'!$E$2:$E$27,MATCH($C632,'Materials Master'!$A$2:$A$27,0))="Yes",$B632&lt;&gt;"Trash"),1,0)</f>
        <v>0</v>
      </c>
      <c r="H632" s="0" t="str">
        <f aca="false">INDEX('Materials Master'!$E$2:$E$27,MATCH($C632,'Materials Master'!$A$2:$A$27,0))</f>
        <v>No</v>
      </c>
      <c r="I632" s="0" t="str">
        <f aca="false">IFERROR(INDEX(Areas!$C$2:$C$6,MATCH($A632,Areas!$B$2:$B$6,0)),"")</f>
        <v>Rest of Building</v>
      </c>
      <c r="J632" s="0" t="n">
        <f aca="false">IF(IF($B632="Trash",INDEX('Materials Master'!$F$2:$F$27,MATCH($C632,'Materials Master'!$A$2:$A$27,0)),IF($B632="GMPC Recycling",INDEX('Materials Master'!$G$2:$G$27,MATCH($C632,'Materials Master'!$A$2:$A$27,0)),IF($B632="Organics Recycling",INDEX('Materials Master'!$H$2:$H$27,MATCH($C632,'Materials Master'!$A$2:$A$27,0)),IF($B632="Cardboard Recycling",INDEX('Materials Master'!$I$2:$I$27,MATCH($C632,'Materials Master'!$A$2:$A$27,0)),IF($B632="Paper Recycling",INDEX('Materials Master'!$J$2:$J$27,MATCH($C632,'Materials Master'!$A$2:$A$27,0)),IF($B632="Terracycle",INDEX('Materials Master'!$K$2:$K$27,MATCH($C632,'Materials Master'!$A$2:$A$27,0)),"No"))))))="Yes",1,0)</f>
        <v>1</v>
      </c>
    </row>
    <row r="633" customFormat="false" ht="15" hidden="false" customHeight="false" outlineLevel="0" collapsed="false">
      <c r="A633" s="0" t="s">
        <v>100</v>
      </c>
      <c r="B633" s="0" t="s">
        <v>103</v>
      </c>
      <c r="C633" s="0" t="s">
        <v>43</v>
      </c>
      <c r="D633" s="0" t="str">
        <f aca="false">IFERROR(INDEX('Materials Master'!$B$2:$B$27,MATCH($C633,'Materials Master'!$A$2:$A$27,0)),"")</f>
        <v>Paper Cups / Other Coated Paper Containers</v>
      </c>
      <c r="E633" s="0" t="str">
        <f aca="false">IFERROR(INDEX('Materials Master'!$C$2:$C$27,MATCH($C633,'Materials Master'!$A$2:$A$27,0)),"")</f>
        <v>Fibers</v>
      </c>
      <c r="F633" s="0" t="n">
        <f aca="false">(SUMIFS(Fact_PreSortWeights!$E$2:$E$15,Fact_PreSortWeights!$C$2:$C$15,$A633,Fact_PreSortWeights!$B$2:$B$15,$B633,Fact_PreSortWeights!$F$2:$F$15,$C633))+(SUMIFS(Fact_SortedWeights!$E$2:$E$6,Fact_SortedWeights!$C$2:$C$6,$A633,Fact_SortedWeights!$B$2:$B$6,$B633,Fact_SortedWeights!$D$2:$D$6,$C633,Fact_SortedWeights!$L$2:$L$6,"Yes"))+IF((SUMIFS(Fact_SortedWeights!$E$2:$E$6,Fact_SortedWeights!$C$2:$C$6,$A633,Fact_SortedWeights!$B$2:$B$6,$B633,Fact_SortedWeights!$L$2:$L$6,"No"))=0,0,(SUMIFS(Fact_SortedWeights!$E$2:$E$6,Fact_SortedWeights!$C$2:$C$6,$A633,Fact_SortedWeights!$B$2:$B$6,$B633,Fact_SortedWeights!$D$2:$D$6,$C633,Fact_SortedWeights!$L$2:$L$6,"No"))/(SUMIFS(Fact_SortedWeights!$E$2:$E$6,Fact_SortedWeights!$C$2:$C$6,$A633,Fact_SortedWeights!$B$2:$B$6,$B633,Fact_SortedWeights!$L$2:$L$6,"No"))*((SUMIFS(Fact_PreSortWeights!$E$2:$E$15,Fact_PreSortWeights!$C$2:$C$15,$A633,Fact_PreSortWeights!$B$2:$B$15,$B633,Fact_PreSortWeights!$F$2:$F$15,""))-(SUMIFS(Fact_SortedWeights!$E$2:$E$6,Fact_SortedWeights!$C$2:$C$6,$A633,Fact_SortedWeights!$B$2:$B$6,$B633,Fact_SortedWeights!$L$2:$L$6,"Yes"))))</f>
        <v>0</v>
      </c>
      <c r="G633" s="0" t="n">
        <f aca="false">IF(AND(IF($B633="Trash",INDEX('Materials Master'!$F$2:$F$27,MATCH($C633,'Materials Master'!$A$2:$A$27,0)),IF($B633="GMPC Recycling",INDEX('Materials Master'!$G$2:$G$27,MATCH($C633,'Materials Master'!$A$2:$A$27,0)),IF($B633="Organics Recycling",INDEX('Materials Master'!$H$2:$H$27,MATCH($C633,'Materials Master'!$A$2:$A$27,0)),IF($B633="Cardboard Recycling",INDEX('Materials Master'!$I$2:$I$27,MATCH($C633,'Materials Master'!$A$2:$A$27,0)),IF($B633="Paper Recycling",INDEX('Materials Master'!$J$2:$J$27,MATCH($C633,'Materials Master'!$A$2:$A$27,0)),IF($B633="Terracycle",INDEX('Materials Master'!$K$2:$K$27,MATCH($C633,'Materials Master'!$A$2:$A$27,0)),"No"))))))="Yes",INDEX('Materials Master'!$E$2:$E$27,MATCH($C633,'Materials Master'!$A$2:$A$27,0))="Yes",$B633&lt;&gt;"Trash"),1,0)</f>
        <v>0</v>
      </c>
      <c r="H633" s="0" t="str">
        <f aca="false">INDEX('Materials Master'!$E$2:$E$27,MATCH($C633,'Materials Master'!$A$2:$A$27,0))</f>
        <v>No</v>
      </c>
      <c r="I633" s="0" t="str">
        <f aca="false">IFERROR(INDEX(Areas!$C$2:$C$6,MATCH($A633,Areas!$B$2:$B$6,0)),"")</f>
        <v>Rest of Building</v>
      </c>
      <c r="J633" s="0" t="n">
        <f aca="false">IF(IF($B633="Trash",INDEX('Materials Master'!$F$2:$F$27,MATCH($C633,'Materials Master'!$A$2:$A$27,0)),IF($B633="GMPC Recycling",INDEX('Materials Master'!$G$2:$G$27,MATCH($C633,'Materials Master'!$A$2:$A$27,0)),IF($B633="Organics Recycling",INDEX('Materials Master'!$H$2:$H$27,MATCH($C633,'Materials Master'!$A$2:$A$27,0)),IF($B633="Cardboard Recycling",INDEX('Materials Master'!$I$2:$I$27,MATCH($C633,'Materials Master'!$A$2:$A$27,0)),IF($B633="Paper Recycling",INDEX('Materials Master'!$J$2:$J$27,MATCH($C633,'Materials Master'!$A$2:$A$27,0)),IF($B633="Terracycle",INDEX('Materials Master'!$K$2:$K$27,MATCH($C633,'Materials Master'!$A$2:$A$27,0)),"No"))))))="Yes",1,0)</f>
        <v>1</v>
      </c>
    </row>
    <row r="634" customFormat="false" ht="15" hidden="false" customHeight="false" outlineLevel="0" collapsed="false">
      <c r="A634" s="0" t="s">
        <v>100</v>
      </c>
      <c r="B634" s="0" t="s">
        <v>103</v>
      </c>
      <c r="C634" s="0" t="s">
        <v>45</v>
      </c>
      <c r="D634" s="0" t="str">
        <f aca="false">IFERROR(INDEX('Materials Master'!$B$2:$B$27,MATCH($C634,'Materials Master'!$A$2:$A$27,0)),"")</f>
        <v>Glass Bottles &amp; Jars</v>
      </c>
      <c r="E634" s="0" t="str">
        <f aca="false">IFERROR(INDEX('Materials Master'!$C$2:$C$27,MATCH($C634,'Materials Master'!$A$2:$A$27,0)),"")</f>
        <v>Glass</v>
      </c>
      <c r="F634" s="0" t="n">
        <f aca="false">(SUMIFS(Fact_PreSortWeights!$E$2:$E$15,Fact_PreSortWeights!$C$2:$C$15,$A634,Fact_PreSortWeights!$B$2:$B$15,$B634,Fact_PreSortWeights!$F$2:$F$15,$C634))+(SUMIFS(Fact_SortedWeights!$E$2:$E$6,Fact_SortedWeights!$C$2:$C$6,$A634,Fact_SortedWeights!$B$2:$B$6,$B634,Fact_SortedWeights!$D$2:$D$6,$C634,Fact_SortedWeights!$L$2:$L$6,"Yes"))+IF((SUMIFS(Fact_SortedWeights!$E$2:$E$6,Fact_SortedWeights!$C$2:$C$6,$A634,Fact_SortedWeights!$B$2:$B$6,$B634,Fact_SortedWeights!$L$2:$L$6,"No"))=0,0,(SUMIFS(Fact_SortedWeights!$E$2:$E$6,Fact_SortedWeights!$C$2:$C$6,$A634,Fact_SortedWeights!$B$2:$B$6,$B634,Fact_SortedWeights!$D$2:$D$6,$C634,Fact_SortedWeights!$L$2:$L$6,"No"))/(SUMIFS(Fact_SortedWeights!$E$2:$E$6,Fact_SortedWeights!$C$2:$C$6,$A634,Fact_SortedWeights!$B$2:$B$6,$B634,Fact_SortedWeights!$L$2:$L$6,"No"))*((SUMIFS(Fact_PreSortWeights!$E$2:$E$15,Fact_PreSortWeights!$C$2:$C$15,$A634,Fact_PreSortWeights!$B$2:$B$15,$B634,Fact_PreSortWeights!$F$2:$F$15,""))-(SUMIFS(Fact_SortedWeights!$E$2:$E$6,Fact_SortedWeights!$C$2:$C$6,$A634,Fact_SortedWeights!$B$2:$B$6,$B634,Fact_SortedWeights!$L$2:$L$6,"Yes"))))</f>
        <v>0</v>
      </c>
      <c r="G634" s="0" t="n">
        <f aca="false">IF(AND(IF($B634="Trash",INDEX('Materials Master'!$F$2:$F$27,MATCH($C634,'Materials Master'!$A$2:$A$27,0)),IF($B634="GMPC Recycling",INDEX('Materials Master'!$G$2:$G$27,MATCH($C634,'Materials Master'!$A$2:$A$27,0)),IF($B634="Organics Recycling",INDEX('Materials Master'!$H$2:$H$27,MATCH($C634,'Materials Master'!$A$2:$A$27,0)),IF($B634="Cardboard Recycling",INDEX('Materials Master'!$I$2:$I$27,MATCH($C634,'Materials Master'!$A$2:$A$27,0)),IF($B634="Paper Recycling",INDEX('Materials Master'!$J$2:$J$27,MATCH($C634,'Materials Master'!$A$2:$A$27,0)),IF($B634="Terracycle",INDEX('Materials Master'!$K$2:$K$27,MATCH($C634,'Materials Master'!$A$2:$A$27,0)),"No"))))))="Yes",INDEX('Materials Master'!$E$2:$E$27,MATCH($C634,'Materials Master'!$A$2:$A$27,0))="Yes",$B634&lt;&gt;"Trash"),1,0)</f>
        <v>0</v>
      </c>
      <c r="H634" s="0" t="str">
        <f aca="false">INDEX('Materials Master'!$E$2:$E$27,MATCH($C634,'Materials Master'!$A$2:$A$27,0))</f>
        <v>Yes</v>
      </c>
      <c r="I634" s="0" t="str">
        <f aca="false">IFERROR(INDEX(Areas!$C$2:$C$6,MATCH($A634,Areas!$B$2:$B$6,0)),"")</f>
        <v>Rest of Building</v>
      </c>
      <c r="J634" s="0" t="n">
        <f aca="false">IF(IF($B634="Trash",INDEX('Materials Master'!$F$2:$F$27,MATCH($C634,'Materials Master'!$A$2:$A$27,0)),IF($B634="GMPC Recycling",INDEX('Materials Master'!$G$2:$G$27,MATCH($C634,'Materials Master'!$A$2:$A$27,0)),IF($B634="Organics Recycling",INDEX('Materials Master'!$H$2:$H$27,MATCH($C634,'Materials Master'!$A$2:$A$27,0)),IF($B634="Cardboard Recycling",INDEX('Materials Master'!$I$2:$I$27,MATCH($C634,'Materials Master'!$A$2:$A$27,0)),IF($B634="Paper Recycling",INDEX('Materials Master'!$J$2:$J$27,MATCH($C634,'Materials Master'!$A$2:$A$27,0)),IF($B634="Terracycle",INDEX('Materials Master'!$K$2:$K$27,MATCH($C634,'Materials Master'!$A$2:$A$27,0)),"No"))))))="Yes",1,0)</f>
        <v>0</v>
      </c>
    </row>
    <row r="635" customFormat="false" ht="15" hidden="false" customHeight="false" outlineLevel="0" collapsed="false">
      <c r="A635" s="0" t="s">
        <v>100</v>
      </c>
      <c r="B635" s="0" t="s">
        <v>103</v>
      </c>
      <c r="C635" s="0" t="s">
        <v>48</v>
      </c>
      <c r="D635" s="0" t="str">
        <f aca="false">IFERROR(INDEX('Materials Master'!$B$2:$B$27,MATCH($C635,'Materials Master'!$A$2:$A$27,0)),"")</f>
        <v>Soiled Glass</v>
      </c>
      <c r="E635" s="0" t="str">
        <f aca="false">IFERROR(INDEX('Materials Master'!$C$2:$C$27,MATCH($C635,'Materials Master'!$A$2:$A$27,0)),"")</f>
        <v>Glass</v>
      </c>
      <c r="F635" s="0" t="n">
        <f aca="false">(SUMIFS(Fact_PreSortWeights!$E$2:$E$15,Fact_PreSortWeights!$C$2:$C$15,$A635,Fact_PreSortWeights!$B$2:$B$15,$B635,Fact_PreSortWeights!$F$2:$F$15,$C635))+(SUMIFS(Fact_SortedWeights!$E$2:$E$6,Fact_SortedWeights!$C$2:$C$6,$A635,Fact_SortedWeights!$B$2:$B$6,$B635,Fact_SortedWeights!$D$2:$D$6,$C635,Fact_SortedWeights!$L$2:$L$6,"Yes"))+IF((SUMIFS(Fact_SortedWeights!$E$2:$E$6,Fact_SortedWeights!$C$2:$C$6,$A635,Fact_SortedWeights!$B$2:$B$6,$B635,Fact_SortedWeights!$L$2:$L$6,"No"))=0,0,(SUMIFS(Fact_SortedWeights!$E$2:$E$6,Fact_SortedWeights!$C$2:$C$6,$A635,Fact_SortedWeights!$B$2:$B$6,$B635,Fact_SortedWeights!$D$2:$D$6,$C635,Fact_SortedWeights!$L$2:$L$6,"No"))/(SUMIFS(Fact_SortedWeights!$E$2:$E$6,Fact_SortedWeights!$C$2:$C$6,$A635,Fact_SortedWeights!$B$2:$B$6,$B635,Fact_SortedWeights!$L$2:$L$6,"No"))*((SUMIFS(Fact_PreSortWeights!$E$2:$E$15,Fact_PreSortWeights!$C$2:$C$15,$A635,Fact_PreSortWeights!$B$2:$B$15,$B635,Fact_PreSortWeights!$F$2:$F$15,""))-(SUMIFS(Fact_SortedWeights!$E$2:$E$6,Fact_SortedWeights!$C$2:$C$6,$A635,Fact_SortedWeights!$B$2:$B$6,$B635,Fact_SortedWeights!$L$2:$L$6,"Yes"))))</f>
        <v>0</v>
      </c>
      <c r="G635" s="0" t="n">
        <f aca="false">IF(AND(IF($B635="Trash",INDEX('Materials Master'!$F$2:$F$27,MATCH($C635,'Materials Master'!$A$2:$A$27,0)),IF($B635="GMPC Recycling",INDEX('Materials Master'!$G$2:$G$27,MATCH($C635,'Materials Master'!$A$2:$A$27,0)),IF($B635="Organics Recycling",INDEX('Materials Master'!$H$2:$H$27,MATCH($C635,'Materials Master'!$A$2:$A$27,0)),IF($B635="Cardboard Recycling",INDEX('Materials Master'!$I$2:$I$27,MATCH($C635,'Materials Master'!$A$2:$A$27,0)),IF($B635="Paper Recycling",INDEX('Materials Master'!$J$2:$J$27,MATCH($C635,'Materials Master'!$A$2:$A$27,0)),IF($B635="Terracycle",INDEX('Materials Master'!$K$2:$K$27,MATCH($C635,'Materials Master'!$A$2:$A$27,0)),"No"))))))="Yes",INDEX('Materials Master'!$E$2:$E$27,MATCH($C635,'Materials Master'!$A$2:$A$27,0))="Yes",$B635&lt;&gt;"Trash"),1,0)</f>
        <v>0</v>
      </c>
      <c r="H635" s="0" t="str">
        <f aca="false">INDEX('Materials Master'!$E$2:$E$27,MATCH($C635,'Materials Master'!$A$2:$A$27,0))</f>
        <v>No</v>
      </c>
      <c r="I635" s="0" t="str">
        <f aca="false">IFERROR(INDEX(Areas!$C$2:$C$6,MATCH($A635,Areas!$B$2:$B$6,0)),"")</f>
        <v>Rest of Building</v>
      </c>
      <c r="J635" s="0" t="n">
        <f aca="false">IF(IF($B635="Trash",INDEX('Materials Master'!$F$2:$F$27,MATCH($C635,'Materials Master'!$A$2:$A$27,0)),IF($B635="GMPC Recycling",INDEX('Materials Master'!$G$2:$G$27,MATCH($C635,'Materials Master'!$A$2:$A$27,0)),IF($B635="Organics Recycling",INDEX('Materials Master'!$H$2:$H$27,MATCH($C635,'Materials Master'!$A$2:$A$27,0)),IF($B635="Cardboard Recycling",INDEX('Materials Master'!$I$2:$I$27,MATCH($C635,'Materials Master'!$A$2:$A$27,0)),IF($B635="Paper Recycling",INDEX('Materials Master'!$J$2:$J$27,MATCH($C635,'Materials Master'!$A$2:$A$27,0)),IF($B635="Terracycle",INDEX('Materials Master'!$K$2:$K$27,MATCH($C635,'Materials Master'!$A$2:$A$27,0)),"No"))))))="Yes",1,0)</f>
        <v>1</v>
      </c>
    </row>
    <row r="636" customFormat="false" ht="15" hidden="false" customHeight="false" outlineLevel="0" collapsed="false">
      <c r="A636" s="0" t="s">
        <v>100</v>
      </c>
      <c r="B636" s="0" t="s">
        <v>103</v>
      </c>
      <c r="C636" s="0" t="s">
        <v>50</v>
      </c>
      <c r="D636" s="0" t="str">
        <f aca="false">IFERROR(INDEX('Materials Master'!$B$2:$B$27,MATCH($C636,'Materials Master'!$A$2:$A$27,0)),"")</f>
        <v>Aluminum &amp; Bi-Metal Containers</v>
      </c>
      <c r="E636" s="0" t="str">
        <f aca="false">IFERROR(INDEX('Materials Master'!$C$2:$C$27,MATCH($C636,'Materials Master'!$A$2:$A$27,0)),"")</f>
        <v>Metals</v>
      </c>
      <c r="F636" s="0" t="n">
        <f aca="false">(SUMIFS(Fact_PreSortWeights!$E$2:$E$15,Fact_PreSortWeights!$C$2:$C$15,$A636,Fact_PreSortWeights!$B$2:$B$15,$B636,Fact_PreSortWeights!$F$2:$F$15,$C636))+(SUMIFS(Fact_SortedWeights!$E$2:$E$6,Fact_SortedWeights!$C$2:$C$6,$A636,Fact_SortedWeights!$B$2:$B$6,$B636,Fact_SortedWeights!$D$2:$D$6,$C636,Fact_SortedWeights!$L$2:$L$6,"Yes"))+IF((SUMIFS(Fact_SortedWeights!$E$2:$E$6,Fact_SortedWeights!$C$2:$C$6,$A636,Fact_SortedWeights!$B$2:$B$6,$B636,Fact_SortedWeights!$L$2:$L$6,"No"))=0,0,(SUMIFS(Fact_SortedWeights!$E$2:$E$6,Fact_SortedWeights!$C$2:$C$6,$A636,Fact_SortedWeights!$B$2:$B$6,$B636,Fact_SortedWeights!$D$2:$D$6,$C636,Fact_SortedWeights!$L$2:$L$6,"No"))/(SUMIFS(Fact_SortedWeights!$E$2:$E$6,Fact_SortedWeights!$C$2:$C$6,$A636,Fact_SortedWeights!$B$2:$B$6,$B636,Fact_SortedWeights!$L$2:$L$6,"No"))*((SUMIFS(Fact_PreSortWeights!$E$2:$E$15,Fact_PreSortWeights!$C$2:$C$15,$A636,Fact_PreSortWeights!$B$2:$B$15,$B636,Fact_PreSortWeights!$F$2:$F$15,""))-(SUMIFS(Fact_SortedWeights!$E$2:$E$6,Fact_SortedWeights!$C$2:$C$6,$A636,Fact_SortedWeights!$B$2:$B$6,$B636,Fact_SortedWeights!$L$2:$L$6,"Yes"))))</f>
        <v>0</v>
      </c>
      <c r="G636" s="0" t="n">
        <f aca="false">IF(AND(IF($B636="Trash",INDEX('Materials Master'!$F$2:$F$27,MATCH($C636,'Materials Master'!$A$2:$A$27,0)),IF($B636="GMPC Recycling",INDEX('Materials Master'!$G$2:$G$27,MATCH($C636,'Materials Master'!$A$2:$A$27,0)),IF($B636="Organics Recycling",INDEX('Materials Master'!$H$2:$H$27,MATCH($C636,'Materials Master'!$A$2:$A$27,0)),IF($B636="Cardboard Recycling",INDEX('Materials Master'!$I$2:$I$27,MATCH($C636,'Materials Master'!$A$2:$A$27,0)),IF($B636="Paper Recycling",INDEX('Materials Master'!$J$2:$J$27,MATCH($C636,'Materials Master'!$A$2:$A$27,0)),IF($B636="Terracycle",INDEX('Materials Master'!$K$2:$K$27,MATCH($C636,'Materials Master'!$A$2:$A$27,0)),"No"))))))="Yes",INDEX('Materials Master'!$E$2:$E$27,MATCH($C636,'Materials Master'!$A$2:$A$27,0))="Yes",$B636&lt;&gt;"Trash"),1,0)</f>
        <v>0</v>
      </c>
      <c r="H636" s="0" t="str">
        <f aca="false">INDEX('Materials Master'!$E$2:$E$27,MATCH($C636,'Materials Master'!$A$2:$A$27,0))</f>
        <v>Yes</v>
      </c>
      <c r="I636" s="0" t="str">
        <f aca="false">IFERROR(INDEX(Areas!$C$2:$C$6,MATCH($A636,Areas!$B$2:$B$6,0)),"")</f>
        <v>Rest of Building</v>
      </c>
      <c r="J636" s="0" t="n">
        <f aca="false">IF(IF($B636="Trash",INDEX('Materials Master'!$F$2:$F$27,MATCH($C636,'Materials Master'!$A$2:$A$27,0)),IF($B636="GMPC Recycling",INDEX('Materials Master'!$G$2:$G$27,MATCH($C636,'Materials Master'!$A$2:$A$27,0)),IF($B636="Organics Recycling",INDEX('Materials Master'!$H$2:$H$27,MATCH($C636,'Materials Master'!$A$2:$A$27,0)),IF($B636="Cardboard Recycling",INDEX('Materials Master'!$I$2:$I$27,MATCH($C636,'Materials Master'!$A$2:$A$27,0)),IF($B636="Paper Recycling",INDEX('Materials Master'!$J$2:$J$27,MATCH($C636,'Materials Master'!$A$2:$A$27,0)),IF($B636="Terracycle",INDEX('Materials Master'!$K$2:$K$27,MATCH($C636,'Materials Master'!$A$2:$A$27,0)),"No"))))))="Yes",1,0)</f>
        <v>0</v>
      </c>
    </row>
    <row r="637" customFormat="false" ht="15" hidden="false" customHeight="false" outlineLevel="0" collapsed="false">
      <c r="A637" s="0" t="s">
        <v>100</v>
      </c>
      <c r="B637" s="0" t="s">
        <v>103</v>
      </c>
      <c r="C637" s="0" t="s">
        <v>53</v>
      </c>
      <c r="D637" s="0" t="str">
        <f aca="false">IFERROR(INDEX('Materials Master'!$B$2:$B$27,MATCH($C637,'Materials Master'!$A$2:$A$27,0)),"")</f>
        <v>Soiled Metals</v>
      </c>
      <c r="E637" s="0" t="str">
        <f aca="false">IFERROR(INDEX('Materials Master'!$C$2:$C$27,MATCH($C637,'Materials Master'!$A$2:$A$27,0)),"")</f>
        <v>Metals</v>
      </c>
      <c r="F637" s="0" t="n">
        <f aca="false">(SUMIFS(Fact_PreSortWeights!$E$2:$E$15,Fact_PreSortWeights!$C$2:$C$15,$A637,Fact_PreSortWeights!$B$2:$B$15,$B637,Fact_PreSortWeights!$F$2:$F$15,$C637))+(SUMIFS(Fact_SortedWeights!$E$2:$E$6,Fact_SortedWeights!$C$2:$C$6,$A637,Fact_SortedWeights!$B$2:$B$6,$B637,Fact_SortedWeights!$D$2:$D$6,$C637,Fact_SortedWeights!$L$2:$L$6,"Yes"))+IF((SUMIFS(Fact_SortedWeights!$E$2:$E$6,Fact_SortedWeights!$C$2:$C$6,$A637,Fact_SortedWeights!$B$2:$B$6,$B637,Fact_SortedWeights!$L$2:$L$6,"No"))=0,0,(SUMIFS(Fact_SortedWeights!$E$2:$E$6,Fact_SortedWeights!$C$2:$C$6,$A637,Fact_SortedWeights!$B$2:$B$6,$B637,Fact_SortedWeights!$D$2:$D$6,$C637,Fact_SortedWeights!$L$2:$L$6,"No"))/(SUMIFS(Fact_SortedWeights!$E$2:$E$6,Fact_SortedWeights!$C$2:$C$6,$A637,Fact_SortedWeights!$B$2:$B$6,$B637,Fact_SortedWeights!$L$2:$L$6,"No"))*((SUMIFS(Fact_PreSortWeights!$E$2:$E$15,Fact_PreSortWeights!$C$2:$C$15,$A637,Fact_PreSortWeights!$B$2:$B$15,$B637,Fact_PreSortWeights!$F$2:$F$15,""))-(SUMIFS(Fact_SortedWeights!$E$2:$E$6,Fact_SortedWeights!$C$2:$C$6,$A637,Fact_SortedWeights!$B$2:$B$6,$B637,Fact_SortedWeights!$L$2:$L$6,"Yes"))))</f>
        <v>0</v>
      </c>
      <c r="G637" s="0" t="n">
        <f aca="false">IF(AND(IF($B637="Trash",INDEX('Materials Master'!$F$2:$F$27,MATCH($C637,'Materials Master'!$A$2:$A$27,0)),IF($B637="GMPC Recycling",INDEX('Materials Master'!$G$2:$G$27,MATCH($C637,'Materials Master'!$A$2:$A$27,0)),IF($B637="Organics Recycling",INDEX('Materials Master'!$H$2:$H$27,MATCH($C637,'Materials Master'!$A$2:$A$27,0)),IF($B637="Cardboard Recycling",INDEX('Materials Master'!$I$2:$I$27,MATCH($C637,'Materials Master'!$A$2:$A$27,0)),IF($B637="Paper Recycling",INDEX('Materials Master'!$J$2:$J$27,MATCH($C637,'Materials Master'!$A$2:$A$27,0)),IF($B637="Terracycle",INDEX('Materials Master'!$K$2:$K$27,MATCH($C637,'Materials Master'!$A$2:$A$27,0)),"No"))))))="Yes",INDEX('Materials Master'!$E$2:$E$27,MATCH($C637,'Materials Master'!$A$2:$A$27,0))="Yes",$B637&lt;&gt;"Trash"),1,0)</f>
        <v>0</v>
      </c>
      <c r="H637" s="0" t="str">
        <f aca="false">INDEX('Materials Master'!$E$2:$E$27,MATCH($C637,'Materials Master'!$A$2:$A$27,0))</f>
        <v>No</v>
      </c>
      <c r="I637" s="0" t="str">
        <f aca="false">IFERROR(INDEX(Areas!$C$2:$C$6,MATCH($A637,Areas!$B$2:$B$6,0)),"")</f>
        <v>Rest of Building</v>
      </c>
      <c r="J637" s="0" t="n">
        <f aca="false">IF(IF($B637="Trash",INDEX('Materials Master'!$F$2:$F$27,MATCH($C637,'Materials Master'!$A$2:$A$27,0)),IF($B637="GMPC Recycling",INDEX('Materials Master'!$G$2:$G$27,MATCH($C637,'Materials Master'!$A$2:$A$27,0)),IF($B637="Organics Recycling",INDEX('Materials Master'!$H$2:$H$27,MATCH($C637,'Materials Master'!$A$2:$A$27,0)),IF($B637="Cardboard Recycling",INDEX('Materials Master'!$I$2:$I$27,MATCH($C637,'Materials Master'!$A$2:$A$27,0)),IF($B637="Paper Recycling",INDEX('Materials Master'!$J$2:$J$27,MATCH($C637,'Materials Master'!$A$2:$A$27,0)),IF($B637="Terracycle",INDEX('Materials Master'!$K$2:$K$27,MATCH($C637,'Materials Master'!$A$2:$A$27,0)),"No"))))))="Yes",1,0)</f>
        <v>1</v>
      </c>
    </row>
    <row r="638" customFormat="false" ht="15" hidden="false" customHeight="false" outlineLevel="0" collapsed="false">
      <c r="A638" s="0" t="s">
        <v>100</v>
      </c>
      <c r="B638" s="0" t="s">
        <v>103</v>
      </c>
      <c r="C638" s="0" t="s">
        <v>55</v>
      </c>
      <c r="D638" s="0" t="str">
        <f aca="false">IFERROR(INDEX('Materials Master'!$B$2:$B$27,MATCH($C638,'Materials Master'!$A$2:$A$27,0)),"")</f>
        <v>Rigid Plastics (1-6)</v>
      </c>
      <c r="E638" s="0" t="str">
        <f aca="false">IFERROR(INDEX('Materials Master'!$C$2:$C$27,MATCH($C638,'Materials Master'!$A$2:$A$27,0)),"")</f>
        <v>Plastics</v>
      </c>
      <c r="F638" s="0" t="n">
        <f aca="false">(SUMIFS(Fact_PreSortWeights!$E$2:$E$15,Fact_PreSortWeights!$C$2:$C$15,$A638,Fact_PreSortWeights!$B$2:$B$15,$B638,Fact_PreSortWeights!$F$2:$F$15,$C638))+(SUMIFS(Fact_SortedWeights!$E$2:$E$6,Fact_SortedWeights!$C$2:$C$6,$A638,Fact_SortedWeights!$B$2:$B$6,$B638,Fact_SortedWeights!$D$2:$D$6,$C638,Fact_SortedWeights!$L$2:$L$6,"Yes"))+IF((SUMIFS(Fact_SortedWeights!$E$2:$E$6,Fact_SortedWeights!$C$2:$C$6,$A638,Fact_SortedWeights!$B$2:$B$6,$B638,Fact_SortedWeights!$L$2:$L$6,"No"))=0,0,(SUMIFS(Fact_SortedWeights!$E$2:$E$6,Fact_SortedWeights!$C$2:$C$6,$A638,Fact_SortedWeights!$B$2:$B$6,$B638,Fact_SortedWeights!$D$2:$D$6,$C638,Fact_SortedWeights!$L$2:$L$6,"No"))/(SUMIFS(Fact_SortedWeights!$E$2:$E$6,Fact_SortedWeights!$C$2:$C$6,$A638,Fact_SortedWeights!$B$2:$B$6,$B638,Fact_SortedWeights!$L$2:$L$6,"No"))*((SUMIFS(Fact_PreSortWeights!$E$2:$E$15,Fact_PreSortWeights!$C$2:$C$15,$A638,Fact_PreSortWeights!$B$2:$B$15,$B638,Fact_PreSortWeights!$F$2:$F$15,""))-(SUMIFS(Fact_SortedWeights!$E$2:$E$6,Fact_SortedWeights!$C$2:$C$6,$A638,Fact_SortedWeights!$B$2:$B$6,$B638,Fact_SortedWeights!$L$2:$L$6,"Yes"))))</f>
        <v>0</v>
      </c>
      <c r="G638" s="0" t="n">
        <f aca="false">IF(AND(IF($B638="Trash",INDEX('Materials Master'!$F$2:$F$27,MATCH($C638,'Materials Master'!$A$2:$A$27,0)),IF($B638="GMPC Recycling",INDEX('Materials Master'!$G$2:$G$27,MATCH($C638,'Materials Master'!$A$2:$A$27,0)),IF($B638="Organics Recycling",INDEX('Materials Master'!$H$2:$H$27,MATCH($C638,'Materials Master'!$A$2:$A$27,0)),IF($B638="Cardboard Recycling",INDEX('Materials Master'!$I$2:$I$27,MATCH($C638,'Materials Master'!$A$2:$A$27,0)),IF($B638="Paper Recycling",INDEX('Materials Master'!$J$2:$J$27,MATCH($C638,'Materials Master'!$A$2:$A$27,0)),IF($B638="Terracycle",INDEX('Materials Master'!$K$2:$K$27,MATCH($C638,'Materials Master'!$A$2:$A$27,0)),"No"))))))="Yes",INDEX('Materials Master'!$E$2:$E$27,MATCH($C638,'Materials Master'!$A$2:$A$27,0))="Yes",$B638&lt;&gt;"Trash"),1,0)</f>
        <v>0</v>
      </c>
      <c r="H638" s="0" t="str">
        <f aca="false">INDEX('Materials Master'!$E$2:$E$27,MATCH($C638,'Materials Master'!$A$2:$A$27,0))</f>
        <v>Yes</v>
      </c>
      <c r="I638" s="0" t="str">
        <f aca="false">IFERROR(INDEX(Areas!$C$2:$C$6,MATCH($A638,Areas!$B$2:$B$6,0)),"")</f>
        <v>Rest of Building</v>
      </c>
      <c r="J638" s="0" t="n">
        <f aca="false">IF(IF($B638="Trash",INDEX('Materials Master'!$F$2:$F$27,MATCH($C638,'Materials Master'!$A$2:$A$27,0)),IF($B638="GMPC Recycling",INDEX('Materials Master'!$G$2:$G$27,MATCH($C638,'Materials Master'!$A$2:$A$27,0)),IF($B638="Organics Recycling",INDEX('Materials Master'!$H$2:$H$27,MATCH($C638,'Materials Master'!$A$2:$A$27,0)),IF($B638="Cardboard Recycling",INDEX('Materials Master'!$I$2:$I$27,MATCH($C638,'Materials Master'!$A$2:$A$27,0)),IF($B638="Paper Recycling",INDEX('Materials Master'!$J$2:$J$27,MATCH($C638,'Materials Master'!$A$2:$A$27,0)),IF($B638="Terracycle",INDEX('Materials Master'!$K$2:$K$27,MATCH($C638,'Materials Master'!$A$2:$A$27,0)),"No"))))))="Yes",1,0)</f>
        <v>0</v>
      </c>
    </row>
    <row r="639" customFormat="false" ht="15" hidden="false" customHeight="false" outlineLevel="0" collapsed="false">
      <c r="A639" s="0" t="s">
        <v>100</v>
      </c>
      <c r="B639" s="0" t="s">
        <v>103</v>
      </c>
      <c r="C639" s="0" t="s">
        <v>58</v>
      </c>
      <c r="D639" s="0" t="str">
        <f aca="false">IFERROR(INDEX('Materials Master'!$B$2:$B$27,MATCH($C639,'Materials Master'!$A$2:$A$27,0)),"")</f>
        <v>Soiled Rigid Plastics</v>
      </c>
      <c r="E639" s="0" t="str">
        <f aca="false">IFERROR(INDEX('Materials Master'!$C$2:$C$27,MATCH($C639,'Materials Master'!$A$2:$A$27,0)),"")</f>
        <v>Plastics</v>
      </c>
      <c r="F639" s="0" t="n">
        <f aca="false">(SUMIFS(Fact_PreSortWeights!$E$2:$E$15,Fact_PreSortWeights!$C$2:$C$15,$A639,Fact_PreSortWeights!$B$2:$B$15,$B639,Fact_PreSortWeights!$F$2:$F$15,$C639))+(SUMIFS(Fact_SortedWeights!$E$2:$E$6,Fact_SortedWeights!$C$2:$C$6,$A639,Fact_SortedWeights!$B$2:$B$6,$B639,Fact_SortedWeights!$D$2:$D$6,$C639,Fact_SortedWeights!$L$2:$L$6,"Yes"))+IF((SUMIFS(Fact_SortedWeights!$E$2:$E$6,Fact_SortedWeights!$C$2:$C$6,$A639,Fact_SortedWeights!$B$2:$B$6,$B639,Fact_SortedWeights!$L$2:$L$6,"No"))=0,0,(SUMIFS(Fact_SortedWeights!$E$2:$E$6,Fact_SortedWeights!$C$2:$C$6,$A639,Fact_SortedWeights!$B$2:$B$6,$B639,Fact_SortedWeights!$D$2:$D$6,$C639,Fact_SortedWeights!$L$2:$L$6,"No"))/(SUMIFS(Fact_SortedWeights!$E$2:$E$6,Fact_SortedWeights!$C$2:$C$6,$A639,Fact_SortedWeights!$B$2:$B$6,$B639,Fact_SortedWeights!$L$2:$L$6,"No"))*((SUMIFS(Fact_PreSortWeights!$E$2:$E$15,Fact_PreSortWeights!$C$2:$C$15,$A639,Fact_PreSortWeights!$B$2:$B$15,$B639,Fact_PreSortWeights!$F$2:$F$15,""))-(SUMIFS(Fact_SortedWeights!$E$2:$E$6,Fact_SortedWeights!$C$2:$C$6,$A639,Fact_SortedWeights!$B$2:$B$6,$B639,Fact_SortedWeights!$L$2:$L$6,"Yes"))))</f>
        <v>0</v>
      </c>
      <c r="G639" s="0" t="n">
        <f aca="false">IF(AND(IF($B639="Trash",INDEX('Materials Master'!$F$2:$F$27,MATCH($C639,'Materials Master'!$A$2:$A$27,0)),IF($B639="GMPC Recycling",INDEX('Materials Master'!$G$2:$G$27,MATCH($C639,'Materials Master'!$A$2:$A$27,0)),IF($B639="Organics Recycling",INDEX('Materials Master'!$H$2:$H$27,MATCH($C639,'Materials Master'!$A$2:$A$27,0)),IF($B639="Cardboard Recycling",INDEX('Materials Master'!$I$2:$I$27,MATCH($C639,'Materials Master'!$A$2:$A$27,0)),IF($B639="Paper Recycling",INDEX('Materials Master'!$J$2:$J$27,MATCH($C639,'Materials Master'!$A$2:$A$27,0)),IF($B639="Terracycle",INDEX('Materials Master'!$K$2:$K$27,MATCH($C639,'Materials Master'!$A$2:$A$27,0)),"No"))))))="Yes",INDEX('Materials Master'!$E$2:$E$27,MATCH($C639,'Materials Master'!$A$2:$A$27,0))="Yes",$B639&lt;&gt;"Trash"),1,0)</f>
        <v>0</v>
      </c>
      <c r="H639" s="0" t="str">
        <f aca="false">INDEX('Materials Master'!$E$2:$E$27,MATCH($C639,'Materials Master'!$A$2:$A$27,0))</f>
        <v>No</v>
      </c>
      <c r="I639" s="0" t="str">
        <f aca="false">IFERROR(INDEX(Areas!$C$2:$C$6,MATCH($A639,Areas!$B$2:$B$6,0)),"")</f>
        <v>Rest of Building</v>
      </c>
      <c r="J639" s="0" t="n">
        <f aca="false">IF(IF($B639="Trash",INDEX('Materials Master'!$F$2:$F$27,MATCH($C639,'Materials Master'!$A$2:$A$27,0)),IF($B639="GMPC Recycling",INDEX('Materials Master'!$G$2:$G$27,MATCH($C639,'Materials Master'!$A$2:$A$27,0)),IF($B639="Organics Recycling",INDEX('Materials Master'!$H$2:$H$27,MATCH($C639,'Materials Master'!$A$2:$A$27,0)),IF($B639="Cardboard Recycling",INDEX('Materials Master'!$I$2:$I$27,MATCH($C639,'Materials Master'!$A$2:$A$27,0)),IF($B639="Paper Recycling",INDEX('Materials Master'!$J$2:$J$27,MATCH($C639,'Materials Master'!$A$2:$A$27,0)),IF($B639="Terracycle",INDEX('Materials Master'!$K$2:$K$27,MATCH($C639,'Materials Master'!$A$2:$A$27,0)),"No"))))))="Yes",1,0)</f>
        <v>1</v>
      </c>
    </row>
    <row r="640" customFormat="false" ht="15" hidden="false" customHeight="false" outlineLevel="0" collapsed="false">
      <c r="A640" s="0" t="s">
        <v>100</v>
      </c>
      <c r="B640" s="0" t="s">
        <v>103</v>
      </c>
      <c r="C640" s="0" t="s">
        <v>60</v>
      </c>
      <c r="D640" s="0" t="str">
        <f aca="false">IFERROR(INDEX('Materials Master'!$B$2:$B$27,MATCH($C640,'Materials Master'!$A$2:$A$27,0)),"")</f>
        <v>Film Plastics</v>
      </c>
      <c r="E640" s="0" t="str">
        <f aca="false">IFERROR(INDEX('Materials Master'!$C$2:$C$27,MATCH($C640,'Materials Master'!$A$2:$A$27,0)),"")</f>
        <v>Plastics</v>
      </c>
      <c r="F640" s="0" t="n">
        <f aca="false">(SUMIFS(Fact_PreSortWeights!$E$2:$E$15,Fact_PreSortWeights!$C$2:$C$15,$A640,Fact_PreSortWeights!$B$2:$B$15,$B640,Fact_PreSortWeights!$F$2:$F$15,$C640))+(SUMIFS(Fact_SortedWeights!$E$2:$E$6,Fact_SortedWeights!$C$2:$C$6,$A640,Fact_SortedWeights!$B$2:$B$6,$B640,Fact_SortedWeights!$D$2:$D$6,$C640,Fact_SortedWeights!$L$2:$L$6,"Yes"))+IF((SUMIFS(Fact_SortedWeights!$E$2:$E$6,Fact_SortedWeights!$C$2:$C$6,$A640,Fact_SortedWeights!$B$2:$B$6,$B640,Fact_SortedWeights!$L$2:$L$6,"No"))=0,0,(SUMIFS(Fact_SortedWeights!$E$2:$E$6,Fact_SortedWeights!$C$2:$C$6,$A640,Fact_SortedWeights!$B$2:$B$6,$B640,Fact_SortedWeights!$D$2:$D$6,$C640,Fact_SortedWeights!$L$2:$L$6,"No"))/(SUMIFS(Fact_SortedWeights!$E$2:$E$6,Fact_SortedWeights!$C$2:$C$6,$A640,Fact_SortedWeights!$B$2:$B$6,$B640,Fact_SortedWeights!$L$2:$L$6,"No"))*((SUMIFS(Fact_PreSortWeights!$E$2:$E$15,Fact_PreSortWeights!$C$2:$C$15,$A640,Fact_PreSortWeights!$B$2:$B$15,$B640,Fact_PreSortWeights!$F$2:$F$15,""))-(SUMIFS(Fact_SortedWeights!$E$2:$E$6,Fact_SortedWeights!$C$2:$C$6,$A640,Fact_SortedWeights!$B$2:$B$6,$B640,Fact_SortedWeights!$L$2:$L$6,"Yes"))))</f>
        <v>0</v>
      </c>
      <c r="G640" s="0" t="n">
        <f aca="false">IF(AND(IF($B640="Trash",INDEX('Materials Master'!$F$2:$F$27,MATCH($C640,'Materials Master'!$A$2:$A$27,0)),IF($B640="GMPC Recycling",INDEX('Materials Master'!$G$2:$G$27,MATCH($C640,'Materials Master'!$A$2:$A$27,0)),IF($B640="Organics Recycling",INDEX('Materials Master'!$H$2:$H$27,MATCH($C640,'Materials Master'!$A$2:$A$27,0)),IF($B640="Cardboard Recycling",INDEX('Materials Master'!$I$2:$I$27,MATCH($C640,'Materials Master'!$A$2:$A$27,0)),IF($B640="Paper Recycling",INDEX('Materials Master'!$J$2:$J$27,MATCH($C640,'Materials Master'!$A$2:$A$27,0)),IF($B640="Terracycle",INDEX('Materials Master'!$K$2:$K$27,MATCH($C640,'Materials Master'!$A$2:$A$27,0)),"No"))))))="Yes",INDEX('Materials Master'!$E$2:$E$27,MATCH($C640,'Materials Master'!$A$2:$A$27,0))="Yes",$B640&lt;&gt;"Trash"),1,0)</f>
        <v>0</v>
      </c>
      <c r="H640" s="0" t="str">
        <f aca="false">INDEX('Materials Master'!$E$2:$E$27,MATCH($C640,'Materials Master'!$A$2:$A$27,0))</f>
        <v>No</v>
      </c>
      <c r="I640" s="0" t="str">
        <f aca="false">IFERROR(INDEX(Areas!$C$2:$C$6,MATCH($A640,Areas!$B$2:$B$6,0)),"")</f>
        <v>Rest of Building</v>
      </c>
      <c r="J640" s="0" t="n">
        <f aca="false">IF(IF($B640="Trash",INDEX('Materials Master'!$F$2:$F$27,MATCH($C640,'Materials Master'!$A$2:$A$27,0)),IF($B640="GMPC Recycling",INDEX('Materials Master'!$G$2:$G$27,MATCH($C640,'Materials Master'!$A$2:$A$27,0)),IF($B640="Organics Recycling",INDEX('Materials Master'!$H$2:$H$27,MATCH($C640,'Materials Master'!$A$2:$A$27,0)),IF($B640="Cardboard Recycling",INDEX('Materials Master'!$I$2:$I$27,MATCH($C640,'Materials Master'!$A$2:$A$27,0)),IF($B640="Paper Recycling",INDEX('Materials Master'!$J$2:$J$27,MATCH($C640,'Materials Master'!$A$2:$A$27,0)),IF($B640="Terracycle",INDEX('Materials Master'!$K$2:$K$27,MATCH($C640,'Materials Master'!$A$2:$A$27,0)),"No"))))))="Yes",1,0)</f>
        <v>1</v>
      </c>
    </row>
    <row r="641" customFormat="false" ht="15" hidden="false" customHeight="false" outlineLevel="0" collapsed="false">
      <c r="A641" s="0" t="s">
        <v>100</v>
      </c>
      <c r="B641" s="0" t="s">
        <v>103</v>
      </c>
      <c r="C641" s="0" t="s">
        <v>62</v>
      </c>
      <c r="D641" s="0" t="str">
        <f aca="false">IFERROR(INDEX('Materials Master'!$B$2:$B$27,MATCH($C641,'Materials Master'!$A$2:$A$27,0)),"")</f>
        <v>Foams</v>
      </c>
      <c r="E641" s="0" t="str">
        <f aca="false">IFERROR(INDEX('Materials Master'!$C$2:$C$27,MATCH($C641,'Materials Master'!$A$2:$A$27,0)),"")</f>
        <v>Plastics</v>
      </c>
      <c r="F641" s="0" t="n">
        <f aca="false">(SUMIFS(Fact_PreSortWeights!$E$2:$E$15,Fact_PreSortWeights!$C$2:$C$15,$A641,Fact_PreSortWeights!$B$2:$B$15,$B641,Fact_PreSortWeights!$F$2:$F$15,$C641))+(SUMIFS(Fact_SortedWeights!$E$2:$E$6,Fact_SortedWeights!$C$2:$C$6,$A641,Fact_SortedWeights!$B$2:$B$6,$B641,Fact_SortedWeights!$D$2:$D$6,$C641,Fact_SortedWeights!$L$2:$L$6,"Yes"))+IF((SUMIFS(Fact_SortedWeights!$E$2:$E$6,Fact_SortedWeights!$C$2:$C$6,$A641,Fact_SortedWeights!$B$2:$B$6,$B641,Fact_SortedWeights!$L$2:$L$6,"No"))=0,0,(SUMIFS(Fact_SortedWeights!$E$2:$E$6,Fact_SortedWeights!$C$2:$C$6,$A641,Fact_SortedWeights!$B$2:$B$6,$B641,Fact_SortedWeights!$D$2:$D$6,$C641,Fact_SortedWeights!$L$2:$L$6,"No"))/(SUMIFS(Fact_SortedWeights!$E$2:$E$6,Fact_SortedWeights!$C$2:$C$6,$A641,Fact_SortedWeights!$B$2:$B$6,$B641,Fact_SortedWeights!$L$2:$L$6,"No"))*((SUMIFS(Fact_PreSortWeights!$E$2:$E$15,Fact_PreSortWeights!$C$2:$C$15,$A641,Fact_PreSortWeights!$B$2:$B$15,$B641,Fact_PreSortWeights!$F$2:$F$15,""))-(SUMIFS(Fact_SortedWeights!$E$2:$E$6,Fact_SortedWeights!$C$2:$C$6,$A641,Fact_SortedWeights!$B$2:$B$6,$B641,Fact_SortedWeights!$L$2:$L$6,"Yes"))))</f>
        <v>0</v>
      </c>
      <c r="G641" s="0" t="n">
        <f aca="false">IF(AND(IF($B641="Trash",INDEX('Materials Master'!$F$2:$F$27,MATCH($C641,'Materials Master'!$A$2:$A$27,0)),IF($B641="GMPC Recycling",INDEX('Materials Master'!$G$2:$G$27,MATCH($C641,'Materials Master'!$A$2:$A$27,0)),IF($B641="Organics Recycling",INDEX('Materials Master'!$H$2:$H$27,MATCH($C641,'Materials Master'!$A$2:$A$27,0)),IF($B641="Cardboard Recycling",INDEX('Materials Master'!$I$2:$I$27,MATCH($C641,'Materials Master'!$A$2:$A$27,0)),IF($B641="Paper Recycling",INDEX('Materials Master'!$J$2:$J$27,MATCH($C641,'Materials Master'!$A$2:$A$27,0)),IF($B641="Terracycle",INDEX('Materials Master'!$K$2:$K$27,MATCH($C641,'Materials Master'!$A$2:$A$27,0)),"No"))))))="Yes",INDEX('Materials Master'!$E$2:$E$27,MATCH($C641,'Materials Master'!$A$2:$A$27,0))="Yes",$B641&lt;&gt;"Trash"),1,0)</f>
        <v>0</v>
      </c>
      <c r="H641" s="0" t="str">
        <f aca="false">INDEX('Materials Master'!$E$2:$E$27,MATCH($C641,'Materials Master'!$A$2:$A$27,0))</f>
        <v>No</v>
      </c>
      <c r="I641" s="0" t="str">
        <f aca="false">IFERROR(INDEX(Areas!$C$2:$C$6,MATCH($A641,Areas!$B$2:$B$6,0)),"")</f>
        <v>Rest of Building</v>
      </c>
      <c r="J641" s="0" t="n">
        <f aca="false">IF(IF($B641="Trash",INDEX('Materials Master'!$F$2:$F$27,MATCH($C641,'Materials Master'!$A$2:$A$27,0)),IF($B641="GMPC Recycling",INDEX('Materials Master'!$G$2:$G$27,MATCH($C641,'Materials Master'!$A$2:$A$27,0)),IF($B641="Organics Recycling",INDEX('Materials Master'!$H$2:$H$27,MATCH($C641,'Materials Master'!$A$2:$A$27,0)),IF($B641="Cardboard Recycling",INDEX('Materials Master'!$I$2:$I$27,MATCH($C641,'Materials Master'!$A$2:$A$27,0)),IF($B641="Paper Recycling",INDEX('Materials Master'!$J$2:$J$27,MATCH($C641,'Materials Master'!$A$2:$A$27,0)),IF($B641="Terracycle",INDEX('Materials Master'!$K$2:$K$27,MATCH($C641,'Materials Master'!$A$2:$A$27,0)),"No"))))))="Yes",1,0)</f>
        <v>1</v>
      </c>
    </row>
    <row r="642" customFormat="false" ht="15" hidden="false" customHeight="false" outlineLevel="0" collapsed="false">
      <c r="A642" s="0" t="s">
        <v>100</v>
      </c>
      <c r="B642" s="0" t="s">
        <v>103</v>
      </c>
      <c r="C642" s="0" t="s">
        <v>64</v>
      </c>
      <c r="D642" s="0" t="str">
        <f aca="false">IFERROR(INDEX('Materials Master'!$B$2:$B$27,MATCH($C642,'Materials Master'!$A$2:$A$27,0)),"")</f>
        <v>Food Waste</v>
      </c>
      <c r="E642" s="0" t="str">
        <f aca="false">IFERROR(INDEX('Materials Master'!$C$2:$C$27,MATCH($C642,'Materials Master'!$A$2:$A$27,0)),"")</f>
        <v>Organics</v>
      </c>
      <c r="F642" s="0" t="n">
        <f aca="false">(SUMIFS(Fact_PreSortWeights!$E$2:$E$15,Fact_PreSortWeights!$C$2:$C$15,$A642,Fact_PreSortWeights!$B$2:$B$15,$B642,Fact_PreSortWeights!$F$2:$F$15,$C642))+(SUMIFS(Fact_SortedWeights!$E$2:$E$6,Fact_SortedWeights!$C$2:$C$6,$A642,Fact_SortedWeights!$B$2:$B$6,$B642,Fact_SortedWeights!$D$2:$D$6,$C642,Fact_SortedWeights!$L$2:$L$6,"Yes"))+IF((SUMIFS(Fact_SortedWeights!$E$2:$E$6,Fact_SortedWeights!$C$2:$C$6,$A642,Fact_SortedWeights!$B$2:$B$6,$B642,Fact_SortedWeights!$L$2:$L$6,"No"))=0,0,(SUMIFS(Fact_SortedWeights!$E$2:$E$6,Fact_SortedWeights!$C$2:$C$6,$A642,Fact_SortedWeights!$B$2:$B$6,$B642,Fact_SortedWeights!$D$2:$D$6,$C642,Fact_SortedWeights!$L$2:$L$6,"No"))/(SUMIFS(Fact_SortedWeights!$E$2:$E$6,Fact_SortedWeights!$C$2:$C$6,$A642,Fact_SortedWeights!$B$2:$B$6,$B642,Fact_SortedWeights!$L$2:$L$6,"No"))*((SUMIFS(Fact_PreSortWeights!$E$2:$E$15,Fact_PreSortWeights!$C$2:$C$15,$A642,Fact_PreSortWeights!$B$2:$B$15,$B642,Fact_PreSortWeights!$F$2:$F$15,""))-(SUMIFS(Fact_SortedWeights!$E$2:$E$6,Fact_SortedWeights!$C$2:$C$6,$A642,Fact_SortedWeights!$B$2:$B$6,$B642,Fact_SortedWeights!$L$2:$L$6,"Yes"))))</f>
        <v>0</v>
      </c>
      <c r="G642" s="0" t="n">
        <f aca="false">IF(AND(IF($B642="Trash",INDEX('Materials Master'!$F$2:$F$27,MATCH($C642,'Materials Master'!$A$2:$A$27,0)),IF($B642="GMPC Recycling",INDEX('Materials Master'!$G$2:$G$27,MATCH($C642,'Materials Master'!$A$2:$A$27,0)),IF($B642="Organics Recycling",INDEX('Materials Master'!$H$2:$H$27,MATCH($C642,'Materials Master'!$A$2:$A$27,0)),IF($B642="Cardboard Recycling",INDEX('Materials Master'!$I$2:$I$27,MATCH($C642,'Materials Master'!$A$2:$A$27,0)),IF($B642="Paper Recycling",INDEX('Materials Master'!$J$2:$J$27,MATCH($C642,'Materials Master'!$A$2:$A$27,0)),IF($B642="Terracycle",INDEX('Materials Master'!$K$2:$K$27,MATCH($C642,'Materials Master'!$A$2:$A$27,0)),"No"))))))="Yes",INDEX('Materials Master'!$E$2:$E$27,MATCH($C642,'Materials Master'!$A$2:$A$27,0))="Yes",$B642&lt;&gt;"Trash"),1,0)</f>
        <v>0</v>
      </c>
      <c r="H642" s="0" t="str">
        <f aca="false">INDEX('Materials Master'!$E$2:$E$27,MATCH($C642,'Materials Master'!$A$2:$A$27,0))</f>
        <v>Yes</v>
      </c>
      <c r="I642" s="0" t="str">
        <f aca="false">IFERROR(INDEX(Areas!$C$2:$C$6,MATCH($A642,Areas!$B$2:$B$6,0)),"")</f>
        <v>Rest of Building</v>
      </c>
      <c r="J642" s="0" t="n">
        <f aca="false">IF(IF($B642="Trash",INDEX('Materials Master'!$F$2:$F$27,MATCH($C642,'Materials Master'!$A$2:$A$27,0)),IF($B642="GMPC Recycling",INDEX('Materials Master'!$G$2:$G$27,MATCH($C642,'Materials Master'!$A$2:$A$27,0)),IF($B642="Organics Recycling",INDEX('Materials Master'!$H$2:$H$27,MATCH($C642,'Materials Master'!$A$2:$A$27,0)),IF($B642="Cardboard Recycling",INDEX('Materials Master'!$I$2:$I$27,MATCH($C642,'Materials Master'!$A$2:$A$27,0)),IF($B642="Paper Recycling",INDEX('Materials Master'!$J$2:$J$27,MATCH($C642,'Materials Master'!$A$2:$A$27,0)),IF($B642="Terracycle",INDEX('Materials Master'!$K$2:$K$27,MATCH($C642,'Materials Master'!$A$2:$A$27,0)),"No"))))))="Yes",1,0)</f>
        <v>0</v>
      </c>
    </row>
    <row r="643" customFormat="false" ht="15" hidden="false" customHeight="false" outlineLevel="0" collapsed="false">
      <c r="A643" s="0" t="s">
        <v>100</v>
      </c>
      <c r="B643" s="0" t="s">
        <v>103</v>
      </c>
      <c r="C643" s="0" t="s">
        <v>67</v>
      </c>
      <c r="D643" s="0" t="str">
        <f aca="false">IFERROR(INDEX('Materials Master'!$B$2:$B$27,MATCH($C643,'Materials Master'!$A$2:$A$27,0)),"")</f>
        <v>Paper Fibers and Food-Soiled Paper (FSP)</v>
      </c>
      <c r="E643" s="0" t="str">
        <f aca="false">IFERROR(INDEX('Materials Master'!$C$2:$C$27,MATCH($C643,'Materials Master'!$A$2:$A$27,0)),"")</f>
        <v>Organics</v>
      </c>
      <c r="F643" s="0" t="n">
        <f aca="false">(SUMIFS(Fact_PreSortWeights!$E$2:$E$15,Fact_PreSortWeights!$C$2:$C$15,$A643,Fact_PreSortWeights!$B$2:$B$15,$B643,Fact_PreSortWeights!$F$2:$F$15,$C643))+(SUMIFS(Fact_SortedWeights!$E$2:$E$6,Fact_SortedWeights!$C$2:$C$6,$A643,Fact_SortedWeights!$B$2:$B$6,$B643,Fact_SortedWeights!$D$2:$D$6,$C643,Fact_SortedWeights!$L$2:$L$6,"Yes"))+IF((SUMIFS(Fact_SortedWeights!$E$2:$E$6,Fact_SortedWeights!$C$2:$C$6,$A643,Fact_SortedWeights!$B$2:$B$6,$B643,Fact_SortedWeights!$L$2:$L$6,"No"))=0,(SUMIFS(Fact_PreSortWeights!$E$2:$E$15,Fact_PreSortWeights!$C$2:$C$15,$A643,Fact_PreSortWeights!$B$2:$B$15,$B643,Fact_PreSortWeights!$F$2:$F$15,""))-(SUMIFS(Fact_SortedWeights!$E$2:$E$6,Fact_SortedWeights!$C$2:$C$6,$A643,Fact_SortedWeights!$B$2:$B$6,$B643,Fact_SortedWeights!$L$2:$L$6,"Yes")),(SUMIFS(Fact_SortedWeights!$E$2:$E$6,Fact_SortedWeights!$C$2:$C$6,$A643,Fact_SortedWeights!$B$2:$B$6,$B643,Fact_SortedWeights!$D$2:$D$6,$C643,Fact_SortedWeights!$L$2:$L$6,"No"))/(SUMIFS(Fact_SortedWeights!$E$2:$E$6,Fact_SortedWeights!$C$2:$C$6,$A643,Fact_SortedWeights!$B$2:$B$6,$B643,Fact_SortedWeights!$L$2:$L$6,"No"))*((SUMIFS(Fact_PreSortWeights!$E$2:$E$15,Fact_PreSortWeights!$C$2:$C$15,$A643,Fact_PreSortWeights!$B$2:$B$15,$B643,Fact_PreSortWeights!$F$2:$F$15,""))-(SUMIFS(Fact_SortedWeights!$E$2:$E$6,Fact_SortedWeights!$C$2:$C$6,$A643,Fact_SortedWeights!$B$2:$B$6,$B643,Fact_SortedWeights!$L$2:$L$6,"Yes"))))</f>
        <v>30</v>
      </c>
      <c r="G643" s="0" t="n">
        <f aca="false">IF(AND(IF($B643="Trash",INDEX('Materials Master'!$F$2:$F$27,MATCH($C643,'Materials Master'!$A$2:$A$27,0)),IF($B643="GMPC Recycling",INDEX('Materials Master'!$G$2:$G$27,MATCH($C643,'Materials Master'!$A$2:$A$27,0)),IF($B643="Organics Recycling",INDEX('Materials Master'!$H$2:$H$27,MATCH($C643,'Materials Master'!$A$2:$A$27,0)),IF($B643="Cardboard Recycling",INDEX('Materials Master'!$I$2:$I$27,MATCH($C643,'Materials Master'!$A$2:$A$27,0)),IF($B643="Paper Recycling",INDEX('Materials Master'!$J$2:$J$27,MATCH($C643,'Materials Master'!$A$2:$A$27,0)),IF($B643="Terracycle",INDEX('Materials Master'!$K$2:$K$27,MATCH($C643,'Materials Master'!$A$2:$A$27,0)),"No"))))))="Yes",INDEX('Materials Master'!$E$2:$E$27,MATCH($C643,'Materials Master'!$A$2:$A$27,0))="Yes",$B643&lt;&gt;"Trash"),1,0)</f>
        <v>0</v>
      </c>
      <c r="H643" s="0" t="str">
        <f aca="false">INDEX('Materials Master'!$E$2:$E$27,MATCH($C643,'Materials Master'!$A$2:$A$27,0))</f>
        <v>No</v>
      </c>
      <c r="I643" s="0" t="str">
        <f aca="false">IFERROR(INDEX(Areas!$C$2:$C$6,MATCH($A643,Areas!$B$2:$B$6,0)),"")</f>
        <v>Rest of Building</v>
      </c>
      <c r="J643" s="0" t="n">
        <f aca="false">IF(IF($B643="Trash",INDEX('Materials Master'!$F$2:$F$27,MATCH($C643,'Materials Master'!$A$2:$A$27,0)),IF($B643="GMPC Recycling",INDEX('Materials Master'!$G$2:$G$27,MATCH($C643,'Materials Master'!$A$2:$A$27,0)),IF($B643="Organics Recycling",INDEX('Materials Master'!$H$2:$H$27,MATCH($C643,'Materials Master'!$A$2:$A$27,0)),IF($B643="Cardboard Recycling",INDEX('Materials Master'!$I$2:$I$27,MATCH($C643,'Materials Master'!$A$2:$A$27,0)),IF($B643="Paper Recycling",INDEX('Materials Master'!$J$2:$J$27,MATCH($C643,'Materials Master'!$A$2:$A$27,0)),IF($B643="Terracycle",INDEX('Materials Master'!$K$2:$K$27,MATCH($C643,'Materials Master'!$A$2:$A$27,0)),"No"))))))="Yes",1,0)</f>
        <v>1</v>
      </c>
    </row>
    <row r="644" customFormat="false" ht="15" hidden="false" customHeight="false" outlineLevel="0" collapsed="false">
      <c r="A644" s="0" t="s">
        <v>100</v>
      </c>
      <c r="B644" s="0" t="s">
        <v>103</v>
      </c>
      <c r="C644" s="0" t="s">
        <v>69</v>
      </c>
      <c r="D644" s="0" t="str">
        <f aca="false">IFERROR(INDEX('Materials Master'!$B$2:$B$27,MATCH($C644,'Materials Master'!$A$2:$A$27,0)),"")</f>
        <v>Fiber-based Compostable Serviceware</v>
      </c>
      <c r="E644" s="0" t="str">
        <f aca="false">IFERROR(INDEX('Materials Master'!$C$2:$C$27,MATCH($C644,'Materials Master'!$A$2:$A$27,0)),"")</f>
        <v>Organics</v>
      </c>
      <c r="F644" s="0" t="n">
        <f aca="false">(SUMIFS(Fact_PreSortWeights!$E$2:$E$15,Fact_PreSortWeights!$C$2:$C$15,$A644,Fact_PreSortWeights!$B$2:$B$15,$B644,Fact_PreSortWeights!$F$2:$F$15,$C644))+(SUMIFS(Fact_SortedWeights!$E$2:$E$6,Fact_SortedWeights!$C$2:$C$6,$A644,Fact_SortedWeights!$B$2:$B$6,$B644,Fact_SortedWeights!$D$2:$D$6,$C644,Fact_SortedWeights!$L$2:$L$6,"Yes"))+IF((SUMIFS(Fact_SortedWeights!$E$2:$E$6,Fact_SortedWeights!$C$2:$C$6,$A644,Fact_SortedWeights!$B$2:$B$6,$B644,Fact_SortedWeights!$L$2:$L$6,"No"))=0,0,(SUMIFS(Fact_SortedWeights!$E$2:$E$6,Fact_SortedWeights!$C$2:$C$6,$A644,Fact_SortedWeights!$B$2:$B$6,$B644,Fact_SortedWeights!$D$2:$D$6,$C644,Fact_SortedWeights!$L$2:$L$6,"No"))/(SUMIFS(Fact_SortedWeights!$E$2:$E$6,Fact_SortedWeights!$C$2:$C$6,$A644,Fact_SortedWeights!$B$2:$B$6,$B644,Fact_SortedWeights!$L$2:$L$6,"No"))*((SUMIFS(Fact_PreSortWeights!$E$2:$E$15,Fact_PreSortWeights!$C$2:$C$15,$A644,Fact_PreSortWeights!$B$2:$B$15,$B644,Fact_PreSortWeights!$F$2:$F$15,""))-(SUMIFS(Fact_SortedWeights!$E$2:$E$6,Fact_SortedWeights!$C$2:$C$6,$A644,Fact_SortedWeights!$B$2:$B$6,$B644,Fact_SortedWeights!$L$2:$L$6,"Yes"))))</f>
        <v>0</v>
      </c>
      <c r="G644" s="0" t="n">
        <f aca="false">IF(AND(IF($B644="Trash",INDEX('Materials Master'!$F$2:$F$27,MATCH($C644,'Materials Master'!$A$2:$A$27,0)),IF($B644="GMPC Recycling",INDEX('Materials Master'!$G$2:$G$27,MATCH($C644,'Materials Master'!$A$2:$A$27,0)),IF($B644="Organics Recycling",INDEX('Materials Master'!$H$2:$H$27,MATCH($C644,'Materials Master'!$A$2:$A$27,0)),IF($B644="Cardboard Recycling",INDEX('Materials Master'!$I$2:$I$27,MATCH($C644,'Materials Master'!$A$2:$A$27,0)),IF($B644="Paper Recycling",INDEX('Materials Master'!$J$2:$J$27,MATCH($C644,'Materials Master'!$A$2:$A$27,0)),IF($B644="Terracycle",INDEX('Materials Master'!$K$2:$K$27,MATCH($C644,'Materials Master'!$A$2:$A$27,0)),"No"))))))="Yes",INDEX('Materials Master'!$E$2:$E$27,MATCH($C644,'Materials Master'!$A$2:$A$27,0))="Yes",$B644&lt;&gt;"Trash"),1,0)</f>
        <v>0</v>
      </c>
      <c r="H644" s="0" t="str">
        <f aca="false">INDEX('Materials Master'!$E$2:$E$27,MATCH($C644,'Materials Master'!$A$2:$A$27,0))</f>
        <v>No</v>
      </c>
      <c r="I644" s="0" t="str">
        <f aca="false">IFERROR(INDEX(Areas!$C$2:$C$6,MATCH($A644,Areas!$B$2:$B$6,0)),"")</f>
        <v>Rest of Building</v>
      </c>
      <c r="J644" s="0" t="n">
        <f aca="false">IF(IF($B644="Trash",INDEX('Materials Master'!$F$2:$F$27,MATCH($C644,'Materials Master'!$A$2:$A$27,0)),IF($B644="GMPC Recycling",INDEX('Materials Master'!$G$2:$G$27,MATCH($C644,'Materials Master'!$A$2:$A$27,0)),IF($B644="Organics Recycling",INDEX('Materials Master'!$H$2:$H$27,MATCH($C644,'Materials Master'!$A$2:$A$27,0)),IF($B644="Cardboard Recycling",INDEX('Materials Master'!$I$2:$I$27,MATCH($C644,'Materials Master'!$A$2:$A$27,0)),IF($B644="Paper Recycling",INDEX('Materials Master'!$J$2:$J$27,MATCH($C644,'Materials Master'!$A$2:$A$27,0)),IF($B644="Terracycle",INDEX('Materials Master'!$K$2:$K$27,MATCH($C644,'Materials Master'!$A$2:$A$27,0)),"No"))))))="Yes",1,0)</f>
        <v>1</v>
      </c>
    </row>
    <row r="645" customFormat="false" ht="15" hidden="false" customHeight="false" outlineLevel="0" collapsed="false">
      <c r="A645" s="0" t="s">
        <v>100</v>
      </c>
      <c r="B645" s="0" t="s">
        <v>103</v>
      </c>
      <c r="C645" s="0" t="s">
        <v>71</v>
      </c>
      <c r="D645" s="0" t="str">
        <f aca="false">IFERROR(INDEX('Materials Master'!$B$2:$B$27,MATCH($C645,'Materials Master'!$A$2:$A$27,0)),"")</f>
        <v>PLA Compostable Serviceware</v>
      </c>
      <c r="E645" s="0" t="str">
        <f aca="false">IFERROR(INDEX('Materials Master'!$C$2:$C$27,MATCH($C645,'Materials Master'!$A$2:$A$27,0)),"")</f>
        <v>Organics</v>
      </c>
      <c r="F645" s="0" t="n">
        <f aca="false">(SUMIFS(Fact_PreSortWeights!$E$2:$E$15,Fact_PreSortWeights!$C$2:$C$15,$A645,Fact_PreSortWeights!$B$2:$B$15,$B645,Fact_PreSortWeights!$F$2:$F$15,$C645))+(SUMIFS(Fact_SortedWeights!$E$2:$E$6,Fact_SortedWeights!$C$2:$C$6,$A645,Fact_SortedWeights!$B$2:$B$6,$B645,Fact_SortedWeights!$D$2:$D$6,$C645,Fact_SortedWeights!$L$2:$L$6,"Yes"))+IF((SUMIFS(Fact_SortedWeights!$E$2:$E$6,Fact_SortedWeights!$C$2:$C$6,$A645,Fact_SortedWeights!$B$2:$B$6,$B645,Fact_SortedWeights!$L$2:$L$6,"No"))=0,0,(SUMIFS(Fact_SortedWeights!$E$2:$E$6,Fact_SortedWeights!$C$2:$C$6,$A645,Fact_SortedWeights!$B$2:$B$6,$B645,Fact_SortedWeights!$D$2:$D$6,$C645,Fact_SortedWeights!$L$2:$L$6,"No"))/(SUMIFS(Fact_SortedWeights!$E$2:$E$6,Fact_SortedWeights!$C$2:$C$6,$A645,Fact_SortedWeights!$B$2:$B$6,$B645,Fact_SortedWeights!$L$2:$L$6,"No"))*((SUMIFS(Fact_PreSortWeights!$E$2:$E$15,Fact_PreSortWeights!$C$2:$C$15,$A645,Fact_PreSortWeights!$B$2:$B$15,$B645,Fact_PreSortWeights!$F$2:$F$15,""))-(SUMIFS(Fact_SortedWeights!$E$2:$E$6,Fact_SortedWeights!$C$2:$C$6,$A645,Fact_SortedWeights!$B$2:$B$6,$B645,Fact_SortedWeights!$L$2:$L$6,"Yes"))))</f>
        <v>0</v>
      </c>
      <c r="G645" s="0" t="n">
        <f aca="false">IF(AND(IF($B645="Trash",INDEX('Materials Master'!$F$2:$F$27,MATCH($C645,'Materials Master'!$A$2:$A$27,0)),IF($B645="GMPC Recycling",INDEX('Materials Master'!$G$2:$G$27,MATCH($C645,'Materials Master'!$A$2:$A$27,0)),IF($B645="Organics Recycling",INDEX('Materials Master'!$H$2:$H$27,MATCH($C645,'Materials Master'!$A$2:$A$27,0)),IF($B645="Cardboard Recycling",INDEX('Materials Master'!$I$2:$I$27,MATCH($C645,'Materials Master'!$A$2:$A$27,0)),IF($B645="Paper Recycling",INDEX('Materials Master'!$J$2:$J$27,MATCH($C645,'Materials Master'!$A$2:$A$27,0)),IF($B645="Terracycle",INDEX('Materials Master'!$K$2:$K$27,MATCH($C645,'Materials Master'!$A$2:$A$27,0)),"No"))))))="Yes",INDEX('Materials Master'!$E$2:$E$27,MATCH($C645,'Materials Master'!$A$2:$A$27,0))="Yes",$B645&lt;&gt;"Trash"),1,0)</f>
        <v>0</v>
      </c>
      <c r="H645" s="0" t="str">
        <f aca="false">INDEX('Materials Master'!$E$2:$E$27,MATCH($C645,'Materials Master'!$A$2:$A$27,0))</f>
        <v>No</v>
      </c>
      <c r="I645" s="0" t="str">
        <f aca="false">IFERROR(INDEX(Areas!$C$2:$C$6,MATCH($A645,Areas!$B$2:$B$6,0)),"")</f>
        <v>Rest of Building</v>
      </c>
      <c r="J645" s="0" t="n">
        <f aca="false">IF(IF($B645="Trash",INDEX('Materials Master'!$F$2:$F$27,MATCH($C645,'Materials Master'!$A$2:$A$27,0)),IF($B645="GMPC Recycling",INDEX('Materials Master'!$G$2:$G$27,MATCH($C645,'Materials Master'!$A$2:$A$27,0)),IF($B645="Organics Recycling",INDEX('Materials Master'!$H$2:$H$27,MATCH($C645,'Materials Master'!$A$2:$A$27,0)),IF($B645="Cardboard Recycling",INDEX('Materials Master'!$I$2:$I$27,MATCH($C645,'Materials Master'!$A$2:$A$27,0)),IF($B645="Paper Recycling",INDEX('Materials Master'!$J$2:$J$27,MATCH($C645,'Materials Master'!$A$2:$A$27,0)),IF($B645="Terracycle",INDEX('Materials Master'!$K$2:$K$27,MATCH($C645,'Materials Master'!$A$2:$A$27,0)),"No"))))))="Yes",1,0)</f>
        <v>1</v>
      </c>
    </row>
    <row r="646" customFormat="false" ht="15" hidden="false" customHeight="false" outlineLevel="0" collapsed="false">
      <c r="A646" s="0" t="s">
        <v>100</v>
      </c>
      <c r="B646" s="0" t="s">
        <v>103</v>
      </c>
      <c r="C646" s="0" t="s">
        <v>73</v>
      </c>
      <c r="D646" s="0" t="str">
        <f aca="false">IFERROR(INDEX('Materials Master'!$B$2:$B$27,MATCH($C646,'Materials Master'!$A$2:$A$27,0)),"")</f>
        <v>E/U Waste</v>
      </c>
      <c r="E646" s="0" t="str">
        <f aca="false">IFERROR(INDEX('Materials Master'!$C$2:$C$27,MATCH($C646,'Materials Master'!$A$2:$A$27,0)),"")</f>
        <v>Unacceptable</v>
      </c>
      <c r="F646" s="0" t="n">
        <f aca="false">(SUMIFS(Fact_PreSortWeights!$E$2:$E$15,Fact_PreSortWeights!$C$2:$C$15,$A646,Fact_PreSortWeights!$B$2:$B$15,$B646,Fact_PreSortWeights!$F$2:$F$15,$C646))+(SUMIFS(Fact_SortedWeights!$E$2:$E$6,Fact_SortedWeights!$C$2:$C$6,$A646,Fact_SortedWeights!$B$2:$B$6,$B646,Fact_SortedWeights!$D$2:$D$6,$C646,Fact_SortedWeights!$L$2:$L$6,"Yes"))+IF((SUMIFS(Fact_SortedWeights!$E$2:$E$6,Fact_SortedWeights!$C$2:$C$6,$A646,Fact_SortedWeights!$B$2:$B$6,$B646,Fact_SortedWeights!$L$2:$L$6,"No"))=0,0,(SUMIFS(Fact_SortedWeights!$E$2:$E$6,Fact_SortedWeights!$C$2:$C$6,$A646,Fact_SortedWeights!$B$2:$B$6,$B646,Fact_SortedWeights!$D$2:$D$6,$C646,Fact_SortedWeights!$L$2:$L$6,"No"))/(SUMIFS(Fact_SortedWeights!$E$2:$E$6,Fact_SortedWeights!$C$2:$C$6,$A646,Fact_SortedWeights!$B$2:$B$6,$B646,Fact_SortedWeights!$L$2:$L$6,"No"))*((SUMIFS(Fact_PreSortWeights!$E$2:$E$15,Fact_PreSortWeights!$C$2:$C$15,$A646,Fact_PreSortWeights!$B$2:$B$15,$B646,Fact_PreSortWeights!$F$2:$F$15,""))-(SUMIFS(Fact_SortedWeights!$E$2:$E$6,Fact_SortedWeights!$C$2:$C$6,$A646,Fact_SortedWeights!$B$2:$B$6,$B646,Fact_SortedWeights!$L$2:$L$6,"Yes"))))</f>
        <v>0</v>
      </c>
      <c r="G646" s="0" t="n">
        <f aca="false">IF(AND(IF($B646="Trash",INDEX('Materials Master'!$F$2:$F$27,MATCH($C646,'Materials Master'!$A$2:$A$27,0)),IF($B646="GMPC Recycling",INDEX('Materials Master'!$G$2:$G$27,MATCH($C646,'Materials Master'!$A$2:$A$27,0)),IF($B646="Organics Recycling",INDEX('Materials Master'!$H$2:$H$27,MATCH($C646,'Materials Master'!$A$2:$A$27,0)),IF($B646="Cardboard Recycling",INDEX('Materials Master'!$I$2:$I$27,MATCH($C646,'Materials Master'!$A$2:$A$27,0)),IF($B646="Paper Recycling",INDEX('Materials Master'!$J$2:$J$27,MATCH($C646,'Materials Master'!$A$2:$A$27,0)),IF($B646="Terracycle",INDEX('Materials Master'!$K$2:$K$27,MATCH($C646,'Materials Master'!$A$2:$A$27,0)),"No"))))))="Yes",INDEX('Materials Master'!$E$2:$E$27,MATCH($C646,'Materials Master'!$A$2:$A$27,0))="Yes",$B646&lt;&gt;"Trash"),1,0)</f>
        <v>0</v>
      </c>
      <c r="H646" s="0" t="str">
        <f aca="false">INDEX('Materials Master'!$E$2:$E$27,MATCH($C646,'Materials Master'!$A$2:$A$27,0))</f>
        <v>No</v>
      </c>
      <c r="I646" s="0" t="str">
        <f aca="false">IFERROR(INDEX(Areas!$C$2:$C$6,MATCH($A646,Areas!$B$2:$B$6,0)),"")</f>
        <v>Rest of Building</v>
      </c>
      <c r="J646" s="0" t="n">
        <f aca="false">IF(IF($B646="Trash",INDEX('Materials Master'!$F$2:$F$27,MATCH($C646,'Materials Master'!$A$2:$A$27,0)),IF($B646="GMPC Recycling",INDEX('Materials Master'!$G$2:$G$27,MATCH($C646,'Materials Master'!$A$2:$A$27,0)),IF($B646="Organics Recycling",INDEX('Materials Master'!$H$2:$H$27,MATCH($C646,'Materials Master'!$A$2:$A$27,0)),IF($B646="Cardboard Recycling",INDEX('Materials Master'!$I$2:$I$27,MATCH($C646,'Materials Master'!$A$2:$A$27,0)),IF($B646="Paper Recycling",INDEX('Materials Master'!$J$2:$J$27,MATCH($C646,'Materials Master'!$A$2:$A$27,0)),IF($B646="Terracycle",INDEX('Materials Master'!$K$2:$K$27,MATCH($C646,'Materials Master'!$A$2:$A$27,0)),"No"))))))="Yes",1,0)</f>
        <v>1</v>
      </c>
    </row>
    <row r="647" customFormat="false" ht="15" hidden="false" customHeight="false" outlineLevel="0" collapsed="false">
      <c r="A647" s="0" t="s">
        <v>100</v>
      </c>
      <c r="B647" s="0" t="s">
        <v>103</v>
      </c>
      <c r="C647" s="0" t="s">
        <v>76</v>
      </c>
      <c r="D647" s="0" t="str">
        <f aca="false">IFERROR(INDEX('Materials Master'!$B$2:$B$27,MATCH($C647,'Materials Master'!$A$2:$A$27,0)),"")</f>
        <v>Textiles</v>
      </c>
      <c r="E647" s="0" t="str">
        <f aca="false">IFERROR(INDEX('Materials Master'!$C$2:$C$27,MATCH($C647,'Materials Master'!$A$2:$A$27,0)),"")</f>
        <v>Unacceptable</v>
      </c>
      <c r="F647" s="0" t="n">
        <f aca="false">(SUMIFS(Fact_PreSortWeights!$E$2:$E$15,Fact_PreSortWeights!$C$2:$C$15,$A647,Fact_PreSortWeights!$B$2:$B$15,$B647,Fact_PreSortWeights!$F$2:$F$15,$C647))+(SUMIFS(Fact_SortedWeights!$E$2:$E$6,Fact_SortedWeights!$C$2:$C$6,$A647,Fact_SortedWeights!$B$2:$B$6,$B647,Fact_SortedWeights!$D$2:$D$6,$C647,Fact_SortedWeights!$L$2:$L$6,"Yes"))+IF((SUMIFS(Fact_SortedWeights!$E$2:$E$6,Fact_SortedWeights!$C$2:$C$6,$A647,Fact_SortedWeights!$B$2:$B$6,$B647,Fact_SortedWeights!$L$2:$L$6,"No"))=0,0,(SUMIFS(Fact_SortedWeights!$E$2:$E$6,Fact_SortedWeights!$C$2:$C$6,$A647,Fact_SortedWeights!$B$2:$B$6,$B647,Fact_SortedWeights!$D$2:$D$6,$C647,Fact_SortedWeights!$L$2:$L$6,"No"))/(SUMIFS(Fact_SortedWeights!$E$2:$E$6,Fact_SortedWeights!$C$2:$C$6,$A647,Fact_SortedWeights!$B$2:$B$6,$B647,Fact_SortedWeights!$L$2:$L$6,"No"))*((SUMIFS(Fact_PreSortWeights!$E$2:$E$15,Fact_PreSortWeights!$C$2:$C$15,$A647,Fact_PreSortWeights!$B$2:$B$15,$B647,Fact_PreSortWeights!$F$2:$F$15,""))-(SUMIFS(Fact_SortedWeights!$E$2:$E$6,Fact_SortedWeights!$C$2:$C$6,$A647,Fact_SortedWeights!$B$2:$B$6,$B647,Fact_SortedWeights!$L$2:$L$6,"Yes"))))</f>
        <v>0</v>
      </c>
      <c r="G647" s="0" t="n">
        <f aca="false">IF(AND(IF($B647="Trash",INDEX('Materials Master'!$F$2:$F$27,MATCH($C647,'Materials Master'!$A$2:$A$27,0)),IF($B647="GMPC Recycling",INDEX('Materials Master'!$G$2:$G$27,MATCH($C647,'Materials Master'!$A$2:$A$27,0)),IF($B647="Organics Recycling",INDEX('Materials Master'!$H$2:$H$27,MATCH($C647,'Materials Master'!$A$2:$A$27,0)),IF($B647="Cardboard Recycling",INDEX('Materials Master'!$I$2:$I$27,MATCH($C647,'Materials Master'!$A$2:$A$27,0)),IF($B647="Paper Recycling",INDEX('Materials Master'!$J$2:$J$27,MATCH($C647,'Materials Master'!$A$2:$A$27,0)),IF($B647="Terracycle",INDEX('Materials Master'!$K$2:$K$27,MATCH($C647,'Materials Master'!$A$2:$A$27,0)),"No"))))))="Yes",INDEX('Materials Master'!$E$2:$E$27,MATCH($C647,'Materials Master'!$A$2:$A$27,0))="Yes",$B647&lt;&gt;"Trash"),1,0)</f>
        <v>0</v>
      </c>
      <c r="H647" s="0" t="str">
        <f aca="false">INDEX('Materials Master'!$E$2:$E$27,MATCH($C647,'Materials Master'!$A$2:$A$27,0))</f>
        <v>No</v>
      </c>
      <c r="I647" s="0" t="str">
        <f aca="false">IFERROR(INDEX(Areas!$C$2:$C$6,MATCH($A647,Areas!$B$2:$B$6,0)),"")</f>
        <v>Rest of Building</v>
      </c>
      <c r="J647" s="0" t="n">
        <f aca="false">IF(IF($B647="Trash",INDEX('Materials Master'!$F$2:$F$27,MATCH($C647,'Materials Master'!$A$2:$A$27,0)),IF($B647="GMPC Recycling",INDEX('Materials Master'!$G$2:$G$27,MATCH($C647,'Materials Master'!$A$2:$A$27,0)),IF($B647="Organics Recycling",INDEX('Materials Master'!$H$2:$H$27,MATCH($C647,'Materials Master'!$A$2:$A$27,0)),IF($B647="Cardboard Recycling",INDEX('Materials Master'!$I$2:$I$27,MATCH($C647,'Materials Master'!$A$2:$A$27,0)),IF($B647="Paper Recycling",INDEX('Materials Master'!$J$2:$J$27,MATCH($C647,'Materials Master'!$A$2:$A$27,0)),IF($B647="Terracycle",INDEX('Materials Master'!$K$2:$K$27,MATCH($C647,'Materials Master'!$A$2:$A$27,0)),"No"))))))="Yes",1,0)</f>
        <v>1</v>
      </c>
    </row>
    <row r="648" customFormat="false" ht="15" hidden="false" customHeight="false" outlineLevel="0" collapsed="false">
      <c r="A648" s="0" t="s">
        <v>100</v>
      </c>
      <c r="B648" s="0" t="s">
        <v>103</v>
      </c>
      <c r="C648" s="0" t="s">
        <v>78</v>
      </c>
      <c r="D648" s="0" t="str">
        <f aca="false">IFERROR(INDEX('Materials Master'!$B$2:$B$27,MATCH($C648,'Materials Master'!$A$2:$A$27,0)),"")</f>
        <v>Other Unacceptable (specify)</v>
      </c>
      <c r="E648" s="0" t="str">
        <f aca="false">IFERROR(INDEX('Materials Master'!$C$2:$C$27,MATCH($C648,'Materials Master'!$A$2:$A$27,0)),"")</f>
        <v>Unacceptable</v>
      </c>
      <c r="F648" s="0" t="n">
        <f aca="false">(SUMIFS(Fact_PreSortWeights!$E$2:$E$15,Fact_PreSortWeights!$C$2:$C$15,$A648,Fact_PreSortWeights!$B$2:$B$15,$B648,Fact_PreSortWeights!$F$2:$F$15,$C648))+(SUMIFS(Fact_SortedWeights!$E$2:$E$6,Fact_SortedWeights!$C$2:$C$6,$A648,Fact_SortedWeights!$B$2:$B$6,$B648,Fact_SortedWeights!$D$2:$D$6,$C648,Fact_SortedWeights!$L$2:$L$6,"Yes"))+IF((SUMIFS(Fact_SortedWeights!$E$2:$E$6,Fact_SortedWeights!$C$2:$C$6,$A648,Fact_SortedWeights!$B$2:$B$6,$B648,Fact_SortedWeights!$L$2:$L$6,"No"))=0,0,(SUMIFS(Fact_SortedWeights!$E$2:$E$6,Fact_SortedWeights!$C$2:$C$6,$A648,Fact_SortedWeights!$B$2:$B$6,$B648,Fact_SortedWeights!$D$2:$D$6,$C648,Fact_SortedWeights!$L$2:$L$6,"No"))/(SUMIFS(Fact_SortedWeights!$E$2:$E$6,Fact_SortedWeights!$C$2:$C$6,$A648,Fact_SortedWeights!$B$2:$B$6,$B648,Fact_SortedWeights!$L$2:$L$6,"No"))*((SUMIFS(Fact_PreSortWeights!$E$2:$E$15,Fact_PreSortWeights!$C$2:$C$15,$A648,Fact_PreSortWeights!$B$2:$B$15,$B648,Fact_PreSortWeights!$F$2:$F$15,""))-(SUMIFS(Fact_SortedWeights!$E$2:$E$6,Fact_SortedWeights!$C$2:$C$6,$A648,Fact_SortedWeights!$B$2:$B$6,$B648,Fact_SortedWeights!$L$2:$L$6,"Yes"))))</f>
        <v>0</v>
      </c>
      <c r="G648" s="0" t="n">
        <f aca="false">IF(AND(IF($B648="Trash",INDEX('Materials Master'!$F$2:$F$27,MATCH($C648,'Materials Master'!$A$2:$A$27,0)),IF($B648="GMPC Recycling",INDEX('Materials Master'!$G$2:$G$27,MATCH($C648,'Materials Master'!$A$2:$A$27,0)),IF($B648="Organics Recycling",INDEX('Materials Master'!$H$2:$H$27,MATCH($C648,'Materials Master'!$A$2:$A$27,0)),IF($B648="Cardboard Recycling",INDEX('Materials Master'!$I$2:$I$27,MATCH($C648,'Materials Master'!$A$2:$A$27,0)),IF($B648="Paper Recycling",INDEX('Materials Master'!$J$2:$J$27,MATCH($C648,'Materials Master'!$A$2:$A$27,0)),IF($B648="Terracycle",INDEX('Materials Master'!$K$2:$K$27,MATCH($C648,'Materials Master'!$A$2:$A$27,0)),"No"))))))="Yes",INDEX('Materials Master'!$E$2:$E$27,MATCH($C648,'Materials Master'!$A$2:$A$27,0))="Yes",$B648&lt;&gt;"Trash"),1,0)</f>
        <v>0</v>
      </c>
      <c r="H648" s="0" t="str">
        <f aca="false">INDEX('Materials Master'!$E$2:$E$27,MATCH($C648,'Materials Master'!$A$2:$A$27,0))</f>
        <v>No</v>
      </c>
      <c r="I648" s="0" t="str">
        <f aca="false">IFERROR(INDEX(Areas!$C$2:$C$6,MATCH($A648,Areas!$B$2:$B$6,0)),"")</f>
        <v>Rest of Building</v>
      </c>
      <c r="J648" s="0" t="n">
        <f aca="false">IF(IF($B648="Trash",INDEX('Materials Master'!$F$2:$F$27,MATCH($C648,'Materials Master'!$A$2:$A$27,0)),IF($B648="GMPC Recycling",INDEX('Materials Master'!$G$2:$G$27,MATCH($C648,'Materials Master'!$A$2:$A$27,0)),IF($B648="Organics Recycling",INDEX('Materials Master'!$H$2:$H$27,MATCH($C648,'Materials Master'!$A$2:$A$27,0)),IF($B648="Cardboard Recycling",INDEX('Materials Master'!$I$2:$I$27,MATCH($C648,'Materials Master'!$A$2:$A$27,0)),IF($B648="Paper Recycling",INDEX('Materials Master'!$J$2:$J$27,MATCH($C648,'Materials Master'!$A$2:$A$27,0)),IF($B648="Terracycle",INDEX('Materials Master'!$K$2:$K$27,MATCH($C648,'Materials Master'!$A$2:$A$27,0)),"No"))))))="Yes",1,0)</f>
        <v>1</v>
      </c>
    </row>
    <row r="649" customFormat="false" ht="15" hidden="false" customHeight="false" outlineLevel="0" collapsed="false">
      <c r="A649" s="0" t="s">
        <v>100</v>
      </c>
      <c r="B649" s="0" t="s">
        <v>103</v>
      </c>
      <c r="C649" s="0" t="s">
        <v>80</v>
      </c>
      <c r="D649" s="0" t="str">
        <f aca="false">IFERROR(INDEX('Materials Master'!$B$2:$B$27,MATCH($C649,'Materials Master'!$A$2:$A$27,0)),"")</f>
        <v>Liquids</v>
      </c>
      <c r="E649" s="0" t="str">
        <f aca="false">IFERROR(INDEX('Materials Master'!$C$2:$C$27,MATCH($C649,'Materials Master'!$A$2:$A$27,0)),"")</f>
        <v>Unacceptable</v>
      </c>
      <c r="F649" s="0" t="n">
        <f aca="false">(SUMIFS(Fact_PreSortWeights!$E$2:$E$15,Fact_PreSortWeights!$C$2:$C$15,$A649,Fact_PreSortWeights!$B$2:$B$15,$B649,Fact_PreSortWeights!$F$2:$F$15,$C649))+(SUMIFS(Fact_SortedWeights!$E$2:$E$6,Fact_SortedWeights!$C$2:$C$6,$A649,Fact_SortedWeights!$B$2:$B$6,$B649,Fact_SortedWeights!$D$2:$D$6,$C649,Fact_SortedWeights!$L$2:$L$6,"Yes"))+IF((SUMIFS(Fact_SortedWeights!$E$2:$E$6,Fact_SortedWeights!$C$2:$C$6,$A649,Fact_SortedWeights!$B$2:$B$6,$B649,Fact_SortedWeights!$L$2:$L$6,"No"))=0,0,(SUMIFS(Fact_SortedWeights!$E$2:$E$6,Fact_SortedWeights!$C$2:$C$6,$A649,Fact_SortedWeights!$B$2:$B$6,$B649,Fact_SortedWeights!$D$2:$D$6,$C649,Fact_SortedWeights!$L$2:$L$6,"No"))/(SUMIFS(Fact_SortedWeights!$E$2:$E$6,Fact_SortedWeights!$C$2:$C$6,$A649,Fact_SortedWeights!$B$2:$B$6,$B649,Fact_SortedWeights!$L$2:$L$6,"No"))*((SUMIFS(Fact_PreSortWeights!$E$2:$E$15,Fact_PreSortWeights!$C$2:$C$15,$A649,Fact_PreSortWeights!$B$2:$B$15,$B649,Fact_PreSortWeights!$F$2:$F$15,""))-(SUMIFS(Fact_SortedWeights!$E$2:$E$6,Fact_SortedWeights!$C$2:$C$6,$A649,Fact_SortedWeights!$B$2:$B$6,$B649,Fact_SortedWeights!$L$2:$L$6,"Yes"))))</f>
        <v>0</v>
      </c>
      <c r="G649" s="0" t="n">
        <f aca="false">IF(AND(IF($B649="Trash",INDEX('Materials Master'!$F$2:$F$27,MATCH($C649,'Materials Master'!$A$2:$A$27,0)),IF($B649="GMPC Recycling",INDEX('Materials Master'!$G$2:$G$27,MATCH($C649,'Materials Master'!$A$2:$A$27,0)),IF($B649="Organics Recycling",INDEX('Materials Master'!$H$2:$H$27,MATCH($C649,'Materials Master'!$A$2:$A$27,0)),IF($B649="Cardboard Recycling",INDEX('Materials Master'!$I$2:$I$27,MATCH($C649,'Materials Master'!$A$2:$A$27,0)),IF($B649="Paper Recycling",INDEX('Materials Master'!$J$2:$J$27,MATCH($C649,'Materials Master'!$A$2:$A$27,0)),IF($B649="Terracycle",INDEX('Materials Master'!$K$2:$K$27,MATCH($C649,'Materials Master'!$A$2:$A$27,0)),"No"))))))="Yes",INDEX('Materials Master'!$E$2:$E$27,MATCH($C649,'Materials Master'!$A$2:$A$27,0))="Yes",$B649&lt;&gt;"Trash"),1,0)</f>
        <v>0</v>
      </c>
      <c r="H649" s="0" t="str">
        <f aca="false">INDEX('Materials Master'!$E$2:$E$27,MATCH($C649,'Materials Master'!$A$2:$A$27,0))</f>
        <v>No</v>
      </c>
      <c r="I649" s="0" t="str">
        <f aca="false">IFERROR(INDEX(Areas!$C$2:$C$6,MATCH($A649,Areas!$B$2:$B$6,0)),"")</f>
        <v>Rest of Building</v>
      </c>
      <c r="J649" s="0" t="n">
        <f aca="false">IF(IF($B649="Trash",INDEX('Materials Master'!$F$2:$F$27,MATCH($C649,'Materials Master'!$A$2:$A$27,0)),IF($B649="GMPC Recycling",INDEX('Materials Master'!$G$2:$G$27,MATCH($C649,'Materials Master'!$A$2:$A$27,0)),IF($B649="Organics Recycling",INDEX('Materials Master'!$H$2:$H$27,MATCH($C649,'Materials Master'!$A$2:$A$27,0)),IF($B649="Cardboard Recycling",INDEX('Materials Master'!$I$2:$I$27,MATCH($C649,'Materials Master'!$A$2:$A$27,0)),IF($B649="Paper Recycling",INDEX('Materials Master'!$J$2:$J$27,MATCH($C649,'Materials Master'!$A$2:$A$27,0)),IF($B649="Terracycle",INDEX('Materials Master'!$K$2:$K$27,MATCH($C649,'Materials Master'!$A$2:$A$27,0)),"No"))))))="Yes",1,0)</f>
        <v>1</v>
      </c>
    </row>
    <row r="650" customFormat="false" ht="15" hidden="false" customHeight="false" outlineLevel="0" collapsed="false">
      <c r="A650" s="0" t="s">
        <v>100</v>
      </c>
      <c r="B650" s="0" t="s">
        <v>103</v>
      </c>
      <c r="C650" s="0" t="s">
        <v>82</v>
      </c>
      <c r="D650" s="0" t="str">
        <f aca="false">IFERROR(INDEX('Materials Master'!$B$2:$B$27,MATCH($C650,'Materials Master'!$A$2:$A$27,0)),"")</f>
        <v>Snack Wrappers (Composites)</v>
      </c>
      <c r="E650" s="0" t="str">
        <f aca="false">IFERROR(INDEX('Materials Master'!$C$2:$C$27,MATCH($C650,'Materials Master'!$A$2:$A$27,0)),"")</f>
        <v>Other</v>
      </c>
      <c r="F650" s="0" t="n">
        <f aca="false">(SUMIFS(Fact_PreSortWeights!$E$2:$E$15,Fact_PreSortWeights!$C$2:$C$15,$A650,Fact_PreSortWeights!$B$2:$B$15,$B650,Fact_PreSortWeights!$F$2:$F$15,$C650))+(SUMIFS(Fact_SortedWeights!$E$2:$E$6,Fact_SortedWeights!$C$2:$C$6,$A650,Fact_SortedWeights!$B$2:$B$6,$B650,Fact_SortedWeights!$D$2:$D$6,$C650,Fact_SortedWeights!$L$2:$L$6,"Yes"))+IF((SUMIFS(Fact_SortedWeights!$E$2:$E$6,Fact_SortedWeights!$C$2:$C$6,$A650,Fact_SortedWeights!$B$2:$B$6,$B650,Fact_SortedWeights!$L$2:$L$6,"No"))=0,0,(SUMIFS(Fact_SortedWeights!$E$2:$E$6,Fact_SortedWeights!$C$2:$C$6,$A650,Fact_SortedWeights!$B$2:$B$6,$B650,Fact_SortedWeights!$D$2:$D$6,$C650,Fact_SortedWeights!$L$2:$L$6,"No"))/(SUMIFS(Fact_SortedWeights!$E$2:$E$6,Fact_SortedWeights!$C$2:$C$6,$A650,Fact_SortedWeights!$B$2:$B$6,$B650,Fact_SortedWeights!$L$2:$L$6,"No"))*((SUMIFS(Fact_PreSortWeights!$E$2:$E$15,Fact_PreSortWeights!$C$2:$C$15,$A650,Fact_PreSortWeights!$B$2:$B$15,$B650,Fact_PreSortWeights!$F$2:$F$15,""))-(SUMIFS(Fact_SortedWeights!$E$2:$E$6,Fact_SortedWeights!$C$2:$C$6,$A650,Fact_SortedWeights!$B$2:$B$6,$B650,Fact_SortedWeights!$L$2:$L$6,"Yes"))))</f>
        <v>0</v>
      </c>
      <c r="G650" s="0" t="n">
        <f aca="false">IF(AND(IF($B650="Trash",INDEX('Materials Master'!$F$2:$F$27,MATCH($C650,'Materials Master'!$A$2:$A$27,0)),IF($B650="GMPC Recycling",INDEX('Materials Master'!$G$2:$G$27,MATCH($C650,'Materials Master'!$A$2:$A$27,0)),IF($B650="Organics Recycling",INDEX('Materials Master'!$H$2:$H$27,MATCH($C650,'Materials Master'!$A$2:$A$27,0)),IF($B650="Cardboard Recycling",INDEX('Materials Master'!$I$2:$I$27,MATCH($C650,'Materials Master'!$A$2:$A$27,0)),IF($B650="Paper Recycling",INDEX('Materials Master'!$J$2:$J$27,MATCH($C650,'Materials Master'!$A$2:$A$27,0)),IF($B650="Terracycle",INDEX('Materials Master'!$K$2:$K$27,MATCH($C650,'Materials Master'!$A$2:$A$27,0)),"No"))))))="Yes",INDEX('Materials Master'!$E$2:$E$27,MATCH($C650,'Materials Master'!$A$2:$A$27,0))="Yes",$B650&lt;&gt;"Trash"),1,0)</f>
        <v>0</v>
      </c>
      <c r="H650" s="0" t="str">
        <f aca="false">INDEX('Materials Master'!$E$2:$E$27,MATCH($C650,'Materials Master'!$A$2:$A$27,0))</f>
        <v>Yes</v>
      </c>
      <c r="I650" s="0" t="str">
        <f aca="false">IFERROR(INDEX(Areas!$C$2:$C$6,MATCH($A650,Areas!$B$2:$B$6,0)),"")</f>
        <v>Rest of Building</v>
      </c>
      <c r="J650" s="0" t="n">
        <f aca="false">IF(IF($B650="Trash",INDEX('Materials Master'!$F$2:$F$27,MATCH($C650,'Materials Master'!$A$2:$A$27,0)),IF($B650="GMPC Recycling",INDEX('Materials Master'!$G$2:$G$27,MATCH($C650,'Materials Master'!$A$2:$A$27,0)),IF($B650="Organics Recycling",INDEX('Materials Master'!$H$2:$H$27,MATCH($C650,'Materials Master'!$A$2:$A$27,0)),IF($B650="Cardboard Recycling",INDEX('Materials Master'!$I$2:$I$27,MATCH($C650,'Materials Master'!$A$2:$A$27,0)),IF($B650="Paper Recycling",INDEX('Materials Master'!$J$2:$J$27,MATCH($C650,'Materials Master'!$A$2:$A$27,0)),IF($B650="Terracycle",INDEX('Materials Master'!$K$2:$K$27,MATCH($C650,'Materials Master'!$A$2:$A$27,0)),"No"))))))="Yes",1,0)</f>
        <v>0</v>
      </c>
    </row>
    <row r="651" customFormat="false" ht="15" hidden="false" customHeight="false" outlineLevel="0" collapsed="false">
      <c r="A651" s="0" t="s">
        <v>100</v>
      </c>
      <c r="B651" s="0" t="s">
        <v>103</v>
      </c>
      <c r="C651" s="0" t="s">
        <v>85</v>
      </c>
      <c r="D651" s="0" t="str">
        <f aca="false">IFERROR(INDEX('Materials Master'!$B$2:$B$27,MATCH($C651,'Materials Master'!$A$2:$A$27,0)),"")</f>
        <v>Other/Residual Materials</v>
      </c>
      <c r="E651" s="0" t="str">
        <f aca="false">IFERROR(INDEX('Materials Master'!$C$2:$C$27,MATCH($C651,'Materials Master'!$A$2:$A$27,0)),"")</f>
        <v>Other</v>
      </c>
      <c r="F651" s="0" t="n">
        <f aca="false">(SUMIFS(Fact_PreSortWeights!$E$2:$E$15,Fact_PreSortWeights!$C$2:$C$15,$A651,Fact_PreSortWeights!$B$2:$B$15,$B651,Fact_PreSortWeights!$F$2:$F$15,$C651))+(SUMIFS(Fact_SortedWeights!$E$2:$E$6,Fact_SortedWeights!$C$2:$C$6,$A651,Fact_SortedWeights!$B$2:$B$6,$B651,Fact_SortedWeights!$D$2:$D$6,$C651,Fact_SortedWeights!$L$2:$L$6,"Yes"))+IF((SUMIFS(Fact_SortedWeights!$E$2:$E$6,Fact_SortedWeights!$C$2:$C$6,$A651,Fact_SortedWeights!$B$2:$B$6,$B651,Fact_SortedWeights!$L$2:$L$6,"No"))=0,0,(SUMIFS(Fact_SortedWeights!$E$2:$E$6,Fact_SortedWeights!$C$2:$C$6,$A651,Fact_SortedWeights!$B$2:$B$6,$B651,Fact_SortedWeights!$D$2:$D$6,$C651,Fact_SortedWeights!$L$2:$L$6,"No"))/(SUMIFS(Fact_SortedWeights!$E$2:$E$6,Fact_SortedWeights!$C$2:$C$6,$A651,Fact_SortedWeights!$B$2:$B$6,$B651,Fact_SortedWeights!$L$2:$L$6,"No"))*((SUMIFS(Fact_PreSortWeights!$E$2:$E$15,Fact_PreSortWeights!$C$2:$C$15,$A651,Fact_PreSortWeights!$B$2:$B$15,$B651,Fact_PreSortWeights!$F$2:$F$15,""))-(SUMIFS(Fact_SortedWeights!$E$2:$E$6,Fact_SortedWeights!$C$2:$C$6,$A651,Fact_SortedWeights!$B$2:$B$6,$B651,Fact_SortedWeights!$L$2:$L$6,"Yes"))))</f>
        <v>0</v>
      </c>
      <c r="G651" s="0" t="n">
        <f aca="false">IF(AND(IF($B651="Trash",INDEX('Materials Master'!$F$2:$F$27,MATCH($C651,'Materials Master'!$A$2:$A$27,0)),IF($B651="GMPC Recycling",INDEX('Materials Master'!$G$2:$G$27,MATCH($C651,'Materials Master'!$A$2:$A$27,0)),IF($B651="Organics Recycling",INDEX('Materials Master'!$H$2:$H$27,MATCH($C651,'Materials Master'!$A$2:$A$27,0)),IF($B651="Cardboard Recycling",INDEX('Materials Master'!$I$2:$I$27,MATCH($C651,'Materials Master'!$A$2:$A$27,0)),IF($B651="Paper Recycling",INDEX('Materials Master'!$J$2:$J$27,MATCH($C651,'Materials Master'!$A$2:$A$27,0)),IF($B651="Terracycle",INDEX('Materials Master'!$K$2:$K$27,MATCH($C651,'Materials Master'!$A$2:$A$27,0)),"No"))))))="Yes",INDEX('Materials Master'!$E$2:$E$27,MATCH($C651,'Materials Master'!$A$2:$A$27,0))="Yes",$B651&lt;&gt;"Trash"),1,0)</f>
        <v>0</v>
      </c>
      <c r="H651" s="0" t="str">
        <f aca="false">INDEX('Materials Master'!$E$2:$E$27,MATCH($C651,'Materials Master'!$A$2:$A$27,0))</f>
        <v>No</v>
      </c>
      <c r="I651" s="0" t="str">
        <f aca="false">IFERROR(INDEX(Areas!$C$2:$C$6,MATCH($A651,Areas!$B$2:$B$6,0)),"")</f>
        <v>Rest of Building</v>
      </c>
      <c r="J651" s="0" t="n">
        <f aca="false">IF(IF($B651="Trash",INDEX('Materials Master'!$F$2:$F$27,MATCH($C651,'Materials Master'!$A$2:$A$27,0)),IF($B651="GMPC Recycling",INDEX('Materials Master'!$G$2:$G$27,MATCH($C651,'Materials Master'!$A$2:$A$27,0)),IF($B651="Organics Recycling",INDEX('Materials Master'!$H$2:$H$27,MATCH($C651,'Materials Master'!$A$2:$A$27,0)),IF($B651="Cardboard Recycling",INDEX('Materials Master'!$I$2:$I$27,MATCH($C651,'Materials Master'!$A$2:$A$27,0)),IF($B651="Paper Recycling",INDEX('Materials Master'!$J$2:$J$27,MATCH($C651,'Materials Master'!$A$2:$A$27,0)),IF($B651="Terracycle",INDEX('Materials Master'!$K$2:$K$27,MATCH($C651,'Materials Master'!$A$2:$A$27,0)),"No"))))))="Yes",1,0)</f>
        <v>1</v>
      </c>
    </row>
    <row r="652" customFormat="false" ht="15" hidden="false" customHeight="false" outlineLevel="0" collapsed="false">
      <c r="A652" s="0" t="s">
        <v>100</v>
      </c>
      <c r="B652" s="0" t="s">
        <v>104</v>
      </c>
      <c r="C652" s="0" t="s">
        <v>26</v>
      </c>
      <c r="D652" s="0" t="str">
        <f aca="false">IFERROR(INDEX('Materials Master'!$B$2:$B$27,MATCH($C652,'Materials Master'!$A$2:$A$27,0)),"")</f>
        <v>Corrugated Cardboard</v>
      </c>
      <c r="E652" s="0" t="str">
        <f aca="false">IFERROR(INDEX('Materials Master'!$C$2:$C$27,MATCH($C652,'Materials Master'!$A$2:$A$27,0)),"")</f>
        <v>Fibers</v>
      </c>
      <c r="F652" s="0" t="n">
        <f aca="false">(SUMIFS(Fact_PreSortWeights!$E$2:$E$15,Fact_PreSortWeights!$C$2:$C$15,$A652,Fact_PreSortWeights!$B$2:$B$15,$B652,Fact_PreSortWeights!$F$2:$F$15,$C652))+(SUMIFS(Fact_SortedWeights!$E$2:$E$6,Fact_SortedWeights!$C$2:$C$6,$A652,Fact_SortedWeights!$B$2:$B$6,$B652,Fact_SortedWeights!$D$2:$D$6,$C652,Fact_SortedWeights!$L$2:$L$6,"Yes"))+IF((SUMIFS(Fact_SortedWeights!$E$2:$E$6,Fact_SortedWeights!$C$2:$C$6,$A652,Fact_SortedWeights!$B$2:$B$6,$B652,Fact_SortedWeights!$L$2:$L$6,"No"))=0,0,(SUMIFS(Fact_SortedWeights!$E$2:$E$6,Fact_SortedWeights!$C$2:$C$6,$A652,Fact_SortedWeights!$B$2:$B$6,$B652,Fact_SortedWeights!$D$2:$D$6,$C652,Fact_SortedWeights!$L$2:$L$6,"No"))/(SUMIFS(Fact_SortedWeights!$E$2:$E$6,Fact_SortedWeights!$C$2:$C$6,$A652,Fact_SortedWeights!$B$2:$B$6,$B652,Fact_SortedWeights!$L$2:$L$6,"No"))*((SUMIFS(Fact_PreSortWeights!$E$2:$E$15,Fact_PreSortWeights!$C$2:$C$15,$A652,Fact_PreSortWeights!$B$2:$B$15,$B652,Fact_PreSortWeights!$F$2:$F$15,""))-(SUMIFS(Fact_SortedWeights!$E$2:$E$6,Fact_SortedWeights!$C$2:$C$6,$A652,Fact_SortedWeights!$B$2:$B$6,$B652,Fact_SortedWeights!$L$2:$L$6,"Yes"))))</f>
        <v>0</v>
      </c>
      <c r="G652" s="0" t="n">
        <f aca="false">IF(AND(IF($B652="Trash",INDEX('Materials Master'!$F$2:$F$27,MATCH($C652,'Materials Master'!$A$2:$A$27,0)),IF($B652="GMPC Recycling",INDEX('Materials Master'!$G$2:$G$27,MATCH($C652,'Materials Master'!$A$2:$A$27,0)),IF($B652="Organics Recycling",INDEX('Materials Master'!$H$2:$H$27,MATCH($C652,'Materials Master'!$A$2:$A$27,0)),IF($B652="Cardboard Recycling",INDEX('Materials Master'!$I$2:$I$27,MATCH($C652,'Materials Master'!$A$2:$A$27,0)),IF($B652="Paper Recycling",INDEX('Materials Master'!$J$2:$J$27,MATCH($C652,'Materials Master'!$A$2:$A$27,0)),IF($B652="Terracycle",INDEX('Materials Master'!$K$2:$K$27,MATCH($C652,'Materials Master'!$A$2:$A$27,0)),"No"))))))="Yes",INDEX('Materials Master'!$E$2:$E$27,MATCH($C652,'Materials Master'!$A$2:$A$27,0))="Yes",$B652&lt;&gt;"Trash"),1,0)</f>
        <v>1</v>
      </c>
      <c r="H652" s="0" t="str">
        <f aca="false">INDEX('Materials Master'!$E$2:$E$27,MATCH($C652,'Materials Master'!$A$2:$A$27,0))</f>
        <v>Yes</v>
      </c>
      <c r="I652" s="0" t="str">
        <f aca="false">IFERROR(INDEX(Areas!$C$2:$C$6,MATCH($A652,Areas!$B$2:$B$6,0)),"")</f>
        <v>Rest of Building</v>
      </c>
      <c r="J652" s="0" t="n">
        <f aca="false">IF(IF($B652="Trash",INDEX('Materials Master'!$F$2:$F$27,MATCH($C652,'Materials Master'!$A$2:$A$27,0)),IF($B652="GMPC Recycling",INDEX('Materials Master'!$G$2:$G$27,MATCH($C652,'Materials Master'!$A$2:$A$27,0)),IF($B652="Organics Recycling",INDEX('Materials Master'!$H$2:$H$27,MATCH($C652,'Materials Master'!$A$2:$A$27,0)),IF($B652="Cardboard Recycling",INDEX('Materials Master'!$I$2:$I$27,MATCH($C652,'Materials Master'!$A$2:$A$27,0)),IF($B652="Paper Recycling",INDEX('Materials Master'!$J$2:$J$27,MATCH($C652,'Materials Master'!$A$2:$A$27,0)),IF($B652="Terracycle",INDEX('Materials Master'!$K$2:$K$27,MATCH($C652,'Materials Master'!$A$2:$A$27,0)),"No"))))))="Yes",1,0)</f>
        <v>1</v>
      </c>
    </row>
    <row r="653" customFormat="false" ht="15" hidden="false" customHeight="false" outlineLevel="0" collapsed="false">
      <c r="A653" s="0" t="s">
        <v>100</v>
      </c>
      <c r="B653" s="0" t="s">
        <v>104</v>
      </c>
      <c r="C653" s="0" t="s">
        <v>31</v>
      </c>
      <c r="D653" s="0" t="str">
        <f aca="false">IFERROR(INDEX('Materials Master'!$B$2:$B$27,MATCH($C653,'Materials Master'!$A$2:$A$27,0)),"")</f>
        <v>Soiled Cardboard</v>
      </c>
      <c r="E653" s="0" t="str">
        <f aca="false">IFERROR(INDEX('Materials Master'!$C$2:$C$27,MATCH($C653,'Materials Master'!$A$2:$A$27,0)),"")</f>
        <v>Fibers</v>
      </c>
      <c r="F653" s="0" t="n">
        <f aca="false">(SUMIFS(Fact_PreSortWeights!$E$2:$E$15,Fact_PreSortWeights!$C$2:$C$15,$A653,Fact_PreSortWeights!$B$2:$B$15,$B653,Fact_PreSortWeights!$F$2:$F$15,$C653))+(SUMIFS(Fact_SortedWeights!$E$2:$E$6,Fact_SortedWeights!$C$2:$C$6,$A653,Fact_SortedWeights!$B$2:$B$6,$B653,Fact_SortedWeights!$D$2:$D$6,$C653,Fact_SortedWeights!$L$2:$L$6,"Yes"))+IF((SUMIFS(Fact_SortedWeights!$E$2:$E$6,Fact_SortedWeights!$C$2:$C$6,$A653,Fact_SortedWeights!$B$2:$B$6,$B653,Fact_SortedWeights!$L$2:$L$6,"No"))=0,0,(SUMIFS(Fact_SortedWeights!$E$2:$E$6,Fact_SortedWeights!$C$2:$C$6,$A653,Fact_SortedWeights!$B$2:$B$6,$B653,Fact_SortedWeights!$D$2:$D$6,$C653,Fact_SortedWeights!$L$2:$L$6,"No"))/(SUMIFS(Fact_SortedWeights!$E$2:$E$6,Fact_SortedWeights!$C$2:$C$6,$A653,Fact_SortedWeights!$B$2:$B$6,$B653,Fact_SortedWeights!$L$2:$L$6,"No"))*((SUMIFS(Fact_PreSortWeights!$E$2:$E$15,Fact_PreSortWeights!$C$2:$C$15,$A653,Fact_PreSortWeights!$B$2:$B$15,$B653,Fact_PreSortWeights!$F$2:$F$15,""))-(SUMIFS(Fact_SortedWeights!$E$2:$E$6,Fact_SortedWeights!$C$2:$C$6,$A653,Fact_SortedWeights!$B$2:$B$6,$B653,Fact_SortedWeights!$L$2:$L$6,"Yes"))))</f>
        <v>0</v>
      </c>
      <c r="G653" s="0" t="n">
        <f aca="false">IF(AND(IF($B653="Trash",INDEX('Materials Master'!$F$2:$F$27,MATCH($C653,'Materials Master'!$A$2:$A$27,0)),IF($B653="GMPC Recycling",INDEX('Materials Master'!$G$2:$G$27,MATCH($C653,'Materials Master'!$A$2:$A$27,0)),IF($B653="Organics Recycling",INDEX('Materials Master'!$H$2:$H$27,MATCH($C653,'Materials Master'!$A$2:$A$27,0)),IF($B653="Cardboard Recycling",INDEX('Materials Master'!$I$2:$I$27,MATCH($C653,'Materials Master'!$A$2:$A$27,0)),IF($B653="Paper Recycling",INDEX('Materials Master'!$J$2:$J$27,MATCH($C653,'Materials Master'!$A$2:$A$27,0)),IF($B653="Terracycle",INDEX('Materials Master'!$K$2:$K$27,MATCH($C653,'Materials Master'!$A$2:$A$27,0)),"No"))))))="Yes",INDEX('Materials Master'!$E$2:$E$27,MATCH($C653,'Materials Master'!$A$2:$A$27,0))="Yes",$B653&lt;&gt;"Trash"),1,0)</f>
        <v>0</v>
      </c>
      <c r="H653" s="0" t="str">
        <f aca="false">INDEX('Materials Master'!$E$2:$E$27,MATCH($C653,'Materials Master'!$A$2:$A$27,0))</f>
        <v>No</v>
      </c>
      <c r="I653" s="0" t="str">
        <f aca="false">IFERROR(INDEX(Areas!$C$2:$C$6,MATCH($A653,Areas!$B$2:$B$6,0)),"")</f>
        <v>Rest of Building</v>
      </c>
      <c r="J653" s="0" t="n">
        <f aca="false">IF(IF($B653="Trash",INDEX('Materials Master'!$F$2:$F$27,MATCH($C653,'Materials Master'!$A$2:$A$27,0)),IF($B653="GMPC Recycling",INDEX('Materials Master'!$G$2:$G$27,MATCH($C653,'Materials Master'!$A$2:$A$27,0)),IF($B653="Organics Recycling",INDEX('Materials Master'!$H$2:$H$27,MATCH($C653,'Materials Master'!$A$2:$A$27,0)),IF($B653="Cardboard Recycling",INDEX('Materials Master'!$I$2:$I$27,MATCH($C653,'Materials Master'!$A$2:$A$27,0)),IF($B653="Paper Recycling",INDEX('Materials Master'!$J$2:$J$27,MATCH($C653,'Materials Master'!$A$2:$A$27,0)),IF($B653="Terracycle",INDEX('Materials Master'!$K$2:$K$27,MATCH($C653,'Materials Master'!$A$2:$A$27,0)),"No"))))))="Yes",1,0)</f>
        <v>0</v>
      </c>
    </row>
    <row r="654" customFormat="false" ht="15" hidden="false" customHeight="false" outlineLevel="0" collapsed="false">
      <c r="A654" s="0" t="s">
        <v>100</v>
      </c>
      <c r="B654" s="0" t="s">
        <v>104</v>
      </c>
      <c r="C654" s="0" t="s">
        <v>33</v>
      </c>
      <c r="D654" s="0" t="str">
        <f aca="false">IFERROR(INDEX('Materials Master'!$B$2:$B$27,MATCH($C654,'Materials Master'!$A$2:$A$27,0)),"")</f>
        <v>Waxed Cardboard</v>
      </c>
      <c r="E654" s="0" t="str">
        <f aca="false">IFERROR(INDEX('Materials Master'!$C$2:$C$27,MATCH($C654,'Materials Master'!$A$2:$A$27,0)),"")</f>
        <v>Fibers</v>
      </c>
      <c r="F654" s="0" t="n">
        <f aca="false">(SUMIFS(Fact_PreSortWeights!$E$2:$E$15,Fact_PreSortWeights!$C$2:$C$15,$A654,Fact_PreSortWeights!$B$2:$B$15,$B654,Fact_PreSortWeights!$F$2:$F$15,$C654))+(SUMIFS(Fact_SortedWeights!$E$2:$E$6,Fact_SortedWeights!$C$2:$C$6,$A654,Fact_SortedWeights!$B$2:$B$6,$B654,Fact_SortedWeights!$D$2:$D$6,$C654,Fact_SortedWeights!$L$2:$L$6,"Yes"))+IF((SUMIFS(Fact_SortedWeights!$E$2:$E$6,Fact_SortedWeights!$C$2:$C$6,$A654,Fact_SortedWeights!$B$2:$B$6,$B654,Fact_SortedWeights!$L$2:$L$6,"No"))=0,0,(SUMIFS(Fact_SortedWeights!$E$2:$E$6,Fact_SortedWeights!$C$2:$C$6,$A654,Fact_SortedWeights!$B$2:$B$6,$B654,Fact_SortedWeights!$D$2:$D$6,$C654,Fact_SortedWeights!$L$2:$L$6,"No"))/(SUMIFS(Fact_SortedWeights!$E$2:$E$6,Fact_SortedWeights!$C$2:$C$6,$A654,Fact_SortedWeights!$B$2:$B$6,$B654,Fact_SortedWeights!$L$2:$L$6,"No"))*((SUMIFS(Fact_PreSortWeights!$E$2:$E$15,Fact_PreSortWeights!$C$2:$C$15,$A654,Fact_PreSortWeights!$B$2:$B$15,$B654,Fact_PreSortWeights!$F$2:$F$15,""))-(SUMIFS(Fact_SortedWeights!$E$2:$E$6,Fact_SortedWeights!$C$2:$C$6,$A654,Fact_SortedWeights!$B$2:$B$6,$B654,Fact_SortedWeights!$L$2:$L$6,"Yes"))))</f>
        <v>0</v>
      </c>
      <c r="G654" s="0" t="n">
        <f aca="false">IF(AND(IF($B654="Trash",INDEX('Materials Master'!$F$2:$F$27,MATCH($C654,'Materials Master'!$A$2:$A$27,0)),IF($B654="GMPC Recycling",INDEX('Materials Master'!$G$2:$G$27,MATCH($C654,'Materials Master'!$A$2:$A$27,0)),IF($B654="Organics Recycling",INDEX('Materials Master'!$H$2:$H$27,MATCH($C654,'Materials Master'!$A$2:$A$27,0)),IF($B654="Cardboard Recycling",INDEX('Materials Master'!$I$2:$I$27,MATCH($C654,'Materials Master'!$A$2:$A$27,0)),IF($B654="Paper Recycling",INDEX('Materials Master'!$J$2:$J$27,MATCH($C654,'Materials Master'!$A$2:$A$27,0)),IF($B654="Terracycle",INDEX('Materials Master'!$K$2:$K$27,MATCH($C654,'Materials Master'!$A$2:$A$27,0)),"No"))))))="Yes",INDEX('Materials Master'!$E$2:$E$27,MATCH($C654,'Materials Master'!$A$2:$A$27,0))="Yes",$B654&lt;&gt;"Trash"),1,0)</f>
        <v>0</v>
      </c>
      <c r="H654" s="0" t="str">
        <f aca="false">INDEX('Materials Master'!$E$2:$E$27,MATCH($C654,'Materials Master'!$A$2:$A$27,0))</f>
        <v>No</v>
      </c>
      <c r="I654" s="0" t="str">
        <f aca="false">IFERROR(INDEX(Areas!$C$2:$C$6,MATCH($A654,Areas!$B$2:$B$6,0)),"")</f>
        <v>Rest of Building</v>
      </c>
      <c r="J654" s="0" t="n">
        <f aca="false">IF(IF($B654="Trash",INDEX('Materials Master'!$F$2:$F$27,MATCH($C654,'Materials Master'!$A$2:$A$27,0)),IF($B654="GMPC Recycling",INDEX('Materials Master'!$G$2:$G$27,MATCH($C654,'Materials Master'!$A$2:$A$27,0)),IF($B654="Organics Recycling",INDEX('Materials Master'!$H$2:$H$27,MATCH($C654,'Materials Master'!$A$2:$A$27,0)),IF($B654="Cardboard Recycling",INDEX('Materials Master'!$I$2:$I$27,MATCH($C654,'Materials Master'!$A$2:$A$27,0)),IF($B654="Paper Recycling",INDEX('Materials Master'!$J$2:$J$27,MATCH($C654,'Materials Master'!$A$2:$A$27,0)),IF($B654="Terracycle",INDEX('Materials Master'!$K$2:$K$27,MATCH($C654,'Materials Master'!$A$2:$A$27,0)),"No"))))))="Yes",1,0)</f>
        <v>0</v>
      </c>
    </row>
    <row r="655" customFormat="false" ht="15" hidden="false" customHeight="false" outlineLevel="0" collapsed="false">
      <c r="A655" s="0" t="s">
        <v>100</v>
      </c>
      <c r="B655" s="0" t="s">
        <v>104</v>
      </c>
      <c r="C655" s="0" t="s">
        <v>35</v>
      </c>
      <c r="D655" s="0" t="str">
        <f aca="false">IFERROR(INDEX('Materials Master'!$B$2:$B$27,MATCH($C655,'Materials Master'!$A$2:$A$27,0)),"")</f>
        <v>Mixed Paper</v>
      </c>
      <c r="E655" s="0" t="str">
        <f aca="false">IFERROR(INDEX('Materials Master'!$C$2:$C$27,MATCH($C655,'Materials Master'!$A$2:$A$27,0)),"")</f>
        <v>Fibers</v>
      </c>
      <c r="F655" s="0" t="n">
        <f aca="false">(SUMIFS(Fact_PreSortWeights!$E$2:$E$15,Fact_PreSortWeights!$C$2:$C$15,$A655,Fact_PreSortWeights!$B$2:$B$15,$B655,Fact_PreSortWeights!$F$2:$F$15,$C655))+(SUMIFS(Fact_SortedWeights!$E$2:$E$6,Fact_SortedWeights!$C$2:$C$6,$A655,Fact_SortedWeights!$B$2:$B$6,$B655,Fact_SortedWeights!$D$2:$D$6,$C655,Fact_SortedWeights!$L$2:$L$6,"Yes"))+IF((SUMIFS(Fact_SortedWeights!$E$2:$E$6,Fact_SortedWeights!$C$2:$C$6,$A655,Fact_SortedWeights!$B$2:$B$6,$B655,Fact_SortedWeights!$L$2:$L$6,"No"))=0,0,(SUMIFS(Fact_SortedWeights!$E$2:$E$6,Fact_SortedWeights!$C$2:$C$6,$A655,Fact_SortedWeights!$B$2:$B$6,$B655,Fact_SortedWeights!$D$2:$D$6,$C655,Fact_SortedWeights!$L$2:$L$6,"No"))/(SUMIFS(Fact_SortedWeights!$E$2:$E$6,Fact_SortedWeights!$C$2:$C$6,$A655,Fact_SortedWeights!$B$2:$B$6,$B655,Fact_SortedWeights!$L$2:$L$6,"No"))*((SUMIFS(Fact_PreSortWeights!$E$2:$E$15,Fact_PreSortWeights!$C$2:$C$15,$A655,Fact_PreSortWeights!$B$2:$B$15,$B655,Fact_PreSortWeights!$F$2:$F$15,""))-(SUMIFS(Fact_SortedWeights!$E$2:$E$6,Fact_SortedWeights!$C$2:$C$6,$A655,Fact_SortedWeights!$B$2:$B$6,$B655,Fact_SortedWeights!$L$2:$L$6,"Yes"))))</f>
        <v>0</v>
      </c>
      <c r="G655" s="0" t="n">
        <f aca="false">IF(AND(IF($B655="Trash",INDEX('Materials Master'!$F$2:$F$27,MATCH($C655,'Materials Master'!$A$2:$A$27,0)),IF($B655="GMPC Recycling",INDEX('Materials Master'!$G$2:$G$27,MATCH($C655,'Materials Master'!$A$2:$A$27,0)),IF($B655="Organics Recycling",INDEX('Materials Master'!$H$2:$H$27,MATCH($C655,'Materials Master'!$A$2:$A$27,0)),IF($B655="Cardboard Recycling",INDEX('Materials Master'!$I$2:$I$27,MATCH($C655,'Materials Master'!$A$2:$A$27,0)),IF($B655="Paper Recycling",INDEX('Materials Master'!$J$2:$J$27,MATCH($C655,'Materials Master'!$A$2:$A$27,0)),IF($B655="Terracycle",INDEX('Materials Master'!$K$2:$K$27,MATCH($C655,'Materials Master'!$A$2:$A$27,0)),"No"))))))="Yes",INDEX('Materials Master'!$E$2:$E$27,MATCH($C655,'Materials Master'!$A$2:$A$27,0))="Yes",$B655&lt;&gt;"Trash"),1,0)</f>
        <v>1</v>
      </c>
      <c r="H655" s="0" t="str">
        <f aca="false">INDEX('Materials Master'!$E$2:$E$27,MATCH($C655,'Materials Master'!$A$2:$A$27,0))</f>
        <v>Yes</v>
      </c>
      <c r="I655" s="0" t="str">
        <f aca="false">IFERROR(INDEX(Areas!$C$2:$C$6,MATCH($A655,Areas!$B$2:$B$6,0)),"")</f>
        <v>Rest of Building</v>
      </c>
      <c r="J655" s="0" t="n">
        <f aca="false">IF(IF($B655="Trash",INDEX('Materials Master'!$F$2:$F$27,MATCH($C655,'Materials Master'!$A$2:$A$27,0)),IF($B655="GMPC Recycling",INDEX('Materials Master'!$G$2:$G$27,MATCH($C655,'Materials Master'!$A$2:$A$27,0)),IF($B655="Organics Recycling",INDEX('Materials Master'!$H$2:$H$27,MATCH($C655,'Materials Master'!$A$2:$A$27,0)),IF($B655="Cardboard Recycling",INDEX('Materials Master'!$I$2:$I$27,MATCH($C655,'Materials Master'!$A$2:$A$27,0)),IF($B655="Paper Recycling",INDEX('Materials Master'!$J$2:$J$27,MATCH($C655,'Materials Master'!$A$2:$A$27,0)),IF($B655="Terracycle",INDEX('Materials Master'!$K$2:$K$27,MATCH($C655,'Materials Master'!$A$2:$A$27,0)),"No"))))))="Yes",1,0)</f>
        <v>1</v>
      </c>
    </row>
    <row r="656" customFormat="false" ht="15" hidden="false" customHeight="false" outlineLevel="0" collapsed="false">
      <c r="A656" s="0" t="s">
        <v>100</v>
      </c>
      <c r="B656" s="0" t="s">
        <v>104</v>
      </c>
      <c r="C656" s="0" t="s">
        <v>37</v>
      </c>
      <c r="D656" s="0" t="str">
        <f aca="false">IFERROR(INDEX('Materials Master'!$B$2:$B$27,MATCH($C656,'Materials Master'!$A$2:$A$27,0)),"")</f>
        <v>Soiled Paper</v>
      </c>
      <c r="E656" s="0" t="str">
        <f aca="false">IFERROR(INDEX('Materials Master'!$C$2:$C$27,MATCH($C656,'Materials Master'!$A$2:$A$27,0)),"")</f>
        <v>Fibers</v>
      </c>
      <c r="F656" s="0" t="n">
        <f aca="false">(SUMIFS(Fact_PreSortWeights!$E$2:$E$15,Fact_PreSortWeights!$C$2:$C$15,$A656,Fact_PreSortWeights!$B$2:$B$15,$B656,Fact_PreSortWeights!$F$2:$F$15,$C656))+(SUMIFS(Fact_SortedWeights!$E$2:$E$6,Fact_SortedWeights!$C$2:$C$6,$A656,Fact_SortedWeights!$B$2:$B$6,$B656,Fact_SortedWeights!$D$2:$D$6,$C656,Fact_SortedWeights!$L$2:$L$6,"Yes"))+IF((SUMIFS(Fact_SortedWeights!$E$2:$E$6,Fact_SortedWeights!$C$2:$C$6,$A656,Fact_SortedWeights!$B$2:$B$6,$B656,Fact_SortedWeights!$L$2:$L$6,"No"))=0,0,(SUMIFS(Fact_SortedWeights!$E$2:$E$6,Fact_SortedWeights!$C$2:$C$6,$A656,Fact_SortedWeights!$B$2:$B$6,$B656,Fact_SortedWeights!$D$2:$D$6,$C656,Fact_SortedWeights!$L$2:$L$6,"No"))/(SUMIFS(Fact_SortedWeights!$E$2:$E$6,Fact_SortedWeights!$C$2:$C$6,$A656,Fact_SortedWeights!$B$2:$B$6,$B656,Fact_SortedWeights!$L$2:$L$6,"No"))*((SUMIFS(Fact_PreSortWeights!$E$2:$E$15,Fact_PreSortWeights!$C$2:$C$15,$A656,Fact_PreSortWeights!$B$2:$B$15,$B656,Fact_PreSortWeights!$F$2:$F$15,""))-(SUMIFS(Fact_SortedWeights!$E$2:$E$6,Fact_SortedWeights!$C$2:$C$6,$A656,Fact_SortedWeights!$B$2:$B$6,$B656,Fact_SortedWeights!$L$2:$L$6,"Yes"))))</f>
        <v>0</v>
      </c>
      <c r="G656" s="0" t="n">
        <f aca="false">IF(AND(IF($B656="Trash",INDEX('Materials Master'!$F$2:$F$27,MATCH($C656,'Materials Master'!$A$2:$A$27,0)),IF($B656="GMPC Recycling",INDEX('Materials Master'!$G$2:$G$27,MATCH($C656,'Materials Master'!$A$2:$A$27,0)),IF($B656="Organics Recycling",INDEX('Materials Master'!$H$2:$H$27,MATCH($C656,'Materials Master'!$A$2:$A$27,0)),IF($B656="Cardboard Recycling",INDEX('Materials Master'!$I$2:$I$27,MATCH($C656,'Materials Master'!$A$2:$A$27,0)),IF($B656="Paper Recycling",INDEX('Materials Master'!$J$2:$J$27,MATCH($C656,'Materials Master'!$A$2:$A$27,0)),IF($B656="Terracycle",INDEX('Materials Master'!$K$2:$K$27,MATCH($C656,'Materials Master'!$A$2:$A$27,0)),"No"))))))="Yes",INDEX('Materials Master'!$E$2:$E$27,MATCH($C656,'Materials Master'!$A$2:$A$27,0))="Yes",$B656&lt;&gt;"Trash"),1,0)</f>
        <v>0</v>
      </c>
      <c r="H656" s="0" t="str">
        <f aca="false">INDEX('Materials Master'!$E$2:$E$27,MATCH($C656,'Materials Master'!$A$2:$A$27,0))</f>
        <v>No</v>
      </c>
      <c r="I656" s="0" t="str">
        <f aca="false">IFERROR(INDEX(Areas!$C$2:$C$6,MATCH($A656,Areas!$B$2:$B$6,0)),"")</f>
        <v>Rest of Building</v>
      </c>
      <c r="J656" s="0" t="n">
        <f aca="false">IF(IF($B656="Trash",INDEX('Materials Master'!$F$2:$F$27,MATCH($C656,'Materials Master'!$A$2:$A$27,0)),IF($B656="GMPC Recycling",INDEX('Materials Master'!$G$2:$G$27,MATCH($C656,'Materials Master'!$A$2:$A$27,0)),IF($B656="Organics Recycling",INDEX('Materials Master'!$H$2:$H$27,MATCH($C656,'Materials Master'!$A$2:$A$27,0)),IF($B656="Cardboard Recycling",INDEX('Materials Master'!$I$2:$I$27,MATCH($C656,'Materials Master'!$A$2:$A$27,0)),IF($B656="Paper Recycling",INDEX('Materials Master'!$J$2:$J$27,MATCH($C656,'Materials Master'!$A$2:$A$27,0)),IF($B656="Terracycle",INDEX('Materials Master'!$K$2:$K$27,MATCH($C656,'Materials Master'!$A$2:$A$27,0)),"No"))))))="Yes",1,0)</f>
        <v>0</v>
      </c>
    </row>
    <row r="657" customFormat="false" ht="15" hidden="false" customHeight="false" outlineLevel="0" collapsed="false">
      <c r="A657" s="0" t="s">
        <v>100</v>
      </c>
      <c r="B657" s="0" t="s">
        <v>104</v>
      </c>
      <c r="C657" s="0" t="s">
        <v>39</v>
      </c>
      <c r="D657" s="0" t="str">
        <f aca="false">IFERROR(INDEX('Materials Master'!$B$2:$B$27,MATCH($C657,'Materials Master'!$A$2:$A$27,0)),"")</f>
        <v>Beverage Cartons</v>
      </c>
      <c r="E657" s="0" t="str">
        <f aca="false">IFERROR(INDEX('Materials Master'!$C$2:$C$27,MATCH($C657,'Materials Master'!$A$2:$A$27,0)),"")</f>
        <v>Fibers</v>
      </c>
      <c r="F657" s="0" t="n">
        <f aca="false">(SUMIFS(Fact_PreSortWeights!$E$2:$E$15,Fact_PreSortWeights!$C$2:$C$15,$A657,Fact_PreSortWeights!$B$2:$B$15,$B657,Fact_PreSortWeights!$F$2:$F$15,$C657))+(SUMIFS(Fact_SortedWeights!$E$2:$E$6,Fact_SortedWeights!$C$2:$C$6,$A657,Fact_SortedWeights!$B$2:$B$6,$B657,Fact_SortedWeights!$D$2:$D$6,$C657,Fact_SortedWeights!$L$2:$L$6,"Yes"))+IF((SUMIFS(Fact_SortedWeights!$E$2:$E$6,Fact_SortedWeights!$C$2:$C$6,$A657,Fact_SortedWeights!$B$2:$B$6,$B657,Fact_SortedWeights!$L$2:$L$6,"No"))=0,0,(SUMIFS(Fact_SortedWeights!$E$2:$E$6,Fact_SortedWeights!$C$2:$C$6,$A657,Fact_SortedWeights!$B$2:$B$6,$B657,Fact_SortedWeights!$D$2:$D$6,$C657,Fact_SortedWeights!$L$2:$L$6,"No"))/(SUMIFS(Fact_SortedWeights!$E$2:$E$6,Fact_SortedWeights!$C$2:$C$6,$A657,Fact_SortedWeights!$B$2:$B$6,$B657,Fact_SortedWeights!$L$2:$L$6,"No"))*((SUMIFS(Fact_PreSortWeights!$E$2:$E$15,Fact_PreSortWeights!$C$2:$C$15,$A657,Fact_PreSortWeights!$B$2:$B$15,$B657,Fact_PreSortWeights!$F$2:$F$15,""))-(SUMIFS(Fact_SortedWeights!$E$2:$E$6,Fact_SortedWeights!$C$2:$C$6,$A657,Fact_SortedWeights!$B$2:$B$6,$B657,Fact_SortedWeights!$L$2:$L$6,"Yes"))))</f>
        <v>0</v>
      </c>
      <c r="G657" s="0" t="n">
        <f aca="false">IF(AND(IF($B657="Trash",INDEX('Materials Master'!$F$2:$F$27,MATCH($C657,'Materials Master'!$A$2:$A$27,0)),IF($B657="GMPC Recycling",INDEX('Materials Master'!$G$2:$G$27,MATCH($C657,'Materials Master'!$A$2:$A$27,0)),IF($B657="Organics Recycling",INDEX('Materials Master'!$H$2:$H$27,MATCH($C657,'Materials Master'!$A$2:$A$27,0)),IF($B657="Cardboard Recycling",INDEX('Materials Master'!$I$2:$I$27,MATCH($C657,'Materials Master'!$A$2:$A$27,0)),IF($B657="Paper Recycling",INDEX('Materials Master'!$J$2:$J$27,MATCH($C657,'Materials Master'!$A$2:$A$27,0)),IF($B657="Terracycle",INDEX('Materials Master'!$K$2:$K$27,MATCH($C657,'Materials Master'!$A$2:$A$27,0)),"No"))))))="Yes",INDEX('Materials Master'!$E$2:$E$27,MATCH($C657,'Materials Master'!$A$2:$A$27,0))="Yes",$B657&lt;&gt;"Trash"),1,0)</f>
        <v>1</v>
      </c>
      <c r="H657" s="0" t="str">
        <f aca="false">INDEX('Materials Master'!$E$2:$E$27,MATCH($C657,'Materials Master'!$A$2:$A$27,0))</f>
        <v>Yes</v>
      </c>
      <c r="I657" s="0" t="str">
        <f aca="false">IFERROR(INDEX(Areas!$C$2:$C$6,MATCH($A657,Areas!$B$2:$B$6,0)),"")</f>
        <v>Rest of Building</v>
      </c>
      <c r="J657" s="0" t="n">
        <f aca="false">IF(IF($B657="Trash",INDEX('Materials Master'!$F$2:$F$27,MATCH($C657,'Materials Master'!$A$2:$A$27,0)),IF($B657="GMPC Recycling",INDEX('Materials Master'!$G$2:$G$27,MATCH($C657,'Materials Master'!$A$2:$A$27,0)),IF($B657="Organics Recycling",INDEX('Materials Master'!$H$2:$H$27,MATCH($C657,'Materials Master'!$A$2:$A$27,0)),IF($B657="Cardboard Recycling",INDEX('Materials Master'!$I$2:$I$27,MATCH($C657,'Materials Master'!$A$2:$A$27,0)),IF($B657="Paper Recycling",INDEX('Materials Master'!$J$2:$J$27,MATCH($C657,'Materials Master'!$A$2:$A$27,0)),IF($B657="Terracycle",INDEX('Materials Master'!$K$2:$K$27,MATCH($C657,'Materials Master'!$A$2:$A$27,0)),"No"))))))="Yes",1,0)</f>
        <v>1</v>
      </c>
    </row>
    <row r="658" customFormat="false" ht="15" hidden="false" customHeight="false" outlineLevel="0" collapsed="false">
      <c r="A658" s="0" t="s">
        <v>100</v>
      </c>
      <c r="B658" s="0" t="s">
        <v>104</v>
      </c>
      <c r="C658" s="0" t="s">
        <v>41</v>
      </c>
      <c r="D658" s="0" t="str">
        <f aca="false">IFERROR(INDEX('Materials Master'!$B$2:$B$27,MATCH($C658,'Materials Master'!$A$2:$A$27,0)),"")</f>
        <v>Soiled Beverage Cartons</v>
      </c>
      <c r="E658" s="0" t="str">
        <f aca="false">IFERROR(INDEX('Materials Master'!$C$2:$C$27,MATCH($C658,'Materials Master'!$A$2:$A$27,0)),"")</f>
        <v>Fibers</v>
      </c>
      <c r="F658" s="0" t="n">
        <f aca="false">(SUMIFS(Fact_PreSortWeights!$E$2:$E$15,Fact_PreSortWeights!$C$2:$C$15,$A658,Fact_PreSortWeights!$B$2:$B$15,$B658,Fact_PreSortWeights!$F$2:$F$15,$C658))+(SUMIFS(Fact_SortedWeights!$E$2:$E$6,Fact_SortedWeights!$C$2:$C$6,$A658,Fact_SortedWeights!$B$2:$B$6,$B658,Fact_SortedWeights!$D$2:$D$6,$C658,Fact_SortedWeights!$L$2:$L$6,"Yes"))+IF((SUMIFS(Fact_SortedWeights!$E$2:$E$6,Fact_SortedWeights!$C$2:$C$6,$A658,Fact_SortedWeights!$B$2:$B$6,$B658,Fact_SortedWeights!$L$2:$L$6,"No"))=0,0,(SUMIFS(Fact_SortedWeights!$E$2:$E$6,Fact_SortedWeights!$C$2:$C$6,$A658,Fact_SortedWeights!$B$2:$B$6,$B658,Fact_SortedWeights!$D$2:$D$6,$C658,Fact_SortedWeights!$L$2:$L$6,"No"))/(SUMIFS(Fact_SortedWeights!$E$2:$E$6,Fact_SortedWeights!$C$2:$C$6,$A658,Fact_SortedWeights!$B$2:$B$6,$B658,Fact_SortedWeights!$L$2:$L$6,"No"))*((SUMIFS(Fact_PreSortWeights!$E$2:$E$15,Fact_PreSortWeights!$C$2:$C$15,$A658,Fact_PreSortWeights!$B$2:$B$15,$B658,Fact_PreSortWeights!$F$2:$F$15,""))-(SUMIFS(Fact_SortedWeights!$E$2:$E$6,Fact_SortedWeights!$C$2:$C$6,$A658,Fact_SortedWeights!$B$2:$B$6,$B658,Fact_SortedWeights!$L$2:$L$6,"Yes"))))</f>
        <v>0</v>
      </c>
      <c r="G658" s="0" t="n">
        <f aca="false">IF(AND(IF($B658="Trash",INDEX('Materials Master'!$F$2:$F$27,MATCH($C658,'Materials Master'!$A$2:$A$27,0)),IF($B658="GMPC Recycling",INDEX('Materials Master'!$G$2:$G$27,MATCH($C658,'Materials Master'!$A$2:$A$27,0)),IF($B658="Organics Recycling",INDEX('Materials Master'!$H$2:$H$27,MATCH($C658,'Materials Master'!$A$2:$A$27,0)),IF($B658="Cardboard Recycling",INDEX('Materials Master'!$I$2:$I$27,MATCH($C658,'Materials Master'!$A$2:$A$27,0)),IF($B658="Paper Recycling",INDEX('Materials Master'!$J$2:$J$27,MATCH($C658,'Materials Master'!$A$2:$A$27,0)),IF($B658="Terracycle",INDEX('Materials Master'!$K$2:$K$27,MATCH($C658,'Materials Master'!$A$2:$A$27,0)),"No"))))))="Yes",INDEX('Materials Master'!$E$2:$E$27,MATCH($C658,'Materials Master'!$A$2:$A$27,0))="Yes",$B658&lt;&gt;"Trash"),1,0)</f>
        <v>0</v>
      </c>
      <c r="H658" s="0" t="str">
        <f aca="false">INDEX('Materials Master'!$E$2:$E$27,MATCH($C658,'Materials Master'!$A$2:$A$27,0))</f>
        <v>No</v>
      </c>
      <c r="I658" s="0" t="str">
        <f aca="false">IFERROR(INDEX(Areas!$C$2:$C$6,MATCH($A658,Areas!$B$2:$B$6,0)),"")</f>
        <v>Rest of Building</v>
      </c>
      <c r="J658" s="0" t="n">
        <f aca="false">IF(IF($B658="Trash",INDEX('Materials Master'!$F$2:$F$27,MATCH($C658,'Materials Master'!$A$2:$A$27,0)),IF($B658="GMPC Recycling",INDEX('Materials Master'!$G$2:$G$27,MATCH($C658,'Materials Master'!$A$2:$A$27,0)),IF($B658="Organics Recycling",INDEX('Materials Master'!$H$2:$H$27,MATCH($C658,'Materials Master'!$A$2:$A$27,0)),IF($B658="Cardboard Recycling",INDEX('Materials Master'!$I$2:$I$27,MATCH($C658,'Materials Master'!$A$2:$A$27,0)),IF($B658="Paper Recycling",INDEX('Materials Master'!$J$2:$J$27,MATCH($C658,'Materials Master'!$A$2:$A$27,0)),IF($B658="Terracycle",INDEX('Materials Master'!$K$2:$K$27,MATCH($C658,'Materials Master'!$A$2:$A$27,0)),"No"))))))="Yes",1,0)</f>
        <v>0</v>
      </c>
    </row>
    <row r="659" customFormat="false" ht="15" hidden="false" customHeight="false" outlineLevel="0" collapsed="false">
      <c r="A659" s="0" t="s">
        <v>100</v>
      </c>
      <c r="B659" s="0" t="s">
        <v>104</v>
      </c>
      <c r="C659" s="0" t="s">
        <v>43</v>
      </c>
      <c r="D659" s="0" t="str">
        <f aca="false">IFERROR(INDEX('Materials Master'!$B$2:$B$27,MATCH($C659,'Materials Master'!$A$2:$A$27,0)),"")</f>
        <v>Paper Cups / Other Coated Paper Containers</v>
      </c>
      <c r="E659" s="0" t="str">
        <f aca="false">IFERROR(INDEX('Materials Master'!$C$2:$C$27,MATCH($C659,'Materials Master'!$A$2:$A$27,0)),"")</f>
        <v>Fibers</v>
      </c>
      <c r="F659" s="0" t="n">
        <f aca="false">(SUMIFS(Fact_PreSortWeights!$E$2:$E$15,Fact_PreSortWeights!$C$2:$C$15,$A659,Fact_PreSortWeights!$B$2:$B$15,$B659,Fact_PreSortWeights!$F$2:$F$15,$C659))+(SUMIFS(Fact_SortedWeights!$E$2:$E$6,Fact_SortedWeights!$C$2:$C$6,$A659,Fact_SortedWeights!$B$2:$B$6,$B659,Fact_SortedWeights!$D$2:$D$6,$C659,Fact_SortedWeights!$L$2:$L$6,"Yes"))+IF((SUMIFS(Fact_SortedWeights!$E$2:$E$6,Fact_SortedWeights!$C$2:$C$6,$A659,Fact_SortedWeights!$B$2:$B$6,$B659,Fact_SortedWeights!$L$2:$L$6,"No"))=0,0,(SUMIFS(Fact_SortedWeights!$E$2:$E$6,Fact_SortedWeights!$C$2:$C$6,$A659,Fact_SortedWeights!$B$2:$B$6,$B659,Fact_SortedWeights!$D$2:$D$6,$C659,Fact_SortedWeights!$L$2:$L$6,"No"))/(SUMIFS(Fact_SortedWeights!$E$2:$E$6,Fact_SortedWeights!$C$2:$C$6,$A659,Fact_SortedWeights!$B$2:$B$6,$B659,Fact_SortedWeights!$L$2:$L$6,"No"))*((SUMIFS(Fact_PreSortWeights!$E$2:$E$15,Fact_PreSortWeights!$C$2:$C$15,$A659,Fact_PreSortWeights!$B$2:$B$15,$B659,Fact_PreSortWeights!$F$2:$F$15,""))-(SUMIFS(Fact_SortedWeights!$E$2:$E$6,Fact_SortedWeights!$C$2:$C$6,$A659,Fact_SortedWeights!$B$2:$B$6,$B659,Fact_SortedWeights!$L$2:$L$6,"Yes"))))</f>
        <v>0</v>
      </c>
      <c r="G659" s="0" t="n">
        <f aca="false">IF(AND(IF($B659="Trash",INDEX('Materials Master'!$F$2:$F$27,MATCH($C659,'Materials Master'!$A$2:$A$27,0)),IF($B659="GMPC Recycling",INDEX('Materials Master'!$G$2:$G$27,MATCH($C659,'Materials Master'!$A$2:$A$27,0)),IF($B659="Organics Recycling",INDEX('Materials Master'!$H$2:$H$27,MATCH($C659,'Materials Master'!$A$2:$A$27,0)),IF($B659="Cardboard Recycling",INDEX('Materials Master'!$I$2:$I$27,MATCH($C659,'Materials Master'!$A$2:$A$27,0)),IF($B659="Paper Recycling",INDEX('Materials Master'!$J$2:$J$27,MATCH($C659,'Materials Master'!$A$2:$A$27,0)),IF($B659="Terracycle",INDEX('Materials Master'!$K$2:$K$27,MATCH($C659,'Materials Master'!$A$2:$A$27,0)),"No"))))))="Yes",INDEX('Materials Master'!$E$2:$E$27,MATCH($C659,'Materials Master'!$A$2:$A$27,0))="Yes",$B659&lt;&gt;"Trash"),1,0)</f>
        <v>0</v>
      </c>
      <c r="H659" s="0" t="str">
        <f aca="false">INDEX('Materials Master'!$E$2:$E$27,MATCH($C659,'Materials Master'!$A$2:$A$27,0))</f>
        <v>No</v>
      </c>
      <c r="I659" s="0" t="str">
        <f aca="false">IFERROR(INDEX(Areas!$C$2:$C$6,MATCH($A659,Areas!$B$2:$B$6,0)),"")</f>
        <v>Rest of Building</v>
      </c>
      <c r="J659" s="0" t="n">
        <f aca="false">IF(IF($B659="Trash",INDEX('Materials Master'!$F$2:$F$27,MATCH($C659,'Materials Master'!$A$2:$A$27,0)),IF($B659="GMPC Recycling",INDEX('Materials Master'!$G$2:$G$27,MATCH($C659,'Materials Master'!$A$2:$A$27,0)),IF($B659="Organics Recycling",INDEX('Materials Master'!$H$2:$H$27,MATCH($C659,'Materials Master'!$A$2:$A$27,0)),IF($B659="Cardboard Recycling",INDEX('Materials Master'!$I$2:$I$27,MATCH($C659,'Materials Master'!$A$2:$A$27,0)),IF($B659="Paper Recycling",INDEX('Materials Master'!$J$2:$J$27,MATCH($C659,'Materials Master'!$A$2:$A$27,0)),IF($B659="Terracycle",INDEX('Materials Master'!$K$2:$K$27,MATCH($C659,'Materials Master'!$A$2:$A$27,0)),"No"))))))="Yes",1,0)</f>
        <v>0</v>
      </c>
    </row>
    <row r="660" customFormat="false" ht="15" hidden="false" customHeight="false" outlineLevel="0" collapsed="false">
      <c r="A660" s="0" t="s">
        <v>100</v>
      </c>
      <c r="B660" s="0" t="s">
        <v>104</v>
      </c>
      <c r="C660" s="0" t="s">
        <v>45</v>
      </c>
      <c r="D660" s="0" t="str">
        <f aca="false">IFERROR(INDEX('Materials Master'!$B$2:$B$27,MATCH($C660,'Materials Master'!$A$2:$A$27,0)),"")</f>
        <v>Glass Bottles &amp; Jars</v>
      </c>
      <c r="E660" s="0" t="str">
        <f aca="false">IFERROR(INDEX('Materials Master'!$C$2:$C$27,MATCH($C660,'Materials Master'!$A$2:$A$27,0)),"")</f>
        <v>Glass</v>
      </c>
      <c r="F660" s="0" t="n">
        <f aca="false">(SUMIFS(Fact_PreSortWeights!$E$2:$E$15,Fact_PreSortWeights!$C$2:$C$15,$A660,Fact_PreSortWeights!$B$2:$B$15,$B660,Fact_PreSortWeights!$F$2:$F$15,$C660))+(SUMIFS(Fact_SortedWeights!$E$2:$E$6,Fact_SortedWeights!$C$2:$C$6,$A660,Fact_SortedWeights!$B$2:$B$6,$B660,Fact_SortedWeights!$D$2:$D$6,$C660,Fact_SortedWeights!$L$2:$L$6,"Yes"))+IF((SUMIFS(Fact_SortedWeights!$E$2:$E$6,Fact_SortedWeights!$C$2:$C$6,$A660,Fact_SortedWeights!$B$2:$B$6,$B660,Fact_SortedWeights!$L$2:$L$6,"No"))=0,0,(SUMIFS(Fact_SortedWeights!$E$2:$E$6,Fact_SortedWeights!$C$2:$C$6,$A660,Fact_SortedWeights!$B$2:$B$6,$B660,Fact_SortedWeights!$D$2:$D$6,$C660,Fact_SortedWeights!$L$2:$L$6,"No"))/(SUMIFS(Fact_SortedWeights!$E$2:$E$6,Fact_SortedWeights!$C$2:$C$6,$A660,Fact_SortedWeights!$B$2:$B$6,$B660,Fact_SortedWeights!$L$2:$L$6,"No"))*((SUMIFS(Fact_PreSortWeights!$E$2:$E$15,Fact_PreSortWeights!$C$2:$C$15,$A660,Fact_PreSortWeights!$B$2:$B$15,$B660,Fact_PreSortWeights!$F$2:$F$15,""))-(SUMIFS(Fact_SortedWeights!$E$2:$E$6,Fact_SortedWeights!$C$2:$C$6,$A660,Fact_SortedWeights!$B$2:$B$6,$B660,Fact_SortedWeights!$L$2:$L$6,"Yes"))))</f>
        <v>0</v>
      </c>
      <c r="G660" s="0" t="n">
        <f aca="false">IF(AND(IF($B660="Trash",INDEX('Materials Master'!$F$2:$F$27,MATCH($C660,'Materials Master'!$A$2:$A$27,0)),IF($B660="GMPC Recycling",INDEX('Materials Master'!$G$2:$G$27,MATCH($C660,'Materials Master'!$A$2:$A$27,0)),IF($B660="Organics Recycling",INDEX('Materials Master'!$H$2:$H$27,MATCH($C660,'Materials Master'!$A$2:$A$27,0)),IF($B660="Cardboard Recycling",INDEX('Materials Master'!$I$2:$I$27,MATCH($C660,'Materials Master'!$A$2:$A$27,0)),IF($B660="Paper Recycling",INDEX('Materials Master'!$J$2:$J$27,MATCH($C660,'Materials Master'!$A$2:$A$27,0)),IF($B660="Terracycle",INDEX('Materials Master'!$K$2:$K$27,MATCH($C660,'Materials Master'!$A$2:$A$27,0)),"No"))))))="Yes",INDEX('Materials Master'!$E$2:$E$27,MATCH($C660,'Materials Master'!$A$2:$A$27,0))="Yes",$B660&lt;&gt;"Trash"),1,0)</f>
        <v>1</v>
      </c>
      <c r="H660" s="0" t="str">
        <f aca="false">INDEX('Materials Master'!$E$2:$E$27,MATCH($C660,'Materials Master'!$A$2:$A$27,0))</f>
        <v>Yes</v>
      </c>
      <c r="I660" s="0" t="str">
        <f aca="false">IFERROR(INDEX(Areas!$C$2:$C$6,MATCH($A660,Areas!$B$2:$B$6,0)),"")</f>
        <v>Rest of Building</v>
      </c>
      <c r="J660" s="0" t="n">
        <f aca="false">IF(IF($B660="Trash",INDEX('Materials Master'!$F$2:$F$27,MATCH($C660,'Materials Master'!$A$2:$A$27,0)),IF($B660="GMPC Recycling",INDEX('Materials Master'!$G$2:$G$27,MATCH($C660,'Materials Master'!$A$2:$A$27,0)),IF($B660="Organics Recycling",INDEX('Materials Master'!$H$2:$H$27,MATCH($C660,'Materials Master'!$A$2:$A$27,0)),IF($B660="Cardboard Recycling",INDEX('Materials Master'!$I$2:$I$27,MATCH($C660,'Materials Master'!$A$2:$A$27,0)),IF($B660="Paper Recycling",INDEX('Materials Master'!$J$2:$J$27,MATCH($C660,'Materials Master'!$A$2:$A$27,0)),IF($B660="Terracycle",INDEX('Materials Master'!$K$2:$K$27,MATCH($C660,'Materials Master'!$A$2:$A$27,0)),"No"))))))="Yes",1,0)</f>
        <v>1</v>
      </c>
    </row>
    <row r="661" customFormat="false" ht="15" hidden="false" customHeight="false" outlineLevel="0" collapsed="false">
      <c r="A661" s="0" t="s">
        <v>100</v>
      </c>
      <c r="B661" s="0" t="s">
        <v>104</v>
      </c>
      <c r="C661" s="0" t="s">
        <v>48</v>
      </c>
      <c r="D661" s="0" t="str">
        <f aca="false">IFERROR(INDEX('Materials Master'!$B$2:$B$27,MATCH($C661,'Materials Master'!$A$2:$A$27,0)),"")</f>
        <v>Soiled Glass</v>
      </c>
      <c r="E661" s="0" t="str">
        <f aca="false">IFERROR(INDEX('Materials Master'!$C$2:$C$27,MATCH($C661,'Materials Master'!$A$2:$A$27,0)),"")</f>
        <v>Glass</v>
      </c>
      <c r="F661" s="0" t="n">
        <f aca="false">(SUMIFS(Fact_PreSortWeights!$E$2:$E$15,Fact_PreSortWeights!$C$2:$C$15,$A661,Fact_PreSortWeights!$B$2:$B$15,$B661,Fact_PreSortWeights!$F$2:$F$15,$C661))+(SUMIFS(Fact_SortedWeights!$E$2:$E$6,Fact_SortedWeights!$C$2:$C$6,$A661,Fact_SortedWeights!$B$2:$B$6,$B661,Fact_SortedWeights!$D$2:$D$6,$C661,Fact_SortedWeights!$L$2:$L$6,"Yes"))+IF((SUMIFS(Fact_SortedWeights!$E$2:$E$6,Fact_SortedWeights!$C$2:$C$6,$A661,Fact_SortedWeights!$B$2:$B$6,$B661,Fact_SortedWeights!$L$2:$L$6,"No"))=0,0,(SUMIFS(Fact_SortedWeights!$E$2:$E$6,Fact_SortedWeights!$C$2:$C$6,$A661,Fact_SortedWeights!$B$2:$B$6,$B661,Fact_SortedWeights!$D$2:$D$6,$C661,Fact_SortedWeights!$L$2:$L$6,"No"))/(SUMIFS(Fact_SortedWeights!$E$2:$E$6,Fact_SortedWeights!$C$2:$C$6,$A661,Fact_SortedWeights!$B$2:$B$6,$B661,Fact_SortedWeights!$L$2:$L$6,"No"))*((SUMIFS(Fact_PreSortWeights!$E$2:$E$15,Fact_PreSortWeights!$C$2:$C$15,$A661,Fact_PreSortWeights!$B$2:$B$15,$B661,Fact_PreSortWeights!$F$2:$F$15,""))-(SUMIFS(Fact_SortedWeights!$E$2:$E$6,Fact_SortedWeights!$C$2:$C$6,$A661,Fact_SortedWeights!$B$2:$B$6,$B661,Fact_SortedWeights!$L$2:$L$6,"Yes"))))</f>
        <v>0</v>
      </c>
      <c r="G661" s="0" t="n">
        <f aca="false">IF(AND(IF($B661="Trash",INDEX('Materials Master'!$F$2:$F$27,MATCH($C661,'Materials Master'!$A$2:$A$27,0)),IF($B661="GMPC Recycling",INDEX('Materials Master'!$G$2:$G$27,MATCH($C661,'Materials Master'!$A$2:$A$27,0)),IF($B661="Organics Recycling",INDEX('Materials Master'!$H$2:$H$27,MATCH($C661,'Materials Master'!$A$2:$A$27,0)),IF($B661="Cardboard Recycling",INDEX('Materials Master'!$I$2:$I$27,MATCH($C661,'Materials Master'!$A$2:$A$27,0)),IF($B661="Paper Recycling",INDEX('Materials Master'!$J$2:$J$27,MATCH($C661,'Materials Master'!$A$2:$A$27,0)),IF($B661="Terracycle",INDEX('Materials Master'!$K$2:$K$27,MATCH($C661,'Materials Master'!$A$2:$A$27,0)),"No"))))))="Yes",INDEX('Materials Master'!$E$2:$E$27,MATCH($C661,'Materials Master'!$A$2:$A$27,0))="Yes",$B661&lt;&gt;"Trash"),1,0)</f>
        <v>0</v>
      </c>
      <c r="H661" s="0" t="str">
        <f aca="false">INDEX('Materials Master'!$E$2:$E$27,MATCH($C661,'Materials Master'!$A$2:$A$27,0))</f>
        <v>No</v>
      </c>
      <c r="I661" s="0" t="str">
        <f aca="false">IFERROR(INDEX(Areas!$C$2:$C$6,MATCH($A661,Areas!$B$2:$B$6,0)),"")</f>
        <v>Rest of Building</v>
      </c>
      <c r="J661" s="0" t="n">
        <f aca="false">IF(IF($B661="Trash",INDEX('Materials Master'!$F$2:$F$27,MATCH($C661,'Materials Master'!$A$2:$A$27,0)),IF($B661="GMPC Recycling",INDEX('Materials Master'!$G$2:$G$27,MATCH($C661,'Materials Master'!$A$2:$A$27,0)),IF($B661="Organics Recycling",INDEX('Materials Master'!$H$2:$H$27,MATCH($C661,'Materials Master'!$A$2:$A$27,0)),IF($B661="Cardboard Recycling",INDEX('Materials Master'!$I$2:$I$27,MATCH($C661,'Materials Master'!$A$2:$A$27,0)),IF($B661="Paper Recycling",INDEX('Materials Master'!$J$2:$J$27,MATCH($C661,'Materials Master'!$A$2:$A$27,0)),IF($B661="Terracycle",INDEX('Materials Master'!$K$2:$K$27,MATCH($C661,'Materials Master'!$A$2:$A$27,0)),"No"))))))="Yes",1,0)</f>
        <v>0</v>
      </c>
    </row>
    <row r="662" customFormat="false" ht="15" hidden="false" customHeight="false" outlineLevel="0" collapsed="false">
      <c r="A662" s="0" t="s">
        <v>100</v>
      </c>
      <c r="B662" s="0" t="s">
        <v>104</v>
      </c>
      <c r="C662" s="0" t="s">
        <v>50</v>
      </c>
      <c r="D662" s="0" t="str">
        <f aca="false">IFERROR(INDEX('Materials Master'!$B$2:$B$27,MATCH($C662,'Materials Master'!$A$2:$A$27,0)),"")</f>
        <v>Aluminum &amp; Bi-Metal Containers</v>
      </c>
      <c r="E662" s="0" t="str">
        <f aca="false">IFERROR(INDEX('Materials Master'!$C$2:$C$27,MATCH($C662,'Materials Master'!$A$2:$A$27,0)),"")</f>
        <v>Metals</v>
      </c>
      <c r="F662" s="0" t="n">
        <f aca="false">(SUMIFS(Fact_PreSortWeights!$E$2:$E$15,Fact_PreSortWeights!$C$2:$C$15,$A662,Fact_PreSortWeights!$B$2:$B$15,$B662,Fact_PreSortWeights!$F$2:$F$15,$C662))+(SUMIFS(Fact_SortedWeights!$E$2:$E$6,Fact_SortedWeights!$C$2:$C$6,$A662,Fact_SortedWeights!$B$2:$B$6,$B662,Fact_SortedWeights!$D$2:$D$6,$C662,Fact_SortedWeights!$L$2:$L$6,"Yes"))+IF((SUMIFS(Fact_SortedWeights!$E$2:$E$6,Fact_SortedWeights!$C$2:$C$6,$A662,Fact_SortedWeights!$B$2:$B$6,$B662,Fact_SortedWeights!$L$2:$L$6,"No"))=0,0,(SUMIFS(Fact_SortedWeights!$E$2:$E$6,Fact_SortedWeights!$C$2:$C$6,$A662,Fact_SortedWeights!$B$2:$B$6,$B662,Fact_SortedWeights!$D$2:$D$6,$C662,Fact_SortedWeights!$L$2:$L$6,"No"))/(SUMIFS(Fact_SortedWeights!$E$2:$E$6,Fact_SortedWeights!$C$2:$C$6,$A662,Fact_SortedWeights!$B$2:$B$6,$B662,Fact_SortedWeights!$L$2:$L$6,"No"))*((SUMIFS(Fact_PreSortWeights!$E$2:$E$15,Fact_PreSortWeights!$C$2:$C$15,$A662,Fact_PreSortWeights!$B$2:$B$15,$B662,Fact_PreSortWeights!$F$2:$F$15,""))-(SUMIFS(Fact_SortedWeights!$E$2:$E$6,Fact_SortedWeights!$C$2:$C$6,$A662,Fact_SortedWeights!$B$2:$B$6,$B662,Fact_SortedWeights!$L$2:$L$6,"Yes"))))</f>
        <v>0</v>
      </c>
      <c r="G662" s="0" t="n">
        <f aca="false">IF(AND(IF($B662="Trash",INDEX('Materials Master'!$F$2:$F$27,MATCH($C662,'Materials Master'!$A$2:$A$27,0)),IF($B662="GMPC Recycling",INDEX('Materials Master'!$G$2:$G$27,MATCH($C662,'Materials Master'!$A$2:$A$27,0)),IF($B662="Organics Recycling",INDEX('Materials Master'!$H$2:$H$27,MATCH($C662,'Materials Master'!$A$2:$A$27,0)),IF($B662="Cardboard Recycling",INDEX('Materials Master'!$I$2:$I$27,MATCH($C662,'Materials Master'!$A$2:$A$27,0)),IF($B662="Paper Recycling",INDEX('Materials Master'!$J$2:$J$27,MATCH($C662,'Materials Master'!$A$2:$A$27,0)),IF($B662="Terracycle",INDEX('Materials Master'!$K$2:$K$27,MATCH($C662,'Materials Master'!$A$2:$A$27,0)),"No"))))))="Yes",INDEX('Materials Master'!$E$2:$E$27,MATCH($C662,'Materials Master'!$A$2:$A$27,0))="Yes",$B662&lt;&gt;"Trash"),1,0)</f>
        <v>1</v>
      </c>
      <c r="H662" s="0" t="str">
        <f aca="false">INDEX('Materials Master'!$E$2:$E$27,MATCH($C662,'Materials Master'!$A$2:$A$27,0))</f>
        <v>Yes</v>
      </c>
      <c r="I662" s="0" t="str">
        <f aca="false">IFERROR(INDEX(Areas!$C$2:$C$6,MATCH($A662,Areas!$B$2:$B$6,0)),"")</f>
        <v>Rest of Building</v>
      </c>
      <c r="J662" s="0" t="n">
        <f aca="false">IF(IF($B662="Trash",INDEX('Materials Master'!$F$2:$F$27,MATCH($C662,'Materials Master'!$A$2:$A$27,0)),IF($B662="GMPC Recycling",INDEX('Materials Master'!$G$2:$G$27,MATCH($C662,'Materials Master'!$A$2:$A$27,0)),IF($B662="Organics Recycling",INDEX('Materials Master'!$H$2:$H$27,MATCH($C662,'Materials Master'!$A$2:$A$27,0)),IF($B662="Cardboard Recycling",INDEX('Materials Master'!$I$2:$I$27,MATCH($C662,'Materials Master'!$A$2:$A$27,0)),IF($B662="Paper Recycling",INDEX('Materials Master'!$J$2:$J$27,MATCH($C662,'Materials Master'!$A$2:$A$27,0)),IF($B662="Terracycle",INDEX('Materials Master'!$K$2:$K$27,MATCH($C662,'Materials Master'!$A$2:$A$27,0)),"No"))))))="Yes",1,0)</f>
        <v>1</v>
      </c>
    </row>
    <row r="663" customFormat="false" ht="15" hidden="false" customHeight="false" outlineLevel="0" collapsed="false">
      <c r="A663" s="0" t="s">
        <v>100</v>
      </c>
      <c r="B663" s="0" t="s">
        <v>104</v>
      </c>
      <c r="C663" s="0" t="s">
        <v>53</v>
      </c>
      <c r="D663" s="0" t="str">
        <f aca="false">IFERROR(INDEX('Materials Master'!$B$2:$B$27,MATCH($C663,'Materials Master'!$A$2:$A$27,0)),"")</f>
        <v>Soiled Metals</v>
      </c>
      <c r="E663" s="0" t="str">
        <f aca="false">IFERROR(INDEX('Materials Master'!$C$2:$C$27,MATCH($C663,'Materials Master'!$A$2:$A$27,0)),"")</f>
        <v>Metals</v>
      </c>
      <c r="F663" s="0" t="n">
        <f aca="false">(SUMIFS(Fact_PreSortWeights!$E$2:$E$15,Fact_PreSortWeights!$C$2:$C$15,$A663,Fact_PreSortWeights!$B$2:$B$15,$B663,Fact_PreSortWeights!$F$2:$F$15,$C663))+(SUMIFS(Fact_SortedWeights!$E$2:$E$6,Fact_SortedWeights!$C$2:$C$6,$A663,Fact_SortedWeights!$B$2:$B$6,$B663,Fact_SortedWeights!$D$2:$D$6,$C663,Fact_SortedWeights!$L$2:$L$6,"Yes"))+IF((SUMIFS(Fact_SortedWeights!$E$2:$E$6,Fact_SortedWeights!$C$2:$C$6,$A663,Fact_SortedWeights!$B$2:$B$6,$B663,Fact_SortedWeights!$L$2:$L$6,"No"))=0,0,(SUMIFS(Fact_SortedWeights!$E$2:$E$6,Fact_SortedWeights!$C$2:$C$6,$A663,Fact_SortedWeights!$B$2:$B$6,$B663,Fact_SortedWeights!$D$2:$D$6,$C663,Fact_SortedWeights!$L$2:$L$6,"No"))/(SUMIFS(Fact_SortedWeights!$E$2:$E$6,Fact_SortedWeights!$C$2:$C$6,$A663,Fact_SortedWeights!$B$2:$B$6,$B663,Fact_SortedWeights!$L$2:$L$6,"No"))*((SUMIFS(Fact_PreSortWeights!$E$2:$E$15,Fact_PreSortWeights!$C$2:$C$15,$A663,Fact_PreSortWeights!$B$2:$B$15,$B663,Fact_PreSortWeights!$F$2:$F$15,""))-(SUMIFS(Fact_SortedWeights!$E$2:$E$6,Fact_SortedWeights!$C$2:$C$6,$A663,Fact_SortedWeights!$B$2:$B$6,$B663,Fact_SortedWeights!$L$2:$L$6,"Yes"))))</f>
        <v>0</v>
      </c>
      <c r="G663" s="0" t="n">
        <f aca="false">IF(AND(IF($B663="Trash",INDEX('Materials Master'!$F$2:$F$27,MATCH($C663,'Materials Master'!$A$2:$A$27,0)),IF($B663="GMPC Recycling",INDEX('Materials Master'!$G$2:$G$27,MATCH($C663,'Materials Master'!$A$2:$A$27,0)),IF($B663="Organics Recycling",INDEX('Materials Master'!$H$2:$H$27,MATCH($C663,'Materials Master'!$A$2:$A$27,0)),IF($B663="Cardboard Recycling",INDEX('Materials Master'!$I$2:$I$27,MATCH($C663,'Materials Master'!$A$2:$A$27,0)),IF($B663="Paper Recycling",INDEX('Materials Master'!$J$2:$J$27,MATCH($C663,'Materials Master'!$A$2:$A$27,0)),IF($B663="Terracycle",INDEX('Materials Master'!$K$2:$K$27,MATCH($C663,'Materials Master'!$A$2:$A$27,0)),"No"))))))="Yes",INDEX('Materials Master'!$E$2:$E$27,MATCH($C663,'Materials Master'!$A$2:$A$27,0))="Yes",$B663&lt;&gt;"Trash"),1,0)</f>
        <v>0</v>
      </c>
      <c r="H663" s="0" t="str">
        <f aca="false">INDEX('Materials Master'!$E$2:$E$27,MATCH($C663,'Materials Master'!$A$2:$A$27,0))</f>
        <v>No</v>
      </c>
      <c r="I663" s="0" t="str">
        <f aca="false">IFERROR(INDEX(Areas!$C$2:$C$6,MATCH($A663,Areas!$B$2:$B$6,0)),"")</f>
        <v>Rest of Building</v>
      </c>
      <c r="J663" s="0" t="n">
        <f aca="false">IF(IF($B663="Trash",INDEX('Materials Master'!$F$2:$F$27,MATCH($C663,'Materials Master'!$A$2:$A$27,0)),IF($B663="GMPC Recycling",INDEX('Materials Master'!$G$2:$G$27,MATCH($C663,'Materials Master'!$A$2:$A$27,0)),IF($B663="Organics Recycling",INDEX('Materials Master'!$H$2:$H$27,MATCH($C663,'Materials Master'!$A$2:$A$27,0)),IF($B663="Cardboard Recycling",INDEX('Materials Master'!$I$2:$I$27,MATCH($C663,'Materials Master'!$A$2:$A$27,0)),IF($B663="Paper Recycling",INDEX('Materials Master'!$J$2:$J$27,MATCH($C663,'Materials Master'!$A$2:$A$27,0)),IF($B663="Terracycle",INDEX('Materials Master'!$K$2:$K$27,MATCH($C663,'Materials Master'!$A$2:$A$27,0)),"No"))))))="Yes",1,0)</f>
        <v>0</v>
      </c>
    </row>
    <row r="664" customFormat="false" ht="15" hidden="false" customHeight="false" outlineLevel="0" collapsed="false">
      <c r="A664" s="0" t="s">
        <v>100</v>
      </c>
      <c r="B664" s="0" t="s">
        <v>104</v>
      </c>
      <c r="C664" s="0" t="s">
        <v>55</v>
      </c>
      <c r="D664" s="0" t="str">
        <f aca="false">IFERROR(INDEX('Materials Master'!$B$2:$B$27,MATCH($C664,'Materials Master'!$A$2:$A$27,0)),"")</f>
        <v>Rigid Plastics (1-6)</v>
      </c>
      <c r="E664" s="0" t="str">
        <f aca="false">IFERROR(INDEX('Materials Master'!$C$2:$C$27,MATCH($C664,'Materials Master'!$A$2:$A$27,0)),"")</f>
        <v>Plastics</v>
      </c>
      <c r="F664" s="0" t="n">
        <f aca="false">(SUMIFS(Fact_PreSortWeights!$E$2:$E$15,Fact_PreSortWeights!$C$2:$C$15,$A664,Fact_PreSortWeights!$B$2:$B$15,$B664,Fact_PreSortWeights!$F$2:$F$15,$C664))+(SUMIFS(Fact_SortedWeights!$E$2:$E$6,Fact_SortedWeights!$C$2:$C$6,$A664,Fact_SortedWeights!$B$2:$B$6,$B664,Fact_SortedWeights!$D$2:$D$6,$C664,Fact_SortedWeights!$L$2:$L$6,"Yes"))+IF((SUMIFS(Fact_SortedWeights!$E$2:$E$6,Fact_SortedWeights!$C$2:$C$6,$A664,Fact_SortedWeights!$B$2:$B$6,$B664,Fact_SortedWeights!$L$2:$L$6,"No"))=0,0,(SUMIFS(Fact_SortedWeights!$E$2:$E$6,Fact_SortedWeights!$C$2:$C$6,$A664,Fact_SortedWeights!$B$2:$B$6,$B664,Fact_SortedWeights!$D$2:$D$6,$C664,Fact_SortedWeights!$L$2:$L$6,"No"))/(SUMIFS(Fact_SortedWeights!$E$2:$E$6,Fact_SortedWeights!$C$2:$C$6,$A664,Fact_SortedWeights!$B$2:$B$6,$B664,Fact_SortedWeights!$L$2:$L$6,"No"))*((SUMIFS(Fact_PreSortWeights!$E$2:$E$15,Fact_PreSortWeights!$C$2:$C$15,$A664,Fact_PreSortWeights!$B$2:$B$15,$B664,Fact_PreSortWeights!$F$2:$F$15,""))-(SUMIFS(Fact_SortedWeights!$E$2:$E$6,Fact_SortedWeights!$C$2:$C$6,$A664,Fact_SortedWeights!$B$2:$B$6,$B664,Fact_SortedWeights!$L$2:$L$6,"Yes"))))</f>
        <v>0</v>
      </c>
      <c r="G664" s="0" t="n">
        <f aca="false">IF(AND(IF($B664="Trash",INDEX('Materials Master'!$F$2:$F$27,MATCH($C664,'Materials Master'!$A$2:$A$27,0)),IF($B664="GMPC Recycling",INDEX('Materials Master'!$G$2:$G$27,MATCH($C664,'Materials Master'!$A$2:$A$27,0)),IF($B664="Organics Recycling",INDEX('Materials Master'!$H$2:$H$27,MATCH($C664,'Materials Master'!$A$2:$A$27,0)),IF($B664="Cardboard Recycling",INDEX('Materials Master'!$I$2:$I$27,MATCH($C664,'Materials Master'!$A$2:$A$27,0)),IF($B664="Paper Recycling",INDEX('Materials Master'!$J$2:$J$27,MATCH($C664,'Materials Master'!$A$2:$A$27,0)),IF($B664="Terracycle",INDEX('Materials Master'!$K$2:$K$27,MATCH($C664,'Materials Master'!$A$2:$A$27,0)),"No"))))))="Yes",INDEX('Materials Master'!$E$2:$E$27,MATCH($C664,'Materials Master'!$A$2:$A$27,0))="Yes",$B664&lt;&gt;"Trash"),1,0)</f>
        <v>1</v>
      </c>
      <c r="H664" s="0" t="str">
        <f aca="false">INDEX('Materials Master'!$E$2:$E$27,MATCH($C664,'Materials Master'!$A$2:$A$27,0))</f>
        <v>Yes</v>
      </c>
      <c r="I664" s="0" t="str">
        <f aca="false">IFERROR(INDEX(Areas!$C$2:$C$6,MATCH($A664,Areas!$B$2:$B$6,0)),"")</f>
        <v>Rest of Building</v>
      </c>
      <c r="J664" s="0" t="n">
        <f aca="false">IF(IF($B664="Trash",INDEX('Materials Master'!$F$2:$F$27,MATCH($C664,'Materials Master'!$A$2:$A$27,0)),IF($B664="GMPC Recycling",INDEX('Materials Master'!$G$2:$G$27,MATCH($C664,'Materials Master'!$A$2:$A$27,0)),IF($B664="Organics Recycling",INDEX('Materials Master'!$H$2:$H$27,MATCH($C664,'Materials Master'!$A$2:$A$27,0)),IF($B664="Cardboard Recycling",INDEX('Materials Master'!$I$2:$I$27,MATCH($C664,'Materials Master'!$A$2:$A$27,0)),IF($B664="Paper Recycling",INDEX('Materials Master'!$J$2:$J$27,MATCH($C664,'Materials Master'!$A$2:$A$27,0)),IF($B664="Terracycle",INDEX('Materials Master'!$K$2:$K$27,MATCH($C664,'Materials Master'!$A$2:$A$27,0)),"No"))))))="Yes",1,0)</f>
        <v>1</v>
      </c>
    </row>
    <row r="665" customFormat="false" ht="15" hidden="false" customHeight="false" outlineLevel="0" collapsed="false">
      <c r="A665" s="0" t="s">
        <v>100</v>
      </c>
      <c r="B665" s="0" t="s">
        <v>104</v>
      </c>
      <c r="C665" s="0" t="s">
        <v>58</v>
      </c>
      <c r="D665" s="0" t="str">
        <f aca="false">IFERROR(INDEX('Materials Master'!$B$2:$B$27,MATCH($C665,'Materials Master'!$A$2:$A$27,0)),"")</f>
        <v>Soiled Rigid Plastics</v>
      </c>
      <c r="E665" s="0" t="str">
        <f aca="false">IFERROR(INDEX('Materials Master'!$C$2:$C$27,MATCH($C665,'Materials Master'!$A$2:$A$27,0)),"")</f>
        <v>Plastics</v>
      </c>
      <c r="F665" s="0" t="n">
        <f aca="false">(SUMIFS(Fact_PreSortWeights!$E$2:$E$15,Fact_PreSortWeights!$C$2:$C$15,$A665,Fact_PreSortWeights!$B$2:$B$15,$B665,Fact_PreSortWeights!$F$2:$F$15,$C665))+(SUMIFS(Fact_SortedWeights!$E$2:$E$6,Fact_SortedWeights!$C$2:$C$6,$A665,Fact_SortedWeights!$B$2:$B$6,$B665,Fact_SortedWeights!$D$2:$D$6,$C665,Fact_SortedWeights!$L$2:$L$6,"Yes"))+IF((SUMIFS(Fact_SortedWeights!$E$2:$E$6,Fact_SortedWeights!$C$2:$C$6,$A665,Fact_SortedWeights!$B$2:$B$6,$B665,Fact_SortedWeights!$L$2:$L$6,"No"))=0,0,(SUMIFS(Fact_SortedWeights!$E$2:$E$6,Fact_SortedWeights!$C$2:$C$6,$A665,Fact_SortedWeights!$B$2:$B$6,$B665,Fact_SortedWeights!$D$2:$D$6,$C665,Fact_SortedWeights!$L$2:$L$6,"No"))/(SUMIFS(Fact_SortedWeights!$E$2:$E$6,Fact_SortedWeights!$C$2:$C$6,$A665,Fact_SortedWeights!$B$2:$B$6,$B665,Fact_SortedWeights!$L$2:$L$6,"No"))*((SUMIFS(Fact_PreSortWeights!$E$2:$E$15,Fact_PreSortWeights!$C$2:$C$15,$A665,Fact_PreSortWeights!$B$2:$B$15,$B665,Fact_PreSortWeights!$F$2:$F$15,""))-(SUMIFS(Fact_SortedWeights!$E$2:$E$6,Fact_SortedWeights!$C$2:$C$6,$A665,Fact_SortedWeights!$B$2:$B$6,$B665,Fact_SortedWeights!$L$2:$L$6,"Yes"))))</f>
        <v>0</v>
      </c>
      <c r="G665" s="0" t="n">
        <f aca="false">IF(AND(IF($B665="Trash",INDEX('Materials Master'!$F$2:$F$27,MATCH($C665,'Materials Master'!$A$2:$A$27,0)),IF($B665="GMPC Recycling",INDEX('Materials Master'!$G$2:$G$27,MATCH($C665,'Materials Master'!$A$2:$A$27,0)),IF($B665="Organics Recycling",INDEX('Materials Master'!$H$2:$H$27,MATCH($C665,'Materials Master'!$A$2:$A$27,0)),IF($B665="Cardboard Recycling",INDEX('Materials Master'!$I$2:$I$27,MATCH($C665,'Materials Master'!$A$2:$A$27,0)),IF($B665="Paper Recycling",INDEX('Materials Master'!$J$2:$J$27,MATCH($C665,'Materials Master'!$A$2:$A$27,0)),IF($B665="Terracycle",INDEX('Materials Master'!$K$2:$K$27,MATCH($C665,'Materials Master'!$A$2:$A$27,0)),"No"))))))="Yes",INDEX('Materials Master'!$E$2:$E$27,MATCH($C665,'Materials Master'!$A$2:$A$27,0))="Yes",$B665&lt;&gt;"Trash"),1,0)</f>
        <v>0</v>
      </c>
      <c r="H665" s="0" t="str">
        <f aca="false">INDEX('Materials Master'!$E$2:$E$27,MATCH($C665,'Materials Master'!$A$2:$A$27,0))</f>
        <v>No</v>
      </c>
      <c r="I665" s="0" t="str">
        <f aca="false">IFERROR(INDEX(Areas!$C$2:$C$6,MATCH($A665,Areas!$B$2:$B$6,0)),"")</f>
        <v>Rest of Building</v>
      </c>
      <c r="J665" s="0" t="n">
        <f aca="false">IF(IF($B665="Trash",INDEX('Materials Master'!$F$2:$F$27,MATCH($C665,'Materials Master'!$A$2:$A$27,0)),IF($B665="GMPC Recycling",INDEX('Materials Master'!$G$2:$G$27,MATCH($C665,'Materials Master'!$A$2:$A$27,0)),IF($B665="Organics Recycling",INDEX('Materials Master'!$H$2:$H$27,MATCH($C665,'Materials Master'!$A$2:$A$27,0)),IF($B665="Cardboard Recycling",INDEX('Materials Master'!$I$2:$I$27,MATCH($C665,'Materials Master'!$A$2:$A$27,0)),IF($B665="Paper Recycling",INDEX('Materials Master'!$J$2:$J$27,MATCH($C665,'Materials Master'!$A$2:$A$27,0)),IF($B665="Terracycle",INDEX('Materials Master'!$K$2:$K$27,MATCH($C665,'Materials Master'!$A$2:$A$27,0)),"No"))))))="Yes",1,0)</f>
        <v>0</v>
      </c>
    </row>
    <row r="666" customFormat="false" ht="15" hidden="false" customHeight="false" outlineLevel="0" collapsed="false">
      <c r="A666" s="0" t="s">
        <v>100</v>
      </c>
      <c r="B666" s="0" t="s">
        <v>104</v>
      </c>
      <c r="C666" s="0" t="s">
        <v>60</v>
      </c>
      <c r="D666" s="0" t="str">
        <f aca="false">IFERROR(INDEX('Materials Master'!$B$2:$B$27,MATCH($C666,'Materials Master'!$A$2:$A$27,0)),"")</f>
        <v>Film Plastics</v>
      </c>
      <c r="E666" s="0" t="str">
        <f aca="false">IFERROR(INDEX('Materials Master'!$C$2:$C$27,MATCH($C666,'Materials Master'!$A$2:$A$27,0)),"")</f>
        <v>Plastics</v>
      </c>
      <c r="F666" s="0" t="n">
        <f aca="false">(SUMIFS(Fact_PreSortWeights!$E$2:$E$15,Fact_PreSortWeights!$C$2:$C$15,$A666,Fact_PreSortWeights!$B$2:$B$15,$B666,Fact_PreSortWeights!$F$2:$F$15,$C666))+(SUMIFS(Fact_SortedWeights!$E$2:$E$6,Fact_SortedWeights!$C$2:$C$6,$A666,Fact_SortedWeights!$B$2:$B$6,$B666,Fact_SortedWeights!$D$2:$D$6,$C666,Fact_SortedWeights!$L$2:$L$6,"Yes"))+IF((SUMIFS(Fact_SortedWeights!$E$2:$E$6,Fact_SortedWeights!$C$2:$C$6,$A666,Fact_SortedWeights!$B$2:$B$6,$B666,Fact_SortedWeights!$L$2:$L$6,"No"))=0,0,(SUMIFS(Fact_SortedWeights!$E$2:$E$6,Fact_SortedWeights!$C$2:$C$6,$A666,Fact_SortedWeights!$B$2:$B$6,$B666,Fact_SortedWeights!$D$2:$D$6,$C666,Fact_SortedWeights!$L$2:$L$6,"No"))/(SUMIFS(Fact_SortedWeights!$E$2:$E$6,Fact_SortedWeights!$C$2:$C$6,$A666,Fact_SortedWeights!$B$2:$B$6,$B666,Fact_SortedWeights!$L$2:$L$6,"No"))*((SUMIFS(Fact_PreSortWeights!$E$2:$E$15,Fact_PreSortWeights!$C$2:$C$15,$A666,Fact_PreSortWeights!$B$2:$B$15,$B666,Fact_PreSortWeights!$F$2:$F$15,""))-(SUMIFS(Fact_SortedWeights!$E$2:$E$6,Fact_SortedWeights!$C$2:$C$6,$A666,Fact_SortedWeights!$B$2:$B$6,$B666,Fact_SortedWeights!$L$2:$L$6,"Yes"))))</f>
        <v>0</v>
      </c>
      <c r="G666" s="0" t="n">
        <f aca="false">IF(AND(IF($B666="Trash",INDEX('Materials Master'!$F$2:$F$27,MATCH($C666,'Materials Master'!$A$2:$A$27,0)),IF($B666="GMPC Recycling",INDEX('Materials Master'!$G$2:$G$27,MATCH($C666,'Materials Master'!$A$2:$A$27,0)),IF($B666="Organics Recycling",INDEX('Materials Master'!$H$2:$H$27,MATCH($C666,'Materials Master'!$A$2:$A$27,0)),IF($B666="Cardboard Recycling",INDEX('Materials Master'!$I$2:$I$27,MATCH($C666,'Materials Master'!$A$2:$A$27,0)),IF($B666="Paper Recycling",INDEX('Materials Master'!$J$2:$J$27,MATCH($C666,'Materials Master'!$A$2:$A$27,0)),IF($B666="Terracycle",INDEX('Materials Master'!$K$2:$K$27,MATCH($C666,'Materials Master'!$A$2:$A$27,0)),"No"))))))="Yes",INDEX('Materials Master'!$E$2:$E$27,MATCH($C666,'Materials Master'!$A$2:$A$27,0))="Yes",$B666&lt;&gt;"Trash"),1,0)</f>
        <v>0</v>
      </c>
      <c r="H666" s="0" t="str">
        <f aca="false">INDEX('Materials Master'!$E$2:$E$27,MATCH($C666,'Materials Master'!$A$2:$A$27,0))</f>
        <v>No</v>
      </c>
      <c r="I666" s="0" t="str">
        <f aca="false">IFERROR(INDEX(Areas!$C$2:$C$6,MATCH($A666,Areas!$B$2:$B$6,0)),"")</f>
        <v>Rest of Building</v>
      </c>
      <c r="J666" s="0" t="n">
        <f aca="false">IF(IF($B666="Trash",INDEX('Materials Master'!$F$2:$F$27,MATCH($C666,'Materials Master'!$A$2:$A$27,0)),IF($B666="GMPC Recycling",INDEX('Materials Master'!$G$2:$G$27,MATCH($C666,'Materials Master'!$A$2:$A$27,0)),IF($B666="Organics Recycling",INDEX('Materials Master'!$H$2:$H$27,MATCH($C666,'Materials Master'!$A$2:$A$27,0)),IF($B666="Cardboard Recycling",INDEX('Materials Master'!$I$2:$I$27,MATCH($C666,'Materials Master'!$A$2:$A$27,0)),IF($B666="Paper Recycling",INDEX('Materials Master'!$J$2:$J$27,MATCH($C666,'Materials Master'!$A$2:$A$27,0)),IF($B666="Terracycle",INDEX('Materials Master'!$K$2:$K$27,MATCH($C666,'Materials Master'!$A$2:$A$27,0)),"No"))))))="Yes",1,0)</f>
        <v>0</v>
      </c>
    </row>
    <row r="667" customFormat="false" ht="15" hidden="false" customHeight="false" outlineLevel="0" collapsed="false">
      <c r="A667" s="0" t="s">
        <v>100</v>
      </c>
      <c r="B667" s="0" t="s">
        <v>104</v>
      </c>
      <c r="C667" s="0" t="s">
        <v>62</v>
      </c>
      <c r="D667" s="0" t="str">
        <f aca="false">IFERROR(INDEX('Materials Master'!$B$2:$B$27,MATCH($C667,'Materials Master'!$A$2:$A$27,0)),"")</f>
        <v>Foams</v>
      </c>
      <c r="E667" s="0" t="str">
        <f aca="false">IFERROR(INDEX('Materials Master'!$C$2:$C$27,MATCH($C667,'Materials Master'!$A$2:$A$27,0)),"")</f>
        <v>Plastics</v>
      </c>
      <c r="F667" s="0" t="n">
        <f aca="false">(SUMIFS(Fact_PreSortWeights!$E$2:$E$15,Fact_PreSortWeights!$C$2:$C$15,$A667,Fact_PreSortWeights!$B$2:$B$15,$B667,Fact_PreSortWeights!$F$2:$F$15,$C667))+(SUMIFS(Fact_SortedWeights!$E$2:$E$6,Fact_SortedWeights!$C$2:$C$6,$A667,Fact_SortedWeights!$B$2:$B$6,$B667,Fact_SortedWeights!$D$2:$D$6,$C667,Fact_SortedWeights!$L$2:$L$6,"Yes"))+IF((SUMIFS(Fact_SortedWeights!$E$2:$E$6,Fact_SortedWeights!$C$2:$C$6,$A667,Fact_SortedWeights!$B$2:$B$6,$B667,Fact_SortedWeights!$L$2:$L$6,"No"))=0,0,(SUMIFS(Fact_SortedWeights!$E$2:$E$6,Fact_SortedWeights!$C$2:$C$6,$A667,Fact_SortedWeights!$B$2:$B$6,$B667,Fact_SortedWeights!$D$2:$D$6,$C667,Fact_SortedWeights!$L$2:$L$6,"No"))/(SUMIFS(Fact_SortedWeights!$E$2:$E$6,Fact_SortedWeights!$C$2:$C$6,$A667,Fact_SortedWeights!$B$2:$B$6,$B667,Fact_SortedWeights!$L$2:$L$6,"No"))*((SUMIFS(Fact_PreSortWeights!$E$2:$E$15,Fact_PreSortWeights!$C$2:$C$15,$A667,Fact_PreSortWeights!$B$2:$B$15,$B667,Fact_PreSortWeights!$F$2:$F$15,""))-(SUMIFS(Fact_SortedWeights!$E$2:$E$6,Fact_SortedWeights!$C$2:$C$6,$A667,Fact_SortedWeights!$B$2:$B$6,$B667,Fact_SortedWeights!$L$2:$L$6,"Yes"))))</f>
        <v>0</v>
      </c>
      <c r="G667" s="0" t="n">
        <f aca="false">IF(AND(IF($B667="Trash",INDEX('Materials Master'!$F$2:$F$27,MATCH($C667,'Materials Master'!$A$2:$A$27,0)),IF($B667="GMPC Recycling",INDEX('Materials Master'!$G$2:$G$27,MATCH($C667,'Materials Master'!$A$2:$A$27,0)),IF($B667="Organics Recycling",INDEX('Materials Master'!$H$2:$H$27,MATCH($C667,'Materials Master'!$A$2:$A$27,0)),IF($B667="Cardboard Recycling",INDEX('Materials Master'!$I$2:$I$27,MATCH($C667,'Materials Master'!$A$2:$A$27,0)),IF($B667="Paper Recycling",INDEX('Materials Master'!$J$2:$J$27,MATCH($C667,'Materials Master'!$A$2:$A$27,0)),IF($B667="Terracycle",INDEX('Materials Master'!$K$2:$K$27,MATCH($C667,'Materials Master'!$A$2:$A$27,0)),"No"))))))="Yes",INDEX('Materials Master'!$E$2:$E$27,MATCH($C667,'Materials Master'!$A$2:$A$27,0))="Yes",$B667&lt;&gt;"Trash"),1,0)</f>
        <v>0</v>
      </c>
      <c r="H667" s="0" t="str">
        <f aca="false">INDEX('Materials Master'!$E$2:$E$27,MATCH($C667,'Materials Master'!$A$2:$A$27,0))</f>
        <v>No</v>
      </c>
      <c r="I667" s="0" t="str">
        <f aca="false">IFERROR(INDEX(Areas!$C$2:$C$6,MATCH($A667,Areas!$B$2:$B$6,0)),"")</f>
        <v>Rest of Building</v>
      </c>
      <c r="J667" s="0" t="n">
        <f aca="false">IF(IF($B667="Trash",INDEX('Materials Master'!$F$2:$F$27,MATCH($C667,'Materials Master'!$A$2:$A$27,0)),IF($B667="GMPC Recycling",INDEX('Materials Master'!$G$2:$G$27,MATCH($C667,'Materials Master'!$A$2:$A$27,0)),IF($B667="Organics Recycling",INDEX('Materials Master'!$H$2:$H$27,MATCH($C667,'Materials Master'!$A$2:$A$27,0)),IF($B667="Cardboard Recycling",INDEX('Materials Master'!$I$2:$I$27,MATCH($C667,'Materials Master'!$A$2:$A$27,0)),IF($B667="Paper Recycling",INDEX('Materials Master'!$J$2:$J$27,MATCH($C667,'Materials Master'!$A$2:$A$27,0)),IF($B667="Terracycle",INDEX('Materials Master'!$K$2:$K$27,MATCH($C667,'Materials Master'!$A$2:$A$27,0)),"No"))))))="Yes",1,0)</f>
        <v>0</v>
      </c>
    </row>
    <row r="668" customFormat="false" ht="15" hidden="false" customHeight="false" outlineLevel="0" collapsed="false">
      <c r="A668" s="0" t="s">
        <v>100</v>
      </c>
      <c r="B668" s="0" t="s">
        <v>104</v>
      </c>
      <c r="C668" s="0" t="s">
        <v>64</v>
      </c>
      <c r="D668" s="0" t="str">
        <f aca="false">IFERROR(INDEX('Materials Master'!$B$2:$B$27,MATCH($C668,'Materials Master'!$A$2:$A$27,0)),"")</f>
        <v>Food Waste</v>
      </c>
      <c r="E668" s="0" t="str">
        <f aca="false">IFERROR(INDEX('Materials Master'!$C$2:$C$27,MATCH($C668,'Materials Master'!$A$2:$A$27,0)),"")</f>
        <v>Organics</v>
      </c>
      <c r="F668" s="0" t="n">
        <f aca="false">(SUMIFS(Fact_PreSortWeights!$E$2:$E$15,Fact_PreSortWeights!$C$2:$C$15,$A668,Fact_PreSortWeights!$B$2:$B$15,$B668,Fact_PreSortWeights!$F$2:$F$15,$C668))+(SUMIFS(Fact_SortedWeights!$E$2:$E$6,Fact_SortedWeights!$C$2:$C$6,$A668,Fact_SortedWeights!$B$2:$B$6,$B668,Fact_SortedWeights!$D$2:$D$6,$C668,Fact_SortedWeights!$L$2:$L$6,"Yes"))+IF((SUMIFS(Fact_SortedWeights!$E$2:$E$6,Fact_SortedWeights!$C$2:$C$6,$A668,Fact_SortedWeights!$B$2:$B$6,$B668,Fact_SortedWeights!$L$2:$L$6,"No"))=0,0,(SUMIFS(Fact_SortedWeights!$E$2:$E$6,Fact_SortedWeights!$C$2:$C$6,$A668,Fact_SortedWeights!$B$2:$B$6,$B668,Fact_SortedWeights!$D$2:$D$6,$C668,Fact_SortedWeights!$L$2:$L$6,"No"))/(SUMIFS(Fact_SortedWeights!$E$2:$E$6,Fact_SortedWeights!$C$2:$C$6,$A668,Fact_SortedWeights!$B$2:$B$6,$B668,Fact_SortedWeights!$L$2:$L$6,"No"))*((SUMIFS(Fact_PreSortWeights!$E$2:$E$15,Fact_PreSortWeights!$C$2:$C$15,$A668,Fact_PreSortWeights!$B$2:$B$15,$B668,Fact_PreSortWeights!$F$2:$F$15,""))-(SUMIFS(Fact_SortedWeights!$E$2:$E$6,Fact_SortedWeights!$C$2:$C$6,$A668,Fact_SortedWeights!$B$2:$B$6,$B668,Fact_SortedWeights!$L$2:$L$6,"Yes"))))</f>
        <v>0</v>
      </c>
      <c r="G668" s="0" t="n">
        <f aca="false">IF(AND(IF($B668="Trash",INDEX('Materials Master'!$F$2:$F$27,MATCH($C668,'Materials Master'!$A$2:$A$27,0)),IF($B668="GMPC Recycling",INDEX('Materials Master'!$G$2:$G$27,MATCH($C668,'Materials Master'!$A$2:$A$27,0)),IF($B668="Organics Recycling",INDEX('Materials Master'!$H$2:$H$27,MATCH($C668,'Materials Master'!$A$2:$A$27,0)),IF($B668="Cardboard Recycling",INDEX('Materials Master'!$I$2:$I$27,MATCH($C668,'Materials Master'!$A$2:$A$27,0)),IF($B668="Paper Recycling",INDEX('Materials Master'!$J$2:$J$27,MATCH($C668,'Materials Master'!$A$2:$A$27,0)),IF($B668="Terracycle",INDEX('Materials Master'!$K$2:$K$27,MATCH($C668,'Materials Master'!$A$2:$A$27,0)),"No"))))))="Yes",INDEX('Materials Master'!$E$2:$E$27,MATCH($C668,'Materials Master'!$A$2:$A$27,0))="Yes",$B668&lt;&gt;"Trash"),1,0)</f>
        <v>0</v>
      </c>
      <c r="H668" s="0" t="str">
        <f aca="false">INDEX('Materials Master'!$E$2:$E$27,MATCH($C668,'Materials Master'!$A$2:$A$27,0))</f>
        <v>Yes</v>
      </c>
      <c r="I668" s="0" t="str">
        <f aca="false">IFERROR(INDEX(Areas!$C$2:$C$6,MATCH($A668,Areas!$B$2:$B$6,0)),"")</f>
        <v>Rest of Building</v>
      </c>
      <c r="J668" s="0" t="n">
        <f aca="false">IF(IF($B668="Trash",INDEX('Materials Master'!$F$2:$F$27,MATCH($C668,'Materials Master'!$A$2:$A$27,0)),IF($B668="GMPC Recycling",INDEX('Materials Master'!$G$2:$G$27,MATCH($C668,'Materials Master'!$A$2:$A$27,0)),IF($B668="Organics Recycling",INDEX('Materials Master'!$H$2:$H$27,MATCH($C668,'Materials Master'!$A$2:$A$27,0)),IF($B668="Cardboard Recycling",INDEX('Materials Master'!$I$2:$I$27,MATCH($C668,'Materials Master'!$A$2:$A$27,0)),IF($B668="Paper Recycling",INDEX('Materials Master'!$J$2:$J$27,MATCH($C668,'Materials Master'!$A$2:$A$27,0)),IF($B668="Terracycle",INDEX('Materials Master'!$K$2:$K$27,MATCH($C668,'Materials Master'!$A$2:$A$27,0)),"No"))))))="Yes",1,0)</f>
        <v>0</v>
      </c>
    </row>
    <row r="669" customFormat="false" ht="15" hidden="false" customHeight="false" outlineLevel="0" collapsed="false">
      <c r="A669" s="0" t="s">
        <v>100</v>
      </c>
      <c r="B669" s="0" t="s">
        <v>104</v>
      </c>
      <c r="C669" s="0" t="s">
        <v>67</v>
      </c>
      <c r="D669" s="0" t="str">
        <f aca="false">IFERROR(INDEX('Materials Master'!$B$2:$B$27,MATCH($C669,'Materials Master'!$A$2:$A$27,0)),"")</f>
        <v>Paper Fibers and Food-Soiled Paper (FSP)</v>
      </c>
      <c r="E669" s="0" t="str">
        <f aca="false">IFERROR(INDEX('Materials Master'!$C$2:$C$27,MATCH($C669,'Materials Master'!$A$2:$A$27,0)),"")</f>
        <v>Organics</v>
      </c>
      <c r="F669" s="0" t="n">
        <f aca="false">(SUMIFS(Fact_PreSortWeights!$E$2:$E$15,Fact_PreSortWeights!$C$2:$C$15,$A669,Fact_PreSortWeights!$B$2:$B$15,$B669,Fact_PreSortWeights!$F$2:$F$15,$C669))+(SUMIFS(Fact_SortedWeights!$E$2:$E$6,Fact_SortedWeights!$C$2:$C$6,$A669,Fact_SortedWeights!$B$2:$B$6,$B669,Fact_SortedWeights!$D$2:$D$6,$C669,Fact_SortedWeights!$L$2:$L$6,"Yes"))+IF((SUMIFS(Fact_SortedWeights!$E$2:$E$6,Fact_SortedWeights!$C$2:$C$6,$A669,Fact_SortedWeights!$B$2:$B$6,$B669,Fact_SortedWeights!$L$2:$L$6,"No"))=0,(SUMIFS(Fact_PreSortWeights!$E$2:$E$15,Fact_PreSortWeights!$C$2:$C$15,$A669,Fact_PreSortWeights!$B$2:$B$15,$B669,Fact_PreSortWeights!$F$2:$F$15,""))-(SUMIFS(Fact_SortedWeights!$E$2:$E$6,Fact_SortedWeights!$C$2:$C$6,$A669,Fact_SortedWeights!$B$2:$B$6,$B669,Fact_SortedWeights!$L$2:$L$6,"Yes")),(SUMIFS(Fact_SortedWeights!$E$2:$E$6,Fact_SortedWeights!$C$2:$C$6,$A669,Fact_SortedWeights!$B$2:$B$6,$B669,Fact_SortedWeights!$D$2:$D$6,$C669,Fact_SortedWeights!$L$2:$L$6,"No"))/(SUMIFS(Fact_SortedWeights!$E$2:$E$6,Fact_SortedWeights!$C$2:$C$6,$A669,Fact_SortedWeights!$B$2:$B$6,$B669,Fact_SortedWeights!$L$2:$L$6,"No"))*((SUMIFS(Fact_PreSortWeights!$E$2:$E$15,Fact_PreSortWeights!$C$2:$C$15,$A669,Fact_PreSortWeights!$B$2:$B$15,$B669,Fact_PreSortWeights!$F$2:$F$15,""))-(SUMIFS(Fact_SortedWeights!$E$2:$E$6,Fact_SortedWeights!$C$2:$C$6,$A669,Fact_SortedWeights!$B$2:$B$6,$B669,Fact_SortedWeights!$L$2:$L$6,"Yes"))))</f>
        <v>0</v>
      </c>
      <c r="G669" s="0" t="n">
        <f aca="false">IF(AND(IF($B669="Trash",INDEX('Materials Master'!$F$2:$F$27,MATCH($C669,'Materials Master'!$A$2:$A$27,0)),IF($B669="GMPC Recycling",INDEX('Materials Master'!$G$2:$G$27,MATCH($C669,'Materials Master'!$A$2:$A$27,0)),IF($B669="Organics Recycling",INDEX('Materials Master'!$H$2:$H$27,MATCH($C669,'Materials Master'!$A$2:$A$27,0)),IF($B669="Cardboard Recycling",INDEX('Materials Master'!$I$2:$I$27,MATCH($C669,'Materials Master'!$A$2:$A$27,0)),IF($B669="Paper Recycling",INDEX('Materials Master'!$J$2:$J$27,MATCH($C669,'Materials Master'!$A$2:$A$27,0)),IF($B669="Terracycle",INDEX('Materials Master'!$K$2:$K$27,MATCH($C669,'Materials Master'!$A$2:$A$27,0)),"No"))))))="Yes",INDEX('Materials Master'!$E$2:$E$27,MATCH($C669,'Materials Master'!$A$2:$A$27,0))="Yes",$B669&lt;&gt;"Trash"),1,0)</f>
        <v>0</v>
      </c>
      <c r="H669" s="0" t="str">
        <f aca="false">INDEX('Materials Master'!$E$2:$E$27,MATCH($C669,'Materials Master'!$A$2:$A$27,0))</f>
        <v>No</v>
      </c>
      <c r="I669" s="0" t="str">
        <f aca="false">IFERROR(INDEX(Areas!$C$2:$C$6,MATCH($A669,Areas!$B$2:$B$6,0)),"")</f>
        <v>Rest of Building</v>
      </c>
      <c r="J669" s="0" t="n">
        <f aca="false">IF(IF($B669="Trash",INDEX('Materials Master'!$F$2:$F$27,MATCH($C669,'Materials Master'!$A$2:$A$27,0)),IF($B669="GMPC Recycling",INDEX('Materials Master'!$G$2:$G$27,MATCH($C669,'Materials Master'!$A$2:$A$27,0)),IF($B669="Organics Recycling",INDEX('Materials Master'!$H$2:$H$27,MATCH($C669,'Materials Master'!$A$2:$A$27,0)),IF($B669="Cardboard Recycling",INDEX('Materials Master'!$I$2:$I$27,MATCH($C669,'Materials Master'!$A$2:$A$27,0)),IF($B669="Paper Recycling",INDEX('Materials Master'!$J$2:$J$27,MATCH($C669,'Materials Master'!$A$2:$A$27,0)),IF($B669="Terracycle",INDEX('Materials Master'!$K$2:$K$27,MATCH($C669,'Materials Master'!$A$2:$A$27,0)),"No"))))))="Yes",1,0)</f>
        <v>0</v>
      </c>
    </row>
    <row r="670" customFormat="false" ht="15" hidden="false" customHeight="false" outlineLevel="0" collapsed="false">
      <c r="A670" s="0" t="s">
        <v>100</v>
      </c>
      <c r="B670" s="0" t="s">
        <v>104</v>
      </c>
      <c r="C670" s="0" t="s">
        <v>69</v>
      </c>
      <c r="D670" s="0" t="str">
        <f aca="false">IFERROR(INDEX('Materials Master'!$B$2:$B$27,MATCH($C670,'Materials Master'!$A$2:$A$27,0)),"")</f>
        <v>Fiber-based Compostable Serviceware</v>
      </c>
      <c r="E670" s="0" t="str">
        <f aca="false">IFERROR(INDEX('Materials Master'!$C$2:$C$27,MATCH($C670,'Materials Master'!$A$2:$A$27,0)),"")</f>
        <v>Organics</v>
      </c>
      <c r="F670" s="0" t="n">
        <f aca="false">(SUMIFS(Fact_PreSortWeights!$E$2:$E$15,Fact_PreSortWeights!$C$2:$C$15,$A670,Fact_PreSortWeights!$B$2:$B$15,$B670,Fact_PreSortWeights!$F$2:$F$15,$C670))+(SUMIFS(Fact_SortedWeights!$E$2:$E$6,Fact_SortedWeights!$C$2:$C$6,$A670,Fact_SortedWeights!$B$2:$B$6,$B670,Fact_SortedWeights!$D$2:$D$6,$C670,Fact_SortedWeights!$L$2:$L$6,"Yes"))+IF((SUMIFS(Fact_SortedWeights!$E$2:$E$6,Fact_SortedWeights!$C$2:$C$6,$A670,Fact_SortedWeights!$B$2:$B$6,$B670,Fact_SortedWeights!$L$2:$L$6,"No"))=0,0,(SUMIFS(Fact_SortedWeights!$E$2:$E$6,Fact_SortedWeights!$C$2:$C$6,$A670,Fact_SortedWeights!$B$2:$B$6,$B670,Fact_SortedWeights!$D$2:$D$6,$C670,Fact_SortedWeights!$L$2:$L$6,"No"))/(SUMIFS(Fact_SortedWeights!$E$2:$E$6,Fact_SortedWeights!$C$2:$C$6,$A670,Fact_SortedWeights!$B$2:$B$6,$B670,Fact_SortedWeights!$L$2:$L$6,"No"))*((SUMIFS(Fact_PreSortWeights!$E$2:$E$15,Fact_PreSortWeights!$C$2:$C$15,$A670,Fact_PreSortWeights!$B$2:$B$15,$B670,Fact_PreSortWeights!$F$2:$F$15,""))-(SUMIFS(Fact_SortedWeights!$E$2:$E$6,Fact_SortedWeights!$C$2:$C$6,$A670,Fact_SortedWeights!$B$2:$B$6,$B670,Fact_SortedWeights!$L$2:$L$6,"Yes"))))</f>
        <v>0</v>
      </c>
      <c r="G670" s="0" t="n">
        <f aca="false">IF(AND(IF($B670="Trash",INDEX('Materials Master'!$F$2:$F$27,MATCH($C670,'Materials Master'!$A$2:$A$27,0)),IF($B670="GMPC Recycling",INDEX('Materials Master'!$G$2:$G$27,MATCH($C670,'Materials Master'!$A$2:$A$27,0)),IF($B670="Organics Recycling",INDEX('Materials Master'!$H$2:$H$27,MATCH($C670,'Materials Master'!$A$2:$A$27,0)),IF($B670="Cardboard Recycling",INDEX('Materials Master'!$I$2:$I$27,MATCH($C670,'Materials Master'!$A$2:$A$27,0)),IF($B670="Paper Recycling",INDEX('Materials Master'!$J$2:$J$27,MATCH($C670,'Materials Master'!$A$2:$A$27,0)),IF($B670="Terracycle",INDEX('Materials Master'!$K$2:$K$27,MATCH($C670,'Materials Master'!$A$2:$A$27,0)),"No"))))))="Yes",INDEX('Materials Master'!$E$2:$E$27,MATCH($C670,'Materials Master'!$A$2:$A$27,0))="Yes",$B670&lt;&gt;"Trash"),1,0)</f>
        <v>0</v>
      </c>
      <c r="H670" s="0" t="str">
        <f aca="false">INDEX('Materials Master'!$E$2:$E$27,MATCH($C670,'Materials Master'!$A$2:$A$27,0))</f>
        <v>No</v>
      </c>
      <c r="I670" s="0" t="str">
        <f aca="false">IFERROR(INDEX(Areas!$C$2:$C$6,MATCH($A670,Areas!$B$2:$B$6,0)),"")</f>
        <v>Rest of Building</v>
      </c>
      <c r="J670" s="0" t="n">
        <f aca="false">IF(IF($B670="Trash",INDEX('Materials Master'!$F$2:$F$27,MATCH($C670,'Materials Master'!$A$2:$A$27,0)),IF($B670="GMPC Recycling",INDEX('Materials Master'!$G$2:$G$27,MATCH($C670,'Materials Master'!$A$2:$A$27,0)),IF($B670="Organics Recycling",INDEX('Materials Master'!$H$2:$H$27,MATCH($C670,'Materials Master'!$A$2:$A$27,0)),IF($B670="Cardboard Recycling",INDEX('Materials Master'!$I$2:$I$27,MATCH($C670,'Materials Master'!$A$2:$A$27,0)),IF($B670="Paper Recycling",INDEX('Materials Master'!$J$2:$J$27,MATCH($C670,'Materials Master'!$A$2:$A$27,0)),IF($B670="Terracycle",INDEX('Materials Master'!$K$2:$K$27,MATCH($C670,'Materials Master'!$A$2:$A$27,0)),"No"))))))="Yes",1,0)</f>
        <v>0</v>
      </c>
    </row>
    <row r="671" customFormat="false" ht="15" hidden="false" customHeight="false" outlineLevel="0" collapsed="false">
      <c r="A671" s="0" t="s">
        <v>100</v>
      </c>
      <c r="B671" s="0" t="s">
        <v>104</v>
      </c>
      <c r="C671" s="0" t="s">
        <v>71</v>
      </c>
      <c r="D671" s="0" t="str">
        <f aca="false">IFERROR(INDEX('Materials Master'!$B$2:$B$27,MATCH($C671,'Materials Master'!$A$2:$A$27,0)),"")</f>
        <v>PLA Compostable Serviceware</v>
      </c>
      <c r="E671" s="0" t="str">
        <f aca="false">IFERROR(INDEX('Materials Master'!$C$2:$C$27,MATCH($C671,'Materials Master'!$A$2:$A$27,0)),"")</f>
        <v>Organics</v>
      </c>
      <c r="F671" s="0" t="n">
        <f aca="false">(SUMIFS(Fact_PreSortWeights!$E$2:$E$15,Fact_PreSortWeights!$C$2:$C$15,$A671,Fact_PreSortWeights!$B$2:$B$15,$B671,Fact_PreSortWeights!$F$2:$F$15,$C671))+(SUMIFS(Fact_SortedWeights!$E$2:$E$6,Fact_SortedWeights!$C$2:$C$6,$A671,Fact_SortedWeights!$B$2:$B$6,$B671,Fact_SortedWeights!$D$2:$D$6,$C671,Fact_SortedWeights!$L$2:$L$6,"Yes"))+IF((SUMIFS(Fact_SortedWeights!$E$2:$E$6,Fact_SortedWeights!$C$2:$C$6,$A671,Fact_SortedWeights!$B$2:$B$6,$B671,Fact_SortedWeights!$L$2:$L$6,"No"))=0,0,(SUMIFS(Fact_SortedWeights!$E$2:$E$6,Fact_SortedWeights!$C$2:$C$6,$A671,Fact_SortedWeights!$B$2:$B$6,$B671,Fact_SortedWeights!$D$2:$D$6,$C671,Fact_SortedWeights!$L$2:$L$6,"No"))/(SUMIFS(Fact_SortedWeights!$E$2:$E$6,Fact_SortedWeights!$C$2:$C$6,$A671,Fact_SortedWeights!$B$2:$B$6,$B671,Fact_SortedWeights!$L$2:$L$6,"No"))*((SUMIFS(Fact_PreSortWeights!$E$2:$E$15,Fact_PreSortWeights!$C$2:$C$15,$A671,Fact_PreSortWeights!$B$2:$B$15,$B671,Fact_PreSortWeights!$F$2:$F$15,""))-(SUMIFS(Fact_SortedWeights!$E$2:$E$6,Fact_SortedWeights!$C$2:$C$6,$A671,Fact_SortedWeights!$B$2:$B$6,$B671,Fact_SortedWeights!$L$2:$L$6,"Yes"))))</f>
        <v>0</v>
      </c>
      <c r="G671" s="0" t="n">
        <f aca="false">IF(AND(IF($B671="Trash",INDEX('Materials Master'!$F$2:$F$27,MATCH($C671,'Materials Master'!$A$2:$A$27,0)),IF($B671="GMPC Recycling",INDEX('Materials Master'!$G$2:$G$27,MATCH($C671,'Materials Master'!$A$2:$A$27,0)),IF($B671="Organics Recycling",INDEX('Materials Master'!$H$2:$H$27,MATCH($C671,'Materials Master'!$A$2:$A$27,0)),IF($B671="Cardboard Recycling",INDEX('Materials Master'!$I$2:$I$27,MATCH($C671,'Materials Master'!$A$2:$A$27,0)),IF($B671="Paper Recycling",INDEX('Materials Master'!$J$2:$J$27,MATCH($C671,'Materials Master'!$A$2:$A$27,0)),IF($B671="Terracycle",INDEX('Materials Master'!$K$2:$K$27,MATCH($C671,'Materials Master'!$A$2:$A$27,0)),"No"))))))="Yes",INDEX('Materials Master'!$E$2:$E$27,MATCH($C671,'Materials Master'!$A$2:$A$27,0))="Yes",$B671&lt;&gt;"Trash"),1,0)</f>
        <v>0</v>
      </c>
      <c r="H671" s="0" t="str">
        <f aca="false">INDEX('Materials Master'!$E$2:$E$27,MATCH($C671,'Materials Master'!$A$2:$A$27,0))</f>
        <v>No</v>
      </c>
      <c r="I671" s="0" t="str">
        <f aca="false">IFERROR(INDEX(Areas!$C$2:$C$6,MATCH($A671,Areas!$B$2:$B$6,0)),"")</f>
        <v>Rest of Building</v>
      </c>
      <c r="J671" s="0" t="n">
        <f aca="false">IF(IF($B671="Trash",INDEX('Materials Master'!$F$2:$F$27,MATCH($C671,'Materials Master'!$A$2:$A$27,0)),IF($B671="GMPC Recycling",INDEX('Materials Master'!$G$2:$G$27,MATCH($C671,'Materials Master'!$A$2:$A$27,0)),IF($B671="Organics Recycling",INDEX('Materials Master'!$H$2:$H$27,MATCH($C671,'Materials Master'!$A$2:$A$27,0)),IF($B671="Cardboard Recycling",INDEX('Materials Master'!$I$2:$I$27,MATCH($C671,'Materials Master'!$A$2:$A$27,0)),IF($B671="Paper Recycling",INDEX('Materials Master'!$J$2:$J$27,MATCH($C671,'Materials Master'!$A$2:$A$27,0)),IF($B671="Terracycle",INDEX('Materials Master'!$K$2:$K$27,MATCH($C671,'Materials Master'!$A$2:$A$27,0)),"No"))))))="Yes",1,0)</f>
        <v>0</v>
      </c>
    </row>
    <row r="672" customFormat="false" ht="15" hidden="false" customHeight="false" outlineLevel="0" collapsed="false">
      <c r="A672" s="0" t="s">
        <v>100</v>
      </c>
      <c r="B672" s="0" t="s">
        <v>104</v>
      </c>
      <c r="C672" s="0" t="s">
        <v>73</v>
      </c>
      <c r="D672" s="0" t="str">
        <f aca="false">IFERROR(INDEX('Materials Master'!$B$2:$B$27,MATCH($C672,'Materials Master'!$A$2:$A$27,0)),"")</f>
        <v>E/U Waste</v>
      </c>
      <c r="E672" s="0" t="str">
        <f aca="false">IFERROR(INDEX('Materials Master'!$C$2:$C$27,MATCH($C672,'Materials Master'!$A$2:$A$27,0)),"")</f>
        <v>Unacceptable</v>
      </c>
      <c r="F672" s="0" t="n">
        <f aca="false">(SUMIFS(Fact_PreSortWeights!$E$2:$E$15,Fact_PreSortWeights!$C$2:$C$15,$A672,Fact_PreSortWeights!$B$2:$B$15,$B672,Fact_PreSortWeights!$F$2:$F$15,$C672))+(SUMIFS(Fact_SortedWeights!$E$2:$E$6,Fact_SortedWeights!$C$2:$C$6,$A672,Fact_SortedWeights!$B$2:$B$6,$B672,Fact_SortedWeights!$D$2:$D$6,$C672,Fact_SortedWeights!$L$2:$L$6,"Yes"))+IF((SUMIFS(Fact_SortedWeights!$E$2:$E$6,Fact_SortedWeights!$C$2:$C$6,$A672,Fact_SortedWeights!$B$2:$B$6,$B672,Fact_SortedWeights!$L$2:$L$6,"No"))=0,0,(SUMIFS(Fact_SortedWeights!$E$2:$E$6,Fact_SortedWeights!$C$2:$C$6,$A672,Fact_SortedWeights!$B$2:$B$6,$B672,Fact_SortedWeights!$D$2:$D$6,$C672,Fact_SortedWeights!$L$2:$L$6,"No"))/(SUMIFS(Fact_SortedWeights!$E$2:$E$6,Fact_SortedWeights!$C$2:$C$6,$A672,Fact_SortedWeights!$B$2:$B$6,$B672,Fact_SortedWeights!$L$2:$L$6,"No"))*((SUMIFS(Fact_PreSortWeights!$E$2:$E$15,Fact_PreSortWeights!$C$2:$C$15,$A672,Fact_PreSortWeights!$B$2:$B$15,$B672,Fact_PreSortWeights!$F$2:$F$15,""))-(SUMIFS(Fact_SortedWeights!$E$2:$E$6,Fact_SortedWeights!$C$2:$C$6,$A672,Fact_SortedWeights!$B$2:$B$6,$B672,Fact_SortedWeights!$L$2:$L$6,"Yes"))))</f>
        <v>0</v>
      </c>
      <c r="G672" s="0" t="n">
        <f aca="false">IF(AND(IF($B672="Trash",INDEX('Materials Master'!$F$2:$F$27,MATCH($C672,'Materials Master'!$A$2:$A$27,0)),IF($B672="GMPC Recycling",INDEX('Materials Master'!$G$2:$G$27,MATCH($C672,'Materials Master'!$A$2:$A$27,0)),IF($B672="Organics Recycling",INDEX('Materials Master'!$H$2:$H$27,MATCH($C672,'Materials Master'!$A$2:$A$27,0)),IF($B672="Cardboard Recycling",INDEX('Materials Master'!$I$2:$I$27,MATCH($C672,'Materials Master'!$A$2:$A$27,0)),IF($B672="Paper Recycling",INDEX('Materials Master'!$J$2:$J$27,MATCH($C672,'Materials Master'!$A$2:$A$27,0)),IF($B672="Terracycle",INDEX('Materials Master'!$K$2:$K$27,MATCH($C672,'Materials Master'!$A$2:$A$27,0)),"No"))))))="Yes",INDEX('Materials Master'!$E$2:$E$27,MATCH($C672,'Materials Master'!$A$2:$A$27,0))="Yes",$B672&lt;&gt;"Trash"),1,0)</f>
        <v>0</v>
      </c>
      <c r="H672" s="0" t="str">
        <f aca="false">INDEX('Materials Master'!$E$2:$E$27,MATCH($C672,'Materials Master'!$A$2:$A$27,0))</f>
        <v>No</v>
      </c>
      <c r="I672" s="0" t="str">
        <f aca="false">IFERROR(INDEX(Areas!$C$2:$C$6,MATCH($A672,Areas!$B$2:$B$6,0)),"")</f>
        <v>Rest of Building</v>
      </c>
      <c r="J672" s="0" t="n">
        <f aca="false">IF(IF($B672="Trash",INDEX('Materials Master'!$F$2:$F$27,MATCH($C672,'Materials Master'!$A$2:$A$27,0)),IF($B672="GMPC Recycling",INDEX('Materials Master'!$G$2:$G$27,MATCH($C672,'Materials Master'!$A$2:$A$27,0)),IF($B672="Organics Recycling",INDEX('Materials Master'!$H$2:$H$27,MATCH($C672,'Materials Master'!$A$2:$A$27,0)),IF($B672="Cardboard Recycling",INDEX('Materials Master'!$I$2:$I$27,MATCH($C672,'Materials Master'!$A$2:$A$27,0)),IF($B672="Paper Recycling",INDEX('Materials Master'!$J$2:$J$27,MATCH($C672,'Materials Master'!$A$2:$A$27,0)),IF($B672="Terracycle",INDEX('Materials Master'!$K$2:$K$27,MATCH($C672,'Materials Master'!$A$2:$A$27,0)),"No"))))))="Yes",1,0)</f>
        <v>0</v>
      </c>
    </row>
    <row r="673" customFormat="false" ht="15" hidden="false" customHeight="false" outlineLevel="0" collapsed="false">
      <c r="A673" s="0" t="s">
        <v>100</v>
      </c>
      <c r="B673" s="0" t="s">
        <v>104</v>
      </c>
      <c r="C673" s="0" t="s">
        <v>76</v>
      </c>
      <c r="D673" s="0" t="str">
        <f aca="false">IFERROR(INDEX('Materials Master'!$B$2:$B$27,MATCH($C673,'Materials Master'!$A$2:$A$27,0)),"")</f>
        <v>Textiles</v>
      </c>
      <c r="E673" s="0" t="str">
        <f aca="false">IFERROR(INDEX('Materials Master'!$C$2:$C$27,MATCH($C673,'Materials Master'!$A$2:$A$27,0)),"")</f>
        <v>Unacceptable</v>
      </c>
      <c r="F673" s="0" t="n">
        <f aca="false">(SUMIFS(Fact_PreSortWeights!$E$2:$E$15,Fact_PreSortWeights!$C$2:$C$15,$A673,Fact_PreSortWeights!$B$2:$B$15,$B673,Fact_PreSortWeights!$F$2:$F$15,$C673))+(SUMIFS(Fact_SortedWeights!$E$2:$E$6,Fact_SortedWeights!$C$2:$C$6,$A673,Fact_SortedWeights!$B$2:$B$6,$B673,Fact_SortedWeights!$D$2:$D$6,$C673,Fact_SortedWeights!$L$2:$L$6,"Yes"))+IF((SUMIFS(Fact_SortedWeights!$E$2:$E$6,Fact_SortedWeights!$C$2:$C$6,$A673,Fact_SortedWeights!$B$2:$B$6,$B673,Fact_SortedWeights!$L$2:$L$6,"No"))=0,0,(SUMIFS(Fact_SortedWeights!$E$2:$E$6,Fact_SortedWeights!$C$2:$C$6,$A673,Fact_SortedWeights!$B$2:$B$6,$B673,Fact_SortedWeights!$D$2:$D$6,$C673,Fact_SortedWeights!$L$2:$L$6,"No"))/(SUMIFS(Fact_SortedWeights!$E$2:$E$6,Fact_SortedWeights!$C$2:$C$6,$A673,Fact_SortedWeights!$B$2:$B$6,$B673,Fact_SortedWeights!$L$2:$L$6,"No"))*((SUMIFS(Fact_PreSortWeights!$E$2:$E$15,Fact_PreSortWeights!$C$2:$C$15,$A673,Fact_PreSortWeights!$B$2:$B$15,$B673,Fact_PreSortWeights!$F$2:$F$15,""))-(SUMIFS(Fact_SortedWeights!$E$2:$E$6,Fact_SortedWeights!$C$2:$C$6,$A673,Fact_SortedWeights!$B$2:$B$6,$B673,Fact_SortedWeights!$L$2:$L$6,"Yes"))))</f>
        <v>0</v>
      </c>
      <c r="G673" s="0" t="n">
        <f aca="false">IF(AND(IF($B673="Trash",INDEX('Materials Master'!$F$2:$F$27,MATCH($C673,'Materials Master'!$A$2:$A$27,0)),IF($B673="GMPC Recycling",INDEX('Materials Master'!$G$2:$G$27,MATCH($C673,'Materials Master'!$A$2:$A$27,0)),IF($B673="Organics Recycling",INDEX('Materials Master'!$H$2:$H$27,MATCH($C673,'Materials Master'!$A$2:$A$27,0)),IF($B673="Cardboard Recycling",INDEX('Materials Master'!$I$2:$I$27,MATCH($C673,'Materials Master'!$A$2:$A$27,0)),IF($B673="Paper Recycling",INDEX('Materials Master'!$J$2:$J$27,MATCH($C673,'Materials Master'!$A$2:$A$27,0)),IF($B673="Terracycle",INDEX('Materials Master'!$K$2:$K$27,MATCH($C673,'Materials Master'!$A$2:$A$27,0)),"No"))))))="Yes",INDEX('Materials Master'!$E$2:$E$27,MATCH($C673,'Materials Master'!$A$2:$A$27,0))="Yes",$B673&lt;&gt;"Trash"),1,0)</f>
        <v>0</v>
      </c>
      <c r="H673" s="0" t="str">
        <f aca="false">INDEX('Materials Master'!$E$2:$E$27,MATCH($C673,'Materials Master'!$A$2:$A$27,0))</f>
        <v>No</v>
      </c>
      <c r="I673" s="0" t="str">
        <f aca="false">IFERROR(INDEX(Areas!$C$2:$C$6,MATCH($A673,Areas!$B$2:$B$6,0)),"")</f>
        <v>Rest of Building</v>
      </c>
      <c r="J673" s="0" t="n">
        <f aca="false">IF(IF($B673="Trash",INDEX('Materials Master'!$F$2:$F$27,MATCH($C673,'Materials Master'!$A$2:$A$27,0)),IF($B673="GMPC Recycling",INDEX('Materials Master'!$G$2:$G$27,MATCH($C673,'Materials Master'!$A$2:$A$27,0)),IF($B673="Organics Recycling",INDEX('Materials Master'!$H$2:$H$27,MATCH($C673,'Materials Master'!$A$2:$A$27,0)),IF($B673="Cardboard Recycling",INDEX('Materials Master'!$I$2:$I$27,MATCH($C673,'Materials Master'!$A$2:$A$27,0)),IF($B673="Paper Recycling",INDEX('Materials Master'!$J$2:$J$27,MATCH($C673,'Materials Master'!$A$2:$A$27,0)),IF($B673="Terracycle",INDEX('Materials Master'!$K$2:$K$27,MATCH($C673,'Materials Master'!$A$2:$A$27,0)),"No"))))))="Yes",1,0)</f>
        <v>0</v>
      </c>
    </row>
    <row r="674" customFormat="false" ht="15" hidden="false" customHeight="false" outlineLevel="0" collapsed="false">
      <c r="A674" s="0" t="s">
        <v>100</v>
      </c>
      <c r="B674" s="0" t="s">
        <v>104</v>
      </c>
      <c r="C674" s="0" t="s">
        <v>78</v>
      </c>
      <c r="D674" s="0" t="str">
        <f aca="false">IFERROR(INDEX('Materials Master'!$B$2:$B$27,MATCH($C674,'Materials Master'!$A$2:$A$27,0)),"")</f>
        <v>Other Unacceptable (specify)</v>
      </c>
      <c r="E674" s="0" t="str">
        <f aca="false">IFERROR(INDEX('Materials Master'!$C$2:$C$27,MATCH($C674,'Materials Master'!$A$2:$A$27,0)),"")</f>
        <v>Unacceptable</v>
      </c>
      <c r="F674" s="0" t="n">
        <f aca="false">(SUMIFS(Fact_PreSortWeights!$E$2:$E$15,Fact_PreSortWeights!$C$2:$C$15,$A674,Fact_PreSortWeights!$B$2:$B$15,$B674,Fact_PreSortWeights!$F$2:$F$15,$C674))+(SUMIFS(Fact_SortedWeights!$E$2:$E$6,Fact_SortedWeights!$C$2:$C$6,$A674,Fact_SortedWeights!$B$2:$B$6,$B674,Fact_SortedWeights!$D$2:$D$6,$C674,Fact_SortedWeights!$L$2:$L$6,"Yes"))+IF((SUMIFS(Fact_SortedWeights!$E$2:$E$6,Fact_SortedWeights!$C$2:$C$6,$A674,Fact_SortedWeights!$B$2:$B$6,$B674,Fact_SortedWeights!$L$2:$L$6,"No"))=0,0,(SUMIFS(Fact_SortedWeights!$E$2:$E$6,Fact_SortedWeights!$C$2:$C$6,$A674,Fact_SortedWeights!$B$2:$B$6,$B674,Fact_SortedWeights!$D$2:$D$6,$C674,Fact_SortedWeights!$L$2:$L$6,"No"))/(SUMIFS(Fact_SortedWeights!$E$2:$E$6,Fact_SortedWeights!$C$2:$C$6,$A674,Fact_SortedWeights!$B$2:$B$6,$B674,Fact_SortedWeights!$L$2:$L$6,"No"))*((SUMIFS(Fact_PreSortWeights!$E$2:$E$15,Fact_PreSortWeights!$C$2:$C$15,$A674,Fact_PreSortWeights!$B$2:$B$15,$B674,Fact_PreSortWeights!$F$2:$F$15,""))-(SUMIFS(Fact_SortedWeights!$E$2:$E$6,Fact_SortedWeights!$C$2:$C$6,$A674,Fact_SortedWeights!$B$2:$B$6,$B674,Fact_SortedWeights!$L$2:$L$6,"Yes"))))</f>
        <v>0</v>
      </c>
      <c r="G674" s="0" t="n">
        <f aca="false">IF(AND(IF($B674="Trash",INDEX('Materials Master'!$F$2:$F$27,MATCH($C674,'Materials Master'!$A$2:$A$27,0)),IF($B674="GMPC Recycling",INDEX('Materials Master'!$G$2:$G$27,MATCH($C674,'Materials Master'!$A$2:$A$27,0)),IF($B674="Organics Recycling",INDEX('Materials Master'!$H$2:$H$27,MATCH($C674,'Materials Master'!$A$2:$A$27,0)),IF($B674="Cardboard Recycling",INDEX('Materials Master'!$I$2:$I$27,MATCH($C674,'Materials Master'!$A$2:$A$27,0)),IF($B674="Paper Recycling",INDEX('Materials Master'!$J$2:$J$27,MATCH($C674,'Materials Master'!$A$2:$A$27,0)),IF($B674="Terracycle",INDEX('Materials Master'!$K$2:$K$27,MATCH($C674,'Materials Master'!$A$2:$A$27,0)),"No"))))))="Yes",INDEX('Materials Master'!$E$2:$E$27,MATCH($C674,'Materials Master'!$A$2:$A$27,0))="Yes",$B674&lt;&gt;"Trash"),1,0)</f>
        <v>0</v>
      </c>
      <c r="H674" s="0" t="str">
        <f aca="false">INDEX('Materials Master'!$E$2:$E$27,MATCH($C674,'Materials Master'!$A$2:$A$27,0))</f>
        <v>No</v>
      </c>
      <c r="I674" s="0" t="str">
        <f aca="false">IFERROR(INDEX(Areas!$C$2:$C$6,MATCH($A674,Areas!$B$2:$B$6,0)),"")</f>
        <v>Rest of Building</v>
      </c>
      <c r="J674" s="0" t="n">
        <f aca="false">IF(IF($B674="Trash",INDEX('Materials Master'!$F$2:$F$27,MATCH($C674,'Materials Master'!$A$2:$A$27,0)),IF($B674="GMPC Recycling",INDEX('Materials Master'!$G$2:$G$27,MATCH($C674,'Materials Master'!$A$2:$A$27,0)),IF($B674="Organics Recycling",INDEX('Materials Master'!$H$2:$H$27,MATCH($C674,'Materials Master'!$A$2:$A$27,0)),IF($B674="Cardboard Recycling",INDEX('Materials Master'!$I$2:$I$27,MATCH($C674,'Materials Master'!$A$2:$A$27,0)),IF($B674="Paper Recycling",INDEX('Materials Master'!$J$2:$J$27,MATCH($C674,'Materials Master'!$A$2:$A$27,0)),IF($B674="Terracycle",INDEX('Materials Master'!$K$2:$K$27,MATCH($C674,'Materials Master'!$A$2:$A$27,0)),"No"))))))="Yes",1,0)</f>
        <v>0</v>
      </c>
    </row>
    <row r="675" customFormat="false" ht="15" hidden="false" customHeight="false" outlineLevel="0" collapsed="false">
      <c r="A675" s="0" t="s">
        <v>100</v>
      </c>
      <c r="B675" s="0" t="s">
        <v>104</v>
      </c>
      <c r="C675" s="0" t="s">
        <v>80</v>
      </c>
      <c r="D675" s="0" t="str">
        <f aca="false">IFERROR(INDEX('Materials Master'!$B$2:$B$27,MATCH($C675,'Materials Master'!$A$2:$A$27,0)),"")</f>
        <v>Liquids</v>
      </c>
      <c r="E675" s="0" t="str">
        <f aca="false">IFERROR(INDEX('Materials Master'!$C$2:$C$27,MATCH($C675,'Materials Master'!$A$2:$A$27,0)),"")</f>
        <v>Unacceptable</v>
      </c>
      <c r="F675" s="0" t="n">
        <f aca="false">(SUMIFS(Fact_PreSortWeights!$E$2:$E$15,Fact_PreSortWeights!$C$2:$C$15,$A675,Fact_PreSortWeights!$B$2:$B$15,$B675,Fact_PreSortWeights!$F$2:$F$15,$C675))+(SUMIFS(Fact_SortedWeights!$E$2:$E$6,Fact_SortedWeights!$C$2:$C$6,$A675,Fact_SortedWeights!$B$2:$B$6,$B675,Fact_SortedWeights!$D$2:$D$6,$C675,Fact_SortedWeights!$L$2:$L$6,"Yes"))+IF((SUMIFS(Fact_SortedWeights!$E$2:$E$6,Fact_SortedWeights!$C$2:$C$6,$A675,Fact_SortedWeights!$B$2:$B$6,$B675,Fact_SortedWeights!$L$2:$L$6,"No"))=0,0,(SUMIFS(Fact_SortedWeights!$E$2:$E$6,Fact_SortedWeights!$C$2:$C$6,$A675,Fact_SortedWeights!$B$2:$B$6,$B675,Fact_SortedWeights!$D$2:$D$6,$C675,Fact_SortedWeights!$L$2:$L$6,"No"))/(SUMIFS(Fact_SortedWeights!$E$2:$E$6,Fact_SortedWeights!$C$2:$C$6,$A675,Fact_SortedWeights!$B$2:$B$6,$B675,Fact_SortedWeights!$L$2:$L$6,"No"))*((SUMIFS(Fact_PreSortWeights!$E$2:$E$15,Fact_PreSortWeights!$C$2:$C$15,$A675,Fact_PreSortWeights!$B$2:$B$15,$B675,Fact_PreSortWeights!$F$2:$F$15,""))-(SUMIFS(Fact_SortedWeights!$E$2:$E$6,Fact_SortedWeights!$C$2:$C$6,$A675,Fact_SortedWeights!$B$2:$B$6,$B675,Fact_SortedWeights!$L$2:$L$6,"Yes"))))</f>
        <v>0</v>
      </c>
      <c r="G675" s="0" t="n">
        <f aca="false">IF(AND(IF($B675="Trash",INDEX('Materials Master'!$F$2:$F$27,MATCH($C675,'Materials Master'!$A$2:$A$27,0)),IF($B675="GMPC Recycling",INDEX('Materials Master'!$G$2:$G$27,MATCH($C675,'Materials Master'!$A$2:$A$27,0)),IF($B675="Organics Recycling",INDEX('Materials Master'!$H$2:$H$27,MATCH($C675,'Materials Master'!$A$2:$A$27,0)),IF($B675="Cardboard Recycling",INDEX('Materials Master'!$I$2:$I$27,MATCH($C675,'Materials Master'!$A$2:$A$27,0)),IF($B675="Paper Recycling",INDEX('Materials Master'!$J$2:$J$27,MATCH($C675,'Materials Master'!$A$2:$A$27,0)),IF($B675="Terracycle",INDEX('Materials Master'!$K$2:$K$27,MATCH($C675,'Materials Master'!$A$2:$A$27,0)),"No"))))))="Yes",INDEX('Materials Master'!$E$2:$E$27,MATCH($C675,'Materials Master'!$A$2:$A$27,0))="Yes",$B675&lt;&gt;"Trash"),1,0)</f>
        <v>0</v>
      </c>
      <c r="H675" s="0" t="str">
        <f aca="false">INDEX('Materials Master'!$E$2:$E$27,MATCH($C675,'Materials Master'!$A$2:$A$27,0))</f>
        <v>No</v>
      </c>
      <c r="I675" s="0" t="str">
        <f aca="false">IFERROR(INDEX(Areas!$C$2:$C$6,MATCH($A675,Areas!$B$2:$B$6,0)),"")</f>
        <v>Rest of Building</v>
      </c>
      <c r="J675" s="0" t="n">
        <f aca="false">IF(IF($B675="Trash",INDEX('Materials Master'!$F$2:$F$27,MATCH($C675,'Materials Master'!$A$2:$A$27,0)),IF($B675="GMPC Recycling",INDEX('Materials Master'!$G$2:$G$27,MATCH($C675,'Materials Master'!$A$2:$A$27,0)),IF($B675="Organics Recycling",INDEX('Materials Master'!$H$2:$H$27,MATCH($C675,'Materials Master'!$A$2:$A$27,0)),IF($B675="Cardboard Recycling",INDEX('Materials Master'!$I$2:$I$27,MATCH($C675,'Materials Master'!$A$2:$A$27,0)),IF($B675="Paper Recycling",INDEX('Materials Master'!$J$2:$J$27,MATCH($C675,'Materials Master'!$A$2:$A$27,0)),IF($B675="Terracycle",INDEX('Materials Master'!$K$2:$K$27,MATCH($C675,'Materials Master'!$A$2:$A$27,0)),"No"))))))="Yes",1,0)</f>
        <v>0</v>
      </c>
    </row>
    <row r="676" customFormat="false" ht="15" hidden="false" customHeight="false" outlineLevel="0" collapsed="false">
      <c r="A676" s="0" t="s">
        <v>100</v>
      </c>
      <c r="B676" s="0" t="s">
        <v>104</v>
      </c>
      <c r="C676" s="0" t="s">
        <v>82</v>
      </c>
      <c r="D676" s="0" t="str">
        <f aca="false">IFERROR(INDEX('Materials Master'!$B$2:$B$27,MATCH($C676,'Materials Master'!$A$2:$A$27,0)),"")</f>
        <v>Snack Wrappers (Composites)</v>
      </c>
      <c r="E676" s="0" t="str">
        <f aca="false">IFERROR(INDEX('Materials Master'!$C$2:$C$27,MATCH($C676,'Materials Master'!$A$2:$A$27,0)),"")</f>
        <v>Other</v>
      </c>
      <c r="F676" s="0" t="n">
        <f aca="false">(SUMIFS(Fact_PreSortWeights!$E$2:$E$15,Fact_PreSortWeights!$C$2:$C$15,$A676,Fact_PreSortWeights!$B$2:$B$15,$B676,Fact_PreSortWeights!$F$2:$F$15,$C676))+(SUMIFS(Fact_SortedWeights!$E$2:$E$6,Fact_SortedWeights!$C$2:$C$6,$A676,Fact_SortedWeights!$B$2:$B$6,$B676,Fact_SortedWeights!$D$2:$D$6,$C676,Fact_SortedWeights!$L$2:$L$6,"Yes"))+IF((SUMIFS(Fact_SortedWeights!$E$2:$E$6,Fact_SortedWeights!$C$2:$C$6,$A676,Fact_SortedWeights!$B$2:$B$6,$B676,Fact_SortedWeights!$L$2:$L$6,"No"))=0,0,(SUMIFS(Fact_SortedWeights!$E$2:$E$6,Fact_SortedWeights!$C$2:$C$6,$A676,Fact_SortedWeights!$B$2:$B$6,$B676,Fact_SortedWeights!$D$2:$D$6,$C676,Fact_SortedWeights!$L$2:$L$6,"No"))/(SUMIFS(Fact_SortedWeights!$E$2:$E$6,Fact_SortedWeights!$C$2:$C$6,$A676,Fact_SortedWeights!$B$2:$B$6,$B676,Fact_SortedWeights!$L$2:$L$6,"No"))*((SUMIFS(Fact_PreSortWeights!$E$2:$E$15,Fact_PreSortWeights!$C$2:$C$15,$A676,Fact_PreSortWeights!$B$2:$B$15,$B676,Fact_PreSortWeights!$F$2:$F$15,""))-(SUMIFS(Fact_SortedWeights!$E$2:$E$6,Fact_SortedWeights!$C$2:$C$6,$A676,Fact_SortedWeights!$B$2:$B$6,$B676,Fact_SortedWeights!$L$2:$L$6,"Yes"))))</f>
        <v>0</v>
      </c>
      <c r="G676" s="0" t="n">
        <f aca="false">IF(AND(IF($B676="Trash",INDEX('Materials Master'!$F$2:$F$27,MATCH($C676,'Materials Master'!$A$2:$A$27,0)),IF($B676="GMPC Recycling",INDEX('Materials Master'!$G$2:$G$27,MATCH($C676,'Materials Master'!$A$2:$A$27,0)),IF($B676="Organics Recycling",INDEX('Materials Master'!$H$2:$H$27,MATCH($C676,'Materials Master'!$A$2:$A$27,0)),IF($B676="Cardboard Recycling",INDEX('Materials Master'!$I$2:$I$27,MATCH($C676,'Materials Master'!$A$2:$A$27,0)),IF($B676="Paper Recycling",INDEX('Materials Master'!$J$2:$J$27,MATCH($C676,'Materials Master'!$A$2:$A$27,0)),IF($B676="Terracycle",INDEX('Materials Master'!$K$2:$K$27,MATCH($C676,'Materials Master'!$A$2:$A$27,0)),"No"))))))="Yes",INDEX('Materials Master'!$E$2:$E$27,MATCH($C676,'Materials Master'!$A$2:$A$27,0))="Yes",$B676&lt;&gt;"Trash"),1,0)</f>
        <v>0</v>
      </c>
      <c r="H676" s="0" t="str">
        <f aca="false">INDEX('Materials Master'!$E$2:$E$27,MATCH($C676,'Materials Master'!$A$2:$A$27,0))</f>
        <v>Yes</v>
      </c>
      <c r="I676" s="0" t="str">
        <f aca="false">IFERROR(INDEX(Areas!$C$2:$C$6,MATCH($A676,Areas!$B$2:$B$6,0)),"")</f>
        <v>Rest of Building</v>
      </c>
      <c r="J676" s="0" t="n">
        <f aca="false">IF(IF($B676="Trash",INDEX('Materials Master'!$F$2:$F$27,MATCH($C676,'Materials Master'!$A$2:$A$27,0)),IF($B676="GMPC Recycling",INDEX('Materials Master'!$G$2:$G$27,MATCH($C676,'Materials Master'!$A$2:$A$27,0)),IF($B676="Organics Recycling",INDEX('Materials Master'!$H$2:$H$27,MATCH($C676,'Materials Master'!$A$2:$A$27,0)),IF($B676="Cardboard Recycling",INDEX('Materials Master'!$I$2:$I$27,MATCH($C676,'Materials Master'!$A$2:$A$27,0)),IF($B676="Paper Recycling",INDEX('Materials Master'!$J$2:$J$27,MATCH($C676,'Materials Master'!$A$2:$A$27,0)),IF($B676="Terracycle",INDEX('Materials Master'!$K$2:$K$27,MATCH($C676,'Materials Master'!$A$2:$A$27,0)),"No"))))))="Yes",1,0)</f>
        <v>0</v>
      </c>
    </row>
    <row r="677" customFormat="false" ht="15" hidden="false" customHeight="false" outlineLevel="0" collapsed="false">
      <c r="A677" s="0" t="s">
        <v>100</v>
      </c>
      <c r="B677" s="0" t="s">
        <v>104</v>
      </c>
      <c r="C677" s="0" t="s">
        <v>85</v>
      </c>
      <c r="D677" s="0" t="str">
        <f aca="false">IFERROR(INDEX('Materials Master'!$B$2:$B$27,MATCH($C677,'Materials Master'!$A$2:$A$27,0)),"")</f>
        <v>Other/Residual Materials</v>
      </c>
      <c r="E677" s="0" t="str">
        <f aca="false">IFERROR(INDEX('Materials Master'!$C$2:$C$27,MATCH($C677,'Materials Master'!$A$2:$A$27,0)),"")</f>
        <v>Other</v>
      </c>
      <c r="F677" s="0" t="n">
        <f aca="false">(SUMIFS(Fact_PreSortWeights!$E$2:$E$15,Fact_PreSortWeights!$C$2:$C$15,$A677,Fact_PreSortWeights!$B$2:$B$15,$B677,Fact_PreSortWeights!$F$2:$F$15,$C677))+(SUMIFS(Fact_SortedWeights!$E$2:$E$6,Fact_SortedWeights!$C$2:$C$6,$A677,Fact_SortedWeights!$B$2:$B$6,$B677,Fact_SortedWeights!$D$2:$D$6,$C677,Fact_SortedWeights!$L$2:$L$6,"Yes"))+IF((SUMIFS(Fact_SortedWeights!$E$2:$E$6,Fact_SortedWeights!$C$2:$C$6,$A677,Fact_SortedWeights!$B$2:$B$6,$B677,Fact_SortedWeights!$L$2:$L$6,"No"))=0,0,(SUMIFS(Fact_SortedWeights!$E$2:$E$6,Fact_SortedWeights!$C$2:$C$6,$A677,Fact_SortedWeights!$B$2:$B$6,$B677,Fact_SortedWeights!$D$2:$D$6,$C677,Fact_SortedWeights!$L$2:$L$6,"No"))/(SUMIFS(Fact_SortedWeights!$E$2:$E$6,Fact_SortedWeights!$C$2:$C$6,$A677,Fact_SortedWeights!$B$2:$B$6,$B677,Fact_SortedWeights!$L$2:$L$6,"No"))*((SUMIFS(Fact_PreSortWeights!$E$2:$E$15,Fact_PreSortWeights!$C$2:$C$15,$A677,Fact_PreSortWeights!$B$2:$B$15,$B677,Fact_PreSortWeights!$F$2:$F$15,""))-(SUMIFS(Fact_SortedWeights!$E$2:$E$6,Fact_SortedWeights!$C$2:$C$6,$A677,Fact_SortedWeights!$B$2:$B$6,$B677,Fact_SortedWeights!$L$2:$L$6,"Yes"))))</f>
        <v>0</v>
      </c>
      <c r="G677" s="0" t="n">
        <f aca="false">IF(AND(IF($B677="Trash",INDEX('Materials Master'!$F$2:$F$27,MATCH($C677,'Materials Master'!$A$2:$A$27,0)),IF($B677="GMPC Recycling",INDEX('Materials Master'!$G$2:$G$27,MATCH($C677,'Materials Master'!$A$2:$A$27,0)),IF($B677="Organics Recycling",INDEX('Materials Master'!$H$2:$H$27,MATCH($C677,'Materials Master'!$A$2:$A$27,0)),IF($B677="Cardboard Recycling",INDEX('Materials Master'!$I$2:$I$27,MATCH($C677,'Materials Master'!$A$2:$A$27,0)),IF($B677="Paper Recycling",INDEX('Materials Master'!$J$2:$J$27,MATCH($C677,'Materials Master'!$A$2:$A$27,0)),IF($B677="Terracycle",INDEX('Materials Master'!$K$2:$K$27,MATCH($C677,'Materials Master'!$A$2:$A$27,0)),"No"))))))="Yes",INDEX('Materials Master'!$E$2:$E$27,MATCH($C677,'Materials Master'!$A$2:$A$27,0))="Yes",$B677&lt;&gt;"Trash"),1,0)</f>
        <v>0</v>
      </c>
      <c r="H677" s="0" t="str">
        <f aca="false">INDEX('Materials Master'!$E$2:$E$27,MATCH($C677,'Materials Master'!$A$2:$A$27,0))</f>
        <v>No</v>
      </c>
      <c r="I677" s="0" t="str">
        <f aca="false">IFERROR(INDEX(Areas!$C$2:$C$6,MATCH($A677,Areas!$B$2:$B$6,0)),"")</f>
        <v>Rest of Building</v>
      </c>
      <c r="J677" s="0" t="n">
        <f aca="false">IF(IF($B677="Trash",INDEX('Materials Master'!$F$2:$F$27,MATCH($C677,'Materials Master'!$A$2:$A$27,0)),IF($B677="GMPC Recycling",INDEX('Materials Master'!$G$2:$G$27,MATCH($C677,'Materials Master'!$A$2:$A$27,0)),IF($B677="Organics Recycling",INDEX('Materials Master'!$H$2:$H$27,MATCH($C677,'Materials Master'!$A$2:$A$27,0)),IF($B677="Cardboard Recycling",INDEX('Materials Master'!$I$2:$I$27,MATCH($C677,'Materials Master'!$A$2:$A$27,0)),IF($B677="Paper Recycling",INDEX('Materials Master'!$J$2:$J$27,MATCH($C677,'Materials Master'!$A$2:$A$27,0)),IF($B677="Terracycle",INDEX('Materials Master'!$K$2:$K$27,MATCH($C677,'Materials Master'!$A$2:$A$27,0)),"No"))))))="Yes",1,0)</f>
        <v>0</v>
      </c>
    </row>
    <row r="678" customFormat="false" ht="15" hidden="false" customHeight="false" outlineLevel="0" collapsed="false">
      <c r="A678" s="0" t="s">
        <v>100</v>
      </c>
      <c r="B678" s="0" t="s">
        <v>105</v>
      </c>
      <c r="C678" s="0" t="s">
        <v>26</v>
      </c>
      <c r="D678" s="0" t="str">
        <f aca="false">IFERROR(INDEX('Materials Master'!$B$2:$B$27,MATCH($C678,'Materials Master'!$A$2:$A$27,0)),"")</f>
        <v>Corrugated Cardboard</v>
      </c>
      <c r="E678" s="0" t="str">
        <f aca="false">IFERROR(INDEX('Materials Master'!$C$2:$C$27,MATCH($C678,'Materials Master'!$A$2:$A$27,0)),"")</f>
        <v>Fibers</v>
      </c>
      <c r="F678" s="0" t="n">
        <f aca="false">(SUMIFS(Fact_PreSortWeights!$E$2:$E$15,Fact_PreSortWeights!$C$2:$C$15,$A678,Fact_PreSortWeights!$B$2:$B$15,$B678,Fact_PreSortWeights!$F$2:$F$15,$C678))+(SUMIFS(Fact_SortedWeights!$E$2:$E$6,Fact_SortedWeights!$C$2:$C$6,$A678,Fact_SortedWeights!$B$2:$B$6,$B678,Fact_SortedWeights!$D$2:$D$6,$C678,Fact_SortedWeights!$L$2:$L$6,"Yes"))+IF((SUMIFS(Fact_SortedWeights!$E$2:$E$6,Fact_SortedWeights!$C$2:$C$6,$A678,Fact_SortedWeights!$B$2:$B$6,$B678,Fact_SortedWeights!$L$2:$L$6,"No"))=0,0,(SUMIFS(Fact_SortedWeights!$E$2:$E$6,Fact_SortedWeights!$C$2:$C$6,$A678,Fact_SortedWeights!$B$2:$B$6,$B678,Fact_SortedWeights!$D$2:$D$6,$C678,Fact_SortedWeights!$L$2:$L$6,"No"))/(SUMIFS(Fact_SortedWeights!$E$2:$E$6,Fact_SortedWeights!$C$2:$C$6,$A678,Fact_SortedWeights!$B$2:$B$6,$B678,Fact_SortedWeights!$L$2:$L$6,"No"))*((SUMIFS(Fact_PreSortWeights!$E$2:$E$15,Fact_PreSortWeights!$C$2:$C$15,$A678,Fact_PreSortWeights!$B$2:$B$15,$B678,Fact_PreSortWeights!$F$2:$F$15,""))-(SUMIFS(Fact_SortedWeights!$E$2:$E$6,Fact_SortedWeights!$C$2:$C$6,$A678,Fact_SortedWeights!$B$2:$B$6,$B678,Fact_SortedWeights!$L$2:$L$6,"Yes"))))</f>
        <v>0</v>
      </c>
      <c r="G678" s="0" t="n">
        <f aca="false">IF(AND(IF($B678="Trash",INDEX('Materials Master'!$F$2:$F$27,MATCH($C678,'Materials Master'!$A$2:$A$27,0)),IF($B678="GMPC Recycling",INDEX('Materials Master'!$G$2:$G$27,MATCH($C678,'Materials Master'!$A$2:$A$27,0)),IF($B678="Organics Recycling",INDEX('Materials Master'!$H$2:$H$27,MATCH($C678,'Materials Master'!$A$2:$A$27,0)),IF($B678="Cardboard Recycling",INDEX('Materials Master'!$I$2:$I$27,MATCH($C678,'Materials Master'!$A$2:$A$27,0)),IF($B678="Paper Recycling",INDEX('Materials Master'!$J$2:$J$27,MATCH($C678,'Materials Master'!$A$2:$A$27,0)),IF($B678="Terracycle",INDEX('Materials Master'!$K$2:$K$27,MATCH($C678,'Materials Master'!$A$2:$A$27,0)),"No"))))))="Yes",INDEX('Materials Master'!$E$2:$E$27,MATCH($C678,'Materials Master'!$A$2:$A$27,0))="Yes",$B678&lt;&gt;"Trash"),1,0)</f>
        <v>0</v>
      </c>
      <c r="H678" s="0" t="str">
        <f aca="false">INDEX('Materials Master'!$E$2:$E$27,MATCH($C678,'Materials Master'!$A$2:$A$27,0))</f>
        <v>Yes</v>
      </c>
      <c r="I678" s="0" t="str">
        <f aca="false">IFERROR(INDEX(Areas!$C$2:$C$6,MATCH($A678,Areas!$B$2:$B$6,0)),"")</f>
        <v>Rest of Building</v>
      </c>
      <c r="J678" s="0" t="n">
        <f aca="false">IF(IF($B678="Trash",INDEX('Materials Master'!$F$2:$F$27,MATCH($C678,'Materials Master'!$A$2:$A$27,0)),IF($B678="GMPC Recycling",INDEX('Materials Master'!$G$2:$G$27,MATCH($C678,'Materials Master'!$A$2:$A$27,0)),IF($B678="Organics Recycling",INDEX('Materials Master'!$H$2:$H$27,MATCH($C678,'Materials Master'!$A$2:$A$27,0)),IF($B678="Cardboard Recycling",INDEX('Materials Master'!$I$2:$I$27,MATCH($C678,'Materials Master'!$A$2:$A$27,0)),IF($B678="Paper Recycling",INDEX('Materials Master'!$J$2:$J$27,MATCH($C678,'Materials Master'!$A$2:$A$27,0)),IF($B678="Terracycle",INDEX('Materials Master'!$K$2:$K$27,MATCH($C678,'Materials Master'!$A$2:$A$27,0)),"No"))))))="Yes",1,0)</f>
        <v>0</v>
      </c>
    </row>
    <row r="679" customFormat="false" ht="15" hidden="false" customHeight="false" outlineLevel="0" collapsed="false">
      <c r="A679" s="0" t="s">
        <v>100</v>
      </c>
      <c r="B679" s="0" t="s">
        <v>105</v>
      </c>
      <c r="C679" s="0" t="s">
        <v>31</v>
      </c>
      <c r="D679" s="0" t="str">
        <f aca="false">IFERROR(INDEX('Materials Master'!$B$2:$B$27,MATCH($C679,'Materials Master'!$A$2:$A$27,0)),"")</f>
        <v>Soiled Cardboard</v>
      </c>
      <c r="E679" s="0" t="str">
        <f aca="false">IFERROR(INDEX('Materials Master'!$C$2:$C$27,MATCH($C679,'Materials Master'!$A$2:$A$27,0)),"")</f>
        <v>Fibers</v>
      </c>
      <c r="F679" s="0" t="n">
        <f aca="false">(SUMIFS(Fact_PreSortWeights!$E$2:$E$15,Fact_PreSortWeights!$C$2:$C$15,$A679,Fact_PreSortWeights!$B$2:$B$15,$B679,Fact_PreSortWeights!$F$2:$F$15,$C679))+(SUMIFS(Fact_SortedWeights!$E$2:$E$6,Fact_SortedWeights!$C$2:$C$6,$A679,Fact_SortedWeights!$B$2:$B$6,$B679,Fact_SortedWeights!$D$2:$D$6,$C679,Fact_SortedWeights!$L$2:$L$6,"Yes"))+IF((SUMIFS(Fact_SortedWeights!$E$2:$E$6,Fact_SortedWeights!$C$2:$C$6,$A679,Fact_SortedWeights!$B$2:$B$6,$B679,Fact_SortedWeights!$L$2:$L$6,"No"))=0,0,(SUMIFS(Fact_SortedWeights!$E$2:$E$6,Fact_SortedWeights!$C$2:$C$6,$A679,Fact_SortedWeights!$B$2:$B$6,$B679,Fact_SortedWeights!$D$2:$D$6,$C679,Fact_SortedWeights!$L$2:$L$6,"No"))/(SUMIFS(Fact_SortedWeights!$E$2:$E$6,Fact_SortedWeights!$C$2:$C$6,$A679,Fact_SortedWeights!$B$2:$B$6,$B679,Fact_SortedWeights!$L$2:$L$6,"No"))*((SUMIFS(Fact_PreSortWeights!$E$2:$E$15,Fact_PreSortWeights!$C$2:$C$15,$A679,Fact_PreSortWeights!$B$2:$B$15,$B679,Fact_PreSortWeights!$F$2:$F$15,""))-(SUMIFS(Fact_SortedWeights!$E$2:$E$6,Fact_SortedWeights!$C$2:$C$6,$A679,Fact_SortedWeights!$B$2:$B$6,$B679,Fact_SortedWeights!$L$2:$L$6,"Yes"))))</f>
        <v>0</v>
      </c>
      <c r="G679" s="0" t="n">
        <f aca="false">IF(AND(IF($B679="Trash",INDEX('Materials Master'!$F$2:$F$27,MATCH($C679,'Materials Master'!$A$2:$A$27,0)),IF($B679="GMPC Recycling",INDEX('Materials Master'!$G$2:$G$27,MATCH($C679,'Materials Master'!$A$2:$A$27,0)),IF($B679="Organics Recycling",INDEX('Materials Master'!$H$2:$H$27,MATCH($C679,'Materials Master'!$A$2:$A$27,0)),IF($B679="Cardboard Recycling",INDEX('Materials Master'!$I$2:$I$27,MATCH($C679,'Materials Master'!$A$2:$A$27,0)),IF($B679="Paper Recycling",INDEX('Materials Master'!$J$2:$J$27,MATCH($C679,'Materials Master'!$A$2:$A$27,0)),IF($B679="Terracycle",INDEX('Materials Master'!$K$2:$K$27,MATCH($C679,'Materials Master'!$A$2:$A$27,0)),"No"))))))="Yes",INDEX('Materials Master'!$E$2:$E$27,MATCH($C679,'Materials Master'!$A$2:$A$27,0))="Yes",$B679&lt;&gt;"Trash"),1,0)</f>
        <v>0</v>
      </c>
      <c r="H679" s="0" t="str">
        <f aca="false">INDEX('Materials Master'!$E$2:$E$27,MATCH($C679,'Materials Master'!$A$2:$A$27,0))</f>
        <v>No</v>
      </c>
      <c r="I679" s="0" t="str">
        <f aca="false">IFERROR(INDEX(Areas!$C$2:$C$6,MATCH($A679,Areas!$B$2:$B$6,0)),"")</f>
        <v>Rest of Building</v>
      </c>
      <c r="J679" s="0" t="n">
        <f aca="false">IF(IF($B679="Trash",INDEX('Materials Master'!$F$2:$F$27,MATCH($C679,'Materials Master'!$A$2:$A$27,0)),IF($B679="GMPC Recycling",INDEX('Materials Master'!$G$2:$G$27,MATCH($C679,'Materials Master'!$A$2:$A$27,0)),IF($B679="Organics Recycling",INDEX('Materials Master'!$H$2:$H$27,MATCH($C679,'Materials Master'!$A$2:$A$27,0)),IF($B679="Cardboard Recycling",INDEX('Materials Master'!$I$2:$I$27,MATCH($C679,'Materials Master'!$A$2:$A$27,0)),IF($B679="Paper Recycling",INDEX('Materials Master'!$J$2:$J$27,MATCH($C679,'Materials Master'!$A$2:$A$27,0)),IF($B679="Terracycle",INDEX('Materials Master'!$K$2:$K$27,MATCH($C679,'Materials Master'!$A$2:$A$27,0)),"No"))))))="Yes",1,0)</f>
        <v>0</v>
      </c>
    </row>
    <row r="680" customFormat="false" ht="15" hidden="false" customHeight="false" outlineLevel="0" collapsed="false">
      <c r="A680" s="0" t="s">
        <v>100</v>
      </c>
      <c r="B680" s="0" t="s">
        <v>105</v>
      </c>
      <c r="C680" s="0" t="s">
        <v>33</v>
      </c>
      <c r="D680" s="0" t="str">
        <f aca="false">IFERROR(INDEX('Materials Master'!$B$2:$B$27,MATCH($C680,'Materials Master'!$A$2:$A$27,0)),"")</f>
        <v>Waxed Cardboard</v>
      </c>
      <c r="E680" s="0" t="str">
        <f aca="false">IFERROR(INDEX('Materials Master'!$C$2:$C$27,MATCH($C680,'Materials Master'!$A$2:$A$27,0)),"")</f>
        <v>Fibers</v>
      </c>
      <c r="F680" s="0" t="n">
        <f aca="false">(SUMIFS(Fact_PreSortWeights!$E$2:$E$15,Fact_PreSortWeights!$C$2:$C$15,$A680,Fact_PreSortWeights!$B$2:$B$15,$B680,Fact_PreSortWeights!$F$2:$F$15,$C680))+(SUMIFS(Fact_SortedWeights!$E$2:$E$6,Fact_SortedWeights!$C$2:$C$6,$A680,Fact_SortedWeights!$B$2:$B$6,$B680,Fact_SortedWeights!$D$2:$D$6,$C680,Fact_SortedWeights!$L$2:$L$6,"Yes"))+IF((SUMIFS(Fact_SortedWeights!$E$2:$E$6,Fact_SortedWeights!$C$2:$C$6,$A680,Fact_SortedWeights!$B$2:$B$6,$B680,Fact_SortedWeights!$L$2:$L$6,"No"))=0,0,(SUMIFS(Fact_SortedWeights!$E$2:$E$6,Fact_SortedWeights!$C$2:$C$6,$A680,Fact_SortedWeights!$B$2:$B$6,$B680,Fact_SortedWeights!$D$2:$D$6,$C680,Fact_SortedWeights!$L$2:$L$6,"No"))/(SUMIFS(Fact_SortedWeights!$E$2:$E$6,Fact_SortedWeights!$C$2:$C$6,$A680,Fact_SortedWeights!$B$2:$B$6,$B680,Fact_SortedWeights!$L$2:$L$6,"No"))*((SUMIFS(Fact_PreSortWeights!$E$2:$E$15,Fact_PreSortWeights!$C$2:$C$15,$A680,Fact_PreSortWeights!$B$2:$B$15,$B680,Fact_PreSortWeights!$F$2:$F$15,""))-(SUMIFS(Fact_SortedWeights!$E$2:$E$6,Fact_SortedWeights!$C$2:$C$6,$A680,Fact_SortedWeights!$B$2:$B$6,$B680,Fact_SortedWeights!$L$2:$L$6,"Yes"))))</f>
        <v>0</v>
      </c>
      <c r="G680" s="0" t="n">
        <f aca="false">IF(AND(IF($B680="Trash",INDEX('Materials Master'!$F$2:$F$27,MATCH($C680,'Materials Master'!$A$2:$A$27,0)),IF($B680="GMPC Recycling",INDEX('Materials Master'!$G$2:$G$27,MATCH($C680,'Materials Master'!$A$2:$A$27,0)),IF($B680="Organics Recycling",INDEX('Materials Master'!$H$2:$H$27,MATCH($C680,'Materials Master'!$A$2:$A$27,0)),IF($B680="Cardboard Recycling",INDEX('Materials Master'!$I$2:$I$27,MATCH($C680,'Materials Master'!$A$2:$A$27,0)),IF($B680="Paper Recycling",INDEX('Materials Master'!$J$2:$J$27,MATCH($C680,'Materials Master'!$A$2:$A$27,0)),IF($B680="Terracycle",INDEX('Materials Master'!$K$2:$K$27,MATCH($C680,'Materials Master'!$A$2:$A$27,0)),"No"))))))="Yes",INDEX('Materials Master'!$E$2:$E$27,MATCH($C680,'Materials Master'!$A$2:$A$27,0))="Yes",$B680&lt;&gt;"Trash"),1,0)</f>
        <v>0</v>
      </c>
      <c r="H680" s="0" t="str">
        <f aca="false">INDEX('Materials Master'!$E$2:$E$27,MATCH($C680,'Materials Master'!$A$2:$A$27,0))</f>
        <v>No</v>
      </c>
      <c r="I680" s="0" t="str">
        <f aca="false">IFERROR(INDEX(Areas!$C$2:$C$6,MATCH($A680,Areas!$B$2:$B$6,0)),"")</f>
        <v>Rest of Building</v>
      </c>
      <c r="J680" s="0" t="n">
        <f aca="false">IF(IF($B680="Trash",INDEX('Materials Master'!$F$2:$F$27,MATCH($C680,'Materials Master'!$A$2:$A$27,0)),IF($B680="GMPC Recycling",INDEX('Materials Master'!$G$2:$G$27,MATCH($C680,'Materials Master'!$A$2:$A$27,0)),IF($B680="Organics Recycling",INDEX('Materials Master'!$H$2:$H$27,MATCH($C680,'Materials Master'!$A$2:$A$27,0)),IF($B680="Cardboard Recycling",INDEX('Materials Master'!$I$2:$I$27,MATCH($C680,'Materials Master'!$A$2:$A$27,0)),IF($B680="Paper Recycling",INDEX('Materials Master'!$J$2:$J$27,MATCH($C680,'Materials Master'!$A$2:$A$27,0)),IF($B680="Terracycle",INDEX('Materials Master'!$K$2:$K$27,MATCH($C680,'Materials Master'!$A$2:$A$27,0)),"No"))))))="Yes",1,0)</f>
        <v>0</v>
      </c>
    </row>
    <row r="681" customFormat="false" ht="15" hidden="false" customHeight="false" outlineLevel="0" collapsed="false">
      <c r="A681" s="0" t="s">
        <v>100</v>
      </c>
      <c r="B681" s="0" t="s">
        <v>105</v>
      </c>
      <c r="C681" s="0" t="s">
        <v>35</v>
      </c>
      <c r="D681" s="0" t="str">
        <f aca="false">IFERROR(INDEX('Materials Master'!$B$2:$B$27,MATCH($C681,'Materials Master'!$A$2:$A$27,0)),"")</f>
        <v>Mixed Paper</v>
      </c>
      <c r="E681" s="0" t="str">
        <f aca="false">IFERROR(INDEX('Materials Master'!$C$2:$C$27,MATCH($C681,'Materials Master'!$A$2:$A$27,0)),"")</f>
        <v>Fibers</v>
      </c>
      <c r="F681" s="0" t="n">
        <f aca="false">(SUMIFS(Fact_PreSortWeights!$E$2:$E$15,Fact_PreSortWeights!$C$2:$C$15,$A681,Fact_PreSortWeights!$B$2:$B$15,$B681,Fact_PreSortWeights!$F$2:$F$15,$C681))+(SUMIFS(Fact_SortedWeights!$E$2:$E$6,Fact_SortedWeights!$C$2:$C$6,$A681,Fact_SortedWeights!$B$2:$B$6,$B681,Fact_SortedWeights!$D$2:$D$6,$C681,Fact_SortedWeights!$L$2:$L$6,"Yes"))+IF((SUMIFS(Fact_SortedWeights!$E$2:$E$6,Fact_SortedWeights!$C$2:$C$6,$A681,Fact_SortedWeights!$B$2:$B$6,$B681,Fact_SortedWeights!$L$2:$L$6,"No"))=0,0,(SUMIFS(Fact_SortedWeights!$E$2:$E$6,Fact_SortedWeights!$C$2:$C$6,$A681,Fact_SortedWeights!$B$2:$B$6,$B681,Fact_SortedWeights!$D$2:$D$6,$C681,Fact_SortedWeights!$L$2:$L$6,"No"))/(SUMIFS(Fact_SortedWeights!$E$2:$E$6,Fact_SortedWeights!$C$2:$C$6,$A681,Fact_SortedWeights!$B$2:$B$6,$B681,Fact_SortedWeights!$L$2:$L$6,"No"))*((SUMIFS(Fact_PreSortWeights!$E$2:$E$15,Fact_PreSortWeights!$C$2:$C$15,$A681,Fact_PreSortWeights!$B$2:$B$15,$B681,Fact_PreSortWeights!$F$2:$F$15,""))-(SUMIFS(Fact_SortedWeights!$E$2:$E$6,Fact_SortedWeights!$C$2:$C$6,$A681,Fact_SortedWeights!$B$2:$B$6,$B681,Fact_SortedWeights!$L$2:$L$6,"Yes"))))</f>
        <v>0</v>
      </c>
      <c r="G681" s="0" t="n">
        <f aca="false">IF(AND(IF($B681="Trash",INDEX('Materials Master'!$F$2:$F$27,MATCH($C681,'Materials Master'!$A$2:$A$27,0)),IF($B681="GMPC Recycling",INDEX('Materials Master'!$G$2:$G$27,MATCH($C681,'Materials Master'!$A$2:$A$27,0)),IF($B681="Organics Recycling",INDEX('Materials Master'!$H$2:$H$27,MATCH($C681,'Materials Master'!$A$2:$A$27,0)),IF($B681="Cardboard Recycling",INDEX('Materials Master'!$I$2:$I$27,MATCH($C681,'Materials Master'!$A$2:$A$27,0)),IF($B681="Paper Recycling",INDEX('Materials Master'!$J$2:$J$27,MATCH($C681,'Materials Master'!$A$2:$A$27,0)),IF($B681="Terracycle",INDEX('Materials Master'!$K$2:$K$27,MATCH($C681,'Materials Master'!$A$2:$A$27,0)),"No"))))))="Yes",INDEX('Materials Master'!$E$2:$E$27,MATCH($C681,'Materials Master'!$A$2:$A$27,0))="Yes",$B681&lt;&gt;"Trash"),1,0)</f>
        <v>1</v>
      </c>
      <c r="H681" s="0" t="str">
        <f aca="false">INDEX('Materials Master'!$E$2:$E$27,MATCH($C681,'Materials Master'!$A$2:$A$27,0))</f>
        <v>Yes</v>
      </c>
      <c r="I681" s="0" t="str">
        <f aca="false">IFERROR(INDEX(Areas!$C$2:$C$6,MATCH($A681,Areas!$B$2:$B$6,0)),"")</f>
        <v>Rest of Building</v>
      </c>
      <c r="J681" s="0" t="n">
        <f aca="false">IF(IF($B681="Trash",INDEX('Materials Master'!$F$2:$F$27,MATCH($C681,'Materials Master'!$A$2:$A$27,0)),IF($B681="GMPC Recycling",INDEX('Materials Master'!$G$2:$G$27,MATCH($C681,'Materials Master'!$A$2:$A$27,0)),IF($B681="Organics Recycling",INDEX('Materials Master'!$H$2:$H$27,MATCH($C681,'Materials Master'!$A$2:$A$27,0)),IF($B681="Cardboard Recycling",INDEX('Materials Master'!$I$2:$I$27,MATCH($C681,'Materials Master'!$A$2:$A$27,0)),IF($B681="Paper Recycling",INDEX('Materials Master'!$J$2:$J$27,MATCH($C681,'Materials Master'!$A$2:$A$27,0)),IF($B681="Terracycle",INDEX('Materials Master'!$K$2:$K$27,MATCH($C681,'Materials Master'!$A$2:$A$27,0)),"No"))))))="Yes",1,0)</f>
        <v>1</v>
      </c>
    </row>
    <row r="682" customFormat="false" ht="15" hidden="false" customHeight="false" outlineLevel="0" collapsed="false">
      <c r="A682" s="0" t="s">
        <v>100</v>
      </c>
      <c r="B682" s="0" t="s">
        <v>105</v>
      </c>
      <c r="C682" s="0" t="s">
        <v>37</v>
      </c>
      <c r="D682" s="0" t="str">
        <f aca="false">IFERROR(INDEX('Materials Master'!$B$2:$B$27,MATCH($C682,'Materials Master'!$A$2:$A$27,0)),"")</f>
        <v>Soiled Paper</v>
      </c>
      <c r="E682" s="0" t="str">
        <f aca="false">IFERROR(INDEX('Materials Master'!$C$2:$C$27,MATCH($C682,'Materials Master'!$A$2:$A$27,0)),"")</f>
        <v>Fibers</v>
      </c>
      <c r="F682" s="0" t="n">
        <f aca="false">(SUMIFS(Fact_PreSortWeights!$E$2:$E$15,Fact_PreSortWeights!$C$2:$C$15,$A682,Fact_PreSortWeights!$B$2:$B$15,$B682,Fact_PreSortWeights!$F$2:$F$15,$C682))+(SUMIFS(Fact_SortedWeights!$E$2:$E$6,Fact_SortedWeights!$C$2:$C$6,$A682,Fact_SortedWeights!$B$2:$B$6,$B682,Fact_SortedWeights!$D$2:$D$6,$C682,Fact_SortedWeights!$L$2:$L$6,"Yes"))+IF((SUMIFS(Fact_SortedWeights!$E$2:$E$6,Fact_SortedWeights!$C$2:$C$6,$A682,Fact_SortedWeights!$B$2:$B$6,$B682,Fact_SortedWeights!$L$2:$L$6,"No"))=0,0,(SUMIFS(Fact_SortedWeights!$E$2:$E$6,Fact_SortedWeights!$C$2:$C$6,$A682,Fact_SortedWeights!$B$2:$B$6,$B682,Fact_SortedWeights!$D$2:$D$6,$C682,Fact_SortedWeights!$L$2:$L$6,"No"))/(SUMIFS(Fact_SortedWeights!$E$2:$E$6,Fact_SortedWeights!$C$2:$C$6,$A682,Fact_SortedWeights!$B$2:$B$6,$B682,Fact_SortedWeights!$L$2:$L$6,"No"))*((SUMIFS(Fact_PreSortWeights!$E$2:$E$15,Fact_PreSortWeights!$C$2:$C$15,$A682,Fact_PreSortWeights!$B$2:$B$15,$B682,Fact_PreSortWeights!$F$2:$F$15,""))-(SUMIFS(Fact_SortedWeights!$E$2:$E$6,Fact_SortedWeights!$C$2:$C$6,$A682,Fact_SortedWeights!$B$2:$B$6,$B682,Fact_SortedWeights!$L$2:$L$6,"Yes"))))</f>
        <v>0</v>
      </c>
      <c r="G682" s="0" t="n">
        <f aca="false">IF(AND(IF($B682="Trash",INDEX('Materials Master'!$F$2:$F$27,MATCH($C682,'Materials Master'!$A$2:$A$27,0)),IF($B682="GMPC Recycling",INDEX('Materials Master'!$G$2:$G$27,MATCH($C682,'Materials Master'!$A$2:$A$27,0)),IF($B682="Organics Recycling",INDEX('Materials Master'!$H$2:$H$27,MATCH($C682,'Materials Master'!$A$2:$A$27,0)),IF($B682="Cardboard Recycling",INDEX('Materials Master'!$I$2:$I$27,MATCH($C682,'Materials Master'!$A$2:$A$27,0)),IF($B682="Paper Recycling",INDEX('Materials Master'!$J$2:$J$27,MATCH($C682,'Materials Master'!$A$2:$A$27,0)),IF($B682="Terracycle",INDEX('Materials Master'!$K$2:$K$27,MATCH($C682,'Materials Master'!$A$2:$A$27,0)),"No"))))))="Yes",INDEX('Materials Master'!$E$2:$E$27,MATCH($C682,'Materials Master'!$A$2:$A$27,0))="Yes",$B682&lt;&gt;"Trash"),1,0)</f>
        <v>0</v>
      </c>
      <c r="H682" s="0" t="str">
        <f aca="false">INDEX('Materials Master'!$E$2:$E$27,MATCH($C682,'Materials Master'!$A$2:$A$27,0))</f>
        <v>No</v>
      </c>
      <c r="I682" s="0" t="str">
        <f aca="false">IFERROR(INDEX(Areas!$C$2:$C$6,MATCH($A682,Areas!$B$2:$B$6,0)),"")</f>
        <v>Rest of Building</v>
      </c>
      <c r="J682" s="0" t="n">
        <f aca="false">IF(IF($B682="Trash",INDEX('Materials Master'!$F$2:$F$27,MATCH($C682,'Materials Master'!$A$2:$A$27,0)),IF($B682="GMPC Recycling",INDEX('Materials Master'!$G$2:$G$27,MATCH($C682,'Materials Master'!$A$2:$A$27,0)),IF($B682="Organics Recycling",INDEX('Materials Master'!$H$2:$H$27,MATCH($C682,'Materials Master'!$A$2:$A$27,0)),IF($B682="Cardboard Recycling",INDEX('Materials Master'!$I$2:$I$27,MATCH($C682,'Materials Master'!$A$2:$A$27,0)),IF($B682="Paper Recycling",INDEX('Materials Master'!$J$2:$J$27,MATCH($C682,'Materials Master'!$A$2:$A$27,0)),IF($B682="Terracycle",INDEX('Materials Master'!$K$2:$K$27,MATCH($C682,'Materials Master'!$A$2:$A$27,0)),"No"))))))="Yes",1,0)</f>
        <v>0</v>
      </c>
    </row>
    <row r="683" customFormat="false" ht="15" hidden="false" customHeight="false" outlineLevel="0" collapsed="false">
      <c r="A683" s="0" t="s">
        <v>100</v>
      </c>
      <c r="B683" s="0" t="s">
        <v>105</v>
      </c>
      <c r="C683" s="0" t="s">
        <v>39</v>
      </c>
      <c r="D683" s="0" t="str">
        <f aca="false">IFERROR(INDEX('Materials Master'!$B$2:$B$27,MATCH($C683,'Materials Master'!$A$2:$A$27,0)),"")</f>
        <v>Beverage Cartons</v>
      </c>
      <c r="E683" s="0" t="str">
        <f aca="false">IFERROR(INDEX('Materials Master'!$C$2:$C$27,MATCH($C683,'Materials Master'!$A$2:$A$27,0)),"")</f>
        <v>Fibers</v>
      </c>
      <c r="F683" s="0" t="n">
        <f aca="false">(SUMIFS(Fact_PreSortWeights!$E$2:$E$15,Fact_PreSortWeights!$C$2:$C$15,$A683,Fact_PreSortWeights!$B$2:$B$15,$B683,Fact_PreSortWeights!$F$2:$F$15,$C683))+(SUMIFS(Fact_SortedWeights!$E$2:$E$6,Fact_SortedWeights!$C$2:$C$6,$A683,Fact_SortedWeights!$B$2:$B$6,$B683,Fact_SortedWeights!$D$2:$D$6,$C683,Fact_SortedWeights!$L$2:$L$6,"Yes"))+IF((SUMIFS(Fact_SortedWeights!$E$2:$E$6,Fact_SortedWeights!$C$2:$C$6,$A683,Fact_SortedWeights!$B$2:$B$6,$B683,Fact_SortedWeights!$L$2:$L$6,"No"))=0,0,(SUMIFS(Fact_SortedWeights!$E$2:$E$6,Fact_SortedWeights!$C$2:$C$6,$A683,Fact_SortedWeights!$B$2:$B$6,$B683,Fact_SortedWeights!$D$2:$D$6,$C683,Fact_SortedWeights!$L$2:$L$6,"No"))/(SUMIFS(Fact_SortedWeights!$E$2:$E$6,Fact_SortedWeights!$C$2:$C$6,$A683,Fact_SortedWeights!$B$2:$B$6,$B683,Fact_SortedWeights!$L$2:$L$6,"No"))*((SUMIFS(Fact_PreSortWeights!$E$2:$E$15,Fact_PreSortWeights!$C$2:$C$15,$A683,Fact_PreSortWeights!$B$2:$B$15,$B683,Fact_PreSortWeights!$F$2:$F$15,""))-(SUMIFS(Fact_SortedWeights!$E$2:$E$6,Fact_SortedWeights!$C$2:$C$6,$A683,Fact_SortedWeights!$B$2:$B$6,$B683,Fact_SortedWeights!$L$2:$L$6,"Yes"))))</f>
        <v>0</v>
      </c>
      <c r="G683" s="0" t="n">
        <f aca="false">IF(AND(IF($B683="Trash",INDEX('Materials Master'!$F$2:$F$27,MATCH($C683,'Materials Master'!$A$2:$A$27,0)),IF($B683="GMPC Recycling",INDEX('Materials Master'!$G$2:$G$27,MATCH($C683,'Materials Master'!$A$2:$A$27,0)),IF($B683="Organics Recycling",INDEX('Materials Master'!$H$2:$H$27,MATCH($C683,'Materials Master'!$A$2:$A$27,0)),IF($B683="Cardboard Recycling",INDEX('Materials Master'!$I$2:$I$27,MATCH($C683,'Materials Master'!$A$2:$A$27,0)),IF($B683="Paper Recycling",INDEX('Materials Master'!$J$2:$J$27,MATCH($C683,'Materials Master'!$A$2:$A$27,0)),IF($B683="Terracycle",INDEX('Materials Master'!$K$2:$K$27,MATCH($C683,'Materials Master'!$A$2:$A$27,0)),"No"))))))="Yes",INDEX('Materials Master'!$E$2:$E$27,MATCH($C683,'Materials Master'!$A$2:$A$27,0))="Yes",$B683&lt;&gt;"Trash"),1,0)</f>
        <v>0</v>
      </c>
      <c r="H683" s="0" t="str">
        <f aca="false">INDEX('Materials Master'!$E$2:$E$27,MATCH($C683,'Materials Master'!$A$2:$A$27,0))</f>
        <v>Yes</v>
      </c>
      <c r="I683" s="0" t="str">
        <f aca="false">IFERROR(INDEX(Areas!$C$2:$C$6,MATCH($A683,Areas!$B$2:$B$6,0)),"")</f>
        <v>Rest of Building</v>
      </c>
      <c r="J683" s="0" t="n">
        <f aca="false">IF(IF($B683="Trash",INDEX('Materials Master'!$F$2:$F$27,MATCH($C683,'Materials Master'!$A$2:$A$27,0)),IF($B683="GMPC Recycling",INDEX('Materials Master'!$G$2:$G$27,MATCH($C683,'Materials Master'!$A$2:$A$27,0)),IF($B683="Organics Recycling",INDEX('Materials Master'!$H$2:$H$27,MATCH($C683,'Materials Master'!$A$2:$A$27,0)),IF($B683="Cardboard Recycling",INDEX('Materials Master'!$I$2:$I$27,MATCH($C683,'Materials Master'!$A$2:$A$27,0)),IF($B683="Paper Recycling",INDEX('Materials Master'!$J$2:$J$27,MATCH($C683,'Materials Master'!$A$2:$A$27,0)),IF($B683="Terracycle",INDEX('Materials Master'!$K$2:$K$27,MATCH($C683,'Materials Master'!$A$2:$A$27,0)),"No"))))))="Yes",1,0)</f>
        <v>0</v>
      </c>
    </row>
    <row r="684" customFormat="false" ht="15" hidden="false" customHeight="false" outlineLevel="0" collapsed="false">
      <c r="A684" s="0" t="s">
        <v>100</v>
      </c>
      <c r="B684" s="0" t="s">
        <v>105</v>
      </c>
      <c r="C684" s="0" t="s">
        <v>41</v>
      </c>
      <c r="D684" s="0" t="str">
        <f aca="false">IFERROR(INDEX('Materials Master'!$B$2:$B$27,MATCH($C684,'Materials Master'!$A$2:$A$27,0)),"")</f>
        <v>Soiled Beverage Cartons</v>
      </c>
      <c r="E684" s="0" t="str">
        <f aca="false">IFERROR(INDEX('Materials Master'!$C$2:$C$27,MATCH($C684,'Materials Master'!$A$2:$A$27,0)),"")</f>
        <v>Fibers</v>
      </c>
      <c r="F684" s="0" t="n">
        <f aca="false">(SUMIFS(Fact_PreSortWeights!$E$2:$E$15,Fact_PreSortWeights!$C$2:$C$15,$A684,Fact_PreSortWeights!$B$2:$B$15,$B684,Fact_PreSortWeights!$F$2:$F$15,$C684))+(SUMIFS(Fact_SortedWeights!$E$2:$E$6,Fact_SortedWeights!$C$2:$C$6,$A684,Fact_SortedWeights!$B$2:$B$6,$B684,Fact_SortedWeights!$D$2:$D$6,$C684,Fact_SortedWeights!$L$2:$L$6,"Yes"))+IF((SUMIFS(Fact_SortedWeights!$E$2:$E$6,Fact_SortedWeights!$C$2:$C$6,$A684,Fact_SortedWeights!$B$2:$B$6,$B684,Fact_SortedWeights!$L$2:$L$6,"No"))=0,0,(SUMIFS(Fact_SortedWeights!$E$2:$E$6,Fact_SortedWeights!$C$2:$C$6,$A684,Fact_SortedWeights!$B$2:$B$6,$B684,Fact_SortedWeights!$D$2:$D$6,$C684,Fact_SortedWeights!$L$2:$L$6,"No"))/(SUMIFS(Fact_SortedWeights!$E$2:$E$6,Fact_SortedWeights!$C$2:$C$6,$A684,Fact_SortedWeights!$B$2:$B$6,$B684,Fact_SortedWeights!$L$2:$L$6,"No"))*((SUMIFS(Fact_PreSortWeights!$E$2:$E$15,Fact_PreSortWeights!$C$2:$C$15,$A684,Fact_PreSortWeights!$B$2:$B$15,$B684,Fact_PreSortWeights!$F$2:$F$15,""))-(SUMIFS(Fact_SortedWeights!$E$2:$E$6,Fact_SortedWeights!$C$2:$C$6,$A684,Fact_SortedWeights!$B$2:$B$6,$B684,Fact_SortedWeights!$L$2:$L$6,"Yes"))))</f>
        <v>0</v>
      </c>
      <c r="G684" s="0" t="n">
        <f aca="false">IF(AND(IF($B684="Trash",INDEX('Materials Master'!$F$2:$F$27,MATCH($C684,'Materials Master'!$A$2:$A$27,0)),IF($B684="GMPC Recycling",INDEX('Materials Master'!$G$2:$G$27,MATCH($C684,'Materials Master'!$A$2:$A$27,0)),IF($B684="Organics Recycling",INDEX('Materials Master'!$H$2:$H$27,MATCH($C684,'Materials Master'!$A$2:$A$27,0)),IF($B684="Cardboard Recycling",INDEX('Materials Master'!$I$2:$I$27,MATCH($C684,'Materials Master'!$A$2:$A$27,0)),IF($B684="Paper Recycling",INDEX('Materials Master'!$J$2:$J$27,MATCH($C684,'Materials Master'!$A$2:$A$27,0)),IF($B684="Terracycle",INDEX('Materials Master'!$K$2:$K$27,MATCH($C684,'Materials Master'!$A$2:$A$27,0)),"No"))))))="Yes",INDEX('Materials Master'!$E$2:$E$27,MATCH($C684,'Materials Master'!$A$2:$A$27,0))="Yes",$B684&lt;&gt;"Trash"),1,0)</f>
        <v>0</v>
      </c>
      <c r="H684" s="0" t="str">
        <f aca="false">INDEX('Materials Master'!$E$2:$E$27,MATCH($C684,'Materials Master'!$A$2:$A$27,0))</f>
        <v>No</v>
      </c>
      <c r="I684" s="0" t="str">
        <f aca="false">IFERROR(INDEX(Areas!$C$2:$C$6,MATCH($A684,Areas!$B$2:$B$6,0)),"")</f>
        <v>Rest of Building</v>
      </c>
      <c r="J684" s="0" t="n">
        <f aca="false">IF(IF($B684="Trash",INDEX('Materials Master'!$F$2:$F$27,MATCH($C684,'Materials Master'!$A$2:$A$27,0)),IF($B684="GMPC Recycling",INDEX('Materials Master'!$G$2:$G$27,MATCH($C684,'Materials Master'!$A$2:$A$27,0)),IF($B684="Organics Recycling",INDEX('Materials Master'!$H$2:$H$27,MATCH($C684,'Materials Master'!$A$2:$A$27,0)),IF($B684="Cardboard Recycling",INDEX('Materials Master'!$I$2:$I$27,MATCH($C684,'Materials Master'!$A$2:$A$27,0)),IF($B684="Paper Recycling",INDEX('Materials Master'!$J$2:$J$27,MATCH($C684,'Materials Master'!$A$2:$A$27,0)),IF($B684="Terracycle",INDEX('Materials Master'!$K$2:$K$27,MATCH($C684,'Materials Master'!$A$2:$A$27,0)),"No"))))))="Yes",1,0)</f>
        <v>0</v>
      </c>
    </row>
    <row r="685" customFormat="false" ht="15" hidden="false" customHeight="false" outlineLevel="0" collapsed="false">
      <c r="A685" s="0" t="s">
        <v>100</v>
      </c>
      <c r="B685" s="0" t="s">
        <v>105</v>
      </c>
      <c r="C685" s="0" t="s">
        <v>43</v>
      </c>
      <c r="D685" s="0" t="str">
        <f aca="false">IFERROR(INDEX('Materials Master'!$B$2:$B$27,MATCH($C685,'Materials Master'!$A$2:$A$27,0)),"")</f>
        <v>Paper Cups / Other Coated Paper Containers</v>
      </c>
      <c r="E685" s="0" t="str">
        <f aca="false">IFERROR(INDEX('Materials Master'!$C$2:$C$27,MATCH($C685,'Materials Master'!$A$2:$A$27,0)),"")</f>
        <v>Fibers</v>
      </c>
      <c r="F685" s="0" t="n">
        <f aca="false">(SUMIFS(Fact_PreSortWeights!$E$2:$E$15,Fact_PreSortWeights!$C$2:$C$15,$A685,Fact_PreSortWeights!$B$2:$B$15,$B685,Fact_PreSortWeights!$F$2:$F$15,$C685))+(SUMIFS(Fact_SortedWeights!$E$2:$E$6,Fact_SortedWeights!$C$2:$C$6,$A685,Fact_SortedWeights!$B$2:$B$6,$B685,Fact_SortedWeights!$D$2:$D$6,$C685,Fact_SortedWeights!$L$2:$L$6,"Yes"))+IF((SUMIFS(Fact_SortedWeights!$E$2:$E$6,Fact_SortedWeights!$C$2:$C$6,$A685,Fact_SortedWeights!$B$2:$B$6,$B685,Fact_SortedWeights!$L$2:$L$6,"No"))=0,0,(SUMIFS(Fact_SortedWeights!$E$2:$E$6,Fact_SortedWeights!$C$2:$C$6,$A685,Fact_SortedWeights!$B$2:$B$6,$B685,Fact_SortedWeights!$D$2:$D$6,$C685,Fact_SortedWeights!$L$2:$L$6,"No"))/(SUMIFS(Fact_SortedWeights!$E$2:$E$6,Fact_SortedWeights!$C$2:$C$6,$A685,Fact_SortedWeights!$B$2:$B$6,$B685,Fact_SortedWeights!$L$2:$L$6,"No"))*((SUMIFS(Fact_PreSortWeights!$E$2:$E$15,Fact_PreSortWeights!$C$2:$C$15,$A685,Fact_PreSortWeights!$B$2:$B$15,$B685,Fact_PreSortWeights!$F$2:$F$15,""))-(SUMIFS(Fact_SortedWeights!$E$2:$E$6,Fact_SortedWeights!$C$2:$C$6,$A685,Fact_SortedWeights!$B$2:$B$6,$B685,Fact_SortedWeights!$L$2:$L$6,"Yes"))))</f>
        <v>0</v>
      </c>
      <c r="G685" s="0" t="n">
        <f aca="false">IF(AND(IF($B685="Trash",INDEX('Materials Master'!$F$2:$F$27,MATCH($C685,'Materials Master'!$A$2:$A$27,0)),IF($B685="GMPC Recycling",INDEX('Materials Master'!$G$2:$G$27,MATCH($C685,'Materials Master'!$A$2:$A$27,0)),IF($B685="Organics Recycling",INDEX('Materials Master'!$H$2:$H$27,MATCH($C685,'Materials Master'!$A$2:$A$27,0)),IF($B685="Cardboard Recycling",INDEX('Materials Master'!$I$2:$I$27,MATCH($C685,'Materials Master'!$A$2:$A$27,0)),IF($B685="Paper Recycling",INDEX('Materials Master'!$J$2:$J$27,MATCH($C685,'Materials Master'!$A$2:$A$27,0)),IF($B685="Terracycle",INDEX('Materials Master'!$K$2:$K$27,MATCH($C685,'Materials Master'!$A$2:$A$27,0)),"No"))))))="Yes",INDEX('Materials Master'!$E$2:$E$27,MATCH($C685,'Materials Master'!$A$2:$A$27,0))="Yes",$B685&lt;&gt;"Trash"),1,0)</f>
        <v>0</v>
      </c>
      <c r="H685" s="0" t="str">
        <f aca="false">INDEX('Materials Master'!$E$2:$E$27,MATCH($C685,'Materials Master'!$A$2:$A$27,0))</f>
        <v>No</v>
      </c>
      <c r="I685" s="0" t="str">
        <f aca="false">IFERROR(INDEX(Areas!$C$2:$C$6,MATCH($A685,Areas!$B$2:$B$6,0)),"")</f>
        <v>Rest of Building</v>
      </c>
      <c r="J685" s="0" t="n">
        <f aca="false">IF(IF($B685="Trash",INDEX('Materials Master'!$F$2:$F$27,MATCH($C685,'Materials Master'!$A$2:$A$27,0)),IF($B685="GMPC Recycling",INDEX('Materials Master'!$G$2:$G$27,MATCH($C685,'Materials Master'!$A$2:$A$27,0)),IF($B685="Organics Recycling",INDEX('Materials Master'!$H$2:$H$27,MATCH($C685,'Materials Master'!$A$2:$A$27,0)),IF($B685="Cardboard Recycling",INDEX('Materials Master'!$I$2:$I$27,MATCH($C685,'Materials Master'!$A$2:$A$27,0)),IF($B685="Paper Recycling",INDEX('Materials Master'!$J$2:$J$27,MATCH($C685,'Materials Master'!$A$2:$A$27,0)),IF($B685="Terracycle",INDEX('Materials Master'!$K$2:$K$27,MATCH($C685,'Materials Master'!$A$2:$A$27,0)),"No"))))))="Yes",1,0)</f>
        <v>0</v>
      </c>
    </row>
    <row r="686" customFormat="false" ht="15" hidden="false" customHeight="false" outlineLevel="0" collapsed="false">
      <c r="A686" s="0" t="s">
        <v>100</v>
      </c>
      <c r="B686" s="0" t="s">
        <v>105</v>
      </c>
      <c r="C686" s="0" t="s">
        <v>45</v>
      </c>
      <c r="D686" s="0" t="str">
        <f aca="false">IFERROR(INDEX('Materials Master'!$B$2:$B$27,MATCH($C686,'Materials Master'!$A$2:$A$27,0)),"")</f>
        <v>Glass Bottles &amp; Jars</v>
      </c>
      <c r="E686" s="0" t="str">
        <f aca="false">IFERROR(INDEX('Materials Master'!$C$2:$C$27,MATCH($C686,'Materials Master'!$A$2:$A$27,0)),"")</f>
        <v>Glass</v>
      </c>
      <c r="F686" s="0" t="n">
        <f aca="false">(SUMIFS(Fact_PreSortWeights!$E$2:$E$15,Fact_PreSortWeights!$C$2:$C$15,$A686,Fact_PreSortWeights!$B$2:$B$15,$B686,Fact_PreSortWeights!$F$2:$F$15,$C686))+(SUMIFS(Fact_SortedWeights!$E$2:$E$6,Fact_SortedWeights!$C$2:$C$6,$A686,Fact_SortedWeights!$B$2:$B$6,$B686,Fact_SortedWeights!$D$2:$D$6,$C686,Fact_SortedWeights!$L$2:$L$6,"Yes"))+IF((SUMIFS(Fact_SortedWeights!$E$2:$E$6,Fact_SortedWeights!$C$2:$C$6,$A686,Fact_SortedWeights!$B$2:$B$6,$B686,Fact_SortedWeights!$L$2:$L$6,"No"))=0,0,(SUMIFS(Fact_SortedWeights!$E$2:$E$6,Fact_SortedWeights!$C$2:$C$6,$A686,Fact_SortedWeights!$B$2:$B$6,$B686,Fact_SortedWeights!$D$2:$D$6,$C686,Fact_SortedWeights!$L$2:$L$6,"No"))/(SUMIFS(Fact_SortedWeights!$E$2:$E$6,Fact_SortedWeights!$C$2:$C$6,$A686,Fact_SortedWeights!$B$2:$B$6,$B686,Fact_SortedWeights!$L$2:$L$6,"No"))*((SUMIFS(Fact_PreSortWeights!$E$2:$E$15,Fact_PreSortWeights!$C$2:$C$15,$A686,Fact_PreSortWeights!$B$2:$B$15,$B686,Fact_PreSortWeights!$F$2:$F$15,""))-(SUMIFS(Fact_SortedWeights!$E$2:$E$6,Fact_SortedWeights!$C$2:$C$6,$A686,Fact_SortedWeights!$B$2:$B$6,$B686,Fact_SortedWeights!$L$2:$L$6,"Yes"))))</f>
        <v>0</v>
      </c>
      <c r="G686" s="0" t="n">
        <f aca="false">IF(AND(IF($B686="Trash",INDEX('Materials Master'!$F$2:$F$27,MATCH($C686,'Materials Master'!$A$2:$A$27,0)),IF($B686="GMPC Recycling",INDEX('Materials Master'!$G$2:$G$27,MATCH($C686,'Materials Master'!$A$2:$A$27,0)),IF($B686="Organics Recycling",INDEX('Materials Master'!$H$2:$H$27,MATCH($C686,'Materials Master'!$A$2:$A$27,0)),IF($B686="Cardboard Recycling",INDEX('Materials Master'!$I$2:$I$27,MATCH($C686,'Materials Master'!$A$2:$A$27,0)),IF($B686="Paper Recycling",INDEX('Materials Master'!$J$2:$J$27,MATCH($C686,'Materials Master'!$A$2:$A$27,0)),IF($B686="Terracycle",INDEX('Materials Master'!$K$2:$K$27,MATCH($C686,'Materials Master'!$A$2:$A$27,0)),"No"))))))="Yes",INDEX('Materials Master'!$E$2:$E$27,MATCH($C686,'Materials Master'!$A$2:$A$27,0))="Yes",$B686&lt;&gt;"Trash"),1,0)</f>
        <v>0</v>
      </c>
      <c r="H686" s="0" t="str">
        <f aca="false">INDEX('Materials Master'!$E$2:$E$27,MATCH($C686,'Materials Master'!$A$2:$A$27,0))</f>
        <v>Yes</v>
      </c>
      <c r="I686" s="0" t="str">
        <f aca="false">IFERROR(INDEX(Areas!$C$2:$C$6,MATCH($A686,Areas!$B$2:$B$6,0)),"")</f>
        <v>Rest of Building</v>
      </c>
      <c r="J686" s="0" t="n">
        <f aca="false">IF(IF($B686="Trash",INDEX('Materials Master'!$F$2:$F$27,MATCH($C686,'Materials Master'!$A$2:$A$27,0)),IF($B686="GMPC Recycling",INDEX('Materials Master'!$G$2:$G$27,MATCH($C686,'Materials Master'!$A$2:$A$27,0)),IF($B686="Organics Recycling",INDEX('Materials Master'!$H$2:$H$27,MATCH($C686,'Materials Master'!$A$2:$A$27,0)),IF($B686="Cardboard Recycling",INDEX('Materials Master'!$I$2:$I$27,MATCH($C686,'Materials Master'!$A$2:$A$27,0)),IF($B686="Paper Recycling",INDEX('Materials Master'!$J$2:$J$27,MATCH($C686,'Materials Master'!$A$2:$A$27,0)),IF($B686="Terracycle",INDEX('Materials Master'!$K$2:$K$27,MATCH($C686,'Materials Master'!$A$2:$A$27,0)),"No"))))))="Yes",1,0)</f>
        <v>0</v>
      </c>
    </row>
    <row r="687" customFormat="false" ht="15" hidden="false" customHeight="false" outlineLevel="0" collapsed="false">
      <c r="A687" s="0" t="s">
        <v>100</v>
      </c>
      <c r="B687" s="0" t="s">
        <v>105</v>
      </c>
      <c r="C687" s="0" t="s">
        <v>48</v>
      </c>
      <c r="D687" s="0" t="str">
        <f aca="false">IFERROR(INDEX('Materials Master'!$B$2:$B$27,MATCH($C687,'Materials Master'!$A$2:$A$27,0)),"")</f>
        <v>Soiled Glass</v>
      </c>
      <c r="E687" s="0" t="str">
        <f aca="false">IFERROR(INDEX('Materials Master'!$C$2:$C$27,MATCH($C687,'Materials Master'!$A$2:$A$27,0)),"")</f>
        <v>Glass</v>
      </c>
      <c r="F687" s="0" t="n">
        <f aca="false">(SUMIFS(Fact_PreSortWeights!$E$2:$E$15,Fact_PreSortWeights!$C$2:$C$15,$A687,Fact_PreSortWeights!$B$2:$B$15,$B687,Fact_PreSortWeights!$F$2:$F$15,$C687))+(SUMIFS(Fact_SortedWeights!$E$2:$E$6,Fact_SortedWeights!$C$2:$C$6,$A687,Fact_SortedWeights!$B$2:$B$6,$B687,Fact_SortedWeights!$D$2:$D$6,$C687,Fact_SortedWeights!$L$2:$L$6,"Yes"))+IF((SUMIFS(Fact_SortedWeights!$E$2:$E$6,Fact_SortedWeights!$C$2:$C$6,$A687,Fact_SortedWeights!$B$2:$B$6,$B687,Fact_SortedWeights!$L$2:$L$6,"No"))=0,0,(SUMIFS(Fact_SortedWeights!$E$2:$E$6,Fact_SortedWeights!$C$2:$C$6,$A687,Fact_SortedWeights!$B$2:$B$6,$B687,Fact_SortedWeights!$D$2:$D$6,$C687,Fact_SortedWeights!$L$2:$L$6,"No"))/(SUMIFS(Fact_SortedWeights!$E$2:$E$6,Fact_SortedWeights!$C$2:$C$6,$A687,Fact_SortedWeights!$B$2:$B$6,$B687,Fact_SortedWeights!$L$2:$L$6,"No"))*((SUMIFS(Fact_PreSortWeights!$E$2:$E$15,Fact_PreSortWeights!$C$2:$C$15,$A687,Fact_PreSortWeights!$B$2:$B$15,$B687,Fact_PreSortWeights!$F$2:$F$15,""))-(SUMIFS(Fact_SortedWeights!$E$2:$E$6,Fact_SortedWeights!$C$2:$C$6,$A687,Fact_SortedWeights!$B$2:$B$6,$B687,Fact_SortedWeights!$L$2:$L$6,"Yes"))))</f>
        <v>0</v>
      </c>
      <c r="G687" s="0" t="n">
        <f aca="false">IF(AND(IF($B687="Trash",INDEX('Materials Master'!$F$2:$F$27,MATCH($C687,'Materials Master'!$A$2:$A$27,0)),IF($B687="GMPC Recycling",INDEX('Materials Master'!$G$2:$G$27,MATCH($C687,'Materials Master'!$A$2:$A$27,0)),IF($B687="Organics Recycling",INDEX('Materials Master'!$H$2:$H$27,MATCH($C687,'Materials Master'!$A$2:$A$27,0)),IF($B687="Cardboard Recycling",INDEX('Materials Master'!$I$2:$I$27,MATCH($C687,'Materials Master'!$A$2:$A$27,0)),IF($B687="Paper Recycling",INDEX('Materials Master'!$J$2:$J$27,MATCH($C687,'Materials Master'!$A$2:$A$27,0)),IF($B687="Terracycle",INDEX('Materials Master'!$K$2:$K$27,MATCH($C687,'Materials Master'!$A$2:$A$27,0)),"No"))))))="Yes",INDEX('Materials Master'!$E$2:$E$27,MATCH($C687,'Materials Master'!$A$2:$A$27,0))="Yes",$B687&lt;&gt;"Trash"),1,0)</f>
        <v>0</v>
      </c>
      <c r="H687" s="0" t="str">
        <f aca="false">INDEX('Materials Master'!$E$2:$E$27,MATCH($C687,'Materials Master'!$A$2:$A$27,0))</f>
        <v>No</v>
      </c>
      <c r="I687" s="0" t="str">
        <f aca="false">IFERROR(INDEX(Areas!$C$2:$C$6,MATCH($A687,Areas!$B$2:$B$6,0)),"")</f>
        <v>Rest of Building</v>
      </c>
      <c r="J687" s="0" t="n">
        <f aca="false">IF(IF($B687="Trash",INDEX('Materials Master'!$F$2:$F$27,MATCH($C687,'Materials Master'!$A$2:$A$27,0)),IF($B687="GMPC Recycling",INDEX('Materials Master'!$G$2:$G$27,MATCH($C687,'Materials Master'!$A$2:$A$27,0)),IF($B687="Organics Recycling",INDEX('Materials Master'!$H$2:$H$27,MATCH($C687,'Materials Master'!$A$2:$A$27,0)),IF($B687="Cardboard Recycling",INDEX('Materials Master'!$I$2:$I$27,MATCH($C687,'Materials Master'!$A$2:$A$27,0)),IF($B687="Paper Recycling",INDEX('Materials Master'!$J$2:$J$27,MATCH($C687,'Materials Master'!$A$2:$A$27,0)),IF($B687="Terracycle",INDEX('Materials Master'!$K$2:$K$27,MATCH($C687,'Materials Master'!$A$2:$A$27,0)),"No"))))))="Yes",1,0)</f>
        <v>0</v>
      </c>
    </row>
    <row r="688" customFormat="false" ht="15" hidden="false" customHeight="false" outlineLevel="0" collapsed="false">
      <c r="A688" s="0" t="s">
        <v>100</v>
      </c>
      <c r="B688" s="0" t="s">
        <v>105</v>
      </c>
      <c r="C688" s="0" t="s">
        <v>50</v>
      </c>
      <c r="D688" s="0" t="str">
        <f aca="false">IFERROR(INDEX('Materials Master'!$B$2:$B$27,MATCH($C688,'Materials Master'!$A$2:$A$27,0)),"")</f>
        <v>Aluminum &amp; Bi-Metal Containers</v>
      </c>
      <c r="E688" s="0" t="str">
        <f aca="false">IFERROR(INDEX('Materials Master'!$C$2:$C$27,MATCH($C688,'Materials Master'!$A$2:$A$27,0)),"")</f>
        <v>Metals</v>
      </c>
      <c r="F688" s="0" t="n">
        <f aca="false">(SUMIFS(Fact_PreSortWeights!$E$2:$E$15,Fact_PreSortWeights!$C$2:$C$15,$A688,Fact_PreSortWeights!$B$2:$B$15,$B688,Fact_PreSortWeights!$F$2:$F$15,$C688))+(SUMIFS(Fact_SortedWeights!$E$2:$E$6,Fact_SortedWeights!$C$2:$C$6,$A688,Fact_SortedWeights!$B$2:$B$6,$B688,Fact_SortedWeights!$D$2:$D$6,$C688,Fact_SortedWeights!$L$2:$L$6,"Yes"))+IF((SUMIFS(Fact_SortedWeights!$E$2:$E$6,Fact_SortedWeights!$C$2:$C$6,$A688,Fact_SortedWeights!$B$2:$B$6,$B688,Fact_SortedWeights!$L$2:$L$6,"No"))=0,0,(SUMIFS(Fact_SortedWeights!$E$2:$E$6,Fact_SortedWeights!$C$2:$C$6,$A688,Fact_SortedWeights!$B$2:$B$6,$B688,Fact_SortedWeights!$D$2:$D$6,$C688,Fact_SortedWeights!$L$2:$L$6,"No"))/(SUMIFS(Fact_SortedWeights!$E$2:$E$6,Fact_SortedWeights!$C$2:$C$6,$A688,Fact_SortedWeights!$B$2:$B$6,$B688,Fact_SortedWeights!$L$2:$L$6,"No"))*((SUMIFS(Fact_PreSortWeights!$E$2:$E$15,Fact_PreSortWeights!$C$2:$C$15,$A688,Fact_PreSortWeights!$B$2:$B$15,$B688,Fact_PreSortWeights!$F$2:$F$15,""))-(SUMIFS(Fact_SortedWeights!$E$2:$E$6,Fact_SortedWeights!$C$2:$C$6,$A688,Fact_SortedWeights!$B$2:$B$6,$B688,Fact_SortedWeights!$L$2:$L$6,"Yes"))))</f>
        <v>0</v>
      </c>
      <c r="G688" s="0" t="n">
        <f aca="false">IF(AND(IF($B688="Trash",INDEX('Materials Master'!$F$2:$F$27,MATCH($C688,'Materials Master'!$A$2:$A$27,0)),IF($B688="GMPC Recycling",INDEX('Materials Master'!$G$2:$G$27,MATCH($C688,'Materials Master'!$A$2:$A$27,0)),IF($B688="Organics Recycling",INDEX('Materials Master'!$H$2:$H$27,MATCH($C688,'Materials Master'!$A$2:$A$27,0)),IF($B688="Cardboard Recycling",INDEX('Materials Master'!$I$2:$I$27,MATCH($C688,'Materials Master'!$A$2:$A$27,0)),IF($B688="Paper Recycling",INDEX('Materials Master'!$J$2:$J$27,MATCH($C688,'Materials Master'!$A$2:$A$27,0)),IF($B688="Terracycle",INDEX('Materials Master'!$K$2:$K$27,MATCH($C688,'Materials Master'!$A$2:$A$27,0)),"No"))))))="Yes",INDEX('Materials Master'!$E$2:$E$27,MATCH($C688,'Materials Master'!$A$2:$A$27,0))="Yes",$B688&lt;&gt;"Trash"),1,0)</f>
        <v>0</v>
      </c>
      <c r="H688" s="0" t="str">
        <f aca="false">INDEX('Materials Master'!$E$2:$E$27,MATCH($C688,'Materials Master'!$A$2:$A$27,0))</f>
        <v>Yes</v>
      </c>
      <c r="I688" s="0" t="str">
        <f aca="false">IFERROR(INDEX(Areas!$C$2:$C$6,MATCH($A688,Areas!$B$2:$B$6,0)),"")</f>
        <v>Rest of Building</v>
      </c>
      <c r="J688" s="0" t="n">
        <f aca="false">IF(IF($B688="Trash",INDEX('Materials Master'!$F$2:$F$27,MATCH($C688,'Materials Master'!$A$2:$A$27,0)),IF($B688="GMPC Recycling",INDEX('Materials Master'!$G$2:$G$27,MATCH($C688,'Materials Master'!$A$2:$A$27,0)),IF($B688="Organics Recycling",INDEX('Materials Master'!$H$2:$H$27,MATCH($C688,'Materials Master'!$A$2:$A$27,0)),IF($B688="Cardboard Recycling",INDEX('Materials Master'!$I$2:$I$27,MATCH($C688,'Materials Master'!$A$2:$A$27,0)),IF($B688="Paper Recycling",INDEX('Materials Master'!$J$2:$J$27,MATCH($C688,'Materials Master'!$A$2:$A$27,0)),IF($B688="Terracycle",INDEX('Materials Master'!$K$2:$K$27,MATCH($C688,'Materials Master'!$A$2:$A$27,0)),"No"))))))="Yes",1,0)</f>
        <v>0</v>
      </c>
    </row>
    <row r="689" customFormat="false" ht="15" hidden="false" customHeight="false" outlineLevel="0" collapsed="false">
      <c r="A689" s="0" t="s">
        <v>100</v>
      </c>
      <c r="B689" s="0" t="s">
        <v>105</v>
      </c>
      <c r="C689" s="0" t="s">
        <v>53</v>
      </c>
      <c r="D689" s="0" t="str">
        <f aca="false">IFERROR(INDEX('Materials Master'!$B$2:$B$27,MATCH($C689,'Materials Master'!$A$2:$A$27,0)),"")</f>
        <v>Soiled Metals</v>
      </c>
      <c r="E689" s="0" t="str">
        <f aca="false">IFERROR(INDEX('Materials Master'!$C$2:$C$27,MATCH($C689,'Materials Master'!$A$2:$A$27,0)),"")</f>
        <v>Metals</v>
      </c>
      <c r="F689" s="0" t="n">
        <f aca="false">(SUMIFS(Fact_PreSortWeights!$E$2:$E$15,Fact_PreSortWeights!$C$2:$C$15,$A689,Fact_PreSortWeights!$B$2:$B$15,$B689,Fact_PreSortWeights!$F$2:$F$15,$C689))+(SUMIFS(Fact_SortedWeights!$E$2:$E$6,Fact_SortedWeights!$C$2:$C$6,$A689,Fact_SortedWeights!$B$2:$B$6,$B689,Fact_SortedWeights!$D$2:$D$6,$C689,Fact_SortedWeights!$L$2:$L$6,"Yes"))+IF((SUMIFS(Fact_SortedWeights!$E$2:$E$6,Fact_SortedWeights!$C$2:$C$6,$A689,Fact_SortedWeights!$B$2:$B$6,$B689,Fact_SortedWeights!$L$2:$L$6,"No"))=0,0,(SUMIFS(Fact_SortedWeights!$E$2:$E$6,Fact_SortedWeights!$C$2:$C$6,$A689,Fact_SortedWeights!$B$2:$B$6,$B689,Fact_SortedWeights!$D$2:$D$6,$C689,Fact_SortedWeights!$L$2:$L$6,"No"))/(SUMIFS(Fact_SortedWeights!$E$2:$E$6,Fact_SortedWeights!$C$2:$C$6,$A689,Fact_SortedWeights!$B$2:$B$6,$B689,Fact_SortedWeights!$L$2:$L$6,"No"))*((SUMIFS(Fact_PreSortWeights!$E$2:$E$15,Fact_PreSortWeights!$C$2:$C$15,$A689,Fact_PreSortWeights!$B$2:$B$15,$B689,Fact_PreSortWeights!$F$2:$F$15,""))-(SUMIFS(Fact_SortedWeights!$E$2:$E$6,Fact_SortedWeights!$C$2:$C$6,$A689,Fact_SortedWeights!$B$2:$B$6,$B689,Fact_SortedWeights!$L$2:$L$6,"Yes"))))</f>
        <v>0</v>
      </c>
      <c r="G689" s="0" t="n">
        <f aca="false">IF(AND(IF($B689="Trash",INDEX('Materials Master'!$F$2:$F$27,MATCH($C689,'Materials Master'!$A$2:$A$27,0)),IF($B689="GMPC Recycling",INDEX('Materials Master'!$G$2:$G$27,MATCH($C689,'Materials Master'!$A$2:$A$27,0)),IF($B689="Organics Recycling",INDEX('Materials Master'!$H$2:$H$27,MATCH($C689,'Materials Master'!$A$2:$A$27,0)),IF($B689="Cardboard Recycling",INDEX('Materials Master'!$I$2:$I$27,MATCH($C689,'Materials Master'!$A$2:$A$27,0)),IF($B689="Paper Recycling",INDEX('Materials Master'!$J$2:$J$27,MATCH($C689,'Materials Master'!$A$2:$A$27,0)),IF($B689="Terracycle",INDEX('Materials Master'!$K$2:$K$27,MATCH($C689,'Materials Master'!$A$2:$A$27,0)),"No"))))))="Yes",INDEX('Materials Master'!$E$2:$E$27,MATCH($C689,'Materials Master'!$A$2:$A$27,0))="Yes",$B689&lt;&gt;"Trash"),1,0)</f>
        <v>0</v>
      </c>
      <c r="H689" s="0" t="str">
        <f aca="false">INDEX('Materials Master'!$E$2:$E$27,MATCH($C689,'Materials Master'!$A$2:$A$27,0))</f>
        <v>No</v>
      </c>
      <c r="I689" s="0" t="str">
        <f aca="false">IFERROR(INDEX(Areas!$C$2:$C$6,MATCH($A689,Areas!$B$2:$B$6,0)),"")</f>
        <v>Rest of Building</v>
      </c>
      <c r="J689" s="0" t="n">
        <f aca="false">IF(IF($B689="Trash",INDEX('Materials Master'!$F$2:$F$27,MATCH($C689,'Materials Master'!$A$2:$A$27,0)),IF($B689="GMPC Recycling",INDEX('Materials Master'!$G$2:$G$27,MATCH($C689,'Materials Master'!$A$2:$A$27,0)),IF($B689="Organics Recycling",INDEX('Materials Master'!$H$2:$H$27,MATCH($C689,'Materials Master'!$A$2:$A$27,0)),IF($B689="Cardboard Recycling",INDEX('Materials Master'!$I$2:$I$27,MATCH($C689,'Materials Master'!$A$2:$A$27,0)),IF($B689="Paper Recycling",INDEX('Materials Master'!$J$2:$J$27,MATCH($C689,'Materials Master'!$A$2:$A$27,0)),IF($B689="Terracycle",INDEX('Materials Master'!$K$2:$K$27,MATCH($C689,'Materials Master'!$A$2:$A$27,0)),"No"))))))="Yes",1,0)</f>
        <v>0</v>
      </c>
    </row>
    <row r="690" customFormat="false" ht="15" hidden="false" customHeight="false" outlineLevel="0" collapsed="false">
      <c r="A690" s="0" t="s">
        <v>100</v>
      </c>
      <c r="B690" s="0" t="s">
        <v>105</v>
      </c>
      <c r="C690" s="0" t="s">
        <v>55</v>
      </c>
      <c r="D690" s="0" t="str">
        <f aca="false">IFERROR(INDEX('Materials Master'!$B$2:$B$27,MATCH($C690,'Materials Master'!$A$2:$A$27,0)),"")</f>
        <v>Rigid Plastics (1-6)</v>
      </c>
      <c r="E690" s="0" t="str">
        <f aca="false">IFERROR(INDEX('Materials Master'!$C$2:$C$27,MATCH($C690,'Materials Master'!$A$2:$A$27,0)),"")</f>
        <v>Plastics</v>
      </c>
      <c r="F690" s="0" t="n">
        <f aca="false">(SUMIFS(Fact_PreSortWeights!$E$2:$E$15,Fact_PreSortWeights!$C$2:$C$15,$A690,Fact_PreSortWeights!$B$2:$B$15,$B690,Fact_PreSortWeights!$F$2:$F$15,$C690))+(SUMIFS(Fact_SortedWeights!$E$2:$E$6,Fact_SortedWeights!$C$2:$C$6,$A690,Fact_SortedWeights!$B$2:$B$6,$B690,Fact_SortedWeights!$D$2:$D$6,$C690,Fact_SortedWeights!$L$2:$L$6,"Yes"))+IF((SUMIFS(Fact_SortedWeights!$E$2:$E$6,Fact_SortedWeights!$C$2:$C$6,$A690,Fact_SortedWeights!$B$2:$B$6,$B690,Fact_SortedWeights!$L$2:$L$6,"No"))=0,0,(SUMIFS(Fact_SortedWeights!$E$2:$E$6,Fact_SortedWeights!$C$2:$C$6,$A690,Fact_SortedWeights!$B$2:$B$6,$B690,Fact_SortedWeights!$D$2:$D$6,$C690,Fact_SortedWeights!$L$2:$L$6,"No"))/(SUMIFS(Fact_SortedWeights!$E$2:$E$6,Fact_SortedWeights!$C$2:$C$6,$A690,Fact_SortedWeights!$B$2:$B$6,$B690,Fact_SortedWeights!$L$2:$L$6,"No"))*((SUMIFS(Fact_PreSortWeights!$E$2:$E$15,Fact_PreSortWeights!$C$2:$C$15,$A690,Fact_PreSortWeights!$B$2:$B$15,$B690,Fact_PreSortWeights!$F$2:$F$15,""))-(SUMIFS(Fact_SortedWeights!$E$2:$E$6,Fact_SortedWeights!$C$2:$C$6,$A690,Fact_SortedWeights!$B$2:$B$6,$B690,Fact_SortedWeights!$L$2:$L$6,"Yes"))))</f>
        <v>0</v>
      </c>
      <c r="G690" s="0" t="n">
        <f aca="false">IF(AND(IF($B690="Trash",INDEX('Materials Master'!$F$2:$F$27,MATCH($C690,'Materials Master'!$A$2:$A$27,0)),IF($B690="GMPC Recycling",INDEX('Materials Master'!$G$2:$G$27,MATCH($C690,'Materials Master'!$A$2:$A$27,0)),IF($B690="Organics Recycling",INDEX('Materials Master'!$H$2:$H$27,MATCH($C690,'Materials Master'!$A$2:$A$27,0)),IF($B690="Cardboard Recycling",INDEX('Materials Master'!$I$2:$I$27,MATCH($C690,'Materials Master'!$A$2:$A$27,0)),IF($B690="Paper Recycling",INDEX('Materials Master'!$J$2:$J$27,MATCH($C690,'Materials Master'!$A$2:$A$27,0)),IF($B690="Terracycle",INDEX('Materials Master'!$K$2:$K$27,MATCH($C690,'Materials Master'!$A$2:$A$27,0)),"No"))))))="Yes",INDEX('Materials Master'!$E$2:$E$27,MATCH($C690,'Materials Master'!$A$2:$A$27,0))="Yes",$B690&lt;&gt;"Trash"),1,0)</f>
        <v>0</v>
      </c>
      <c r="H690" s="0" t="str">
        <f aca="false">INDEX('Materials Master'!$E$2:$E$27,MATCH($C690,'Materials Master'!$A$2:$A$27,0))</f>
        <v>Yes</v>
      </c>
      <c r="I690" s="0" t="str">
        <f aca="false">IFERROR(INDEX(Areas!$C$2:$C$6,MATCH($A690,Areas!$B$2:$B$6,0)),"")</f>
        <v>Rest of Building</v>
      </c>
      <c r="J690" s="0" t="n">
        <f aca="false">IF(IF($B690="Trash",INDEX('Materials Master'!$F$2:$F$27,MATCH($C690,'Materials Master'!$A$2:$A$27,0)),IF($B690="GMPC Recycling",INDEX('Materials Master'!$G$2:$G$27,MATCH($C690,'Materials Master'!$A$2:$A$27,0)),IF($B690="Organics Recycling",INDEX('Materials Master'!$H$2:$H$27,MATCH($C690,'Materials Master'!$A$2:$A$27,0)),IF($B690="Cardboard Recycling",INDEX('Materials Master'!$I$2:$I$27,MATCH($C690,'Materials Master'!$A$2:$A$27,0)),IF($B690="Paper Recycling",INDEX('Materials Master'!$J$2:$J$27,MATCH($C690,'Materials Master'!$A$2:$A$27,0)),IF($B690="Terracycle",INDEX('Materials Master'!$K$2:$K$27,MATCH($C690,'Materials Master'!$A$2:$A$27,0)),"No"))))))="Yes",1,0)</f>
        <v>0</v>
      </c>
    </row>
    <row r="691" customFormat="false" ht="15" hidden="false" customHeight="false" outlineLevel="0" collapsed="false">
      <c r="A691" s="0" t="s">
        <v>100</v>
      </c>
      <c r="B691" s="0" t="s">
        <v>105</v>
      </c>
      <c r="C691" s="0" t="s">
        <v>58</v>
      </c>
      <c r="D691" s="0" t="str">
        <f aca="false">IFERROR(INDEX('Materials Master'!$B$2:$B$27,MATCH($C691,'Materials Master'!$A$2:$A$27,0)),"")</f>
        <v>Soiled Rigid Plastics</v>
      </c>
      <c r="E691" s="0" t="str">
        <f aca="false">IFERROR(INDEX('Materials Master'!$C$2:$C$27,MATCH($C691,'Materials Master'!$A$2:$A$27,0)),"")</f>
        <v>Plastics</v>
      </c>
      <c r="F691" s="0" t="n">
        <f aca="false">(SUMIFS(Fact_PreSortWeights!$E$2:$E$15,Fact_PreSortWeights!$C$2:$C$15,$A691,Fact_PreSortWeights!$B$2:$B$15,$B691,Fact_PreSortWeights!$F$2:$F$15,$C691))+(SUMIFS(Fact_SortedWeights!$E$2:$E$6,Fact_SortedWeights!$C$2:$C$6,$A691,Fact_SortedWeights!$B$2:$B$6,$B691,Fact_SortedWeights!$D$2:$D$6,$C691,Fact_SortedWeights!$L$2:$L$6,"Yes"))+IF((SUMIFS(Fact_SortedWeights!$E$2:$E$6,Fact_SortedWeights!$C$2:$C$6,$A691,Fact_SortedWeights!$B$2:$B$6,$B691,Fact_SortedWeights!$L$2:$L$6,"No"))=0,0,(SUMIFS(Fact_SortedWeights!$E$2:$E$6,Fact_SortedWeights!$C$2:$C$6,$A691,Fact_SortedWeights!$B$2:$B$6,$B691,Fact_SortedWeights!$D$2:$D$6,$C691,Fact_SortedWeights!$L$2:$L$6,"No"))/(SUMIFS(Fact_SortedWeights!$E$2:$E$6,Fact_SortedWeights!$C$2:$C$6,$A691,Fact_SortedWeights!$B$2:$B$6,$B691,Fact_SortedWeights!$L$2:$L$6,"No"))*((SUMIFS(Fact_PreSortWeights!$E$2:$E$15,Fact_PreSortWeights!$C$2:$C$15,$A691,Fact_PreSortWeights!$B$2:$B$15,$B691,Fact_PreSortWeights!$F$2:$F$15,""))-(SUMIFS(Fact_SortedWeights!$E$2:$E$6,Fact_SortedWeights!$C$2:$C$6,$A691,Fact_SortedWeights!$B$2:$B$6,$B691,Fact_SortedWeights!$L$2:$L$6,"Yes"))))</f>
        <v>0</v>
      </c>
      <c r="G691" s="0" t="n">
        <f aca="false">IF(AND(IF($B691="Trash",INDEX('Materials Master'!$F$2:$F$27,MATCH($C691,'Materials Master'!$A$2:$A$27,0)),IF($B691="GMPC Recycling",INDEX('Materials Master'!$G$2:$G$27,MATCH($C691,'Materials Master'!$A$2:$A$27,0)),IF($B691="Organics Recycling",INDEX('Materials Master'!$H$2:$H$27,MATCH($C691,'Materials Master'!$A$2:$A$27,0)),IF($B691="Cardboard Recycling",INDEX('Materials Master'!$I$2:$I$27,MATCH($C691,'Materials Master'!$A$2:$A$27,0)),IF($B691="Paper Recycling",INDEX('Materials Master'!$J$2:$J$27,MATCH($C691,'Materials Master'!$A$2:$A$27,0)),IF($B691="Terracycle",INDEX('Materials Master'!$K$2:$K$27,MATCH($C691,'Materials Master'!$A$2:$A$27,0)),"No"))))))="Yes",INDEX('Materials Master'!$E$2:$E$27,MATCH($C691,'Materials Master'!$A$2:$A$27,0))="Yes",$B691&lt;&gt;"Trash"),1,0)</f>
        <v>0</v>
      </c>
      <c r="H691" s="0" t="str">
        <f aca="false">INDEX('Materials Master'!$E$2:$E$27,MATCH($C691,'Materials Master'!$A$2:$A$27,0))</f>
        <v>No</v>
      </c>
      <c r="I691" s="0" t="str">
        <f aca="false">IFERROR(INDEX(Areas!$C$2:$C$6,MATCH($A691,Areas!$B$2:$B$6,0)),"")</f>
        <v>Rest of Building</v>
      </c>
      <c r="J691" s="0" t="n">
        <f aca="false">IF(IF($B691="Trash",INDEX('Materials Master'!$F$2:$F$27,MATCH($C691,'Materials Master'!$A$2:$A$27,0)),IF($B691="GMPC Recycling",INDEX('Materials Master'!$G$2:$G$27,MATCH($C691,'Materials Master'!$A$2:$A$27,0)),IF($B691="Organics Recycling",INDEX('Materials Master'!$H$2:$H$27,MATCH($C691,'Materials Master'!$A$2:$A$27,0)),IF($B691="Cardboard Recycling",INDEX('Materials Master'!$I$2:$I$27,MATCH($C691,'Materials Master'!$A$2:$A$27,0)),IF($B691="Paper Recycling",INDEX('Materials Master'!$J$2:$J$27,MATCH($C691,'Materials Master'!$A$2:$A$27,0)),IF($B691="Terracycle",INDEX('Materials Master'!$K$2:$K$27,MATCH($C691,'Materials Master'!$A$2:$A$27,0)),"No"))))))="Yes",1,0)</f>
        <v>0</v>
      </c>
    </row>
    <row r="692" customFormat="false" ht="15" hidden="false" customHeight="false" outlineLevel="0" collapsed="false">
      <c r="A692" s="0" t="s">
        <v>100</v>
      </c>
      <c r="B692" s="0" t="s">
        <v>105</v>
      </c>
      <c r="C692" s="0" t="s">
        <v>60</v>
      </c>
      <c r="D692" s="0" t="str">
        <f aca="false">IFERROR(INDEX('Materials Master'!$B$2:$B$27,MATCH($C692,'Materials Master'!$A$2:$A$27,0)),"")</f>
        <v>Film Plastics</v>
      </c>
      <c r="E692" s="0" t="str">
        <f aca="false">IFERROR(INDEX('Materials Master'!$C$2:$C$27,MATCH($C692,'Materials Master'!$A$2:$A$27,0)),"")</f>
        <v>Plastics</v>
      </c>
      <c r="F692" s="0" t="n">
        <f aca="false">(SUMIFS(Fact_PreSortWeights!$E$2:$E$15,Fact_PreSortWeights!$C$2:$C$15,$A692,Fact_PreSortWeights!$B$2:$B$15,$B692,Fact_PreSortWeights!$F$2:$F$15,$C692))+(SUMIFS(Fact_SortedWeights!$E$2:$E$6,Fact_SortedWeights!$C$2:$C$6,$A692,Fact_SortedWeights!$B$2:$B$6,$B692,Fact_SortedWeights!$D$2:$D$6,$C692,Fact_SortedWeights!$L$2:$L$6,"Yes"))+IF((SUMIFS(Fact_SortedWeights!$E$2:$E$6,Fact_SortedWeights!$C$2:$C$6,$A692,Fact_SortedWeights!$B$2:$B$6,$B692,Fact_SortedWeights!$L$2:$L$6,"No"))=0,0,(SUMIFS(Fact_SortedWeights!$E$2:$E$6,Fact_SortedWeights!$C$2:$C$6,$A692,Fact_SortedWeights!$B$2:$B$6,$B692,Fact_SortedWeights!$D$2:$D$6,$C692,Fact_SortedWeights!$L$2:$L$6,"No"))/(SUMIFS(Fact_SortedWeights!$E$2:$E$6,Fact_SortedWeights!$C$2:$C$6,$A692,Fact_SortedWeights!$B$2:$B$6,$B692,Fact_SortedWeights!$L$2:$L$6,"No"))*((SUMIFS(Fact_PreSortWeights!$E$2:$E$15,Fact_PreSortWeights!$C$2:$C$15,$A692,Fact_PreSortWeights!$B$2:$B$15,$B692,Fact_PreSortWeights!$F$2:$F$15,""))-(SUMIFS(Fact_SortedWeights!$E$2:$E$6,Fact_SortedWeights!$C$2:$C$6,$A692,Fact_SortedWeights!$B$2:$B$6,$B692,Fact_SortedWeights!$L$2:$L$6,"Yes"))))</f>
        <v>0</v>
      </c>
      <c r="G692" s="0" t="n">
        <f aca="false">IF(AND(IF($B692="Trash",INDEX('Materials Master'!$F$2:$F$27,MATCH($C692,'Materials Master'!$A$2:$A$27,0)),IF($B692="GMPC Recycling",INDEX('Materials Master'!$G$2:$G$27,MATCH($C692,'Materials Master'!$A$2:$A$27,0)),IF($B692="Organics Recycling",INDEX('Materials Master'!$H$2:$H$27,MATCH($C692,'Materials Master'!$A$2:$A$27,0)),IF($B692="Cardboard Recycling",INDEX('Materials Master'!$I$2:$I$27,MATCH($C692,'Materials Master'!$A$2:$A$27,0)),IF($B692="Paper Recycling",INDEX('Materials Master'!$J$2:$J$27,MATCH($C692,'Materials Master'!$A$2:$A$27,0)),IF($B692="Terracycle",INDEX('Materials Master'!$K$2:$K$27,MATCH($C692,'Materials Master'!$A$2:$A$27,0)),"No"))))))="Yes",INDEX('Materials Master'!$E$2:$E$27,MATCH($C692,'Materials Master'!$A$2:$A$27,0))="Yes",$B692&lt;&gt;"Trash"),1,0)</f>
        <v>0</v>
      </c>
      <c r="H692" s="0" t="str">
        <f aca="false">INDEX('Materials Master'!$E$2:$E$27,MATCH($C692,'Materials Master'!$A$2:$A$27,0))</f>
        <v>No</v>
      </c>
      <c r="I692" s="0" t="str">
        <f aca="false">IFERROR(INDEX(Areas!$C$2:$C$6,MATCH($A692,Areas!$B$2:$B$6,0)),"")</f>
        <v>Rest of Building</v>
      </c>
      <c r="J692" s="0" t="n">
        <f aca="false">IF(IF($B692="Trash",INDEX('Materials Master'!$F$2:$F$27,MATCH($C692,'Materials Master'!$A$2:$A$27,0)),IF($B692="GMPC Recycling",INDEX('Materials Master'!$G$2:$G$27,MATCH($C692,'Materials Master'!$A$2:$A$27,0)),IF($B692="Organics Recycling",INDEX('Materials Master'!$H$2:$H$27,MATCH($C692,'Materials Master'!$A$2:$A$27,0)),IF($B692="Cardboard Recycling",INDEX('Materials Master'!$I$2:$I$27,MATCH($C692,'Materials Master'!$A$2:$A$27,0)),IF($B692="Paper Recycling",INDEX('Materials Master'!$J$2:$J$27,MATCH($C692,'Materials Master'!$A$2:$A$27,0)),IF($B692="Terracycle",INDEX('Materials Master'!$K$2:$K$27,MATCH($C692,'Materials Master'!$A$2:$A$27,0)),"No"))))))="Yes",1,0)</f>
        <v>0</v>
      </c>
    </row>
    <row r="693" customFormat="false" ht="15" hidden="false" customHeight="false" outlineLevel="0" collapsed="false">
      <c r="A693" s="0" t="s">
        <v>100</v>
      </c>
      <c r="B693" s="0" t="s">
        <v>105</v>
      </c>
      <c r="C693" s="0" t="s">
        <v>62</v>
      </c>
      <c r="D693" s="0" t="str">
        <f aca="false">IFERROR(INDEX('Materials Master'!$B$2:$B$27,MATCH($C693,'Materials Master'!$A$2:$A$27,0)),"")</f>
        <v>Foams</v>
      </c>
      <c r="E693" s="0" t="str">
        <f aca="false">IFERROR(INDEX('Materials Master'!$C$2:$C$27,MATCH($C693,'Materials Master'!$A$2:$A$27,0)),"")</f>
        <v>Plastics</v>
      </c>
      <c r="F693" s="0" t="n">
        <f aca="false">(SUMIFS(Fact_PreSortWeights!$E$2:$E$15,Fact_PreSortWeights!$C$2:$C$15,$A693,Fact_PreSortWeights!$B$2:$B$15,$B693,Fact_PreSortWeights!$F$2:$F$15,$C693))+(SUMIFS(Fact_SortedWeights!$E$2:$E$6,Fact_SortedWeights!$C$2:$C$6,$A693,Fact_SortedWeights!$B$2:$B$6,$B693,Fact_SortedWeights!$D$2:$D$6,$C693,Fact_SortedWeights!$L$2:$L$6,"Yes"))+IF((SUMIFS(Fact_SortedWeights!$E$2:$E$6,Fact_SortedWeights!$C$2:$C$6,$A693,Fact_SortedWeights!$B$2:$B$6,$B693,Fact_SortedWeights!$L$2:$L$6,"No"))=0,0,(SUMIFS(Fact_SortedWeights!$E$2:$E$6,Fact_SortedWeights!$C$2:$C$6,$A693,Fact_SortedWeights!$B$2:$B$6,$B693,Fact_SortedWeights!$D$2:$D$6,$C693,Fact_SortedWeights!$L$2:$L$6,"No"))/(SUMIFS(Fact_SortedWeights!$E$2:$E$6,Fact_SortedWeights!$C$2:$C$6,$A693,Fact_SortedWeights!$B$2:$B$6,$B693,Fact_SortedWeights!$L$2:$L$6,"No"))*((SUMIFS(Fact_PreSortWeights!$E$2:$E$15,Fact_PreSortWeights!$C$2:$C$15,$A693,Fact_PreSortWeights!$B$2:$B$15,$B693,Fact_PreSortWeights!$F$2:$F$15,""))-(SUMIFS(Fact_SortedWeights!$E$2:$E$6,Fact_SortedWeights!$C$2:$C$6,$A693,Fact_SortedWeights!$B$2:$B$6,$B693,Fact_SortedWeights!$L$2:$L$6,"Yes"))))</f>
        <v>0</v>
      </c>
      <c r="G693" s="0" t="n">
        <f aca="false">IF(AND(IF($B693="Trash",INDEX('Materials Master'!$F$2:$F$27,MATCH($C693,'Materials Master'!$A$2:$A$27,0)),IF($B693="GMPC Recycling",INDEX('Materials Master'!$G$2:$G$27,MATCH($C693,'Materials Master'!$A$2:$A$27,0)),IF($B693="Organics Recycling",INDEX('Materials Master'!$H$2:$H$27,MATCH($C693,'Materials Master'!$A$2:$A$27,0)),IF($B693="Cardboard Recycling",INDEX('Materials Master'!$I$2:$I$27,MATCH($C693,'Materials Master'!$A$2:$A$27,0)),IF($B693="Paper Recycling",INDEX('Materials Master'!$J$2:$J$27,MATCH($C693,'Materials Master'!$A$2:$A$27,0)),IF($B693="Terracycle",INDEX('Materials Master'!$K$2:$K$27,MATCH($C693,'Materials Master'!$A$2:$A$27,0)),"No"))))))="Yes",INDEX('Materials Master'!$E$2:$E$27,MATCH($C693,'Materials Master'!$A$2:$A$27,0))="Yes",$B693&lt;&gt;"Trash"),1,0)</f>
        <v>0</v>
      </c>
      <c r="H693" s="0" t="str">
        <f aca="false">INDEX('Materials Master'!$E$2:$E$27,MATCH($C693,'Materials Master'!$A$2:$A$27,0))</f>
        <v>No</v>
      </c>
      <c r="I693" s="0" t="str">
        <f aca="false">IFERROR(INDEX(Areas!$C$2:$C$6,MATCH($A693,Areas!$B$2:$B$6,0)),"")</f>
        <v>Rest of Building</v>
      </c>
      <c r="J693" s="0" t="n">
        <f aca="false">IF(IF($B693="Trash",INDEX('Materials Master'!$F$2:$F$27,MATCH($C693,'Materials Master'!$A$2:$A$27,0)),IF($B693="GMPC Recycling",INDEX('Materials Master'!$G$2:$G$27,MATCH($C693,'Materials Master'!$A$2:$A$27,0)),IF($B693="Organics Recycling",INDEX('Materials Master'!$H$2:$H$27,MATCH($C693,'Materials Master'!$A$2:$A$27,0)),IF($B693="Cardboard Recycling",INDEX('Materials Master'!$I$2:$I$27,MATCH($C693,'Materials Master'!$A$2:$A$27,0)),IF($B693="Paper Recycling",INDEX('Materials Master'!$J$2:$J$27,MATCH($C693,'Materials Master'!$A$2:$A$27,0)),IF($B693="Terracycle",INDEX('Materials Master'!$K$2:$K$27,MATCH($C693,'Materials Master'!$A$2:$A$27,0)),"No"))))))="Yes",1,0)</f>
        <v>0</v>
      </c>
    </row>
    <row r="694" customFormat="false" ht="15" hidden="false" customHeight="false" outlineLevel="0" collapsed="false">
      <c r="A694" s="0" t="s">
        <v>100</v>
      </c>
      <c r="B694" s="0" t="s">
        <v>105</v>
      </c>
      <c r="C694" s="0" t="s">
        <v>64</v>
      </c>
      <c r="D694" s="0" t="str">
        <f aca="false">IFERROR(INDEX('Materials Master'!$B$2:$B$27,MATCH($C694,'Materials Master'!$A$2:$A$27,0)),"")</f>
        <v>Food Waste</v>
      </c>
      <c r="E694" s="0" t="str">
        <f aca="false">IFERROR(INDEX('Materials Master'!$C$2:$C$27,MATCH($C694,'Materials Master'!$A$2:$A$27,0)),"")</f>
        <v>Organics</v>
      </c>
      <c r="F694" s="0" t="n">
        <f aca="false">(SUMIFS(Fact_PreSortWeights!$E$2:$E$15,Fact_PreSortWeights!$C$2:$C$15,$A694,Fact_PreSortWeights!$B$2:$B$15,$B694,Fact_PreSortWeights!$F$2:$F$15,$C694))+(SUMIFS(Fact_SortedWeights!$E$2:$E$6,Fact_SortedWeights!$C$2:$C$6,$A694,Fact_SortedWeights!$B$2:$B$6,$B694,Fact_SortedWeights!$D$2:$D$6,$C694,Fact_SortedWeights!$L$2:$L$6,"Yes"))+IF((SUMIFS(Fact_SortedWeights!$E$2:$E$6,Fact_SortedWeights!$C$2:$C$6,$A694,Fact_SortedWeights!$B$2:$B$6,$B694,Fact_SortedWeights!$L$2:$L$6,"No"))=0,0,(SUMIFS(Fact_SortedWeights!$E$2:$E$6,Fact_SortedWeights!$C$2:$C$6,$A694,Fact_SortedWeights!$B$2:$B$6,$B694,Fact_SortedWeights!$D$2:$D$6,$C694,Fact_SortedWeights!$L$2:$L$6,"No"))/(SUMIFS(Fact_SortedWeights!$E$2:$E$6,Fact_SortedWeights!$C$2:$C$6,$A694,Fact_SortedWeights!$B$2:$B$6,$B694,Fact_SortedWeights!$L$2:$L$6,"No"))*((SUMIFS(Fact_PreSortWeights!$E$2:$E$15,Fact_PreSortWeights!$C$2:$C$15,$A694,Fact_PreSortWeights!$B$2:$B$15,$B694,Fact_PreSortWeights!$F$2:$F$15,""))-(SUMIFS(Fact_SortedWeights!$E$2:$E$6,Fact_SortedWeights!$C$2:$C$6,$A694,Fact_SortedWeights!$B$2:$B$6,$B694,Fact_SortedWeights!$L$2:$L$6,"Yes"))))</f>
        <v>0</v>
      </c>
      <c r="G694" s="0" t="n">
        <f aca="false">IF(AND(IF($B694="Trash",INDEX('Materials Master'!$F$2:$F$27,MATCH($C694,'Materials Master'!$A$2:$A$27,0)),IF($B694="GMPC Recycling",INDEX('Materials Master'!$G$2:$G$27,MATCH($C694,'Materials Master'!$A$2:$A$27,0)),IF($B694="Organics Recycling",INDEX('Materials Master'!$H$2:$H$27,MATCH($C694,'Materials Master'!$A$2:$A$27,0)),IF($B694="Cardboard Recycling",INDEX('Materials Master'!$I$2:$I$27,MATCH($C694,'Materials Master'!$A$2:$A$27,0)),IF($B694="Paper Recycling",INDEX('Materials Master'!$J$2:$J$27,MATCH($C694,'Materials Master'!$A$2:$A$27,0)),IF($B694="Terracycle",INDEX('Materials Master'!$K$2:$K$27,MATCH($C694,'Materials Master'!$A$2:$A$27,0)),"No"))))))="Yes",INDEX('Materials Master'!$E$2:$E$27,MATCH($C694,'Materials Master'!$A$2:$A$27,0))="Yes",$B694&lt;&gt;"Trash"),1,0)</f>
        <v>1</v>
      </c>
      <c r="H694" s="0" t="str">
        <f aca="false">INDEX('Materials Master'!$E$2:$E$27,MATCH($C694,'Materials Master'!$A$2:$A$27,0))</f>
        <v>Yes</v>
      </c>
      <c r="I694" s="0" t="str">
        <f aca="false">IFERROR(INDEX(Areas!$C$2:$C$6,MATCH($A694,Areas!$B$2:$B$6,0)),"")</f>
        <v>Rest of Building</v>
      </c>
      <c r="J694" s="0" t="n">
        <f aca="false">IF(IF($B694="Trash",INDEX('Materials Master'!$F$2:$F$27,MATCH($C694,'Materials Master'!$A$2:$A$27,0)),IF($B694="GMPC Recycling",INDEX('Materials Master'!$G$2:$G$27,MATCH($C694,'Materials Master'!$A$2:$A$27,0)),IF($B694="Organics Recycling",INDEX('Materials Master'!$H$2:$H$27,MATCH($C694,'Materials Master'!$A$2:$A$27,0)),IF($B694="Cardboard Recycling",INDEX('Materials Master'!$I$2:$I$27,MATCH($C694,'Materials Master'!$A$2:$A$27,0)),IF($B694="Paper Recycling",INDEX('Materials Master'!$J$2:$J$27,MATCH($C694,'Materials Master'!$A$2:$A$27,0)),IF($B694="Terracycle",INDEX('Materials Master'!$K$2:$K$27,MATCH($C694,'Materials Master'!$A$2:$A$27,0)),"No"))))))="Yes",1,0)</f>
        <v>1</v>
      </c>
    </row>
    <row r="695" customFormat="false" ht="15" hidden="false" customHeight="false" outlineLevel="0" collapsed="false">
      <c r="A695" s="0" t="s">
        <v>100</v>
      </c>
      <c r="B695" s="0" t="s">
        <v>105</v>
      </c>
      <c r="C695" s="0" t="s">
        <v>67</v>
      </c>
      <c r="D695" s="0" t="str">
        <f aca="false">IFERROR(INDEX('Materials Master'!$B$2:$B$27,MATCH($C695,'Materials Master'!$A$2:$A$27,0)),"")</f>
        <v>Paper Fibers and Food-Soiled Paper (FSP)</v>
      </c>
      <c r="E695" s="0" t="str">
        <f aca="false">IFERROR(INDEX('Materials Master'!$C$2:$C$27,MATCH($C695,'Materials Master'!$A$2:$A$27,0)),"")</f>
        <v>Organics</v>
      </c>
      <c r="F695" s="0" t="n">
        <f aca="false">(SUMIFS(Fact_PreSortWeights!$E$2:$E$15,Fact_PreSortWeights!$C$2:$C$15,$A695,Fact_PreSortWeights!$B$2:$B$15,$B695,Fact_PreSortWeights!$F$2:$F$15,$C695))+(SUMIFS(Fact_SortedWeights!$E$2:$E$6,Fact_SortedWeights!$C$2:$C$6,$A695,Fact_SortedWeights!$B$2:$B$6,$B695,Fact_SortedWeights!$D$2:$D$6,$C695,Fact_SortedWeights!$L$2:$L$6,"Yes"))+IF((SUMIFS(Fact_SortedWeights!$E$2:$E$6,Fact_SortedWeights!$C$2:$C$6,$A695,Fact_SortedWeights!$B$2:$B$6,$B695,Fact_SortedWeights!$L$2:$L$6,"No"))=0,(SUMIFS(Fact_PreSortWeights!$E$2:$E$15,Fact_PreSortWeights!$C$2:$C$15,$A695,Fact_PreSortWeights!$B$2:$B$15,$B695,Fact_PreSortWeights!$F$2:$F$15,""))-(SUMIFS(Fact_SortedWeights!$E$2:$E$6,Fact_SortedWeights!$C$2:$C$6,$A695,Fact_SortedWeights!$B$2:$B$6,$B695,Fact_SortedWeights!$L$2:$L$6,"Yes")),(SUMIFS(Fact_SortedWeights!$E$2:$E$6,Fact_SortedWeights!$C$2:$C$6,$A695,Fact_SortedWeights!$B$2:$B$6,$B695,Fact_SortedWeights!$D$2:$D$6,$C695,Fact_SortedWeights!$L$2:$L$6,"No"))/(SUMIFS(Fact_SortedWeights!$E$2:$E$6,Fact_SortedWeights!$C$2:$C$6,$A695,Fact_SortedWeights!$B$2:$B$6,$B695,Fact_SortedWeights!$L$2:$L$6,"No"))*((SUMIFS(Fact_PreSortWeights!$E$2:$E$15,Fact_PreSortWeights!$C$2:$C$15,$A695,Fact_PreSortWeights!$B$2:$B$15,$B695,Fact_PreSortWeights!$F$2:$F$15,""))-(SUMIFS(Fact_SortedWeights!$E$2:$E$6,Fact_SortedWeights!$C$2:$C$6,$A695,Fact_SortedWeights!$B$2:$B$6,$B695,Fact_SortedWeights!$L$2:$L$6,"Yes"))))</f>
        <v>0</v>
      </c>
      <c r="G695" s="0" t="n">
        <f aca="false">IF(AND(IF($B695="Trash",INDEX('Materials Master'!$F$2:$F$27,MATCH($C695,'Materials Master'!$A$2:$A$27,0)),IF($B695="GMPC Recycling",INDEX('Materials Master'!$G$2:$G$27,MATCH($C695,'Materials Master'!$A$2:$A$27,0)),IF($B695="Organics Recycling",INDEX('Materials Master'!$H$2:$H$27,MATCH($C695,'Materials Master'!$A$2:$A$27,0)),IF($B695="Cardboard Recycling",INDEX('Materials Master'!$I$2:$I$27,MATCH($C695,'Materials Master'!$A$2:$A$27,0)),IF($B695="Paper Recycling",INDEX('Materials Master'!$J$2:$J$27,MATCH($C695,'Materials Master'!$A$2:$A$27,0)),IF($B695="Terracycle",INDEX('Materials Master'!$K$2:$K$27,MATCH($C695,'Materials Master'!$A$2:$A$27,0)),"No"))))))="Yes",INDEX('Materials Master'!$E$2:$E$27,MATCH($C695,'Materials Master'!$A$2:$A$27,0))="Yes",$B695&lt;&gt;"Trash"),1,0)</f>
        <v>0</v>
      </c>
      <c r="H695" s="0" t="str">
        <f aca="false">INDEX('Materials Master'!$E$2:$E$27,MATCH($C695,'Materials Master'!$A$2:$A$27,0))</f>
        <v>No</v>
      </c>
      <c r="I695" s="0" t="str">
        <f aca="false">IFERROR(INDEX(Areas!$C$2:$C$6,MATCH($A695,Areas!$B$2:$B$6,0)),"")</f>
        <v>Rest of Building</v>
      </c>
      <c r="J695" s="0" t="n">
        <f aca="false">IF(IF($B695="Trash",INDEX('Materials Master'!$F$2:$F$27,MATCH($C695,'Materials Master'!$A$2:$A$27,0)),IF($B695="GMPC Recycling",INDEX('Materials Master'!$G$2:$G$27,MATCH($C695,'Materials Master'!$A$2:$A$27,0)),IF($B695="Organics Recycling",INDEX('Materials Master'!$H$2:$H$27,MATCH($C695,'Materials Master'!$A$2:$A$27,0)),IF($B695="Cardboard Recycling",INDEX('Materials Master'!$I$2:$I$27,MATCH($C695,'Materials Master'!$A$2:$A$27,0)),IF($B695="Paper Recycling",INDEX('Materials Master'!$J$2:$J$27,MATCH($C695,'Materials Master'!$A$2:$A$27,0)),IF($B695="Terracycle",INDEX('Materials Master'!$K$2:$K$27,MATCH($C695,'Materials Master'!$A$2:$A$27,0)),"No"))))))="Yes",1,0)</f>
        <v>0</v>
      </c>
    </row>
    <row r="696" customFormat="false" ht="15" hidden="false" customHeight="false" outlineLevel="0" collapsed="false">
      <c r="A696" s="0" t="s">
        <v>100</v>
      </c>
      <c r="B696" s="0" t="s">
        <v>105</v>
      </c>
      <c r="C696" s="0" t="s">
        <v>69</v>
      </c>
      <c r="D696" s="0" t="str">
        <f aca="false">IFERROR(INDEX('Materials Master'!$B$2:$B$27,MATCH($C696,'Materials Master'!$A$2:$A$27,0)),"")</f>
        <v>Fiber-based Compostable Serviceware</v>
      </c>
      <c r="E696" s="0" t="str">
        <f aca="false">IFERROR(INDEX('Materials Master'!$C$2:$C$27,MATCH($C696,'Materials Master'!$A$2:$A$27,0)),"")</f>
        <v>Organics</v>
      </c>
      <c r="F696" s="0" t="n">
        <f aca="false">(SUMIFS(Fact_PreSortWeights!$E$2:$E$15,Fact_PreSortWeights!$C$2:$C$15,$A696,Fact_PreSortWeights!$B$2:$B$15,$B696,Fact_PreSortWeights!$F$2:$F$15,$C696))+(SUMIFS(Fact_SortedWeights!$E$2:$E$6,Fact_SortedWeights!$C$2:$C$6,$A696,Fact_SortedWeights!$B$2:$B$6,$B696,Fact_SortedWeights!$D$2:$D$6,$C696,Fact_SortedWeights!$L$2:$L$6,"Yes"))+IF((SUMIFS(Fact_SortedWeights!$E$2:$E$6,Fact_SortedWeights!$C$2:$C$6,$A696,Fact_SortedWeights!$B$2:$B$6,$B696,Fact_SortedWeights!$L$2:$L$6,"No"))=0,0,(SUMIFS(Fact_SortedWeights!$E$2:$E$6,Fact_SortedWeights!$C$2:$C$6,$A696,Fact_SortedWeights!$B$2:$B$6,$B696,Fact_SortedWeights!$D$2:$D$6,$C696,Fact_SortedWeights!$L$2:$L$6,"No"))/(SUMIFS(Fact_SortedWeights!$E$2:$E$6,Fact_SortedWeights!$C$2:$C$6,$A696,Fact_SortedWeights!$B$2:$B$6,$B696,Fact_SortedWeights!$L$2:$L$6,"No"))*((SUMIFS(Fact_PreSortWeights!$E$2:$E$15,Fact_PreSortWeights!$C$2:$C$15,$A696,Fact_PreSortWeights!$B$2:$B$15,$B696,Fact_PreSortWeights!$F$2:$F$15,""))-(SUMIFS(Fact_SortedWeights!$E$2:$E$6,Fact_SortedWeights!$C$2:$C$6,$A696,Fact_SortedWeights!$B$2:$B$6,$B696,Fact_SortedWeights!$L$2:$L$6,"Yes"))))</f>
        <v>0</v>
      </c>
      <c r="G696" s="0" t="n">
        <f aca="false">IF(AND(IF($B696="Trash",INDEX('Materials Master'!$F$2:$F$27,MATCH($C696,'Materials Master'!$A$2:$A$27,0)),IF($B696="GMPC Recycling",INDEX('Materials Master'!$G$2:$G$27,MATCH($C696,'Materials Master'!$A$2:$A$27,0)),IF($B696="Organics Recycling",INDEX('Materials Master'!$H$2:$H$27,MATCH($C696,'Materials Master'!$A$2:$A$27,0)),IF($B696="Cardboard Recycling",INDEX('Materials Master'!$I$2:$I$27,MATCH($C696,'Materials Master'!$A$2:$A$27,0)),IF($B696="Paper Recycling",INDEX('Materials Master'!$J$2:$J$27,MATCH($C696,'Materials Master'!$A$2:$A$27,0)),IF($B696="Terracycle",INDEX('Materials Master'!$K$2:$K$27,MATCH($C696,'Materials Master'!$A$2:$A$27,0)),"No"))))))="Yes",INDEX('Materials Master'!$E$2:$E$27,MATCH($C696,'Materials Master'!$A$2:$A$27,0))="Yes",$B696&lt;&gt;"Trash"),1,0)</f>
        <v>0</v>
      </c>
      <c r="H696" s="0" t="str">
        <f aca="false">INDEX('Materials Master'!$E$2:$E$27,MATCH($C696,'Materials Master'!$A$2:$A$27,0))</f>
        <v>No</v>
      </c>
      <c r="I696" s="0" t="str">
        <f aca="false">IFERROR(INDEX(Areas!$C$2:$C$6,MATCH($A696,Areas!$B$2:$B$6,0)),"")</f>
        <v>Rest of Building</v>
      </c>
      <c r="J696" s="0" t="n">
        <f aca="false">IF(IF($B696="Trash",INDEX('Materials Master'!$F$2:$F$27,MATCH($C696,'Materials Master'!$A$2:$A$27,0)),IF($B696="GMPC Recycling",INDEX('Materials Master'!$G$2:$G$27,MATCH($C696,'Materials Master'!$A$2:$A$27,0)),IF($B696="Organics Recycling",INDEX('Materials Master'!$H$2:$H$27,MATCH($C696,'Materials Master'!$A$2:$A$27,0)),IF($B696="Cardboard Recycling",INDEX('Materials Master'!$I$2:$I$27,MATCH($C696,'Materials Master'!$A$2:$A$27,0)),IF($B696="Paper Recycling",INDEX('Materials Master'!$J$2:$J$27,MATCH($C696,'Materials Master'!$A$2:$A$27,0)),IF($B696="Terracycle",INDEX('Materials Master'!$K$2:$K$27,MATCH($C696,'Materials Master'!$A$2:$A$27,0)),"No"))))))="Yes",1,0)</f>
        <v>0</v>
      </c>
    </row>
    <row r="697" customFormat="false" ht="15" hidden="false" customHeight="false" outlineLevel="0" collapsed="false">
      <c r="A697" s="0" t="s">
        <v>100</v>
      </c>
      <c r="B697" s="0" t="s">
        <v>105</v>
      </c>
      <c r="C697" s="0" t="s">
        <v>71</v>
      </c>
      <c r="D697" s="0" t="str">
        <f aca="false">IFERROR(INDEX('Materials Master'!$B$2:$B$27,MATCH($C697,'Materials Master'!$A$2:$A$27,0)),"")</f>
        <v>PLA Compostable Serviceware</v>
      </c>
      <c r="E697" s="0" t="str">
        <f aca="false">IFERROR(INDEX('Materials Master'!$C$2:$C$27,MATCH($C697,'Materials Master'!$A$2:$A$27,0)),"")</f>
        <v>Organics</v>
      </c>
      <c r="F697" s="0" t="n">
        <f aca="false">(SUMIFS(Fact_PreSortWeights!$E$2:$E$15,Fact_PreSortWeights!$C$2:$C$15,$A697,Fact_PreSortWeights!$B$2:$B$15,$B697,Fact_PreSortWeights!$F$2:$F$15,$C697))+(SUMIFS(Fact_SortedWeights!$E$2:$E$6,Fact_SortedWeights!$C$2:$C$6,$A697,Fact_SortedWeights!$B$2:$B$6,$B697,Fact_SortedWeights!$D$2:$D$6,$C697,Fact_SortedWeights!$L$2:$L$6,"Yes"))+IF((SUMIFS(Fact_SortedWeights!$E$2:$E$6,Fact_SortedWeights!$C$2:$C$6,$A697,Fact_SortedWeights!$B$2:$B$6,$B697,Fact_SortedWeights!$L$2:$L$6,"No"))=0,0,(SUMIFS(Fact_SortedWeights!$E$2:$E$6,Fact_SortedWeights!$C$2:$C$6,$A697,Fact_SortedWeights!$B$2:$B$6,$B697,Fact_SortedWeights!$D$2:$D$6,$C697,Fact_SortedWeights!$L$2:$L$6,"No"))/(SUMIFS(Fact_SortedWeights!$E$2:$E$6,Fact_SortedWeights!$C$2:$C$6,$A697,Fact_SortedWeights!$B$2:$B$6,$B697,Fact_SortedWeights!$L$2:$L$6,"No"))*((SUMIFS(Fact_PreSortWeights!$E$2:$E$15,Fact_PreSortWeights!$C$2:$C$15,$A697,Fact_PreSortWeights!$B$2:$B$15,$B697,Fact_PreSortWeights!$F$2:$F$15,""))-(SUMIFS(Fact_SortedWeights!$E$2:$E$6,Fact_SortedWeights!$C$2:$C$6,$A697,Fact_SortedWeights!$B$2:$B$6,$B697,Fact_SortedWeights!$L$2:$L$6,"Yes"))))</f>
        <v>0</v>
      </c>
      <c r="G697" s="0" t="n">
        <f aca="false">IF(AND(IF($B697="Trash",INDEX('Materials Master'!$F$2:$F$27,MATCH($C697,'Materials Master'!$A$2:$A$27,0)),IF($B697="GMPC Recycling",INDEX('Materials Master'!$G$2:$G$27,MATCH($C697,'Materials Master'!$A$2:$A$27,0)),IF($B697="Organics Recycling",INDEX('Materials Master'!$H$2:$H$27,MATCH($C697,'Materials Master'!$A$2:$A$27,0)),IF($B697="Cardboard Recycling",INDEX('Materials Master'!$I$2:$I$27,MATCH($C697,'Materials Master'!$A$2:$A$27,0)),IF($B697="Paper Recycling",INDEX('Materials Master'!$J$2:$J$27,MATCH($C697,'Materials Master'!$A$2:$A$27,0)),IF($B697="Terracycle",INDEX('Materials Master'!$K$2:$K$27,MATCH($C697,'Materials Master'!$A$2:$A$27,0)),"No"))))))="Yes",INDEX('Materials Master'!$E$2:$E$27,MATCH($C697,'Materials Master'!$A$2:$A$27,0))="Yes",$B697&lt;&gt;"Trash"),1,0)</f>
        <v>0</v>
      </c>
      <c r="H697" s="0" t="str">
        <f aca="false">INDEX('Materials Master'!$E$2:$E$27,MATCH($C697,'Materials Master'!$A$2:$A$27,0))</f>
        <v>No</v>
      </c>
      <c r="I697" s="0" t="str">
        <f aca="false">IFERROR(INDEX(Areas!$C$2:$C$6,MATCH($A697,Areas!$B$2:$B$6,0)),"")</f>
        <v>Rest of Building</v>
      </c>
      <c r="J697" s="0" t="n">
        <f aca="false">IF(IF($B697="Trash",INDEX('Materials Master'!$F$2:$F$27,MATCH($C697,'Materials Master'!$A$2:$A$27,0)),IF($B697="GMPC Recycling",INDEX('Materials Master'!$G$2:$G$27,MATCH($C697,'Materials Master'!$A$2:$A$27,0)),IF($B697="Organics Recycling",INDEX('Materials Master'!$H$2:$H$27,MATCH($C697,'Materials Master'!$A$2:$A$27,0)),IF($B697="Cardboard Recycling",INDEX('Materials Master'!$I$2:$I$27,MATCH($C697,'Materials Master'!$A$2:$A$27,0)),IF($B697="Paper Recycling",INDEX('Materials Master'!$J$2:$J$27,MATCH($C697,'Materials Master'!$A$2:$A$27,0)),IF($B697="Terracycle",INDEX('Materials Master'!$K$2:$K$27,MATCH($C697,'Materials Master'!$A$2:$A$27,0)),"No"))))))="Yes",1,0)</f>
        <v>0</v>
      </c>
    </row>
    <row r="698" customFormat="false" ht="15" hidden="false" customHeight="false" outlineLevel="0" collapsed="false">
      <c r="A698" s="0" t="s">
        <v>100</v>
      </c>
      <c r="B698" s="0" t="s">
        <v>105</v>
      </c>
      <c r="C698" s="0" t="s">
        <v>73</v>
      </c>
      <c r="D698" s="0" t="str">
        <f aca="false">IFERROR(INDEX('Materials Master'!$B$2:$B$27,MATCH($C698,'Materials Master'!$A$2:$A$27,0)),"")</f>
        <v>E/U Waste</v>
      </c>
      <c r="E698" s="0" t="str">
        <f aca="false">IFERROR(INDEX('Materials Master'!$C$2:$C$27,MATCH($C698,'Materials Master'!$A$2:$A$27,0)),"")</f>
        <v>Unacceptable</v>
      </c>
      <c r="F698" s="0" t="n">
        <f aca="false">(SUMIFS(Fact_PreSortWeights!$E$2:$E$15,Fact_PreSortWeights!$C$2:$C$15,$A698,Fact_PreSortWeights!$B$2:$B$15,$B698,Fact_PreSortWeights!$F$2:$F$15,$C698))+(SUMIFS(Fact_SortedWeights!$E$2:$E$6,Fact_SortedWeights!$C$2:$C$6,$A698,Fact_SortedWeights!$B$2:$B$6,$B698,Fact_SortedWeights!$D$2:$D$6,$C698,Fact_SortedWeights!$L$2:$L$6,"Yes"))+IF((SUMIFS(Fact_SortedWeights!$E$2:$E$6,Fact_SortedWeights!$C$2:$C$6,$A698,Fact_SortedWeights!$B$2:$B$6,$B698,Fact_SortedWeights!$L$2:$L$6,"No"))=0,0,(SUMIFS(Fact_SortedWeights!$E$2:$E$6,Fact_SortedWeights!$C$2:$C$6,$A698,Fact_SortedWeights!$B$2:$B$6,$B698,Fact_SortedWeights!$D$2:$D$6,$C698,Fact_SortedWeights!$L$2:$L$6,"No"))/(SUMIFS(Fact_SortedWeights!$E$2:$E$6,Fact_SortedWeights!$C$2:$C$6,$A698,Fact_SortedWeights!$B$2:$B$6,$B698,Fact_SortedWeights!$L$2:$L$6,"No"))*((SUMIFS(Fact_PreSortWeights!$E$2:$E$15,Fact_PreSortWeights!$C$2:$C$15,$A698,Fact_PreSortWeights!$B$2:$B$15,$B698,Fact_PreSortWeights!$F$2:$F$15,""))-(SUMIFS(Fact_SortedWeights!$E$2:$E$6,Fact_SortedWeights!$C$2:$C$6,$A698,Fact_SortedWeights!$B$2:$B$6,$B698,Fact_SortedWeights!$L$2:$L$6,"Yes"))))</f>
        <v>0</v>
      </c>
      <c r="G698" s="0" t="n">
        <f aca="false">IF(AND(IF($B698="Trash",INDEX('Materials Master'!$F$2:$F$27,MATCH($C698,'Materials Master'!$A$2:$A$27,0)),IF($B698="GMPC Recycling",INDEX('Materials Master'!$G$2:$G$27,MATCH($C698,'Materials Master'!$A$2:$A$27,0)),IF($B698="Organics Recycling",INDEX('Materials Master'!$H$2:$H$27,MATCH($C698,'Materials Master'!$A$2:$A$27,0)),IF($B698="Cardboard Recycling",INDEX('Materials Master'!$I$2:$I$27,MATCH($C698,'Materials Master'!$A$2:$A$27,0)),IF($B698="Paper Recycling",INDEX('Materials Master'!$J$2:$J$27,MATCH($C698,'Materials Master'!$A$2:$A$27,0)),IF($B698="Terracycle",INDEX('Materials Master'!$K$2:$K$27,MATCH($C698,'Materials Master'!$A$2:$A$27,0)),"No"))))))="Yes",INDEX('Materials Master'!$E$2:$E$27,MATCH($C698,'Materials Master'!$A$2:$A$27,0))="Yes",$B698&lt;&gt;"Trash"),1,0)</f>
        <v>0</v>
      </c>
      <c r="H698" s="0" t="str">
        <f aca="false">INDEX('Materials Master'!$E$2:$E$27,MATCH($C698,'Materials Master'!$A$2:$A$27,0))</f>
        <v>No</v>
      </c>
      <c r="I698" s="0" t="str">
        <f aca="false">IFERROR(INDEX(Areas!$C$2:$C$6,MATCH($A698,Areas!$B$2:$B$6,0)),"")</f>
        <v>Rest of Building</v>
      </c>
      <c r="J698" s="0" t="n">
        <f aca="false">IF(IF($B698="Trash",INDEX('Materials Master'!$F$2:$F$27,MATCH($C698,'Materials Master'!$A$2:$A$27,0)),IF($B698="GMPC Recycling",INDEX('Materials Master'!$G$2:$G$27,MATCH($C698,'Materials Master'!$A$2:$A$27,0)),IF($B698="Organics Recycling",INDEX('Materials Master'!$H$2:$H$27,MATCH($C698,'Materials Master'!$A$2:$A$27,0)),IF($B698="Cardboard Recycling",INDEX('Materials Master'!$I$2:$I$27,MATCH($C698,'Materials Master'!$A$2:$A$27,0)),IF($B698="Paper Recycling",INDEX('Materials Master'!$J$2:$J$27,MATCH($C698,'Materials Master'!$A$2:$A$27,0)),IF($B698="Terracycle",INDEX('Materials Master'!$K$2:$K$27,MATCH($C698,'Materials Master'!$A$2:$A$27,0)),"No"))))))="Yes",1,0)</f>
        <v>0</v>
      </c>
    </row>
    <row r="699" customFormat="false" ht="15" hidden="false" customHeight="false" outlineLevel="0" collapsed="false">
      <c r="A699" s="0" t="s">
        <v>100</v>
      </c>
      <c r="B699" s="0" t="s">
        <v>105</v>
      </c>
      <c r="C699" s="0" t="s">
        <v>76</v>
      </c>
      <c r="D699" s="0" t="str">
        <f aca="false">IFERROR(INDEX('Materials Master'!$B$2:$B$27,MATCH($C699,'Materials Master'!$A$2:$A$27,0)),"")</f>
        <v>Textiles</v>
      </c>
      <c r="E699" s="0" t="str">
        <f aca="false">IFERROR(INDEX('Materials Master'!$C$2:$C$27,MATCH($C699,'Materials Master'!$A$2:$A$27,0)),"")</f>
        <v>Unacceptable</v>
      </c>
      <c r="F699" s="0" t="n">
        <f aca="false">(SUMIFS(Fact_PreSortWeights!$E$2:$E$15,Fact_PreSortWeights!$C$2:$C$15,$A699,Fact_PreSortWeights!$B$2:$B$15,$B699,Fact_PreSortWeights!$F$2:$F$15,$C699))+(SUMIFS(Fact_SortedWeights!$E$2:$E$6,Fact_SortedWeights!$C$2:$C$6,$A699,Fact_SortedWeights!$B$2:$B$6,$B699,Fact_SortedWeights!$D$2:$D$6,$C699,Fact_SortedWeights!$L$2:$L$6,"Yes"))+IF((SUMIFS(Fact_SortedWeights!$E$2:$E$6,Fact_SortedWeights!$C$2:$C$6,$A699,Fact_SortedWeights!$B$2:$B$6,$B699,Fact_SortedWeights!$L$2:$L$6,"No"))=0,0,(SUMIFS(Fact_SortedWeights!$E$2:$E$6,Fact_SortedWeights!$C$2:$C$6,$A699,Fact_SortedWeights!$B$2:$B$6,$B699,Fact_SortedWeights!$D$2:$D$6,$C699,Fact_SortedWeights!$L$2:$L$6,"No"))/(SUMIFS(Fact_SortedWeights!$E$2:$E$6,Fact_SortedWeights!$C$2:$C$6,$A699,Fact_SortedWeights!$B$2:$B$6,$B699,Fact_SortedWeights!$L$2:$L$6,"No"))*((SUMIFS(Fact_PreSortWeights!$E$2:$E$15,Fact_PreSortWeights!$C$2:$C$15,$A699,Fact_PreSortWeights!$B$2:$B$15,$B699,Fact_PreSortWeights!$F$2:$F$15,""))-(SUMIFS(Fact_SortedWeights!$E$2:$E$6,Fact_SortedWeights!$C$2:$C$6,$A699,Fact_SortedWeights!$B$2:$B$6,$B699,Fact_SortedWeights!$L$2:$L$6,"Yes"))))</f>
        <v>0</v>
      </c>
      <c r="G699" s="0" t="n">
        <f aca="false">IF(AND(IF($B699="Trash",INDEX('Materials Master'!$F$2:$F$27,MATCH($C699,'Materials Master'!$A$2:$A$27,0)),IF($B699="GMPC Recycling",INDEX('Materials Master'!$G$2:$G$27,MATCH($C699,'Materials Master'!$A$2:$A$27,0)),IF($B699="Organics Recycling",INDEX('Materials Master'!$H$2:$H$27,MATCH($C699,'Materials Master'!$A$2:$A$27,0)),IF($B699="Cardboard Recycling",INDEX('Materials Master'!$I$2:$I$27,MATCH($C699,'Materials Master'!$A$2:$A$27,0)),IF($B699="Paper Recycling",INDEX('Materials Master'!$J$2:$J$27,MATCH($C699,'Materials Master'!$A$2:$A$27,0)),IF($B699="Terracycle",INDEX('Materials Master'!$K$2:$K$27,MATCH($C699,'Materials Master'!$A$2:$A$27,0)),"No"))))))="Yes",INDEX('Materials Master'!$E$2:$E$27,MATCH($C699,'Materials Master'!$A$2:$A$27,0))="Yes",$B699&lt;&gt;"Trash"),1,0)</f>
        <v>0</v>
      </c>
      <c r="H699" s="0" t="str">
        <f aca="false">INDEX('Materials Master'!$E$2:$E$27,MATCH($C699,'Materials Master'!$A$2:$A$27,0))</f>
        <v>No</v>
      </c>
      <c r="I699" s="0" t="str">
        <f aca="false">IFERROR(INDEX(Areas!$C$2:$C$6,MATCH($A699,Areas!$B$2:$B$6,0)),"")</f>
        <v>Rest of Building</v>
      </c>
      <c r="J699" s="0" t="n">
        <f aca="false">IF(IF($B699="Trash",INDEX('Materials Master'!$F$2:$F$27,MATCH($C699,'Materials Master'!$A$2:$A$27,0)),IF($B699="GMPC Recycling",INDEX('Materials Master'!$G$2:$G$27,MATCH($C699,'Materials Master'!$A$2:$A$27,0)),IF($B699="Organics Recycling",INDEX('Materials Master'!$H$2:$H$27,MATCH($C699,'Materials Master'!$A$2:$A$27,0)),IF($B699="Cardboard Recycling",INDEX('Materials Master'!$I$2:$I$27,MATCH($C699,'Materials Master'!$A$2:$A$27,0)),IF($B699="Paper Recycling",INDEX('Materials Master'!$J$2:$J$27,MATCH($C699,'Materials Master'!$A$2:$A$27,0)),IF($B699="Terracycle",INDEX('Materials Master'!$K$2:$K$27,MATCH($C699,'Materials Master'!$A$2:$A$27,0)),"No"))))))="Yes",1,0)</f>
        <v>0</v>
      </c>
    </row>
    <row r="700" customFormat="false" ht="15" hidden="false" customHeight="false" outlineLevel="0" collapsed="false">
      <c r="A700" s="0" t="s">
        <v>100</v>
      </c>
      <c r="B700" s="0" t="s">
        <v>105</v>
      </c>
      <c r="C700" s="0" t="s">
        <v>78</v>
      </c>
      <c r="D700" s="0" t="str">
        <f aca="false">IFERROR(INDEX('Materials Master'!$B$2:$B$27,MATCH($C700,'Materials Master'!$A$2:$A$27,0)),"")</f>
        <v>Other Unacceptable (specify)</v>
      </c>
      <c r="E700" s="0" t="str">
        <f aca="false">IFERROR(INDEX('Materials Master'!$C$2:$C$27,MATCH($C700,'Materials Master'!$A$2:$A$27,0)),"")</f>
        <v>Unacceptable</v>
      </c>
      <c r="F700" s="0" t="n">
        <f aca="false">(SUMIFS(Fact_PreSortWeights!$E$2:$E$15,Fact_PreSortWeights!$C$2:$C$15,$A700,Fact_PreSortWeights!$B$2:$B$15,$B700,Fact_PreSortWeights!$F$2:$F$15,$C700))+(SUMIFS(Fact_SortedWeights!$E$2:$E$6,Fact_SortedWeights!$C$2:$C$6,$A700,Fact_SortedWeights!$B$2:$B$6,$B700,Fact_SortedWeights!$D$2:$D$6,$C700,Fact_SortedWeights!$L$2:$L$6,"Yes"))+IF((SUMIFS(Fact_SortedWeights!$E$2:$E$6,Fact_SortedWeights!$C$2:$C$6,$A700,Fact_SortedWeights!$B$2:$B$6,$B700,Fact_SortedWeights!$L$2:$L$6,"No"))=0,0,(SUMIFS(Fact_SortedWeights!$E$2:$E$6,Fact_SortedWeights!$C$2:$C$6,$A700,Fact_SortedWeights!$B$2:$B$6,$B700,Fact_SortedWeights!$D$2:$D$6,$C700,Fact_SortedWeights!$L$2:$L$6,"No"))/(SUMIFS(Fact_SortedWeights!$E$2:$E$6,Fact_SortedWeights!$C$2:$C$6,$A700,Fact_SortedWeights!$B$2:$B$6,$B700,Fact_SortedWeights!$L$2:$L$6,"No"))*((SUMIFS(Fact_PreSortWeights!$E$2:$E$15,Fact_PreSortWeights!$C$2:$C$15,$A700,Fact_PreSortWeights!$B$2:$B$15,$B700,Fact_PreSortWeights!$F$2:$F$15,""))-(SUMIFS(Fact_SortedWeights!$E$2:$E$6,Fact_SortedWeights!$C$2:$C$6,$A700,Fact_SortedWeights!$B$2:$B$6,$B700,Fact_SortedWeights!$L$2:$L$6,"Yes"))))</f>
        <v>0</v>
      </c>
      <c r="G700" s="0" t="n">
        <f aca="false">IF(AND(IF($B700="Trash",INDEX('Materials Master'!$F$2:$F$27,MATCH($C700,'Materials Master'!$A$2:$A$27,0)),IF($B700="GMPC Recycling",INDEX('Materials Master'!$G$2:$G$27,MATCH($C700,'Materials Master'!$A$2:$A$27,0)),IF($B700="Organics Recycling",INDEX('Materials Master'!$H$2:$H$27,MATCH($C700,'Materials Master'!$A$2:$A$27,0)),IF($B700="Cardboard Recycling",INDEX('Materials Master'!$I$2:$I$27,MATCH($C700,'Materials Master'!$A$2:$A$27,0)),IF($B700="Paper Recycling",INDEX('Materials Master'!$J$2:$J$27,MATCH($C700,'Materials Master'!$A$2:$A$27,0)),IF($B700="Terracycle",INDEX('Materials Master'!$K$2:$K$27,MATCH($C700,'Materials Master'!$A$2:$A$27,0)),"No"))))))="Yes",INDEX('Materials Master'!$E$2:$E$27,MATCH($C700,'Materials Master'!$A$2:$A$27,0))="Yes",$B700&lt;&gt;"Trash"),1,0)</f>
        <v>0</v>
      </c>
      <c r="H700" s="0" t="str">
        <f aca="false">INDEX('Materials Master'!$E$2:$E$27,MATCH($C700,'Materials Master'!$A$2:$A$27,0))</f>
        <v>No</v>
      </c>
      <c r="I700" s="0" t="str">
        <f aca="false">IFERROR(INDEX(Areas!$C$2:$C$6,MATCH($A700,Areas!$B$2:$B$6,0)),"")</f>
        <v>Rest of Building</v>
      </c>
      <c r="J700" s="0" t="n">
        <f aca="false">IF(IF($B700="Trash",INDEX('Materials Master'!$F$2:$F$27,MATCH($C700,'Materials Master'!$A$2:$A$27,0)),IF($B700="GMPC Recycling",INDEX('Materials Master'!$G$2:$G$27,MATCH($C700,'Materials Master'!$A$2:$A$27,0)),IF($B700="Organics Recycling",INDEX('Materials Master'!$H$2:$H$27,MATCH($C700,'Materials Master'!$A$2:$A$27,0)),IF($B700="Cardboard Recycling",INDEX('Materials Master'!$I$2:$I$27,MATCH($C700,'Materials Master'!$A$2:$A$27,0)),IF($B700="Paper Recycling",INDEX('Materials Master'!$J$2:$J$27,MATCH($C700,'Materials Master'!$A$2:$A$27,0)),IF($B700="Terracycle",INDEX('Materials Master'!$K$2:$K$27,MATCH($C700,'Materials Master'!$A$2:$A$27,0)),"No"))))))="Yes",1,0)</f>
        <v>0</v>
      </c>
    </row>
    <row r="701" customFormat="false" ht="15" hidden="false" customHeight="false" outlineLevel="0" collapsed="false">
      <c r="A701" s="0" t="s">
        <v>100</v>
      </c>
      <c r="B701" s="0" t="s">
        <v>105</v>
      </c>
      <c r="C701" s="0" t="s">
        <v>80</v>
      </c>
      <c r="D701" s="0" t="str">
        <f aca="false">IFERROR(INDEX('Materials Master'!$B$2:$B$27,MATCH($C701,'Materials Master'!$A$2:$A$27,0)),"")</f>
        <v>Liquids</v>
      </c>
      <c r="E701" s="0" t="str">
        <f aca="false">IFERROR(INDEX('Materials Master'!$C$2:$C$27,MATCH($C701,'Materials Master'!$A$2:$A$27,0)),"")</f>
        <v>Unacceptable</v>
      </c>
      <c r="F701" s="0" t="n">
        <f aca="false">(SUMIFS(Fact_PreSortWeights!$E$2:$E$15,Fact_PreSortWeights!$C$2:$C$15,$A701,Fact_PreSortWeights!$B$2:$B$15,$B701,Fact_PreSortWeights!$F$2:$F$15,$C701))+(SUMIFS(Fact_SortedWeights!$E$2:$E$6,Fact_SortedWeights!$C$2:$C$6,$A701,Fact_SortedWeights!$B$2:$B$6,$B701,Fact_SortedWeights!$D$2:$D$6,$C701,Fact_SortedWeights!$L$2:$L$6,"Yes"))+IF((SUMIFS(Fact_SortedWeights!$E$2:$E$6,Fact_SortedWeights!$C$2:$C$6,$A701,Fact_SortedWeights!$B$2:$B$6,$B701,Fact_SortedWeights!$L$2:$L$6,"No"))=0,0,(SUMIFS(Fact_SortedWeights!$E$2:$E$6,Fact_SortedWeights!$C$2:$C$6,$A701,Fact_SortedWeights!$B$2:$B$6,$B701,Fact_SortedWeights!$D$2:$D$6,$C701,Fact_SortedWeights!$L$2:$L$6,"No"))/(SUMIFS(Fact_SortedWeights!$E$2:$E$6,Fact_SortedWeights!$C$2:$C$6,$A701,Fact_SortedWeights!$B$2:$B$6,$B701,Fact_SortedWeights!$L$2:$L$6,"No"))*((SUMIFS(Fact_PreSortWeights!$E$2:$E$15,Fact_PreSortWeights!$C$2:$C$15,$A701,Fact_PreSortWeights!$B$2:$B$15,$B701,Fact_PreSortWeights!$F$2:$F$15,""))-(SUMIFS(Fact_SortedWeights!$E$2:$E$6,Fact_SortedWeights!$C$2:$C$6,$A701,Fact_SortedWeights!$B$2:$B$6,$B701,Fact_SortedWeights!$L$2:$L$6,"Yes"))))</f>
        <v>0</v>
      </c>
      <c r="G701" s="0" t="n">
        <f aca="false">IF(AND(IF($B701="Trash",INDEX('Materials Master'!$F$2:$F$27,MATCH($C701,'Materials Master'!$A$2:$A$27,0)),IF($B701="GMPC Recycling",INDEX('Materials Master'!$G$2:$G$27,MATCH($C701,'Materials Master'!$A$2:$A$27,0)),IF($B701="Organics Recycling",INDEX('Materials Master'!$H$2:$H$27,MATCH($C701,'Materials Master'!$A$2:$A$27,0)),IF($B701="Cardboard Recycling",INDEX('Materials Master'!$I$2:$I$27,MATCH($C701,'Materials Master'!$A$2:$A$27,0)),IF($B701="Paper Recycling",INDEX('Materials Master'!$J$2:$J$27,MATCH($C701,'Materials Master'!$A$2:$A$27,0)),IF($B701="Terracycle",INDEX('Materials Master'!$K$2:$K$27,MATCH($C701,'Materials Master'!$A$2:$A$27,0)),"No"))))))="Yes",INDEX('Materials Master'!$E$2:$E$27,MATCH($C701,'Materials Master'!$A$2:$A$27,0))="Yes",$B701&lt;&gt;"Trash"),1,0)</f>
        <v>0</v>
      </c>
      <c r="H701" s="0" t="str">
        <f aca="false">INDEX('Materials Master'!$E$2:$E$27,MATCH($C701,'Materials Master'!$A$2:$A$27,0))</f>
        <v>No</v>
      </c>
      <c r="I701" s="0" t="str">
        <f aca="false">IFERROR(INDEX(Areas!$C$2:$C$6,MATCH($A701,Areas!$B$2:$B$6,0)),"")</f>
        <v>Rest of Building</v>
      </c>
      <c r="J701" s="0" t="n">
        <f aca="false">IF(IF($B701="Trash",INDEX('Materials Master'!$F$2:$F$27,MATCH($C701,'Materials Master'!$A$2:$A$27,0)),IF($B701="GMPC Recycling",INDEX('Materials Master'!$G$2:$G$27,MATCH($C701,'Materials Master'!$A$2:$A$27,0)),IF($B701="Organics Recycling",INDEX('Materials Master'!$H$2:$H$27,MATCH($C701,'Materials Master'!$A$2:$A$27,0)),IF($B701="Cardboard Recycling",INDEX('Materials Master'!$I$2:$I$27,MATCH($C701,'Materials Master'!$A$2:$A$27,0)),IF($B701="Paper Recycling",INDEX('Materials Master'!$J$2:$J$27,MATCH($C701,'Materials Master'!$A$2:$A$27,0)),IF($B701="Terracycle",INDEX('Materials Master'!$K$2:$K$27,MATCH($C701,'Materials Master'!$A$2:$A$27,0)),"No"))))))="Yes",1,0)</f>
        <v>0</v>
      </c>
    </row>
    <row r="702" customFormat="false" ht="15" hidden="false" customHeight="false" outlineLevel="0" collapsed="false">
      <c r="A702" s="0" t="s">
        <v>100</v>
      </c>
      <c r="B702" s="0" t="s">
        <v>105</v>
      </c>
      <c r="C702" s="0" t="s">
        <v>82</v>
      </c>
      <c r="D702" s="0" t="str">
        <f aca="false">IFERROR(INDEX('Materials Master'!$B$2:$B$27,MATCH($C702,'Materials Master'!$A$2:$A$27,0)),"")</f>
        <v>Snack Wrappers (Composites)</v>
      </c>
      <c r="E702" s="0" t="str">
        <f aca="false">IFERROR(INDEX('Materials Master'!$C$2:$C$27,MATCH($C702,'Materials Master'!$A$2:$A$27,0)),"")</f>
        <v>Other</v>
      </c>
      <c r="F702" s="0" t="n">
        <f aca="false">(SUMIFS(Fact_PreSortWeights!$E$2:$E$15,Fact_PreSortWeights!$C$2:$C$15,$A702,Fact_PreSortWeights!$B$2:$B$15,$B702,Fact_PreSortWeights!$F$2:$F$15,$C702))+(SUMIFS(Fact_SortedWeights!$E$2:$E$6,Fact_SortedWeights!$C$2:$C$6,$A702,Fact_SortedWeights!$B$2:$B$6,$B702,Fact_SortedWeights!$D$2:$D$6,$C702,Fact_SortedWeights!$L$2:$L$6,"Yes"))+IF((SUMIFS(Fact_SortedWeights!$E$2:$E$6,Fact_SortedWeights!$C$2:$C$6,$A702,Fact_SortedWeights!$B$2:$B$6,$B702,Fact_SortedWeights!$L$2:$L$6,"No"))=0,0,(SUMIFS(Fact_SortedWeights!$E$2:$E$6,Fact_SortedWeights!$C$2:$C$6,$A702,Fact_SortedWeights!$B$2:$B$6,$B702,Fact_SortedWeights!$D$2:$D$6,$C702,Fact_SortedWeights!$L$2:$L$6,"No"))/(SUMIFS(Fact_SortedWeights!$E$2:$E$6,Fact_SortedWeights!$C$2:$C$6,$A702,Fact_SortedWeights!$B$2:$B$6,$B702,Fact_SortedWeights!$L$2:$L$6,"No"))*((SUMIFS(Fact_PreSortWeights!$E$2:$E$15,Fact_PreSortWeights!$C$2:$C$15,$A702,Fact_PreSortWeights!$B$2:$B$15,$B702,Fact_PreSortWeights!$F$2:$F$15,""))-(SUMIFS(Fact_SortedWeights!$E$2:$E$6,Fact_SortedWeights!$C$2:$C$6,$A702,Fact_SortedWeights!$B$2:$B$6,$B702,Fact_SortedWeights!$L$2:$L$6,"Yes"))))</f>
        <v>0</v>
      </c>
      <c r="G702" s="0" t="n">
        <f aca="false">IF(AND(IF($B702="Trash",INDEX('Materials Master'!$F$2:$F$27,MATCH($C702,'Materials Master'!$A$2:$A$27,0)),IF($B702="GMPC Recycling",INDEX('Materials Master'!$G$2:$G$27,MATCH($C702,'Materials Master'!$A$2:$A$27,0)),IF($B702="Organics Recycling",INDEX('Materials Master'!$H$2:$H$27,MATCH($C702,'Materials Master'!$A$2:$A$27,0)),IF($B702="Cardboard Recycling",INDEX('Materials Master'!$I$2:$I$27,MATCH($C702,'Materials Master'!$A$2:$A$27,0)),IF($B702="Paper Recycling",INDEX('Materials Master'!$J$2:$J$27,MATCH($C702,'Materials Master'!$A$2:$A$27,0)),IF($B702="Terracycle",INDEX('Materials Master'!$K$2:$K$27,MATCH($C702,'Materials Master'!$A$2:$A$27,0)),"No"))))))="Yes",INDEX('Materials Master'!$E$2:$E$27,MATCH($C702,'Materials Master'!$A$2:$A$27,0))="Yes",$B702&lt;&gt;"Trash"),1,0)</f>
        <v>0</v>
      </c>
      <c r="H702" s="0" t="str">
        <f aca="false">INDEX('Materials Master'!$E$2:$E$27,MATCH($C702,'Materials Master'!$A$2:$A$27,0))</f>
        <v>Yes</v>
      </c>
      <c r="I702" s="0" t="str">
        <f aca="false">IFERROR(INDEX(Areas!$C$2:$C$6,MATCH($A702,Areas!$B$2:$B$6,0)),"")</f>
        <v>Rest of Building</v>
      </c>
      <c r="J702" s="0" t="n">
        <f aca="false">IF(IF($B702="Trash",INDEX('Materials Master'!$F$2:$F$27,MATCH($C702,'Materials Master'!$A$2:$A$27,0)),IF($B702="GMPC Recycling",INDEX('Materials Master'!$G$2:$G$27,MATCH($C702,'Materials Master'!$A$2:$A$27,0)),IF($B702="Organics Recycling",INDEX('Materials Master'!$H$2:$H$27,MATCH($C702,'Materials Master'!$A$2:$A$27,0)),IF($B702="Cardboard Recycling",INDEX('Materials Master'!$I$2:$I$27,MATCH($C702,'Materials Master'!$A$2:$A$27,0)),IF($B702="Paper Recycling",INDEX('Materials Master'!$J$2:$J$27,MATCH($C702,'Materials Master'!$A$2:$A$27,0)),IF($B702="Terracycle",INDEX('Materials Master'!$K$2:$K$27,MATCH($C702,'Materials Master'!$A$2:$A$27,0)),"No"))))))="Yes",1,0)</f>
        <v>0</v>
      </c>
    </row>
    <row r="703" customFormat="false" ht="15" hidden="false" customHeight="false" outlineLevel="0" collapsed="false">
      <c r="A703" s="0" t="s">
        <v>100</v>
      </c>
      <c r="B703" s="0" t="s">
        <v>105</v>
      </c>
      <c r="C703" s="0" t="s">
        <v>85</v>
      </c>
      <c r="D703" s="0" t="str">
        <f aca="false">IFERROR(INDEX('Materials Master'!$B$2:$B$27,MATCH($C703,'Materials Master'!$A$2:$A$27,0)),"")</f>
        <v>Other/Residual Materials</v>
      </c>
      <c r="E703" s="0" t="str">
        <f aca="false">IFERROR(INDEX('Materials Master'!$C$2:$C$27,MATCH($C703,'Materials Master'!$A$2:$A$27,0)),"")</f>
        <v>Other</v>
      </c>
      <c r="F703" s="0" t="n">
        <f aca="false">(SUMIFS(Fact_PreSortWeights!$E$2:$E$15,Fact_PreSortWeights!$C$2:$C$15,$A703,Fact_PreSortWeights!$B$2:$B$15,$B703,Fact_PreSortWeights!$F$2:$F$15,$C703))+(SUMIFS(Fact_SortedWeights!$E$2:$E$6,Fact_SortedWeights!$C$2:$C$6,$A703,Fact_SortedWeights!$B$2:$B$6,$B703,Fact_SortedWeights!$D$2:$D$6,$C703,Fact_SortedWeights!$L$2:$L$6,"Yes"))+IF((SUMIFS(Fact_SortedWeights!$E$2:$E$6,Fact_SortedWeights!$C$2:$C$6,$A703,Fact_SortedWeights!$B$2:$B$6,$B703,Fact_SortedWeights!$L$2:$L$6,"No"))=0,0,(SUMIFS(Fact_SortedWeights!$E$2:$E$6,Fact_SortedWeights!$C$2:$C$6,$A703,Fact_SortedWeights!$B$2:$B$6,$B703,Fact_SortedWeights!$D$2:$D$6,$C703,Fact_SortedWeights!$L$2:$L$6,"No"))/(SUMIFS(Fact_SortedWeights!$E$2:$E$6,Fact_SortedWeights!$C$2:$C$6,$A703,Fact_SortedWeights!$B$2:$B$6,$B703,Fact_SortedWeights!$L$2:$L$6,"No"))*((SUMIFS(Fact_PreSortWeights!$E$2:$E$15,Fact_PreSortWeights!$C$2:$C$15,$A703,Fact_PreSortWeights!$B$2:$B$15,$B703,Fact_PreSortWeights!$F$2:$F$15,""))-(SUMIFS(Fact_SortedWeights!$E$2:$E$6,Fact_SortedWeights!$C$2:$C$6,$A703,Fact_SortedWeights!$B$2:$B$6,$B703,Fact_SortedWeights!$L$2:$L$6,"Yes"))))</f>
        <v>0</v>
      </c>
      <c r="G703" s="0" t="n">
        <f aca="false">IF(AND(IF($B703="Trash",INDEX('Materials Master'!$F$2:$F$27,MATCH($C703,'Materials Master'!$A$2:$A$27,0)),IF($B703="GMPC Recycling",INDEX('Materials Master'!$G$2:$G$27,MATCH($C703,'Materials Master'!$A$2:$A$27,0)),IF($B703="Organics Recycling",INDEX('Materials Master'!$H$2:$H$27,MATCH($C703,'Materials Master'!$A$2:$A$27,0)),IF($B703="Cardboard Recycling",INDEX('Materials Master'!$I$2:$I$27,MATCH($C703,'Materials Master'!$A$2:$A$27,0)),IF($B703="Paper Recycling",INDEX('Materials Master'!$J$2:$J$27,MATCH($C703,'Materials Master'!$A$2:$A$27,0)),IF($B703="Terracycle",INDEX('Materials Master'!$K$2:$K$27,MATCH($C703,'Materials Master'!$A$2:$A$27,0)),"No"))))))="Yes",INDEX('Materials Master'!$E$2:$E$27,MATCH($C703,'Materials Master'!$A$2:$A$27,0))="Yes",$B703&lt;&gt;"Trash"),1,0)</f>
        <v>0</v>
      </c>
      <c r="H703" s="0" t="str">
        <f aca="false">INDEX('Materials Master'!$E$2:$E$27,MATCH($C703,'Materials Master'!$A$2:$A$27,0))</f>
        <v>No</v>
      </c>
      <c r="I703" s="0" t="str">
        <f aca="false">IFERROR(INDEX(Areas!$C$2:$C$6,MATCH($A703,Areas!$B$2:$B$6,0)),"")</f>
        <v>Rest of Building</v>
      </c>
      <c r="J703" s="0" t="n">
        <f aca="false">IF(IF($B703="Trash",INDEX('Materials Master'!$F$2:$F$27,MATCH($C703,'Materials Master'!$A$2:$A$27,0)),IF($B703="GMPC Recycling",INDEX('Materials Master'!$G$2:$G$27,MATCH($C703,'Materials Master'!$A$2:$A$27,0)),IF($B703="Organics Recycling",INDEX('Materials Master'!$H$2:$H$27,MATCH($C703,'Materials Master'!$A$2:$A$27,0)),IF($B703="Cardboard Recycling",INDEX('Materials Master'!$I$2:$I$27,MATCH($C703,'Materials Master'!$A$2:$A$27,0)),IF($B703="Paper Recycling",INDEX('Materials Master'!$J$2:$J$27,MATCH($C703,'Materials Master'!$A$2:$A$27,0)),IF($B703="Terracycle",INDEX('Materials Master'!$K$2:$K$27,MATCH($C703,'Materials Master'!$A$2:$A$27,0)),"No"))))))="Yes",1,0)</f>
        <v>0</v>
      </c>
    </row>
    <row r="704" customFormat="false" ht="15" hidden="false" customHeight="false" outlineLevel="0" collapsed="false">
      <c r="A704" s="0" t="s">
        <v>100</v>
      </c>
      <c r="B704" s="0" t="s">
        <v>106</v>
      </c>
      <c r="C704" s="0" t="s">
        <v>26</v>
      </c>
      <c r="D704" s="0" t="str">
        <f aca="false">IFERROR(INDEX('Materials Master'!$B$2:$B$27,MATCH($C704,'Materials Master'!$A$2:$A$27,0)),"")</f>
        <v>Corrugated Cardboard</v>
      </c>
      <c r="E704" s="0" t="str">
        <f aca="false">IFERROR(INDEX('Materials Master'!$C$2:$C$27,MATCH($C704,'Materials Master'!$A$2:$A$27,0)),"")</f>
        <v>Fibers</v>
      </c>
      <c r="F704" s="0" t="n">
        <f aca="false">SUMIFS(Fact_SortedWeights!$E$2:$E$6,Fact_SortedWeights!$C$2:$C$6,$A704,Fact_SortedWeights!$B$2:$B$6,$B704,Fact_SortedWeights!$D$2:$D$6,$C704)</f>
        <v>0</v>
      </c>
      <c r="G704" s="0" t="n">
        <f aca="false">IF(AND(IF($B704="Trash",INDEX('Materials Master'!$F$2:$F$27,MATCH($C704,'Materials Master'!$A$2:$A$27,0)),IF($B704="GMPC Recycling",INDEX('Materials Master'!$G$2:$G$27,MATCH($C704,'Materials Master'!$A$2:$A$27,0)),IF($B704="Organics Recycling",INDEX('Materials Master'!$H$2:$H$27,MATCH($C704,'Materials Master'!$A$2:$A$27,0)),IF($B704="Cardboard Recycling",INDEX('Materials Master'!$I$2:$I$27,MATCH($C704,'Materials Master'!$A$2:$A$27,0)),IF($B704="Paper Recycling",INDEX('Materials Master'!$J$2:$J$27,MATCH($C704,'Materials Master'!$A$2:$A$27,0)),IF($B704="Terracycle",INDEX('Materials Master'!$K$2:$K$27,MATCH($C704,'Materials Master'!$A$2:$A$27,0)),"No"))))))="Yes",INDEX('Materials Master'!$E$2:$E$27,MATCH($C704,'Materials Master'!$A$2:$A$27,0))="Yes",$B704&lt;&gt;"Trash"),1,0)</f>
        <v>1</v>
      </c>
      <c r="H704" s="0" t="str">
        <f aca="false">INDEX('Materials Master'!$E$2:$E$27,MATCH($C704,'Materials Master'!$A$2:$A$27,0))</f>
        <v>Yes</v>
      </c>
      <c r="I704" s="0" t="str">
        <f aca="false">IFERROR(INDEX(Areas!$C$2:$C$6,MATCH($A704,Areas!$B$2:$B$6,0)),"")</f>
        <v>Rest of Building</v>
      </c>
      <c r="J704" s="0" t="n">
        <f aca="false">IF(IF($B704="Trash",INDEX('Materials Master'!$F$2:$F$27,MATCH($C704,'Materials Master'!$A$2:$A$27,0)),IF($B704="GMPC Recycling",INDEX('Materials Master'!$G$2:$G$27,MATCH($C704,'Materials Master'!$A$2:$A$27,0)),IF($B704="Organics Recycling",INDEX('Materials Master'!$H$2:$H$27,MATCH($C704,'Materials Master'!$A$2:$A$27,0)),IF($B704="Cardboard Recycling",INDEX('Materials Master'!$I$2:$I$27,MATCH($C704,'Materials Master'!$A$2:$A$27,0)),IF($B704="Paper Recycling",INDEX('Materials Master'!$J$2:$J$27,MATCH($C704,'Materials Master'!$A$2:$A$27,0)),IF($B704="Terracycle",INDEX('Materials Master'!$K$2:$K$27,MATCH($C704,'Materials Master'!$A$2:$A$27,0)),"No"))))))="Yes",1,0)</f>
        <v>1</v>
      </c>
    </row>
    <row r="705" customFormat="false" ht="15" hidden="false" customHeight="false" outlineLevel="0" collapsed="false">
      <c r="A705" s="0" t="s">
        <v>100</v>
      </c>
      <c r="B705" s="0" t="s">
        <v>106</v>
      </c>
      <c r="C705" s="0" t="s">
        <v>31</v>
      </c>
      <c r="D705" s="0" t="str">
        <f aca="false">IFERROR(INDEX('Materials Master'!$B$2:$B$27,MATCH($C705,'Materials Master'!$A$2:$A$27,0)),"")</f>
        <v>Soiled Cardboard</v>
      </c>
      <c r="E705" s="0" t="str">
        <f aca="false">IFERROR(INDEX('Materials Master'!$C$2:$C$27,MATCH($C705,'Materials Master'!$A$2:$A$27,0)),"")</f>
        <v>Fibers</v>
      </c>
      <c r="F705" s="0" t="n">
        <f aca="false">SUMIFS(Fact_SortedWeights!$E$2:$E$6,Fact_SortedWeights!$C$2:$C$6,$A705,Fact_SortedWeights!$B$2:$B$6,$B705,Fact_SortedWeights!$D$2:$D$6,$C705)</f>
        <v>0</v>
      </c>
      <c r="G705" s="0" t="n">
        <f aca="false">IF(AND(IF($B705="Trash",INDEX('Materials Master'!$F$2:$F$27,MATCH($C705,'Materials Master'!$A$2:$A$27,0)),IF($B705="GMPC Recycling",INDEX('Materials Master'!$G$2:$G$27,MATCH($C705,'Materials Master'!$A$2:$A$27,0)),IF($B705="Organics Recycling",INDEX('Materials Master'!$H$2:$H$27,MATCH($C705,'Materials Master'!$A$2:$A$27,0)),IF($B705="Cardboard Recycling",INDEX('Materials Master'!$I$2:$I$27,MATCH($C705,'Materials Master'!$A$2:$A$27,0)),IF($B705="Paper Recycling",INDEX('Materials Master'!$J$2:$J$27,MATCH($C705,'Materials Master'!$A$2:$A$27,0)),IF($B705="Terracycle",INDEX('Materials Master'!$K$2:$K$27,MATCH($C705,'Materials Master'!$A$2:$A$27,0)),"No"))))))="Yes",INDEX('Materials Master'!$E$2:$E$27,MATCH($C705,'Materials Master'!$A$2:$A$27,0))="Yes",$B705&lt;&gt;"Trash"),1,0)</f>
        <v>0</v>
      </c>
      <c r="H705" s="0" t="str">
        <f aca="false">INDEX('Materials Master'!$E$2:$E$27,MATCH($C705,'Materials Master'!$A$2:$A$27,0))</f>
        <v>No</v>
      </c>
      <c r="I705" s="0" t="str">
        <f aca="false">IFERROR(INDEX(Areas!$C$2:$C$6,MATCH($A705,Areas!$B$2:$B$6,0)),"")</f>
        <v>Rest of Building</v>
      </c>
      <c r="J705" s="0" t="n">
        <f aca="false">IF(IF($B705="Trash",INDEX('Materials Master'!$F$2:$F$27,MATCH($C705,'Materials Master'!$A$2:$A$27,0)),IF($B705="GMPC Recycling",INDEX('Materials Master'!$G$2:$G$27,MATCH($C705,'Materials Master'!$A$2:$A$27,0)),IF($B705="Organics Recycling",INDEX('Materials Master'!$H$2:$H$27,MATCH($C705,'Materials Master'!$A$2:$A$27,0)),IF($B705="Cardboard Recycling",INDEX('Materials Master'!$I$2:$I$27,MATCH($C705,'Materials Master'!$A$2:$A$27,0)),IF($B705="Paper Recycling",INDEX('Materials Master'!$J$2:$J$27,MATCH($C705,'Materials Master'!$A$2:$A$27,0)),IF($B705="Terracycle",INDEX('Materials Master'!$K$2:$K$27,MATCH($C705,'Materials Master'!$A$2:$A$27,0)),"No"))))))="Yes",1,0)</f>
        <v>0</v>
      </c>
    </row>
    <row r="706" customFormat="false" ht="15" hidden="false" customHeight="false" outlineLevel="0" collapsed="false">
      <c r="A706" s="0" t="s">
        <v>100</v>
      </c>
      <c r="B706" s="0" t="s">
        <v>106</v>
      </c>
      <c r="C706" s="0" t="s">
        <v>33</v>
      </c>
      <c r="D706" s="0" t="str">
        <f aca="false">IFERROR(INDEX('Materials Master'!$B$2:$B$27,MATCH($C706,'Materials Master'!$A$2:$A$27,0)),"")</f>
        <v>Waxed Cardboard</v>
      </c>
      <c r="E706" s="0" t="str">
        <f aca="false">IFERROR(INDEX('Materials Master'!$C$2:$C$27,MATCH($C706,'Materials Master'!$A$2:$A$27,0)),"")</f>
        <v>Fibers</v>
      </c>
      <c r="F706" s="0" t="n">
        <f aca="false">SUMIFS(Fact_SortedWeights!$E$2:$E$6,Fact_SortedWeights!$C$2:$C$6,$A706,Fact_SortedWeights!$B$2:$B$6,$B706,Fact_SortedWeights!$D$2:$D$6,$C706)</f>
        <v>0</v>
      </c>
      <c r="G706" s="0" t="n">
        <f aca="false">IF(AND(IF($B706="Trash",INDEX('Materials Master'!$F$2:$F$27,MATCH($C706,'Materials Master'!$A$2:$A$27,0)),IF($B706="GMPC Recycling",INDEX('Materials Master'!$G$2:$G$27,MATCH($C706,'Materials Master'!$A$2:$A$27,0)),IF($B706="Organics Recycling",INDEX('Materials Master'!$H$2:$H$27,MATCH($C706,'Materials Master'!$A$2:$A$27,0)),IF($B706="Cardboard Recycling",INDEX('Materials Master'!$I$2:$I$27,MATCH($C706,'Materials Master'!$A$2:$A$27,0)),IF($B706="Paper Recycling",INDEX('Materials Master'!$J$2:$J$27,MATCH($C706,'Materials Master'!$A$2:$A$27,0)),IF($B706="Terracycle",INDEX('Materials Master'!$K$2:$K$27,MATCH($C706,'Materials Master'!$A$2:$A$27,0)),"No"))))))="Yes",INDEX('Materials Master'!$E$2:$E$27,MATCH($C706,'Materials Master'!$A$2:$A$27,0))="Yes",$B706&lt;&gt;"Trash"),1,0)</f>
        <v>0</v>
      </c>
      <c r="H706" s="0" t="str">
        <f aca="false">INDEX('Materials Master'!$E$2:$E$27,MATCH($C706,'Materials Master'!$A$2:$A$27,0))</f>
        <v>No</v>
      </c>
      <c r="I706" s="0" t="str">
        <f aca="false">IFERROR(INDEX(Areas!$C$2:$C$6,MATCH($A706,Areas!$B$2:$B$6,0)),"")</f>
        <v>Rest of Building</v>
      </c>
      <c r="J706" s="0" t="n">
        <f aca="false">IF(IF($B706="Trash",INDEX('Materials Master'!$F$2:$F$27,MATCH($C706,'Materials Master'!$A$2:$A$27,0)),IF($B706="GMPC Recycling",INDEX('Materials Master'!$G$2:$G$27,MATCH($C706,'Materials Master'!$A$2:$A$27,0)),IF($B706="Organics Recycling",INDEX('Materials Master'!$H$2:$H$27,MATCH($C706,'Materials Master'!$A$2:$A$27,0)),IF($B706="Cardboard Recycling",INDEX('Materials Master'!$I$2:$I$27,MATCH($C706,'Materials Master'!$A$2:$A$27,0)),IF($B706="Paper Recycling",INDEX('Materials Master'!$J$2:$J$27,MATCH($C706,'Materials Master'!$A$2:$A$27,0)),IF($B706="Terracycle",INDEX('Materials Master'!$K$2:$K$27,MATCH($C706,'Materials Master'!$A$2:$A$27,0)),"No"))))))="Yes",1,0)</f>
        <v>0</v>
      </c>
    </row>
    <row r="707" customFormat="false" ht="15" hidden="false" customHeight="false" outlineLevel="0" collapsed="false">
      <c r="A707" s="0" t="s">
        <v>100</v>
      </c>
      <c r="B707" s="0" t="s">
        <v>106</v>
      </c>
      <c r="C707" s="0" t="s">
        <v>35</v>
      </c>
      <c r="D707" s="0" t="str">
        <f aca="false">IFERROR(INDEX('Materials Master'!$B$2:$B$27,MATCH($C707,'Materials Master'!$A$2:$A$27,0)),"")</f>
        <v>Mixed Paper</v>
      </c>
      <c r="E707" s="0" t="str">
        <f aca="false">IFERROR(INDEX('Materials Master'!$C$2:$C$27,MATCH($C707,'Materials Master'!$A$2:$A$27,0)),"")</f>
        <v>Fibers</v>
      </c>
      <c r="F707" s="0" t="n">
        <f aca="false">SUMIFS(Fact_SortedWeights!$E$2:$E$6,Fact_SortedWeights!$C$2:$C$6,$A707,Fact_SortedWeights!$B$2:$B$6,$B707,Fact_SortedWeights!$D$2:$D$6,$C707)</f>
        <v>0</v>
      </c>
      <c r="G707" s="0" t="n">
        <f aca="false">IF(AND(IF($B707="Trash",INDEX('Materials Master'!$F$2:$F$27,MATCH($C707,'Materials Master'!$A$2:$A$27,0)),IF($B707="GMPC Recycling",INDEX('Materials Master'!$G$2:$G$27,MATCH($C707,'Materials Master'!$A$2:$A$27,0)),IF($B707="Organics Recycling",INDEX('Materials Master'!$H$2:$H$27,MATCH($C707,'Materials Master'!$A$2:$A$27,0)),IF($B707="Cardboard Recycling",INDEX('Materials Master'!$I$2:$I$27,MATCH($C707,'Materials Master'!$A$2:$A$27,0)),IF($B707="Paper Recycling",INDEX('Materials Master'!$J$2:$J$27,MATCH($C707,'Materials Master'!$A$2:$A$27,0)),IF($B707="Terracycle",INDEX('Materials Master'!$K$2:$K$27,MATCH($C707,'Materials Master'!$A$2:$A$27,0)),"No"))))))="Yes",INDEX('Materials Master'!$E$2:$E$27,MATCH($C707,'Materials Master'!$A$2:$A$27,0))="Yes",$B707&lt;&gt;"Trash"),1,0)</f>
        <v>0</v>
      </c>
      <c r="H707" s="0" t="str">
        <f aca="false">INDEX('Materials Master'!$E$2:$E$27,MATCH($C707,'Materials Master'!$A$2:$A$27,0))</f>
        <v>Yes</v>
      </c>
      <c r="I707" s="0" t="str">
        <f aca="false">IFERROR(INDEX(Areas!$C$2:$C$6,MATCH($A707,Areas!$B$2:$B$6,0)),"")</f>
        <v>Rest of Building</v>
      </c>
      <c r="J707" s="0" t="n">
        <f aca="false">IF(IF($B707="Trash",INDEX('Materials Master'!$F$2:$F$27,MATCH($C707,'Materials Master'!$A$2:$A$27,0)),IF($B707="GMPC Recycling",INDEX('Materials Master'!$G$2:$G$27,MATCH($C707,'Materials Master'!$A$2:$A$27,0)),IF($B707="Organics Recycling",INDEX('Materials Master'!$H$2:$H$27,MATCH($C707,'Materials Master'!$A$2:$A$27,0)),IF($B707="Cardboard Recycling",INDEX('Materials Master'!$I$2:$I$27,MATCH($C707,'Materials Master'!$A$2:$A$27,0)),IF($B707="Paper Recycling",INDEX('Materials Master'!$J$2:$J$27,MATCH($C707,'Materials Master'!$A$2:$A$27,0)),IF($B707="Terracycle",INDEX('Materials Master'!$K$2:$K$27,MATCH($C707,'Materials Master'!$A$2:$A$27,0)),"No"))))))="Yes",1,0)</f>
        <v>0</v>
      </c>
    </row>
    <row r="708" customFormat="false" ht="15" hidden="false" customHeight="false" outlineLevel="0" collapsed="false">
      <c r="A708" s="0" t="s">
        <v>100</v>
      </c>
      <c r="B708" s="0" t="s">
        <v>106</v>
      </c>
      <c r="C708" s="0" t="s">
        <v>37</v>
      </c>
      <c r="D708" s="0" t="str">
        <f aca="false">IFERROR(INDEX('Materials Master'!$B$2:$B$27,MATCH($C708,'Materials Master'!$A$2:$A$27,0)),"")</f>
        <v>Soiled Paper</v>
      </c>
      <c r="E708" s="0" t="str">
        <f aca="false">IFERROR(INDEX('Materials Master'!$C$2:$C$27,MATCH($C708,'Materials Master'!$A$2:$A$27,0)),"")</f>
        <v>Fibers</v>
      </c>
      <c r="F708" s="0" t="n">
        <f aca="false">SUMIFS(Fact_SortedWeights!$E$2:$E$6,Fact_SortedWeights!$C$2:$C$6,$A708,Fact_SortedWeights!$B$2:$B$6,$B708,Fact_SortedWeights!$D$2:$D$6,$C708)</f>
        <v>0</v>
      </c>
      <c r="G708" s="0" t="n">
        <f aca="false">IF(AND(IF($B708="Trash",INDEX('Materials Master'!$F$2:$F$27,MATCH($C708,'Materials Master'!$A$2:$A$27,0)),IF($B708="GMPC Recycling",INDEX('Materials Master'!$G$2:$G$27,MATCH($C708,'Materials Master'!$A$2:$A$27,0)),IF($B708="Organics Recycling",INDEX('Materials Master'!$H$2:$H$27,MATCH($C708,'Materials Master'!$A$2:$A$27,0)),IF($B708="Cardboard Recycling",INDEX('Materials Master'!$I$2:$I$27,MATCH($C708,'Materials Master'!$A$2:$A$27,0)),IF($B708="Paper Recycling",INDEX('Materials Master'!$J$2:$J$27,MATCH($C708,'Materials Master'!$A$2:$A$27,0)),IF($B708="Terracycle",INDEX('Materials Master'!$K$2:$K$27,MATCH($C708,'Materials Master'!$A$2:$A$27,0)),"No"))))))="Yes",INDEX('Materials Master'!$E$2:$E$27,MATCH($C708,'Materials Master'!$A$2:$A$27,0))="Yes",$B708&lt;&gt;"Trash"),1,0)</f>
        <v>0</v>
      </c>
      <c r="H708" s="0" t="str">
        <f aca="false">INDEX('Materials Master'!$E$2:$E$27,MATCH($C708,'Materials Master'!$A$2:$A$27,0))</f>
        <v>No</v>
      </c>
      <c r="I708" s="0" t="str">
        <f aca="false">IFERROR(INDEX(Areas!$C$2:$C$6,MATCH($A708,Areas!$B$2:$B$6,0)),"")</f>
        <v>Rest of Building</v>
      </c>
      <c r="J708" s="0" t="n">
        <f aca="false">IF(IF($B708="Trash",INDEX('Materials Master'!$F$2:$F$27,MATCH($C708,'Materials Master'!$A$2:$A$27,0)),IF($B708="GMPC Recycling",INDEX('Materials Master'!$G$2:$G$27,MATCH($C708,'Materials Master'!$A$2:$A$27,0)),IF($B708="Organics Recycling",INDEX('Materials Master'!$H$2:$H$27,MATCH($C708,'Materials Master'!$A$2:$A$27,0)),IF($B708="Cardboard Recycling",INDEX('Materials Master'!$I$2:$I$27,MATCH($C708,'Materials Master'!$A$2:$A$27,0)),IF($B708="Paper Recycling",INDEX('Materials Master'!$J$2:$J$27,MATCH($C708,'Materials Master'!$A$2:$A$27,0)),IF($B708="Terracycle",INDEX('Materials Master'!$K$2:$K$27,MATCH($C708,'Materials Master'!$A$2:$A$27,0)),"No"))))))="Yes",1,0)</f>
        <v>0</v>
      </c>
    </row>
    <row r="709" customFormat="false" ht="15" hidden="false" customHeight="false" outlineLevel="0" collapsed="false">
      <c r="A709" s="0" t="s">
        <v>100</v>
      </c>
      <c r="B709" s="0" t="s">
        <v>106</v>
      </c>
      <c r="C709" s="0" t="s">
        <v>39</v>
      </c>
      <c r="D709" s="0" t="str">
        <f aca="false">IFERROR(INDEX('Materials Master'!$B$2:$B$27,MATCH($C709,'Materials Master'!$A$2:$A$27,0)),"")</f>
        <v>Beverage Cartons</v>
      </c>
      <c r="E709" s="0" t="str">
        <f aca="false">IFERROR(INDEX('Materials Master'!$C$2:$C$27,MATCH($C709,'Materials Master'!$A$2:$A$27,0)),"")</f>
        <v>Fibers</v>
      </c>
      <c r="F709" s="0" t="n">
        <f aca="false">SUMIFS(Fact_SortedWeights!$E$2:$E$6,Fact_SortedWeights!$C$2:$C$6,$A709,Fact_SortedWeights!$B$2:$B$6,$B709,Fact_SortedWeights!$D$2:$D$6,$C709)</f>
        <v>0</v>
      </c>
      <c r="G709" s="0" t="n">
        <f aca="false">IF(AND(IF($B709="Trash",INDEX('Materials Master'!$F$2:$F$27,MATCH($C709,'Materials Master'!$A$2:$A$27,0)),IF($B709="GMPC Recycling",INDEX('Materials Master'!$G$2:$G$27,MATCH($C709,'Materials Master'!$A$2:$A$27,0)),IF($B709="Organics Recycling",INDEX('Materials Master'!$H$2:$H$27,MATCH($C709,'Materials Master'!$A$2:$A$27,0)),IF($B709="Cardboard Recycling",INDEX('Materials Master'!$I$2:$I$27,MATCH($C709,'Materials Master'!$A$2:$A$27,0)),IF($B709="Paper Recycling",INDEX('Materials Master'!$J$2:$J$27,MATCH($C709,'Materials Master'!$A$2:$A$27,0)),IF($B709="Terracycle",INDEX('Materials Master'!$K$2:$K$27,MATCH($C709,'Materials Master'!$A$2:$A$27,0)),"No"))))))="Yes",INDEX('Materials Master'!$E$2:$E$27,MATCH($C709,'Materials Master'!$A$2:$A$27,0))="Yes",$B709&lt;&gt;"Trash"),1,0)</f>
        <v>1</v>
      </c>
      <c r="H709" s="0" t="str">
        <f aca="false">INDEX('Materials Master'!$E$2:$E$27,MATCH($C709,'Materials Master'!$A$2:$A$27,0))</f>
        <v>Yes</v>
      </c>
      <c r="I709" s="0" t="str">
        <f aca="false">IFERROR(INDEX(Areas!$C$2:$C$6,MATCH($A709,Areas!$B$2:$B$6,0)),"")</f>
        <v>Rest of Building</v>
      </c>
      <c r="J709" s="0" t="n">
        <f aca="false">IF(IF($B709="Trash",INDEX('Materials Master'!$F$2:$F$27,MATCH($C709,'Materials Master'!$A$2:$A$27,0)),IF($B709="GMPC Recycling",INDEX('Materials Master'!$G$2:$G$27,MATCH($C709,'Materials Master'!$A$2:$A$27,0)),IF($B709="Organics Recycling",INDEX('Materials Master'!$H$2:$H$27,MATCH($C709,'Materials Master'!$A$2:$A$27,0)),IF($B709="Cardboard Recycling",INDEX('Materials Master'!$I$2:$I$27,MATCH($C709,'Materials Master'!$A$2:$A$27,0)),IF($B709="Paper Recycling",INDEX('Materials Master'!$J$2:$J$27,MATCH($C709,'Materials Master'!$A$2:$A$27,0)),IF($B709="Terracycle",INDEX('Materials Master'!$K$2:$K$27,MATCH($C709,'Materials Master'!$A$2:$A$27,0)),"No"))))))="Yes",1,0)</f>
        <v>1</v>
      </c>
    </row>
    <row r="710" customFormat="false" ht="15" hidden="false" customHeight="false" outlineLevel="0" collapsed="false">
      <c r="A710" s="0" t="s">
        <v>100</v>
      </c>
      <c r="B710" s="0" t="s">
        <v>106</v>
      </c>
      <c r="C710" s="0" t="s">
        <v>41</v>
      </c>
      <c r="D710" s="0" t="str">
        <f aca="false">IFERROR(INDEX('Materials Master'!$B$2:$B$27,MATCH($C710,'Materials Master'!$A$2:$A$27,0)),"")</f>
        <v>Soiled Beverage Cartons</v>
      </c>
      <c r="E710" s="0" t="str">
        <f aca="false">IFERROR(INDEX('Materials Master'!$C$2:$C$27,MATCH($C710,'Materials Master'!$A$2:$A$27,0)),"")</f>
        <v>Fibers</v>
      </c>
      <c r="F710" s="0" t="n">
        <f aca="false">SUMIFS(Fact_SortedWeights!$E$2:$E$6,Fact_SortedWeights!$C$2:$C$6,$A710,Fact_SortedWeights!$B$2:$B$6,$B710,Fact_SortedWeights!$D$2:$D$6,$C710)</f>
        <v>0</v>
      </c>
      <c r="G710" s="0" t="n">
        <f aca="false">IF(AND(IF($B710="Trash",INDEX('Materials Master'!$F$2:$F$27,MATCH($C710,'Materials Master'!$A$2:$A$27,0)),IF($B710="GMPC Recycling",INDEX('Materials Master'!$G$2:$G$27,MATCH($C710,'Materials Master'!$A$2:$A$27,0)),IF($B710="Organics Recycling",INDEX('Materials Master'!$H$2:$H$27,MATCH($C710,'Materials Master'!$A$2:$A$27,0)),IF($B710="Cardboard Recycling",INDEX('Materials Master'!$I$2:$I$27,MATCH($C710,'Materials Master'!$A$2:$A$27,0)),IF($B710="Paper Recycling",INDEX('Materials Master'!$J$2:$J$27,MATCH($C710,'Materials Master'!$A$2:$A$27,0)),IF($B710="Terracycle",INDEX('Materials Master'!$K$2:$K$27,MATCH($C710,'Materials Master'!$A$2:$A$27,0)),"No"))))))="Yes",INDEX('Materials Master'!$E$2:$E$27,MATCH($C710,'Materials Master'!$A$2:$A$27,0))="Yes",$B710&lt;&gt;"Trash"),1,0)</f>
        <v>0</v>
      </c>
      <c r="H710" s="0" t="str">
        <f aca="false">INDEX('Materials Master'!$E$2:$E$27,MATCH($C710,'Materials Master'!$A$2:$A$27,0))</f>
        <v>No</v>
      </c>
      <c r="I710" s="0" t="str">
        <f aca="false">IFERROR(INDEX(Areas!$C$2:$C$6,MATCH($A710,Areas!$B$2:$B$6,0)),"")</f>
        <v>Rest of Building</v>
      </c>
      <c r="J710" s="0" t="n">
        <f aca="false">IF(IF($B710="Trash",INDEX('Materials Master'!$F$2:$F$27,MATCH($C710,'Materials Master'!$A$2:$A$27,0)),IF($B710="GMPC Recycling",INDEX('Materials Master'!$G$2:$G$27,MATCH($C710,'Materials Master'!$A$2:$A$27,0)),IF($B710="Organics Recycling",INDEX('Materials Master'!$H$2:$H$27,MATCH($C710,'Materials Master'!$A$2:$A$27,0)),IF($B710="Cardboard Recycling",INDEX('Materials Master'!$I$2:$I$27,MATCH($C710,'Materials Master'!$A$2:$A$27,0)),IF($B710="Paper Recycling",INDEX('Materials Master'!$J$2:$J$27,MATCH($C710,'Materials Master'!$A$2:$A$27,0)),IF($B710="Terracycle",INDEX('Materials Master'!$K$2:$K$27,MATCH($C710,'Materials Master'!$A$2:$A$27,0)),"No"))))))="Yes",1,0)</f>
        <v>0</v>
      </c>
    </row>
    <row r="711" customFormat="false" ht="15" hidden="false" customHeight="false" outlineLevel="0" collapsed="false">
      <c r="A711" s="0" t="s">
        <v>100</v>
      </c>
      <c r="B711" s="0" t="s">
        <v>106</v>
      </c>
      <c r="C711" s="0" t="s">
        <v>43</v>
      </c>
      <c r="D711" s="0" t="str">
        <f aca="false">IFERROR(INDEX('Materials Master'!$B$2:$B$27,MATCH($C711,'Materials Master'!$A$2:$A$27,0)),"")</f>
        <v>Paper Cups / Other Coated Paper Containers</v>
      </c>
      <c r="E711" s="0" t="str">
        <f aca="false">IFERROR(INDEX('Materials Master'!$C$2:$C$27,MATCH($C711,'Materials Master'!$A$2:$A$27,0)),"")</f>
        <v>Fibers</v>
      </c>
      <c r="F711" s="0" t="n">
        <f aca="false">SUMIFS(Fact_SortedWeights!$E$2:$E$6,Fact_SortedWeights!$C$2:$C$6,$A711,Fact_SortedWeights!$B$2:$B$6,$B711,Fact_SortedWeights!$D$2:$D$6,$C711)</f>
        <v>0</v>
      </c>
      <c r="G711" s="0" t="n">
        <f aca="false">IF(AND(IF($B711="Trash",INDEX('Materials Master'!$F$2:$F$27,MATCH($C711,'Materials Master'!$A$2:$A$27,0)),IF($B711="GMPC Recycling",INDEX('Materials Master'!$G$2:$G$27,MATCH($C711,'Materials Master'!$A$2:$A$27,0)),IF($B711="Organics Recycling",INDEX('Materials Master'!$H$2:$H$27,MATCH($C711,'Materials Master'!$A$2:$A$27,0)),IF($B711="Cardboard Recycling",INDEX('Materials Master'!$I$2:$I$27,MATCH($C711,'Materials Master'!$A$2:$A$27,0)),IF($B711="Paper Recycling",INDEX('Materials Master'!$J$2:$J$27,MATCH($C711,'Materials Master'!$A$2:$A$27,0)),IF($B711="Terracycle",INDEX('Materials Master'!$K$2:$K$27,MATCH($C711,'Materials Master'!$A$2:$A$27,0)),"No"))))))="Yes",INDEX('Materials Master'!$E$2:$E$27,MATCH($C711,'Materials Master'!$A$2:$A$27,0))="Yes",$B711&lt;&gt;"Trash"),1,0)</f>
        <v>0</v>
      </c>
      <c r="H711" s="0" t="str">
        <f aca="false">INDEX('Materials Master'!$E$2:$E$27,MATCH($C711,'Materials Master'!$A$2:$A$27,0))</f>
        <v>No</v>
      </c>
      <c r="I711" s="0" t="str">
        <f aca="false">IFERROR(INDEX(Areas!$C$2:$C$6,MATCH($A711,Areas!$B$2:$B$6,0)),"")</f>
        <v>Rest of Building</v>
      </c>
      <c r="J711" s="0" t="n">
        <f aca="false">IF(IF($B711="Trash",INDEX('Materials Master'!$F$2:$F$27,MATCH($C711,'Materials Master'!$A$2:$A$27,0)),IF($B711="GMPC Recycling",INDEX('Materials Master'!$G$2:$G$27,MATCH($C711,'Materials Master'!$A$2:$A$27,0)),IF($B711="Organics Recycling",INDEX('Materials Master'!$H$2:$H$27,MATCH($C711,'Materials Master'!$A$2:$A$27,0)),IF($B711="Cardboard Recycling",INDEX('Materials Master'!$I$2:$I$27,MATCH($C711,'Materials Master'!$A$2:$A$27,0)),IF($B711="Paper Recycling",INDEX('Materials Master'!$J$2:$J$27,MATCH($C711,'Materials Master'!$A$2:$A$27,0)),IF($B711="Terracycle",INDEX('Materials Master'!$K$2:$K$27,MATCH($C711,'Materials Master'!$A$2:$A$27,0)),"No"))))))="Yes",1,0)</f>
        <v>0</v>
      </c>
    </row>
    <row r="712" customFormat="false" ht="15" hidden="false" customHeight="false" outlineLevel="0" collapsed="false">
      <c r="A712" s="0" t="s">
        <v>100</v>
      </c>
      <c r="B712" s="0" t="s">
        <v>106</v>
      </c>
      <c r="C712" s="0" t="s">
        <v>45</v>
      </c>
      <c r="D712" s="0" t="str">
        <f aca="false">IFERROR(INDEX('Materials Master'!$B$2:$B$27,MATCH($C712,'Materials Master'!$A$2:$A$27,0)),"")</f>
        <v>Glass Bottles &amp; Jars</v>
      </c>
      <c r="E712" s="0" t="str">
        <f aca="false">IFERROR(INDEX('Materials Master'!$C$2:$C$27,MATCH($C712,'Materials Master'!$A$2:$A$27,0)),"")</f>
        <v>Glass</v>
      </c>
      <c r="F712" s="0" t="n">
        <f aca="false">SUMIFS(Fact_SortedWeights!$E$2:$E$6,Fact_SortedWeights!$C$2:$C$6,$A712,Fact_SortedWeights!$B$2:$B$6,$B712,Fact_SortedWeights!$D$2:$D$6,$C712)</f>
        <v>0</v>
      </c>
      <c r="G712" s="0" t="n">
        <f aca="false">IF(AND(IF($B712="Trash",INDEX('Materials Master'!$F$2:$F$27,MATCH($C712,'Materials Master'!$A$2:$A$27,0)),IF($B712="GMPC Recycling",INDEX('Materials Master'!$G$2:$G$27,MATCH($C712,'Materials Master'!$A$2:$A$27,0)),IF($B712="Organics Recycling",INDEX('Materials Master'!$H$2:$H$27,MATCH($C712,'Materials Master'!$A$2:$A$27,0)),IF($B712="Cardboard Recycling",INDEX('Materials Master'!$I$2:$I$27,MATCH($C712,'Materials Master'!$A$2:$A$27,0)),IF($B712="Paper Recycling",INDEX('Materials Master'!$J$2:$J$27,MATCH($C712,'Materials Master'!$A$2:$A$27,0)),IF($B712="Terracycle",INDEX('Materials Master'!$K$2:$K$27,MATCH($C712,'Materials Master'!$A$2:$A$27,0)),"No"))))))="Yes",INDEX('Materials Master'!$E$2:$E$27,MATCH($C712,'Materials Master'!$A$2:$A$27,0))="Yes",$B712&lt;&gt;"Trash"),1,0)</f>
        <v>1</v>
      </c>
      <c r="H712" s="0" t="str">
        <f aca="false">INDEX('Materials Master'!$E$2:$E$27,MATCH($C712,'Materials Master'!$A$2:$A$27,0))</f>
        <v>Yes</v>
      </c>
      <c r="I712" s="0" t="str">
        <f aca="false">IFERROR(INDEX(Areas!$C$2:$C$6,MATCH($A712,Areas!$B$2:$B$6,0)),"")</f>
        <v>Rest of Building</v>
      </c>
      <c r="J712" s="0" t="n">
        <f aca="false">IF(IF($B712="Trash",INDEX('Materials Master'!$F$2:$F$27,MATCH($C712,'Materials Master'!$A$2:$A$27,0)),IF($B712="GMPC Recycling",INDEX('Materials Master'!$G$2:$G$27,MATCH($C712,'Materials Master'!$A$2:$A$27,0)),IF($B712="Organics Recycling",INDEX('Materials Master'!$H$2:$H$27,MATCH($C712,'Materials Master'!$A$2:$A$27,0)),IF($B712="Cardboard Recycling",INDEX('Materials Master'!$I$2:$I$27,MATCH($C712,'Materials Master'!$A$2:$A$27,0)),IF($B712="Paper Recycling",INDEX('Materials Master'!$J$2:$J$27,MATCH($C712,'Materials Master'!$A$2:$A$27,0)),IF($B712="Terracycle",INDEX('Materials Master'!$K$2:$K$27,MATCH($C712,'Materials Master'!$A$2:$A$27,0)),"No"))))))="Yes",1,0)</f>
        <v>1</v>
      </c>
    </row>
    <row r="713" customFormat="false" ht="15" hidden="false" customHeight="false" outlineLevel="0" collapsed="false">
      <c r="A713" s="0" t="s">
        <v>100</v>
      </c>
      <c r="B713" s="0" t="s">
        <v>106</v>
      </c>
      <c r="C713" s="0" t="s">
        <v>48</v>
      </c>
      <c r="D713" s="0" t="str">
        <f aca="false">IFERROR(INDEX('Materials Master'!$B$2:$B$27,MATCH($C713,'Materials Master'!$A$2:$A$27,0)),"")</f>
        <v>Soiled Glass</v>
      </c>
      <c r="E713" s="0" t="str">
        <f aca="false">IFERROR(INDEX('Materials Master'!$C$2:$C$27,MATCH($C713,'Materials Master'!$A$2:$A$27,0)),"")</f>
        <v>Glass</v>
      </c>
      <c r="F713" s="0" t="n">
        <f aca="false">SUMIFS(Fact_SortedWeights!$E$2:$E$6,Fact_SortedWeights!$C$2:$C$6,$A713,Fact_SortedWeights!$B$2:$B$6,$B713,Fact_SortedWeights!$D$2:$D$6,$C713)</f>
        <v>0</v>
      </c>
      <c r="G713" s="0" t="n">
        <f aca="false">IF(AND(IF($B713="Trash",INDEX('Materials Master'!$F$2:$F$27,MATCH($C713,'Materials Master'!$A$2:$A$27,0)),IF($B713="GMPC Recycling",INDEX('Materials Master'!$G$2:$G$27,MATCH($C713,'Materials Master'!$A$2:$A$27,0)),IF($B713="Organics Recycling",INDEX('Materials Master'!$H$2:$H$27,MATCH($C713,'Materials Master'!$A$2:$A$27,0)),IF($B713="Cardboard Recycling",INDEX('Materials Master'!$I$2:$I$27,MATCH($C713,'Materials Master'!$A$2:$A$27,0)),IF($B713="Paper Recycling",INDEX('Materials Master'!$J$2:$J$27,MATCH($C713,'Materials Master'!$A$2:$A$27,0)),IF($B713="Terracycle",INDEX('Materials Master'!$K$2:$K$27,MATCH($C713,'Materials Master'!$A$2:$A$27,0)),"No"))))))="Yes",INDEX('Materials Master'!$E$2:$E$27,MATCH($C713,'Materials Master'!$A$2:$A$27,0))="Yes",$B713&lt;&gt;"Trash"),1,0)</f>
        <v>0</v>
      </c>
      <c r="H713" s="0" t="str">
        <f aca="false">INDEX('Materials Master'!$E$2:$E$27,MATCH($C713,'Materials Master'!$A$2:$A$27,0))</f>
        <v>No</v>
      </c>
      <c r="I713" s="0" t="str">
        <f aca="false">IFERROR(INDEX(Areas!$C$2:$C$6,MATCH($A713,Areas!$B$2:$B$6,0)),"")</f>
        <v>Rest of Building</v>
      </c>
      <c r="J713" s="0" t="n">
        <f aca="false">IF(IF($B713="Trash",INDEX('Materials Master'!$F$2:$F$27,MATCH($C713,'Materials Master'!$A$2:$A$27,0)),IF($B713="GMPC Recycling",INDEX('Materials Master'!$G$2:$G$27,MATCH($C713,'Materials Master'!$A$2:$A$27,0)),IF($B713="Organics Recycling",INDEX('Materials Master'!$H$2:$H$27,MATCH($C713,'Materials Master'!$A$2:$A$27,0)),IF($B713="Cardboard Recycling",INDEX('Materials Master'!$I$2:$I$27,MATCH($C713,'Materials Master'!$A$2:$A$27,0)),IF($B713="Paper Recycling",INDEX('Materials Master'!$J$2:$J$27,MATCH($C713,'Materials Master'!$A$2:$A$27,0)),IF($B713="Terracycle",INDEX('Materials Master'!$K$2:$K$27,MATCH($C713,'Materials Master'!$A$2:$A$27,0)),"No"))))))="Yes",1,0)</f>
        <v>0</v>
      </c>
    </row>
    <row r="714" customFormat="false" ht="15" hidden="false" customHeight="false" outlineLevel="0" collapsed="false">
      <c r="A714" s="0" t="s">
        <v>100</v>
      </c>
      <c r="B714" s="0" t="s">
        <v>106</v>
      </c>
      <c r="C714" s="0" t="s">
        <v>50</v>
      </c>
      <c r="D714" s="0" t="str">
        <f aca="false">IFERROR(INDEX('Materials Master'!$B$2:$B$27,MATCH($C714,'Materials Master'!$A$2:$A$27,0)),"")</f>
        <v>Aluminum &amp; Bi-Metal Containers</v>
      </c>
      <c r="E714" s="0" t="str">
        <f aca="false">IFERROR(INDEX('Materials Master'!$C$2:$C$27,MATCH($C714,'Materials Master'!$A$2:$A$27,0)),"")</f>
        <v>Metals</v>
      </c>
      <c r="F714" s="0" t="n">
        <f aca="false">SUMIFS(Fact_SortedWeights!$E$2:$E$6,Fact_SortedWeights!$C$2:$C$6,$A714,Fact_SortedWeights!$B$2:$B$6,$B714,Fact_SortedWeights!$D$2:$D$6,$C714)</f>
        <v>0</v>
      </c>
      <c r="G714" s="0" t="n">
        <f aca="false">IF(AND(IF($B714="Trash",INDEX('Materials Master'!$F$2:$F$27,MATCH($C714,'Materials Master'!$A$2:$A$27,0)),IF($B714="GMPC Recycling",INDEX('Materials Master'!$G$2:$G$27,MATCH($C714,'Materials Master'!$A$2:$A$27,0)),IF($B714="Organics Recycling",INDEX('Materials Master'!$H$2:$H$27,MATCH($C714,'Materials Master'!$A$2:$A$27,0)),IF($B714="Cardboard Recycling",INDEX('Materials Master'!$I$2:$I$27,MATCH($C714,'Materials Master'!$A$2:$A$27,0)),IF($B714="Paper Recycling",INDEX('Materials Master'!$J$2:$J$27,MATCH($C714,'Materials Master'!$A$2:$A$27,0)),IF($B714="Terracycle",INDEX('Materials Master'!$K$2:$K$27,MATCH($C714,'Materials Master'!$A$2:$A$27,0)),"No"))))))="Yes",INDEX('Materials Master'!$E$2:$E$27,MATCH($C714,'Materials Master'!$A$2:$A$27,0))="Yes",$B714&lt;&gt;"Trash"),1,0)</f>
        <v>1</v>
      </c>
      <c r="H714" s="0" t="str">
        <f aca="false">INDEX('Materials Master'!$E$2:$E$27,MATCH($C714,'Materials Master'!$A$2:$A$27,0))</f>
        <v>Yes</v>
      </c>
      <c r="I714" s="0" t="str">
        <f aca="false">IFERROR(INDEX(Areas!$C$2:$C$6,MATCH($A714,Areas!$B$2:$B$6,0)),"")</f>
        <v>Rest of Building</v>
      </c>
      <c r="J714" s="0" t="n">
        <f aca="false">IF(IF($B714="Trash",INDEX('Materials Master'!$F$2:$F$27,MATCH($C714,'Materials Master'!$A$2:$A$27,0)),IF($B714="GMPC Recycling",INDEX('Materials Master'!$G$2:$G$27,MATCH($C714,'Materials Master'!$A$2:$A$27,0)),IF($B714="Organics Recycling",INDEX('Materials Master'!$H$2:$H$27,MATCH($C714,'Materials Master'!$A$2:$A$27,0)),IF($B714="Cardboard Recycling",INDEX('Materials Master'!$I$2:$I$27,MATCH($C714,'Materials Master'!$A$2:$A$27,0)),IF($B714="Paper Recycling",INDEX('Materials Master'!$J$2:$J$27,MATCH($C714,'Materials Master'!$A$2:$A$27,0)),IF($B714="Terracycle",INDEX('Materials Master'!$K$2:$K$27,MATCH($C714,'Materials Master'!$A$2:$A$27,0)),"No"))))))="Yes",1,0)</f>
        <v>1</v>
      </c>
    </row>
    <row r="715" customFormat="false" ht="15" hidden="false" customHeight="false" outlineLevel="0" collapsed="false">
      <c r="A715" s="0" t="s">
        <v>100</v>
      </c>
      <c r="B715" s="0" t="s">
        <v>106</v>
      </c>
      <c r="C715" s="0" t="s">
        <v>53</v>
      </c>
      <c r="D715" s="0" t="str">
        <f aca="false">IFERROR(INDEX('Materials Master'!$B$2:$B$27,MATCH($C715,'Materials Master'!$A$2:$A$27,0)),"")</f>
        <v>Soiled Metals</v>
      </c>
      <c r="E715" s="0" t="str">
        <f aca="false">IFERROR(INDEX('Materials Master'!$C$2:$C$27,MATCH($C715,'Materials Master'!$A$2:$A$27,0)),"")</f>
        <v>Metals</v>
      </c>
      <c r="F715" s="0" t="n">
        <f aca="false">SUMIFS(Fact_SortedWeights!$E$2:$E$6,Fact_SortedWeights!$C$2:$C$6,$A715,Fact_SortedWeights!$B$2:$B$6,$B715,Fact_SortedWeights!$D$2:$D$6,$C715)</f>
        <v>0</v>
      </c>
      <c r="G715" s="0" t="n">
        <f aca="false">IF(AND(IF($B715="Trash",INDEX('Materials Master'!$F$2:$F$27,MATCH($C715,'Materials Master'!$A$2:$A$27,0)),IF($B715="GMPC Recycling",INDEX('Materials Master'!$G$2:$G$27,MATCH($C715,'Materials Master'!$A$2:$A$27,0)),IF($B715="Organics Recycling",INDEX('Materials Master'!$H$2:$H$27,MATCH($C715,'Materials Master'!$A$2:$A$27,0)),IF($B715="Cardboard Recycling",INDEX('Materials Master'!$I$2:$I$27,MATCH($C715,'Materials Master'!$A$2:$A$27,0)),IF($B715="Paper Recycling",INDEX('Materials Master'!$J$2:$J$27,MATCH($C715,'Materials Master'!$A$2:$A$27,0)),IF($B715="Terracycle",INDEX('Materials Master'!$K$2:$K$27,MATCH($C715,'Materials Master'!$A$2:$A$27,0)),"No"))))))="Yes",INDEX('Materials Master'!$E$2:$E$27,MATCH($C715,'Materials Master'!$A$2:$A$27,0))="Yes",$B715&lt;&gt;"Trash"),1,0)</f>
        <v>0</v>
      </c>
      <c r="H715" s="0" t="str">
        <f aca="false">INDEX('Materials Master'!$E$2:$E$27,MATCH($C715,'Materials Master'!$A$2:$A$27,0))</f>
        <v>No</v>
      </c>
      <c r="I715" s="0" t="str">
        <f aca="false">IFERROR(INDEX(Areas!$C$2:$C$6,MATCH($A715,Areas!$B$2:$B$6,0)),"")</f>
        <v>Rest of Building</v>
      </c>
      <c r="J715" s="0" t="n">
        <f aca="false">IF(IF($B715="Trash",INDEX('Materials Master'!$F$2:$F$27,MATCH($C715,'Materials Master'!$A$2:$A$27,0)),IF($B715="GMPC Recycling",INDEX('Materials Master'!$G$2:$G$27,MATCH($C715,'Materials Master'!$A$2:$A$27,0)),IF($B715="Organics Recycling",INDEX('Materials Master'!$H$2:$H$27,MATCH($C715,'Materials Master'!$A$2:$A$27,0)),IF($B715="Cardboard Recycling",INDEX('Materials Master'!$I$2:$I$27,MATCH($C715,'Materials Master'!$A$2:$A$27,0)),IF($B715="Paper Recycling",INDEX('Materials Master'!$J$2:$J$27,MATCH($C715,'Materials Master'!$A$2:$A$27,0)),IF($B715="Terracycle",INDEX('Materials Master'!$K$2:$K$27,MATCH($C715,'Materials Master'!$A$2:$A$27,0)),"No"))))))="Yes",1,0)</f>
        <v>0</v>
      </c>
    </row>
    <row r="716" customFormat="false" ht="15" hidden="false" customHeight="false" outlineLevel="0" collapsed="false">
      <c r="A716" s="0" t="s">
        <v>100</v>
      </c>
      <c r="B716" s="0" t="s">
        <v>106</v>
      </c>
      <c r="C716" s="0" t="s">
        <v>55</v>
      </c>
      <c r="D716" s="0" t="str">
        <f aca="false">IFERROR(INDEX('Materials Master'!$B$2:$B$27,MATCH($C716,'Materials Master'!$A$2:$A$27,0)),"")</f>
        <v>Rigid Plastics (1-6)</v>
      </c>
      <c r="E716" s="0" t="str">
        <f aca="false">IFERROR(INDEX('Materials Master'!$C$2:$C$27,MATCH($C716,'Materials Master'!$A$2:$A$27,0)),"")</f>
        <v>Plastics</v>
      </c>
      <c r="F716" s="0" t="n">
        <f aca="false">SUMIFS(Fact_SortedWeights!$E$2:$E$6,Fact_SortedWeights!$C$2:$C$6,$A716,Fact_SortedWeights!$B$2:$B$6,$B716,Fact_SortedWeights!$D$2:$D$6,$C716)</f>
        <v>0</v>
      </c>
      <c r="G716" s="0" t="n">
        <f aca="false">IF(AND(IF($B716="Trash",INDEX('Materials Master'!$F$2:$F$27,MATCH($C716,'Materials Master'!$A$2:$A$27,0)),IF($B716="GMPC Recycling",INDEX('Materials Master'!$G$2:$G$27,MATCH($C716,'Materials Master'!$A$2:$A$27,0)),IF($B716="Organics Recycling",INDEX('Materials Master'!$H$2:$H$27,MATCH($C716,'Materials Master'!$A$2:$A$27,0)),IF($B716="Cardboard Recycling",INDEX('Materials Master'!$I$2:$I$27,MATCH($C716,'Materials Master'!$A$2:$A$27,0)),IF($B716="Paper Recycling",INDEX('Materials Master'!$J$2:$J$27,MATCH($C716,'Materials Master'!$A$2:$A$27,0)),IF($B716="Terracycle",INDEX('Materials Master'!$K$2:$K$27,MATCH($C716,'Materials Master'!$A$2:$A$27,0)),"No"))))))="Yes",INDEX('Materials Master'!$E$2:$E$27,MATCH($C716,'Materials Master'!$A$2:$A$27,0))="Yes",$B716&lt;&gt;"Trash"),1,0)</f>
        <v>1</v>
      </c>
      <c r="H716" s="0" t="str">
        <f aca="false">INDEX('Materials Master'!$E$2:$E$27,MATCH($C716,'Materials Master'!$A$2:$A$27,0))</f>
        <v>Yes</v>
      </c>
      <c r="I716" s="0" t="str">
        <f aca="false">IFERROR(INDEX(Areas!$C$2:$C$6,MATCH($A716,Areas!$B$2:$B$6,0)),"")</f>
        <v>Rest of Building</v>
      </c>
      <c r="J716" s="0" t="n">
        <f aca="false">IF(IF($B716="Trash",INDEX('Materials Master'!$F$2:$F$27,MATCH($C716,'Materials Master'!$A$2:$A$27,0)),IF($B716="GMPC Recycling",INDEX('Materials Master'!$G$2:$G$27,MATCH($C716,'Materials Master'!$A$2:$A$27,0)),IF($B716="Organics Recycling",INDEX('Materials Master'!$H$2:$H$27,MATCH($C716,'Materials Master'!$A$2:$A$27,0)),IF($B716="Cardboard Recycling",INDEX('Materials Master'!$I$2:$I$27,MATCH($C716,'Materials Master'!$A$2:$A$27,0)),IF($B716="Paper Recycling",INDEX('Materials Master'!$J$2:$J$27,MATCH($C716,'Materials Master'!$A$2:$A$27,0)),IF($B716="Terracycle",INDEX('Materials Master'!$K$2:$K$27,MATCH($C716,'Materials Master'!$A$2:$A$27,0)),"No"))))))="Yes",1,0)</f>
        <v>1</v>
      </c>
    </row>
    <row r="717" customFormat="false" ht="15" hidden="false" customHeight="false" outlineLevel="0" collapsed="false">
      <c r="A717" s="0" t="s">
        <v>100</v>
      </c>
      <c r="B717" s="0" t="s">
        <v>106</v>
      </c>
      <c r="C717" s="0" t="s">
        <v>58</v>
      </c>
      <c r="D717" s="0" t="str">
        <f aca="false">IFERROR(INDEX('Materials Master'!$B$2:$B$27,MATCH($C717,'Materials Master'!$A$2:$A$27,0)),"")</f>
        <v>Soiled Rigid Plastics</v>
      </c>
      <c r="E717" s="0" t="str">
        <f aca="false">IFERROR(INDEX('Materials Master'!$C$2:$C$27,MATCH($C717,'Materials Master'!$A$2:$A$27,0)),"")</f>
        <v>Plastics</v>
      </c>
      <c r="F717" s="0" t="n">
        <f aca="false">SUMIFS(Fact_SortedWeights!$E$2:$E$6,Fact_SortedWeights!$C$2:$C$6,$A717,Fact_SortedWeights!$B$2:$B$6,$B717,Fact_SortedWeights!$D$2:$D$6,$C717)</f>
        <v>0</v>
      </c>
      <c r="G717" s="0" t="n">
        <f aca="false">IF(AND(IF($B717="Trash",INDEX('Materials Master'!$F$2:$F$27,MATCH($C717,'Materials Master'!$A$2:$A$27,0)),IF($B717="GMPC Recycling",INDEX('Materials Master'!$G$2:$G$27,MATCH($C717,'Materials Master'!$A$2:$A$27,0)),IF($B717="Organics Recycling",INDEX('Materials Master'!$H$2:$H$27,MATCH($C717,'Materials Master'!$A$2:$A$27,0)),IF($B717="Cardboard Recycling",INDEX('Materials Master'!$I$2:$I$27,MATCH($C717,'Materials Master'!$A$2:$A$27,0)),IF($B717="Paper Recycling",INDEX('Materials Master'!$J$2:$J$27,MATCH($C717,'Materials Master'!$A$2:$A$27,0)),IF($B717="Terracycle",INDEX('Materials Master'!$K$2:$K$27,MATCH($C717,'Materials Master'!$A$2:$A$27,0)),"No"))))))="Yes",INDEX('Materials Master'!$E$2:$E$27,MATCH($C717,'Materials Master'!$A$2:$A$27,0))="Yes",$B717&lt;&gt;"Trash"),1,0)</f>
        <v>0</v>
      </c>
      <c r="H717" s="0" t="str">
        <f aca="false">INDEX('Materials Master'!$E$2:$E$27,MATCH($C717,'Materials Master'!$A$2:$A$27,0))</f>
        <v>No</v>
      </c>
      <c r="I717" s="0" t="str">
        <f aca="false">IFERROR(INDEX(Areas!$C$2:$C$6,MATCH($A717,Areas!$B$2:$B$6,0)),"")</f>
        <v>Rest of Building</v>
      </c>
      <c r="J717" s="0" t="n">
        <f aca="false">IF(IF($B717="Trash",INDEX('Materials Master'!$F$2:$F$27,MATCH($C717,'Materials Master'!$A$2:$A$27,0)),IF($B717="GMPC Recycling",INDEX('Materials Master'!$G$2:$G$27,MATCH($C717,'Materials Master'!$A$2:$A$27,0)),IF($B717="Organics Recycling",INDEX('Materials Master'!$H$2:$H$27,MATCH($C717,'Materials Master'!$A$2:$A$27,0)),IF($B717="Cardboard Recycling",INDEX('Materials Master'!$I$2:$I$27,MATCH($C717,'Materials Master'!$A$2:$A$27,0)),IF($B717="Paper Recycling",INDEX('Materials Master'!$J$2:$J$27,MATCH($C717,'Materials Master'!$A$2:$A$27,0)),IF($B717="Terracycle",INDEX('Materials Master'!$K$2:$K$27,MATCH($C717,'Materials Master'!$A$2:$A$27,0)),"No"))))))="Yes",1,0)</f>
        <v>0</v>
      </c>
    </row>
    <row r="718" customFormat="false" ht="15" hidden="false" customHeight="false" outlineLevel="0" collapsed="false">
      <c r="A718" s="0" t="s">
        <v>100</v>
      </c>
      <c r="B718" s="0" t="s">
        <v>106</v>
      </c>
      <c r="C718" s="0" t="s">
        <v>60</v>
      </c>
      <c r="D718" s="0" t="str">
        <f aca="false">IFERROR(INDEX('Materials Master'!$B$2:$B$27,MATCH($C718,'Materials Master'!$A$2:$A$27,0)),"")</f>
        <v>Film Plastics</v>
      </c>
      <c r="E718" s="0" t="str">
        <f aca="false">IFERROR(INDEX('Materials Master'!$C$2:$C$27,MATCH($C718,'Materials Master'!$A$2:$A$27,0)),"")</f>
        <v>Plastics</v>
      </c>
      <c r="F718" s="0" t="n">
        <f aca="false">SUMIFS(Fact_SortedWeights!$E$2:$E$6,Fact_SortedWeights!$C$2:$C$6,$A718,Fact_SortedWeights!$B$2:$B$6,$B718,Fact_SortedWeights!$D$2:$D$6,$C718)</f>
        <v>0</v>
      </c>
      <c r="G718" s="0" t="n">
        <f aca="false">IF(AND(IF($B718="Trash",INDEX('Materials Master'!$F$2:$F$27,MATCH($C718,'Materials Master'!$A$2:$A$27,0)),IF($B718="GMPC Recycling",INDEX('Materials Master'!$G$2:$G$27,MATCH($C718,'Materials Master'!$A$2:$A$27,0)),IF($B718="Organics Recycling",INDEX('Materials Master'!$H$2:$H$27,MATCH($C718,'Materials Master'!$A$2:$A$27,0)),IF($B718="Cardboard Recycling",INDEX('Materials Master'!$I$2:$I$27,MATCH($C718,'Materials Master'!$A$2:$A$27,0)),IF($B718="Paper Recycling",INDEX('Materials Master'!$J$2:$J$27,MATCH($C718,'Materials Master'!$A$2:$A$27,0)),IF($B718="Terracycle",INDEX('Materials Master'!$K$2:$K$27,MATCH($C718,'Materials Master'!$A$2:$A$27,0)),"No"))))))="Yes",INDEX('Materials Master'!$E$2:$E$27,MATCH($C718,'Materials Master'!$A$2:$A$27,0))="Yes",$B718&lt;&gt;"Trash"),1,0)</f>
        <v>0</v>
      </c>
      <c r="H718" s="0" t="str">
        <f aca="false">INDEX('Materials Master'!$E$2:$E$27,MATCH($C718,'Materials Master'!$A$2:$A$27,0))</f>
        <v>No</v>
      </c>
      <c r="I718" s="0" t="str">
        <f aca="false">IFERROR(INDEX(Areas!$C$2:$C$6,MATCH($A718,Areas!$B$2:$B$6,0)),"")</f>
        <v>Rest of Building</v>
      </c>
      <c r="J718" s="0" t="n">
        <f aca="false">IF(IF($B718="Trash",INDEX('Materials Master'!$F$2:$F$27,MATCH($C718,'Materials Master'!$A$2:$A$27,0)),IF($B718="GMPC Recycling",INDEX('Materials Master'!$G$2:$G$27,MATCH($C718,'Materials Master'!$A$2:$A$27,0)),IF($B718="Organics Recycling",INDEX('Materials Master'!$H$2:$H$27,MATCH($C718,'Materials Master'!$A$2:$A$27,0)),IF($B718="Cardboard Recycling",INDEX('Materials Master'!$I$2:$I$27,MATCH($C718,'Materials Master'!$A$2:$A$27,0)),IF($B718="Paper Recycling",INDEX('Materials Master'!$J$2:$J$27,MATCH($C718,'Materials Master'!$A$2:$A$27,0)),IF($B718="Terracycle",INDEX('Materials Master'!$K$2:$K$27,MATCH($C718,'Materials Master'!$A$2:$A$27,0)),"No"))))))="Yes",1,0)</f>
        <v>0</v>
      </c>
    </row>
    <row r="719" customFormat="false" ht="15" hidden="false" customHeight="false" outlineLevel="0" collapsed="false">
      <c r="A719" s="0" t="s">
        <v>100</v>
      </c>
      <c r="B719" s="0" t="s">
        <v>106</v>
      </c>
      <c r="C719" s="0" t="s">
        <v>62</v>
      </c>
      <c r="D719" s="0" t="str">
        <f aca="false">IFERROR(INDEX('Materials Master'!$B$2:$B$27,MATCH($C719,'Materials Master'!$A$2:$A$27,0)),"")</f>
        <v>Foams</v>
      </c>
      <c r="E719" s="0" t="str">
        <f aca="false">IFERROR(INDEX('Materials Master'!$C$2:$C$27,MATCH($C719,'Materials Master'!$A$2:$A$27,0)),"")</f>
        <v>Plastics</v>
      </c>
      <c r="F719" s="0" t="n">
        <f aca="false">SUMIFS(Fact_SortedWeights!$E$2:$E$6,Fact_SortedWeights!$C$2:$C$6,$A719,Fact_SortedWeights!$B$2:$B$6,$B719,Fact_SortedWeights!$D$2:$D$6,$C719)</f>
        <v>0</v>
      </c>
      <c r="G719" s="0" t="n">
        <f aca="false">IF(AND(IF($B719="Trash",INDEX('Materials Master'!$F$2:$F$27,MATCH($C719,'Materials Master'!$A$2:$A$27,0)),IF($B719="GMPC Recycling",INDEX('Materials Master'!$G$2:$G$27,MATCH($C719,'Materials Master'!$A$2:$A$27,0)),IF($B719="Organics Recycling",INDEX('Materials Master'!$H$2:$H$27,MATCH($C719,'Materials Master'!$A$2:$A$27,0)),IF($B719="Cardboard Recycling",INDEX('Materials Master'!$I$2:$I$27,MATCH($C719,'Materials Master'!$A$2:$A$27,0)),IF($B719="Paper Recycling",INDEX('Materials Master'!$J$2:$J$27,MATCH($C719,'Materials Master'!$A$2:$A$27,0)),IF($B719="Terracycle",INDEX('Materials Master'!$K$2:$K$27,MATCH($C719,'Materials Master'!$A$2:$A$27,0)),"No"))))))="Yes",INDEX('Materials Master'!$E$2:$E$27,MATCH($C719,'Materials Master'!$A$2:$A$27,0))="Yes",$B719&lt;&gt;"Trash"),1,0)</f>
        <v>0</v>
      </c>
      <c r="H719" s="0" t="str">
        <f aca="false">INDEX('Materials Master'!$E$2:$E$27,MATCH($C719,'Materials Master'!$A$2:$A$27,0))</f>
        <v>No</v>
      </c>
      <c r="I719" s="0" t="str">
        <f aca="false">IFERROR(INDEX(Areas!$C$2:$C$6,MATCH($A719,Areas!$B$2:$B$6,0)),"")</f>
        <v>Rest of Building</v>
      </c>
      <c r="J719" s="0" t="n">
        <f aca="false">IF(IF($B719="Trash",INDEX('Materials Master'!$F$2:$F$27,MATCH($C719,'Materials Master'!$A$2:$A$27,0)),IF($B719="GMPC Recycling",INDEX('Materials Master'!$G$2:$G$27,MATCH($C719,'Materials Master'!$A$2:$A$27,0)),IF($B719="Organics Recycling",INDEX('Materials Master'!$H$2:$H$27,MATCH($C719,'Materials Master'!$A$2:$A$27,0)),IF($B719="Cardboard Recycling",INDEX('Materials Master'!$I$2:$I$27,MATCH($C719,'Materials Master'!$A$2:$A$27,0)),IF($B719="Paper Recycling",INDEX('Materials Master'!$J$2:$J$27,MATCH($C719,'Materials Master'!$A$2:$A$27,0)),IF($B719="Terracycle",INDEX('Materials Master'!$K$2:$K$27,MATCH($C719,'Materials Master'!$A$2:$A$27,0)),"No"))))))="Yes",1,0)</f>
        <v>0</v>
      </c>
    </row>
    <row r="720" customFormat="false" ht="15" hidden="false" customHeight="false" outlineLevel="0" collapsed="false">
      <c r="A720" s="0" t="s">
        <v>100</v>
      </c>
      <c r="B720" s="0" t="s">
        <v>106</v>
      </c>
      <c r="C720" s="0" t="s">
        <v>64</v>
      </c>
      <c r="D720" s="0" t="str">
        <f aca="false">IFERROR(INDEX('Materials Master'!$B$2:$B$27,MATCH($C720,'Materials Master'!$A$2:$A$27,0)),"")</f>
        <v>Food Waste</v>
      </c>
      <c r="E720" s="0" t="str">
        <f aca="false">IFERROR(INDEX('Materials Master'!$C$2:$C$27,MATCH($C720,'Materials Master'!$A$2:$A$27,0)),"")</f>
        <v>Organics</v>
      </c>
      <c r="F720" s="0" t="n">
        <f aca="false">SUMIFS(Fact_SortedWeights!$E$2:$E$6,Fact_SortedWeights!$C$2:$C$6,$A720,Fact_SortedWeights!$B$2:$B$6,$B720,Fact_SortedWeights!$D$2:$D$6,$C720)</f>
        <v>0</v>
      </c>
      <c r="G720" s="0" t="n">
        <f aca="false">IF(AND(IF($B720="Trash",INDEX('Materials Master'!$F$2:$F$27,MATCH($C720,'Materials Master'!$A$2:$A$27,0)),IF($B720="GMPC Recycling",INDEX('Materials Master'!$G$2:$G$27,MATCH($C720,'Materials Master'!$A$2:$A$27,0)),IF($B720="Organics Recycling",INDEX('Materials Master'!$H$2:$H$27,MATCH($C720,'Materials Master'!$A$2:$A$27,0)),IF($B720="Cardboard Recycling",INDEX('Materials Master'!$I$2:$I$27,MATCH($C720,'Materials Master'!$A$2:$A$27,0)),IF($B720="Paper Recycling",INDEX('Materials Master'!$J$2:$J$27,MATCH($C720,'Materials Master'!$A$2:$A$27,0)),IF($B720="Terracycle",INDEX('Materials Master'!$K$2:$K$27,MATCH($C720,'Materials Master'!$A$2:$A$27,0)),"No"))))))="Yes",INDEX('Materials Master'!$E$2:$E$27,MATCH($C720,'Materials Master'!$A$2:$A$27,0))="Yes",$B720&lt;&gt;"Trash"),1,0)</f>
        <v>0</v>
      </c>
      <c r="H720" s="0" t="str">
        <f aca="false">INDEX('Materials Master'!$E$2:$E$27,MATCH($C720,'Materials Master'!$A$2:$A$27,0))</f>
        <v>Yes</v>
      </c>
      <c r="I720" s="0" t="str">
        <f aca="false">IFERROR(INDEX(Areas!$C$2:$C$6,MATCH($A720,Areas!$B$2:$B$6,0)),"")</f>
        <v>Rest of Building</v>
      </c>
      <c r="J720" s="0" t="n">
        <f aca="false">IF(IF($B720="Trash",INDEX('Materials Master'!$F$2:$F$27,MATCH($C720,'Materials Master'!$A$2:$A$27,0)),IF($B720="GMPC Recycling",INDEX('Materials Master'!$G$2:$G$27,MATCH($C720,'Materials Master'!$A$2:$A$27,0)),IF($B720="Organics Recycling",INDEX('Materials Master'!$H$2:$H$27,MATCH($C720,'Materials Master'!$A$2:$A$27,0)),IF($B720="Cardboard Recycling",INDEX('Materials Master'!$I$2:$I$27,MATCH($C720,'Materials Master'!$A$2:$A$27,0)),IF($B720="Paper Recycling",INDEX('Materials Master'!$J$2:$J$27,MATCH($C720,'Materials Master'!$A$2:$A$27,0)),IF($B720="Terracycle",INDEX('Materials Master'!$K$2:$K$27,MATCH($C720,'Materials Master'!$A$2:$A$27,0)),"No"))))))="Yes",1,0)</f>
        <v>0</v>
      </c>
    </row>
    <row r="721" customFormat="false" ht="15" hidden="false" customHeight="false" outlineLevel="0" collapsed="false">
      <c r="A721" s="0" t="s">
        <v>100</v>
      </c>
      <c r="B721" s="0" t="s">
        <v>106</v>
      </c>
      <c r="C721" s="0" t="s">
        <v>67</v>
      </c>
      <c r="D721" s="0" t="str">
        <f aca="false">IFERROR(INDEX('Materials Master'!$B$2:$B$27,MATCH($C721,'Materials Master'!$A$2:$A$27,0)),"")</f>
        <v>Paper Fibers and Food-Soiled Paper (FSP)</v>
      </c>
      <c r="E721" s="0" t="str">
        <f aca="false">IFERROR(INDEX('Materials Master'!$C$2:$C$27,MATCH($C721,'Materials Master'!$A$2:$A$27,0)),"")</f>
        <v>Organics</v>
      </c>
      <c r="F721" s="0" t="n">
        <f aca="false">SUMIFS(Fact_SortedWeights!$E$2:$E$6,Fact_SortedWeights!$C$2:$C$6,$A721,Fact_SortedWeights!$B$2:$B$6,$B721,Fact_SortedWeights!$D$2:$D$6,$C721)</f>
        <v>0</v>
      </c>
      <c r="G721" s="0" t="n">
        <f aca="false">IF(AND(IF($B721="Trash",INDEX('Materials Master'!$F$2:$F$27,MATCH($C721,'Materials Master'!$A$2:$A$27,0)),IF($B721="GMPC Recycling",INDEX('Materials Master'!$G$2:$G$27,MATCH($C721,'Materials Master'!$A$2:$A$27,0)),IF($B721="Organics Recycling",INDEX('Materials Master'!$H$2:$H$27,MATCH($C721,'Materials Master'!$A$2:$A$27,0)),IF($B721="Cardboard Recycling",INDEX('Materials Master'!$I$2:$I$27,MATCH($C721,'Materials Master'!$A$2:$A$27,0)),IF($B721="Paper Recycling",INDEX('Materials Master'!$J$2:$J$27,MATCH($C721,'Materials Master'!$A$2:$A$27,0)),IF($B721="Terracycle",INDEX('Materials Master'!$K$2:$K$27,MATCH($C721,'Materials Master'!$A$2:$A$27,0)),"No"))))))="Yes",INDEX('Materials Master'!$E$2:$E$27,MATCH($C721,'Materials Master'!$A$2:$A$27,0))="Yes",$B721&lt;&gt;"Trash"),1,0)</f>
        <v>0</v>
      </c>
      <c r="H721" s="0" t="str">
        <f aca="false">INDEX('Materials Master'!$E$2:$E$27,MATCH($C721,'Materials Master'!$A$2:$A$27,0))</f>
        <v>No</v>
      </c>
      <c r="I721" s="0" t="str">
        <f aca="false">IFERROR(INDEX(Areas!$C$2:$C$6,MATCH($A721,Areas!$B$2:$B$6,0)),"")</f>
        <v>Rest of Building</v>
      </c>
      <c r="J721" s="0" t="n">
        <f aca="false">IF(IF($B721="Trash",INDEX('Materials Master'!$F$2:$F$27,MATCH($C721,'Materials Master'!$A$2:$A$27,0)),IF($B721="GMPC Recycling",INDEX('Materials Master'!$G$2:$G$27,MATCH($C721,'Materials Master'!$A$2:$A$27,0)),IF($B721="Organics Recycling",INDEX('Materials Master'!$H$2:$H$27,MATCH($C721,'Materials Master'!$A$2:$A$27,0)),IF($B721="Cardboard Recycling",INDEX('Materials Master'!$I$2:$I$27,MATCH($C721,'Materials Master'!$A$2:$A$27,0)),IF($B721="Paper Recycling",INDEX('Materials Master'!$J$2:$J$27,MATCH($C721,'Materials Master'!$A$2:$A$27,0)),IF($B721="Terracycle",INDEX('Materials Master'!$K$2:$K$27,MATCH($C721,'Materials Master'!$A$2:$A$27,0)),"No"))))))="Yes",1,0)</f>
        <v>0</v>
      </c>
    </row>
    <row r="722" customFormat="false" ht="15" hidden="false" customHeight="false" outlineLevel="0" collapsed="false">
      <c r="A722" s="0" t="s">
        <v>100</v>
      </c>
      <c r="B722" s="0" t="s">
        <v>106</v>
      </c>
      <c r="C722" s="0" t="s">
        <v>69</v>
      </c>
      <c r="D722" s="0" t="str">
        <f aca="false">IFERROR(INDEX('Materials Master'!$B$2:$B$27,MATCH($C722,'Materials Master'!$A$2:$A$27,0)),"")</f>
        <v>Fiber-based Compostable Serviceware</v>
      </c>
      <c r="E722" s="0" t="str">
        <f aca="false">IFERROR(INDEX('Materials Master'!$C$2:$C$27,MATCH($C722,'Materials Master'!$A$2:$A$27,0)),"")</f>
        <v>Organics</v>
      </c>
      <c r="F722" s="0" t="n">
        <f aca="false">SUMIFS(Fact_SortedWeights!$E$2:$E$6,Fact_SortedWeights!$C$2:$C$6,$A722,Fact_SortedWeights!$B$2:$B$6,$B722,Fact_SortedWeights!$D$2:$D$6,$C722)</f>
        <v>0</v>
      </c>
      <c r="G722" s="0" t="n">
        <f aca="false">IF(AND(IF($B722="Trash",INDEX('Materials Master'!$F$2:$F$27,MATCH($C722,'Materials Master'!$A$2:$A$27,0)),IF($B722="GMPC Recycling",INDEX('Materials Master'!$G$2:$G$27,MATCH($C722,'Materials Master'!$A$2:$A$27,0)),IF($B722="Organics Recycling",INDEX('Materials Master'!$H$2:$H$27,MATCH($C722,'Materials Master'!$A$2:$A$27,0)),IF($B722="Cardboard Recycling",INDEX('Materials Master'!$I$2:$I$27,MATCH($C722,'Materials Master'!$A$2:$A$27,0)),IF($B722="Paper Recycling",INDEX('Materials Master'!$J$2:$J$27,MATCH($C722,'Materials Master'!$A$2:$A$27,0)),IF($B722="Terracycle",INDEX('Materials Master'!$K$2:$K$27,MATCH($C722,'Materials Master'!$A$2:$A$27,0)),"No"))))))="Yes",INDEX('Materials Master'!$E$2:$E$27,MATCH($C722,'Materials Master'!$A$2:$A$27,0))="Yes",$B722&lt;&gt;"Trash"),1,0)</f>
        <v>0</v>
      </c>
      <c r="H722" s="0" t="str">
        <f aca="false">INDEX('Materials Master'!$E$2:$E$27,MATCH($C722,'Materials Master'!$A$2:$A$27,0))</f>
        <v>No</v>
      </c>
      <c r="I722" s="0" t="str">
        <f aca="false">IFERROR(INDEX(Areas!$C$2:$C$6,MATCH($A722,Areas!$B$2:$B$6,0)),"")</f>
        <v>Rest of Building</v>
      </c>
      <c r="J722" s="0" t="n">
        <f aca="false">IF(IF($B722="Trash",INDEX('Materials Master'!$F$2:$F$27,MATCH($C722,'Materials Master'!$A$2:$A$27,0)),IF($B722="GMPC Recycling",INDEX('Materials Master'!$G$2:$G$27,MATCH($C722,'Materials Master'!$A$2:$A$27,0)),IF($B722="Organics Recycling",INDEX('Materials Master'!$H$2:$H$27,MATCH($C722,'Materials Master'!$A$2:$A$27,0)),IF($B722="Cardboard Recycling",INDEX('Materials Master'!$I$2:$I$27,MATCH($C722,'Materials Master'!$A$2:$A$27,0)),IF($B722="Paper Recycling",INDEX('Materials Master'!$J$2:$J$27,MATCH($C722,'Materials Master'!$A$2:$A$27,0)),IF($B722="Terracycle",INDEX('Materials Master'!$K$2:$K$27,MATCH($C722,'Materials Master'!$A$2:$A$27,0)),"No"))))))="Yes",1,0)</f>
        <v>0</v>
      </c>
    </row>
    <row r="723" customFormat="false" ht="15" hidden="false" customHeight="false" outlineLevel="0" collapsed="false">
      <c r="A723" s="0" t="s">
        <v>100</v>
      </c>
      <c r="B723" s="0" t="s">
        <v>106</v>
      </c>
      <c r="C723" s="0" t="s">
        <v>71</v>
      </c>
      <c r="D723" s="0" t="str">
        <f aca="false">IFERROR(INDEX('Materials Master'!$B$2:$B$27,MATCH($C723,'Materials Master'!$A$2:$A$27,0)),"")</f>
        <v>PLA Compostable Serviceware</v>
      </c>
      <c r="E723" s="0" t="str">
        <f aca="false">IFERROR(INDEX('Materials Master'!$C$2:$C$27,MATCH($C723,'Materials Master'!$A$2:$A$27,0)),"")</f>
        <v>Organics</v>
      </c>
      <c r="F723" s="0" t="n">
        <f aca="false">SUMIFS(Fact_SortedWeights!$E$2:$E$6,Fact_SortedWeights!$C$2:$C$6,$A723,Fact_SortedWeights!$B$2:$B$6,$B723,Fact_SortedWeights!$D$2:$D$6,$C723)</f>
        <v>0</v>
      </c>
      <c r="G723" s="0" t="n">
        <f aca="false">IF(AND(IF($B723="Trash",INDEX('Materials Master'!$F$2:$F$27,MATCH($C723,'Materials Master'!$A$2:$A$27,0)),IF($B723="GMPC Recycling",INDEX('Materials Master'!$G$2:$G$27,MATCH($C723,'Materials Master'!$A$2:$A$27,0)),IF($B723="Organics Recycling",INDEX('Materials Master'!$H$2:$H$27,MATCH($C723,'Materials Master'!$A$2:$A$27,0)),IF($B723="Cardboard Recycling",INDEX('Materials Master'!$I$2:$I$27,MATCH($C723,'Materials Master'!$A$2:$A$27,0)),IF($B723="Paper Recycling",INDEX('Materials Master'!$J$2:$J$27,MATCH($C723,'Materials Master'!$A$2:$A$27,0)),IF($B723="Terracycle",INDEX('Materials Master'!$K$2:$K$27,MATCH($C723,'Materials Master'!$A$2:$A$27,0)),"No"))))))="Yes",INDEX('Materials Master'!$E$2:$E$27,MATCH($C723,'Materials Master'!$A$2:$A$27,0))="Yes",$B723&lt;&gt;"Trash"),1,0)</f>
        <v>0</v>
      </c>
      <c r="H723" s="0" t="str">
        <f aca="false">INDEX('Materials Master'!$E$2:$E$27,MATCH($C723,'Materials Master'!$A$2:$A$27,0))</f>
        <v>No</v>
      </c>
      <c r="I723" s="0" t="str">
        <f aca="false">IFERROR(INDEX(Areas!$C$2:$C$6,MATCH($A723,Areas!$B$2:$B$6,0)),"")</f>
        <v>Rest of Building</v>
      </c>
      <c r="J723" s="0" t="n">
        <f aca="false">IF(IF($B723="Trash",INDEX('Materials Master'!$F$2:$F$27,MATCH($C723,'Materials Master'!$A$2:$A$27,0)),IF($B723="GMPC Recycling",INDEX('Materials Master'!$G$2:$G$27,MATCH($C723,'Materials Master'!$A$2:$A$27,0)),IF($B723="Organics Recycling",INDEX('Materials Master'!$H$2:$H$27,MATCH($C723,'Materials Master'!$A$2:$A$27,0)),IF($B723="Cardboard Recycling",INDEX('Materials Master'!$I$2:$I$27,MATCH($C723,'Materials Master'!$A$2:$A$27,0)),IF($B723="Paper Recycling",INDEX('Materials Master'!$J$2:$J$27,MATCH($C723,'Materials Master'!$A$2:$A$27,0)),IF($B723="Terracycle",INDEX('Materials Master'!$K$2:$K$27,MATCH($C723,'Materials Master'!$A$2:$A$27,0)),"No"))))))="Yes",1,0)</f>
        <v>0</v>
      </c>
    </row>
    <row r="724" customFormat="false" ht="15" hidden="false" customHeight="false" outlineLevel="0" collapsed="false">
      <c r="A724" s="0" t="s">
        <v>100</v>
      </c>
      <c r="B724" s="0" t="s">
        <v>106</v>
      </c>
      <c r="C724" s="0" t="s">
        <v>73</v>
      </c>
      <c r="D724" s="0" t="str">
        <f aca="false">IFERROR(INDEX('Materials Master'!$B$2:$B$27,MATCH($C724,'Materials Master'!$A$2:$A$27,0)),"")</f>
        <v>E/U Waste</v>
      </c>
      <c r="E724" s="0" t="str">
        <f aca="false">IFERROR(INDEX('Materials Master'!$C$2:$C$27,MATCH($C724,'Materials Master'!$A$2:$A$27,0)),"")</f>
        <v>Unacceptable</v>
      </c>
      <c r="F724" s="0" t="n">
        <f aca="false">SUMIFS(Fact_SortedWeights!$E$2:$E$6,Fact_SortedWeights!$C$2:$C$6,$A724,Fact_SortedWeights!$B$2:$B$6,$B724,Fact_SortedWeights!$D$2:$D$6,$C724)</f>
        <v>0</v>
      </c>
      <c r="G724" s="0" t="n">
        <f aca="false">IF(AND(IF($B724="Trash",INDEX('Materials Master'!$F$2:$F$27,MATCH($C724,'Materials Master'!$A$2:$A$27,0)),IF($B724="GMPC Recycling",INDEX('Materials Master'!$G$2:$G$27,MATCH($C724,'Materials Master'!$A$2:$A$27,0)),IF($B724="Organics Recycling",INDEX('Materials Master'!$H$2:$H$27,MATCH($C724,'Materials Master'!$A$2:$A$27,0)),IF($B724="Cardboard Recycling",INDEX('Materials Master'!$I$2:$I$27,MATCH($C724,'Materials Master'!$A$2:$A$27,0)),IF($B724="Paper Recycling",INDEX('Materials Master'!$J$2:$J$27,MATCH($C724,'Materials Master'!$A$2:$A$27,0)),IF($B724="Terracycle",INDEX('Materials Master'!$K$2:$K$27,MATCH($C724,'Materials Master'!$A$2:$A$27,0)),"No"))))))="Yes",INDEX('Materials Master'!$E$2:$E$27,MATCH($C724,'Materials Master'!$A$2:$A$27,0))="Yes",$B724&lt;&gt;"Trash"),1,0)</f>
        <v>0</v>
      </c>
      <c r="H724" s="0" t="str">
        <f aca="false">INDEX('Materials Master'!$E$2:$E$27,MATCH($C724,'Materials Master'!$A$2:$A$27,0))</f>
        <v>No</v>
      </c>
      <c r="I724" s="0" t="str">
        <f aca="false">IFERROR(INDEX(Areas!$C$2:$C$6,MATCH($A724,Areas!$B$2:$B$6,0)),"")</f>
        <v>Rest of Building</v>
      </c>
      <c r="J724" s="0" t="n">
        <f aca="false">IF(IF($B724="Trash",INDEX('Materials Master'!$F$2:$F$27,MATCH($C724,'Materials Master'!$A$2:$A$27,0)),IF($B724="GMPC Recycling",INDEX('Materials Master'!$G$2:$G$27,MATCH($C724,'Materials Master'!$A$2:$A$27,0)),IF($B724="Organics Recycling",INDEX('Materials Master'!$H$2:$H$27,MATCH($C724,'Materials Master'!$A$2:$A$27,0)),IF($B724="Cardboard Recycling",INDEX('Materials Master'!$I$2:$I$27,MATCH($C724,'Materials Master'!$A$2:$A$27,0)),IF($B724="Paper Recycling",INDEX('Materials Master'!$J$2:$J$27,MATCH($C724,'Materials Master'!$A$2:$A$27,0)),IF($B724="Terracycle",INDEX('Materials Master'!$K$2:$K$27,MATCH($C724,'Materials Master'!$A$2:$A$27,0)),"No"))))))="Yes",1,0)</f>
        <v>0</v>
      </c>
    </row>
    <row r="725" customFormat="false" ht="15" hidden="false" customHeight="false" outlineLevel="0" collapsed="false">
      <c r="A725" s="0" t="s">
        <v>100</v>
      </c>
      <c r="B725" s="0" t="s">
        <v>106</v>
      </c>
      <c r="C725" s="0" t="s">
        <v>76</v>
      </c>
      <c r="D725" s="0" t="str">
        <f aca="false">IFERROR(INDEX('Materials Master'!$B$2:$B$27,MATCH($C725,'Materials Master'!$A$2:$A$27,0)),"")</f>
        <v>Textiles</v>
      </c>
      <c r="E725" s="0" t="str">
        <f aca="false">IFERROR(INDEX('Materials Master'!$C$2:$C$27,MATCH($C725,'Materials Master'!$A$2:$A$27,0)),"")</f>
        <v>Unacceptable</v>
      </c>
      <c r="F725" s="0" t="n">
        <f aca="false">SUMIFS(Fact_SortedWeights!$E$2:$E$6,Fact_SortedWeights!$C$2:$C$6,$A725,Fact_SortedWeights!$B$2:$B$6,$B725,Fact_SortedWeights!$D$2:$D$6,$C725)</f>
        <v>0</v>
      </c>
      <c r="G725" s="0" t="n">
        <f aca="false">IF(AND(IF($B725="Trash",INDEX('Materials Master'!$F$2:$F$27,MATCH($C725,'Materials Master'!$A$2:$A$27,0)),IF($B725="GMPC Recycling",INDEX('Materials Master'!$G$2:$G$27,MATCH($C725,'Materials Master'!$A$2:$A$27,0)),IF($B725="Organics Recycling",INDEX('Materials Master'!$H$2:$H$27,MATCH($C725,'Materials Master'!$A$2:$A$27,0)),IF($B725="Cardboard Recycling",INDEX('Materials Master'!$I$2:$I$27,MATCH($C725,'Materials Master'!$A$2:$A$27,0)),IF($B725="Paper Recycling",INDEX('Materials Master'!$J$2:$J$27,MATCH($C725,'Materials Master'!$A$2:$A$27,0)),IF($B725="Terracycle",INDEX('Materials Master'!$K$2:$K$27,MATCH($C725,'Materials Master'!$A$2:$A$27,0)),"No"))))))="Yes",INDEX('Materials Master'!$E$2:$E$27,MATCH($C725,'Materials Master'!$A$2:$A$27,0))="Yes",$B725&lt;&gt;"Trash"),1,0)</f>
        <v>0</v>
      </c>
      <c r="H725" s="0" t="str">
        <f aca="false">INDEX('Materials Master'!$E$2:$E$27,MATCH($C725,'Materials Master'!$A$2:$A$27,0))</f>
        <v>No</v>
      </c>
      <c r="I725" s="0" t="str">
        <f aca="false">IFERROR(INDEX(Areas!$C$2:$C$6,MATCH($A725,Areas!$B$2:$B$6,0)),"")</f>
        <v>Rest of Building</v>
      </c>
      <c r="J725" s="0" t="n">
        <f aca="false">IF(IF($B725="Trash",INDEX('Materials Master'!$F$2:$F$27,MATCH($C725,'Materials Master'!$A$2:$A$27,0)),IF($B725="GMPC Recycling",INDEX('Materials Master'!$G$2:$G$27,MATCH($C725,'Materials Master'!$A$2:$A$27,0)),IF($B725="Organics Recycling",INDEX('Materials Master'!$H$2:$H$27,MATCH($C725,'Materials Master'!$A$2:$A$27,0)),IF($B725="Cardboard Recycling",INDEX('Materials Master'!$I$2:$I$27,MATCH($C725,'Materials Master'!$A$2:$A$27,0)),IF($B725="Paper Recycling",INDEX('Materials Master'!$J$2:$J$27,MATCH($C725,'Materials Master'!$A$2:$A$27,0)),IF($B725="Terracycle",INDEX('Materials Master'!$K$2:$K$27,MATCH($C725,'Materials Master'!$A$2:$A$27,0)),"No"))))))="Yes",1,0)</f>
        <v>0</v>
      </c>
    </row>
    <row r="726" customFormat="false" ht="15" hidden="false" customHeight="false" outlineLevel="0" collapsed="false">
      <c r="A726" s="0" t="s">
        <v>100</v>
      </c>
      <c r="B726" s="0" t="s">
        <v>106</v>
      </c>
      <c r="C726" s="0" t="s">
        <v>78</v>
      </c>
      <c r="D726" s="0" t="str">
        <f aca="false">IFERROR(INDEX('Materials Master'!$B$2:$B$27,MATCH($C726,'Materials Master'!$A$2:$A$27,0)),"")</f>
        <v>Other Unacceptable (specify)</v>
      </c>
      <c r="E726" s="0" t="str">
        <f aca="false">IFERROR(INDEX('Materials Master'!$C$2:$C$27,MATCH($C726,'Materials Master'!$A$2:$A$27,0)),"")</f>
        <v>Unacceptable</v>
      </c>
      <c r="F726" s="0" t="n">
        <f aca="false">SUMIFS(Fact_SortedWeights!$E$2:$E$6,Fact_SortedWeights!$C$2:$C$6,$A726,Fact_SortedWeights!$B$2:$B$6,$B726,Fact_SortedWeights!$D$2:$D$6,$C726)</f>
        <v>0</v>
      </c>
      <c r="G726" s="0" t="n">
        <f aca="false">IF(AND(IF($B726="Trash",INDEX('Materials Master'!$F$2:$F$27,MATCH($C726,'Materials Master'!$A$2:$A$27,0)),IF($B726="GMPC Recycling",INDEX('Materials Master'!$G$2:$G$27,MATCH($C726,'Materials Master'!$A$2:$A$27,0)),IF($B726="Organics Recycling",INDEX('Materials Master'!$H$2:$H$27,MATCH($C726,'Materials Master'!$A$2:$A$27,0)),IF($B726="Cardboard Recycling",INDEX('Materials Master'!$I$2:$I$27,MATCH($C726,'Materials Master'!$A$2:$A$27,0)),IF($B726="Paper Recycling",INDEX('Materials Master'!$J$2:$J$27,MATCH($C726,'Materials Master'!$A$2:$A$27,0)),IF($B726="Terracycle",INDEX('Materials Master'!$K$2:$K$27,MATCH($C726,'Materials Master'!$A$2:$A$27,0)),"No"))))))="Yes",INDEX('Materials Master'!$E$2:$E$27,MATCH($C726,'Materials Master'!$A$2:$A$27,0))="Yes",$B726&lt;&gt;"Trash"),1,0)</f>
        <v>0</v>
      </c>
      <c r="H726" s="0" t="str">
        <f aca="false">INDEX('Materials Master'!$E$2:$E$27,MATCH($C726,'Materials Master'!$A$2:$A$27,0))</f>
        <v>No</v>
      </c>
      <c r="I726" s="0" t="str">
        <f aca="false">IFERROR(INDEX(Areas!$C$2:$C$6,MATCH($A726,Areas!$B$2:$B$6,0)),"")</f>
        <v>Rest of Building</v>
      </c>
      <c r="J726" s="0" t="n">
        <f aca="false">IF(IF($B726="Trash",INDEX('Materials Master'!$F$2:$F$27,MATCH($C726,'Materials Master'!$A$2:$A$27,0)),IF($B726="GMPC Recycling",INDEX('Materials Master'!$G$2:$G$27,MATCH($C726,'Materials Master'!$A$2:$A$27,0)),IF($B726="Organics Recycling",INDEX('Materials Master'!$H$2:$H$27,MATCH($C726,'Materials Master'!$A$2:$A$27,0)),IF($B726="Cardboard Recycling",INDEX('Materials Master'!$I$2:$I$27,MATCH($C726,'Materials Master'!$A$2:$A$27,0)),IF($B726="Paper Recycling",INDEX('Materials Master'!$J$2:$J$27,MATCH($C726,'Materials Master'!$A$2:$A$27,0)),IF($B726="Terracycle",INDEX('Materials Master'!$K$2:$K$27,MATCH($C726,'Materials Master'!$A$2:$A$27,0)),"No"))))))="Yes",1,0)</f>
        <v>0</v>
      </c>
    </row>
    <row r="727" customFormat="false" ht="15" hidden="false" customHeight="false" outlineLevel="0" collapsed="false">
      <c r="A727" s="0" t="s">
        <v>100</v>
      </c>
      <c r="B727" s="0" t="s">
        <v>106</v>
      </c>
      <c r="C727" s="0" t="s">
        <v>80</v>
      </c>
      <c r="D727" s="0" t="str">
        <f aca="false">IFERROR(INDEX('Materials Master'!$B$2:$B$27,MATCH($C727,'Materials Master'!$A$2:$A$27,0)),"")</f>
        <v>Liquids</v>
      </c>
      <c r="E727" s="0" t="str">
        <f aca="false">IFERROR(INDEX('Materials Master'!$C$2:$C$27,MATCH($C727,'Materials Master'!$A$2:$A$27,0)),"")</f>
        <v>Unacceptable</v>
      </c>
      <c r="F727" s="0" t="n">
        <f aca="false">SUMIFS(Fact_SortedWeights!$E$2:$E$6,Fact_SortedWeights!$C$2:$C$6,$A727,Fact_SortedWeights!$B$2:$B$6,$B727,Fact_SortedWeights!$D$2:$D$6,$C727)</f>
        <v>0</v>
      </c>
      <c r="G727" s="0" t="n">
        <f aca="false">IF(AND(IF($B727="Trash",INDEX('Materials Master'!$F$2:$F$27,MATCH($C727,'Materials Master'!$A$2:$A$27,0)),IF($B727="GMPC Recycling",INDEX('Materials Master'!$G$2:$G$27,MATCH($C727,'Materials Master'!$A$2:$A$27,0)),IF($B727="Organics Recycling",INDEX('Materials Master'!$H$2:$H$27,MATCH($C727,'Materials Master'!$A$2:$A$27,0)),IF($B727="Cardboard Recycling",INDEX('Materials Master'!$I$2:$I$27,MATCH($C727,'Materials Master'!$A$2:$A$27,0)),IF($B727="Paper Recycling",INDEX('Materials Master'!$J$2:$J$27,MATCH($C727,'Materials Master'!$A$2:$A$27,0)),IF($B727="Terracycle",INDEX('Materials Master'!$K$2:$K$27,MATCH($C727,'Materials Master'!$A$2:$A$27,0)),"No"))))))="Yes",INDEX('Materials Master'!$E$2:$E$27,MATCH($C727,'Materials Master'!$A$2:$A$27,0))="Yes",$B727&lt;&gt;"Trash"),1,0)</f>
        <v>0</v>
      </c>
      <c r="H727" s="0" t="str">
        <f aca="false">INDEX('Materials Master'!$E$2:$E$27,MATCH($C727,'Materials Master'!$A$2:$A$27,0))</f>
        <v>No</v>
      </c>
      <c r="I727" s="0" t="str">
        <f aca="false">IFERROR(INDEX(Areas!$C$2:$C$6,MATCH($A727,Areas!$B$2:$B$6,0)),"")</f>
        <v>Rest of Building</v>
      </c>
      <c r="J727" s="0" t="n">
        <f aca="false">IF(IF($B727="Trash",INDEX('Materials Master'!$F$2:$F$27,MATCH($C727,'Materials Master'!$A$2:$A$27,0)),IF($B727="GMPC Recycling",INDEX('Materials Master'!$G$2:$G$27,MATCH($C727,'Materials Master'!$A$2:$A$27,0)),IF($B727="Organics Recycling",INDEX('Materials Master'!$H$2:$H$27,MATCH($C727,'Materials Master'!$A$2:$A$27,0)),IF($B727="Cardboard Recycling",INDEX('Materials Master'!$I$2:$I$27,MATCH($C727,'Materials Master'!$A$2:$A$27,0)),IF($B727="Paper Recycling",INDEX('Materials Master'!$J$2:$J$27,MATCH($C727,'Materials Master'!$A$2:$A$27,0)),IF($B727="Terracycle",INDEX('Materials Master'!$K$2:$K$27,MATCH($C727,'Materials Master'!$A$2:$A$27,0)),"No"))))))="Yes",1,0)</f>
        <v>0</v>
      </c>
    </row>
    <row r="728" customFormat="false" ht="15" hidden="false" customHeight="false" outlineLevel="0" collapsed="false">
      <c r="A728" s="0" t="s">
        <v>100</v>
      </c>
      <c r="B728" s="0" t="s">
        <v>106</v>
      </c>
      <c r="C728" s="0" t="s">
        <v>82</v>
      </c>
      <c r="D728" s="0" t="str">
        <f aca="false">IFERROR(INDEX('Materials Master'!$B$2:$B$27,MATCH($C728,'Materials Master'!$A$2:$A$27,0)),"")</f>
        <v>Snack Wrappers (Composites)</v>
      </c>
      <c r="E728" s="0" t="str">
        <f aca="false">IFERROR(INDEX('Materials Master'!$C$2:$C$27,MATCH($C728,'Materials Master'!$A$2:$A$27,0)),"")</f>
        <v>Other</v>
      </c>
      <c r="F728" s="0" t="n">
        <f aca="false">SUMIFS(Fact_SortedWeights!$E$2:$E$6,Fact_SortedWeights!$C$2:$C$6,$A728,Fact_SortedWeights!$B$2:$B$6,$B728,Fact_SortedWeights!$D$2:$D$6,$C728)</f>
        <v>0</v>
      </c>
      <c r="G728" s="0" t="n">
        <f aca="false">IF(AND(IF($B728="Trash",INDEX('Materials Master'!$F$2:$F$27,MATCH($C728,'Materials Master'!$A$2:$A$27,0)),IF($B728="GMPC Recycling",INDEX('Materials Master'!$G$2:$G$27,MATCH($C728,'Materials Master'!$A$2:$A$27,0)),IF($B728="Organics Recycling",INDEX('Materials Master'!$H$2:$H$27,MATCH($C728,'Materials Master'!$A$2:$A$27,0)),IF($B728="Cardboard Recycling",INDEX('Materials Master'!$I$2:$I$27,MATCH($C728,'Materials Master'!$A$2:$A$27,0)),IF($B728="Paper Recycling",INDEX('Materials Master'!$J$2:$J$27,MATCH($C728,'Materials Master'!$A$2:$A$27,0)),IF($B728="Terracycle",INDEX('Materials Master'!$K$2:$K$27,MATCH($C728,'Materials Master'!$A$2:$A$27,0)),"No"))))))="Yes",INDEX('Materials Master'!$E$2:$E$27,MATCH($C728,'Materials Master'!$A$2:$A$27,0))="Yes",$B728&lt;&gt;"Trash"),1,0)</f>
        <v>0</v>
      </c>
      <c r="H728" s="0" t="str">
        <f aca="false">INDEX('Materials Master'!$E$2:$E$27,MATCH($C728,'Materials Master'!$A$2:$A$27,0))</f>
        <v>Yes</v>
      </c>
      <c r="I728" s="0" t="str">
        <f aca="false">IFERROR(INDEX(Areas!$C$2:$C$6,MATCH($A728,Areas!$B$2:$B$6,0)),"")</f>
        <v>Rest of Building</v>
      </c>
      <c r="J728" s="0" t="n">
        <f aca="false">IF(IF($B728="Trash",INDEX('Materials Master'!$F$2:$F$27,MATCH($C728,'Materials Master'!$A$2:$A$27,0)),IF($B728="GMPC Recycling",INDEX('Materials Master'!$G$2:$G$27,MATCH($C728,'Materials Master'!$A$2:$A$27,0)),IF($B728="Organics Recycling",INDEX('Materials Master'!$H$2:$H$27,MATCH($C728,'Materials Master'!$A$2:$A$27,0)),IF($B728="Cardboard Recycling",INDEX('Materials Master'!$I$2:$I$27,MATCH($C728,'Materials Master'!$A$2:$A$27,0)),IF($B728="Paper Recycling",INDEX('Materials Master'!$J$2:$J$27,MATCH($C728,'Materials Master'!$A$2:$A$27,0)),IF($B728="Terracycle",INDEX('Materials Master'!$K$2:$K$27,MATCH($C728,'Materials Master'!$A$2:$A$27,0)),"No"))))))="Yes",1,0)</f>
        <v>0</v>
      </c>
    </row>
    <row r="729" customFormat="false" ht="15" hidden="false" customHeight="false" outlineLevel="0" collapsed="false">
      <c r="A729" s="0" t="s">
        <v>100</v>
      </c>
      <c r="B729" s="0" t="s">
        <v>106</v>
      </c>
      <c r="C729" s="0" t="s">
        <v>85</v>
      </c>
      <c r="D729" s="0" t="str">
        <f aca="false">IFERROR(INDEX('Materials Master'!$B$2:$B$27,MATCH($C729,'Materials Master'!$A$2:$A$27,0)),"")</f>
        <v>Other/Residual Materials</v>
      </c>
      <c r="E729" s="0" t="str">
        <f aca="false">IFERROR(INDEX('Materials Master'!$C$2:$C$27,MATCH($C729,'Materials Master'!$A$2:$A$27,0)),"")</f>
        <v>Other</v>
      </c>
      <c r="F729" s="0" t="n">
        <f aca="false">SUMIFS(Fact_SortedWeights!$E$2:$E$6,Fact_SortedWeights!$C$2:$C$6,$A729,Fact_SortedWeights!$B$2:$B$6,$B729,Fact_SortedWeights!$D$2:$D$6,$C729)</f>
        <v>0</v>
      </c>
      <c r="G729" s="0" t="n">
        <f aca="false">IF(AND(IF($B729="Trash",INDEX('Materials Master'!$F$2:$F$27,MATCH($C729,'Materials Master'!$A$2:$A$27,0)),IF($B729="GMPC Recycling",INDEX('Materials Master'!$G$2:$G$27,MATCH($C729,'Materials Master'!$A$2:$A$27,0)),IF($B729="Organics Recycling",INDEX('Materials Master'!$H$2:$H$27,MATCH($C729,'Materials Master'!$A$2:$A$27,0)),IF($B729="Cardboard Recycling",INDEX('Materials Master'!$I$2:$I$27,MATCH($C729,'Materials Master'!$A$2:$A$27,0)),IF($B729="Paper Recycling",INDEX('Materials Master'!$J$2:$J$27,MATCH($C729,'Materials Master'!$A$2:$A$27,0)),IF($B729="Terracycle",INDEX('Materials Master'!$K$2:$K$27,MATCH($C729,'Materials Master'!$A$2:$A$27,0)),"No"))))))="Yes",INDEX('Materials Master'!$E$2:$E$27,MATCH($C729,'Materials Master'!$A$2:$A$27,0))="Yes",$B729&lt;&gt;"Trash"),1,0)</f>
        <v>0</v>
      </c>
      <c r="H729" s="0" t="str">
        <f aca="false">INDEX('Materials Master'!$E$2:$E$27,MATCH($C729,'Materials Master'!$A$2:$A$27,0))</f>
        <v>No</v>
      </c>
      <c r="I729" s="0" t="str">
        <f aca="false">IFERROR(INDEX(Areas!$C$2:$C$6,MATCH($A729,Areas!$B$2:$B$6,0)),"")</f>
        <v>Rest of Building</v>
      </c>
      <c r="J729" s="0" t="n">
        <f aca="false">IF(IF($B729="Trash",INDEX('Materials Master'!$F$2:$F$27,MATCH($C729,'Materials Master'!$A$2:$A$27,0)),IF($B729="GMPC Recycling",INDEX('Materials Master'!$G$2:$G$27,MATCH($C729,'Materials Master'!$A$2:$A$27,0)),IF($B729="Organics Recycling",INDEX('Materials Master'!$H$2:$H$27,MATCH($C729,'Materials Master'!$A$2:$A$27,0)),IF($B729="Cardboard Recycling",INDEX('Materials Master'!$I$2:$I$27,MATCH($C729,'Materials Master'!$A$2:$A$27,0)),IF($B729="Paper Recycling",INDEX('Materials Master'!$J$2:$J$27,MATCH($C729,'Materials Master'!$A$2:$A$27,0)),IF($B729="Terracycle",INDEX('Materials Master'!$K$2:$K$27,MATCH($C729,'Materials Master'!$A$2:$A$27,0)),"No"))))))="Yes",1,0)</f>
        <v>0</v>
      </c>
    </row>
    <row r="730" customFormat="false" ht="15" hidden="false" customHeight="false" outlineLevel="0" collapsed="false">
      <c r="A730" s="0" t="s">
        <v>100</v>
      </c>
      <c r="B730" s="0" t="s">
        <v>107</v>
      </c>
      <c r="C730" s="0" t="s">
        <v>26</v>
      </c>
      <c r="D730" s="0" t="str">
        <f aca="false">IFERROR(INDEX('Materials Master'!$B$2:$B$27,MATCH($C730,'Materials Master'!$A$2:$A$27,0)),"")</f>
        <v>Corrugated Cardboard</v>
      </c>
      <c r="E730" s="0" t="str">
        <f aca="false">IFERROR(INDEX('Materials Master'!$C$2:$C$27,MATCH($C730,'Materials Master'!$A$2:$A$27,0)),"")</f>
        <v>Fibers</v>
      </c>
      <c r="F730" s="0" t="n">
        <f aca="false">(SUMIFS(Fact_PreSortWeights!$E$2:$E$15,Fact_PreSortWeights!$C$2:$C$15,$A730,Fact_PreSortWeights!$B$2:$B$15,$B730,Fact_PreSortWeights!$F$2:$F$15,$C730))+(SUMIFS(Fact_SortedWeights!$E$2:$E$6,Fact_SortedWeights!$C$2:$C$6,$A730,Fact_SortedWeights!$B$2:$B$6,$B730,Fact_SortedWeights!$D$2:$D$6,$C730,Fact_SortedWeights!$L$2:$L$6,"Yes"))+IF((SUMIFS(Fact_SortedWeights!$E$2:$E$6,Fact_SortedWeights!$C$2:$C$6,$A730,Fact_SortedWeights!$B$2:$B$6,$B730,Fact_SortedWeights!$L$2:$L$6,"No"))=0,0,(SUMIFS(Fact_SortedWeights!$E$2:$E$6,Fact_SortedWeights!$C$2:$C$6,$A730,Fact_SortedWeights!$B$2:$B$6,$B730,Fact_SortedWeights!$D$2:$D$6,$C730,Fact_SortedWeights!$L$2:$L$6,"No"))/(SUMIFS(Fact_SortedWeights!$E$2:$E$6,Fact_SortedWeights!$C$2:$C$6,$A730,Fact_SortedWeights!$B$2:$B$6,$B730,Fact_SortedWeights!$L$2:$L$6,"No"))*((SUMIFS(Fact_PreSortWeights!$E$2:$E$15,Fact_PreSortWeights!$C$2:$C$15,$A730,Fact_PreSortWeights!$B$2:$B$15,$B730,Fact_PreSortWeights!$F$2:$F$15,""))-(SUMIFS(Fact_SortedWeights!$E$2:$E$6,Fact_SortedWeights!$C$2:$C$6,$A730,Fact_SortedWeights!$B$2:$B$6,$B730,Fact_SortedWeights!$L$2:$L$6,"Yes"))))</f>
        <v>0</v>
      </c>
      <c r="G730" s="0" t="n">
        <f aca="false">IF(AND(IF($B730="Trash",INDEX('Materials Master'!$F$2:$F$27,MATCH($C730,'Materials Master'!$A$2:$A$27,0)),IF($B730="GMPC Recycling",INDEX('Materials Master'!$G$2:$G$27,MATCH($C730,'Materials Master'!$A$2:$A$27,0)),IF($B730="Organics Recycling",INDEX('Materials Master'!$H$2:$H$27,MATCH($C730,'Materials Master'!$A$2:$A$27,0)),IF($B730="Cardboard Recycling",INDEX('Materials Master'!$I$2:$I$27,MATCH($C730,'Materials Master'!$A$2:$A$27,0)),IF($B730="Paper Recycling",INDEX('Materials Master'!$J$2:$J$27,MATCH($C730,'Materials Master'!$A$2:$A$27,0)),IF($B730="Terracycle",INDEX('Materials Master'!$K$2:$K$27,MATCH($C730,'Materials Master'!$A$2:$A$27,0)),"No"))))))="Yes",INDEX('Materials Master'!$E$2:$E$27,MATCH($C730,'Materials Master'!$A$2:$A$27,0))="Yes",$B730&lt;&gt;"Trash"),1,0)</f>
        <v>1</v>
      </c>
      <c r="H730" s="0" t="str">
        <f aca="false">INDEX('Materials Master'!$E$2:$E$27,MATCH($C730,'Materials Master'!$A$2:$A$27,0))</f>
        <v>Yes</v>
      </c>
      <c r="I730" s="0" t="str">
        <f aca="false">IFERROR(INDEX(Areas!$C$2:$C$6,MATCH($A730,Areas!$B$2:$B$6,0)),"")</f>
        <v>Rest of Building</v>
      </c>
      <c r="J730" s="0" t="n">
        <f aca="false">IF(IF($B730="Trash",INDEX('Materials Master'!$F$2:$F$27,MATCH($C730,'Materials Master'!$A$2:$A$27,0)),IF($B730="GMPC Recycling",INDEX('Materials Master'!$G$2:$G$27,MATCH($C730,'Materials Master'!$A$2:$A$27,0)),IF($B730="Organics Recycling",INDEX('Materials Master'!$H$2:$H$27,MATCH($C730,'Materials Master'!$A$2:$A$27,0)),IF($B730="Cardboard Recycling",INDEX('Materials Master'!$I$2:$I$27,MATCH($C730,'Materials Master'!$A$2:$A$27,0)),IF($B730="Paper Recycling",INDEX('Materials Master'!$J$2:$J$27,MATCH($C730,'Materials Master'!$A$2:$A$27,0)),IF($B730="Terracycle",INDEX('Materials Master'!$K$2:$K$27,MATCH($C730,'Materials Master'!$A$2:$A$27,0)),"No"))))))="Yes",1,0)</f>
        <v>1</v>
      </c>
    </row>
    <row r="731" customFormat="false" ht="15" hidden="false" customHeight="false" outlineLevel="0" collapsed="false">
      <c r="A731" s="0" t="s">
        <v>100</v>
      </c>
      <c r="B731" s="0" t="s">
        <v>107</v>
      </c>
      <c r="C731" s="0" t="s">
        <v>31</v>
      </c>
      <c r="D731" s="0" t="str">
        <f aca="false">IFERROR(INDEX('Materials Master'!$B$2:$B$27,MATCH($C731,'Materials Master'!$A$2:$A$27,0)),"")</f>
        <v>Soiled Cardboard</v>
      </c>
      <c r="E731" s="0" t="str">
        <f aca="false">IFERROR(INDEX('Materials Master'!$C$2:$C$27,MATCH($C731,'Materials Master'!$A$2:$A$27,0)),"")</f>
        <v>Fibers</v>
      </c>
      <c r="F731" s="0" t="n">
        <f aca="false">(SUMIFS(Fact_PreSortWeights!$E$2:$E$15,Fact_PreSortWeights!$C$2:$C$15,$A731,Fact_PreSortWeights!$B$2:$B$15,$B731,Fact_PreSortWeights!$F$2:$F$15,$C731))+(SUMIFS(Fact_SortedWeights!$E$2:$E$6,Fact_SortedWeights!$C$2:$C$6,$A731,Fact_SortedWeights!$B$2:$B$6,$B731,Fact_SortedWeights!$D$2:$D$6,$C731,Fact_SortedWeights!$L$2:$L$6,"Yes"))+IF((SUMIFS(Fact_SortedWeights!$E$2:$E$6,Fact_SortedWeights!$C$2:$C$6,$A731,Fact_SortedWeights!$B$2:$B$6,$B731,Fact_SortedWeights!$L$2:$L$6,"No"))=0,0,(SUMIFS(Fact_SortedWeights!$E$2:$E$6,Fact_SortedWeights!$C$2:$C$6,$A731,Fact_SortedWeights!$B$2:$B$6,$B731,Fact_SortedWeights!$D$2:$D$6,$C731,Fact_SortedWeights!$L$2:$L$6,"No"))/(SUMIFS(Fact_SortedWeights!$E$2:$E$6,Fact_SortedWeights!$C$2:$C$6,$A731,Fact_SortedWeights!$B$2:$B$6,$B731,Fact_SortedWeights!$L$2:$L$6,"No"))*((SUMIFS(Fact_PreSortWeights!$E$2:$E$15,Fact_PreSortWeights!$C$2:$C$15,$A731,Fact_PreSortWeights!$B$2:$B$15,$B731,Fact_PreSortWeights!$F$2:$F$15,""))-(SUMIFS(Fact_SortedWeights!$E$2:$E$6,Fact_SortedWeights!$C$2:$C$6,$A731,Fact_SortedWeights!$B$2:$B$6,$B731,Fact_SortedWeights!$L$2:$L$6,"Yes"))))</f>
        <v>0</v>
      </c>
      <c r="G731" s="0" t="n">
        <f aca="false">IF(AND(IF($B731="Trash",INDEX('Materials Master'!$F$2:$F$27,MATCH($C731,'Materials Master'!$A$2:$A$27,0)),IF($B731="GMPC Recycling",INDEX('Materials Master'!$G$2:$G$27,MATCH($C731,'Materials Master'!$A$2:$A$27,0)),IF($B731="Organics Recycling",INDEX('Materials Master'!$H$2:$H$27,MATCH($C731,'Materials Master'!$A$2:$A$27,0)),IF($B731="Cardboard Recycling",INDEX('Materials Master'!$I$2:$I$27,MATCH($C731,'Materials Master'!$A$2:$A$27,0)),IF($B731="Paper Recycling",INDEX('Materials Master'!$J$2:$J$27,MATCH($C731,'Materials Master'!$A$2:$A$27,0)),IF($B731="Terracycle",INDEX('Materials Master'!$K$2:$K$27,MATCH($C731,'Materials Master'!$A$2:$A$27,0)),"No"))))))="Yes",INDEX('Materials Master'!$E$2:$E$27,MATCH($C731,'Materials Master'!$A$2:$A$27,0))="Yes",$B731&lt;&gt;"Trash"),1,0)</f>
        <v>0</v>
      </c>
      <c r="H731" s="0" t="str">
        <f aca="false">INDEX('Materials Master'!$E$2:$E$27,MATCH($C731,'Materials Master'!$A$2:$A$27,0))</f>
        <v>No</v>
      </c>
      <c r="I731" s="0" t="str">
        <f aca="false">IFERROR(INDEX(Areas!$C$2:$C$6,MATCH($A731,Areas!$B$2:$B$6,0)),"")</f>
        <v>Rest of Building</v>
      </c>
      <c r="J731" s="0" t="n">
        <f aca="false">IF(IF($B731="Trash",INDEX('Materials Master'!$F$2:$F$27,MATCH($C731,'Materials Master'!$A$2:$A$27,0)),IF($B731="GMPC Recycling",INDEX('Materials Master'!$G$2:$G$27,MATCH($C731,'Materials Master'!$A$2:$A$27,0)),IF($B731="Organics Recycling",INDEX('Materials Master'!$H$2:$H$27,MATCH($C731,'Materials Master'!$A$2:$A$27,0)),IF($B731="Cardboard Recycling",INDEX('Materials Master'!$I$2:$I$27,MATCH($C731,'Materials Master'!$A$2:$A$27,0)),IF($B731="Paper Recycling",INDEX('Materials Master'!$J$2:$J$27,MATCH($C731,'Materials Master'!$A$2:$A$27,0)),IF($B731="Terracycle",INDEX('Materials Master'!$K$2:$K$27,MATCH($C731,'Materials Master'!$A$2:$A$27,0)),"No"))))))="Yes",1,0)</f>
        <v>0</v>
      </c>
    </row>
    <row r="732" customFormat="false" ht="15" hidden="false" customHeight="false" outlineLevel="0" collapsed="false">
      <c r="A732" s="0" t="s">
        <v>100</v>
      </c>
      <c r="B732" s="0" t="s">
        <v>107</v>
      </c>
      <c r="C732" s="0" t="s">
        <v>33</v>
      </c>
      <c r="D732" s="0" t="str">
        <f aca="false">IFERROR(INDEX('Materials Master'!$B$2:$B$27,MATCH($C732,'Materials Master'!$A$2:$A$27,0)),"")</f>
        <v>Waxed Cardboard</v>
      </c>
      <c r="E732" s="0" t="str">
        <f aca="false">IFERROR(INDEX('Materials Master'!$C$2:$C$27,MATCH($C732,'Materials Master'!$A$2:$A$27,0)),"")</f>
        <v>Fibers</v>
      </c>
      <c r="F732" s="0" t="n">
        <f aca="false">(SUMIFS(Fact_PreSortWeights!$E$2:$E$15,Fact_PreSortWeights!$C$2:$C$15,$A732,Fact_PreSortWeights!$B$2:$B$15,$B732,Fact_PreSortWeights!$F$2:$F$15,$C732))+(SUMIFS(Fact_SortedWeights!$E$2:$E$6,Fact_SortedWeights!$C$2:$C$6,$A732,Fact_SortedWeights!$B$2:$B$6,$B732,Fact_SortedWeights!$D$2:$D$6,$C732,Fact_SortedWeights!$L$2:$L$6,"Yes"))+IF((SUMIFS(Fact_SortedWeights!$E$2:$E$6,Fact_SortedWeights!$C$2:$C$6,$A732,Fact_SortedWeights!$B$2:$B$6,$B732,Fact_SortedWeights!$L$2:$L$6,"No"))=0,0,(SUMIFS(Fact_SortedWeights!$E$2:$E$6,Fact_SortedWeights!$C$2:$C$6,$A732,Fact_SortedWeights!$B$2:$B$6,$B732,Fact_SortedWeights!$D$2:$D$6,$C732,Fact_SortedWeights!$L$2:$L$6,"No"))/(SUMIFS(Fact_SortedWeights!$E$2:$E$6,Fact_SortedWeights!$C$2:$C$6,$A732,Fact_SortedWeights!$B$2:$B$6,$B732,Fact_SortedWeights!$L$2:$L$6,"No"))*((SUMIFS(Fact_PreSortWeights!$E$2:$E$15,Fact_PreSortWeights!$C$2:$C$15,$A732,Fact_PreSortWeights!$B$2:$B$15,$B732,Fact_PreSortWeights!$F$2:$F$15,""))-(SUMIFS(Fact_SortedWeights!$E$2:$E$6,Fact_SortedWeights!$C$2:$C$6,$A732,Fact_SortedWeights!$B$2:$B$6,$B732,Fact_SortedWeights!$L$2:$L$6,"Yes"))))</f>
        <v>0</v>
      </c>
      <c r="G732" s="0" t="n">
        <f aca="false">IF(AND(IF($B732="Trash",INDEX('Materials Master'!$F$2:$F$27,MATCH($C732,'Materials Master'!$A$2:$A$27,0)),IF($B732="GMPC Recycling",INDEX('Materials Master'!$G$2:$G$27,MATCH($C732,'Materials Master'!$A$2:$A$27,0)),IF($B732="Organics Recycling",INDEX('Materials Master'!$H$2:$H$27,MATCH($C732,'Materials Master'!$A$2:$A$27,0)),IF($B732="Cardboard Recycling",INDEX('Materials Master'!$I$2:$I$27,MATCH($C732,'Materials Master'!$A$2:$A$27,0)),IF($B732="Paper Recycling",INDEX('Materials Master'!$J$2:$J$27,MATCH($C732,'Materials Master'!$A$2:$A$27,0)),IF($B732="Terracycle",INDEX('Materials Master'!$K$2:$K$27,MATCH($C732,'Materials Master'!$A$2:$A$27,0)),"No"))))))="Yes",INDEX('Materials Master'!$E$2:$E$27,MATCH($C732,'Materials Master'!$A$2:$A$27,0))="Yes",$B732&lt;&gt;"Trash"),1,0)</f>
        <v>0</v>
      </c>
      <c r="H732" s="0" t="str">
        <f aca="false">INDEX('Materials Master'!$E$2:$E$27,MATCH($C732,'Materials Master'!$A$2:$A$27,0))</f>
        <v>No</v>
      </c>
      <c r="I732" s="0" t="str">
        <f aca="false">IFERROR(INDEX(Areas!$C$2:$C$6,MATCH($A732,Areas!$B$2:$B$6,0)),"")</f>
        <v>Rest of Building</v>
      </c>
      <c r="J732" s="0" t="n">
        <f aca="false">IF(IF($B732="Trash",INDEX('Materials Master'!$F$2:$F$27,MATCH($C732,'Materials Master'!$A$2:$A$27,0)),IF($B732="GMPC Recycling",INDEX('Materials Master'!$G$2:$G$27,MATCH($C732,'Materials Master'!$A$2:$A$27,0)),IF($B732="Organics Recycling",INDEX('Materials Master'!$H$2:$H$27,MATCH($C732,'Materials Master'!$A$2:$A$27,0)),IF($B732="Cardboard Recycling",INDEX('Materials Master'!$I$2:$I$27,MATCH($C732,'Materials Master'!$A$2:$A$27,0)),IF($B732="Paper Recycling",INDEX('Materials Master'!$J$2:$J$27,MATCH($C732,'Materials Master'!$A$2:$A$27,0)),IF($B732="Terracycle",INDEX('Materials Master'!$K$2:$K$27,MATCH($C732,'Materials Master'!$A$2:$A$27,0)),"No"))))))="Yes",1,0)</f>
        <v>0</v>
      </c>
    </row>
    <row r="733" customFormat="false" ht="15" hidden="false" customHeight="false" outlineLevel="0" collapsed="false">
      <c r="A733" s="0" t="s">
        <v>100</v>
      </c>
      <c r="B733" s="0" t="s">
        <v>107</v>
      </c>
      <c r="C733" s="0" t="s">
        <v>35</v>
      </c>
      <c r="D733" s="0" t="str">
        <f aca="false">IFERROR(INDEX('Materials Master'!$B$2:$B$27,MATCH($C733,'Materials Master'!$A$2:$A$27,0)),"")</f>
        <v>Mixed Paper</v>
      </c>
      <c r="E733" s="0" t="str">
        <f aca="false">IFERROR(INDEX('Materials Master'!$C$2:$C$27,MATCH($C733,'Materials Master'!$A$2:$A$27,0)),"")</f>
        <v>Fibers</v>
      </c>
      <c r="F733" s="0" t="n">
        <f aca="false">(SUMIFS(Fact_PreSortWeights!$E$2:$E$15,Fact_PreSortWeights!$C$2:$C$15,$A733,Fact_PreSortWeights!$B$2:$B$15,$B733,Fact_PreSortWeights!$F$2:$F$15,$C733))+(SUMIFS(Fact_SortedWeights!$E$2:$E$6,Fact_SortedWeights!$C$2:$C$6,$A733,Fact_SortedWeights!$B$2:$B$6,$B733,Fact_SortedWeights!$D$2:$D$6,$C733,Fact_SortedWeights!$L$2:$L$6,"Yes"))+IF((SUMIFS(Fact_SortedWeights!$E$2:$E$6,Fact_SortedWeights!$C$2:$C$6,$A733,Fact_SortedWeights!$B$2:$B$6,$B733,Fact_SortedWeights!$L$2:$L$6,"No"))=0,0,(SUMIFS(Fact_SortedWeights!$E$2:$E$6,Fact_SortedWeights!$C$2:$C$6,$A733,Fact_SortedWeights!$B$2:$B$6,$B733,Fact_SortedWeights!$D$2:$D$6,$C733,Fact_SortedWeights!$L$2:$L$6,"No"))/(SUMIFS(Fact_SortedWeights!$E$2:$E$6,Fact_SortedWeights!$C$2:$C$6,$A733,Fact_SortedWeights!$B$2:$B$6,$B733,Fact_SortedWeights!$L$2:$L$6,"No"))*((SUMIFS(Fact_PreSortWeights!$E$2:$E$15,Fact_PreSortWeights!$C$2:$C$15,$A733,Fact_PreSortWeights!$B$2:$B$15,$B733,Fact_PreSortWeights!$F$2:$F$15,""))-(SUMIFS(Fact_SortedWeights!$E$2:$E$6,Fact_SortedWeights!$C$2:$C$6,$A733,Fact_SortedWeights!$B$2:$B$6,$B733,Fact_SortedWeights!$L$2:$L$6,"Yes"))))</f>
        <v>0</v>
      </c>
      <c r="G733" s="0" t="n">
        <f aca="false">IF(AND(IF($B733="Trash",INDEX('Materials Master'!$F$2:$F$27,MATCH($C733,'Materials Master'!$A$2:$A$27,0)),IF($B733="GMPC Recycling",INDEX('Materials Master'!$G$2:$G$27,MATCH($C733,'Materials Master'!$A$2:$A$27,0)),IF($B733="Organics Recycling",INDEX('Materials Master'!$H$2:$H$27,MATCH($C733,'Materials Master'!$A$2:$A$27,0)),IF($B733="Cardboard Recycling",INDEX('Materials Master'!$I$2:$I$27,MATCH($C733,'Materials Master'!$A$2:$A$27,0)),IF($B733="Paper Recycling",INDEX('Materials Master'!$J$2:$J$27,MATCH($C733,'Materials Master'!$A$2:$A$27,0)),IF($B733="Terracycle",INDEX('Materials Master'!$K$2:$K$27,MATCH($C733,'Materials Master'!$A$2:$A$27,0)),"No"))))))="Yes",INDEX('Materials Master'!$E$2:$E$27,MATCH($C733,'Materials Master'!$A$2:$A$27,0))="Yes",$B733&lt;&gt;"Trash"),1,0)</f>
        <v>0</v>
      </c>
      <c r="H733" s="0" t="str">
        <f aca="false">INDEX('Materials Master'!$E$2:$E$27,MATCH($C733,'Materials Master'!$A$2:$A$27,0))</f>
        <v>Yes</v>
      </c>
      <c r="I733" s="0" t="str">
        <f aca="false">IFERROR(INDEX(Areas!$C$2:$C$6,MATCH($A733,Areas!$B$2:$B$6,0)),"")</f>
        <v>Rest of Building</v>
      </c>
      <c r="J733" s="0" t="n">
        <f aca="false">IF(IF($B733="Trash",INDEX('Materials Master'!$F$2:$F$27,MATCH($C733,'Materials Master'!$A$2:$A$27,0)),IF($B733="GMPC Recycling",INDEX('Materials Master'!$G$2:$G$27,MATCH($C733,'Materials Master'!$A$2:$A$27,0)),IF($B733="Organics Recycling",INDEX('Materials Master'!$H$2:$H$27,MATCH($C733,'Materials Master'!$A$2:$A$27,0)),IF($B733="Cardboard Recycling",INDEX('Materials Master'!$I$2:$I$27,MATCH($C733,'Materials Master'!$A$2:$A$27,0)),IF($B733="Paper Recycling",INDEX('Materials Master'!$J$2:$J$27,MATCH($C733,'Materials Master'!$A$2:$A$27,0)),IF($B733="Terracycle",INDEX('Materials Master'!$K$2:$K$27,MATCH($C733,'Materials Master'!$A$2:$A$27,0)),"No"))))))="Yes",1,0)</f>
        <v>0</v>
      </c>
    </row>
    <row r="734" customFormat="false" ht="15" hidden="false" customHeight="false" outlineLevel="0" collapsed="false">
      <c r="A734" s="0" t="s">
        <v>100</v>
      </c>
      <c r="B734" s="0" t="s">
        <v>107</v>
      </c>
      <c r="C734" s="0" t="s">
        <v>37</v>
      </c>
      <c r="D734" s="0" t="str">
        <f aca="false">IFERROR(INDEX('Materials Master'!$B$2:$B$27,MATCH($C734,'Materials Master'!$A$2:$A$27,0)),"")</f>
        <v>Soiled Paper</v>
      </c>
      <c r="E734" s="0" t="str">
        <f aca="false">IFERROR(INDEX('Materials Master'!$C$2:$C$27,MATCH($C734,'Materials Master'!$A$2:$A$27,0)),"")</f>
        <v>Fibers</v>
      </c>
      <c r="F734" s="0" t="n">
        <f aca="false">(SUMIFS(Fact_PreSortWeights!$E$2:$E$15,Fact_PreSortWeights!$C$2:$C$15,$A734,Fact_PreSortWeights!$B$2:$B$15,$B734,Fact_PreSortWeights!$F$2:$F$15,$C734))+(SUMIFS(Fact_SortedWeights!$E$2:$E$6,Fact_SortedWeights!$C$2:$C$6,$A734,Fact_SortedWeights!$B$2:$B$6,$B734,Fact_SortedWeights!$D$2:$D$6,$C734,Fact_SortedWeights!$L$2:$L$6,"Yes"))+IF((SUMIFS(Fact_SortedWeights!$E$2:$E$6,Fact_SortedWeights!$C$2:$C$6,$A734,Fact_SortedWeights!$B$2:$B$6,$B734,Fact_SortedWeights!$L$2:$L$6,"No"))=0,0,(SUMIFS(Fact_SortedWeights!$E$2:$E$6,Fact_SortedWeights!$C$2:$C$6,$A734,Fact_SortedWeights!$B$2:$B$6,$B734,Fact_SortedWeights!$D$2:$D$6,$C734,Fact_SortedWeights!$L$2:$L$6,"No"))/(SUMIFS(Fact_SortedWeights!$E$2:$E$6,Fact_SortedWeights!$C$2:$C$6,$A734,Fact_SortedWeights!$B$2:$B$6,$B734,Fact_SortedWeights!$L$2:$L$6,"No"))*((SUMIFS(Fact_PreSortWeights!$E$2:$E$15,Fact_PreSortWeights!$C$2:$C$15,$A734,Fact_PreSortWeights!$B$2:$B$15,$B734,Fact_PreSortWeights!$F$2:$F$15,""))-(SUMIFS(Fact_SortedWeights!$E$2:$E$6,Fact_SortedWeights!$C$2:$C$6,$A734,Fact_SortedWeights!$B$2:$B$6,$B734,Fact_SortedWeights!$L$2:$L$6,"Yes"))))</f>
        <v>0</v>
      </c>
      <c r="G734" s="0" t="n">
        <f aca="false">IF(AND(IF($B734="Trash",INDEX('Materials Master'!$F$2:$F$27,MATCH($C734,'Materials Master'!$A$2:$A$27,0)),IF($B734="GMPC Recycling",INDEX('Materials Master'!$G$2:$G$27,MATCH($C734,'Materials Master'!$A$2:$A$27,0)),IF($B734="Organics Recycling",INDEX('Materials Master'!$H$2:$H$27,MATCH($C734,'Materials Master'!$A$2:$A$27,0)),IF($B734="Cardboard Recycling",INDEX('Materials Master'!$I$2:$I$27,MATCH($C734,'Materials Master'!$A$2:$A$27,0)),IF($B734="Paper Recycling",INDEX('Materials Master'!$J$2:$J$27,MATCH($C734,'Materials Master'!$A$2:$A$27,0)),IF($B734="Terracycle",INDEX('Materials Master'!$K$2:$K$27,MATCH($C734,'Materials Master'!$A$2:$A$27,0)),"No"))))))="Yes",INDEX('Materials Master'!$E$2:$E$27,MATCH($C734,'Materials Master'!$A$2:$A$27,0))="Yes",$B734&lt;&gt;"Trash"),1,0)</f>
        <v>0</v>
      </c>
      <c r="H734" s="0" t="str">
        <f aca="false">INDEX('Materials Master'!$E$2:$E$27,MATCH($C734,'Materials Master'!$A$2:$A$27,0))</f>
        <v>No</v>
      </c>
      <c r="I734" s="0" t="str">
        <f aca="false">IFERROR(INDEX(Areas!$C$2:$C$6,MATCH($A734,Areas!$B$2:$B$6,0)),"")</f>
        <v>Rest of Building</v>
      </c>
      <c r="J734" s="0" t="n">
        <f aca="false">IF(IF($B734="Trash",INDEX('Materials Master'!$F$2:$F$27,MATCH($C734,'Materials Master'!$A$2:$A$27,0)),IF($B734="GMPC Recycling",INDEX('Materials Master'!$G$2:$G$27,MATCH($C734,'Materials Master'!$A$2:$A$27,0)),IF($B734="Organics Recycling",INDEX('Materials Master'!$H$2:$H$27,MATCH($C734,'Materials Master'!$A$2:$A$27,0)),IF($B734="Cardboard Recycling",INDEX('Materials Master'!$I$2:$I$27,MATCH($C734,'Materials Master'!$A$2:$A$27,0)),IF($B734="Paper Recycling",INDEX('Materials Master'!$J$2:$J$27,MATCH($C734,'Materials Master'!$A$2:$A$27,0)),IF($B734="Terracycle",INDEX('Materials Master'!$K$2:$K$27,MATCH($C734,'Materials Master'!$A$2:$A$27,0)),"No"))))))="Yes",1,0)</f>
        <v>0</v>
      </c>
    </row>
    <row r="735" customFormat="false" ht="15" hidden="false" customHeight="false" outlineLevel="0" collapsed="false">
      <c r="A735" s="0" t="s">
        <v>100</v>
      </c>
      <c r="B735" s="0" t="s">
        <v>107</v>
      </c>
      <c r="C735" s="0" t="s">
        <v>39</v>
      </c>
      <c r="D735" s="0" t="str">
        <f aca="false">IFERROR(INDEX('Materials Master'!$B$2:$B$27,MATCH($C735,'Materials Master'!$A$2:$A$27,0)),"")</f>
        <v>Beverage Cartons</v>
      </c>
      <c r="E735" s="0" t="str">
        <f aca="false">IFERROR(INDEX('Materials Master'!$C$2:$C$27,MATCH($C735,'Materials Master'!$A$2:$A$27,0)),"")</f>
        <v>Fibers</v>
      </c>
      <c r="F735" s="0" t="n">
        <f aca="false">(SUMIFS(Fact_PreSortWeights!$E$2:$E$15,Fact_PreSortWeights!$C$2:$C$15,$A735,Fact_PreSortWeights!$B$2:$B$15,$B735,Fact_PreSortWeights!$F$2:$F$15,$C735))+(SUMIFS(Fact_SortedWeights!$E$2:$E$6,Fact_SortedWeights!$C$2:$C$6,$A735,Fact_SortedWeights!$B$2:$B$6,$B735,Fact_SortedWeights!$D$2:$D$6,$C735,Fact_SortedWeights!$L$2:$L$6,"Yes"))+IF((SUMIFS(Fact_SortedWeights!$E$2:$E$6,Fact_SortedWeights!$C$2:$C$6,$A735,Fact_SortedWeights!$B$2:$B$6,$B735,Fact_SortedWeights!$L$2:$L$6,"No"))=0,0,(SUMIFS(Fact_SortedWeights!$E$2:$E$6,Fact_SortedWeights!$C$2:$C$6,$A735,Fact_SortedWeights!$B$2:$B$6,$B735,Fact_SortedWeights!$D$2:$D$6,$C735,Fact_SortedWeights!$L$2:$L$6,"No"))/(SUMIFS(Fact_SortedWeights!$E$2:$E$6,Fact_SortedWeights!$C$2:$C$6,$A735,Fact_SortedWeights!$B$2:$B$6,$B735,Fact_SortedWeights!$L$2:$L$6,"No"))*((SUMIFS(Fact_PreSortWeights!$E$2:$E$15,Fact_PreSortWeights!$C$2:$C$15,$A735,Fact_PreSortWeights!$B$2:$B$15,$B735,Fact_PreSortWeights!$F$2:$F$15,""))-(SUMIFS(Fact_SortedWeights!$E$2:$E$6,Fact_SortedWeights!$C$2:$C$6,$A735,Fact_SortedWeights!$B$2:$B$6,$B735,Fact_SortedWeights!$L$2:$L$6,"Yes"))))</f>
        <v>0</v>
      </c>
      <c r="G735" s="0" t="n">
        <f aca="false">IF(AND(IF($B735="Trash",INDEX('Materials Master'!$F$2:$F$27,MATCH($C735,'Materials Master'!$A$2:$A$27,0)),IF($B735="GMPC Recycling",INDEX('Materials Master'!$G$2:$G$27,MATCH($C735,'Materials Master'!$A$2:$A$27,0)),IF($B735="Organics Recycling",INDEX('Materials Master'!$H$2:$H$27,MATCH($C735,'Materials Master'!$A$2:$A$27,0)),IF($B735="Cardboard Recycling",INDEX('Materials Master'!$I$2:$I$27,MATCH($C735,'Materials Master'!$A$2:$A$27,0)),IF($B735="Paper Recycling",INDEX('Materials Master'!$J$2:$J$27,MATCH($C735,'Materials Master'!$A$2:$A$27,0)),IF($B735="Terracycle",INDEX('Materials Master'!$K$2:$K$27,MATCH($C735,'Materials Master'!$A$2:$A$27,0)),"No"))))))="Yes",INDEX('Materials Master'!$E$2:$E$27,MATCH($C735,'Materials Master'!$A$2:$A$27,0))="Yes",$B735&lt;&gt;"Trash"),1,0)</f>
        <v>1</v>
      </c>
      <c r="H735" s="0" t="str">
        <f aca="false">INDEX('Materials Master'!$E$2:$E$27,MATCH($C735,'Materials Master'!$A$2:$A$27,0))</f>
        <v>Yes</v>
      </c>
      <c r="I735" s="0" t="str">
        <f aca="false">IFERROR(INDEX(Areas!$C$2:$C$6,MATCH($A735,Areas!$B$2:$B$6,0)),"")</f>
        <v>Rest of Building</v>
      </c>
      <c r="J735" s="0" t="n">
        <f aca="false">IF(IF($B735="Trash",INDEX('Materials Master'!$F$2:$F$27,MATCH($C735,'Materials Master'!$A$2:$A$27,0)),IF($B735="GMPC Recycling",INDEX('Materials Master'!$G$2:$G$27,MATCH($C735,'Materials Master'!$A$2:$A$27,0)),IF($B735="Organics Recycling",INDEX('Materials Master'!$H$2:$H$27,MATCH($C735,'Materials Master'!$A$2:$A$27,0)),IF($B735="Cardboard Recycling",INDEX('Materials Master'!$I$2:$I$27,MATCH($C735,'Materials Master'!$A$2:$A$27,0)),IF($B735="Paper Recycling",INDEX('Materials Master'!$J$2:$J$27,MATCH($C735,'Materials Master'!$A$2:$A$27,0)),IF($B735="Terracycle",INDEX('Materials Master'!$K$2:$K$27,MATCH($C735,'Materials Master'!$A$2:$A$27,0)),"No"))))))="Yes",1,0)</f>
        <v>1</v>
      </c>
    </row>
    <row r="736" customFormat="false" ht="15" hidden="false" customHeight="false" outlineLevel="0" collapsed="false">
      <c r="A736" s="0" t="s">
        <v>100</v>
      </c>
      <c r="B736" s="0" t="s">
        <v>107</v>
      </c>
      <c r="C736" s="0" t="s">
        <v>41</v>
      </c>
      <c r="D736" s="0" t="str">
        <f aca="false">IFERROR(INDEX('Materials Master'!$B$2:$B$27,MATCH($C736,'Materials Master'!$A$2:$A$27,0)),"")</f>
        <v>Soiled Beverage Cartons</v>
      </c>
      <c r="E736" s="0" t="str">
        <f aca="false">IFERROR(INDEX('Materials Master'!$C$2:$C$27,MATCH($C736,'Materials Master'!$A$2:$A$27,0)),"")</f>
        <v>Fibers</v>
      </c>
      <c r="F736" s="0" t="n">
        <f aca="false">(SUMIFS(Fact_PreSortWeights!$E$2:$E$15,Fact_PreSortWeights!$C$2:$C$15,$A736,Fact_PreSortWeights!$B$2:$B$15,$B736,Fact_PreSortWeights!$F$2:$F$15,$C736))+(SUMIFS(Fact_SortedWeights!$E$2:$E$6,Fact_SortedWeights!$C$2:$C$6,$A736,Fact_SortedWeights!$B$2:$B$6,$B736,Fact_SortedWeights!$D$2:$D$6,$C736,Fact_SortedWeights!$L$2:$L$6,"Yes"))+IF((SUMIFS(Fact_SortedWeights!$E$2:$E$6,Fact_SortedWeights!$C$2:$C$6,$A736,Fact_SortedWeights!$B$2:$B$6,$B736,Fact_SortedWeights!$L$2:$L$6,"No"))=0,0,(SUMIFS(Fact_SortedWeights!$E$2:$E$6,Fact_SortedWeights!$C$2:$C$6,$A736,Fact_SortedWeights!$B$2:$B$6,$B736,Fact_SortedWeights!$D$2:$D$6,$C736,Fact_SortedWeights!$L$2:$L$6,"No"))/(SUMIFS(Fact_SortedWeights!$E$2:$E$6,Fact_SortedWeights!$C$2:$C$6,$A736,Fact_SortedWeights!$B$2:$B$6,$B736,Fact_SortedWeights!$L$2:$L$6,"No"))*((SUMIFS(Fact_PreSortWeights!$E$2:$E$15,Fact_PreSortWeights!$C$2:$C$15,$A736,Fact_PreSortWeights!$B$2:$B$15,$B736,Fact_PreSortWeights!$F$2:$F$15,""))-(SUMIFS(Fact_SortedWeights!$E$2:$E$6,Fact_SortedWeights!$C$2:$C$6,$A736,Fact_SortedWeights!$B$2:$B$6,$B736,Fact_SortedWeights!$L$2:$L$6,"Yes"))))</f>
        <v>0</v>
      </c>
      <c r="G736" s="0" t="n">
        <f aca="false">IF(AND(IF($B736="Trash",INDEX('Materials Master'!$F$2:$F$27,MATCH($C736,'Materials Master'!$A$2:$A$27,0)),IF($B736="GMPC Recycling",INDEX('Materials Master'!$G$2:$G$27,MATCH($C736,'Materials Master'!$A$2:$A$27,0)),IF($B736="Organics Recycling",INDEX('Materials Master'!$H$2:$H$27,MATCH($C736,'Materials Master'!$A$2:$A$27,0)),IF($B736="Cardboard Recycling",INDEX('Materials Master'!$I$2:$I$27,MATCH($C736,'Materials Master'!$A$2:$A$27,0)),IF($B736="Paper Recycling",INDEX('Materials Master'!$J$2:$J$27,MATCH($C736,'Materials Master'!$A$2:$A$27,0)),IF($B736="Terracycle",INDEX('Materials Master'!$K$2:$K$27,MATCH($C736,'Materials Master'!$A$2:$A$27,0)),"No"))))))="Yes",INDEX('Materials Master'!$E$2:$E$27,MATCH($C736,'Materials Master'!$A$2:$A$27,0))="Yes",$B736&lt;&gt;"Trash"),1,0)</f>
        <v>0</v>
      </c>
      <c r="H736" s="0" t="str">
        <f aca="false">INDEX('Materials Master'!$E$2:$E$27,MATCH($C736,'Materials Master'!$A$2:$A$27,0))</f>
        <v>No</v>
      </c>
      <c r="I736" s="0" t="str">
        <f aca="false">IFERROR(INDEX(Areas!$C$2:$C$6,MATCH($A736,Areas!$B$2:$B$6,0)),"")</f>
        <v>Rest of Building</v>
      </c>
      <c r="J736" s="0" t="n">
        <f aca="false">IF(IF($B736="Trash",INDEX('Materials Master'!$F$2:$F$27,MATCH($C736,'Materials Master'!$A$2:$A$27,0)),IF($B736="GMPC Recycling",INDEX('Materials Master'!$G$2:$G$27,MATCH($C736,'Materials Master'!$A$2:$A$27,0)),IF($B736="Organics Recycling",INDEX('Materials Master'!$H$2:$H$27,MATCH($C736,'Materials Master'!$A$2:$A$27,0)),IF($B736="Cardboard Recycling",INDEX('Materials Master'!$I$2:$I$27,MATCH($C736,'Materials Master'!$A$2:$A$27,0)),IF($B736="Paper Recycling",INDEX('Materials Master'!$J$2:$J$27,MATCH($C736,'Materials Master'!$A$2:$A$27,0)),IF($B736="Terracycle",INDEX('Materials Master'!$K$2:$K$27,MATCH($C736,'Materials Master'!$A$2:$A$27,0)),"No"))))))="Yes",1,0)</f>
        <v>0</v>
      </c>
    </row>
    <row r="737" customFormat="false" ht="15" hidden="false" customHeight="false" outlineLevel="0" collapsed="false">
      <c r="A737" s="0" t="s">
        <v>100</v>
      </c>
      <c r="B737" s="0" t="s">
        <v>107</v>
      </c>
      <c r="C737" s="0" t="s">
        <v>43</v>
      </c>
      <c r="D737" s="0" t="str">
        <f aca="false">IFERROR(INDEX('Materials Master'!$B$2:$B$27,MATCH($C737,'Materials Master'!$A$2:$A$27,0)),"")</f>
        <v>Paper Cups / Other Coated Paper Containers</v>
      </c>
      <c r="E737" s="0" t="str">
        <f aca="false">IFERROR(INDEX('Materials Master'!$C$2:$C$27,MATCH($C737,'Materials Master'!$A$2:$A$27,0)),"")</f>
        <v>Fibers</v>
      </c>
      <c r="F737" s="0" t="n">
        <f aca="false">(SUMIFS(Fact_PreSortWeights!$E$2:$E$15,Fact_PreSortWeights!$C$2:$C$15,$A737,Fact_PreSortWeights!$B$2:$B$15,$B737,Fact_PreSortWeights!$F$2:$F$15,$C737))+(SUMIFS(Fact_SortedWeights!$E$2:$E$6,Fact_SortedWeights!$C$2:$C$6,$A737,Fact_SortedWeights!$B$2:$B$6,$B737,Fact_SortedWeights!$D$2:$D$6,$C737,Fact_SortedWeights!$L$2:$L$6,"Yes"))+IF((SUMIFS(Fact_SortedWeights!$E$2:$E$6,Fact_SortedWeights!$C$2:$C$6,$A737,Fact_SortedWeights!$B$2:$B$6,$B737,Fact_SortedWeights!$L$2:$L$6,"No"))=0,0,(SUMIFS(Fact_SortedWeights!$E$2:$E$6,Fact_SortedWeights!$C$2:$C$6,$A737,Fact_SortedWeights!$B$2:$B$6,$B737,Fact_SortedWeights!$D$2:$D$6,$C737,Fact_SortedWeights!$L$2:$L$6,"No"))/(SUMIFS(Fact_SortedWeights!$E$2:$E$6,Fact_SortedWeights!$C$2:$C$6,$A737,Fact_SortedWeights!$B$2:$B$6,$B737,Fact_SortedWeights!$L$2:$L$6,"No"))*((SUMIFS(Fact_PreSortWeights!$E$2:$E$15,Fact_PreSortWeights!$C$2:$C$15,$A737,Fact_PreSortWeights!$B$2:$B$15,$B737,Fact_PreSortWeights!$F$2:$F$15,""))-(SUMIFS(Fact_SortedWeights!$E$2:$E$6,Fact_SortedWeights!$C$2:$C$6,$A737,Fact_SortedWeights!$B$2:$B$6,$B737,Fact_SortedWeights!$L$2:$L$6,"Yes"))))</f>
        <v>0</v>
      </c>
      <c r="G737" s="0" t="n">
        <f aca="false">IF(AND(IF($B737="Trash",INDEX('Materials Master'!$F$2:$F$27,MATCH($C737,'Materials Master'!$A$2:$A$27,0)),IF($B737="GMPC Recycling",INDEX('Materials Master'!$G$2:$G$27,MATCH($C737,'Materials Master'!$A$2:$A$27,0)),IF($B737="Organics Recycling",INDEX('Materials Master'!$H$2:$H$27,MATCH($C737,'Materials Master'!$A$2:$A$27,0)),IF($B737="Cardboard Recycling",INDEX('Materials Master'!$I$2:$I$27,MATCH($C737,'Materials Master'!$A$2:$A$27,0)),IF($B737="Paper Recycling",INDEX('Materials Master'!$J$2:$J$27,MATCH($C737,'Materials Master'!$A$2:$A$27,0)),IF($B737="Terracycle",INDEX('Materials Master'!$K$2:$K$27,MATCH($C737,'Materials Master'!$A$2:$A$27,0)),"No"))))))="Yes",INDEX('Materials Master'!$E$2:$E$27,MATCH($C737,'Materials Master'!$A$2:$A$27,0))="Yes",$B737&lt;&gt;"Trash"),1,0)</f>
        <v>0</v>
      </c>
      <c r="H737" s="0" t="str">
        <f aca="false">INDEX('Materials Master'!$E$2:$E$27,MATCH($C737,'Materials Master'!$A$2:$A$27,0))</f>
        <v>No</v>
      </c>
      <c r="I737" s="0" t="str">
        <f aca="false">IFERROR(INDEX(Areas!$C$2:$C$6,MATCH($A737,Areas!$B$2:$B$6,0)),"")</f>
        <v>Rest of Building</v>
      </c>
      <c r="J737" s="0" t="n">
        <f aca="false">IF(IF($B737="Trash",INDEX('Materials Master'!$F$2:$F$27,MATCH($C737,'Materials Master'!$A$2:$A$27,0)),IF($B737="GMPC Recycling",INDEX('Materials Master'!$G$2:$G$27,MATCH($C737,'Materials Master'!$A$2:$A$27,0)),IF($B737="Organics Recycling",INDEX('Materials Master'!$H$2:$H$27,MATCH($C737,'Materials Master'!$A$2:$A$27,0)),IF($B737="Cardboard Recycling",INDEX('Materials Master'!$I$2:$I$27,MATCH($C737,'Materials Master'!$A$2:$A$27,0)),IF($B737="Paper Recycling",INDEX('Materials Master'!$J$2:$J$27,MATCH($C737,'Materials Master'!$A$2:$A$27,0)),IF($B737="Terracycle",INDEX('Materials Master'!$K$2:$K$27,MATCH($C737,'Materials Master'!$A$2:$A$27,0)),"No"))))))="Yes",1,0)</f>
        <v>0</v>
      </c>
    </row>
    <row r="738" customFormat="false" ht="15" hidden="false" customHeight="false" outlineLevel="0" collapsed="false">
      <c r="A738" s="0" t="s">
        <v>100</v>
      </c>
      <c r="B738" s="0" t="s">
        <v>107</v>
      </c>
      <c r="C738" s="0" t="s">
        <v>45</v>
      </c>
      <c r="D738" s="0" t="str">
        <f aca="false">IFERROR(INDEX('Materials Master'!$B$2:$B$27,MATCH($C738,'Materials Master'!$A$2:$A$27,0)),"")</f>
        <v>Glass Bottles &amp; Jars</v>
      </c>
      <c r="E738" s="0" t="str">
        <f aca="false">IFERROR(INDEX('Materials Master'!$C$2:$C$27,MATCH($C738,'Materials Master'!$A$2:$A$27,0)),"")</f>
        <v>Glass</v>
      </c>
      <c r="F738" s="0" t="n">
        <f aca="false">(SUMIFS(Fact_PreSortWeights!$E$2:$E$15,Fact_PreSortWeights!$C$2:$C$15,$A738,Fact_PreSortWeights!$B$2:$B$15,$B738,Fact_PreSortWeights!$F$2:$F$15,$C738))+(SUMIFS(Fact_SortedWeights!$E$2:$E$6,Fact_SortedWeights!$C$2:$C$6,$A738,Fact_SortedWeights!$B$2:$B$6,$B738,Fact_SortedWeights!$D$2:$D$6,$C738,Fact_SortedWeights!$L$2:$L$6,"Yes"))+IF((SUMIFS(Fact_SortedWeights!$E$2:$E$6,Fact_SortedWeights!$C$2:$C$6,$A738,Fact_SortedWeights!$B$2:$B$6,$B738,Fact_SortedWeights!$L$2:$L$6,"No"))=0,0,(SUMIFS(Fact_SortedWeights!$E$2:$E$6,Fact_SortedWeights!$C$2:$C$6,$A738,Fact_SortedWeights!$B$2:$B$6,$B738,Fact_SortedWeights!$D$2:$D$6,$C738,Fact_SortedWeights!$L$2:$L$6,"No"))/(SUMIFS(Fact_SortedWeights!$E$2:$E$6,Fact_SortedWeights!$C$2:$C$6,$A738,Fact_SortedWeights!$B$2:$B$6,$B738,Fact_SortedWeights!$L$2:$L$6,"No"))*((SUMIFS(Fact_PreSortWeights!$E$2:$E$15,Fact_PreSortWeights!$C$2:$C$15,$A738,Fact_PreSortWeights!$B$2:$B$15,$B738,Fact_PreSortWeights!$F$2:$F$15,""))-(SUMIFS(Fact_SortedWeights!$E$2:$E$6,Fact_SortedWeights!$C$2:$C$6,$A738,Fact_SortedWeights!$B$2:$B$6,$B738,Fact_SortedWeights!$L$2:$L$6,"Yes"))))</f>
        <v>0</v>
      </c>
      <c r="G738" s="0" t="n">
        <f aca="false">IF(AND(IF($B738="Trash",INDEX('Materials Master'!$F$2:$F$27,MATCH($C738,'Materials Master'!$A$2:$A$27,0)),IF($B738="GMPC Recycling",INDEX('Materials Master'!$G$2:$G$27,MATCH($C738,'Materials Master'!$A$2:$A$27,0)),IF($B738="Organics Recycling",INDEX('Materials Master'!$H$2:$H$27,MATCH($C738,'Materials Master'!$A$2:$A$27,0)),IF($B738="Cardboard Recycling",INDEX('Materials Master'!$I$2:$I$27,MATCH($C738,'Materials Master'!$A$2:$A$27,0)),IF($B738="Paper Recycling",INDEX('Materials Master'!$J$2:$J$27,MATCH($C738,'Materials Master'!$A$2:$A$27,0)),IF($B738="Terracycle",INDEX('Materials Master'!$K$2:$K$27,MATCH($C738,'Materials Master'!$A$2:$A$27,0)),"No"))))))="Yes",INDEX('Materials Master'!$E$2:$E$27,MATCH($C738,'Materials Master'!$A$2:$A$27,0))="Yes",$B738&lt;&gt;"Trash"),1,0)</f>
        <v>1</v>
      </c>
      <c r="H738" s="0" t="str">
        <f aca="false">INDEX('Materials Master'!$E$2:$E$27,MATCH($C738,'Materials Master'!$A$2:$A$27,0))</f>
        <v>Yes</v>
      </c>
      <c r="I738" s="0" t="str">
        <f aca="false">IFERROR(INDEX(Areas!$C$2:$C$6,MATCH($A738,Areas!$B$2:$B$6,0)),"")</f>
        <v>Rest of Building</v>
      </c>
      <c r="J738" s="0" t="n">
        <f aca="false">IF(IF($B738="Trash",INDEX('Materials Master'!$F$2:$F$27,MATCH($C738,'Materials Master'!$A$2:$A$27,0)),IF($B738="GMPC Recycling",INDEX('Materials Master'!$G$2:$G$27,MATCH($C738,'Materials Master'!$A$2:$A$27,0)),IF($B738="Organics Recycling",INDEX('Materials Master'!$H$2:$H$27,MATCH($C738,'Materials Master'!$A$2:$A$27,0)),IF($B738="Cardboard Recycling",INDEX('Materials Master'!$I$2:$I$27,MATCH($C738,'Materials Master'!$A$2:$A$27,0)),IF($B738="Paper Recycling",INDEX('Materials Master'!$J$2:$J$27,MATCH($C738,'Materials Master'!$A$2:$A$27,0)),IF($B738="Terracycle",INDEX('Materials Master'!$K$2:$K$27,MATCH($C738,'Materials Master'!$A$2:$A$27,0)),"No"))))))="Yes",1,0)</f>
        <v>1</v>
      </c>
    </row>
    <row r="739" customFormat="false" ht="15" hidden="false" customHeight="false" outlineLevel="0" collapsed="false">
      <c r="A739" s="0" t="s">
        <v>100</v>
      </c>
      <c r="B739" s="0" t="s">
        <v>107</v>
      </c>
      <c r="C739" s="0" t="s">
        <v>48</v>
      </c>
      <c r="D739" s="0" t="str">
        <f aca="false">IFERROR(INDEX('Materials Master'!$B$2:$B$27,MATCH($C739,'Materials Master'!$A$2:$A$27,0)),"")</f>
        <v>Soiled Glass</v>
      </c>
      <c r="E739" s="0" t="str">
        <f aca="false">IFERROR(INDEX('Materials Master'!$C$2:$C$27,MATCH($C739,'Materials Master'!$A$2:$A$27,0)),"")</f>
        <v>Glass</v>
      </c>
      <c r="F739" s="0" t="n">
        <f aca="false">(SUMIFS(Fact_PreSortWeights!$E$2:$E$15,Fact_PreSortWeights!$C$2:$C$15,$A739,Fact_PreSortWeights!$B$2:$B$15,$B739,Fact_PreSortWeights!$F$2:$F$15,$C739))+(SUMIFS(Fact_SortedWeights!$E$2:$E$6,Fact_SortedWeights!$C$2:$C$6,$A739,Fact_SortedWeights!$B$2:$B$6,$B739,Fact_SortedWeights!$D$2:$D$6,$C739,Fact_SortedWeights!$L$2:$L$6,"Yes"))+IF((SUMIFS(Fact_SortedWeights!$E$2:$E$6,Fact_SortedWeights!$C$2:$C$6,$A739,Fact_SortedWeights!$B$2:$B$6,$B739,Fact_SortedWeights!$L$2:$L$6,"No"))=0,0,(SUMIFS(Fact_SortedWeights!$E$2:$E$6,Fact_SortedWeights!$C$2:$C$6,$A739,Fact_SortedWeights!$B$2:$B$6,$B739,Fact_SortedWeights!$D$2:$D$6,$C739,Fact_SortedWeights!$L$2:$L$6,"No"))/(SUMIFS(Fact_SortedWeights!$E$2:$E$6,Fact_SortedWeights!$C$2:$C$6,$A739,Fact_SortedWeights!$B$2:$B$6,$B739,Fact_SortedWeights!$L$2:$L$6,"No"))*((SUMIFS(Fact_PreSortWeights!$E$2:$E$15,Fact_PreSortWeights!$C$2:$C$15,$A739,Fact_PreSortWeights!$B$2:$B$15,$B739,Fact_PreSortWeights!$F$2:$F$15,""))-(SUMIFS(Fact_SortedWeights!$E$2:$E$6,Fact_SortedWeights!$C$2:$C$6,$A739,Fact_SortedWeights!$B$2:$B$6,$B739,Fact_SortedWeights!$L$2:$L$6,"Yes"))))</f>
        <v>0</v>
      </c>
      <c r="G739" s="0" t="n">
        <f aca="false">IF(AND(IF($B739="Trash",INDEX('Materials Master'!$F$2:$F$27,MATCH($C739,'Materials Master'!$A$2:$A$27,0)),IF($B739="GMPC Recycling",INDEX('Materials Master'!$G$2:$G$27,MATCH($C739,'Materials Master'!$A$2:$A$27,0)),IF($B739="Organics Recycling",INDEX('Materials Master'!$H$2:$H$27,MATCH($C739,'Materials Master'!$A$2:$A$27,0)),IF($B739="Cardboard Recycling",INDEX('Materials Master'!$I$2:$I$27,MATCH($C739,'Materials Master'!$A$2:$A$27,0)),IF($B739="Paper Recycling",INDEX('Materials Master'!$J$2:$J$27,MATCH($C739,'Materials Master'!$A$2:$A$27,0)),IF($B739="Terracycle",INDEX('Materials Master'!$K$2:$K$27,MATCH($C739,'Materials Master'!$A$2:$A$27,0)),"No"))))))="Yes",INDEX('Materials Master'!$E$2:$E$27,MATCH($C739,'Materials Master'!$A$2:$A$27,0))="Yes",$B739&lt;&gt;"Trash"),1,0)</f>
        <v>0</v>
      </c>
      <c r="H739" s="0" t="str">
        <f aca="false">INDEX('Materials Master'!$E$2:$E$27,MATCH($C739,'Materials Master'!$A$2:$A$27,0))</f>
        <v>No</v>
      </c>
      <c r="I739" s="0" t="str">
        <f aca="false">IFERROR(INDEX(Areas!$C$2:$C$6,MATCH($A739,Areas!$B$2:$B$6,0)),"")</f>
        <v>Rest of Building</v>
      </c>
      <c r="J739" s="0" t="n">
        <f aca="false">IF(IF($B739="Trash",INDEX('Materials Master'!$F$2:$F$27,MATCH($C739,'Materials Master'!$A$2:$A$27,0)),IF($B739="GMPC Recycling",INDEX('Materials Master'!$G$2:$G$27,MATCH($C739,'Materials Master'!$A$2:$A$27,0)),IF($B739="Organics Recycling",INDEX('Materials Master'!$H$2:$H$27,MATCH($C739,'Materials Master'!$A$2:$A$27,0)),IF($B739="Cardboard Recycling",INDEX('Materials Master'!$I$2:$I$27,MATCH($C739,'Materials Master'!$A$2:$A$27,0)),IF($B739="Paper Recycling",INDEX('Materials Master'!$J$2:$J$27,MATCH($C739,'Materials Master'!$A$2:$A$27,0)),IF($B739="Terracycle",INDEX('Materials Master'!$K$2:$K$27,MATCH($C739,'Materials Master'!$A$2:$A$27,0)),"No"))))))="Yes",1,0)</f>
        <v>0</v>
      </c>
    </row>
    <row r="740" customFormat="false" ht="15" hidden="false" customHeight="false" outlineLevel="0" collapsed="false">
      <c r="A740" s="0" t="s">
        <v>100</v>
      </c>
      <c r="B740" s="0" t="s">
        <v>107</v>
      </c>
      <c r="C740" s="0" t="s">
        <v>50</v>
      </c>
      <c r="D740" s="0" t="str">
        <f aca="false">IFERROR(INDEX('Materials Master'!$B$2:$B$27,MATCH($C740,'Materials Master'!$A$2:$A$27,0)),"")</f>
        <v>Aluminum &amp; Bi-Metal Containers</v>
      </c>
      <c r="E740" s="0" t="str">
        <f aca="false">IFERROR(INDEX('Materials Master'!$C$2:$C$27,MATCH($C740,'Materials Master'!$A$2:$A$27,0)),"")</f>
        <v>Metals</v>
      </c>
      <c r="F740" s="0" t="n">
        <f aca="false">(SUMIFS(Fact_PreSortWeights!$E$2:$E$15,Fact_PreSortWeights!$C$2:$C$15,$A740,Fact_PreSortWeights!$B$2:$B$15,$B740,Fact_PreSortWeights!$F$2:$F$15,$C740))+(SUMIFS(Fact_SortedWeights!$E$2:$E$6,Fact_SortedWeights!$C$2:$C$6,$A740,Fact_SortedWeights!$B$2:$B$6,$B740,Fact_SortedWeights!$D$2:$D$6,$C740,Fact_SortedWeights!$L$2:$L$6,"Yes"))+IF((SUMIFS(Fact_SortedWeights!$E$2:$E$6,Fact_SortedWeights!$C$2:$C$6,$A740,Fact_SortedWeights!$B$2:$B$6,$B740,Fact_SortedWeights!$L$2:$L$6,"No"))=0,0,(SUMIFS(Fact_SortedWeights!$E$2:$E$6,Fact_SortedWeights!$C$2:$C$6,$A740,Fact_SortedWeights!$B$2:$B$6,$B740,Fact_SortedWeights!$D$2:$D$6,$C740,Fact_SortedWeights!$L$2:$L$6,"No"))/(SUMIFS(Fact_SortedWeights!$E$2:$E$6,Fact_SortedWeights!$C$2:$C$6,$A740,Fact_SortedWeights!$B$2:$B$6,$B740,Fact_SortedWeights!$L$2:$L$6,"No"))*((SUMIFS(Fact_PreSortWeights!$E$2:$E$15,Fact_PreSortWeights!$C$2:$C$15,$A740,Fact_PreSortWeights!$B$2:$B$15,$B740,Fact_PreSortWeights!$F$2:$F$15,""))-(SUMIFS(Fact_SortedWeights!$E$2:$E$6,Fact_SortedWeights!$C$2:$C$6,$A740,Fact_SortedWeights!$B$2:$B$6,$B740,Fact_SortedWeights!$L$2:$L$6,"Yes"))))</f>
        <v>0</v>
      </c>
      <c r="G740" s="0" t="n">
        <f aca="false">IF(AND(IF($B740="Trash",INDEX('Materials Master'!$F$2:$F$27,MATCH($C740,'Materials Master'!$A$2:$A$27,0)),IF($B740="GMPC Recycling",INDEX('Materials Master'!$G$2:$G$27,MATCH($C740,'Materials Master'!$A$2:$A$27,0)),IF($B740="Organics Recycling",INDEX('Materials Master'!$H$2:$H$27,MATCH($C740,'Materials Master'!$A$2:$A$27,0)),IF($B740="Cardboard Recycling",INDEX('Materials Master'!$I$2:$I$27,MATCH($C740,'Materials Master'!$A$2:$A$27,0)),IF($B740="Paper Recycling",INDEX('Materials Master'!$J$2:$J$27,MATCH($C740,'Materials Master'!$A$2:$A$27,0)),IF($B740="Terracycle",INDEX('Materials Master'!$K$2:$K$27,MATCH($C740,'Materials Master'!$A$2:$A$27,0)),"No"))))))="Yes",INDEX('Materials Master'!$E$2:$E$27,MATCH($C740,'Materials Master'!$A$2:$A$27,0))="Yes",$B740&lt;&gt;"Trash"),1,0)</f>
        <v>1</v>
      </c>
      <c r="H740" s="0" t="str">
        <f aca="false">INDEX('Materials Master'!$E$2:$E$27,MATCH($C740,'Materials Master'!$A$2:$A$27,0))</f>
        <v>Yes</v>
      </c>
      <c r="I740" s="0" t="str">
        <f aca="false">IFERROR(INDEX(Areas!$C$2:$C$6,MATCH($A740,Areas!$B$2:$B$6,0)),"")</f>
        <v>Rest of Building</v>
      </c>
      <c r="J740" s="0" t="n">
        <f aca="false">IF(IF($B740="Trash",INDEX('Materials Master'!$F$2:$F$27,MATCH($C740,'Materials Master'!$A$2:$A$27,0)),IF($B740="GMPC Recycling",INDEX('Materials Master'!$G$2:$G$27,MATCH($C740,'Materials Master'!$A$2:$A$27,0)),IF($B740="Organics Recycling",INDEX('Materials Master'!$H$2:$H$27,MATCH($C740,'Materials Master'!$A$2:$A$27,0)),IF($B740="Cardboard Recycling",INDEX('Materials Master'!$I$2:$I$27,MATCH($C740,'Materials Master'!$A$2:$A$27,0)),IF($B740="Paper Recycling",INDEX('Materials Master'!$J$2:$J$27,MATCH($C740,'Materials Master'!$A$2:$A$27,0)),IF($B740="Terracycle",INDEX('Materials Master'!$K$2:$K$27,MATCH($C740,'Materials Master'!$A$2:$A$27,0)),"No"))))))="Yes",1,0)</f>
        <v>1</v>
      </c>
    </row>
    <row r="741" customFormat="false" ht="15" hidden="false" customHeight="false" outlineLevel="0" collapsed="false">
      <c r="A741" s="0" t="s">
        <v>100</v>
      </c>
      <c r="B741" s="0" t="s">
        <v>107</v>
      </c>
      <c r="C741" s="0" t="s">
        <v>53</v>
      </c>
      <c r="D741" s="0" t="str">
        <f aca="false">IFERROR(INDEX('Materials Master'!$B$2:$B$27,MATCH($C741,'Materials Master'!$A$2:$A$27,0)),"")</f>
        <v>Soiled Metals</v>
      </c>
      <c r="E741" s="0" t="str">
        <f aca="false">IFERROR(INDEX('Materials Master'!$C$2:$C$27,MATCH($C741,'Materials Master'!$A$2:$A$27,0)),"")</f>
        <v>Metals</v>
      </c>
      <c r="F741" s="0" t="n">
        <f aca="false">(SUMIFS(Fact_PreSortWeights!$E$2:$E$15,Fact_PreSortWeights!$C$2:$C$15,$A741,Fact_PreSortWeights!$B$2:$B$15,$B741,Fact_PreSortWeights!$F$2:$F$15,$C741))+(SUMIFS(Fact_SortedWeights!$E$2:$E$6,Fact_SortedWeights!$C$2:$C$6,$A741,Fact_SortedWeights!$B$2:$B$6,$B741,Fact_SortedWeights!$D$2:$D$6,$C741,Fact_SortedWeights!$L$2:$L$6,"Yes"))+IF((SUMIFS(Fact_SortedWeights!$E$2:$E$6,Fact_SortedWeights!$C$2:$C$6,$A741,Fact_SortedWeights!$B$2:$B$6,$B741,Fact_SortedWeights!$L$2:$L$6,"No"))=0,0,(SUMIFS(Fact_SortedWeights!$E$2:$E$6,Fact_SortedWeights!$C$2:$C$6,$A741,Fact_SortedWeights!$B$2:$B$6,$B741,Fact_SortedWeights!$D$2:$D$6,$C741,Fact_SortedWeights!$L$2:$L$6,"No"))/(SUMIFS(Fact_SortedWeights!$E$2:$E$6,Fact_SortedWeights!$C$2:$C$6,$A741,Fact_SortedWeights!$B$2:$B$6,$B741,Fact_SortedWeights!$L$2:$L$6,"No"))*((SUMIFS(Fact_PreSortWeights!$E$2:$E$15,Fact_PreSortWeights!$C$2:$C$15,$A741,Fact_PreSortWeights!$B$2:$B$15,$B741,Fact_PreSortWeights!$F$2:$F$15,""))-(SUMIFS(Fact_SortedWeights!$E$2:$E$6,Fact_SortedWeights!$C$2:$C$6,$A741,Fact_SortedWeights!$B$2:$B$6,$B741,Fact_SortedWeights!$L$2:$L$6,"Yes"))))</f>
        <v>0</v>
      </c>
      <c r="G741" s="0" t="n">
        <f aca="false">IF(AND(IF($B741="Trash",INDEX('Materials Master'!$F$2:$F$27,MATCH($C741,'Materials Master'!$A$2:$A$27,0)),IF($B741="GMPC Recycling",INDEX('Materials Master'!$G$2:$G$27,MATCH($C741,'Materials Master'!$A$2:$A$27,0)),IF($B741="Organics Recycling",INDEX('Materials Master'!$H$2:$H$27,MATCH($C741,'Materials Master'!$A$2:$A$27,0)),IF($B741="Cardboard Recycling",INDEX('Materials Master'!$I$2:$I$27,MATCH($C741,'Materials Master'!$A$2:$A$27,0)),IF($B741="Paper Recycling",INDEX('Materials Master'!$J$2:$J$27,MATCH($C741,'Materials Master'!$A$2:$A$27,0)),IF($B741="Terracycle",INDEX('Materials Master'!$K$2:$K$27,MATCH($C741,'Materials Master'!$A$2:$A$27,0)),"No"))))))="Yes",INDEX('Materials Master'!$E$2:$E$27,MATCH($C741,'Materials Master'!$A$2:$A$27,0))="Yes",$B741&lt;&gt;"Trash"),1,0)</f>
        <v>0</v>
      </c>
      <c r="H741" s="0" t="str">
        <f aca="false">INDEX('Materials Master'!$E$2:$E$27,MATCH($C741,'Materials Master'!$A$2:$A$27,0))</f>
        <v>No</v>
      </c>
      <c r="I741" s="0" t="str">
        <f aca="false">IFERROR(INDEX(Areas!$C$2:$C$6,MATCH($A741,Areas!$B$2:$B$6,0)),"")</f>
        <v>Rest of Building</v>
      </c>
      <c r="J741" s="0" t="n">
        <f aca="false">IF(IF($B741="Trash",INDEX('Materials Master'!$F$2:$F$27,MATCH($C741,'Materials Master'!$A$2:$A$27,0)),IF($B741="GMPC Recycling",INDEX('Materials Master'!$G$2:$G$27,MATCH($C741,'Materials Master'!$A$2:$A$27,0)),IF($B741="Organics Recycling",INDEX('Materials Master'!$H$2:$H$27,MATCH($C741,'Materials Master'!$A$2:$A$27,0)),IF($B741="Cardboard Recycling",INDEX('Materials Master'!$I$2:$I$27,MATCH($C741,'Materials Master'!$A$2:$A$27,0)),IF($B741="Paper Recycling",INDEX('Materials Master'!$J$2:$J$27,MATCH($C741,'Materials Master'!$A$2:$A$27,0)),IF($B741="Terracycle",INDEX('Materials Master'!$K$2:$K$27,MATCH($C741,'Materials Master'!$A$2:$A$27,0)),"No"))))))="Yes",1,0)</f>
        <v>0</v>
      </c>
    </row>
    <row r="742" customFormat="false" ht="15" hidden="false" customHeight="false" outlineLevel="0" collapsed="false">
      <c r="A742" s="0" t="s">
        <v>100</v>
      </c>
      <c r="B742" s="0" t="s">
        <v>107</v>
      </c>
      <c r="C742" s="0" t="s">
        <v>55</v>
      </c>
      <c r="D742" s="0" t="str">
        <f aca="false">IFERROR(INDEX('Materials Master'!$B$2:$B$27,MATCH($C742,'Materials Master'!$A$2:$A$27,0)),"")</f>
        <v>Rigid Plastics (1-6)</v>
      </c>
      <c r="E742" s="0" t="str">
        <f aca="false">IFERROR(INDEX('Materials Master'!$C$2:$C$27,MATCH($C742,'Materials Master'!$A$2:$A$27,0)),"")</f>
        <v>Plastics</v>
      </c>
      <c r="F742" s="0" t="n">
        <f aca="false">(SUMIFS(Fact_PreSortWeights!$E$2:$E$15,Fact_PreSortWeights!$C$2:$C$15,$A742,Fact_PreSortWeights!$B$2:$B$15,$B742,Fact_PreSortWeights!$F$2:$F$15,$C742))+(SUMIFS(Fact_SortedWeights!$E$2:$E$6,Fact_SortedWeights!$C$2:$C$6,$A742,Fact_SortedWeights!$B$2:$B$6,$B742,Fact_SortedWeights!$D$2:$D$6,$C742,Fact_SortedWeights!$L$2:$L$6,"Yes"))+IF((SUMIFS(Fact_SortedWeights!$E$2:$E$6,Fact_SortedWeights!$C$2:$C$6,$A742,Fact_SortedWeights!$B$2:$B$6,$B742,Fact_SortedWeights!$L$2:$L$6,"No"))=0,0,(SUMIFS(Fact_SortedWeights!$E$2:$E$6,Fact_SortedWeights!$C$2:$C$6,$A742,Fact_SortedWeights!$B$2:$B$6,$B742,Fact_SortedWeights!$D$2:$D$6,$C742,Fact_SortedWeights!$L$2:$L$6,"No"))/(SUMIFS(Fact_SortedWeights!$E$2:$E$6,Fact_SortedWeights!$C$2:$C$6,$A742,Fact_SortedWeights!$B$2:$B$6,$B742,Fact_SortedWeights!$L$2:$L$6,"No"))*((SUMIFS(Fact_PreSortWeights!$E$2:$E$15,Fact_PreSortWeights!$C$2:$C$15,$A742,Fact_PreSortWeights!$B$2:$B$15,$B742,Fact_PreSortWeights!$F$2:$F$15,""))-(SUMIFS(Fact_SortedWeights!$E$2:$E$6,Fact_SortedWeights!$C$2:$C$6,$A742,Fact_SortedWeights!$B$2:$B$6,$B742,Fact_SortedWeights!$L$2:$L$6,"Yes"))))</f>
        <v>0</v>
      </c>
      <c r="G742" s="0" t="n">
        <f aca="false">IF(AND(IF($B742="Trash",INDEX('Materials Master'!$F$2:$F$27,MATCH($C742,'Materials Master'!$A$2:$A$27,0)),IF($B742="GMPC Recycling",INDEX('Materials Master'!$G$2:$G$27,MATCH($C742,'Materials Master'!$A$2:$A$27,0)),IF($B742="Organics Recycling",INDEX('Materials Master'!$H$2:$H$27,MATCH($C742,'Materials Master'!$A$2:$A$27,0)),IF($B742="Cardboard Recycling",INDEX('Materials Master'!$I$2:$I$27,MATCH($C742,'Materials Master'!$A$2:$A$27,0)),IF($B742="Paper Recycling",INDEX('Materials Master'!$J$2:$J$27,MATCH($C742,'Materials Master'!$A$2:$A$27,0)),IF($B742="Terracycle",INDEX('Materials Master'!$K$2:$K$27,MATCH($C742,'Materials Master'!$A$2:$A$27,0)),"No"))))))="Yes",INDEX('Materials Master'!$E$2:$E$27,MATCH($C742,'Materials Master'!$A$2:$A$27,0))="Yes",$B742&lt;&gt;"Trash"),1,0)</f>
        <v>1</v>
      </c>
      <c r="H742" s="0" t="str">
        <f aca="false">INDEX('Materials Master'!$E$2:$E$27,MATCH($C742,'Materials Master'!$A$2:$A$27,0))</f>
        <v>Yes</v>
      </c>
      <c r="I742" s="0" t="str">
        <f aca="false">IFERROR(INDEX(Areas!$C$2:$C$6,MATCH($A742,Areas!$B$2:$B$6,0)),"")</f>
        <v>Rest of Building</v>
      </c>
      <c r="J742" s="0" t="n">
        <f aca="false">IF(IF($B742="Trash",INDEX('Materials Master'!$F$2:$F$27,MATCH($C742,'Materials Master'!$A$2:$A$27,0)),IF($B742="GMPC Recycling",INDEX('Materials Master'!$G$2:$G$27,MATCH($C742,'Materials Master'!$A$2:$A$27,0)),IF($B742="Organics Recycling",INDEX('Materials Master'!$H$2:$H$27,MATCH($C742,'Materials Master'!$A$2:$A$27,0)),IF($B742="Cardboard Recycling",INDEX('Materials Master'!$I$2:$I$27,MATCH($C742,'Materials Master'!$A$2:$A$27,0)),IF($B742="Paper Recycling",INDEX('Materials Master'!$J$2:$J$27,MATCH($C742,'Materials Master'!$A$2:$A$27,0)),IF($B742="Terracycle",INDEX('Materials Master'!$K$2:$K$27,MATCH($C742,'Materials Master'!$A$2:$A$27,0)),"No"))))))="Yes",1,0)</f>
        <v>1</v>
      </c>
    </row>
    <row r="743" customFormat="false" ht="15" hidden="false" customHeight="false" outlineLevel="0" collapsed="false">
      <c r="A743" s="0" t="s">
        <v>100</v>
      </c>
      <c r="B743" s="0" t="s">
        <v>107</v>
      </c>
      <c r="C743" s="0" t="s">
        <v>58</v>
      </c>
      <c r="D743" s="0" t="str">
        <f aca="false">IFERROR(INDEX('Materials Master'!$B$2:$B$27,MATCH($C743,'Materials Master'!$A$2:$A$27,0)),"")</f>
        <v>Soiled Rigid Plastics</v>
      </c>
      <c r="E743" s="0" t="str">
        <f aca="false">IFERROR(INDEX('Materials Master'!$C$2:$C$27,MATCH($C743,'Materials Master'!$A$2:$A$27,0)),"")</f>
        <v>Plastics</v>
      </c>
      <c r="F743" s="0" t="n">
        <f aca="false">(SUMIFS(Fact_PreSortWeights!$E$2:$E$15,Fact_PreSortWeights!$C$2:$C$15,$A743,Fact_PreSortWeights!$B$2:$B$15,$B743,Fact_PreSortWeights!$F$2:$F$15,$C743))+(SUMIFS(Fact_SortedWeights!$E$2:$E$6,Fact_SortedWeights!$C$2:$C$6,$A743,Fact_SortedWeights!$B$2:$B$6,$B743,Fact_SortedWeights!$D$2:$D$6,$C743,Fact_SortedWeights!$L$2:$L$6,"Yes"))+IF((SUMIFS(Fact_SortedWeights!$E$2:$E$6,Fact_SortedWeights!$C$2:$C$6,$A743,Fact_SortedWeights!$B$2:$B$6,$B743,Fact_SortedWeights!$L$2:$L$6,"No"))=0,0,(SUMIFS(Fact_SortedWeights!$E$2:$E$6,Fact_SortedWeights!$C$2:$C$6,$A743,Fact_SortedWeights!$B$2:$B$6,$B743,Fact_SortedWeights!$D$2:$D$6,$C743,Fact_SortedWeights!$L$2:$L$6,"No"))/(SUMIFS(Fact_SortedWeights!$E$2:$E$6,Fact_SortedWeights!$C$2:$C$6,$A743,Fact_SortedWeights!$B$2:$B$6,$B743,Fact_SortedWeights!$L$2:$L$6,"No"))*((SUMIFS(Fact_PreSortWeights!$E$2:$E$15,Fact_PreSortWeights!$C$2:$C$15,$A743,Fact_PreSortWeights!$B$2:$B$15,$B743,Fact_PreSortWeights!$F$2:$F$15,""))-(SUMIFS(Fact_SortedWeights!$E$2:$E$6,Fact_SortedWeights!$C$2:$C$6,$A743,Fact_SortedWeights!$B$2:$B$6,$B743,Fact_SortedWeights!$L$2:$L$6,"Yes"))))</f>
        <v>0</v>
      </c>
      <c r="G743" s="0" t="n">
        <f aca="false">IF(AND(IF($B743="Trash",INDEX('Materials Master'!$F$2:$F$27,MATCH($C743,'Materials Master'!$A$2:$A$27,0)),IF($B743="GMPC Recycling",INDEX('Materials Master'!$G$2:$G$27,MATCH($C743,'Materials Master'!$A$2:$A$27,0)),IF($B743="Organics Recycling",INDEX('Materials Master'!$H$2:$H$27,MATCH($C743,'Materials Master'!$A$2:$A$27,0)),IF($B743="Cardboard Recycling",INDEX('Materials Master'!$I$2:$I$27,MATCH($C743,'Materials Master'!$A$2:$A$27,0)),IF($B743="Paper Recycling",INDEX('Materials Master'!$J$2:$J$27,MATCH($C743,'Materials Master'!$A$2:$A$27,0)),IF($B743="Terracycle",INDEX('Materials Master'!$K$2:$K$27,MATCH($C743,'Materials Master'!$A$2:$A$27,0)),"No"))))))="Yes",INDEX('Materials Master'!$E$2:$E$27,MATCH($C743,'Materials Master'!$A$2:$A$27,0))="Yes",$B743&lt;&gt;"Trash"),1,0)</f>
        <v>0</v>
      </c>
      <c r="H743" s="0" t="str">
        <f aca="false">INDEX('Materials Master'!$E$2:$E$27,MATCH($C743,'Materials Master'!$A$2:$A$27,0))</f>
        <v>No</v>
      </c>
      <c r="I743" s="0" t="str">
        <f aca="false">IFERROR(INDEX(Areas!$C$2:$C$6,MATCH($A743,Areas!$B$2:$B$6,0)),"")</f>
        <v>Rest of Building</v>
      </c>
      <c r="J743" s="0" t="n">
        <f aca="false">IF(IF($B743="Trash",INDEX('Materials Master'!$F$2:$F$27,MATCH($C743,'Materials Master'!$A$2:$A$27,0)),IF($B743="GMPC Recycling",INDEX('Materials Master'!$G$2:$G$27,MATCH($C743,'Materials Master'!$A$2:$A$27,0)),IF($B743="Organics Recycling",INDEX('Materials Master'!$H$2:$H$27,MATCH($C743,'Materials Master'!$A$2:$A$27,0)),IF($B743="Cardboard Recycling",INDEX('Materials Master'!$I$2:$I$27,MATCH($C743,'Materials Master'!$A$2:$A$27,0)),IF($B743="Paper Recycling",INDEX('Materials Master'!$J$2:$J$27,MATCH($C743,'Materials Master'!$A$2:$A$27,0)),IF($B743="Terracycle",INDEX('Materials Master'!$K$2:$K$27,MATCH($C743,'Materials Master'!$A$2:$A$27,0)),"No"))))))="Yes",1,0)</f>
        <v>0</v>
      </c>
    </row>
    <row r="744" customFormat="false" ht="15" hidden="false" customHeight="false" outlineLevel="0" collapsed="false">
      <c r="A744" s="0" t="s">
        <v>100</v>
      </c>
      <c r="B744" s="0" t="s">
        <v>107</v>
      </c>
      <c r="C744" s="0" t="s">
        <v>60</v>
      </c>
      <c r="D744" s="0" t="str">
        <f aca="false">IFERROR(INDEX('Materials Master'!$B$2:$B$27,MATCH($C744,'Materials Master'!$A$2:$A$27,0)),"")</f>
        <v>Film Plastics</v>
      </c>
      <c r="E744" s="0" t="str">
        <f aca="false">IFERROR(INDEX('Materials Master'!$C$2:$C$27,MATCH($C744,'Materials Master'!$A$2:$A$27,0)),"")</f>
        <v>Plastics</v>
      </c>
      <c r="F744" s="0" t="n">
        <f aca="false">(SUMIFS(Fact_PreSortWeights!$E$2:$E$15,Fact_PreSortWeights!$C$2:$C$15,$A744,Fact_PreSortWeights!$B$2:$B$15,$B744,Fact_PreSortWeights!$F$2:$F$15,$C744))+(SUMIFS(Fact_SortedWeights!$E$2:$E$6,Fact_SortedWeights!$C$2:$C$6,$A744,Fact_SortedWeights!$B$2:$B$6,$B744,Fact_SortedWeights!$D$2:$D$6,$C744,Fact_SortedWeights!$L$2:$L$6,"Yes"))+IF((SUMIFS(Fact_SortedWeights!$E$2:$E$6,Fact_SortedWeights!$C$2:$C$6,$A744,Fact_SortedWeights!$B$2:$B$6,$B744,Fact_SortedWeights!$L$2:$L$6,"No"))=0,0,(SUMIFS(Fact_SortedWeights!$E$2:$E$6,Fact_SortedWeights!$C$2:$C$6,$A744,Fact_SortedWeights!$B$2:$B$6,$B744,Fact_SortedWeights!$D$2:$D$6,$C744,Fact_SortedWeights!$L$2:$L$6,"No"))/(SUMIFS(Fact_SortedWeights!$E$2:$E$6,Fact_SortedWeights!$C$2:$C$6,$A744,Fact_SortedWeights!$B$2:$B$6,$B744,Fact_SortedWeights!$L$2:$L$6,"No"))*((SUMIFS(Fact_PreSortWeights!$E$2:$E$15,Fact_PreSortWeights!$C$2:$C$15,$A744,Fact_PreSortWeights!$B$2:$B$15,$B744,Fact_PreSortWeights!$F$2:$F$15,""))-(SUMIFS(Fact_SortedWeights!$E$2:$E$6,Fact_SortedWeights!$C$2:$C$6,$A744,Fact_SortedWeights!$B$2:$B$6,$B744,Fact_SortedWeights!$L$2:$L$6,"Yes"))))</f>
        <v>0</v>
      </c>
      <c r="G744" s="0" t="n">
        <f aca="false">IF(AND(IF($B744="Trash",INDEX('Materials Master'!$F$2:$F$27,MATCH($C744,'Materials Master'!$A$2:$A$27,0)),IF($B744="GMPC Recycling",INDEX('Materials Master'!$G$2:$G$27,MATCH($C744,'Materials Master'!$A$2:$A$27,0)),IF($B744="Organics Recycling",INDEX('Materials Master'!$H$2:$H$27,MATCH($C744,'Materials Master'!$A$2:$A$27,0)),IF($B744="Cardboard Recycling",INDEX('Materials Master'!$I$2:$I$27,MATCH($C744,'Materials Master'!$A$2:$A$27,0)),IF($B744="Paper Recycling",INDEX('Materials Master'!$J$2:$J$27,MATCH($C744,'Materials Master'!$A$2:$A$27,0)),IF($B744="Terracycle",INDEX('Materials Master'!$K$2:$K$27,MATCH($C744,'Materials Master'!$A$2:$A$27,0)),"No"))))))="Yes",INDEX('Materials Master'!$E$2:$E$27,MATCH($C744,'Materials Master'!$A$2:$A$27,0))="Yes",$B744&lt;&gt;"Trash"),1,0)</f>
        <v>0</v>
      </c>
      <c r="H744" s="0" t="str">
        <f aca="false">INDEX('Materials Master'!$E$2:$E$27,MATCH($C744,'Materials Master'!$A$2:$A$27,0))</f>
        <v>No</v>
      </c>
      <c r="I744" s="0" t="str">
        <f aca="false">IFERROR(INDEX(Areas!$C$2:$C$6,MATCH($A744,Areas!$B$2:$B$6,0)),"")</f>
        <v>Rest of Building</v>
      </c>
      <c r="J744" s="0" t="n">
        <f aca="false">IF(IF($B744="Trash",INDEX('Materials Master'!$F$2:$F$27,MATCH($C744,'Materials Master'!$A$2:$A$27,0)),IF($B744="GMPC Recycling",INDEX('Materials Master'!$G$2:$G$27,MATCH($C744,'Materials Master'!$A$2:$A$27,0)),IF($B744="Organics Recycling",INDEX('Materials Master'!$H$2:$H$27,MATCH($C744,'Materials Master'!$A$2:$A$27,0)),IF($B744="Cardboard Recycling",INDEX('Materials Master'!$I$2:$I$27,MATCH($C744,'Materials Master'!$A$2:$A$27,0)),IF($B744="Paper Recycling",INDEX('Materials Master'!$J$2:$J$27,MATCH($C744,'Materials Master'!$A$2:$A$27,0)),IF($B744="Terracycle",INDEX('Materials Master'!$K$2:$K$27,MATCH($C744,'Materials Master'!$A$2:$A$27,0)),"No"))))))="Yes",1,0)</f>
        <v>0</v>
      </c>
    </row>
    <row r="745" customFormat="false" ht="15" hidden="false" customHeight="false" outlineLevel="0" collapsed="false">
      <c r="A745" s="0" t="s">
        <v>100</v>
      </c>
      <c r="B745" s="0" t="s">
        <v>107</v>
      </c>
      <c r="C745" s="0" t="s">
        <v>62</v>
      </c>
      <c r="D745" s="0" t="str">
        <f aca="false">IFERROR(INDEX('Materials Master'!$B$2:$B$27,MATCH($C745,'Materials Master'!$A$2:$A$27,0)),"")</f>
        <v>Foams</v>
      </c>
      <c r="E745" s="0" t="str">
        <f aca="false">IFERROR(INDEX('Materials Master'!$C$2:$C$27,MATCH($C745,'Materials Master'!$A$2:$A$27,0)),"")</f>
        <v>Plastics</v>
      </c>
      <c r="F745" s="0" t="n">
        <f aca="false">(SUMIFS(Fact_PreSortWeights!$E$2:$E$15,Fact_PreSortWeights!$C$2:$C$15,$A745,Fact_PreSortWeights!$B$2:$B$15,$B745,Fact_PreSortWeights!$F$2:$F$15,$C745))+(SUMIFS(Fact_SortedWeights!$E$2:$E$6,Fact_SortedWeights!$C$2:$C$6,$A745,Fact_SortedWeights!$B$2:$B$6,$B745,Fact_SortedWeights!$D$2:$D$6,$C745,Fact_SortedWeights!$L$2:$L$6,"Yes"))+IF((SUMIFS(Fact_SortedWeights!$E$2:$E$6,Fact_SortedWeights!$C$2:$C$6,$A745,Fact_SortedWeights!$B$2:$B$6,$B745,Fact_SortedWeights!$L$2:$L$6,"No"))=0,0,(SUMIFS(Fact_SortedWeights!$E$2:$E$6,Fact_SortedWeights!$C$2:$C$6,$A745,Fact_SortedWeights!$B$2:$B$6,$B745,Fact_SortedWeights!$D$2:$D$6,$C745,Fact_SortedWeights!$L$2:$L$6,"No"))/(SUMIFS(Fact_SortedWeights!$E$2:$E$6,Fact_SortedWeights!$C$2:$C$6,$A745,Fact_SortedWeights!$B$2:$B$6,$B745,Fact_SortedWeights!$L$2:$L$6,"No"))*((SUMIFS(Fact_PreSortWeights!$E$2:$E$15,Fact_PreSortWeights!$C$2:$C$15,$A745,Fact_PreSortWeights!$B$2:$B$15,$B745,Fact_PreSortWeights!$F$2:$F$15,""))-(SUMIFS(Fact_SortedWeights!$E$2:$E$6,Fact_SortedWeights!$C$2:$C$6,$A745,Fact_SortedWeights!$B$2:$B$6,$B745,Fact_SortedWeights!$L$2:$L$6,"Yes"))))</f>
        <v>0</v>
      </c>
      <c r="G745" s="0" t="n">
        <f aca="false">IF(AND(IF($B745="Trash",INDEX('Materials Master'!$F$2:$F$27,MATCH($C745,'Materials Master'!$A$2:$A$27,0)),IF($B745="GMPC Recycling",INDEX('Materials Master'!$G$2:$G$27,MATCH($C745,'Materials Master'!$A$2:$A$27,0)),IF($B745="Organics Recycling",INDEX('Materials Master'!$H$2:$H$27,MATCH($C745,'Materials Master'!$A$2:$A$27,0)),IF($B745="Cardboard Recycling",INDEX('Materials Master'!$I$2:$I$27,MATCH($C745,'Materials Master'!$A$2:$A$27,0)),IF($B745="Paper Recycling",INDEX('Materials Master'!$J$2:$J$27,MATCH($C745,'Materials Master'!$A$2:$A$27,0)),IF($B745="Terracycle",INDEX('Materials Master'!$K$2:$K$27,MATCH($C745,'Materials Master'!$A$2:$A$27,0)),"No"))))))="Yes",INDEX('Materials Master'!$E$2:$E$27,MATCH($C745,'Materials Master'!$A$2:$A$27,0))="Yes",$B745&lt;&gt;"Trash"),1,0)</f>
        <v>0</v>
      </c>
      <c r="H745" s="0" t="str">
        <f aca="false">INDEX('Materials Master'!$E$2:$E$27,MATCH($C745,'Materials Master'!$A$2:$A$27,0))</f>
        <v>No</v>
      </c>
      <c r="I745" s="0" t="str">
        <f aca="false">IFERROR(INDEX(Areas!$C$2:$C$6,MATCH($A745,Areas!$B$2:$B$6,0)),"")</f>
        <v>Rest of Building</v>
      </c>
      <c r="J745" s="0" t="n">
        <f aca="false">IF(IF($B745="Trash",INDEX('Materials Master'!$F$2:$F$27,MATCH($C745,'Materials Master'!$A$2:$A$27,0)),IF($B745="GMPC Recycling",INDEX('Materials Master'!$G$2:$G$27,MATCH($C745,'Materials Master'!$A$2:$A$27,0)),IF($B745="Organics Recycling",INDEX('Materials Master'!$H$2:$H$27,MATCH($C745,'Materials Master'!$A$2:$A$27,0)),IF($B745="Cardboard Recycling",INDEX('Materials Master'!$I$2:$I$27,MATCH($C745,'Materials Master'!$A$2:$A$27,0)),IF($B745="Paper Recycling",INDEX('Materials Master'!$J$2:$J$27,MATCH($C745,'Materials Master'!$A$2:$A$27,0)),IF($B745="Terracycle",INDEX('Materials Master'!$K$2:$K$27,MATCH($C745,'Materials Master'!$A$2:$A$27,0)),"No"))))))="Yes",1,0)</f>
        <v>0</v>
      </c>
    </row>
    <row r="746" customFormat="false" ht="15" hidden="false" customHeight="false" outlineLevel="0" collapsed="false">
      <c r="A746" s="0" t="s">
        <v>100</v>
      </c>
      <c r="B746" s="0" t="s">
        <v>107</v>
      </c>
      <c r="C746" s="0" t="s">
        <v>64</v>
      </c>
      <c r="D746" s="0" t="str">
        <f aca="false">IFERROR(INDEX('Materials Master'!$B$2:$B$27,MATCH($C746,'Materials Master'!$A$2:$A$27,0)),"")</f>
        <v>Food Waste</v>
      </c>
      <c r="E746" s="0" t="str">
        <f aca="false">IFERROR(INDEX('Materials Master'!$C$2:$C$27,MATCH($C746,'Materials Master'!$A$2:$A$27,0)),"")</f>
        <v>Organics</v>
      </c>
      <c r="F746" s="0" t="n">
        <f aca="false">(SUMIFS(Fact_PreSortWeights!$E$2:$E$15,Fact_PreSortWeights!$C$2:$C$15,$A746,Fact_PreSortWeights!$B$2:$B$15,$B746,Fact_PreSortWeights!$F$2:$F$15,$C746))+(SUMIFS(Fact_SortedWeights!$E$2:$E$6,Fact_SortedWeights!$C$2:$C$6,$A746,Fact_SortedWeights!$B$2:$B$6,$B746,Fact_SortedWeights!$D$2:$D$6,$C746,Fact_SortedWeights!$L$2:$L$6,"Yes"))+IF((SUMIFS(Fact_SortedWeights!$E$2:$E$6,Fact_SortedWeights!$C$2:$C$6,$A746,Fact_SortedWeights!$B$2:$B$6,$B746,Fact_SortedWeights!$L$2:$L$6,"No"))=0,0,(SUMIFS(Fact_SortedWeights!$E$2:$E$6,Fact_SortedWeights!$C$2:$C$6,$A746,Fact_SortedWeights!$B$2:$B$6,$B746,Fact_SortedWeights!$D$2:$D$6,$C746,Fact_SortedWeights!$L$2:$L$6,"No"))/(SUMIFS(Fact_SortedWeights!$E$2:$E$6,Fact_SortedWeights!$C$2:$C$6,$A746,Fact_SortedWeights!$B$2:$B$6,$B746,Fact_SortedWeights!$L$2:$L$6,"No"))*((SUMIFS(Fact_PreSortWeights!$E$2:$E$15,Fact_PreSortWeights!$C$2:$C$15,$A746,Fact_PreSortWeights!$B$2:$B$15,$B746,Fact_PreSortWeights!$F$2:$F$15,""))-(SUMIFS(Fact_SortedWeights!$E$2:$E$6,Fact_SortedWeights!$C$2:$C$6,$A746,Fact_SortedWeights!$B$2:$B$6,$B746,Fact_SortedWeights!$L$2:$L$6,"Yes"))))</f>
        <v>0</v>
      </c>
      <c r="G746" s="0" t="n">
        <f aca="false">IF(AND(IF($B746="Trash",INDEX('Materials Master'!$F$2:$F$27,MATCH($C746,'Materials Master'!$A$2:$A$27,0)),IF($B746="GMPC Recycling",INDEX('Materials Master'!$G$2:$G$27,MATCH($C746,'Materials Master'!$A$2:$A$27,0)),IF($B746="Organics Recycling",INDEX('Materials Master'!$H$2:$H$27,MATCH($C746,'Materials Master'!$A$2:$A$27,0)),IF($B746="Cardboard Recycling",INDEX('Materials Master'!$I$2:$I$27,MATCH($C746,'Materials Master'!$A$2:$A$27,0)),IF($B746="Paper Recycling",INDEX('Materials Master'!$J$2:$J$27,MATCH($C746,'Materials Master'!$A$2:$A$27,0)),IF($B746="Terracycle",INDEX('Materials Master'!$K$2:$K$27,MATCH($C746,'Materials Master'!$A$2:$A$27,0)),"No"))))))="Yes",INDEX('Materials Master'!$E$2:$E$27,MATCH($C746,'Materials Master'!$A$2:$A$27,0))="Yes",$B746&lt;&gt;"Trash"),1,0)</f>
        <v>0</v>
      </c>
      <c r="H746" s="0" t="str">
        <f aca="false">INDEX('Materials Master'!$E$2:$E$27,MATCH($C746,'Materials Master'!$A$2:$A$27,0))</f>
        <v>Yes</v>
      </c>
      <c r="I746" s="0" t="str">
        <f aca="false">IFERROR(INDEX(Areas!$C$2:$C$6,MATCH($A746,Areas!$B$2:$B$6,0)),"")</f>
        <v>Rest of Building</v>
      </c>
      <c r="J746" s="0" t="n">
        <f aca="false">IF(IF($B746="Trash",INDEX('Materials Master'!$F$2:$F$27,MATCH($C746,'Materials Master'!$A$2:$A$27,0)),IF($B746="GMPC Recycling",INDEX('Materials Master'!$G$2:$G$27,MATCH($C746,'Materials Master'!$A$2:$A$27,0)),IF($B746="Organics Recycling",INDEX('Materials Master'!$H$2:$H$27,MATCH($C746,'Materials Master'!$A$2:$A$27,0)),IF($B746="Cardboard Recycling",INDEX('Materials Master'!$I$2:$I$27,MATCH($C746,'Materials Master'!$A$2:$A$27,0)),IF($B746="Paper Recycling",INDEX('Materials Master'!$J$2:$J$27,MATCH($C746,'Materials Master'!$A$2:$A$27,0)),IF($B746="Terracycle",INDEX('Materials Master'!$K$2:$K$27,MATCH($C746,'Materials Master'!$A$2:$A$27,0)),"No"))))))="Yes",1,0)</f>
        <v>0</v>
      </c>
    </row>
    <row r="747" customFormat="false" ht="15" hidden="false" customHeight="false" outlineLevel="0" collapsed="false">
      <c r="A747" s="0" t="s">
        <v>100</v>
      </c>
      <c r="B747" s="0" t="s">
        <v>107</v>
      </c>
      <c r="C747" s="0" t="s">
        <v>67</v>
      </c>
      <c r="D747" s="0" t="str">
        <f aca="false">IFERROR(INDEX('Materials Master'!$B$2:$B$27,MATCH($C747,'Materials Master'!$A$2:$A$27,0)),"")</f>
        <v>Paper Fibers and Food-Soiled Paper (FSP)</v>
      </c>
      <c r="E747" s="0" t="str">
        <f aca="false">IFERROR(INDEX('Materials Master'!$C$2:$C$27,MATCH($C747,'Materials Master'!$A$2:$A$27,0)),"")</f>
        <v>Organics</v>
      </c>
      <c r="F747" s="0" t="n">
        <f aca="false">(SUMIFS(Fact_PreSortWeights!$E$2:$E$15,Fact_PreSortWeights!$C$2:$C$15,$A747,Fact_PreSortWeights!$B$2:$B$15,$B747,Fact_PreSortWeights!$F$2:$F$15,$C747))+(SUMIFS(Fact_SortedWeights!$E$2:$E$6,Fact_SortedWeights!$C$2:$C$6,$A747,Fact_SortedWeights!$B$2:$B$6,$B747,Fact_SortedWeights!$D$2:$D$6,$C747,Fact_SortedWeights!$L$2:$L$6,"Yes"))+IF((SUMIFS(Fact_SortedWeights!$E$2:$E$6,Fact_SortedWeights!$C$2:$C$6,$A747,Fact_SortedWeights!$B$2:$B$6,$B747,Fact_SortedWeights!$L$2:$L$6,"No"))=0,(SUMIFS(Fact_PreSortWeights!$E$2:$E$15,Fact_PreSortWeights!$C$2:$C$15,$A747,Fact_PreSortWeights!$B$2:$B$15,$B747,Fact_PreSortWeights!$F$2:$F$15,""))-(SUMIFS(Fact_SortedWeights!$E$2:$E$6,Fact_SortedWeights!$C$2:$C$6,$A747,Fact_SortedWeights!$B$2:$B$6,$B747,Fact_SortedWeights!$L$2:$L$6,"Yes")),(SUMIFS(Fact_SortedWeights!$E$2:$E$6,Fact_SortedWeights!$C$2:$C$6,$A747,Fact_SortedWeights!$B$2:$B$6,$B747,Fact_SortedWeights!$D$2:$D$6,$C747,Fact_SortedWeights!$L$2:$L$6,"No"))/(SUMIFS(Fact_SortedWeights!$E$2:$E$6,Fact_SortedWeights!$C$2:$C$6,$A747,Fact_SortedWeights!$B$2:$B$6,$B747,Fact_SortedWeights!$L$2:$L$6,"No"))*((SUMIFS(Fact_PreSortWeights!$E$2:$E$15,Fact_PreSortWeights!$C$2:$C$15,$A747,Fact_PreSortWeights!$B$2:$B$15,$B747,Fact_PreSortWeights!$F$2:$F$15,""))-(SUMIFS(Fact_SortedWeights!$E$2:$E$6,Fact_SortedWeights!$C$2:$C$6,$A747,Fact_SortedWeights!$B$2:$B$6,$B747,Fact_SortedWeights!$L$2:$L$6,"Yes"))))</f>
        <v>0</v>
      </c>
      <c r="G747" s="0" t="n">
        <f aca="false">IF(AND(IF($B747="Trash",INDEX('Materials Master'!$F$2:$F$27,MATCH($C747,'Materials Master'!$A$2:$A$27,0)),IF($B747="GMPC Recycling",INDEX('Materials Master'!$G$2:$G$27,MATCH($C747,'Materials Master'!$A$2:$A$27,0)),IF($B747="Organics Recycling",INDEX('Materials Master'!$H$2:$H$27,MATCH($C747,'Materials Master'!$A$2:$A$27,0)),IF($B747="Cardboard Recycling",INDEX('Materials Master'!$I$2:$I$27,MATCH($C747,'Materials Master'!$A$2:$A$27,0)),IF($B747="Paper Recycling",INDEX('Materials Master'!$J$2:$J$27,MATCH($C747,'Materials Master'!$A$2:$A$27,0)),IF($B747="Terracycle",INDEX('Materials Master'!$K$2:$K$27,MATCH($C747,'Materials Master'!$A$2:$A$27,0)),"No"))))))="Yes",INDEX('Materials Master'!$E$2:$E$27,MATCH($C747,'Materials Master'!$A$2:$A$27,0))="Yes",$B747&lt;&gt;"Trash"),1,0)</f>
        <v>0</v>
      </c>
      <c r="H747" s="0" t="str">
        <f aca="false">INDEX('Materials Master'!$E$2:$E$27,MATCH($C747,'Materials Master'!$A$2:$A$27,0))</f>
        <v>No</v>
      </c>
      <c r="I747" s="0" t="str">
        <f aca="false">IFERROR(INDEX(Areas!$C$2:$C$6,MATCH($A747,Areas!$B$2:$B$6,0)),"")</f>
        <v>Rest of Building</v>
      </c>
      <c r="J747" s="0" t="n">
        <f aca="false">IF(IF($B747="Trash",INDEX('Materials Master'!$F$2:$F$27,MATCH($C747,'Materials Master'!$A$2:$A$27,0)),IF($B747="GMPC Recycling",INDEX('Materials Master'!$G$2:$G$27,MATCH($C747,'Materials Master'!$A$2:$A$27,0)),IF($B747="Organics Recycling",INDEX('Materials Master'!$H$2:$H$27,MATCH($C747,'Materials Master'!$A$2:$A$27,0)),IF($B747="Cardboard Recycling",INDEX('Materials Master'!$I$2:$I$27,MATCH($C747,'Materials Master'!$A$2:$A$27,0)),IF($B747="Paper Recycling",INDEX('Materials Master'!$J$2:$J$27,MATCH($C747,'Materials Master'!$A$2:$A$27,0)),IF($B747="Terracycle",INDEX('Materials Master'!$K$2:$K$27,MATCH($C747,'Materials Master'!$A$2:$A$27,0)),"No"))))))="Yes",1,0)</f>
        <v>0</v>
      </c>
    </row>
    <row r="748" customFormat="false" ht="15" hidden="false" customHeight="false" outlineLevel="0" collapsed="false">
      <c r="A748" s="0" t="s">
        <v>100</v>
      </c>
      <c r="B748" s="0" t="s">
        <v>107</v>
      </c>
      <c r="C748" s="0" t="s">
        <v>69</v>
      </c>
      <c r="D748" s="0" t="str">
        <f aca="false">IFERROR(INDEX('Materials Master'!$B$2:$B$27,MATCH($C748,'Materials Master'!$A$2:$A$27,0)),"")</f>
        <v>Fiber-based Compostable Serviceware</v>
      </c>
      <c r="E748" s="0" t="str">
        <f aca="false">IFERROR(INDEX('Materials Master'!$C$2:$C$27,MATCH($C748,'Materials Master'!$A$2:$A$27,0)),"")</f>
        <v>Organics</v>
      </c>
      <c r="F748" s="0" t="n">
        <f aca="false">(SUMIFS(Fact_PreSortWeights!$E$2:$E$15,Fact_PreSortWeights!$C$2:$C$15,$A748,Fact_PreSortWeights!$B$2:$B$15,$B748,Fact_PreSortWeights!$F$2:$F$15,$C748))+(SUMIFS(Fact_SortedWeights!$E$2:$E$6,Fact_SortedWeights!$C$2:$C$6,$A748,Fact_SortedWeights!$B$2:$B$6,$B748,Fact_SortedWeights!$D$2:$D$6,$C748,Fact_SortedWeights!$L$2:$L$6,"Yes"))+IF((SUMIFS(Fact_SortedWeights!$E$2:$E$6,Fact_SortedWeights!$C$2:$C$6,$A748,Fact_SortedWeights!$B$2:$B$6,$B748,Fact_SortedWeights!$L$2:$L$6,"No"))=0,0,(SUMIFS(Fact_SortedWeights!$E$2:$E$6,Fact_SortedWeights!$C$2:$C$6,$A748,Fact_SortedWeights!$B$2:$B$6,$B748,Fact_SortedWeights!$D$2:$D$6,$C748,Fact_SortedWeights!$L$2:$L$6,"No"))/(SUMIFS(Fact_SortedWeights!$E$2:$E$6,Fact_SortedWeights!$C$2:$C$6,$A748,Fact_SortedWeights!$B$2:$B$6,$B748,Fact_SortedWeights!$L$2:$L$6,"No"))*((SUMIFS(Fact_PreSortWeights!$E$2:$E$15,Fact_PreSortWeights!$C$2:$C$15,$A748,Fact_PreSortWeights!$B$2:$B$15,$B748,Fact_PreSortWeights!$F$2:$F$15,""))-(SUMIFS(Fact_SortedWeights!$E$2:$E$6,Fact_SortedWeights!$C$2:$C$6,$A748,Fact_SortedWeights!$B$2:$B$6,$B748,Fact_SortedWeights!$L$2:$L$6,"Yes"))))</f>
        <v>0</v>
      </c>
      <c r="G748" s="0" t="n">
        <f aca="false">IF(AND(IF($B748="Trash",INDEX('Materials Master'!$F$2:$F$27,MATCH($C748,'Materials Master'!$A$2:$A$27,0)),IF($B748="GMPC Recycling",INDEX('Materials Master'!$G$2:$G$27,MATCH($C748,'Materials Master'!$A$2:$A$27,0)),IF($B748="Organics Recycling",INDEX('Materials Master'!$H$2:$H$27,MATCH($C748,'Materials Master'!$A$2:$A$27,0)),IF($B748="Cardboard Recycling",INDEX('Materials Master'!$I$2:$I$27,MATCH($C748,'Materials Master'!$A$2:$A$27,0)),IF($B748="Paper Recycling",INDEX('Materials Master'!$J$2:$J$27,MATCH($C748,'Materials Master'!$A$2:$A$27,0)),IF($B748="Terracycle",INDEX('Materials Master'!$K$2:$K$27,MATCH($C748,'Materials Master'!$A$2:$A$27,0)),"No"))))))="Yes",INDEX('Materials Master'!$E$2:$E$27,MATCH($C748,'Materials Master'!$A$2:$A$27,0))="Yes",$B748&lt;&gt;"Trash"),1,0)</f>
        <v>0</v>
      </c>
      <c r="H748" s="0" t="str">
        <f aca="false">INDEX('Materials Master'!$E$2:$E$27,MATCH($C748,'Materials Master'!$A$2:$A$27,0))</f>
        <v>No</v>
      </c>
      <c r="I748" s="0" t="str">
        <f aca="false">IFERROR(INDEX(Areas!$C$2:$C$6,MATCH($A748,Areas!$B$2:$B$6,0)),"")</f>
        <v>Rest of Building</v>
      </c>
      <c r="J748" s="0" t="n">
        <f aca="false">IF(IF($B748="Trash",INDEX('Materials Master'!$F$2:$F$27,MATCH($C748,'Materials Master'!$A$2:$A$27,0)),IF($B748="GMPC Recycling",INDEX('Materials Master'!$G$2:$G$27,MATCH($C748,'Materials Master'!$A$2:$A$27,0)),IF($B748="Organics Recycling",INDEX('Materials Master'!$H$2:$H$27,MATCH($C748,'Materials Master'!$A$2:$A$27,0)),IF($B748="Cardboard Recycling",INDEX('Materials Master'!$I$2:$I$27,MATCH($C748,'Materials Master'!$A$2:$A$27,0)),IF($B748="Paper Recycling",INDEX('Materials Master'!$J$2:$J$27,MATCH($C748,'Materials Master'!$A$2:$A$27,0)),IF($B748="Terracycle",INDEX('Materials Master'!$K$2:$K$27,MATCH($C748,'Materials Master'!$A$2:$A$27,0)),"No"))))))="Yes",1,0)</f>
        <v>0</v>
      </c>
    </row>
    <row r="749" customFormat="false" ht="15" hidden="false" customHeight="false" outlineLevel="0" collapsed="false">
      <c r="A749" s="0" t="s">
        <v>100</v>
      </c>
      <c r="B749" s="0" t="s">
        <v>107</v>
      </c>
      <c r="C749" s="0" t="s">
        <v>71</v>
      </c>
      <c r="D749" s="0" t="str">
        <f aca="false">IFERROR(INDEX('Materials Master'!$B$2:$B$27,MATCH($C749,'Materials Master'!$A$2:$A$27,0)),"")</f>
        <v>PLA Compostable Serviceware</v>
      </c>
      <c r="E749" s="0" t="str">
        <f aca="false">IFERROR(INDEX('Materials Master'!$C$2:$C$27,MATCH($C749,'Materials Master'!$A$2:$A$27,0)),"")</f>
        <v>Organics</v>
      </c>
      <c r="F749" s="0" t="n">
        <f aca="false">(SUMIFS(Fact_PreSortWeights!$E$2:$E$15,Fact_PreSortWeights!$C$2:$C$15,$A749,Fact_PreSortWeights!$B$2:$B$15,$B749,Fact_PreSortWeights!$F$2:$F$15,$C749))+(SUMIFS(Fact_SortedWeights!$E$2:$E$6,Fact_SortedWeights!$C$2:$C$6,$A749,Fact_SortedWeights!$B$2:$B$6,$B749,Fact_SortedWeights!$D$2:$D$6,$C749,Fact_SortedWeights!$L$2:$L$6,"Yes"))+IF((SUMIFS(Fact_SortedWeights!$E$2:$E$6,Fact_SortedWeights!$C$2:$C$6,$A749,Fact_SortedWeights!$B$2:$B$6,$B749,Fact_SortedWeights!$L$2:$L$6,"No"))=0,0,(SUMIFS(Fact_SortedWeights!$E$2:$E$6,Fact_SortedWeights!$C$2:$C$6,$A749,Fact_SortedWeights!$B$2:$B$6,$B749,Fact_SortedWeights!$D$2:$D$6,$C749,Fact_SortedWeights!$L$2:$L$6,"No"))/(SUMIFS(Fact_SortedWeights!$E$2:$E$6,Fact_SortedWeights!$C$2:$C$6,$A749,Fact_SortedWeights!$B$2:$B$6,$B749,Fact_SortedWeights!$L$2:$L$6,"No"))*((SUMIFS(Fact_PreSortWeights!$E$2:$E$15,Fact_PreSortWeights!$C$2:$C$15,$A749,Fact_PreSortWeights!$B$2:$B$15,$B749,Fact_PreSortWeights!$F$2:$F$15,""))-(SUMIFS(Fact_SortedWeights!$E$2:$E$6,Fact_SortedWeights!$C$2:$C$6,$A749,Fact_SortedWeights!$B$2:$B$6,$B749,Fact_SortedWeights!$L$2:$L$6,"Yes"))))</f>
        <v>0</v>
      </c>
      <c r="G749" s="0" t="n">
        <f aca="false">IF(AND(IF($B749="Trash",INDEX('Materials Master'!$F$2:$F$27,MATCH($C749,'Materials Master'!$A$2:$A$27,0)),IF($B749="GMPC Recycling",INDEX('Materials Master'!$G$2:$G$27,MATCH($C749,'Materials Master'!$A$2:$A$27,0)),IF($B749="Organics Recycling",INDEX('Materials Master'!$H$2:$H$27,MATCH($C749,'Materials Master'!$A$2:$A$27,0)),IF($B749="Cardboard Recycling",INDEX('Materials Master'!$I$2:$I$27,MATCH($C749,'Materials Master'!$A$2:$A$27,0)),IF($B749="Paper Recycling",INDEX('Materials Master'!$J$2:$J$27,MATCH($C749,'Materials Master'!$A$2:$A$27,0)),IF($B749="Terracycle",INDEX('Materials Master'!$K$2:$K$27,MATCH($C749,'Materials Master'!$A$2:$A$27,0)),"No"))))))="Yes",INDEX('Materials Master'!$E$2:$E$27,MATCH($C749,'Materials Master'!$A$2:$A$27,0))="Yes",$B749&lt;&gt;"Trash"),1,0)</f>
        <v>0</v>
      </c>
      <c r="H749" s="0" t="str">
        <f aca="false">INDEX('Materials Master'!$E$2:$E$27,MATCH($C749,'Materials Master'!$A$2:$A$27,0))</f>
        <v>No</v>
      </c>
      <c r="I749" s="0" t="str">
        <f aca="false">IFERROR(INDEX(Areas!$C$2:$C$6,MATCH($A749,Areas!$B$2:$B$6,0)),"")</f>
        <v>Rest of Building</v>
      </c>
      <c r="J749" s="0" t="n">
        <f aca="false">IF(IF($B749="Trash",INDEX('Materials Master'!$F$2:$F$27,MATCH($C749,'Materials Master'!$A$2:$A$27,0)),IF($B749="GMPC Recycling",INDEX('Materials Master'!$G$2:$G$27,MATCH($C749,'Materials Master'!$A$2:$A$27,0)),IF($B749="Organics Recycling",INDEX('Materials Master'!$H$2:$H$27,MATCH($C749,'Materials Master'!$A$2:$A$27,0)),IF($B749="Cardboard Recycling",INDEX('Materials Master'!$I$2:$I$27,MATCH($C749,'Materials Master'!$A$2:$A$27,0)),IF($B749="Paper Recycling",INDEX('Materials Master'!$J$2:$J$27,MATCH($C749,'Materials Master'!$A$2:$A$27,0)),IF($B749="Terracycle",INDEX('Materials Master'!$K$2:$K$27,MATCH($C749,'Materials Master'!$A$2:$A$27,0)),"No"))))))="Yes",1,0)</f>
        <v>0</v>
      </c>
    </row>
    <row r="750" customFormat="false" ht="15" hidden="false" customHeight="false" outlineLevel="0" collapsed="false">
      <c r="A750" s="0" t="s">
        <v>100</v>
      </c>
      <c r="B750" s="0" t="s">
        <v>107</v>
      </c>
      <c r="C750" s="0" t="s">
        <v>73</v>
      </c>
      <c r="D750" s="0" t="str">
        <f aca="false">IFERROR(INDEX('Materials Master'!$B$2:$B$27,MATCH($C750,'Materials Master'!$A$2:$A$27,0)),"")</f>
        <v>E/U Waste</v>
      </c>
      <c r="E750" s="0" t="str">
        <f aca="false">IFERROR(INDEX('Materials Master'!$C$2:$C$27,MATCH($C750,'Materials Master'!$A$2:$A$27,0)),"")</f>
        <v>Unacceptable</v>
      </c>
      <c r="F750" s="0" t="n">
        <f aca="false">(SUMIFS(Fact_PreSortWeights!$E$2:$E$15,Fact_PreSortWeights!$C$2:$C$15,$A750,Fact_PreSortWeights!$B$2:$B$15,$B750,Fact_PreSortWeights!$F$2:$F$15,$C750))+(SUMIFS(Fact_SortedWeights!$E$2:$E$6,Fact_SortedWeights!$C$2:$C$6,$A750,Fact_SortedWeights!$B$2:$B$6,$B750,Fact_SortedWeights!$D$2:$D$6,$C750,Fact_SortedWeights!$L$2:$L$6,"Yes"))+IF((SUMIFS(Fact_SortedWeights!$E$2:$E$6,Fact_SortedWeights!$C$2:$C$6,$A750,Fact_SortedWeights!$B$2:$B$6,$B750,Fact_SortedWeights!$L$2:$L$6,"No"))=0,0,(SUMIFS(Fact_SortedWeights!$E$2:$E$6,Fact_SortedWeights!$C$2:$C$6,$A750,Fact_SortedWeights!$B$2:$B$6,$B750,Fact_SortedWeights!$D$2:$D$6,$C750,Fact_SortedWeights!$L$2:$L$6,"No"))/(SUMIFS(Fact_SortedWeights!$E$2:$E$6,Fact_SortedWeights!$C$2:$C$6,$A750,Fact_SortedWeights!$B$2:$B$6,$B750,Fact_SortedWeights!$L$2:$L$6,"No"))*((SUMIFS(Fact_PreSortWeights!$E$2:$E$15,Fact_PreSortWeights!$C$2:$C$15,$A750,Fact_PreSortWeights!$B$2:$B$15,$B750,Fact_PreSortWeights!$F$2:$F$15,""))-(SUMIFS(Fact_SortedWeights!$E$2:$E$6,Fact_SortedWeights!$C$2:$C$6,$A750,Fact_SortedWeights!$B$2:$B$6,$B750,Fact_SortedWeights!$L$2:$L$6,"Yes"))))</f>
        <v>0</v>
      </c>
      <c r="G750" s="0" t="n">
        <f aca="false">IF(AND(IF($B750="Trash",INDEX('Materials Master'!$F$2:$F$27,MATCH($C750,'Materials Master'!$A$2:$A$27,0)),IF($B750="GMPC Recycling",INDEX('Materials Master'!$G$2:$G$27,MATCH($C750,'Materials Master'!$A$2:$A$27,0)),IF($B750="Organics Recycling",INDEX('Materials Master'!$H$2:$H$27,MATCH($C750,'Materials Master'!$A$2:$A$27,0)),IF($B750="Cardboard Recycling",INDEX('Materials Master'!$I$2:$I$27,MATCH($C750,'Materials Master'!$A$2:$A$27,0)),IF($B750="Paper Recycling",INDEX('Materials Master'!$J$2:$J$27,MATCH($C750,'Materials Master'!$A$2:$A$27,0)),IF($B750="Terracycle",INDEX('Materials Master'!$K$2:$K$27,MATCH($C750,'Materials Master'!$A$2:$A$27,0)),"No"))))))="Yes",INDEX('Materials Master'!$E$2:$E$27,MATCH($C750,'Materials Master'!$A$2:$A$27,0))="Yes",$B750&lt;&gt;"Trash"),1,0)</f>
        <v>0</v>
      </c>
      <c r="H750" s="0" t="str">
        <f aca="false">INDEX('Materials Master'!$E$2:$E$27,MATCH($C750,'Materials Master'!$A$2:$A$27,0))</f>
        <v>No</v>
      </c>
      <c r="I750" s="0" t="str">
        <f aca="false">IFERROR(INDEX(Areas!$C$2:$C$6,MATCH($A750,Areas!$B$2:$B$6,0)),"")</f>
        <v>Rest of Building</v>
      </c>
      <c r="J750" s="0" t="n">
        <f aca="false">IF(IF($B750="Trash",INDEX('Materials Master'!$F$2:$F$27,MATCH($C750,'Materials Master'!$A$2:$A$27,0)),IF($B750="GMPC Recycling",INDEX('Materials Master'!$G$2:$G$27,MATCH($C750,'Materials Master'!$A$2:$A$27,0)),IF($B750="Organics Recycling",INDEX('Materials Master'!$H$2:$H$27,MATCH($C750,'Materials Master'!$A$2:$A$27,0)),IF($B750="Cardboard Recycling",INDEX('Materials Master'!$I$2:$I$27,MATCH($C750,'Materials Master'!$A$2:$A$27,0)),IF($B750="Paper Recycling",INDEX('Materials Master'!$J$2:$J$27,MATCH($C750,'Materials Master'!$A$2:$A$27,0)),IF($B750="Terracycle",INDEX('Materials Master'!$K$2:$K$27,MATCH($C750,'Materials Master'!$A$2:$A$27,0)),"No"))))))="Yes",1,0)</f>
        <v>0</v>
      </c>
    </row>
    <row r="751" customFormat="false" ht="15" hidden="false" customHeight="false" outlineLevel="0" collapsed="false">
      <c r="A751" s="0" t="s">
        <v>100</v>
      </c>
      <c r="B751" s="0" t="s">
        <v>107</v>
      </c>
      <c r="C751" s="0" t="s">
        <v>76</v>
      </c>
      <c r="D751" s="0" t="str">
        <f aca="false">IFERROR(INDEX('Materials Master'!$B$2:$B$27,MATCH($C751,'Materials Master'!$A$2:$A$27,0)),"")</f>
        <v>Textiles</v>
      </c>
      <c r="E751" s="0" t="str">
        <f aca="false">IFERROR(INDEX('Materials Master'!$C$2:$C$27,MATCH($C751,'Materials Master'!$A$2:$A$27,0)),"")</f>
        <v>Unacceptable</v>
      </c>
      <c r="F751" s="0" t="n">
        <f aca="false">(SUMIFS(Fact_PreSortWeights!$E$2:$E$15,Fact_PreSortWeights!$C$2:$C$15,$A751,Fact_PreSortWeights!$B$2:$B$15,$B751,Fact_PreSortWeights!$F$2:$F$15,$C751))+(SUMIFS(Fact_SortedWeights!$E$2:$E$6,Fact_SortedWeights!$C$2:$C$6,$A751,Fact_SortedWeights!$B$2:$B$6,$B751,Fact_SortedWeights!$D$2:$D$6,$C751,Fact_SortedWeights!$L$2:$L$6,"Yes"))+IF((SUMIFS(Fact_SortedWeights!$E$2:$E$6,Fact_SortedWeights!$C$2:$C$6,$A751,Fact_SortedWeights!$B$2:$B$6,$B751,Fact_SortedWeights!$L$2:$L$6,"No"))=0,0,(SUMIFS(Fact_SortedWeights!$E$2:$E$6,Fact_SortedWeights!$C$2:$C$6,$A751,Fact_SortedWeights!$B$2:$B$6,$B751,Fact_SortedWeights!$D$2:$D$6,$C751,Fact_SortedWeights!$L$2:$L$6,"No"))/(SUMIFS(Fact_SortedWeights!$E$2:$E$6,Fact_SortedWeights!$C$2:$C$6,$A751,Fact_SortedWeights!$B$2:$B$6,$B751,Fact_SortedWeights!$L$2:$L$6,"No"))*((SUMIFS(Fact_PreSortWeights!$E$2:$E$15,Fact_PreSortWeights!$C$2:$C$15,$A751,Fact_PreSortWeights!$B$2:$B$15,$B751,Fact_PreSortWeights!$F$2:$F$15,""))-(SUMIFS(Fact_SortedWeights!$E$2:$E$6,Fact_SortedWeights!$C$2:$C$6,$A751,Fact_SortedWeights!$B$2:$B$6,$B751,Fact_SortedWeights!$L$2:$L$6,"Yes"))))</f>
        <v>0</v>
      </c>
      <c r="G751" s="0" t="n">
        <f aca="false">IF(AND(IF($B751="Trash",INDEX('Materials Master'!$F$2:$F$27,MATCH($C751,'Materials Master'!$A$2:$A$27,0)),IF($B751="GMPC Recycling",INDEX('Materials Master'!$G$2:$G$27,MATCH($C751,'Materials Master'!$A$2:$A$27,0)),IF($B751="Organics Recycling",INDEX('Materials Master'!$H$2:$H$27,MATCH($C751,'Materials Master'!$A$2:$A$27,0)),IF($B751="Cardboard Recycling",INDEX('Materials Master'!$I$2:$I$27,MATCH($C751,'Materials Master'!$A$2:$A$27,0)),IF($B751="Paper Recycling",INDEX('Materials Master'!$J$2:$J$27,MATCH($C751,'Materials Master'!$A$2:$A$27,0)),IF($B751="Terracycle",INDEX('Materials Master'!$K$2:$K$27,MATCH($C751,'Materials Master'!$A$2:$A$27,0)),"No"))))))="Yes",INDEX('Materials Master'!$E$2:$E$27,MATCH($C751,'Materials Master'!$A$2:$A$27,0))="Yes",$B751&lt;&gt;"Trash"),1,0)</f>
        <v>0</v>
      </c>
      <c r="H751" s="0" t="str">
        <f aca="false">INDEX('Materials Master'!$E$2:$E$27,MATCH($C751,'Materials Master'!$A$2:$A$27,0))</f>
        <v>No</v>
      </c>
      <c r="I751" s="0" t="str">
        <f aca="false">IFERROR(INDEX(Areas!$C$2:$C$6,MATCH($A751,Areas!$B$2:$B$6,0)),"")</f>
        <v>Rest of Building</v>
      </c>
      <c r="J751" s="0" t="n">
        <f aca="false">IF(IF($B751="Trash",INDEX('Materials Master'!$F$2:$F$27,MATCH($C751,'Materials Master'!$A$2:$A$27,0)),IF($B751="GMPC Recycling",INDEX('Materials Master'!$G$2:$G$27,MATCH($C751,'Materials Master'!$A$2:$A$27,0)),IF($B751="Organics Recycling",INDEX('Materials Master'!$H$2:$H$27,MATCH($C751,'Materials Master'!$A$2:$A$27,0)),IF($B751="Cardboard Recycling",INDEX('Materials Master'!$I$2:$I$27,MATCH($C751,'Materials Master'!$A$2:$A$27,0)),IF($B751="Paper Recycling",INDEX('Materials Master'!$J$2:$J$27,MATCH($C751,'Materials Master'!$A$2:$A$27,0)),IF($B751="Terracycle",INDEX('Materials Master'!$K$2:$K$27,MATCH($C751,'Materials Master'!$A$2:$A$27,0)),"No"))))))="Yes",1,0)</f>
        <v>0</v>
      </c>
    </row>
    <row r="752" customFormat="false" ht="15" hidden="false" customHeight="false" outlineLevel="0" collapsed="false">
      <c r="A752" s="0" t="s">
        <v>100</v>
      </c>
      <c r="B752" s="0" t="s">
        <v>107</v>
      </c>
      <c r="C752" s="0" t="s">
        <v>78</v>
      </c>
      <c r="D752" s="0" t="str">
        <f aca="false">IFERROR(INDEX('Materials Master'!$B$2:$B$27,MATCH($C752,'Materials Master'!$A$2:$A$27,0)),"")</f>
        <v>Other Unacceptable (specify)</v>
      </c>
      <c r="E752" s="0" t="str">
        <f aca="false">IFERROR(INDEX('Materials Master'!$C$2:$C$27,MATCH($C752,'Materials Master'!$A$2:$A$27,0)),"")</f>
        <v>Unacceptable</v>
      </c>
      <c r="F752" s="0" t="n">
        <f aca="false">(SUMIFS(Fact_PreSortWeights!$E$2:$E$15,Fact_PreSortWeights!$C$2:$C$15,$A752,Fact_PreSortWeights!$B$2:$B$15,$B752,Fact_PreSortWeights!$F$2:$F$15,$C752))+(SUMIFS(Fact_SortedWeights!$E$2:$E$6,Fact_SortedWeights!$C$2:$C$6,$A752,Fact_SortedWeights!$B$2:$B$6,$B752,Fact_SortedWeights!$D$2:$D$6,$C752,Fact_SortedWeights!$L$2:$L$6,"Yes"))+IF((SUMIFS(Fact_SortedWeights!$E$2:$E$6,Fact_SortedWeights!$C$2:$C$6,$A752,Fact_SortedWeights!$B$2:$B$6,$B752,Fact_SortedWeights!$L$2:$L$6,"No"))=0,0,(SUMIFS(Fact_SortedWeights!$E$2:$E$6,Fact_SortedWeights!$C$2:$C$6,$A752,Fact_SortedWeights!$B$2:$B$6,$B752,Fact_SortedWeights!$D$2:$D$6,$C752,Fact_SortedWeights!$L$2:$L$6,"No"))/(SUMIFS(Fact_SortedWeights!$E$2:$E$6,Fact_SortedWeights!$C$2:$C$6,$A752,Fact_SortedWeights!$B$2:$B$6,$B752,Fact_SortedWeights!$L$2:$L$6,"No"))*((SUMIFS(Fact_PreSortWeights!$E$2:$E$15,Fact_PreSortWeights!$C$2:$C$15,$A752,Fact_PreSortWeights!$B$2:$B$15,$B752,Fact_PreSortWeights!$F$2:$F$15,""))-(SUMIFS(Fact_SortedWeights!$E$2:$E$6,Fact_SortedWeights!$C$2:$C$6,$A752,Fact_SortedWeights!$B$2:$B$6,$B752,Fact_SortedWeights!$L$2:$L$6,"Yes"))))</f>
        <v>0</v>
      </c>
      <c r="G752" s="0" t="n">
        <f aca="false">IF(AND(IF($B752="Trash",INDEX('Materials Master'!$F$2:$F$27,MATCH($C752,'Materials Master'!$A$2:$A$27,0)),IF($B752="GMPC Recycling",INDEX('Materials Master'!$G$2:$G$27,MATCH($C752,'Materials Master'!$A$2:$A$27,0)),IF($B752="Organics Recycling",INDEX('Materials Master'!$H$2:$H$27,MATCH($C752,'Materials Master'!$A$2:$A$27,0)),IF($B752="Cardboard Recycling",INDEX('Materials Master'!$I$2:$I$27,MATCH($C752,'Materials Master'!$A$2:$A$27,0)),IF($B752="Paper Recycling",INDEX('Materials Master'!$J$2:$J$27,MATCH($C752,'Materials Master'!$A$2:$A$27,0)),IF($B752="Terracycle",INDEX('Materials Master'!$K$2:$K$27,MATCH($C752,'Materials Master'!$A$2:$A$27,0)),"No"))))))="Yes",INDEX('Materials Master'!$E$2:$E$27,MATCH($C752,'Materials Master'!$A$2:$A$27,0))="Yes",$B752&lt;&gt;"Trash"),1,0)</f>
        <v>0</v>
      </c>
      <c r="H752" s="0" t="str">
        <f aca="false">INDEX('Materials Master'!$E$2:$E$27,MATCH($C752,'Materials Master'!$A$2:$A$27,0))</f>
        <v>No</v>
      </c>
      <c r="I752" s="0" t="str">
        <f aca="false">IFERROR(INDEX(Areas!$C$2:$C$6,MATCH($A752,Areas!$B$2:$B$6,0)),"")</f>
        <v>Rest of Building</v>
      </c>
      <c r="J752" s="0" t="n">
        <f aca="false">IF(IF($B752="Trash",INDEX('Materials Master'!$F$2:$F$27,MATCH($C752,'Materials Master'!$A$2:$A$27,0)),IF($B752="GMPC Recycling",INDEX('Materials Master'!$G$2:$G$27,MATCH($C752,'Materials Master'!$A$2:$A$27,0)),IF($B752="Organics Recycling",INDEX('Materials Master'!$H$2:$H$27,MATCH($C752,'Materials Master'!$A$2:$A$27,0)),IF($B752="Cardboard Recycling",INDEX('Materials Master'!$I$2:$I$27,MATCH($C752,'Materials Master'!$A$2:$A$27,0)),IF($B752="Paper Recycling",INDEX('Materials Master'!$J$2:$J$27,MATCH($C752,'Materials Master'!$A$2:$A$27,0)),IF($B752="Terracycle",INDEX('Materials Master'!$K$2:$K$27,MATCH($C752,'Materials Master'!$A$2:$A$27,0)),"No"))))))="Yes",1,0)</f>
        <v>0</v>
      </c>
    </row>
    <row r="753" customFormat="false" ht="15" hidden="false" customHeight="false" outlineLevel="0" collapsed="false">
      <c r="A753" s="0" t="s">
        <v>100</v>
      </c>
      <c r="B753" s="0" t="s">
        <v>107</v>
      </c>
      <c r="C753" s="0" t="s">
        <v>80</v>
      </c>
      <c r="D753" s="0" t="str">
        <f aca="false">IFERROR(INDEX('Materials Master'!$B$2:$B$27,MATCH($C753,'Materials Master'!$A$2:$A$27,0)),"")</f>
        <v>Liquids</v>
      </c>
      <c r="E753" s="0" t="str">
        <f aca="false">IFERROR(INDEX('Materials Master'!$C$2:$C$27,MATCH($C753,'Materials Master'!$A$2:$A$27,0)),"")</f>
        <v>Unacceptable</v>
      </c>
      <c r="F753" s="0" t="n">
        <f aca="false">(SUMIFS(Fact_PreSortWeights!$E$2:$E$15,Fact_PreSortWeights!$C$2:$C$15,$A753,Fact_PreSortWeights!$B$2:$B$15,$B753,Fact_PreSortWeights!$F$2:$F$15,$C753))+(SUMIFS(Fact_SortedWeights!$E$2:$E$6,Fact_SortedWeights!$C$2:$C$6,$A753,Fact_SortedWeights!$B$2:$B$6,$B753,Fact_SortedWeights!$D$2:$D$6,$C753,Fact_SortedWeights!$L$2:$L$6,"Yes"))+IF((SUMIFS(Fact_SortedWeights!$E$2:$E$6,Fact_SortedWeights!$C$2:$C$6,$A753,Fact_SortedWeights!$B$2:$B$6,$B753,Fact_SortedWeights!$L$2:$L$6,"No"))=0,0,(SUMIFS(Fact_SortedWeights!$E$2:$E$6,Fact_SortedWeights!$C$2:$C$6,$A753,Fact_SortedWeights!$B$2:$B$6,$B753,Fact_SortedWeights!$D$2:$D$6,$C753,Fact_SortedWeights!$L$2:$L$6,"No"))/(SUMIFS(Fact_SortedWeights!$E$2:$E$6,Fact_SortedWeights!$C$2:$C$6,$A753,Fact_SortedWeights!$B$2:$B$6,$B753,Fact_SortedWeights!$L$2:$L$6,"No"))*((SUMIFS(Fact_PreSortWeights!$E$2:$E$15,Fact_PreSortWeights!$C$2:$C$15,$A753,Fact_PreSortWeights!$B$2:$B$15,$B753,Fact_PreSortWeights!$F$2:$F$15,""))-(SUMIFS(Fact_SortedWeights!$E$2:$E$6,Fact_SortedWeights!$C$2:$C$6,$A753,Fact_SortedWeights!$B$2:$B$6,$B753,Fact_SortedWeights!$L$2:$L$6,"Yes"))))</f>
        <v>0</v>
      </c>
      <c r="G753" s="0" t="n">
        <f aca="false">IF(AND(IF($B753="Trash",INDEX('Materials Master'!$F$2:$F$27,MATCH($C753,'Materials Master'!$A$2:$A$27,0)),IF($B753="GMPC Recycling",INDEX('Materials Master'!$G$2:$G$27,MATCH($C753,'Materials Master'!$A$2:$A$27,0)),IF($B753="Organics Recycling",INDEX('Materials Master'!$H$2:$H$27,MATCH($C753,'Materials Master'!$A$2:$A$27,0)),IF($B753="Cardboard Recycling",INDEX('Materials Master'!$I$2:$I$27,MATCH($C753,'Materials Master'!$A$2:$A$27,0)),IF($B753="Paper Recycling",INDEX('Materials Master'!$J$2:$J$27,MATCH($C753,'Materials Master'!$A$2:$A$27,0)),IF($B753="Terracycle",INDEX('Materials Master'!$K$2:$K$27,MATCH($C753,'Materials Master'!$A$2:$A$27,0)),"No"))))))="Yes",INDEX('Materials Master'!$E$2:$E$27,MATCH($C753,'Materials Master'!$A$2:$A$27,0))="Yes",$B753&lt;&gt;"Trash"),1,0)</f>
        <v>0</v>
      </c>
      <c r="H753" s="0" t="str">
        <f aca="false">INDEX('Materials Master'!$E$2:$E$27,MATCH($C753,'Materials Master'!$A$2:$A$27,0))</f>
        <v>No</v>
      </c>
      <c r="I753" s="0" t="str">
        <f aca="false">IFERROR(INDEX(Areas!$C$2:$C$6,MATCH($A753,Areas!$B$2:$B$6,0)),"")</f>
        <v>Rest of Building</v>
      </c>
      <c r="J753" s="0" t="n">
        <f aca="false">IF(IF($B753="Trash",INDEX('Materials Master'!$F$2:$F$27,MATCH($C753,'Materials Master'!$A$2:$A$27,0)),IF($B753="GMPC Recycling",INDEX('Materials Master'!$G$2:$G$27,MATCH($C753,'Materials Master'!$A$2:$A$27,0)),IF($B753="Organics Recycling",INDEX('Materials Master'!$H$2:$H$27,MATCH($C753,'Materials Master'!$A$2:$A$27,0)),IF($B753="Cardboard Recycling",INDEX('Materials Master'!$I$2:$I$27,MATCH($C753,'Materials Master'!$A$2:$A$27,0)),IF($B753="Paper Recycling",INDEX('Materials Master'!$J$2:$J$27,MATCH($C753,'Materials Master'!$A$2:$A$27,0)),IF($B753="Terracycle",INDEX('Materials Master'!$K$2:$K$27,MATCH($C753,'Materials Master'!$A$2:$A$27,0)),"No"))))))="Yes",1,0)</f>
        <v>0</v>
      </c>
    </row>
    <row r="754" customFormat="false" ht="15" hidden="false" customHeight="false" outlineLevel="0" collapsed="false">
      <c r="A754" s="0" t="s">
        <v>100</v>
      </c>
      <c r="B754" s="0" t="s">
        <v>107</v>
      </c>
      <c r="C754" s="0" t="s">
        <v>82</v>
      </c>
      <c r="D754" s="0" t="str">
        <f aca="false">IFERROR(INDEX('Materials Master'!$B$2:$B$27,MATCH($C754,'Materials Master'!$A$2:$A$27,0)),"")</f>
        <v>Snack Wrappers (Composites)</v>
      </c>
      <c r="E754" s="0" t="str">
        <f aca="false">IFERROR(INDEX('Materials Master'!$C$2:$C$27,MATCH($C754,'Materials Master'!$A$2:$A$27,0)),"")</f>
        <v>Other</v>
      </c>
      <c r="F754" s="0" t="n">
        <f aca="false">(SUMIFS(Fact_PreSortWeights!$E$2:$E$15,Fact_PreSortWeights!$C$2:$C$15,$A754,Fact_PreSortWeights!$B$2:$B$15,$B754,Fact_PreSortWeights!$F$2:$F$15,$C754))+(SUMIFS(Fact_SortedWeights!$E$2:$E$6,Fact_SortedWeights!$C$2:$C$6,$A754,Fact_SortedWeights!$B$2:$B$6,$B754,Fact_SortedWeights!$D$2:$D$6,$C754,Fact_SortedWeights!$L$2:$L$6,"Yes"))+IF((SUMIFS(Fact_SortedWeights!$E$2:$E$6,Fact_SortedWeights!$C$2:$C$6,$A754,Fact_SortedWeights!$B$2:$B$6,$B754,Fact_SortedWeights!$L$2:$L$6,"No"))=0,0,(SUMIFS(Fact_SortedWeights!$E$2:$E$6,Fact_SortedWeights!$C$2:$C$6,$A754,Fact_SortedWeights!$B$2:$B$6,$B754,Fact_SortedWeights!$D$2:$D$6,$C754,Fact_SortedWeights!$L$2:$L$6,"No"))/(SUMIFS(Fact_SortedWeights!$E$2:$E$6,Fact_SortedWeights!$C$2:$C$6,$A754,Fact_SortedWeights!$B$2:$B$6,$B754,Fact_SortedWeights!$L$2:$L$6,"No"))*((SUMIFS(Fact_PreSortWeights!$E$2:$E$15,Fact_PreSortWeights!$C$2:$C$15,$A754,Fact_PreSortWeights!$B$2:$B$15,$B754,Fact_PreSortWeights!$F$2:$F$15,""))-(SUMIFS(Fact_SortedWeights!$E$2:$E$6,Fact_SortedWeights!$C$2:$C$6,$A754,Fact_SortedWeights!$B$2:$B$6,$B754,Fact_SortedWeights!$L$2:$L$6,"Yes"))))</f>
        <v>0</v>
      </c>
      <c r="G754" s="0" t="n">
        <f aca="false">IF(AND(IF($B754="Trash",INDEX('Materials Master'!$F$2:$F$27,MATCH($C754,'Materials Master'!$A$2:$A$27,0)),IF($B754="GMPC Recycling",INDEX('Materials Master'!$G$2:$G$27,MATCH($C754,'Materials Master'!$A$2:$A$27,0)),IF($B754="Organics Recycling",INDEX('Materials Master'!$H$2:$H$27,MATCH($C754,'Materials Master'!$A$2:$A$27,0)),IF($B754="Cardboard Recycling",INDEX('Materials Master'!$I$2:$I$27,MATCH($C754,'Materials Master'!$A$2:$A$27,0)),IF($B754="Paper Recycling",INDEX('Materials Master'!$J$2:$J$27,MATCH($C754,'Materials Master'!$A$2:$A$27,0)),IF($B754="Terracycle",INDEX('Materials Master'!$K$2:$K$27,MATCH($C754,'Materials Master'!$A$2:$A$27,0)),"No"))))))="Yes",INDEX('Materials Master'!$E$2:$E$27,MATCH($C754,'Materials Master'!$A$2:$A$27,0))="Yes",$B754&lt;&gt;"Trash"),1,0)</f>
        <v>0</v>
      </c>
      <c r="H754" s="0" t="str">
        <f aca="false">INDEX('Materials Master'!$E$2:$E$27,MATCH($C754,'Materials Master'!$A$2:$A$27,0))</f>
        <v>Yes</v>
      </c>
      <c r="I754" s="0" t="str">
        <f aca="false">IFERROR(INDEX(Areas!$C$2:$C$6,MATCH($A754,Areas!$B$2:$B$6,0)),"")</f>
        <v>Rest of Building</v>
      </c>
      <c r="J754" s="0" t="n">
        <f aca="false">IF(IF($B754="Trash",INDEX('Materials Master'!$F$2:$F$27,MATCH($C754,'Materials Master'!$A$2:$A$27,0)),IF($B754="GMPC Recycling",INDEX('Materials Master'!$G$2:$G$27,MATCH($C754,'Materials Master'!$A$2:$A$27,0)),IF($B754="Organics Recycling",INDEX('Materials Master'!$H$2:$H$27,MATCH($C754,'Materials Master'!$A$2:$A$27,0)),IF($B754="Cardboard Recycling",INDEX('Materials Master'!$I$2:$I$27,MATCH($C754,'Materials Master'!$A$2:$A$27,0)),IF($B754="Paper Recycling",INDEX('Materials Master'!$J$2:$J$27,MATCH($C754,'Materials Master'!$A$2:$A$27,0)),IF($B754="Terracycle",INDEX('Materials Master'!$K$2:$K$27,MATCH($C754,'Materials Master'!$A$2:$A$27,0)),"No"))))))="Yes",1,0)</f>
        <v>0</v>
      </c>
    </row>
    <row r="755" customFormat="false" ht="15" hidden="false" customHeight="false" outlineLevel="0" collapsed="false">
      <c r="A755" s="0" t="s">
        <v>100</v>
      </c>
      <c r="B755" s="0" t="s">
        <v>107</v>
      </c>
      <c r="C755" s="0" t="s">
        <v>85</v>
      </c>
      <c r="D755" s="0" t="str">
        <f aca="false">IFERROR(INDEX('Materials Master'!$B$2:$B$27,MATCH($C755,'Materials Master'!$A$2:$A$27,0)),"")</f>
        <v>Other/Residual Materials</v>
      </c>
      <c r="E755" s="0" t="str">
        <f aca="false">IFERROR(INDEX('Materials Master'!$C$2:$C$27,MATCH($C755,'Materials Master'!$A$2:$A$27,0)),"")</f>
        <v>Other</v>
      </c>
      <c r="F755" s="0" t="n">
        <f aca="false">(SUMIFS(Fact_PreSortWeights!$E$2:$E$15,Fact_PreSortWeights!$C$2:$C$15,$A755,Fact_PreSortWeights!$B$2:$B$15,$B755,Fact_PreSortWeights!$F$2:$F$15,$C755))+(SUMIFS(Fact_SortedWeights!$E$2:$E$6,Fact_SortedWeights!$C$2:$C$6,$A755,Fact_SortedWeights!$B$2:$B$6,$B755,Fact_SortedWeights!$D$2:$D$6,$C755,Fact_SortedWeights!$L$2:$L$6,"Yes"))+IF((SUMIFS(Fact_SortedWeights!$E$2:$E$6,Fact_SortedWeights!$C$2:$C$6,$A755,Fact_SortedWeights!$B$2:$B$6,$B755,Fact_SortedWeights!$L$2:$L$6,"No"))=0,0,(SUMIFS(Fact_SortedWeights!$E$2:$E$6,Fact_SortedWeights!$C$2:$C$6,$A755,Fact_SortedWeights!$B$2:$B$6,$B755,Fact_SortedWeights!$D$2:$D$6,$C755,Fact_SortedWeights!$L$2:$L$6,"No"))/(SUMIFS(Fact_SortedWeights!$E$2:$E$6,Fact_SortedWeights!$C$2:$C$6,$A755,Fact_SortedWeights!$B$2:$B$6,$B755,Fact_SortedWeights!$L$2:$L$6,"No"))*((SUMIFS(Fact_PreSortWeights!$E$2:$E$15,Fact_PreSortWeights!$C$2:$C$15,$A755,Fact_PreSortWeights!$B$2:$B$15,$B755,Fact_PreSortWeights!$F$2:$F$15,""))-(SUMIFS(Fact_SortedWeights!$E$2:$E$6,Fact_SortedWeights!$C$2:$C$6,$A755,Fact_SortedWeights!$B$2:$B$6,$B755,Fact_SortedWeights!$L$2:$L$6,"Yes"))))</f>
        <v>0</v>
      </c>
      <c r="G755" s="0" t="n">
        <f aca="false">IF(AND(IF($B755="Trash",INDEX('Materials Master'!$F$2:$F$27,MATCH($C755,'Materials Master'!$A$2:$A$27,0)),IF($B755="GMPC Recycling",INDEX('Materials Master'!$G$2:$G$27,MATCH($C755,'Materials Master'!$A$2:$A$27,0)),IF($B755="Organics Recycling",INDEX('Materials Master'!$H$2:$H$27,MATCH($C755,'Materials Master'!$A$2:$A$27,0)),IF($B755="Cardboard Recycling",INDEX('Materials Master'!$I$2:$I$27,MATCH($C755,'Materials Master'!$A$2:$A$27,0)),IF($B755="Paper Recycling",INDEX('Materials Master'!$J$2:$J$27,MATCH($C755,'Materials Master'!$A$2:$A$27,0)),IF($B755="Terracycle",INDEX('Materials Master'!$K$2:$K$27,MATCH($C755,'Materials Master'!$A$2:$A$27,0)),"No"))))))="Yes",INDEX('Materials Master'!$E$2:$E$27,MATCH($C755,'Materials Master'!$A$2:$A$27,0))="Yes",$B755&lt;&gt;"Trash"),1,0)</f>
        <v>0</v>
      </c>
      <c r="H755" s="0" t="str">
        <f aca="false">INDEX('Materials Master'!$E$2:$E$27,MATCH($C755,'Materials Master'!$A$2:$A$27,0))</f>
        <v>No</v>
      </c>
      <c r="I755" s="0" t="str">
        <f aca="false">IFERROR(INDEX(Areas!$C$2:$C$6,MATCH($A755,Areas!$B$2:$B$6,0)),"")</f>
        <v>Rest of Building</v>
      </c>
      <c r="J755" s="0" t="n">
        <f aca="false">IF(IF($B755="Trash",INDEX('Materials Master'!$F$2:$F$27,MATCH($C755,'Materials Master'!$A$2:$A$27,0)),IF($B755="GMPC Recycling",INDEX('Materials Master'!$G$2:$G$27,MATCH($C755,'Materials Master'!$A$2:$A$27,0)),IF($B755="Organics Recycling",INDEX('Materials Master'!$H$2:$H$27,MATCH($C755,'Materials Master'!$A$2:$A$27,0)),IF($B755="Cardboard Recycling",INDEX('Materials Master'!$I$2:$I$27,MATCH($C755,'Materials Master'!$A$2:$A$27,0)),IF($B755="Paper Recycling",INDEX('Materials Master'!$J$2:$J$27,MATCH($C755,'Materials Master'!$A$2:$A$27,0)),IF($B755="Terracycle",INDEX('Materials Master'!$K$2:$K$27,MATCH($C755,'Materials Master'!$A$2:$A$27,0)),"No"))))))="Yes",1,0)</f>
        <v>0</v>
      </c>
    </row>
    <row r="756" customFormat="false" ht="15" hidden="false" customHeight="false" outlineLevel="0" collapsed="false">
      <c r="A756" s="0" t="s">
        <v>100</v>
      </c>
      <c r="B756" s="0" t="s">
        <v>108</v>
      </c>
      <c r="C756" s="0" t="s">
        <v>26</v>
      </c>
      <c r="D756" s="0" t="str">
        <f aca="false">IFERROR(INDEX('Materials Master'!$B$2:$B$27,MATCH($C756,'Materials Master'!$A$2:$A$27,0)),"")</f>
        <v>Corrugated Cardboard</v>
      </c>
      <c r="E756" s="0" t="str">
        <f aca="false">IFERROR(INDEX('Materials Master'!$C$2:$C$27,MATCH($C756,'Materials Master'!$A$2:$A$27,0)),"")</f>
        <v>Fibers</v>
      </c>
      <c r="F756" s="0" t="n">
        <f aca="false">(SUMIFS(Fact_PreSortWeights!$E$2:$E$15,Fact_PreSortWeights!$C$2:$C$15,$A756,Fact_PreSortWeights!$B$2:$B$15,$B756,Fact_PreSortWeights!$F$2:$F$15,$C756))+(SUMIFS(Fact_SortedWeights!$E$2:$E$6,Fact_SortedWeights!$C$2:$C$6,$A756,Fact_SortedWeights!$B$2:$B$6,$B756,Fact_SortedWeights!$D$2:$D$6,$C756,Fact_SortedWeights!$L$2:$L$6,"Yes"))+IF((SUMIFS(Fact_SortedWeights!$E$2:$E$6,Fact_SortedWeights!$C$2:$C$6,$A756,Fact_SortedWeights!$B$2:$B$6,$B756,Fact_SortedWeights!$L$2:$L$6,"No"))=0,0,(SUMIFS(Fact_SortedWeights!$E$2:$E$6,Fact_SortedWeights!$C$2:$C$6,$A756,Fact_SortedWeights!$B$2:$B$6,$B756,Fact_SortedWeights!$D$2:$D$6,$C756,Fact_SortedWeights!$L$2:$L$6,"No"))/(SUMIFS(Fact_SortedWeights!$E$2:$E$6,Fact_SortedWeights!$C$2:$C$6,$A756,Fact_SortedWeights!$B$2:$B$6,$B756,Fact_SortedWeights!$L$2:$L$6,"No"))*((SUMIFS(Fact_PreSortWeights!$E$2:$E$15,Fact_PreSortWeights!$C$2:$C$15,$A756,Fact_PreSortWeights!$B$2:$B$15,$B756,Fact_PreSortWeights!$F$2:$F$15,""))-(SUMIFS(Fact_SortedWeights!$E$2:$E$6,Fact_SortedWeights!$C$2:$C$6,$A756,Fact_SortedWeights!$B$2:$B$6,$B756,Fact_SortedWeights!$L$2:$L$6,"Yes"))))</f>
        <v>0</v>
      </c>
      <c r="G756" s="0" t="n">
        <f aca="false">IF(AND(IF($B756="Trash",INDEX('Materials Master'!$F$2:$F$27,MATCH($C756,'Materials Master'!$A$2:$A$27,0)),IF($B756="GMPC Recycling",INDEX('Materials Master'!$G$2:$G$27,MATCH($C756,'Materials Master'!$A$2:$A$27,0)),IF($B756="Organics Recycling",INDEX('Materials Master'!$H$2:$H$27,MATCH($C756,'Materials Master'!$A$2:$A$27,0)),IF($B756="Cardboard Recycling",INDEX('Materials Master'!$I$2:$I$27,MATCH($C756,'Materials Master'!$A$2:$A$27,0)),IF($B756="Paper Recycling",INDEX('Materials Master'!$J$2:$J$27,MATCH($C756,'Materials Master'!$A$2:$A$27,0)),IF($B756="Terracycle",INDEX('Materials Master'!$K$2:$K$27,MATCH($C756,'Materials Master'!$A$2:$A$27,0)),"No"))))))="Yes",INDEX('Materials Master'!$E$2:$E$27,MATCH($C756,'Materials Master'!$A$2:$A$27,0))="Yes",$B756&lt;&gt;"Trash"),1,0)</f>
        <v>0</v>
      </c>
      <c r="H756" s="0" t="str">
        <f aca="false">INDEX('Materials Master'!$E$2:$E$27,MATCH($C756,'Materials Master'!$A$2:$A$27,0))</f>
        <v>Yes</v>
      </c>
      <c r="I756" s="0" t="str">
        <f aca="false">IFERROR(INDEX(Areas!$C$2:$C$6,MATCH($A756,Areas!$B$2:$B$6,0)),"")</f>
        <v>Rest of Building</v>
      </c>
      <c r="J756" s="0" t="n">
        <f aca="false">IF(IF($B756="Trash",INDEX('Materials Master'!$F$2:$F$27,MATCH($C756,'Materials Master'!$A$2:$A$27,0)),IF($B756="GMPC Recycling",INDEX('Materials Master'!$G$2:$G$27,MATCH($C756,'Materials Master'!$A$2:$A$27,0)),IF($B756="Organics Recycling",INDEX('Materials Master'!$H$2:$H$27,MATCH($C756,'Materials Master'!$A$2:$A$27,0)),IF($B756="Cardboard Recycling",INDEX('Materials Master'!$I$2:$I$27,MATCH($C756,'Materials Master'!$A$2:$A$27,0)),IF($B756="Paper Recycling",INDEX('Materials Master'!$J$2:$J$27,MATCH($C756,'Materials Master'!$A$2:$A$27,0)),IF($B756="Terracycle",INDEX('Materials Master'!$K$2:$K$27,MATCH($C756,'Materials Master'!$A$2:$A$27,0)),"No"))))))="Yes",1,0)</f>
        <v>0</v>
      </c>
    </row>
    <row r="757" customFormat="false" ht="15" hidden="false" customHeight="false" outlineLevel="0" collapsed="false">
      <c r="A757" s="0" t="s">
        <v>100</v>
      </c>
      <c r="B757" s="0" t="s">
        <v>108</v>
      </c>
      <c r="C757" s="0" t="s">
        <v>31</v>
      </c>
      <c r="D757" s="0" t="str">
        <f aca="false">IFERROR(INDEX('Materials Master'!$B$2:$B$27,MATCH($C757,'Materials Master'!$A$2:$A$27,0)),"")</f>
        <v>Soiled Cardboard</v>
      </c>
      <c r="E757" s="0" t="str">
        <f aca="false">IFERROR(INDEX('Materials Master'!$C$2:$C$27,MATCH($C757,'Materials Master'!$A$2:$A$27,0)),"")</f>
        <v>Fibers</v>
      </c>
      <c r="F757" s="0" t="n">
        <f aca="false">(SUMIFS(Fact_PreSortWeights!$E$2:$E$15,Fact_PreSortWeights!$C$2:$C$15,$A757,Fact_PreSortWeights!$B$2:$B$15,$B757,Fact_PreSortWeights!$F$2:$F$15,$C757))+(SUMIFS(Fact_SortedWeights!$E$2:$E$6,Fact_SortedWeights!$C$2:$C$6,$A757,Fact_SortedWeights!$B$2:$B$6,$B757,Fact_SortedWeights!$D$2:$D$6,$C757,Fact_SortedWeights!$L$2:$L$6,"Yes"))+IF((SUMIFS(Fact_SortedWeights!$E$2:$E$6,Fact_SortedWeights!$C$2:$C$6,$A757,Fact_SortedWeights!$B$2:$B$6,$B757,Fact_SortedWeights!$L$2:$L$6,"No"))=0,0,(SUMIFS(Fact_SortedWeights!$E$2:$E$6,Fact_SortedWeights!$C$2:$C$6,$A757,Fact_SortedWeights!$B$2:$B$6,$B757,Fact_SortedWeights!$D$2:$D$6,$C757,Fact_SortedWeights!$L$2:$L$6,"No"))/(SUMIFS(Fact_SortedWeights!$E$2:$E$6,Fact_SortedWeights!$C$2:$C$6,$A757,Fact_SortedWeights!$B$2:$B$6,$B757,Fact_SortedWeights!$L$2:$L$6,"No"))*((SUMIFS(Fact_PreSortWeights!$E$2:$E$15,Fact_PreSortWeights!$C$2:$C$15,$A757,Fact_PreSortWeights!$B$2:$B$15,$B757,Fact_PreSortWeights!$F$2:$F$15,""))-(SUMIFS(Fact_SortedWeights!$E$2:$E$6,Fact_SortedWeights!$C$2:$C$6,$A757,Fact_SortedWeights!$B$2:$B$6,$B757,Fact_SortedWeights!$L$2:$L$6,"Yes"))))</f>
        <v>0</v>
      </c>
      <c r="G757" s="0" t="n">
        <f aca="false">IF(AND(IF($B757="Trash",INDEX('Materials Master'!$F$2:$F$27,MATCH($C757,'Materials Master'!$A$2:$A$27,0)),IF($B757="GMPC Recycling",INDEX('Materials Master'!$G$2:$G$27,MATCH($C757,'Materials Master'!$A$2:$A$27,0)),IF($B757="Organics Recycling",INDEX('Materials Master'!$H$2:$H$27,MATCH($C757,'Materials Master'!$A$2:$A$27,0)),IF($B757="Cardboard Recycling",INDEX('Materials Master'!$I$2:$I$27,MATCH($C757,'Materials Master'!$A$2:$A$27,0)),IF($B757="Paper Recycling",INDEX('Materials Master'!$J$2:$J$27,MATCH($C757,'Materials Master'!$A$2:$A$27,0)),IF($B757="Terracycle",INDEX('Materials Master'!$K$2:$K$27,MATCH($C757,'Materials Master'!$A$2:$A$27,0)),"No"))))))="Yes",INDEX('Materials Master'!$E$2:$E$27,MATCH($C757,'Materials Master'!$A$2:$A$27,0))="Yes",$B757&lt;&gt;"Trash"),1,0)</f>
        <v>0</v>
      </c>
      <c r="H757" s="0" t="str">
        <f aca="false">INDEX('Materials Master'!$E$2:$E$27,MATCH($C757,'Materials Master'!$A$2:$A$27,0))</f>
        <v>No</v>
      </c>
      <c r="I757" s="0" t="str">
        <f aca="false">IFERROR(INDEX(Areas!$C$2:$C$6,MATCH($A757,Areas!$B$2:$B$6,0)),"")</f>
        <v>Rest of Building</v>
      </c>
      <c r="J757" s="0" t="n">
        <f aca="false">IF(IF($B757="Trash",INDEX('Materials Master'!$F$2:$F$27,MATCH($C757,'Materials Master'!$A$2:$A$27,0)),IF($B757="GMPC Recycling",INDEX('Materials Master'!$G$2:$G$27,MATCH($C757,'Materials Master'!$A$2:$A$27,0)),IF($B757="Organics Recycling",INDEX('Materials Master'!$H$2:$H$27,MATCH($C757,'Materials Master'!$A$2:$A$27,0)),IF($B757="Cardboard Recycling",INDEX('Materials Master'!$I$2:$I$27,MATCH($C757,'Materials Master'!$A$2:$A$27,0)),IF($B757="Paper Recycling",INDEX('Materials Master'!$J$2:$J$27,MATCH($C757,'Materials Master'!$A$2:$A$27,0)),IF($B757="Terracycle",INDEX('Materials Master'!$K$2:$K$27,MATCH($C757,'Materials Master'!$A$2:$A$27,0)),"No"))))))="Yes",1,0)</f>
        <v>0</v>
      </c>
    </row>
    <row r="758" customFormat="false" ht="15" hidden="false" customHeight="false" outlineLevel="0" collapsed="false">
      <c r="A758" s="0" t="s">
        <v>100</v>
      </c>
      <c r="B758" s="0" t="s">
        <v>108</v>
      </c>
      <c r="C758" s="0" t="s">
        <v>33</v>
      </c>
      <c r="D758" s="0" t="str">
        <f aca="false">IFERROR(INDEX('Materials Master'!$B$2:$B$27,MATCH($C758,'Materials Master'!$A$2:$A$27,0)),"")</f>
        <v>Waxed Cardboard</v>
      </c>
      <c r="E758" s="0" t="str">
        <f aca="false">IFERROR(INDEX('Materials Master'!$C$2:$C$27,MATCH($C758,'Materials Master'!$A$2:$A$27,0)),"")</f>
        <v>Fibers</v>
      </c>
      <c r="F758" s="0" t="n">
        <f aca="false">(SUMIFS(Fact_PreSortWeights!$E$2:$E$15,Fact_PreSortWeights!$C$2:$C$15,$A758,Fact_PreSortWeights!$B$2:$B$15,$B758,Fact_PreSortWeights!$F$2:$F$15,$C758))+(SUMIFS(Fact_SortedWeights!$E$2:$E$6,Fact_SortedWeights!$C$2:$C$6,$A758,Fact_SortedWeights!$B$2:$B$6,$B758,Fact_SortedWeights!$D$2:$D$6,$C758,Fact_SortedWeights!$L$2:$L$6,"Yes"))+IF((SUMIFS(Fact_SortedWeights!$E$2:$E$6,Fact_SortedWeights!$C$2:$C$6,$A758,Fact_SortedWeights!$B$2:$B$6,$B758,Fact_SortedWeights!$L$2:$L$6,"No"))=0,0,(SUMIFS(Fact_SortedWeights!$E$2:$E$6,Fact_SortedWeights!$C$2:$C$6,$A758,Fact_SortedWeights!$B$2:$B$6,$B758,Fact_SortedWeights!$D$2:$D$6,$C758,Fact_SortedWeights!$L$2:$L$6,"No"))/(SUMIFS(Fact_SortedWeights!$E$2:$E$6,Fact_SortedWeights!$C$2:$C$6,$A758,Fact_SortedWeights!$B$2:$B$6,$B758,Fact_SortedWeights!$L$2:$L$6,"No"))*((SUMIFS(Fact_PreSortWeights!$E$2:$E$15,Fact_PreSortWeights!$C$2:$C$15,$A758,Fact_PreSortWeights!$B$2:$B$15,$B758,Fact_PreSortWeights!$F$2:$F$15,""))-(SUMIFS(Fact_SortedWeights!$E$2:$E$6,Fact_SortedWeights!$C$2:$C$6,$A758,Fact_SortedWeights!$B$2:$B$6,$B758,Fact_SortedWeights!$L$2:$L$6,"Yes"))))</f>
        <v>0</v>
      </c>
      <c r="G758" s="0" t="n">
        <f aca="false">IF(AND(IF($B758="Trash",INDEX('Materials Master'!$F$2:$F$27,MATCH($C758,'Materials Master'!$A$2:$A$27,0)),IF($B758="GMPC Recycling",INDEX('Materials Master'!$G$2:$G$27,MATCH($C758,'Materials Master'!$A$2:$A$27,0)),IF($B758="Organics Recycling",INDEX('Materials Master'!$H$2:$H$27,MATCH($C758,'Materials Master'!$A$2:$A$27,0)),IF($B758="Cardboard Recycling",INDEX('Materials Master'!$I$2:$I$27,MATCH($C758,'Materials Master'!$A$2:$A$27,0)),IF($B758="Paper Recycling",INDEX('Materials Master'!$J$2:$J$27,MATCH($C758,'Materials Master'!$A$2:$A$27,0)),IF($B758="Terracycle",INDEX('Materials Master'!$K$2:$K$27,MATCH($C758,'Materials Master'!$A$2:$A$27,0)),"No"))))))="Yes",INDEX('Materials Master'!$E$2:$E$27,MATCH($C758,'Materials Master'!$A$2:$A$27,0))="Yes",$B758&lt;&gt;"Trash"),1,0)</f>
        <v>0</v>
      </c>
      <c r="H758" s="0" t="str">
        <f aca="false">INDEX('Materials Master'!$E$2:$E$27,MATCH($C758,'Materials Master'!$A$2:$A$27,0))</f>
        <v>No</v>
      </c>
      <c r="I758" s="0" t="str">
        <f aca="false">IFERROR(INDEX(Areas!$C$2:$C$6,MATCH($A758,Areas!$B$2:$B$6,0)),"")</f>
        <v>Rest of Building</v>
      </c>
      <c r="J758" s="0" t="n">
        <f aca="false">IF(IF($B758="Trash",INDEX('Materials Master'!$F$2:$F$27,MATCH($C758,'Materials Master'!$A$2:$A$27,0)),IF($B758="GMPC Recycling",INDEX('Materials Master'!$G$2:$G$27,MATCH($C758,'Materials Master'!$A$2:$A$27,0)),IF($B758="Organics Recycling",INDEX('Materials Master'!$H$2:$H$27,MATCH($C758,'Materials Master'!$A$2:$A$27,0)),IF($B758="Cardboard Recycling",INDEX('Materials Master'!$I$2:$I$27,MATCH($C758,'Materials Master'!$A$2:$A$27,0)),IF($B758="Paper Recycling",INDEX('Materials Master'!$J$2:$J$27,MATCH($C758,'Materials Master'!$A$2:$A$27,0)),IF($B758="Terracycle",INDEX('Materials Master'!$K$2:$K$27,MATCH($C758,'Materials Master'!$A$2:$A$27,0)),"No"))))))="Yes",1,0)</f>
        <v>0</v>
      </c>
    </row>
    <row r="759" customFormat="false" ht="15" hidden="false" customHeight="false" outlineLevel="0" collapsed="false">
      <c r="A759" s="0" t="s">
        <v>100</v>
      </c>
      <c r="B759" s="0" t="s">
        <v>108</v>
      </c>
      <c r="C759" s="0" t="s">
        <v>35</v>
      </c>
      <c r="D759" s="0" t="str">
        <f aca="false">IFERROR(INDEX('Materials Master'!$B$2:$B$27,MATCH($C759,'Materials Master'!$A$2:$A$27,0)),"")</f>
        <v>Mixed Paper</v>
      </c>
      <c r="E759" s="0" t="str">
        <f aca="false">IFERROR(INDEX('Materials Master'!$C$2:$C$27,MATCH($C759,'Materials Master'!$A$2:$A$27,0)),"")</f>
        <v>Fibers</v>
      </c>
      <c r="F759" s="0" t="n">
        <f aca="false">(SUMIFS(Fact_PreSortWeights!$E$2:$E$15,Fact_PreSortWeights!$C$2:$C$15,$A759,Fact_PreSortWeights!$B$2:$B$15,$B759,Fact_PreSortWeights!$F$2:$F$15,$C759))+(SUMIFS(Fact_SortedWeights!$E$2:$E$6,Fact_SortedWeights!$C$2:$C$6,$A759,Fact_SortedWeights!$B$2:$B$6,$B759,Fact_SortedWeights!$D$2:$D$6,$C759,Fact_SortedWeights!$L$2:$L$6,"Yes"))+IF((SUMIFS(Fact_SortedWeights!$E$2:$E$6,Fact_SortedWeights!$C$2:$C$6,$A759,Fact_SortedWeights!$B$2:$B$6,$B759,Fact_SortedWeights!$L$2:$L$6,"No"))=0,0,(SUMIFS(Fact_SortedWeights!$E$2:$E$6,Fact_SortedWeights!$C$2:$C$6,$A759,Fact_SortedWeights!$B$2:$B$6,$B759,Fact_SortedWeights!$D$2:$D$6,$C759,Fact_SortedWeights!$L$2:$L$6,"No"))/(SUMIFS(Fact_SortedWeights!$E$2:$E$6,Fact_SortedWeights!$C$2:$C$6,$A759,Fact_SortedWeights!$B$2:$B$6,$B759,Fact_SortedWeights!$L$2:$L$6,"No"))*((SUMIFS(Fact_PreSortWeights!$E$2:$E$15,Fact_PreSortWeights!$C$2:$C$15,$A759,Fact_PreSortWeights!$B$2:$B$15,$B759,Fact_PreSortWeights!$F$2:$F$15,""))-(SUMIFS(Fact_SortedWeights!$E$2:$E$6,Fact_SortedWeights!$C$2:$C$6,$A759,Fact_SortedWeights!$B$2:$B$6,$B759,Fact_SortedWeights!$L$2:$L$6,"Yes"))))</f>
        <v>0</v>
      </c>
      <c r="G759" s="0" t="n">
        <f aca="false">IF(AND(IF($B759="Trash",INDEX('Materials Master'!$F$2:$F$27,MATCH($C759,'Materials Master'!$A$2:$A$27,0)),IF($B759="GMPC Recycling",INDEX('Materials Master'!$G$2:$G$27,MATCH($C759,'Materials Master'!$A$2:$A$27,0)),IF($B759="Organics Recycling",INDEX('Materials Master'!$H$2:$H$27,MATCH($C759,'Materials Master'!$A$2:$A$27,0)),IF($B759="Cardboard Recycling",INDEX('Materials Master'!$I$2:$I$27,MATCH($C759,'Materials Master'!$A$2:$A$27,0)),IF($B759="Paper Recycling",INDEX('Materials Master'!$J$2:$J$27,MATCH($C759,'Materials Master'!$A$2:$A$27,0)),IF($B759="Terracycle",INDEX('Materials Master'!$K$2:$K$27,MATCH($C759,'Materials Master'!$A$2:$A$27,0)),"No"))))))="Yes",INDEX('Materials Master'!$E$2:$E$27,MATCH($C759,'Materials Master'!$A$2:$A$27,0))="Yes",$B759&lt;&gt;"Trash"),1,0)</f>
        <v>0</v>
      </c>
      <c r="H759" s="0" t="str">
        <f aca="false">INDEX('Materials Master'!$E$2:$E$27,MATCH($C759,'Materials Master'!$A$2:$A$27,0))</f>
        <v>Yes</v>
      </c>
      <c r="I759" s="0" t="str">
        <f aca="false">IFERROR(INDEX(Areas!$C$2:$C$6,MATCH($A759,Areas!$B$2:$B$6,0)),"")</f>
        <v>Rest of Building</v>
      </c>
      <c r="J759" s="0" t="n">
        <f aca="false">IF(IF($B759="Trash",INDEX('Materials Master'!$F$2:$F$27,MATCH($C759,'Materials Master'!$A$2:$A$27,0)),IF($B759="GMPC Recycling",INDEX('Materials Master'!$G$2:$G$27,MATCH($C759,'Materials Master'!$A$2:$A$27,0)),IF($B759="Organics Recycling",INDEX('Materials Master'!$H$2:$H$27,MATCH($C759,'Materials Master'!$A$2:$A$27,0)),IF($B759="Cardboard Recycling",INDEX('Materials Master'!$I$2:$I$27,MATCH($C759,'Materials Master'!$A$2:$A$27,0)),IF($B759="Paper Recycling",INDEX('Materials Master'!$J$2:$J$27,MATCH($C759,'Materials Master'!$A$2:$A$27,0)),IF($B759="Terracycle",INDEX('Materials Master'!$K$2:$K$27,MATCH($C759,'Materials Master'!$A$2:$A$27,0)),"No"))))))="Yes",1,0)</f>
        <v>0</v>
      </c>
    </row>
    <row r="760" customFormat="false" ht="15" hidden="false" customHeight="false" outlineLevel="0" collapsed="false">
      <c r="A760" s="0" t="s">
        <v>100</v>
      </c>
      <c r="B760" s="0" t="s">
        <v>108</v>
      </c>
      <c r="C760" s="0" t="s">
        <v>37</v>
      </c>
      <c r="D760" s="0" t="str">
        <f aca="false">IFERROR(INDEX('Materials Master'!$B$2:$B$27,MATCH($C760,'Materials Master'!$A$2:$A$27,0)),"")</f>
        <v>Soiled Paper</v>
      </c>
      <c r="E760" s="0" t="str">
        <f aca="false">IFERROR(INDEX('Materials Master'!$C$2:$C$27,MATCH($C760,'Materials Master'!$A$2:$A$27,0)),"")</f>
        <v>Fibers</v>
      </c>
      <c r="F760" s="0" t="n">
        <f aca="false">(SUMIFS(Fact_PreSortWeights!$E$2:$E$15,Fact_PreSortWeights!$C$2:$C$15,$A760,Fact_PreSortWeights!$B$2:$B$15,$B760,Fact_PreSortWeights!$F$2:$F$15,$C760))+(SUMIFS(Fact_SortedWeights!$E$2:$E$6,Fact_SortedWeights!$C$2:$C$6,$A760,Fact_SortedWeights!$B$2:$B$6,$B760,Fact_SortedWeights!$D$2:$D$6,$C760,Fact_SortedWeights!$L$2:$L$6,"Yes"))+IF((SUMIFS(Fact_SortedWeights!$E$2:$E$6,Fact_SortedWeights!$C$2:$C$6,$A760,Fact_SortedWeights!$B$2:$B$6,$B760,Fact_SortedWeights!$L$2:$L$6,"No"))=0,0,(SUMIFS(Fact_SortedWeights!$E$2:$E$6,Fact_SortedWeights!$C$2:$C$6,$A760,Fact_SortedWeights!$B$2:$B$6,$B760,Fact_SortedWeights!$D$2:$D$6,$C760,Fact_SortedWeights!$L$2:$L$6,"No"))/(SUMIFS(Fact_SortedWeights!$E$2:$E$6,Fact_SortedWeights!$C$2:$C$6,$A760,Fact_SortedWeights!$B$2:$B$6,$B760,Fact_SortedWeights!$L$2:$L$6,"No"))*((SUMIFS(Fact_PreSortWeights!$E$2:$E$15,Fact_PreSortWeights!$C$2:$C$15,$A760,Fact_PreSortWeights!$B$2:$B$15,$B760,Fact_PreSortWeights!$F$2:$F$15,""))-(SUMIFS(Fact_SortedWeights!$E$2:$E$6,Fact_SortedWeights!$C$2:$C$6,$A760,Fact_SortedWeights!$B$2:$B$6,$B760,Fact_SortedWeights!$L$2:$L$6,"Yes"))))</f>
        <v>0</v>
      </c>
      <c r="G760" s="0" t="n">
        <f aca="false">IF(AND(IF($B760="Trash",INDEX('Materials Master'!$F$2:$F$27,MATCH($C760,'Materials Master'!$A$2:$A$27,0)),IF($B760="GMPC Recycling",INDEX('Materials Master'!$G$2:$G$27,MATCH($C760,'Materials Master'!$A$2:$A$27,0)),IF($B760="Organics Recycling",INDEX('Materials Master'!$H$2:$H$27,MATCH($C760,'Materials Master'!$A$2:$A$27,0)),IF($B760="Cardboard Recycling",INDEX('Materials Master'!$I$2:$I$27,MATCH($C760,'Materials Master'!$A$2:$A$27,0)),IF($B760="Paper Recycling",INDEX('Materials Master'!$J$2:$J$27,MATCH($C760,'Materials Master'!$A$2:$A$27,0)),IF($B760="Terracycle",INDEX('Materials Master'!$K$2:$K$27,MATCH($C760,'Materials Master'!$A$2:$A$27,0)),"No"))))))="Yes",INDEX('Materials Master'!$E$2:$E$27,MATCH($C760,'Materials Master'!$A$2:$A$27,0))="Yes",$B760&lt;&gt;"Trash"),1,0)</f>
        <v>0</v>
      </c>
      <c r="H760" s="0" t="str">
        <f aca="false">INDEX('Materials Master'!$E$2:$E$27,MATCH($C760,'Materials Master'!$A$2:$A$27,0))</f>
        <v>No</v>
      </c>
      <c r="I760" s="0" t="str">
        <f aca="false">IFERROR(INDEX(Areas!$C$2:$C$6,MATCH($A760,Areas!$B$2:$B$6,0)),"")</f>
        <v>Rest of Building</v>
      </c>
      <c r="J760" s="0" t="n">
        <f aca="false">IF(IF($B760="Trash",INDEX('Materials Master'!$F$2:$F$27,MATCH($C760,'Materials Master'!$A$2:$A$27,0)),IF($B760="GMPC Recycling",INDEX('Materials Master'!$G$2:$G$27,MATCH($C760,'Materials Master'!$A$2:$A$27,0)),IF($B760="Organics Recycling",INDEX('Materials Master'!$H$2:$H$27,MATCH($C760,'Materials Master'!$A$2:$A$27,0)),IF($B760="Cardboard Recycling",INDEX('Materials Master'!$I$2:$I$27,MATCH($C760,'Materials Master'!$A$2:$A$27,0)),IF($B760="Paper Recycling",INDEX('Materials Master'!$J$2:$J$27,MATCH($C760,'Materials Master'!$A$2:$A$27,0)),IF($B760="Terracycle",INDEX('Materials Master'!$K$2:$K$27,MATCH($C760,'Materials Master'!$A$2:$A$27,0)),"No"))))))="Yes",1,0)</f>
        <v>0</v>
      </c>
    </row>
    <row r="761" customFormat="false" ht="15" hidden="false" customHeight="false" outlineLevel="0" collapsed="false">
      <c r="A761" s="0" t="s">
        <v>100</v>
      </c>
      <c r="B761" s="0" t="s">
        <v>108</v>
      </c>
      <c r="C761" s="0" t="s">
        <v>39</v>
      </c>
      <c r="D761" s="0" t="str">
        <f aca="false">IFERROR(INDEX('Materials Master'!$B$2:$B$27,MATCH($C761,'Materials Master'!$A$2:$A$27,0)),"")</f>
        <v>Beverage Cartons</v>
      </c>
      <c r="E761" s="0" t="str">
        <f aca="false">IFERROR(INDEX('Materials Master'!$C$2:$C$27,MATCH($C761,'Materials Master'!$A$2:$A$27,0)),"")</f>
        <v>Fibers</v>
      </c>
      <c r="F761" s="0" t="n">
        <f aca="false">(SUMIFS(Fact_PreSortWeights!$E$2:$E$15,Fact_PreSortWeights!$C$2:$C$15,$A761,Fact_PreSortWeights!$B$2:$B$15,$B761,Fact_PreSortWeights!$F$2:$F$15,$C761))+(SUMIFS(Fact_SortedWeights!$E$2:$E$6,Fact_SortedWeights!$C$2:$C$6,$A761,Fact_SortedWeights!$B$2:$B$6,$B761,Fact_SortedWeights!$D$2:$D$6,$C761,Fact_SortedWeights!$L$2:$L$6,"Yes"))+IF((SUMIFS(Fact_SortedWeights!$E$2:$E$6,Fact_SortedWeights!$C$2:$C$6,$A761,Fact_SortedWeights!$B$2:$B$6,$B761,Fact_SortedWeights!$L$2:$L$6,"No"))=0,0,(SUMIFS(Fact_SortedWeights!$E$2:$E$6,Fact_SortedWeights!$C$2:$C$6,$A761,Fact_SortedWeights!$B$2:$B$6,$B761,Fact_SortedWeights!$D$2:$D$6,$C761,Fact_SortedWeights!$L$2:$L$6,"No"))/(SUMIFS(Fact_SortedWeights!$E$2:$E$6,Fact_SortedWeights!$C$2:$C$6,$A761,Fact_SortedWeights!$B$2:$B$6,$B761,Fact_SortedWeights!$L$2:$L$6,"No"))*((SUMIFS(Fact_PreSortWeights!$E$2:$E$15,Fact_PreSortWeights!$C$2:$C$15,$A761,Fact_PreSortWeights!$B$2:$B$15,$B761,Fact_PreSortWeights!$F$2:$F$15,""))-(SUMIFS(Fact_SortedWeights!$E$2:$E$6,Fact_SortedWeights!$C$2:$C$6,$A761,Fact_SortedWeights!$B$2:$B$6,$B761,Fact_SortedWeights!$L$2:$L$6,"Yes"))))</f>
        <v>0</v>
      </c>
      <c r="G761" s="0" t="n">
        <f aca="false">IF(AND(IF($B761="Trash",INDEX('Materials Master'!$F$2:$F$27,MATCH($C761,'Materials Master'!$A$2:$A$27,0)),IF($B761="GMPC Recycling",INDEX('Materials Master'!$G$2:$G$27,MATCH($C761,'Materials Master'!$A$2:$A$27,0)),IF($B761="Organics Recycling",INDEX('Materials Master'!$H$2:$H$27,MATCH($C761,'Materials Master'!$A$2:$A$27,0)),IF($B761="Cardboard Recycling",INDEX('Materials Master'!$I$2:$I$27,MATCH($C761,'Materials Master'!$A$2:$A$27,0)),IF($B761="Paper Recycling",INDEX('Materials Master'!$J$2:$J$27,MATCH($C761,'Materials Master'!$A$2:$A$27,0)),IF($B761="Terracycle",INDEX('Materials Master'!$K$2:$K$27,MATCH($C761,'Materials Master'!$A$2:$A$27,0)),"No"))))))="Yes",INDEX('Materials Master'!$E$2:$E$27,MATCH($C761,'Materials Master'!$A$2:$A$27,0))="Yes",$B761&lt;&gt;"Trash"),1,0)</f>
        <v>0</v>
      </c>
      <c r="H761" s="0" t="str">
        <f aca="false">INDEX('Materials Master'!$E$2:$E$27,MATCH($C761,'Materials Master'!$A$2:$A$27,0))</f>
        <v>Yes</v>
      </c>
      <c r="I761" s="0" t="str">
        <f aca="false">IFERROR(INDEX(Areas!$C$2:$C$6,MATCH($A761,Areas!$B$2:$B$6,0)),"")</f>
        <v>Rest of Building</v>
      </c>
      <c r="J761" s="0" t="n">
        <f aca="false">IF(IF($B761="Trash",INDEX('Materials Master'!$F$2:$F$27,MATCH($C761,'Materials Master'!$A$2:$A$27,0)),IF($B761="GMPC Recycling",INDEX('Materials Master'!$G$2:$G$27,MATCH($C761,'Materials Master'!$A$2:$A$27,0)),IF($B761="Organics Recycling",INDEX('Materials Master'!$H$2:$H$27,MATCH($C761,'Materials Master'!$A$2:$A$27,0)),IF($B761="Cardboard Recycling",INDEX('Materials Master'!$I$2:$I$27,MATCH($C761,'Materials Master'!$A$2:$A$27,0)),IF($B761="Paper Recycling",INDEX('Materials Master'!$J$2:$J$27,MATCH($C761,'Materials Master'!$A$2:$A$27,0)),IF($B761="Terracycle",INDEX('Materials Master'!$K$2:$K$27,MATCH($C761,'Materials Master'!$A$2:$A$27,0)),"No"))))))="Yes",1,0)</f>
        <v>0</v>
      </c>
    </row>
    <row r="762" customFormat="false" ht="15" hidden="false" customHeight="false" outlineLevel="0" collapsed="false">
      <c r="A762" s="0" t="s">
        <v>100</v>
      </c>
      <c r="B762" s="0" t="s">
        <v>108</v>
      </c>
      <c r="C762" s="0" t="s">
        <v>41</v>
      </c>
      <c r="D762" s="0" t="str">
        <f aca="false">IFERROR(INDEX('Materials Master'!$B$2:$B$27,MATCH($C762,'Materials Master'!$A$2:$A$27,0)),"")</f>
        <v>Soiled Beverage Cartons</v>
      </c>
      <c r="E762" s="0" t="str">
        <f aca="false">IFERROR(INDEX('Materials Master'!$C$2:$C$27,MATCH($C762,'Materials Master'!$A$2:$A$27,0)),"")</f>
        <v>Fibers</v>
      </c>
      <c r="F762" s="0" t="n">
        <f aca="false">(SUMIFS(Fact_PreSortWeights!$E$2:$E$15,Fact_PreSortWeights!$C$2:$C$15,$A762,Fact_PreSortWeights!$B$2:$B$15,$B762,Fact_PreSortWeights!$F$2:$F$15,$C762))+(SUMIFS(Fact_SortedWeights!$E$2:$E$6,Fact_SortedWeights!$C$2:$C$6,$A762,Fact_SortedWeights!$B$2:$B$6,$B762,Fact_SortedWeights!$D$2:$D$6,$C762,Fact_SortedWeights!$L$2:$L$6,"Yes"))+IF((SUMIFS(Fact_SortedWeights!$E$2:$E$6,Fact_SortedWeights!$C$2:$C$6,$A762,Fact_SortedWeights!$B$2:$B$6,$B762,Fact_SortedWeights!$L$2:$L$6,"No"))=0,0,(SUMIFS(Fact_SortedWeights!$E$2:$E$6,Fact_SortedWeights!$C$2:$C$6,$A762,Fact_SortedWeights!$B$2:$B$6,$B762,Fact_SortedWeights!$D$2:$D$6,$C762,Fact_SortedWeights!$L$2:$L$6,"No"))/(SUMIFS(Fact_SortedWeights!$E$2:$E$6,Fact_SortedWeights!$C$2:$C$6,$A762,Fact_SortedWeights!$B$2:$B$6,$B762,Fact_SortedWeights!$L$2:$L$6,"No"))*((SUMIFS(Fact_PreSortWeights!$E$2:$E$15,Fact_PreSortWeights!$C$2:$C$15,$A762,Fact_PreSortWeights!$B$2:$B$15,$B762,Fact_PreSortWeights!$F$2:$F$15,""))-(SUMIFS(Fact_SortedWeights!$E$2:$E$6,Fact_SortedWeights!$C$2:$C$6,$A762,Fact_SortedWeights!$B$2:$B$6,$B762,Fact_SortedWeights!$L$2:$L$6,"Yes"))))</f>
        <v>0</v>
      </c>
      <c r="G762" s="0" t="n">
        <f aca="false">IF(AND(IF($B762="Trash",INDEX('Materials Master'!$F$2:$F$27,MATCH($C762,'Materials Master'!$A$2:$A$27,0)),IF($B762="GMPC Recycling",INDEX('Materials Master'!$G$2:$G$27,MATCH($C762,'Materials Master'!$A$2:$A$27,0)),IF($B762="Organics Recycling",INDEX('Materials Master'!$H$2:$H$27,MATCH($C762,'Materials Master'!$A$2:$A$27,0)),IF($B762="Cardboard Recycling",INDEX('Materials Master'!$I$2:$I$27,MATCH($C762,'Materials Master'!$A$2:$A$27,0)),IF($B762="Paper Recycling",INDEX('Materials Master'!$J$2:$J$27,MATCH($C762,'Materials Master'!$A$2:$A$27,0)),IF($B762="Terracycle",INDEX('Materials Master'!$K$2:$K$27,MATCH($C762,'Materials Master'!$A$2:$A$27,0)),"No"))))))="Yes",INDEX('Materials Master'!$E$2:$E$27,MATCH($C762,'Materials Master'!$A$2:$A$27,0))="Yes",$B762&lt;&gt;"Trash"),1,0)</f>
        <v>0</v>
      </c>
      <c r="H762" s="0" t="str">
        <f aca="false">INDEX('Materials Master'!$E$2:$E$27,MATCH($C762,'Materials Master'!$A$2:$A$27,0))</f>
        <v>No</v>
      </c>
      <c r="I762" s="0" t="str">
        <f aca="false">IFERROR(INDEX(Areas!$C$2:$C$6,MATCH($A762,Areas!$B$2:$B$6,0)),"")</f>
        <v>Rest of Building</v>
      </c>
      <c r="J762" s="0" t="n">
        <f aca="false">IF(IF($B762="Trash",INDEX('Materials Master'!$F$2:$F$27,MATCH($C762,'Materials Master'!$A$2:$A$27,0)),IF($B762="GMPC Recycling",INDEX('Materials Master'!$G$2:$G$27,MATCH($C762,'Materials Master'!$A$2:$A$27,0)),IF($B762="Organics Recycling",INDEX('Materials Master'!$H$2:$H$27,MATCH($C762,'Materials Master'!$A$2:$A$27,0)),IF($B762="Cardboard Recycling",INDEX('Materials Master'!$I$2:$I$27,MATCH($C762,'Materials Master'!$A$2:$A$27,0)),IF($B762="Paper Recycling",INDEX('Materials Master'!$J$2:$J$27,MATCH($C762,'Materials Master'!$A$2:$A$27,0)),IF($B762="Terracycle",INDEX('Materials Master'!$K$2:$K$27,MATCH($C762,'Materials Master'!$A$2:$A$27,0)),"No"))))))="Yes",1,0)</f>
        <v>0</v>
      </c>
    </row>
    <row r="763" customFormat="false" ht="15" hidden="false" customHeight="false" outlineLevel="0" collapsed="false">
      <c r="A763" s="0" t="s">
        <v>100</v>
      </c>
      <c r="B763" s="0" t="s">
        <v>108</v>
      </c>
      <c r="C763" s="0" t="s">
        <v>43</v>
      </c>
      <c r="D763" s="0" t="str">
        <f aca="false">IFERROR(INDEX('Materials Master'!$B$2:$B$27,MATCH($C763,'Materials Master'!$A$2:$A$27,0)),"")</f>
        <v>Paper Cups / Other Coated Paper Containers</v>
      </c>
      <c r="E763" s="0" t="str">
        <f aca="false">IFERROR(INDEX('Materials Master'!$C$2:$C$27,MATCH($C763,'Materials Master'!$A$2:$A$27,0)),"")</f>
        <v>Fibers</v>
      </c>
      <c r="F763" s="0" t="n">
        <f aca="false">(SUMIFS(Fact_PreSortWeights!$E$2:$E$15,Fact_PreSortWeights!$C$2:$C$15,$A763,Fact_PreSortWeights!$B$2:$B$15,$B763,Fact_PreSortWeights!$F$2:$F$15,$C763))+(SUMIFS(Fact_SortedWeights!$E$2:$E$6,Fact_SortedWeights!$C$2:$C$6,$A763,Fact_SortedWeights!$B$2:$B$6,$B763,Fact_SortedWeights!$D$2:$D$6,$C763,Fact_SortedWeights!$L$2:$L$6,"Yes"))+IF((SUMIFS(Fact_SortedWeights!$E$2:$E$6,Fact_SortedWeights!$C$2:$C$6,$A763,Fact_SortedWeights!$B$2:$B$6,$B763,Fact_SortedWeights!$L$2:$L$6,"No"))=0,0,(SUMIFS(Fact_SortedWeights!$E$2:$E$6,Fact_SortedWeights!$C$2:$C$6,$A763,Fact_SortedWeights!$B$2:$B$6,$B763,Fact_SortedWeights!$D$2:$D$6,$C763,Fact_SortedWeights!$L$2:$L$6,"No"))/(SUMIFS(Fact_SortedWeights!$E$2:$E$6,Fact_SortedWeights!$C$2:$C$6,$A763,Fact_SortedWeights!$B$2:$B$6,$B763,Fact_SortedWeights!$L$2:$L$6,"No"))*((SUMIFS(Fact_PreSortWeights!$E$2:$E$15,Fact_PreSortWeights!$C$2:$C$15,$A763,Fact_PreSortWeights!$B$2:$B$15,$B763,Fact_PreSortWeights!$F$2:$F$15,""))-(SUMIFS(Fact_SortedWeights!$E$2:$E$6,Fact_SortedWeights!$C$2:$C$6,$A763,Fact_SortedWeights!$B$2:$B$6,$B763,Fact_SortedWeights!$L$2:$L$6,"Yes"))))</f>
        <v>0</v>
      </c>
      <c r="G763" s="0" t="n">
        <f aca="false">IF(AND(IF($B763="Trash",INDEX('Materials Master'!$F$2:$F$27,MATCH($C763,'Materials Master'!$A$2:$A$27,0)),IF($B763="GMPC Recycling",INDEX('Materials Master'!$G$2:$G$27,MATCH($C763,'Materials Master'!$A$2:$A$27,0)),IF($B763="Organics Recycling",INDEX('Materials Master'!$H$2:$H$27,MATCH($C763,'Materials Master'!$A$2:$A$27,0)),IF($B763="Cardboard Recycling",INDEX('Materials Master'!$I$2:$I$27,MATCH($C763,'Materials Master'!$A$2:$A$27,0)),IF($B763="Paper Recycling",INDEX('Materials Master'!$J$2:$J$27,MATCH($C763,'Materials Master'!$A$2:$A$27,0)),IF($B763="Terracycle",INDEX('Materials Master'!$K$2:$K$27,MATCH($C763,'Materials Master'!$A$2:$A$27,0)),"No"))))))="Yes",INDEX('Materials Master'!$E$2:$E$27,MATCH($C763,'Materials Master'!$A$2:$A$27,0))="Yes",$B763&lt;&gt;"Trash"),1,0)</f>
        <v>0</v>
      </c>
      <c r="H763" s="0" t="str">
        <f aca="false">INDEX('Materials Master'!$E$2:$E$27,MATCH($C763,'Materials Master'!$A$2:$A$27,0))</f>
        <v>No</v>
      </c>
      <c r="I763" s="0" t="str">
        <f aca="false">IFERROR(INDEX(Areas!$C$2:$C$6,MATCH($A763,Areas!$B$2:$B$6,0)),"")</f>
        <v>Rest of Building</v>
      </c>
      <c r="J763" s="0" t="n">
        <f aca="false">IF(IF($B763="Trash",INDEX('Materials Master'!$F$2:$F$27,MATCH($C763,'Materials Master'!$A$2:$A$27,0)),IF($B763="GMPC Recycling",INDEX('Materials Master'!$G$2:$G$27,MATCH($C763,'Materials Master'!$A$2:$A$27,0)),IF($B763="Organics Recycling",INDEX('Materials Master'!$H$2:$H$27,MATCH($C763,'Materials Master'!$A$2:$A$27,0)),IF($B763="Cardboard Recycling",INDEX('Materials Master'!$I$2:$I$27,MATCH($C763,'Materials Master'!$A$2:$A$27,0)),IF($B763="Paper Recycling",INDEX('Materials Master'!$J$2:$J$27,MATCH($C763,'Materials Master'!$A$2:$A$27,0)),IF($B763="Terracycle",INDEX('Materials Master'!$K$2:$K$27,MATCH($C763,'Materials Master'!$A$2:$A$27,0)),"No"))))))="Yes",1,0)</f>
        <v>0</v>
      </c>
    </row>
    <row r="764" customFormat="false" ht="15" hidden="false" customHeight="false" outlineLevel="0" collapsed="false">
      <c r="A764" s="0" t="s">
        <v>100</v>
      </c>
      <c r="B764" s="0" t="s">
        <v>108</v>
      </c>
      <c r="C764" s="0" t="s">
        <v>45</v>
      </c>
      <c r="D764" s="0" t="str">
        <f aca="false">IFERROR(INDEX('Materials Master'!$B$2:$B$27,MATCH($C764,'Materials Master'!$A$2:$A$27,0)),"")</f>
        <v>Glass Bottles &amp; Jars</v>
      </c>
      <c r="E764" s="0" t="str">
        <f aca="false">IFERROR(INDEX('Materials Master'!$C$2:$C$27,MATCH($C764,'Materials Master'!$A$2:$A$27,0)),"")</f>
        <v>Glass</v>
      </c>
      <c r="F764" s="0" t="n">
        <f aca="false">(SUMIFS(Fact_PreSortWeights!$E$2:$E$15,Fact_PreSortWeights!$C$2:$C$15,$A764,Fact_PreSortWeights!$B$2:$B$15,$B764,Fact_PreSortWeights!$F$2:$F$15,$C764))+(SUMIFS(Fact_SortedWeights!$E$2:$E$6,Fact_SortedWeights!$C$2:$C$6,$A764,Fact_SortedWeights!$B$2:$B$6,$B764,Fact_SortedWeights!$D$2:$D$6,$C764,Fact_SortedWeights!$L$2:$L$6,"Yes"))+IF((SUMIFS(Fact_SortedWeights!$E$2:$E$6,Fact_SortedWeights!$C$2:$C$6,$A764,Fact_SortedWeights!$B$2:$B$6,$B764,Fact_SortedWeights!$L$2:$L$6,"No"))=0,0,(SUMIFS(Fact_SortedWeights!$E$2:$E$6,Fact_SortedWeights!$C$2:$C$6,$A764,Fact_SortedWeights!$B$2:$B$6,$B764,Fact_SortedWeights!$D$2:$D$6,$C764,Fact_SortedWeights!$L$2:$L$6,"No"))/(SUMIFS(Fact_SortedWeights!$E$2:$E$6,Fact_SortedWeights!$C$2:$C$6,$A764,Fact_SortedWeights!$B$2:$B$6,$B764,Fact_SortedWeights!$L$2:$L$6,"No"))*((SUMIFS(Fact_PreSortWeights!$E$2:$E$15,Fact_PreSortWeights!$C$2:$C$15,$A764,Fact_PreSortWeights!$B$2:$B$15,$B764,Fact_PreSortWeights!$F$2:$F$15,""))-(SUMIFS(Fact_SortedWeights!$E$2:$E$6,Fact_SortedWeights!$C$2:$C$6,$A764,Fact_SortedWeights!$B$2:$B$6,$B764,Fact_SortedWeights!$L$2:$L$6,"Yes"))))</f>
        <v>0</v>
      </c>
      <c r="G764" s="0" t="n">
        <f aca="false">IF(AND(IF($B764="Trash",INDEX('Materials Master'!$F$2:$F$27,MATCH($C764,'Materials Master'!$A$2:$A$27,0)),IF($B764="GMPC Recycling",INDEX('Materials Master'!$G$2:$G$27,MATCH($C764,'Materials Master'!$A$2:$A$27,0)),IF($B764="Organics Recycling",INDEX('Materials Master'!$H$2:$H$27,MATCH($C764,'Materials Master'!$A$2:$A$27,0)),IF($B764="Cardboard Recycling",INDEX('Materials Master'!$I$2:$I$27,MATCH($C764,'Materials Master'!$A$2:$A$27,0)),IF($B764="Paper Recycling",INDEX('Materials Master'!$J$2:$J$27,MATCH($C764,'Materials Master'!$A$2:$A$27,0)),IF($B764="Terracycle",INDEX('Materials Master'!$K$2:$K$27,MATCH($C764,'Materials Master'!$A$2:$A$27,0)),"No"))))))="Yes",INDEX('Materials Master'!$E$2:$E$27,MATCH($C764,'Materials Master'!$A$2:$A$27,0))="Yes",$B764&lt;&gt;"Trash"),1,0)</f>
        <v>0</v>
      </c>
      <c r="H764" s="0" t="str">
        <f aca="false">INDEX('Materials Master'!$E$2:$E$27,MATCH($C764,'Materials Master'!$A$2:$A$27,0))</f>
        <v>Yes</v>
      </c>
      <c r="I764" s="0" t="str">
        <f aca="false">IFERROR(INDEX(Areas!$C$2:$C$6,MATCH($A764,Areas!$B$2:$B$6,0)),"")</f>
        <v>Rest of Building</v>
      </c>
      <c r="J764" s="0" t="n">
        <f aca="false">IF(IF($B764="Trash",INDEX('Materials Master'!$F$2:$F$27,MATCH($C764,'Materials Master'!$A$2:$A$27,0)),IF($B764="GMPC Recycling",INDEX('Materials Master'!$G$2:$G$27,MATCH($C764,'Materials Master'!$A$2:$A$27,0)),IF($B764="Organics Recycling",INDEX('Materials Master'!$H$2:$H$27,MATCH($C764,'Materials Master'!$A$2:$A$27,0)),IF($B764="Cardboard Recycling",INDEX('Materials Master'!$I$2:$I$27,MATCH($C764,'Materials Master'!$A$2:$A$27,0)),IF($B764="Paper Recycling",INDEX('Materials Master'!$J$2:$J$27,MATCH($C764,'Materials Master'!$A$2:$A$27,0)),IF($B764="Terracycle",INDEX('Materials Master'!$K$2:$K$27,MATCH($C764,'Materials Master'!$A$2:$A$27,0)),"No"))))))="Yes",1,0)</f>
        <v>0</v>
      </c>
    </row>
    <row r="765" customFormat="false" ht="15" hidden="false" customHeight="false" outlineLevel="0" collapsed="false">
      <c r="A765" s="0" t="s">
        <v>100</v>
      </c>
      <c r="B765" s="0" t="s">
        <v>108</v>
      </c>
      <c r="C765" s="0" t="s">
        <v>48</v>
      </c>
      <c r="D765" s="0" t="str">
        <f aca="false">IFERROR(INDEX('Materials Master'!$B$2:$B$27,MATCH($C765,'Materials Master'!$A$2:$A$27,0)),"")</f>
        <v>Soiled Glass</v>
      </c>
      <c r="E765" s="0" t="str">
        <f aca="false">IFERROR(INDEX('Materials Master'!$C$2:$C$27,MATCH($C765,'Materials Master'!$A$2:$A$27,0)),"")</f>
        <v>Glass</v>
      </c>
      <c r="F765" s="0" t="n">
        <f aca="false">(SUMIFS(Fact_PreSortWeights!$E$2:$E$15,Fact_PreSortWeights!$C$2:$C$15,$A765,Fact_PreSortWeights!$B$2:$B$15,$B765,Fact_PreSortWeights!$F$2:$F$15,$C765))+(SUMIFS(Fact_SortedWeights!$E$2:$E$6,Fact_SortedWeights!$C$2:$C$6,$A765,Fact_SortedWeights!$B$2:$B$6,$B765,Fact_SortedWeights!$D$2:$D$6,$C765,Fact_SortedWeights!$L$2:$L$6,"Yes"))+IF((SUMIFS(Fact_SortedWeights!$E$2:$E$6,Fact_SortedWeights!$C$2:$C$6,$A765,Fact_SortedWeights!$B$2:$B$6,$B765,Fact_SortedWeights!$L$2:$L$6,"No"))=0,0,(SUMIFS(Fact_SortedWeights!$E$2:$E$6,Fact_SortedWeights!$C$2:$C$6,$A765,Fact_SortedWeights!$B$2:$B$6,$B765,Fact_SortedWeights!$D$2:$D$6,$C765,Fact_SortedWeights!$L$2:$L$6,"No"))/(SUMIFS(Fact_SortedWeights!$E$2:$E$6,Fact_SortedWeights!$C$2:$C$6,$A765,Fact_SortedWeights!$B$2:$B$6,$B765,Fact_SortedWeights!$L$2:$L$6,"No"))*((SUMIFS(Fact_PreSortWeights!$E$2:$E$15,Fact_PreSortWeights!$C$2:$C$15,$A765,Fact_PreSortWeights!$B$2:$B$15,$B765,Fact_PreSortWeights!$F$2:$F$15,""))-(SUMIFS(Fact_SortedWeights!$E$2:$E$6,Fact_SortedWeights!$C$2:$C$6,$A765,Fact_SortedWeights!$B$2:$B$6,$B765,Fact_SortedWeights!$L$2:$L$6,"Yes"))))</f>
        <v>0</v>
      </c>
      <c r="G765" s="0" t="n">
        <f aca="false">IF(AND(IF($B765="Trash",INDEX('Materials Master'!$F$2:$F$27,MATCH($C765,'Materials Master'!$A$2:$A$27,0)),IF($B765="GMPC Recycling",INDEX('Materials Master'!$G$2:$G$27,MATCH($C765,'Materials Master'!$A$2:$A$27,0)),IF($B765="Organics Recycling",INDEX('Materials Master'!$H$2:$H$27,MATCH($C765,'Materials Master'!$A$2:$A$27,0)),IF($B765="Cardboard Recycling",INDEX('Materials Master'!$I$2:$I$27,MATCH($C765,'Materials Master'!$A$2:$A$27,0)),IF($B765="Paper Recycling",INDEX('Materials Master'!$J$2:$J$27,MATCH($C765,'Materials Master'!$A$2:$A$27,0)),IF($B765="Terracycle",INDEX('Materials Master'!$K$2:$K$27,MATCH($C765,'Materials Master'!$A$2:$A$27,0)),"No"))))))="Yes",INDEX('Materials Master'!$E$2:$E$27,MATCH($C765,'Materials Master'!$A$2:$A$27,0))="Yes",$B765&lt;&gt;"Trash"),1,0)</f>
        <v>0</v>
      </c>
      <c r="H765" s="0" t="str">
        <f aca="false">INDEX('Materials Master'!$E$2:$E$27,MATCH($C765,'Materials Master'!$A$2:$A$27,0))</f>
        <v>No</v>
      </c>
      <c r="I765" s="0" t="str">
        <f aca="false">IFERROR(INDEX(Areas!$C$2:$C$6,MATCH($A765,Areas!$B$2:$B$6,0)),"")</f>
        <v>Rest of Building</v>
      </c>
      <c r="J765" s="0" t="n">
        <f aca="false">IF(IF($B765="Trash",INDEX('Materials Master'!$F$2:$F$27,MATCH($C765,'Materials Master'!$A$2:$A$27,0)),IF($B765="GMPC Recycling",INDEX('Materials Master'!$G$2:$G$27,MATCH($C765,'Materials Master'!$A$2:$A$27,0)),IF($B765="Organics Recycling",INDEX('Materials Master'!$H$2:$H$27,MATCH($C765,'Materials Master'!$A$2:$A$27,0)),IF($B765="Cardboard Recycling",INDEX('Materials Master'!$I$2:$I$27,MATCH($C765,'Materials Master'!$A$2:$A$27,0)),IF($B765="Paper Recycling",INDEX('Materials Master'!$J$2:$J$27,MATCH($C765,'Materials Master'!$A$2:$A$27,0)),IF($B765="Terracycle",INDEX('Materials Master'!$K$2:$K$27,MATCH($C765,'Materials Master'!$A$2:$A$27,0)),"No"))))))="Yes",1,0)</f>
        <v>0</v>
      </c>
    </row>
    <row r="766" customFormat="false" ht="15" hidden="false" customHeight="false" outlineLevel="0" collapsed="false">
      <c r="A766" s="0" t="s">
        <v>100</v>
      </c>
      <c r="B766" s="0" t="s">
        <v>108</v>
      </c>
      <c r="C766" s="0" t="s">
        <v>50</v>
      </c>
      <c r="D766" s="0" t="str">
        <f aca="false">IFERROR(INDEX('Materials Master'!$B$2:$B$27,MATCH($C766,'Materials Master'!$A$2:$A$27,0)),"")</f>
        <v>Aluminum &amp; Bi-Metal Containers</v>
      </c>
      <c r="E766" s="0" t="str">
        <f aca="false">IFERROR(INDEX('Materials Master'!$C$2:$C$27,MATCH($C766,'Materials Master'!$A$2:$A$27,0)),"")</f>
        <v>Metals</v>
      </c>
      <c r="F766" s="0" t="n">
        <f aca="false">(SUMIFS(Fact_PreSortWeights!$E$2:$E$15,Fact_PreSortWeights!$C$2:$C$15,$A766,Fact_PreSortWeights!$B$2:$B$15,$B766,Fact_PreSortWeights!$F$2:$F$15,$C766))+(SUMIFS(Fact_SortedWeights!$E$2:$E$6,Fact_SortedWeights!$C$2:$C$6,$A766,Fact_SortedWeights!$B$2:$B$6,$B766,Fact_SortedWeights!$D$2:$D$6,$C766,Fact_SortedWeights!$L$2:$L$6,"Yes"))+IF((SUMIFS(Fact_SortedWeights!$E$2:$E$6,Fact_SortedWeights!$C$2:$C$6,$A766,Fact_SortedWeights!$B$2:$B$6,$B766,Fact_SortedWeights!$L$2:$L$6,"No"))=0,0,(SUMIFS(Fact_SortedWeights!$E$2:$E$6,Fact_SortedWeights!$C$2:$C$6,$A766,Fact_SortedWeights!$B$2:$B$6,$B766,Fact_SortedWeights!$D$2:$D$6,$C766,Fact_SortedWeights!$L$2:$L$6,"No"))/(SUMIFS(Fact_SortedWeights!$E$2:$E$6,Fact_SortedWeights!$C$2:$C$6,$A766,Fact_SortedWeights!$B$2:$B$6,$B766,Fact_SortedWeights!$L$2:$L$6,"No"))*((SUMIFS(Fact_PreSortWeights!$E$2:$E$15,Fact_PreSortWeights!$C$2:$C$15,$A766,Fact_PreSortWeights!$B$2:$B$15,$B766,Fact_PreSortWeights!$F$2:$F$15,""))-(SUMIFS(Fact_SortedWeights!$E$2:$E$6,Fact_SortedWeights!$C$2:$C$6,$A766,Fact_SortedWeights!$B$2:$B$6,$B766,Fact_SortedWeights!$L$2:$L$6,"Yes"))))</f>
        <v>0</v>
      </c>
      <c r="G766" s="0" t="n">
        <f aca="false">IF(AND(IF($B766="Trash",INDEX('Materials Master'!$F$2:$F$27,MATCH($C766,'Materials Master'!$A$2:$A$27,0)),IF($B766="GMPC Recycling",INDEX('Materials Master'!$G$2:$G$27,MATCH($C766,'Materials Master'!$A$2:$A$27,0)),IF($B766="Organics Recycling",INDEX('Materials Master'!$H$2:$H$27,MATCH($C766,'Materials Master'!$A$2:$A$27,0)),IF($B766="Cardboard Recycling",INDEX('Materials Master'!$I$2:$I$27,MATCH($C766,'Materials Master'!$A$2:$A$27,0)),IF($B766="Paper Recycling",INDEX('Materials Master'!$J$2:$J$27,MATCH($C766,'Materials Master'!$A$2:$A$27,0)),IF($B766="Terracycle",INDEX('Materials Master'!$K$2:$K$27,MATCH($C766,'Materials Master'!$A$2:$A$27,0)),"No"))))))="Yes",INDEX('Materials Master'!$E$2:$E$27,MATCH($C766,'Materials Master'!$A$2:$A$27,0))="Yes",$B766&lt;&gt;"Trash"),1,0)</f>
        <v>0</v>
      </c>
      <c r="H766" s="0" t="str">
        <f aca="false">INDEX('Materials Master'!$E$2:$E$27,MATCH($C766,'Materials Master'!$A$2:$A$27,0))</f>
        <v>Yes</v>
      </c>
      <c r="I766" s="0" t="str">
        <f aca="false">IFERROR(INDEX(Areas!$C$2:$C$6,MATCH($A766,Areas!$B$2:$B$6,0)),"")</f>
        <v>Rest of Building</v>
      </c>
      <c r="J766" s="0" t="n">
        <f aca="false">IF(IF($B766="Trash",INDEX('Materials Master'!$F$2:$F$27,MATCH($C766,'Materials Master'!$A$2:$A$27,0)),IF($B766="GMPC Recycling",INDEX('Materials Master'!$G$2:$G$27,MATCH($C766,'Materials Master'!$A$2:$A$27,0)),IF($B766="Organics Recycling",INDEX('Materials Master'!$H$2:$H$27,MATCH($C766,'Materials Master'!$A$2:$A$27,0)),IF($B766="Cardboard Recycling",INDEX('Materials Master'!$I$2:$I$27,MATCH($C766,'Materials Master'!$A$2:$A$27,0)),IF($B766="Paper Recycling",INDEX('Materials Master'!$J$2:$J$27,MATCH($C766,'Materials Master'!$A$2:$A$27,0)),IF($B766="Terracycle",INDEX('Materials Master'!$K$2:$K$27,MATCH($C766,'Materials Master'!$A$2:$A$27,0)),"No"))))))="Yes",1,0)</f>
        <v>0</v>
      </c>
    </row>
    <row r="767" customFormat="false" ht="15" hidden="false" customHeight="false" outlineLevel="0" collapsed="false">
      <c r="A767" s="0" t="s">
        <v>100</v>
      </c>
      <c r="B767" s="0" t="s">
        <v>108</v>
      </c>
      <c r="C767" s="0" t="s">
        <v>53</v>
      </c>
      <c r="D767" s="0" t="str">
        <f aca="false">IFERROR(INDEX('Materials Master'!$B$2:$B$27,MATCH($C767,'Materials Master'!$A$2:$A$27,0)),"")</f>
        <v>Soiled Metals</v>
      </c>
      <c r="E767" s="0" t="str">
        <f aca="false">IFERROR(INDEX('Materials Master'!$C$2:$C$27,MATCH($C767,'Materials Master'!$A$2:$A$27,0)),"")</f>
        <v>Metals</v>
      </c>
      <c r="F767" s="0" t="n">
        <f aca="false">(SUMIFS(Fact_PreSortWeights!$E$2:$E$15,Fact_PreSortWeights!$C$2:$C$15,$A767,Fact_PreSortWeights!$B$2:$B$15,$B767,Fact_PreSortWeights!$F$2:$F$15,$C767))+(SUMIFS(Fact_SortedWeights!$E$2:$E$6,Fact_SortedWeights!$C$2:$C$6,$A767,Fact_SortedWeights!$B$2:$B$6,$B767,Fact_SortedWeights!$D$2:$D$6,$C767,Fact_SortedWeights!$L$2:$L$6,"Yes"))+IF((SUMIFS(Fact_SortedWeights!$E$2:$E$6,Fact_SortedWeights!$C$2:$C$6,$A767,Fact_SortedWeights!$B$2:$B$6,$B767,Fact_SortedWeights!$L$2:$L$6,"No"))=0,0,(SUMIFS(Fact_SortedWeights!$E$2:$E$6,Fact_SortedWeights!$C$2:$C$6,$A767,Fact_SortedWeights!$B$2:$B$6,$B767,Fact_SortedWeights!$D$2:$D$6,$C767,Fact_SortedWeights!$L$2:$L$6,"No"))/(SUMIFS(Fact_SortedWeights!$E$2:$E$6,Fact_SortedWeights!$C$2:$C$6,$A767,Fact_SortedWeights!$B$2:$B$6,$B767,Fact_SortedWeights!$L$2:$L$6,"No"))*((SUMIFS(Fact_PreSortWeights!$E$2:$E$15,Fact_PreSortWeights!$C$2:$C$15,$A767,Fact_PreSortWeights!$B$2:$B$15,$B767,Fact_PreSortWeights!$F$2:$F$15,""))-(SUMIFS(Fact_SortedWeights!$E$2:$E$6,Fact_SortedWeights!$C$2:$C$6,$A767,Fact_SortedWeights!$B$2:$B$6,$B767,Fact_SortedWeights!$L$2:$L$6,"Yes"))))</f>
        <v>0</v>
      </c>
      <c r="G767" s="0" t="n">
        <f aca="false">IF(AND(IF($B767="Trash",INDEX('Materials Master'!$F$2:$F$27,MATCH($C767,'Materials Master'!$A$2:$A$27,0)),IF($B767="GMPC Recycling",INDEX('Materials Master'!$G$2:$G$27,MATCH($C767,'Materials Master'!$A$2:$A$27,0)),IF($B767="Organics Recycling",INDEX('Materials Master'!$H$2:$H$27,MATCH($C767,'Materials Master'!$A$2:$A$27,0)),IF($B767="Cardboard Recycling",INDEX('Materials Master'!$I$2:$I$27,MATCH($C767,'Materials Master'!$A$2:$A$27,0)),IF($B767="Paper Recycling",INDEX('Materials Master'!$J$2:$J$27,MATCH($C767,'Materials Master'!$A$2:$A$27,0)),IF($B767="Terracycle",INDEX('Materials Master'!$K$2:$K$27,MATCH($C767,'Materials Master'!$A$2:$A$27,0)),"No"))))))="Yes",INDEX('Materials Master'!$E$2:$E$27,MATCH($C767,'Materials Master'!$A$2:$A$27,0))="Yes",$B767&lt;&gt;"Trash"),1,0)</f>
        <v>0</v>
      </c>
      <c r="H767" s="0" t="str">
        <f aca="false">INDEX('Materials Master'!$E$2:$E$27,MATCH($C767,'Materials Master'!$A$2:$A$27,0))</f>
        <v>No</v>
      </c>
      <c r="I767" s="0" t="str">
        <f aca="false">IFERROR(INDEX(Areas!$C$2:$C$6,MATCH($A767,Areas!$B$2:$B$6,0)),"")</f>
        <v>Rest of Building</v>
      </c>
      <c r="J767" s="0" t="n">
        <f aca="false">IF(IF($B767="Trash",INDEX('Materials Master'!$F$2:$F$27,MATCH($C767,'Materials Master'!$A$2:$A$27,0)),IF($B767="GMPC Recycling",INDEX('Materials Master'!$G$2:$G$27,MATCH($C767,'Materials Master'!$A$2:$A$27,0)),IF($B767="Organics Recycling",INDEX('Materials Master'!$H$2:$H$27,MATCH($C767,'Materials Master'!$A$2:$A$27,0)),IF($B767="Cardboard Recycling",INDEX('Materials Master'!$I$2:$I$27,MATCH($C767,'Materials Master'!$A$2:$A$27,0)),IF($B767="Paper Recycling",INDEX('Materials Master'!$J$2:$J$27,MATCH($C767,'Materials Master'!$A$2:$A$27,0)),IF($B767="Terracycle",INDEX('Materials Master'!$K$2:$K$27,MATCH($C767,'Materials Master'!$A$2:$A$27,0)),"No"))))))="Yes",1,0)</f>
        <v>0</v>
      </c>
    </row>
    <row r="768" customFormat="false" ht="15" hidden="false" customHeight="false" outlineLevel="0" collapsed="false">
      <c r="A768" s="0" t="s">
        <v>100</v>
      </c>
      <c r="B768" s="0" t="s">
        <v>108</v>
      </c>
      <c r="C768" s="0" t="s">
        <v>55</v>
      </c>
      <c r="D768" s="0" t="str">
        <f aca="false">IFERROR(INDEX('Materials Master'!$B$2:$B$27,MATCH($C768,'Materials Master'!$A$2:$A$27,0)),"")</f>
        <v>Rigid Plastics (1-6)</v>
      </c>
      <c r="E768" s="0" t="str">
        <f aca="false">IFERROR(INDEX('Materials Master'!$C$2:$C$27,MATCH($C768,'Materials Master'!$A$2:$A$27,0)),"")</f>
        <v>Plastics</v>
      </c>
      <c r="F768" s="0" t="n">
        <f aca="false">(SUMIFS(Fact_PreSortWeights!$E$2:$E$15,Fact_PreSortWeights!$C$2:$C$15,$A768,Fact_PreSortWeights!$B$2:$B$15,$B768,Fact_PreSortWeights!$F$2:$F$15,$C768))+(SUMIFS(Fact_SortedWeights!$E$2:$E$6,Fact_SortedWeights!$C$2:$C$6,$A768,Fact_SortedWeights!$B$2:$B$6,$B768,Fact_SortedWeights!$D$2:$D$6,$C768,Fact_SortedWeights!$L$2:$L$6,"Yes"))+IF((SUMIFS(Fact_SortedWeights!$E$2:$E$6,Fact_SortedWeights!$C$2:$C$6,$A768,Fact_SortedWeights!$B$2:$B$6,$B768,Fact_SortedWeights!$L$2:$L$6,"No"))=0,0,(SUMIFS(Fact_SortedWeights!$E$2:$E$6,Fact_SortedWeights!$C$2:$C$6,$A768,Fact_SortedWeights!$B$2:$B$6,$B768,Fact_SortedWeights!$D$2:$D$6,$C768,Fact_SortedWeights!$L$2:$L$6,"No"))/(SUMIFS(Fact_SortedWeights!$E$2:$E$6,Fact_SortedWeights!$C$2:$C$6,$A768,Fact_SortedWeights!$B$2:$B$6,$B768,Fact_SortedWeights!$L$2:$L$6,"No"))*((SUMIFS(Fact_PreSortWeights!$E$2:$E$15,Fact_PreSortWeights!$C$2:$C$15,$A768,Fact_PreSortWeights!$B$2:$B$15,$B768,Fact_PreSortWeights!$F$2:$F$15,""))-(SUMIFS(Fact_SortedWeights!$E$2:$E$6,Fact_SortedWeights!$C$2:$C$6,$A768,Fact_SortedWeights!$B$2:$B$6,$B768,Fact_SortedWeights!$L$2:$L$6,"Yes"))))</f>
        <v>0</v>
      </c>
      <c r="G768" s="0" t="n">
        <f aca="false">IF(AND(IF($B768="Trash",INDEX('Materials Master'!$F$2:$F$27,MATCH($C768,'Materials Master'!$A$2:$A$27,0)),IF($B768="GMPC Recycling",INDEX('Materials Master'!$G$2:$G$27,MATCH($C768,'Materials Master'!$A$2:$A$27,0)),IF($B768="Organics Recycling",INDEX('Materials Master'!$H$2:$H$27,MATCH($C768,'Materials Master'!$A$2:$A$27,0)),IF($B768="Cardboard Recycling",INDEX('Materials Master'!$I$2:$I$27,MATCH($C768,'Materials Master'!$A$2:$A$27,0)),IF($B768="Paper Recycling",INDEX('Materials Master'!$J$2:$J$27,MATCH($C768,'Materials Master'!$A$2:$A$27,0)),IF($B768="Terracycle",INDEX('Materials Master'!$K$2:$K$27,MATCH($C768,'Materials Master'!$A$2:$A$27,0)),"No"))))))="Yes",INDEX('Materials Master'!$E$2:$E$27,MATCH($C768,'Materials Master'!$A$2:$A$27,0))="Yes",$B768&lt;&gt;"Trash"),1,0)</f>
        <v>0</v>
      </c>
      <c r="H768" s="0" t="str">
        <f aca="false">INDEX('Materials Master'!$E$2:$E$27,MATCH($C768,'Materials Master'!$A$2:$A$27,0))</f>
        <v>Yes</v>
      </c>
      <c r="I768" s="0" t="str">
        <f aca="false">IFERROR(INDEX(Areas!$C$2:$C$6,MATCH($A768,Areas!$B$2:$B$6,0)),"")</f>
        <v>Rest of Building</v>
      </c>
      <c r="J768" s="0" t="n">
        <f aca="false">IF(IF($B768="Trash",INDEX('Materials Master'!$F$2:$F$27,MATCH($C768,'Materials Master'!$A$2:$A$27,0)),IF($B768="GMPC Recycling",INDEX('Materials Master'!$G$2:$G$27,MATCH($C768,'Materials Master'!$A$2:$A$27,0)),IF($B768="Organics Recycling",INDEX('Materials Master'!$H$2:$H$27,MATCH($C768,'Materials Master'!$A$2:$A$27,0)),IF($B768="Cardboard Recycling",INDEX('Materials Master'!$I$2:$I$27,MATCH($C768,'Materials Master'!$A$2:$A$27,0)),IF($B768="Paper Recycling",INDEX('Materials Master'!$J$2:$J$27,MATCH($C768,'Materials Master'!$A$2:$A$27,0)),IF($B768="Terracycle",INDEX('Materials Master'!$K$2:$K$27,MATCH($C768,'Materials Master'!$A$2:$A$27,0)),"No"))))))="Yes",1,0)</f>
        <v>0</v>
      </c>
    </row>
    <row r="769" customFormat="false" ht="15" hidden="false" customHeight="false" outlineLevel="0" collapsed="false">
      <c r="A769" s="0" t="s">
        <v>100</v>
      </c>
      <c r="B769" s="0" t="s">
        <v>108</v>
      </c>
      <c r="C769" s="0" t="s">
        <v>58</v>
      </c>
      <c r="D769" s="0" t="str">
        <f aca="false">IFERROR(INDEX('Materials Master'!$B$2:$B$27,MATCH($C769,'Materials Master'!$A$2:$A$27,0)),"")</f>
        <v>Soiled Rigid Plastics</v>
      </c>
      <c r="E769" s="0" t="str">
        <f aca="false">IFERROR(INDEX('Materials Master'!$C$2:$C$27,MATCH($C769,'Materials Master'!$A$2:$A$27,0)),"")</f>
        <v>Plastics</v>
      </c>
      <c r="F769" s="0" t="n">
        <f aca="false">(SUMIFS(Fact_PreSortWeights!$E$2:$E$15,Fact_PreSortWeights!$C$2:$C$15,$A769,Fact_PreSortWeights!$B$2:$B$15,$B769,Fact_PreSortWeights!$F$2:$F$15,$C769))+(SUMIFS(Fact_SortedWeights!$E$2:$E$6,Fact_SortedWeights!$C$2:$C$6,$A769,Fact_SortedWeights!$B$2:$B$6,$B769,Fact_SortedWeights!$D$2:$D$6,$C769,Fact_SortedWeights!$L$2:$L$6,"Yes"))+IF((SUMIFS(Fact_SortedWeights!$E$2:$E$6,Fact_SortedWeights!$C$2:$C$6,$A769,Fact_SortedWeights!$B$2:$B$6,$B769,Fact_SortedWeights!$L$2:$L$6,"No"))=0,0,(SUMIFS(Fact_SortedWeights!$E$2:$E$6,Fact_SortedWeights!$C$2:$C$6,$A769,Fact_SortedWeights!$B$2:$B$6,$B769,Fact_SortedWeights!$D$2:$D$6,$C769,Fact_SortedWeights!$L$2:$L$6,"No"))/(SUMIFS(Fact_SortedWeights!$E$2:$E$6,Fact_SortedWeights!$C$2:$C$6,$A769,Fact_SortedWeights!$B$2:$B$6,$B769,Fact_SortedWeights!$L$2:$L$6,"No"))*((SUMIFS(Fact_PreSortWeights!$E$2:$E$15,Fact_PreSortWeights!$C$2:$C$15,$A769,Fact_PreSortWeights!$B$2:$B$15,$B769,Fact_PreSortWeights!$F$2:$F$15,""))-(SUMIFS(Fact_SortedWeights!$E$2:$E$6,Fact_SortedWeights!$C$2:$C$6,$A769,Fact_SortedWeights!$B$2:$B$6,$B769,Fact_SortedWeights!$L$2:$L$6,"Yes"))))</f>
        <v>0</v>
      </c>
      <c r="G769" s="0" t="n">
        <f aca="false">IF(AND(IF($B769="Trash",INDEX('Materials Master'!$F$2:$F$27,MATCH($C769,'Materials Master'!$A$2:$A$27,0)),IF($B769="GMPC Recycling",INDEX('Materials Master'!$G$2:$G$27,MATCH($C769,'Materials Master'!$A$2:$A$27,0)),IF($B769="Organics Recycling",INDEX('Materials Master'!$H$2:$H$27,MATCH($C769,'Materials Master'!$A$2:$A$27,0)),IF($B769="Cardboard Recycling",INDEX('Materials Master'!$I$2:$I$27,MATCH($C769,'Materials Master'!$A$2:$A$27,0)),IF($B769="Paper Recycling",INDEX('Materials Master'!$J$2:$J$27,MATCH($C769,'Materials Master'!$A$2:$A$27,0)),IF($B769="Terracycle",INDEX('Materials Master'!$K$2:$K$27,MATCH($C769,'Materials Master'!$A$2:$A$27,0)),"No"))))))="Yes",INDEX('Materials Master'!$E$2:$E$27,MATCH($C769,'Materials Master'!$A$2:$A$27,0))="Yes",$B769&lt;&gt;"Trash"),1,0)</f>
        <v>0</v>
      </c>
      <c r="H769" s="0" t="str">
        <f aca="false">INDEX('Materials Master'!$E$2:$E$27,MATCH($C769,'Materials Master'!$A$2:$A$27,0))</f>
        <v>No</v>
      </c>
      <c r="I769" s="0" t="str">
        <f aca="false">IFERROR(INDEX(Areas!$C$2:$C$6,MATCH($A769,Areas!$B$2:$B$6,0)),"")</f>
        <v>Rest of Building</v>
      </c>
      <c r="J769" s="0" t="n">
        <f aca="false">IF(IF($B769="Trash",INDEX('Materials Master'!$F$2:$F$27,MATCH($C769,'Materials Master'!$A$2:$A$27,0)),IF($B769="GMPC Recycling",INDEX('Materials Master'!$G$2:$G$27,MATCH($C769,'Materials Master'!$A$2:$A$27,0)),IF($B769="Organics Recycling",INDEX('Materials Master'!$H$2:$H$27,MATCH($C769,'Materials Master'!$A$2:$A$27,0)),IF($B769="Cardboard Recycling",INDEX('Materials Master'!$I$2:$I$27,MATCH($C769,'Materials Master'!$A$2:$A$27,0)),IF($B769="Paper Recycling",INDEX('Materials Master'!$J$2:$J$27,MATCH($C769,'Materials Master'!$A$2:$A$27,0)),IF($B769="Terracycle",INDEX('Materials Master'!$K$2:$K$27,MATCH($C769,'Materials Master'!$A$2:$A$27,0)),"No"))))))="Yes",1,0)</f>
        <v>0</v>
      </c>
    </row>
    <row r="770" customFormat="false" ht="15" hidden="false" customHeight="false" outlineLevel="0" collapsed="false">
      <c r="A770" s="0" t="s">
        <v>100</v>
      </c>
      <c r="B770" s="0" t="s">
        <v>108</v>
      </c>
      <c r="C770" s="0" t="s">
        <v>60</v>
      </c>
      <c r="D770" s="0" t="str">
        <f aca="false">IFERROR(INDEX('Materials Master'!$B$2:$B$27,MATCH($C770,'Materials Master'!$A$2:$A$27,0)),"")</f>
        <v>Film Plastics</v>
      </c>
      <c r="E770" s="0" t="str">
        <f aca="false">IFERROR(INDEX('Materials Master'!$C$2:$C$27,MATCH($C770,'Materials Master'!$A$2:$A$27,0)),"")</f>
        <v>Plastics</v>
      </c>
      <c r="F770" s="0" t="n">
        <f aca="false">(SUMIFS(Fact_PreSortWeights!$E$2:$E$15,Fact_PreSortWeights!$C$2:$C$15,$A770,Fact_PreSortWeights!$B$2:$B$15,$B770,Fact_PreSortWeights!$F$2:$F$15,$C770))+(SUMIFS(Fact_SortedWeights!$E$2:$E$6,Fact_SortedWeights!$C$2:$C$6,$A770,Fact_SortedWeights!$B$2:$B$6,$B770,Fact_SortedWeights!$D$2:$D$6,$C770,Fact_SortedWeights!$L$2:$L$6,"Yes"))+IF((SUMIFS(Fact_SortedWeights!$E$2:$E$6,Fact_SortedWeights!$C$2:$C$6,$A770,Fact_SortedWeights!$B$2:$B$6,$B770,Fact_SortedWeights!$L$2:$L$6,"No"))=0,0,(SUMIFS(Fact_SortedWeights!$E$2:$E$6,Fact_SortedWeights!$C$2:$C$6,$A770,Fact_SortedWeights!$B$2:$B$6,$B770,Fact_SortedWeights!$D$2:$D$6,$C770,Fact_SortedWeights!$L$2:$L$6,"No"))/(SUMIFS(Fact_SortedWeights!$E$2:$E$6,Fact_SortedWeights!$C$2:$C$6,$A770,Fact_SortedWeights!$B$2:$B$6,$B770,Fact_SortedWeights!$L$2:$L$6,"No"))*((SUMIFS(Fact_PreSortWeights!$E$2:$E$15,Fact_PreSortWeights!$C$2:$C$15,$A770,Fact_PreSortWeights!$B$2:$B$15,$B770,Fact_PreSortWeights!$F$2:$F$15,""))-(SUMIFS(Fact_SortedWeights!$E$2:$E$6,Fact_SortedWeights!$C$2:$C$6,$A770,Fact_SortedWeights!$B$2:$B$6,$B770,Fact_SortedWeights!$L$2:$L$6,"Yes"))))</f>
        <v>0</v>
      </c>
      <c r="G770" s="0" t="n">
        <f aca="false">IF(AND(IF($B770="Trash",INDEX('Materials Master'!$F$2:$F$27,MATCH($C770,'Materials Master'!$A$2:$A$27,0)),IF($B770="GMPC Recycling",INDEX('Materials Master'!$G$2:$G$27,MATCH($C770,'Materials Master'!$A$2:$A$27,0)),IF($B770="Organics Recycling",INDEX('Materials Master'!$H$2:$H$27,MATCH($C770,'Materials Master'!$A$2:$A$27,0)),IF($B770="Cardboard Recycling",INDEX('Materials Master'!$I$2:$I$27,MATCH($C770,'Materials Master'!$A$2:$A$27,0)),IF($B770="Paper Recycling",INDEX('Materials Master'!$J$2:$J$27,MATCH($C770,'Materials Master'!$A$2:$A$27,0)),IF($B770="Terracycle",INDEX('Materials Master'!$K$2:$K$27,MATCH($C770,'Materials Master'!$A$2:$A$27,0)),"No"))))))="Yes",INDEX('Materials Master'!$E$2:$E$27,MATCH($C770,'Materials Master'!$A$2:$A$27,0))="Yes",$B770&lt;&gt;"Trash"),1,0)</f>
        <v>0</v>
      </c>
      <c r="H770" s="0" t="str">
        <f aca="false">INDEX('Materials Master'!$E$2:$E$27,MATCH($C770,'Materials Master'!$A$2:$A$27,0))</f>
        <v>No</v>
      </c>
      <c r="I770" s="0" t="str">
        <f aca="false">IFERROR(INDEX(Areas!$C$2:$C$6,MATCH($A770,Areas!$B$2:$B$6,0)),"")</f>
        <v>Rest of Building</v>
      </c>
      <c r="J770" s="0" t="n">
        <f aca="false">IF(IF($B770="Trash",INDEX('Materials Master'!$F$2:$F$27,MATCH($C770,'Materials Master'!$A$2:$A$27,0)),IF($B770="GMPC Recycling",INDEX('Materials Master'!$G$2:$G$27,MATCH($C770,'Materials Master'!$A$2:$A$27,0)),IF($B770="Organics Recycling",INDEX('Materials Master'!$H$2:$H$27,MATCH($C770,'Materials Master'!$A$2:$A$27,0)),IF($B770="Cardboard Recycling",INDEX('Materials Master'!$I$2:$I$27,MATCH($C770,'Materials Master'!$A$2:$A$27,0)),IF($B770="Paper Recycling",INDEX('Materials Master'!$J$2:$J$27,MATCH($C770,'Materials Master'!$A$2:$A$27,0)),IF($B770="Terracycle",INDEX('Materials Master'!$K$2:$K$27,MATCH($C770,'Materials Master'!$A$2:$A$27,0)),"No"))))))="Yes",1,0)</f>
        <v>0</v>
      </c>
    </row>
    <row r="771" customFormat="false" ht="15" hidden="false" customHeight="false" outlineLevel="0" collapsed="false">
      <c r="A771" s="0" t="s">
        <v>100</v>
      </c>
      <c r="B771" s="0" t="s">
        <v>108</v>
      </c>
      <c r="C771" s="0" t="s">
        <v>62</v>
      </c>
      <c r="D771" s="0" t="str">
        <f aca="false">IFERROR(INDEX('Materials Master'!$B$2:$B$27,MATCH($C771,'Materials Master'!$A$2:$A$27,0)),"")</f>
        <v>Foams</v>
      </c>
      <c r="E771" s="0" t="str">
        <f aca="false">IFERROR(INDEX('Materials Master'!$C$2:$C$27,MATCH($C771,'Materials Master'!$A$2:$A$27,0)),"")</f>
        <v>Plastics</v>
      </c>
      <c r="F771" s="0" t="n">
        <f aca="false">(SUMIFS(Fact_PreSortWeights!$E$2:$E$15,Fact_PreSortWeights!$C$2:$C$15,$A771,Fact_PreSortWeights!$B$2:$B$15,$B771,Fact_PreSortWeights!$F$2:$F$15,$C771))+(SUMIFS(Fact_SortedWeights!$E$2:$E$6,Fact_SortedWeights!$C$2:$C$6,$A771,Fact_SortedWeights!$B$2:$B$6,$B771,Fact_SortedWeights!$D$2:$D$6,$C771,Fact_SortedWeights!$L$2:$L$6,"Yes"))+IF((SUMIFS(Fact_SortedWeights!$E$2:$E$6,Fact_SortedWeights!$C$2:$C$6,$A771,Fact_SortedWeights!$B$2:$B$6,$B771,Fact_SortedWeights!$L$2:$L$6,"No"))=0,0,(SUMIFS(Fact_SortedWeights!$E$2:$E$6,Fact_SortedWeights!$C$2:$C$6,$A771,Fact_SortedWeights!$B$2:$B$6,$B771,Fact_SortedWeights!$D$2:$D$6,$C771,Fact_SortedWeights!$L$2:$L$6,"No"))/(SUMIFS(Fact_SortedWeights!$E$2:$E$6,Fact_SortedWeights!$C$2:$C$6,$A771,Fact_SortedWeights!$B$2:$B$6,$B771,Fact_SortedWeights!$L$2:$L$6,"No"))*((SUMIFS(Fact_PreSortWeights!$E$2:$E$15,Fact_PreSortWeights!$C$2:$C$15,$A771,Fact_PreSortWeights!$B$2:$B$15,$B771,Fact_PreSortWeights!$F$2:$F$15,""))-(SUMIFS(Fact_SortedWeights!$E$2:$E$6,Fact_SortedWeights!$C$2:$C$6,$A771,Fact_SortedWeights!$B$2:$B$6,$B771,Fact_SortedWeights!$L$2:$L$6,"Yes"))))</f>
        <v>0</v>
      </c>
      <c r="G771" s="0" t="n">
        <f aca="false">IF(AND(IF($B771="Trash",INDEX('Materials Master'!$F$2:$F$27,MATCH($C771,'Materials Master'!$A$2:$A$27,0)),IF($B771="GMPC Recycling",INDEX('Materials Master'!$G$2:$G$27,MATCH($C771,'Materials Master'!$A$2:$A$27,0)),IF($B771="Organics Recycling",INDEX('Materials Master'!$H$2:$H$27,MATCH($C771,'Materials Master'!$A$2:$A$27,0)),IF($B771="Cardboard Recycling",INDEX('Materials Master'!$I$2:$I$27,MATCH($C771,'Materials Master'!$A$2:$A$27,0)),IF($B771="Paper Recycling",INDEX('Materials Master'!$J$2:$J$27,MATCH($C771,'Materials Master'!$A$2:$A$27,0)),IF($B771="Terracycle",INDEX('Materials Master'!$K$2:$K$27,MATCH($C771,'Materials Master'!$A$2:$A$27,0)),"No"))))))="Yes",INDEX('Materials Master'!$E$2:$E$27,MATCH($C771,'Materials Master'!$A$2:$A$27,0))="Yes",$B771&lt;&gt;"Trash"),1,0)</f>
        <v>0</v>
      </c>
      <c r="H771" s="0" t="str">
        <f aca="false">INDEX('Materials Master'!$E$2:$E$27,MATCH($C771,'Materials Master'!$A$2:$A$27,0))</f>
        <v>No</v>
      </c>
      <c r="I771" s="0" t="str">
        <f aca="false">IFERROR(INDEX(Areas!$C$2:$C$6,MATCH($A771,Areas!$B$2:$B$6,0)),"")</f>
        <v>Rest of Building</v>
      </c>
      <c r="J771" s="0" t="n">
        <f aca="false">IF(IF($B771="Trash",INDEX('Materials Master'!$F$2:$F$27,MATCH($C771,'Materials Master'!$A$2:$A$27,0)),IF($B771="GMPC Recycling",INDEX('Materials Master'!$G$2:$G$27,MATCH($C771,'Materials Master'!$A$2:$A$27,0)),IF($B771="Organics Recycling",INDEX('Materials Master'!$H$2:$H$27,MATCH($C771,'Materials Master'!$A$2:$A$27,0)),IF($B771="Cardboard Recycling",INDEX('Materials Master'!$I$2:$I$27,MATCH($C771,'Materials Master'!$A$2:$A$27,0)),IF($B771="Paper Recycling",INDEX('Materials Master'!$J$2:$J$27,MATCH($C771,'Materials Master'!$A$2:$A$27,0)),IF($B771="Terracycle",INDEX('Materials Master'!$K$2:$K$27,MATCH($C771,'Materials Master'!$A$2:$A$27,0)),"No"))))))="Yes",1,0)</f>
        <v>0</v>
      </c>
    </row>
    <row r="772" customFormat="false" ht="15" hidden="false" customHeight="false" outlineLevel="0" collapsed="false">
      <c r="A772" s="0" t="s">
        <v>100</v>
      </c>
      <c r="B772" s="0" t="s">
        <v>108</v>
      </c>
      <c r="C772" s="0" t="s">
        <v>64</v>
      </c>
      <c r="D772" s="0" t="str">
        <f aca="false">IFERROR(INDEX('Materials Master'!$B$2:$B$27,MATCH($C772,'Materials Master'!$A$2:$A$27,0)),"")</f>
        <v>Food Waste</v>
      </c>
      <c r="E772" s="0" t="str">
        <f aca="false">IFERROR(INDEX('Materials Master'!$C$2:$C$27,MATCH($C772,'Materials Master'!$A$2:$A$27,0)),"")</f>
        <v>Organics</v>
      </c>
      <c r="F772" s="0" t="n">
        <f aca="false">(SUMIFS(Fact_PreSortWeights!$E$2:$E$15,Fact_PreSortWeights!$C$2:$C$15,$A772,Fact_PreSortWeights!$B$2:$B$15,$B772,Fact_PreSortWeights!$F$2:$F$15,$C772))+(SUMIFS(Fact_SortedWeights!$E$2:$E$6,Fact_SortedWeights!$C$2:$C$6,$A772,Fact_SortedWeights!$B$2:$B$6,$B772,Fact_SortedWeights!$D$2:$D$6,$C772,Fact_SortedWeights!$L$2:$L$6,"Yes"))+IF((SUMIFS(Fact_SortedWeights!$E$2:$E$6,Fact_SortedWeights!$C$2:$C$6,$A772,Fact_SortedWeights!$B$2:$B$6,$B772,Fact_SortedWeights!$L$2:$L$6,"No"))=0,0,(SUMIFS(Fact_SortedWeights!$E$2:$E$6,Fact_SortedWeights!$C$2:$C$6,$A772,Fact_SortedWeights!$B$2:$B$6,$B772,Fact_SortedWeights!$D$2:$D$6,$C772,Fact_SortedWeights!$L$2:$L$6,"No"))/(SUMIFS(Fact_SortedWeights!$E$2:$E$6,Fact_SortedWeights!$C$2:$C$6,$A772,Fact_SortedWeights!$B$2:$B$6,$B772,Fact_SortedWeights!$L$2:$L$6,"No"))*((SUMIFS(Fact_PreSortWeights!$E$2:$E$15,Fact_PreSortWeights!$C$2:$C$15,$A772,Fact_PreSortWeights!$B$2:$B$15,$B772,Fact_PreSortWeights!$F$2:$F$15,""))-(SUMIFS(Fact_SortedWeights!$E$2:$E$6,Fact_SortedWeights!$C$2:$C$6,$A772,Fact_SortedWeights!$B$2:$B$6,$B772,Fact_SortedWeights!$L$2:$L$6,"Yes"))))</f>
        <v>0</v>
      </c>
      <c r="G772" s="0" t="n">
        <f aca="false">IF(AND(IF($B772="Trash",INDEX('Materials Master'!$F$2:$F$27,MATCH($C772,'Materials Master'!$A$2:$A$27,0)),IF($B772="GMPC Recycling",INDEX('Materials Master'!$G$2:$G$27,MATCH($C772,'Materials Master'!$A$2:$A$27,0)),IF($B772="Organics Recycling",INDEX('Materials Master'!$H$2:$H$27,MATCH($C772,'Materials Master'!$A$2:$A$27,0)),IF($B772="Cardboard Recycling",INDEX('Materials Master'!$I$2:$I$27,MATCH($C772,'Materials Master'!$A$2:$A$27,0)),IF($B772="Paper Recycling",INDEX('Materials Master'!$J$2:$J$27,MATCH($C772,'Materials Master'!$A$2:$A$27,0)),IF($B772="Terracycle",INDEX('Materials Master'!$K$2:$K$27,MATCH($C772,'Materials Master'!$A$2:$A$27,0)),"No"))))))="Yes",INDEX('Materials Master'!$E$2:$E$27,MATCH($C772,'Materials Master'!$A$2:$A$27,0))="Yes",$B772&lt;&gt;"Trash"),1,0)</f>
        <v>0</v>
      </c>
      <c r="H772" s="0" t="str">
        <f aca="false">INDEX('Materials Master'!$E$2:$E$27,MATCH($C772,'Materials Master'!$A$2:$A$27,0))</f>
        <v>Yes</v>
      </c>
      <c r="I772" s="0" t="str">
        <f aca="false">IFERROR(INDEX(Areas!$C$2:$C$6,MATCH($A772,Areas!$B$2:$B$6,0)),"")</f>
        <v>Rest of Building</v>
      </c>
      <c r="J772" s="0" t="n">
        <f aca="false">IF(IF($B772="Trash",INDEX('Materials Master'!$F$2:$F$27,MATCH($C772,'Materials Master'!$A$2:$A$27,0)),IF($B772="GMPC Recycling",INDEX('Materials Master'!$G$2:$G$27,MATCH($C772,'Materials Master'!$A$2:$A$27,0)),IF($B772="Organics Recycling",INDEX('Materials Master'!$H$2:$H$27,MATCH($C772,'Materials Master'!$A$2:$A$27,0)),IF($B772="Cardboard Recycling",INDEX('Materials Master'!$I$2:$I$27,MATCH($C772,'Materials Master'!$A$2:$A$27,0)),IF($B772="Paper Recycling",INDEX('Materials Master'!$J$2:$J$27,MATCH($C772,'Materials Master'!$A$2:$A$27,0)),IF($B772="Terracycle",INDEX('Materials Master'!$K$2:$K$27,MATCH($C772,'Materials Master'!$A$2:$A$27,0)),"No"))))))="Yes",1,0)</f>
        <v>0</v>
      </c>
    </row>
    <row r="773" customFormat="false" ht="15" hidden="false" customHeight="false" outlineLevel="0" collapsed="false">
      <c r="A773" s="0" t="s">
        <v>100</v>
      </c>
      <c r="B773" s="0" t="s">
        <v>108</v>
      </c>
      <c r="C773" s="0" t="s">
        <v>67</v>
      </c>
      <c r="D773" s="0" t="str">
        <f aca="false">IFERROR(INDEX('Materials Master'!$B$2:$B$27,MATCH($C773,'Materials Master'!$A$2:$A$27,0)),"")</f>
        <v>Paper Fibers and Food-Soiled Paper (FSP)</v>
      </c>
      <c r="E773" s="0" t="str">
        <f aca="false">IFERROR(INDEX('Materials Master'!$C$2:$C$27,MATCH($C773,'Materials Master'!$A$2:$A$27,0)),"")</f>
        <v>Organics</v>
      </c>
      <c r="F773" s="0" t="n">
        <f aca="false">(SUMIFS(Fact_PreSortWeights!$E$2:$E$15,Fact_PreSortWeights!$C$2:$C$15,$A773,Fact_PreSortWeights!$B$2:$B$15,$B773,Fact_PreSortWeights!$F$2:$F$15,$C773))+(SUMIFS(Fact_SortedWeights!$E$2:$E$6,Fact_SortedWeights!$C$2:$C$6,$A773,Fact_SortedWeights!$B$2:$B$6,$B773,Fact_SortedWeights!$D$2:$D$6,$C773,Fact_SortedWeights!$L$2:$L$6,"Yes"))+IF((SUMIFS(Fact_SortedWeights!$E$2:$E$6,Fact_SortedWeights!$C$2:$C$6,$A773,Fact_SortedWeights!$B$2:$B$6,$B773,Fact_SortedWeights!$L$2:$L$6,"No"))=0,(SUMIFS(Fact_PreSortWeights!$E$2:$E$15,Fact_PreSortWeights!$C$2:$C$15,$A773,Fact_PreSortWeights!$B$2:$B$15,$B773,Fact_PreSortWeights!$F$2:$F$15,""))-(SUMIFS(Fact_SortedWeights!$E$2:$E$6,Fact_SortedWeights!$C$2:$C$6,$A773,Fact_SortedWeights!$B$2:$B$6,$B773,Fact_SortedWeights!$L$2:$L$6,"Yes")),(SUMIFS(Fact_SortedWeights!$E$2:$E$6,Fact_SortedWeights!$C$2:$C$6,$A773,Fact_SortedWeights!$B$2:$B$6,$B773,Fact_SortedWeights!$D$2:$D$6,$C773,Fact_SortedWeights!$L$2:$L$6,"No"))/(SUMIFS(Fact_SortedWeights!$E$2:$E$6,Fact_SortedWeights!$C$2:$C$6,$A773,Fact_SortedWeights!$B$2:$B$6,$B773,Fact_SortedWeights!$L$2:$L$6,"No"))*((SUMIFS(Fact_PreSortWeights!$E$2:$E$15,Fact_PreSortWeights!$C$2:$C$15,$A773,Fact_PreSortWeights!$B$2:$B$15,$B773,Fact_PreSortWeights!$F$2:$F$15,""))-(SUMIFS(Fact_SortedWeights!$E$2:$E$6,Fact_SortedWeights!$C$2:$C$6,$A773,Fact_SortedWeights!$B$2:$B$6,$B773,Fact_SortedWeights!$L$2:$L$6,"Yes"))))</f>
        <v>0</v>
      </c>
      <c r="G773" s="0" t="n">
        <f aca="false">IF(AND(IF($B773="Trash",INDEX('Materials Master'!$F$2:$F$27,MATCH($C773,'Materials Master'!$A$2:$A$27,0)),IF($B773="GMPC Recycling",INDEX('Materials Master'!$G$2:$G$27,MATCH($C773,'Materials Master'!$A$2:$A$27,0)),IF($B773="Organics Recycling",INDEX('Materials Master'!$H$2:$H$27,MATCH($C773,'Materials Master'!$A$2:$A$27,0)),IF($B773="Cardboard Recycling",INDEX('Materials Master'!$I$2:$I$27,MATCH($C773,'Materials Master'!$A$2:$A$27,0)),IF($B773="Paper Recycling",INDEX('Materials Master'!$J$2:$J$27,MATCH($C773,'Materials Master'!$A$2:$A$27,0)),IF($B773="Terracycle",INDEX('Materials Master'!$K$2:$K$27,MATCH($C773,'Materials Master'!$A$2:$A$27,0)),"No"))))))="Yes",INDEX('Materials Master'!$E$2:$E$27,MATCH($C773,'Materials Master'!$A$2:$A$27,0))="Yes",$B773&lt;&gt;"Trash"),1,0)</f>
        <v>0</v>
      </c>
      <c r="H773" s="0" t="str">
        <f aca="false">INDEX('Materials Master'!$E$2:$E$27,MATCH($C773,'Materials Master'!$A$2:$A$27,0))</f>
        <v>No</v>
      </c>
      <c r="I773" s="0" t="str">
        <f aca="false">IFERROR(INDEX(Areas!$C$2:$C$6,MATCH($A773,Areas!$B$2:$B$6,0)),"")</f>
        <v>Rest of Building</v>
      </c>
      <c r="J773" s="0" t="n">
        <f aca="false">IF(IF($B773="Trash",INDEX('Materials Master'!$F$2:$F$27,MATCH($C773,'Materials Master'!$A$2:$A$27,0)),IF($B773="GMPC Recycling",INDEX('Materials Master'!$G$2:$G$27,MATCH($C773,'Materials Master'!$A$2:$A$27,0)),IF($B773="Organics Recycling",INDEX('Materials Master'!$H$2:$H$27,MATCH($C773,'Materials Master'!$A$2:$A$27,0)),IF($B773="Cardboard Recycling",INDEX('Materials Master'!$I$2:$I$27,MATCH($C773,'Materials Master'!$A$2:$A$27,0)),IF($B773="Paper Recycling",INDEX('Materials Master'!$J$2:$J$27,MATCH($C773,'Materials Master'!$A$2:$A$27,0)),IF($B773="Terracycle",INDEX('Materials Master'!$K$2:$K$27,MATCH($C773,'Materials Master'!$A$2:$A$27,0)),"No"))))))="Yes",1,0)</f>
        <v>0</v>
      </c>
    </row>
    <row r="774" customFormat="false" ht="15" hidden="false" customHeight="false" outlineLevel="0" collapsed="false">
      <c r="A774" s="0" t="s">
        <v>100</v>
      </c>
      <c r="B774" s="0" t="s">
        <v>108</v>
      </c>
      <c r="C774" s="0" t="s">
        <v>69</v>
      </c>
      <c r="D774" s="0" t="str">
        <f aca="false">IFERROR(INDEX('Materials Master'!$B$2:$B$27,MATCH($C774,'Materials Master'!$A$2:$A$27,0)),"")</f>
        <v>Fiber-based Compostable Serviceware</v>
      </c>
      <c r="E774" s="0" t="str">
        <f aca="false">IFERROR(INDEX('Materials Master'!$C$2:$C$27,MATCH($C774,'Materials Master'!$A$2:$A$27,0)),"")</f>
        <v>Organics</v>
      </c>
      <c r="F774" s="0" t="n">
        <f aca="false">(SUMIFS(Fact_PreSortWeights!$E$2:$E$15,Fact_PreSortWeights!$C$2:$C$15,$A774,Fact_PreSortWeights!$B$2:$B$15,$B774,Fact_PreSortWeights!$F$2:$F$15,$C774))+(SUMIFS(Fact_SortedWeights!$E$2:$E$6,Fact_SortedWeights!$C$2:$C$6,$A774,Fact_SortedWeights!$B$2:$B$6,$B774,Fact_SortedWeights!$D$2:$D$6,$C774,Fact_SortedWeights!$L$2:$L$6,"Yes"))+IF((SUMIFS(Fact_SortedWeights!$E$2:$E$6,Fact_SortedWeights!$C$2:$C$6,$A774,Fact_SortedWeights!$B$2:$B$6,$B774,Fact_SortedWeights!$L$2:$L$6,"No"))=0,0,(SUMIFS(Fact_SortedWeights!$E$2:$E$6,Fact_SortedWeights!$C$2:$C$6,$A774,Fact_SortedWeights!$B$2:$B$6,$B774,Fact_SortedWeights!$D$2:$D$6,$C774,Fact_SortedWeights!$L$2:$L$6,"No"))/(SUMIFS(Fact_SortedWeights!$E$2:$E$6,Fact_SortedWeights!$C$2:$C$6,$A774,Fact_SortedWeights!$B$2:$B$6,$B774,Fact_SortedWeights!$L$2:$L$6,"No"))*((SUMIFS(Fact_PreSortWeights!$E$2:$E$15,Fact_PreSortWeights!$C$2:$C$15,$A774,Fact_PreSortWeights!$B$2:$B$15,$B774,Fact_PreSortWeights!$F$2:$F$15,""))-(SUMIFS(Fact_SortedWeights!$E$2:$E$6,Fact_SortedWeights!$C$2:$C$6,$A774,Fact_SortedWeights!$B$2:$B$6,$B774,Fact_SortedWeights!$L$2:$L$6,"Yes"))))</f>
        <v>0</v>
      </c>
      <c r="G774" s="0" t="n">
        <f aca="false">IF(AND(IF($B774="Trash",INDEX('Materials Master'!$F$2:$F$27,MATCH($C774,'Materials Master'!$A$2:$A$27,0)),IF($B774="GMPC Recycling",INDEX('Materials Master'!$G$2:$G$27,MATCH($C774,'Materials Master'!$A$2:$A$27,0)),IF($B774="Organics Recycling",INDEX('Materials Master'!$H$2:$H$27,MATCH($C774,'Materials Master'!$A$2:$A$27,0)),IF($B774="Cardboard Recycling",INDEX('Materials Master'!$I$2:$I$27,MATCH($C774,'Materials Master'!$A$2:$A$27,0)),IF($B774="Paper Recycling",INDEX('Materials Master'!$J$2:$J$27,MATCH($C774,'Materials Master'!$A$2:$A$27,0)),IF($B774="Terracycle",INDEX('Materials Master'!$K$2:$K$27,MATCH($C774,'Materials Master'!$A$2:$A$27,0)),"No"))))))="Yes",INDEX('Materials Master'!$E$2:$E$27,MATCH($C774,'Materials Master'!$A$2:$A$27,0))="Yes",$B774&lt;&gt;"Trash"),1,0)</f>
        <v>0</v>
      </c>
      <c r="H774" s="0" t="str">
        <f aca="false">INDEX('Materials Master'!$E$2:$E$27,MATCH($C774,'Materials Master'!$A$2:$A$27,0))</f>
        <v>No</v>
      </c>
      <c r="I774" s="0" t="str">
        <f aca="false">IFERROR(INDEX(Areas!$C$2:$C$6,MATCH($A774,Areas!$B$2:$B$6,0)),"")</f>
        <v>Rest of Building</v>
      </c>
      <c r="J774" s="0" t="n">
        <f aca="false">IF(IF($B774="Trash",INDEX('Materials Master'!$F$2:$F$27,MATCH($C774,'Materials Master'!$A$2:$A$27,0)),IF($B774="GMPC Recycling",INDEX('Materials Master'!$G$2:$G$27,MATCH($C774,'Materials Master'!$A$2:$A$27,0)),IF($B774="Organics Recycling",INDEX('Materials Master'!$H$2:$H$27,MATCH($C774,'Materials Master'!$A$2:$A$27,0)),IF($B774="Cardboard Recycling",INDEX('Materials Master'!$I$2:$I$27,MATCH($C774,'Materials Master'!$A$2:$A$27,0)),IF($B774="Paper Recycling",INDEX('Materials Master'!$J$2:$J$27,MATCH($C774,'Materials Master'!$A$2:$A$27,0)),IF($B774="Terracycle",INDEX('Materials Master'!$K$2:$K$27,MATCH($C774,'Materials Master'!$A$2:$A$27,0)),"No"))))))="Yes",1,0)</f>
        <v>0</v>
      </c>
    </row>
    <row r="775" customFormat="false" ht="15" hidden="false" customHeight="false" outlineLevel="0" collapsed="false">
      <c r="A775" s="0" t="s">
        <v>100</v>
      </c>
      <c r="B775" s="0" t="s">
        <v>108</v>
      </c>
      <c r="C775" s="0" t="s">
        <v>71</v>
      </c>
      <c r="D775" s="0" t="str">
        <f aca="false">IFERROR(INDEX('Materials Master'!$B$2:$B$27,MATCH($C775,'Materials Master'!$A$2:$A$27,0)),"")</f>
        <v>PLA Compostable Serviceware</v>
      </c>
      <c r="E775" s="0" t="str">
        <f aca="false">IFERROR(INDEX('Materials Master'!$C$2:$C$27,MATCH($C775,'Materials Master'!$A$2:$A$27,0)),"")</f>
        <v>Organics</v>
      </c>
      <c r="F775" s="0" t="n">
        <f aca="false">(SUMIFS(Fact_PreSortWeights!$E$2:$E$15,Fact_PreSortWeights!$C$2:$C$15,$A775,Fact_PreSortWeights!$B$2:$B$15,$B775,Fact_PreSortWeights!$F$2:$F$15,$C775))+(SUMIFS(Fact_SortedWeights!$E$2:$E$6,Fact_SortedWeights!$C$2:$C$6,$A775,Fact_SortedWeights!$B$2:$B$6,$B775,Fact_SortedWeights!$D$2:$D$6,$C775,Fact_SortedWeights!$L$2:$L$6,"Yes"))+IF((SUMIFS(Fact_SortedWeights!$E$2:$E$6,Fact_SortedWeights!$C$2:$C$6,$A775,Fact_SortedWeights!$B$2:$B$6,$B775,Fact_SortedWeights!$L$2:$L$6,"No"))=0,0,(SUMIFS(Fact_SortedWeights!$E$2:$E$6,Fact_SortedWeights!$C$2:$C$6,$A775,Fact_SortedWeights!$B$2:$B$6,$B775,Fact_SortedWeights!$D$2:$D$6,$C775,Fact_SortedWeights!$L$2:$L$6,"No"))/(SUMIFS(Fact_SortedWeights!$E$2:$E$6,Fact_SortedWeights!$C$2:$C$6,$A775,Fact_SortedWeights!$B$2:$B$6,$B775,Fact_SortedWeights!$L$2:$L$6,"No"))*((SUMIFS(Fact_PreSortWeights!$E$2:$E$15,Fact_PreSortWeights!$C$2:$C$15,$A775,Fact_PreSortWeights!$B$2:$B$15,$B775,Fact_PreSortWeights!$F$2:$F$15,""))-(SUMIFS(Fact_SortedWeights!$E$2:$E$6,Fact_SortedWeights!$C$2:$C$6,$A775,Fact_SortedWeights!$B$2:$B$6,$B775,Fact_SortedWeights!$L$2:$L$6,"Yes"))))</f>
        <v>0</v>
      </c>
      <c r="G775" s="0" t="n">
        <f aca="false">IF(AND(IF($B775="Trash",INDEX('Materials Master'!$F$2:$F$27,MATCH($C775,'Materials Master'!$A$2:$A$27,0)),IF($B775="GMPC Recycling",INDEX('Materials Master'!$G$2:$G$27,MATCH($C775,'Materials Master'!$A$2:$A$27,0)),IF($B775="Organics Recycling",INDEX('Materials Master'!$H$2:$H$27,MATCH($C775,'Materials Master'!$A$2:$A$27,0)),IF($B775="Cardboard Recycling",INDEX('Materials Master'!$I$2:$I$27,MATCH($C775,'Materials Master'!$A$2:$A$27,0)),IF($B775="Paper Recycling",INDEX('Materials Master'!$J$2:$J$27,MATCH($C775,'Materials Master'!$A$2:$A$27,0)),IF($B775="Terracycle",INDEX('Materials Master'!$K$2:$K$27,MATCH($C775,'Materials Master'!$A$2:$A$27,0)),"No"))))))="Yes",INDEX('Materials Master'!$E$2:$E$27,MATCH($C775,'Materials Master'!$A$2:$A$27,0))="Yes",$B775&lt;&gt;"Trash"),1,0)</f>
        <v>0</v>
      </c>
      <c r="H775" s="0" t="str">
        <f aca="false">INDEX('Materials Master'!$E$2:$E$27,MATCH($C775,'Materials Master'!$A$2:$A$27,0))</f>
        <v>No</v>
      </c>
      <c r="I775" s="0" t="str">
        <f aca="false">IFERROR(INDEX(Areas!$C$2:$C$6,MATCH($A775,Areas!$B$2:$B$6,0)),"")</f>
        <v>Rest of Building</v>
      </c>
      <c r="J775" s="0" t="n">
        <f aca="false">IF(IF($B775="Trash",INDEX('Materials Master'!$F$2:$F$27,MATCH($C775,'Materials Master'!$A$2:$A$27,0)),IF($B775="GMPC Recycling",INDEX('Materials Master'!$G$2:$G$27,MATCH($C775,'Materials Master'!$A$2:$A$27,0)),IF($B775="Organics Recycling",INDEX('Materials Master'!$H$2:$H$27,MATCH($C775,'Materials Master'!$A$2:$A$27,0)),IF($B775="Cardboard Recycling",INDEX('Materials Master'!$I$2:$I$27,MATCH($C775,'Materials Master'!$A$2:$A$27,0)),IF($B775="Paper Recycling",INDEX('Materials Master'!$J$2:$J$27,MATCH($C775,'Materials Master'!$A$2:$A$27,0)),IF($B775="Terracycle",INDEX('Materials Master'!$K$2:$K$27,MATCH($C775,'Materials Master'!$A$2:$A$27,0)),"No"))))))="Yes",1,0)</f>
        <v>0</v>
      </c>
    </row>
    <row r="776" customFormat="false" ht="15" hidden="false" customHeight="false" outlineLevel="0" collapsed="false">
      <c r="A776" s="0" t="s">
        <v>100</v>
      </c>
      <c r="B776" s="0" t="s">
        <v>108</v>
      </c>
      <c r="C776" s="0" t="s">
        <v>73</v>
      </c>
      <c r="D776" s="0" t="str">
        <f aca="false">IFERROR(INDEX('Materials Master'!$B$2:$B$27,MATCH($C776,'Materials Master'!$A$2:$A$27,0)),"")</f>
        <v>E/U Waste</v>
      </c>
      <c r="E776" s="0" t="str">
        <f aca="false">IFERROR(INDEX('Materials Master'!$C$2:$C$27,MATCH($C776,'Materials Master'!$A$2:$A$27,0)),"")</f>
        <v>Unacceptable</v>
      </c>
      <c r="F776" s="0" t="n">
        <f aca="false">(SUMIFS(Fact_PreSortWeights!$E$2:$E$15,Fact_PreSortWeights!$C$2:$C$15,$A776,Fact_PreSortWeights!$B$2:$B$15,$B776,Fact_PreSortWeights!$F$2:$F$15,$C776))+(SUMIFS(Fact_SortedWeights!$E$2:$E$6,Fact_SortedWeights!$C$2:$C$6,$A776,Fact_SortedWeights!$B$2:$B$6,$B776,Fact_SortedWeights!$D$2:$D$6,$C776,Fact_SortedWeights!$L$2:$L$6,"Yes"))+IF((SUMIFS(Fact_SortedWeights!$E$2:$E$6,Fact_SortedWeights!$C$2:$C$6,$A776,Fact_SortedWeights!$B$2:$B$6,$B776,Fact_SortedWeights!$L$2:$L$6,"No"))=0,0,(SUMIFS(Fact_SortedWeights!$E$2:$E$6,Fact_SortedWeights!$C$2:$C$6,$A776,Fact_SortedWeights!$B$2:$B$6,$B776,Fact_SortedWeights!$D$2:$D$6,$C776,Fact_SortedWeights!$L$2:$L$6,"No"))/(SUMIFS(Fact_SortedWeights!$E$2:$E$6,Fact_SortedWeights!$C$2:$C$6,$A776,Fact_SortedWeights!$B$2:$B$6,$B776,Fact_SortedWeights!$L$2:$L$6,"No"))*((SUMIFS(Fact_PreSortWeights!$E$2:$E$15,Fact_PreSortWeights!$C$2:$C$15,$A776,Fact_PreSortWeights!$B$2:$B$15,$B776,Fact_PreSortWeights!$F$2:$F$15,""))-(SUMIFS(Fact_SortedWeights!$E$2:$E$6,Fact_SortedWeights!$C$2:$C$6,$A776,Fact_SortedWeights!$B$2:$B$6,$B776,Fact_SortedWeights!$L$2:$L$6,"Yes"))))</f>
        <v>0</v>
      </c>
      <c r="G776" s="0" t="n">
        <f aca="false">IF(AND(IF($B776="Trash",INDEX('Materials Master'!$F$2:$F$27,MATCH($C776,'Materials Master'!$A$2:$A$27,0)),IF($B776="GMPC Recycling",INDEX('Materials Master'!$G$2:$G$27,MATCH($C776,'Materials Master'!$A$2:$A$27,0)),IF($B776="Organics Recycling",INDEX('Materials Master'!$H$2:$H$27,MATCH($C776,'Materials Master'!$A$2:$A$27,0)),IF($B776="Cardboard Recycling",INDEX('Materials Master'!$I$2:$I$27,MATCH($C776,'Materials Master'!$A$2:$A$27,0)),IF($B776="Paper Recycling",INDEX('Materials Master'!$J$2:$J$27,MATCH($C776,'Materials Master'!$A$2:$A$27,0)),IF($B776="Terracycle",INDEX('Materials Master'!$K$2:$K$27,MATCH($C776,'Materials Master'!$A$2:$A$27,0)),"No"))))))="Yes",INDEX('Materials Master'!$E$2:$E$27,MATCH($C776,'Materials Master'!$A$2:$A$27,0))="Yes",$B776&lt;&gt;"Trash"),1,0)</f>
        <v>0</v>
      </c>
      <c r="H776" s="0" t="str">
        <f aca="false">INDEX('Materials Master'!$E$2:$E$27,MATCH($C776,'Materials Master'!$A$2:$A$27,0))</f>
        <v>No</v>
      </c>
      <c r="I776" s="0" t="str">
        <f aca="false">IFERROR(INDEX(Areas!$C$2:$C$6,MATCH($A776,Areas!$B$2:$B$6,0)),"")</f>
        <v>Rest of Building</v>
      </c>
      <c r="J776" s="0" t="n">
        <f aca="false">IF(IF($B776="Trash",INDEX('Materials Master'!$F$2:$F$27,MATCH($C776,'Materials Master'!$A$2:$A$27,0)),IF($B776="GMPC Recycling",INDEX('Materials Master'!$G$2:$G$27,MATCH($C776,'Materials Master'!$A$2:$A$27,0)),IF($B776="Organics Recycling",INDEX('Materials Master'!$H$2:$H$27,MATCH($C776,'Materials Master'!$A$2:$A$27,0)),IF($B776="Cardboard Recycling",INDEX('Materials Master'!$I$2:$I$27,MATCH($C776,'Materials Master'!$A$2:$A$27,0)),IF($B776="Paper Recycling",INDEX('Materials Master'!$J$2:$J$27,MATCH($C776,'Materials Master'!$A$2:$A$27,0)),IF($B776="Terracycle",INDEX('Materials Master'!$K$2:$K$27,MATCH($C776,'Materials Master'!$A$2:$A$27,0)),"No"))))))="Yes",1,0)</f>
        <v>0</v>
      </c>
    </row>
    <row r="777" customFormat="false" ht="15" hidden="false" customHeight="false" outlineLevel="0" collapsed="false">
      <c r="A777" s="0" t="s">
        <v>100</v>
      </c>
      <c r="B777" s="0" t="s">
        <v>108</v>
      </c>
      <c r="C777" s="0" t="s">
        <v>76</v>
      </c>
      <c r="D777" s="0" t="str">
        <f aca="false">IFERROR(INDEX('Materials Master'!$B$2:$B$27,MATCH($C777,'Materials Master'!$A$2:$A$27,0)),"")</f>
        <v>Textiles</v>
      </c>
      <c r="E777" s="0" t="str">
        <f aca="false">IFERROR(INDEX('Materials Master'!$C$2:$C$27,MATCH($C777,'Materials Master'!$A$2:$A$27,0)),"")</f>
        <v>Unacceptable</v>
      </c>
      <c r="F777" s="0" t="n">
        <f aca="false">(SUMIFS(Fact_PreSortWeights!$E$2:$E$15,Fact_PreSortWeights!$C$2:$C$15,$A777,Fact_PreSortWeights!$B$2:$B$15,$B777,Fact_PreSortWeights!$F$2:$F$15,$C777))+(SUMIFS(Fact_SortedWeights!$E$2:$E$6,Fact_SortedWeights!$C$2:$C$6,$A777,Fact_SortedWeights!$B$2:$B$6,$B777,Fact_SortedWeights!$D$2:$D$6,$C777,Fact_SortedWeights!$L$2:$L$6,"Yes"))+IF((SUMIFS(Fact_SortedWeights!$E$2:$E$6,Fact_SortedWeights!$C$2:$C$6,$A777,Fact_SortedWeights!$B$2:$B$6,$B777,Fact_SortedWeights!$L$2:$L$6,"No"))=0,0,(SUMIFS(Fact_SortedWeights!$E$2:$E$6,Fact_SortedWeights!$C$2:$C$6,$A777,Fact_SortedWeights!$B$2:$B$6,$B777,Fact_SortedWeights!$D$2:$D$6,$C777,Fact_SortedWeights!$L$2:$L$6,"No"))/(SUMIFS(Fact_SortedWeights!$E$2:$E$6,Fact_SortedWeights!$C$2:$C$6,$A777,Fact_SortedWeights!$B$2:$B$6,$B777,Fact_SortedWeights!$L$2:$L$6,"No"))*((SUMIFS(Fact_PreSortWeights!$E$2:$E$15,Fact_PreSortWeights!$C$2:$C$15,$A777,Fact_PreSortWeights!$B$2:$B$15,$B777,Fact_PreSortWeights!$F$2:$F$15,""))-(SUMIFS(Fact_SortedWeights!$E$2:$E$6,Fact_SortedWeights!$C$2:$C$6,$A777,Fact_SortedWeights!$B$2:$B$6,$B777,Fact_SortedWeights!$L$2:$L$6,"Yes"))))</f>
        <v>0</v>
      </c>
      <c r="G777" s="0" t="n">
        <f aca="false">IF(AND(IF($B777="Trash",INDEX('Materials Master'!$F$2:$F$27,MATCH($C777,'Materials Master'!$A$2:$A$27,0)),IF($B777="GMPC Recycling",INDEX('Materials Master'!$G$2:$G$27,MATCH($C777,'Materials Master'!$A$2:$A$27,0)),IF($B777="Organics Recycling",INDEX('Materials Master'!$H$2:$H$27,MATCH($C777,'Materials Master'!$A$2:$A$27,0)),IF($B777="Cardboard Recycling",INDEX('Materials Master'!$I$2:$I$27,MATCH($C777,'Materials Master'!$A$2:$A$27,0)),IF($B777="Paper Recycling",INDEX('Materials Master'!$J$2:$J$27,MATCH($C777,'Materials Master'!$A$2:$A$27,0)),IF($B777="Terracycle",INDEX('Materials Master'!$K$2:$K$27,MATCH($C777,'Materials Master'!$A$2:$A$27,0)),"No"))))))="Yes",INDEX('Materials Master'!$E$2:$E$27,MATCH($C777,'Materials Master'!$A$2:$A$27,0))="Yes",$B777&lt;&gt;"Trash"),1,0)</f>
        <v>0</v>
      </c>
      <c r="H777" s="0" t="str">
        <f aca="false">INDEX('Materials Master'!$E$2:$E$27,MATCH($C777,'Materials Master'!$A$2:$A$27,0))</f>
        <v>No</v>
      </c>
      <c r="I777" s="0" t="str">
        <f aca="false">IFERROR(INDEX(Areas!$C$2:$C$6,MATCH($A777,Areas!$B$2:$B$6,0)),"")</f>
        <v>Rest of Building</v>
      </c>
      <c r="J777" s="0" t="n">
        <f aca="false">IF(IF($B777="Trash",INDEX('Materials Master'!$F$2:$F$27,MATCH($C777,'Materials Master'!$A$2:$A$27,0)),IF($B777="GMPC Recycling",INDEX('Materials Master'!$G$2:$G$27,MATCH($C777,'Materials Master'!$A$2:$A$27,0)),IF($B777="Organics Recycling",INDEX('Materials Master'!$H$2:$H$27,MATCH($C777,'Materials Master'!$A$2:$A$27,0)),IF($B777="Cardboard Recycling",INDEX('Materials Master'!$I$2:$I$27,MATCH($C777,'Materials Master'!$A$2:$A$27,0)),IF($B777="Paper Recycling",INDEX('Materials Master'!$J$2:$J$27,MATCH($C777,'Materials Master'!$A$2:$A$27,0)),IF($B777="Terracycle",INDEX('Materials Master'!$K$2:$K$27,MATCH($C777,'Materials Master'!$A$2:$A$27,0)),"No"))))))="Yes",1,0)</f>
        <v>0</v>
      </c>
    </row>
    <row r="778" customFormat="false" ht="15" hidden="false" customHeight="false" outlineLevel="0" collapsed="false">
      <c r="A778" s="0" t="s">
        <v>100</v>
      </c>
      <c r="B778" s="0" t="s">
        <v>108</v>
      </c>
      <c r="C778" s="0" t="s">
        <v>78</v>
      </c>
      <c r="D778" s="0" t="str">
        <f aca="false">IFERROR(INDEX('Materials Master'!$B$2:$B$27,MATCH($C778,'Materials Master'!$A$2:$A$27,0)),"")</f>
        <v>Other Unacceptable (specify)</v>
      </c>
      <c r="E778" s="0" t="str">
        <f aca="false">IFERROR(INDEX('Materials Master'!$C$2:$C$27,MATCH($C778,'Materials Master'!$A$2:$A$27,0)),"")</f>
        <v>Unacceptable</v>
      </c>
      <c r="F778" s="0" t="n">
        <f aca="false">(SUMIFS(Fact_PreSortWeights!$E$2:$E$15,Fact_PreSortWeights!$C$2:$C$15,$A778,Fact_PreSortWeights!$B$2:$B$15,$B778,Fact_PreSortWeights!$F$2:$F$15,$C778))+(SUMIFS(Fact_SortedWeights!$E$2:$E$6,Fact_SortedWeights!$C$2:$C$6,$A778,Fact_SortedWeights!$B$2:$B$6,$B778,Fact_SortedWeights!$D$2:$D$6,$C778,Fact_SortedWeights!$L$2:$L$6,"Yes"))+IF((SUMIFS(Fact_SortedWeights!$E$2:$E$6,Fact_SortedWeights!$C$2:$C$6,$A778,Fact_SortedWeights!$B$2:$B$6,$B778,Fact_SortedWeights!$L$2:$L$6,"No"))=0,0,(SUMIFS(Fact_SortedWeights!$E$2:$E$6,Fact_SortedWeights!$C$2:$C$6,$A778,Fact_SortedWeights!$B$2:$B$6,$B778,Fact_SortedWeights!$D$2:$D$6,$C778,Fact_SortedWeights!$L$2:$L$6,"No"))/(SUMIFS(Fact_SortedWeights!$E$2:$E$6,Fact_SortedWeights!$C$2:$C$6,$A778,Fact_SortedWeights!$B$2:$B$6,$B778,Fact_SortedWeights!$L$2:$L$6,"No"))*((SUMIFS(Fact_PreSortWeights!$E$2:$E$15,Fact_PreSortWeights!$C$2:$C$15,$A778,Fact_PreSortWeights!$B$2:$B$15,$B778,Fact_PreSortWeights!$F$2:$F$15,""))-(SUMIFS(Fact_SortedWeights!$E$2:$E$6,Fact_SortedWeights!$C$2:$C$6,$A778,Fact_SortedWeights!$B$2:$B$6,$B778,Fact_SortedWeights!$L$2:$L$6,"Yes"))))</f>
        <v>0</v>
      </c>
      <c r="G778" s="0" t="n">
        <f aca="false">IF(AND(IF($B778="Trash",INDEX('Materials Master'!$F$2:$F$27,MATCH($C778,'Materials Master'!$A$2:$A$27,0)),IF($B778="GMPC Recycling",INDEX('Materials Master'!$G$2:$G$27,MATCH($C778,'Materials Master'!$A$2:$A$27,0)),IF($B778="Organics Recycling",INDEX('Materials Master'!$H$2:$H$27,MATCH($C778,'Materials Master'!$A$2:$A$27,0)),IF($B778="Cardboard Recycling",INDEX('Materials Master'!$I$2:$I$27,MATCH($C778,'Materials Master'!$A$2:$A$27,0)),IF($B778="Paper Recycling",INDEX('Materials Master'!$J$2:$J$27,MATCH($C778,'Materials Master'!$A$2:$A$27,0)),IF($B778="Terracycle",INDEX('Materials Master'!$K$2:$K$27,MATCH($C778,'Materials Master'!$A$2:$A$27,0)),"No"))))))="Yes",INDEX('Materials Master'!$E$2:$E$27,MATCH($C778,'Materials Master'!$A$2:$A$27,0))="Yes",$B778&lt;&gt;"Trash"),1,0)</f>
        <v>0</v>
      </c>
      <c r="H778" s="0" t="str">
        <f aca="false">INDEX('Materials Master'!$E$2:$E$27,MATCH($C778,'Materials Master'!$A$2:$A$27,0))</f>
        <v>No</v>
      </c>
      <c r="I778" s="0" t="str">
        <f aca="false">IFERROR(INDEX(Areas!$C$2:$C$6,MATCH($A778,Areas!$B$2:$B$6,0)),"")</f>
        <v>Rest of Building</v>
      </c>
      <c r="J778" s="0" t="n">
        <f aca="false">IF(IF($B778="Trash",INDEX('Materials Master'!$F$2:$F$27,MATCH($C778,'Materials Master'!$A$2:$A$27,0)),IF($B778="GMPC Recycling",INDEX('Materials Master'!$G$2:$G$27,MATCH($C778,'Materials Master'!$A$2:$A$27,0)),IF($B778="Organics Recycling",INDEX('Materials Master'!$H$2:$H$27,MATCH($C778,'Materials Master'!$A$2:$A$27,0)),IF($B778="Cardboard Recycling",INDEX('Materials Master'!$I$2:$I$27,MATCH($C778,'Materials Master'!$A$2:$A$27,0)),IF($B778="Paper Recycling",INDEX('Materials Master'!$J$2:$J$27,MATCH($C778,'Materials Master'!$A$2:$A$27,0)),IF($B778="Terracycle",INDEX('Materials Master'!$K$2:$K$27,MATCH($C778,'Materials Master'!$A$2:$A$27,0)),"No"))))))="Yes",1,0)</f>
        <v>0</v>
      </c>
    </row>
    <row r="779" customFormat="false" ht="15" hidden="false" customHeight="false" outlineLevel="0" collapsed="false">
      <c r="A779" s="0" t="s">
        <v>100</v>
      </c>
      <c r="B779" s="0" t="s">
        <v>108</v>
      </c>
      <c r="C779" s="0" t="s">
        <v>80</v>
      </c>
      <c r="D779" s="0" t="str">
        <f aca="false">IFERROR(INDEX('Materials Master'!$B$2:$B$27,MATCH($C779,'Materials Master'!$A$2:$A$27,0)),"")</f>
        <v>Liquids</v>
      </c>
      <c r="E779" s="0" t="str">
        <f aca="false">IFERROR(INDEX('Materials Master'!$C$2:$C$27,MATCH($C779,'Materials Master'!$A$2:$A$27,0)),"")</f>
        <v>Unacceptable</v>
      </c>
      <c r="F779" s="0" t="n">
        <f aca="false">(SUMIFS(Fact_PreSortWeights!$E$2:$E$15,Fact_PreSortWeights!$C$2:$C$15,$A779,Fact_PreSortWeights!$B$2:$B$15,$B779,Fact_PreSortWeights!$F$2:$F$15,$C779))+(SUMIFS(Fact_SortedWeights!$E$2:$E$6,Fact_SortedWeights!$C$2:$C$6,$A779,Fact_SortedWeights!$B$2:$B$6,$B779,Fact_SortedWeights!$D$2:$D$6,$C779,Fact_SortedWeights!$L$2:$L$6,"Yes"))+IF((SUMIFS(Fact_SortedWeights!$E$2:$E$6,Fact_SortedWeights!$C$2:$C$6,$A779,Fact_SortedWeights!$B$2:$B$6,$B779,Fact_SortedWeights!$L$2:$L$6,"No"))=0,0,(SUMIFS(Fact_SortedWeights!$E$2:$E$6,Fact_SortedWeights!$C$2:$C$6,$A779,Fact_SortedWeights!$B$2:$B$6,$B779,Fact_SortedWeights!$D$2:$D$6,$C779,Fact_SortedWeights!$L$2:$L$6,"No"))/(SUMIFS(Fact_SortedWeights!$E$2:$E$6,Fact_SortedWeights!$C$2:$C$6,$A779,Fact_SortedWeights!$B$2:$B$6,$B779,Fact_SortedWeights!$L$2:$L$6,"No"))*((SUMIFS(Fact_PreSortWeights!$E$2:$E$15,Fact_PreSortWeights!$C$2:$C$15,$A779,Fact_PreSortWeights!$B$2:$B$15,$B779,Fact_PreSortWeights!$F$2:$F$15,""))-(SUMIFS(Fact_SortedWeights!$E$2:$E$6,Fact_SortedWeights!$C$2:$C$6,$A779,Fact_SortedWeights!$B$2:$B$6,$B779,Fact_SortedWeights!$L$2:$L$6,"Yes"))))</f>
        <v>0</v>
      </c>
      <c r="G779" s="0" t="n">
        <f aca="false">IF(AND(IF($B779="Trash",INDEX('Materials Master'!$F$2:$F$27,MATCH($C779,'Materials Master'!$A$2:$A$27,0)),IF($B779="GMPC Recycling",INDEX('Materials Master'!$G$2:$G$27,MATCH($C779,'Materials Master'!$A$2:$A$27,0)),IF($B779="Organics Recycling",INDEX('Materials Master'!$H$2:$H$27,MATCH($C779,'Materials Master'!$A$2:$A$27,0)),IF($B779="Cardboard Recycling",INDEX('Materials Master'!$I$2:$I$27,MATCH($C779,'Materials Master'!$A$2:$A$27,0)),IF($B779="Paper Recycling",INDEX('Materials Master'!$J$2:$J$27,MATCH($C779,'Materials Master'!$A$2:$A$27,0)),IF($B779="Terracycle",INDEX('Materials Master'!$K$2:$K$27,MATCH($C779,'Materials Master'!$A$2:$A$27,0)),"No"))))))="Yes",INDEX('Materials Master'!$E$2:$E$27,MATCH($C779,'Materials Master'!$A$2:$A$27,0))="Yes",$B779&lt;&gt;"Trash"),1,0)</f>
        <v>0</v>
      </c>
      <c r="H779" s="0" t="str">
        <f aca="false">INDEX('Materials Master'!$E$2:$E$27,MATCH($C779,'Materials Master'!$A$2:$A$27,0))</f>
        <v>No</v>
      </c>
      <c r="I779" s="0" t="str">
        <f aca="false">IFERROR(INDEX(Areas!$C$2:$C$6,MATCH($A779,Areas!$B$2:$B$6,0)),"")</f>
        <v>Rest of Building</v>
      </c>
      <c r="J779" s="0" t="n">
        <f aca="false">IF(IF($B779="Trash",INDEX('Materials Master'!$F$2:$F$27,MATCH($C779,'Materials Master'!$A$2:$A$27,0)),IF($B779="GMPC Recycling",INDEX('Materials Master'!$G$2:$G$27,MATCH($C779,'Materials Master'!$A$2:$A$27,0)),IF($B779="Organics Recycling",INDEX('Materials Master'!$H$2:$H$27,MATCH($C779,'Materials Master'!$A$2:$A$27,0)),IF($B779="Cardboard Recycling",INDEX('Materials Master'!$I$2:$I$27,MATCH($C779,'Materials Master'!$A$2:$A$27,0)),IF($B779="Paper Recycling",INDEX('Materials Master'!$J$2:$J$27,MATCH($C779,'Materials Master'!$A$2:$A$27,0)),IF($B779="Terracycle",INDEX('Materials Master'!$K$2:$K$27,MATCH($C779,'Materials Master'!$A$2:$A$27,0)),"No"))))))="Yes",1,0)</f>
        <v>0</v>
      </c>
    </row>
    <row r="780" customFormat="false" ht="15" hidden="false" customHeight="false" outlineLevel="0" collapsed="false">
      <c r="A780" s="0" t="s">
        <v>100</v>
      </c>
      <c r="B780" s="0" t="s">
        <v>108</v>
      </c>
      <c r="C780" s="0" t="s">
        <v>82</v>
      </c>
      <c r="D780" s="0" t="str">
        <f aca="false">IFERROR(INDEX('Materials Master'!$B$2:$B$27,MATCH($C780,'Materials Master'!$A$2:$A$27,0)),"")</f>
        <v>Snack Wrappers (Composites)</v>
      </c>
      <c r="E780" s="0" t="str">
        <f aca="false">IFERROR(INDEX('Materials Master'!$C$2:$C$27,MATCH($C780,'Materials Master'!$A$2:$A$27,0)),"")</f>
        <v>Other</v>
      </c>
      <c r="F780" s="0" t="n">
        <f aca="false">(SUMIFS(Fact_PreSortWeights!$E$2:$E$15,Fact_PreSortWeights!$C$2:$C$15,$A780,Fact_PreSortWeights!$B$2:$B$15,$B780,Fact_PreSortWeights!$F$2:$F$15,$C780))+(SUMIFS(Fact_SortedWeights!$E$2:$E$6,Fact_SortedWeights!$C$2:$C$6,$A780,Fact_SortedWeights!$B$2:$B$6,$B780,Fact_SortedWeights!$D$2:$D$6,$C780,Fact_SortedWeights!$L$2:$L$6,"Yes"))+IF((SUMIFS(Fact_SortedWeights!$E$2:$E$6,Fact_SortedWeights!$C$2:$C$6,$A780,Fact_SortedWeights!$B$2:$B$6,$B780,Fact_SortedWeights!$L$2:$L$6,"No"))=0,0,(SUMIFS(Fact_SortedWeights!$E$2:$E$6,Fact_SortedWeights!$C$2:$C$6,$A780,Fact_SortedWeights!$B$2:$B$6,$B780,Fact_SortedWeights!$D$2:$D$6,$C780,Fact_SortedWeights!$L$2:$L$6,"No"))/(SUMIFS(Fact_SortedWeights!$E$2:$E$6,Fact_SortedWeights!$C$2:$C$6,$A780,Fact_SortedWeights!$B$2:$B$6,$B780,Fact_SortedWeights!$L$2:$L$6,"No"))*((SUMIFS(Fact_PreSortWeights!$E$2:$E$15,Fact_PreSortWeights!$C$2:$C$15,$A780,Fact_PreSortWeights!$B$2:$B$15,$B780,Fact_PreSortWeights!$F$2:$F$15,""))-(SUMIFS(Fact_SortedWeights!$E$2:$E$6,Fact_SortedWeights!$C$2:$C$6,$A780,Fact_SortedWeights!$B$2:$B$6,$B780,Fact_SortedWeights!$L$2:$L$6,"Yes"))))</f>
        <v>0</v>
      </c>
      <c r="G780" s="0" t="n">
        <f aca="false">IF(AND(IF($B780="Trash",INDEX('Materials Master'!$F$2:$F$27,MATCH($C780,'Materials Master'!$A$2:$A$27,0)),IF($B780="GMPC Recycling",INDEX('Materials Master'!$G$2:$G$27,MATCH($C780,'Materials Master'!$A$2:$A$27,0)),IF($B780="Organics Recycling",INDEX('Materials Master'!$H$2:$H$27,MATCH($C780,'Materials Master'!$A$2:$A$27,0)),IF($B780="Cardboard Recycling",INDEX('Materials Master'!$I$2:$I$27,MATCH($C780,'Materials Master'!$A$2:$A$27,0)),IF($B780="Paper Recycling",INDEX('Materials Master'!$J$2:$J$27,MATCH($C780,'Materials Master'!$A$2:$A$27,0)),IF($B780="Terracycle",INDEX('Materials Master'!$K$2:$K$27,MATCH($C780,'Materials Master'!$A$2:$A$27,0)),"No"))))))="Yes",INDEX('Materials Master'!$E$2:$E$27,MATCH($C780,'Materials Master'!$A$2:$A$27,0))="Yes",$B780&lt;&gt;"Trash"),1,0)</f>
        <v>1</v>
      </c>
      <c r="H780" s="0" t="str">
        <f aca="false">INDEX('Materials Master'!$E$2:$E$27,MATCH($C780,'Materials Master'!$A$2:$A$27,0))</f>
        <v>Yes</v>
      </c>
      <c r="I780" s="0" t="str">
        <f aca="false">IFERROR(INDEX(Areas!$C$2:$C$6,MATCH($A780,Areas!$B$2:$B$6,0)),"")</f>
        <v>Rest of Building</v>
      </c>
      <c r="J780" s="0" t="n">
        <f aca="false">IF(IF($B780="Trash",INDEX('Materials Master'!$F$2:$F$27,MATCH($C780,'Materials Master'!$A$2:$A$27,0)),IF($B780="GMPC Recycling",INDEX('Materials Master'!$G$2:$G$27,MATCH($C780,'Materials Master'!$A$2:$A$27,0)),IF($B780="Organics Recycling",INDEX('Materials Master'!$H$2:$H$27,MATCH($C780,'Materials Master'!$A$2:$A$27,0)),IF($B780="Cardboard Recycling",INDEX('Materials Master'!$I$2:$I$27,MATCH($C780,'Materials Master'!$A$2:$A$27,0)),IF($B780="Paper Recycling",INDEX('Materials Master'!$J$2:$J$27,MATCH($C780,'Materials Master'!$A$2:$A$27,0)),IF($B780="Terracycle",INDEX('Materials Master'!$K$2:$K$27,MATCH($C780,'Materials Master'!$A$2:$A$27,0)),"No"))))))="Yes",1,0)</f>
        <v>1</v>
      </c>
    </row>
    <row r="781" customFormat="false" ht="15" hidden="false" customHeight="false" outlineLevel="0" collapsed="false">
      <c r="A781" s="0" t="s">
        <v>100</v>
      </c>
      <c r="B781" s="0" t="s">
        <v>108</v>
      </c>
      <c r="C781" s="0" t="s">
        <v>85</v>
      </c>
      <c r="D781" s="0" t="str">
        <f aca="false">IFERROR(INDEX('Materials Master'!$B$2:$B$27,MATCH($C781,'Materials Master'!$A$2:$A$27,0)),"")</f>
        <v>Other/Residual Materials</v>
      </c>
      <c r="E781" s="0" t="str">
        <f aca="false">IFERROR(INDEX('Materials Master'!$C$2:$C$27,MATCH($C781,'Materials Master'!$A$2:$A$27,0)),"")</f>
        <v>Other</v>
      </c>
      <c r="F781" s="0" t="n">
        <f aca="false">(SUMIFS(Fact_PreSortWeights!$E$2:$E$15,Fact_PreSortWeights!$C$2:$C$15,$A781,Fact_PreSortWeights!$B$2:$B$15,$B781,Fact_PreSortWeights!$F$2:$F$15,$C781))+(SUMIFS(Fact_SortedWeights!$E$2:$E$6,Fact_SortedWeights!$C$2:$C$6,$A781,Fact_SortedWeights!$B$2:$B$6,$B781,Fact_SortedWeights!$D$2:$D$6,$C781,Fact_SortedWeights!$L$2:$L$6,"Yes"))+IF((SUMIFS(Fact_SortedWeights!$E$2:$E$6,Fact_SortedWeights!$C$2:$C$6,$A781,Fact_SortedWeights!$B$2:$B$6,$B781,Fact_SortedWeights!$L$2:$L$6,"No"))=0,0,(SUMIFS(Fact_SortedWeights!$E$2:$E$6,Fact_SortedWeights!$C$2:$C$6,$A781,Fact_SortedWeights!$B$2:$B$6,$B781,Fact_SortedWeights!$D$2:$D$6,$C781,Fact_SortedWeights!$L$2:$L$6,"No"))/(SUMIFS(Fact_SortedWeights!$E$2:$E$6,Fact_SortedWeights!$C$2:$C$6,$A781,Fact_SortedWeights!$B$2:$B$6,$B781,Fact_SortedWeights!$L$2:$L$6,"No"))*((SUMIFS(Fact_PreSortWeights!$E$2:$E$15,Fact_PreSortWeights!$C$2:$C$15,$A781,Fact_PreSortWeights!$B$2:$B$15,$B781,Fact_PreSortWeights!$F$2:$F$15,""))-(SUMIFS(Fact_SortedWeights!$E$2:$E$6,Fact_SortedWeights!$C$2:$C$6,$A781,Fact_SortedWeights!$B$2:$B$6,$B781,Fact_SortedWeights!$L$2:$L$6,"Yes"))))</f>
        <v>0</v>
      </c>
      <c r="G781" s="0" t="n">
        <f aca="false">IF(AND(IF($B781="Trash",INDEX('Materials Master'!$F$2:$F$27,MATCH($C781,'Materials Master'!$A$2:$A$27,0)),IF($B781="GMPC Recycling",INDEX('Materials Master'!$G$2:$G$27,MATCH($C781,'Materials Master'!$A$2:$A$27,0)),IF($B781="Organics Recycling",INDEX('Materials Master'!$H$2:$H$27,MATCH($C781,'Materials Master'!$A$2:$A$27,0)),IF($B781="Cardboard Recycling",INDEX('Materials Master'!$I$2:$I$27,MATCH($C781,'Materials Master'!$A$2:$A$27,0)),IF($B781="Paper Recycling",INDEX('Materials Master'!$J$2:$J$27,MATCH($C781,'Materials Master'!$A$2:$A$27,0)),IF($B781="Terracycle",INDEX('Materials Master'!$K$2:$K$27,MATCH($C781,'Materials Master'!$A$2:$A$27,0)),"No"))))))="Yes",INDEX('Materials Master'!$E$2:$E$27,MATCH($C781,'Materials Master'!$A$2:$A$27,0))="Yes",$B781&lt;&gt;"Trash"),1,0)</f>
        <v>0</v>
      </c>
      <c r="H781" s="0" t="str">
        <f aca="false">INDEX('Materials Master'!$E$2:$E$27,MATCH($C781,'Materials Master'!$A$2:$A$27,0))</f>
        <v>No</v>
      </c>
      <c r="I781" s="0" t="str">
        <f aca="false">IFERROR(INDEX(Areas!$C$2:$C$6,MATCH($A781,Areas!$B$2:$B$6,0)),"")</f>
        <v>Rest of Building</v>
      </c>
      <c r="J781" s="0" t="n">
        <f aca="false">IF(IF($B781="Trash",INDEX('Materials Master'!$F$2:$F$27,MATCH($C781,'Materials Master'!$A$2:$A$27,0)),IF($B781="GMPC Recycling",INDEX('Materials Master'!$G$2:$G$27,MATCH($C781,'Materials Master'!$A$2:$A$27,0)),IF($B781="Organics Recycling",INDEX('Materials Master'!$H$2:$H$27,MATCH($C781,'Materials Master'!$A$2:$A$27,0)),IF($B781="Cardboard Recycling",INDEX('Materials Master'!$I$2:$I$27,MATCH($C781,'Materials Master'!$A$2:$A$27,0)),IF($B781="Paper Recycling",INDEX('Materials Master'!$J$2:$J$27,MATCH($C781,'Materials Master'!$A$2:$A$27,0)),IF($B781="Terracycle",INDEX('Materials Master'!$K$2:$K$27,MATCH($C781,'Materials Master'!$A$2:$A$27,0)),"No"))))))="Yes",1,0)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137</v>
      </c>
    </row>
    <row r="2" customFormat="false" ht="15" hidden="false" customHeight="false" outlineLevel="0" collapsed="false">
      <c r="A2" s="0" t="s">
        <v>138</v>
      </c>
      <c r="B2" s="0" t="s">
        <v>139</v>
      </c>
      <c r="C2" s="0" t="s">
        <v>140</v>
      </c>
      <c r="D2" s="0" t="s">
        <v>141</v>
      </c>
      <c r="E2" s="0" t="s">
        <v>142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SUMIFS(Fact_PreSortWeights!$E$2:$E$15,Fact_PreSortWeights!$C$2:$C$15,"OFFICES",Fact_PreSortWeights!$B$2:$B$15,"Trash")+SUMIFS(Fact_PreSortWeights!$E$2:$E$15,Fact_PreSortWeights!$C$2:$C$15,"CAFÉ BOH",Fact_PreSortWeights!$B$2:$B$15,"Trash")+SUMIFS(Fact_PreSortWeights!$E$2:$E$15,Fact_PreSortWeights!$C$2:$C$15,"LOCATION C",Fact_PreSortWeights!$B$2:$B$15,"Trash")+SUMIFS(Fact_PreSortWeights!$E$2:$E$15,Fact_PreSortWeights!$C$2:$C$15,"LOCATION D",Fact_PreSortWeights!$B$2:$B$15,"Trash")+SUMIFS(Fact_PreSortWeights!$E$2:$E$15,Fact_PreSortWeights!$C$2:$C$15,"BATHROOM",Fact_PreSortWeights!$B$2:$B$15,"Trash")</f>
        <v>450</v>
      </c>
      <c r="C3" s="0" t="n">
        <f aca="false">IF($B$9=0,0,B3/$B$9)</f>
        <v>0.818181818181818</v>
      </c>
      <c r="D3" s="0" t="n">
        <f aca="false">SUMIFS(Fact_Extrapolated!$F$2:$F$781,Fact_Extrapolated!$B$2:$B$781,A3,Fact_Extrapolated!$G$2:$G$781,1)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SUMIFS(Fact_PreSortWeights!$E$2:$E$15,Fact_PreSortWeights!$C$2:$C$15,"OFFICES",Fact_PreSortWeights!$B$2:$B$15,"GMPC Recycling")+SUMIFS(Fact_PreSortWeights!$E$2:$E$15,Fact_PreSortWeights!$C$2:$C$15,"CAFÉ BOH",Fact_PreSortWeights!$B$2:$B$15,"GMPC Recycling")+SUMIFS(Fact_PreSortWeights!$E$2:$E$15,Fact_PreSortWeights!$C$2:$C$15,"LOCATION C",Fact_PreSortWeights!$B$2:$B$15,"GMPC Recycling")+SUMIFS(Fact_PreSortWeights!$E$2:$E$15,Fact_PreSortWeights!$C$2:$C$15,"LOCATION D",Fact_PreSortWeights!$B$2:$B$15,"GMPC Recycling")+SUMIFS(Fact_PreSortWeights!$E$2:$E$15,Fact_PreSortWeights!$C$2:$C$15,"BATHROOM",Fact_PreSortWeights!$B$2:$B$15,"GMPC Recycling")</f>
        <v>30</v>
      </c>
      <c r="C4" s="0" t="n">
        <f aca="false">IF($B$9=0,0,B4/$B$9)</f>
        <v>0.0545454545454545</v>
      </c>
      <c r="D4" s="0" t="n">
        <f aca="false">SUMIFS(Fact_Extrapolated!$F$2:$F$781,Fact_Extrapolated!$B$2:$B$781,A4,Fact_Extrapolated!$G$2:$G$781,1)</f>
        <v>30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SUMIFS(Fact_PreSortWeights!$E$2:$E$15,Fact_PreSortWeights!$C$2:$C$15,"OFFICES",Fact_PreSortWeights!$B$2:$B$15,"Organics Recycling")+SUMIFS(Fact_PreSortWeights!$E$2:$E$15,Fact_PreSortWeights!$C$2:$C$15,"CAFÉ BOH",Fact_PreSortWeights!$B$2:$B$15,"Organics Recycling")+SUMIFS(Fact_PreSortWeights!$E$2:$E$15,Fact_PreSortWeights!$C$2:$C$15,"LOCATION C",Fact_PreSortWeights!$B$2:$B$15,"Organics Recycling")+SUMIFS(Fact_PreSortWeights!$E$2:$E$15,Fact_PreSortWeights!$C$2:$C$15,"LOCATION D",Fact_PreSortWeights!$B$2:$B$15,"Organics Recycling")+SUMIFS(Fact_PreSortWeights!$E$2:$E$15,Fact_PreSortWeights!$C$2:$C$15,"BATHROOM",Fact_PreSortWeights!$B$2:$B$15,"Organics Recycling")</f>
        <v>20</v>
      </c>
      <c r="C5" s="0" t="n">
        <f aca="false">IF($B$9=0,0,B5/$B$9)</f>
        <v>0.0363636363636364</v>
      </c>
      <c r="D5" s="0" t="n">
        <f aca="false">SUMIFS(Fact_Extrapolated!$F$2:$F$781,Fact_Extrapolated!$B$2:$B$781,A5,Fact_Extrapolated!$G$2:$G$781,1)</f>
        <v>20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SUMIFS(Fact_SortedWeights!$E$2:$E$6,Fact_SortedWeights!$C$2:$C$6,"OFFICES",Fact_SortedWeights!$B$2:$B$6,"Cardboard Recycling")+SUMIFS(Fact_SortedWeights!$E$2:$E$6,Fact_SortedWeights!$C$2:$C$6,"CAFÉ BOH",Fact_SortedWeights!$B$2:$B$6,"Cardboard Recycling")+SUMIFS(Fact_SortedWeights!$E$2:$E$6,Fact_SortedWeights!$C$2:$C$6,"LOCATION C",Fact_SortedWeights!$B$2:$B$6,"Cardboard Recycling")+SUMIFS(Fact_SortedWeights!$E$2:$E$6,Fact_SortedWeights!$C$2:$C$6,"LOCATION D",Fact_SortedWeights!$B$2:$B$6,"Cardboard Recycling")+SUMIFS(Fact_SortedWeights!$E$2:$E$6,Fact_SortedWeights!$C$2:$C$6,"BATHROOM",Fact_SortedWeights!$B$2:$B$6,"Cardboard Recycling")</f>
        <v>50</v>
      </c>
      <c r="C6" s="0" t="n">
        <f aca="false">IF($B$9=0,0,B6/$B$9)</f>
        <v>0.0909090909090909</v>
      </c>
      <c r="D6" s="0" t="n">
        <f aca="false">SUMIFS(Fact_Extrapolated!$F$2:$F$781,Fact_Extrapolated!$B$2:$B$781,A6,Fact_Extrapolated!$G$2:$G$781,1)</f>
        <v>50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SUMIFS(Fact_PreSortWeights!$E$2:$E$15,Fact_PreSortWeights!$C$2:$C$15,"OFFICES",Fact_PreSortWeights!$B$2:$B$15,"Paper Recycling")+SUMIFS(Fact_PreSortWeights!$E$2:$E$15,Fact_PreSortWeights!$C$2:$C$15,"CAFÉ BOH",Fact_PreSortWeights!$B$2:$B$15,"Paper Recycling")+SUMIFS(Fact_PreSortWeights!$E$2:$E$15,Fact_PreSortWeights!$C$2:$C$15,"LOCATION C",Fact_PreSortWeights!$B$2:$B$15,"Paper Recycling")+SUMIFS(Fact_PreSortWeights!$E$2:$E$15,Fact_PreSortWeights!$C$2:$C$15,"LOCATION D",Fact_PreSortWeights!$B$2:$B$15,"Paper Recycling")+SUMIFS(Fact_PreSortWeights!$E$2:$E$15,Fact_PreSortWeights!$C$2:$C$15,"BATHROOM",Fact_PreSortWeights!$B$2:$B$15,"Paper Recycling")</f>
        <v>0</v>
      </c>
      <c r="C7" s="0" t="n">
        <f aca="false">IF($B$9=0,0,B7/$B$9)</f>
        <v>0</v>
      </c>
      <c r="D7" s="0" t="n">
        <f aca="false">SUMIFS(Fact_Extrapolated!$F$2:$F$781,Fact_Extrapolated!$B$2:$B$781,A7,Fact_Extrapolated!$G$2:$G$781,1)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SUMIFS(Fact_PreSortWeights!$E$2:$E$15,Fact_PreSortWeights!$C$2:$C$15,"OFFICES",Fact_PreSortWeights!$B$2:$B$15,"Terracycle")+SUMIFS(Fact_PreSortWeights!$E$2:$E$15,Fact_PreSortWeights!$C$2:$C$15,"CAFÉ BOH",Fact_PreSortWeights!$B$2:$B$15,"Terracycle")+SUMIFS(Fact_PreSortWeights!$E$2:$E$15,Fact_PreSortWeights!$C$2:$C$15,"LOCATION C",Fact_PreSortWeights!$B$2:$B$15,"Terracycle")+SUMIFS(Fact_PreSortWeights!$E$2:$E$15,Fact_PreSortWeights!$C$2:$C$15,"LOCATION D",Fact_PreSortWeights!$B$2:$B$15,"Terracycle")+SUMIFS(Fact_PreSortWeights!$E$2:$E$15,Fact_PreSortWeights!$C$2:$C$15,"BATHROOM",Fact_PreSortWeights!$B$2:$B$15,"Terracycle")</f>
        <v>0</v>
      </c>
      <c r="C8" s="0" t="n">
        <f aca="false">IF($B$9=0,0,B8/$B$9)</f>
        <v>0</v>
      </c>
      <c r="D8" s="0" t="n">
        <f aca="false">SUMIFS(Fact_Extrapolated!$F$2:$F$781,Fact_Extrapolated!$B$2:$B$781,A8,Fact_Extrapolated!$G$2:$G$781,1)</f>
        <v>0</v>
      </c>
    </row>
    <row r="9" customFormat="false" ht="15" hidden="false" customHeight="false" outlineLevel="0" collapsed="false">
      <c r="A9" s="0" t="s">
        <v>143</v>
      </c>
      <c r="B9" s="0" t="n">
        <f aca="false">SUM(B3:B8)</f>
        <v>550</v>
      </c>
      <c r="C9" s="0" t="n">
        <f aca="false">IF($B$9=0,0,B9/$B$9)</f>
        <v>1</v>
      </c>
      <c r="D9" s="0" t="n">
        <f aca="false">SUM(D3:D8)</f>
        <v>100</v>
      </c>
      <c r="E9" s="0" t="n">
        <f aca="false">IF(B9=0,0,D9/B9)</f>
        <v>0.181818181818182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144</v>
      </c>
    </row>
    <row r="12" customFormat="false" ht="15" hidden="false" customHeight="false" outlineLevel="0" collapsed="false">
      <c r="A12" s="0" t="s">
        <v>138</v>
      </c>
      <c r="B12" s="0" t="s">
        <v>145</v>
      </c>
      <c r="C12" s="0" t="s">
        <v>146</v>
      </c>
      <c r="D12" s="0" t="s">
        <v>147</v>
      </c>
      <c r="E12" s="0" t="s">
        <v>140</v>
      </c>
      <c r="F12" s="0" t="s">
        <v>141</v>
      </c>
      <c r="G12" s="0" t="s">
        <v>142</v>
      </c>
      <c r="H12" s="0" t="s">
        <v>148</v>
      </c>
    </row>
    <row r="13" customFormat="false" ht="15" hidden="false" customHeight="false" outlineLevel="0" collapsed="false">
      <c r="A13" s="0" t="s">
        <v>106</v>
      </c>
      <c r="B13" s="0" t="s">
        <v>28</v>
      </c>
      <c r="C13" s="0" t="s">
        <v>27</v>
      </c>
      <c r="D13" s="0" t="n">
        <f aca="false">SUMIFS(Fact_Extrapolated!$F$2:$F$781,Fact_Extrapolated!$C$2:$C$781,"FIB01",Fact_Extrapolated!$B$2:$B$781,"Cardboard Recycling")</f>
        <v>50</v>
      </c>
      <c r="E13" s="0" t="n">
        <f aca="false">IF($B$9=0,0,D13/$B$9)</f>
        <v>0.0909090909090909</v>
      </c>
      <c r="F13" s="0" t="n">
        <f aca="false">SUMIFS(Fact_Extrapolated!$F$2:$F$781,Fact_Extrapolated!$C$2:$C$781,"FIB01",Fact_Extrapolated!$B$2:$B$781,"Cardboard Recycling",Fact_Extrapolated!$G$2:$G$781,1)</f>
        <v>50</v>
      </c>
      <c r="G13" s="0" t="n">
        <f aca="false">IF(D13=0,0,F13/D13)</f>
        <v>1</v>
      </c>
      <c r="H13" s="0" t="str">
        <f aca="false">INDEX('Materials Master'!$D$2:$D$27,MATCH(C13,'Materials Master'!$B$2:$B$27,0))</f>
        <v>Yes</v>
      </c>
    </row>
    <row r="14" customFormat="false" ht="15" hidden="false" customHeight="false" outlineLevel="0" collapsed="false">
      <c r="A14" s="0" t="s">
        <v>103</v>
      </c>
      <c r="B14" s="0" t="s">
        <v>28</v>
      </c>
      <c r="C14" s="0" t="s">
        <v>36</v>
      </c>
      <c r="D14" s="0" t="n">
        <f aca="false">SUMIFS(Fact_Extrapolated!$F$2:$F$781,Fact_Extrapolated!$C$2:$C$781,"FIB04",Fact_Extrapolated!$B$2:$B$781,"Trash")</f>
        <v>395</v>
      </c>
      <c r="E14" s="0" t="n">
        <f aca="false">IF($B$9=0,0,D14/$B$9)</f>
        <v>0.718181818181818</v>
      </c>
      <c r="F14" s="0" t="n">
        <f aca="false">SUMIFS(Fact_Extrapolated!$F$2:$F$781,Fact_Extrapolated!$C$2:$C$781,"FIB04",Fact_Extrapolated!$B$2:$B$781,"Trash",Fact_Extrapolated!$G$2:$G$781,1)</f>
        <v>0</v>
      </c>
      <c r="G14" s="0" t="n">
        <f aca="false">IF(D14=0,0,F14/D14)</f>
        <v>0</v>
      </c>
      <c r="H14" s="0" t="str">
        <f aca="false">INDEX('Materials Master'!$D$2:$D$27,MATCH(C14,'Materials Master'!$B$2:$B$27,0))</f>
        <v>Yes</v>
      </c>
    </row>
    <row r="15" customFormat="false" ht="15" hidden="false" customHeight="false" outlineLevel="0" collapsed="false">
      <c r="A15" s="0" t="s">
        <v>104</v>
      </c>
      <c r="B15" s="0" t="s">
        <v>28</v>
      </c>
      <c r="C15" s="0" t="s">
        <v>36</v>
      </c>
      <c r="D15" s="0" t="n">
        <f aca="false">SUMIFS(Fact_Extrapolated!$F$2:$F$781,Fact_Extrapolated!$C$2:$C$781,"FIB04",Fact_Extrapolated!$B$2:$B$781,"GMPC Recycling")</f>
        <v>30</v>
      </c>
      <c r="E15" s="0" t="n">
        <f aca="false">IF($B$9=0,0,D15/$B$9)</f>
        <v>0.0545454545454545</v>
      </c>
      <c r="F15" s="0" t="n">
        <f aca="false">SUMIFS(Fact_Extrapolated!$F$2:$F$781,Fact_Extrapolated!$C$2:$C$781,"FIB04",Fact_Extrapolated!$B$2:$B$781,"GMPC Recycling",Fact_Extrapolated!$G$2:$G$781,1)</f>
        <v>30</v>
      </c>
      <c r="G15" s="0" t="n">
        <f aca="false">IF(D15=0,0,F15/D15)</f>
        <v>1</v>
      </c>
      <c r="H15" s="0" t="str">
        <f aca="false">INDEX('Materials Master'!$D$2:$D$27,MATCH(C15,'Materials Master'!$B$2:$B$27,0))</f>
        <v>Yes</v>
      </c>
    </row>
    <row r="16" customFormat="false" ht="15" hidden="false" customHeight="false" outlineLevel="0" collapsed="false">
      <c r="A16" s="0" t="s">
        <v>105</v>
      </c>
      <c r="B16" s="0" t="s">
        <v>28</v>
      </c>
      <c r="C16" s="0" t="s">
        <v>36</v>
      </c>
      <c r="D16" s="0" t="n">
        <f aca="false">SUMIFS(Fact_Extrapolated!$F$2:$F$781,Fact_Extrapolated!$C$2:$C$781,"FIB04",Fact_Extrapolated!$B$2:$B$781,"Organics Recycling")</f>
        <v>20</v>
      </c>
      <c r="E16" s="0" t="n">
        <f aca="false">IF($B$9=0,0,D16/$B$9)</f>
        <v>0.0363636363636364</v>
      </c>
      <c r="F16" s="0" t="n">
        <f aca="false">SUMIFS(Fact_Extrapolated!$F$2:$F$781,Fact_Extrapolated!$C$2:$C$781,"FIB04",Fact_Extrapolated!$B$2:$B$781,"Organics Recycling",Fact_Extrapolated!$G$2:$G$781,1)</f>
        <v>20</v>
      </c>
      <c r="G16" s="0" t="n">
        <f aca="false">IF(D16=0,0,F16/D16)</f>
        <v>1</v>
      </c>
      <c r="H16" s="0" t="str">
        <f aca="false">INDEX('Materials Master'!$D$2:$D$27,MATCH(C16,'Materials Master'!$B$2:$B$27,0))</f>
        <v>Yes</v>
      </c>
    </row>
    <row r="17" customFormat="false" ht="15" hidden="false" customHeight="false" outlineLevel="0" collapsed="false">
      <c r="A17" s="0" t="s">
        <v>103</v>
      </c>
      <c r="B17" s="0" t="s">
        <v>47</v>
      </c>
      <c r="C17" s="0" t="s">
        <v>49</v>
      </c>
      <c r="D17" s="0" t="n">
        <f aca="false">SUMIFS(Fact_Extrapolated!$F$2:$F$781,Fact_Extrapolated!$C$2:$C$781,"GLA02",Fact_Extrapolated!$B$2:$B$781,"Trash")</f>
        <v>5</v>
      </c>
      <c r="E17" s="0" t="n">
        <f aca="false">IF($B$9=0,0,D17/$B$9)</f>
        <v>0.00909090909090909</v>
      </c>
      <c r="F17" s="0" t="n">
        <f aca="false">SUMIFS(Fact_Extrapolated!$F$2:$F$781,Fact_Extrapolated!$C$2:$C$781,"GLA02",Fact_Extrapolated!$B$2:$B$781,"Trash",Fact_Extrapolated!$G$2:$G$781,1)</f>
        <v>0</v>
      </c>
      <c r="G17" s="0" t="n">
        <f aca="false">IF(D17=0,0,F17/D17)</f>
        <v>0</v>
      </c>
      <c r="H17" s="0" t="str">
        <f aca="false">INDEX('Materials Master'!$D$2:$D$27,MATCH(C17,'Materials Master'!$B$2:$B$27,0))</f>
        <v>No</v>
      </c>
    </row>
    <row r="18" customFormat="false" ht="15" hidden="false" customHeight="false" outlineLevel="0" collapsed="false"/>
    <row r="19" customFormat="false" ht="15" hidden="false" customHeight="false" outlineLevel="0" collapsed="false">
      <c r="A19" s="0" t="s">
        <v>149</v>
      </c>
    </row>
    <row r="20" customFormat="false" ht="15" hidden="false" customHeight="false" outlineLevel="0" collapsed="false">
      <c r="A20" s="0" t="s">
        <v>146</v>
      </c>
      <c r="B20" s="0" t="s">
        <v>147</v>
      </c>
      <c r="C20" s="0" t="s">
        <v>140</v>
      </c>
    </row>
    <row r="21" customFormat="false" ht="15" hidden="false" customHeight="false" outlineLevel="0" collapsed="false">
      <c r="A21" s="0" t="s">
        <v>28</v>
      </c>
      <c r="B21" s="0" t="n">
        <f aca="false">SUM(D13:D16)</f>
        <v>495</v>
      </c>
      <c r="C21" s="0" t="n">
        <f aca="false">IF($B$9=0,0,B21/$B$9)</f>
        <v>0.9</v>
      </c>
    </row>
    <row r="22" customFormat="false" ht="15" hidden="false" customHeight="false" outlineLevel="0" collapsed="false">
      <c r="A22" s="0" t="s">
        <v>47</v>
      </c>
      <c r="B22" s="0" t="n">
        <f aca="false">SUM(D17:D17)</f>
        <v>5</v>
      </c>
      <c r="C22" s="0" t="n">
        <f aca="false">IF($B$9=0,0,B22/$B$9)</f>
        <v>0.00909090909090909</v>
      </c>
    </row>
    <row r="23" customFormat="false" ht="15" hidden="false" customHeight="false" outlineLevel="0" collapsed="false">
      <c r="A23" s="0" t="s">
        <v>52</v>
      </c>
      <c r="B23" s="0" t="n">
        <v>0</v>
      </c>
      <c r="C23" s="0" t="n">
        <f aca="false">IF($B$9=0,0,B23/$B$9)</f>
        <v>0</v>
      </c>
    </row>
    <row r="24" customFormat="false" ht="15" hidden="false" customHeight="false" outlineLevel="0" collapsed="false">
      <c r="A24" s="0" t="s">
        <v>57</v>
      </c>
      <c r="B24" s="0" t="n">
        <v>0</v>
      </c>
      <c r="C24" s="0" t="n">
        <f aca="false">IF($B$9=0,0,B24/$B$9)</f>
        <v>0</v>
      </c>
    </row>
    <row r="25" customFormat="false" ht="15" hidden="false" customHeight="false" outlineLevel="0" collapsed="false">
      <c r="A25" s="0" t="s">
        <v>66</v>
      </c>
      <c r="B25" s="0" t="n">
        <v>0</v>
      </c>
      <c r="C25" s="0" t="n">
        <f aca="false">IF($B$9=0,0,B25/$B$9)</f>
        <v>0</v>
      </c>
    </row>
    <row r="26" customFormat="false" ht="15" hidden="false" customHeight="false" outlineLevel="0" collapsed="false">
      <c r="A26" s="0" t="s">
        <v>75</v>
      </c>
      <c r="B26" s="0" t="n">
        <v>0</v>
      </c>
      <c r="C26" s="0" t="n">
        <f aca="false">IF($B$9=0,0,B26/$B$9)</f>
        <v>0</v>
      </c>
    </row>
    <row r="27" customFormat="false" ht="15" hidden="false" customHeight="false" outlineLevel="0" collapsed="false">
      <c r="A27" s="0" t="s">
        <v>84</v>
      </c>
      <c r="B27" s="0" t="n">
        <v>0</v>
      </c>
      <c r="C27" s="0" t="n">
        <f aca="false">IF($B$9=0,0,B27/$B$9)</f>
        <v>0</v>
      </c>
    </row>
    <row r="28" customFormat="false" ht="15" hidden="false" customHeight="false" outlineLevel="0" collapsed="false">
      <c r="A28" s="0" t="s">
        <v>150</v>
      </c>
      <c r="B28" s="0" t="n">
        <f aca="false">$B$9-SUM(B21:B27)</f>
        <v>50</v>
      </c>
      <c r="C28" s="0" t="n">
        <f aca="false">IF($B$9=0,0,B28/$B$9)</f>
        <v>0.0909090909090909</v>
      </c>
    </row>
    <row r="29" customFormat="false" ht="15" hidden="false" customHeight="false" outlineLevel="0" collapsed="false">
      <c r="A29" s="0" t="s">
        <v>143</v>
      </c>
      <c r="B29" s="0" t="n">
        <f aca="false">SUM(B21:B28)</f>
        <v>550</v>
      </c>
      <c r="C29" s="0" t="n">
        <f aca="false">IF(B29=0,0,B29/$B$9)</f>
        <v>1</v>
      </c>
    </row>
    <row r="30" customFormat="false" ht="15" hidden="false" customHeight="false" outlineLevel="0" collapsed="false"/>
    <row r="31" customFormat="false" ht="15" hidden="false" customHeight="false" outlineLevel="0" collapsed="false">
      <c r="A31" s="0" t="s">
        <v>151</v>
      </c>
    </row>
    <row r="32" customFormat="false" ht="15" hidden="false" customHeight="false" outlineLevel="0" collapsed="false">
      <c r="A32" s="0" t="s">
        <v>152</v>
      </c>
      <c r="B32" s="0" t="s">
        <v>103</v>
      </c>
      <c r="C32" s="0" t="s">
        <v>104</v>
      </c>
      <c r="D32" s="0" t="s">
        <v>105</v>
      </c>
      <c r="E32" s="0" t="s">
        <v>106</v>
      </c>
      <c r="F32" s="0" t="s">
        <v>107</v>
      </c>
      <c r="G32" s="0" t="s">
        <v>108</v>
      </c>
    </row>
    <row r="33" customFormat="false" ht="15" hidden="false" customHeight="false" outlineLevel="0" collapsed="false">
      <c r="A33" s="0" t="s">
        <v>92</v>
      </c>
      <c r="B33" s="0" t="n">
        <f aca="false">IF((SUMIFS(Fact_PreSortWeights!$E$2:$E$15,Fact_PreSortWeights!$C$2:$C$15,"OFFICES",Fact_PreSortWeights!$B$2:$B$15,"Trash")+SUMIFS(Fact_PreSortWeights!$E$2:$E$15,Fact_PreSortWeights!$C$2:$C$15,"LOCATION C",Fact_PreSortWeights!$B$2:$B$15,"Trash")+SUMIFS(Fact_PreSortWeights!$E$2:$E$15,Fact_PreSortWeights!$C$2:$C$15,"LOCATION D",Fact_PreSortWeights!$B$2:$B$15,"Trash")+SUMIFS(Fact_PreSortWeights!$E$2:$E$15,Fact_PreSortWeights!$C$2:$C$15,"BATHROOM",Fact_PreSortWeights!$B$2:$B$15,"Trash"))=0,0,1-SUMIFS(Fact_Extrapolated!$F$2:$F$781,Fact_Extrapolated!$I$2:$I$781,"Rest of Building",Fact_Extrapolated!$B$2:$B$781,"Trash",Fact_Extrapolated!$J$2:$J$781,1)/(SUMIFS(Fact_PreSortWeights!$E$2:$E$15,Fact_PreSortWeights!$C$2:$C$15,"OFFICES",Fact_PreSortWeights!$B$2:$B$15,"Trash")+SUMIFS(Fact_PreSortWeights!$E$2:$E$15,Fact_PreSortWeights!$C$2:$C$15,"LOCATION C",Fact_PreSortWeights!$B$2:$B$15,"Trash")+SUMIFS(Fact_PreSortWeights!$E$2:$E$15,Fact_PreSortWeights!$C$2:$C$15,"LOCATION D",Fact_PreSortWeights!$B$2:$B$15,"Trash")+SUMIFS(Fact_PreSortWeights!$E$2:$E$15,Fact_PreSortWeights!$C$2:$C$15,"BATHROOM",Fact_PreSortWeights!$B$2:$B$15,"Trash")))</f>
        <v>0.922222222222222</v>
      </c>
      <c r="C33" s="0" t="n">
        <f aca="false">IF((SUMIFS(Fact_PreSortWeights!$E$2:$E$15,Fact_PreSortWeights!$C$2:$C$15,"OFFICES",Fact_PreSortWeights!$B$2:$B$15,"GMPC Recycling")+SUMIFS(Fact_PreSortWeights!$E$2:$E$15,Fact_PreSortWeights!$C$2:$C$15,"LOCATION C",Fact_PreSortWeights!$B$2:$B$15,"GMPC Recycling")+SUMIFS(Fact_PreSortWeights!$E$2:$E$15,Fact_PreSortWeights!$C$2:$C$15,"LOCATION D",Fact_PreSortWeights!$B$2:$B$15,"GMPC Recycling")+SUMIFS(Fact_PreSortWeights!$E$2:$E$15,Fact_PreSortWeights!$C$2:$C$15,"BATHROOM",Fact_PreSortWeights!$B$2:$B$15,"GMPC Recycling"))=0,0,1-SUMIFS(Fact_Extrapolated!$F$2:$F$781,Fact_Extrapolated!$I$2:$I$781,"Rest of Building",Fact_Extrapolated!$B$2:$B$781,"GMPC Recycling",Fact_Extrapolated!$J$2:$J$781,1)/(SUMIFS(Fact_PreSortWeights!$E$2:$E$15,Fact_PreSortWeights!$C$2:$C$15,"OFFICES",Fact_PreSortWeights!$B$2:$B$15,"GMPC Recycling")+SUMIFS(Fact_PreSortWeights!$E$2:$E$15,Fact_PreSortWeights!$C$2:$C$15,"LOCATION C",Fact_PreSortWeights!$B$2:$B$15,"GMPC Recycling")+SUMIFS(Fact_PreSortWeights!$E$2:$E$15,Fact_PreSortWeights!$C$2:$C$15,"LOCATION D",Fact_PreSortWeights!$B$2:$B$15,"GMPC Recycling")+SUMIFS(Fact_PreSortWeights!$E$2:$E$15,Fact_PreSortWeights!$C$2:$C$15,"BATHROOM",Fact_PreSortWeights!$B$2:$B$15,"GMPC Recycling")))</f>
        <v>0</v>
      </c>
      <c r="D33" s="0" t="n">
        <f aca="false">IF((SUMIFS(Fact_PreSortWeights!$E$2:$E$15,Fact_PreSortWeights!$C$2:$C$15,"OFFICES",Fact_PreSortWeights!$B$2:$B$15,"Organics Recycling")+SUMIFS(Fact_PreSortWeights!$E$2:$E$15,Fact_PreSortWeights!$C$2:$C$15,"LOCATION C",Fact_PreSortWeights!$B$2:$B$15,"Organics Recycling")+SUMIFS(Fact_PreSortWeights!$E$2:$E$15,Fact_PreSortWeights!$C$2:$C$15,"LOCATION D",Fact_PreSortWeights!$B$2:$B$15,"Organics Recycling")+SUMIFS(Fact_PreSortWeights!$E$2:$E$15,Fact_PreSortWeights!$C$2:$C$15,"BATHROOM",Fact_PreSortWeights!$B$2:$B$15,"Organics Recycling"))=0,0,1-SUMIFS(Fact_Extrapolated!$F$2:$F$781,Fact_Extrapolated!$I$2:$I$781,"Rest of Building",Fact_Extrapolated!$B$2:$B$781,"Organics Recycling",Fact_Extrapolated!$J$2:$J$781,1)/(SUMIFS(Fact_PreSortWeights!$E$2:$E$15,Fact_PreSortWeights!$C$2:$C$15,"OFFICES",Fact_PreSortWeights!$B$2:$B$15,"Organics Recycling")+SUMIFS(Fact_PreSortWeights!$E$2:$E$15,Fact_PreSortWeights!$C$2:$C$15,"LOCATION C",Fact_PreSortWeights!$B$2:$B$15,"Organics Recycling")+SUMIFS(Fact_PreSortWeights!$E$2:$E$15,Fact_PreSortWeights!$C$2:$C$15,"LOCATION D",Fact_PreSortWeights!$B$2:$B$15,"Organics Recycling")+SUMIFS(Fact_PreSortWeights!$E$2:$E$15,Fact_PreSortWeights!$C$2:$C$15,"BATHROOM",Fact_PreSortWeights!$B$2:$B$15,"Organics Recycling")))</f>
        <v>0</v>
      </c>
      <c r="E33" s="0" t="n">
        <f aca="false">IF((SUMIFS(Fact_SortedWeights!$E$2:$E$6,Fact_SortedWeights!$C$2:$C$6,"OFFICES",Fact_SortedWeights!$B$2:$B$6,"Cardboard Recycling")+SUMIFS(Fact_SortedWeights!$E$2:$E$6,Fact_SortedWeights!$C$2:$C$6,"LOCATION C",Fact_SortedWeights!$B$2:$B$6,"Cardboard Recycling")+SUMIFS(Fact_SortedWeights!$E$2:$E$6,Fact_SortedWeights!$C$2:$C$6,"LOCATION D",Fact_SortedWeights!$B$2:$B$6,"Cardboard Recycling")+SUMIFS(Fact_SortedWeights!$E$2:$E$6,Fact_SortedWeights!$C$2:$C$6,"BATHROOM",Fact_SortedWeights!$B$2:$B$6,"Cardboard Recycling"))=0,0,1-SUMIFS(Fact_Extrapolated!$F$2:$F$781,Fact_Extrapolated!$I$2:$I$781,"Rest of Building",Fact_Extrapolated!$B$2:$B$781,"Cardboard Recycling",Fact_Extrapolated!$J$2:$J$781,1)/(SUMIFS(Fact_SortedWeights!$E$2:$E$6,Fact_SortedWeights!$C$2:$C$6,"OFFICES",Fact_SortedWeights!$B$2:$B$6,"Cardboard Recycling")+SUMIFS(Fact_SortedWeights!$E$2:$E$6,Fact_SortedWeights!$C$2:$C$6,"LOCATION C",Fact_SortedWeights!$B$2:$B$6,"Cardboard Recycling")+SUMIFS(Fact_SortedWeights!$E$2:$E$6,Fact_SortedWeights!$C$2:$C$6,"LOCATION D",Fact_SortedWeights!$B$2:$B$6,"Cardboard Recycling")+SUMIFS(Fact_SortedWeights!$E$2:$E$6,Fact_SortedWeights!$C$2:$C$6,"BATHROOM",Fact_SortedWeights!$B$2:$B$6,"Cardboard Recycling")))</f>
        <v>0</v>
      </c>
      <c r="F33" s="0" t="n">
        <f aca="false">IF((SUMIFS(Fact_PreSortWeights!$E$2:$E$15,Fact_PreSortWeights!$C$2:$C$15,"OFFICES",Fact_PreSortWeights!$B$2:$B$15,"Paper Recycling")+SUMIFS(Fact_PreSortWeights!$E$2:$E$15,Fact_PreSortWeights!$C$2:$C$15,"LOCATION C",Fact_PreSortWeights!$B$2:$B$15,"Paper Recycling")+SUMIFS(Fact_PreSortWeights!$E$2:$E$15,Fact_PreSortWeights!$C$2:$C$15,"LOCATION D",Fact_PreSortWeights!$B$2:$B$15,"Paper Recycling")+SUMIFS(Fact_PreSortWeights!$E$2:$E$15,Fact_PreSortWeights!$C$2:$C$15,"BATHROOM",Fact_PreSortWeights!$B$2:$B$15,"Paper Recycling"))=0,0,1-SUMIFS(Fact_Extrapolated!$F$2:$F$781,Fact_Extrapolated!$I$2:$I$781,"Rest of Building",Fact_Extrapolated!$B$2:$B$781,"Paper Recycling",Fact_Extrapolated!$J$2:$J$781,1)/(SUMIFS(Fact_PreSortWeights!$E$2:$E$15,Fact_PreSortWeights!$C$2:$C$15,"OFFICES",Fact_PreSortWeights!$B$2:$B$15,"Paper Recycling")+SUMIFS(Fact_PreSortWeights!$E$2:$E$15,Fact_PreSortWeights!$C$2:$C$15,"LOCATION C",Fact_PreSortWeights!$B$2:$B$15,"Paper Recycling")+SUMIFS(Fact_PreSortWeights!$E$2:$E$15,Fact_PreSortWeights!$C$2:$C$15,"LOCATION D",Fact_PreSortWeights!$B$2:$B$15,"Paper Recycling")+SUMIFS(Fact_PreSortWeights!$E$2:$E$15,Fact_PreSortWeights!$C$2:$C$15,"BATHROOM",Fact_PreSortWeights!$B$2:$B$15,"Paper Recycling")))</f>
        <v>0</v>
      </c>
      <c r="G33" s="0" t="n">
        <f aca="false">IF((SUMIFS(Fact_PreSortWeights!$E$2:$E$15,Fact_PreSortWeights!$C$2:$C$15,"OFFICES",Fact_PreSortWeights!$B$2:$B$15,"Terracycle")+SUMIFS(Fact_PreSortWeights!$E$2:$E$15,Fact_PreSortWeights!$C$2:$C$15,"LOCATION C",Fact_PreSortWeights!$B$2:$B$15,"Terracycle")+SUMIFS(Fact_PreSortWeights!$E$2:$E$15,Fact_PreSortWeights!$C$2:$C$15,"LOCATION D",Fact_PreSortWeights!$B$2:$B$15,"Terracycle")+SUMIFS(Fact_PreSortWeights!$E$2:$E$15,Fact_PreSortWeights!$C$2:$C$15,"BATHROOM",Fact_PreSortWeights!$B$2:$B$15,"Terracycle"))=0,0,1-SUMIFS(Fact_Extrapolated!$F$2:$F$781,Fact_Extrapolated!$I$2:$I$781,"Rest of Building",Fact_Extrapolated!$B$2:$B$781,"Terracycle",Fact_Extrapolated!$J$2:$J$781,1)/(SUMIFS(Fact_PreSortWeights!$E$2:$E$15,Fact_PreSortWeights!$C$2:$C$15,"OFFICES",Fact_PreSortWeights!$B$2:$B$15,"Terracycle")+SUMIFS(Fact_PreSortWeights!$E$2:$E$15,Fact_PreSortWeights!$C$2:$C$15,"LOCATION C",Fact_PreSortWeights!$B$2:$B$15,"Terracycle")+SUMIFS(Fact_PreSortWeights!$E$2:$E$15,Fact_PreSortWeights!$C$2:$C$15,"LOCATION D",Fact_PreSortWeights!$B$2:$B$15,"Terracycle")+SUMIFS(Fact_PreSortWeights!$E$2:$E$15,Fact_PreSortWeights!$C$2:$C$15,"BATHROOM",Fact_PreSortWeights!$B$2:$B$15,"Terracycle")))</f>
        <v>0</v>
      </c>
    </row>
    <row r="34" customFormat="false" ht="15" hidden="false" customHeight="false" outlineLevel="0" collapsed="false">
      <c r="A34" s="0" t="s">
        <v>95</v>
      </c>
      <c r="B34" s="0" t="n">
        <f aca="false">IF((SUMIFS(Fact_PreSortWeights!$E$2:$E$15,Fact_PreSortWeights!$C$2:$C$15,"CAFÉ BOH",Fact_PreSortWeights!$B$2:$B$15,"Trash"))=0,0,1-SUMIFS(Fact_Extrapolated!$F$2:$F$781,Fact_Extrapolated!$I$2:$I$781,"BOH",Fact_Extrapolated!$B$2:$B$781,"Trash",Fact_Extrapolated!$J$2:$J$781,1)/(SUMIFS(Fact_PreSortWeights!$E$2:$E$15,Fact_PreSortWeights!$C$2:$C$15,"CAFÉ BOH",Fact_PreSortWeights!$B$2:$B$15,"Trash")))</f>
        <v>0</v>
      </c>
      <c r="C34" s="0" t="n">
        <f aca="false">IF((SUMIFS(Fact_PreSortWeights!$E$2:$E$15,Fact_PreSortWeights!$C$2:$C$15,"CAFÉ BOH",Fact_PreSortWeights!$B$2:$B$15,"GMPC Recycling"))=0,0,1-SUMIFS(Fact_Extrapolated!$F$2:$F$781,Fact_Extrapolated!$I$2:$I$781,"BOH",Fact_Extrapolated!$B$2:$B$781,"GMPC Recycling",Fact_Extrapolated!$J$2:$J$781,1)/(SUMIFS(Fact_PreSortWeights!$E$2:$E$15,Fact_PreSortWeights!$C$2:$C$15,"CAFÉ BOH",Fact_PreSortWeights!$B$2:$B$15,"GMPC Recycling")))</f>
        <v>0</v>
      </c>
      <c r="D34" s="0" t="n">
        <f aca="false">IF((SUMIFS(Fact_PreSortWeights!$E$2:$E$15,Fact_PreSortWeights!$C$2:$C$15,"CAFÉ BOH",Fact_PreSortWeights!$B$2:$B$15,"Organics Recycling"))=0,0,1-SUMIFS(Fact_Extrapolated!$F$2:$F$781,Fact_Extrapolated!$I$2:$I$781,"BOH",Fact_Extrapolated!$B$2:$B$781,"Organics Recycling",Fact_Extrapolated!$J$2:$J$781,1)/(SUMIFS(Fact_PreSortWeights!$E$2:$E$15,Fact_PreSortWeights!$C$2:$C$15,"CAFÉ BOH",Fact_PreSortWeights!$B$2:$B$15,"Organics Recycling")))</f>
        <v>0</v>
      </c>
      <c r="E34" s="0" t="n">
        <f aca="false">IF((SUMIFS(Fact_SortedWeights!$E$2:$E$6,Fact_SortedWeights!$C$2:$C$6,"CAFÉ BOH",Fact_SortedWeights!$B$2:$B$6,"Cardboard Recycling"))=0,0,1-SUMIFS(Fact_Extrapolated!$F$2:$F$781,Fact_Extrapolated!$I$2:$I$781,"BOH",Fact_Extrapolated!$B$2:$B$781,"Cardboard Recycling",Fact_Extrapolated!$J$2:$J$781,1)/(SUMIFS(Fact_SortedWeights!$E$2:$E$6,Fact_SortedWeights!$C$2:$C$6,"CAFÉ BOH",Fact_SortedWeights!$B$2:$B$6,"Cardboard Recycling")))</f>
        <v>0</v>
      </c>
      <c r="F34" s="0" t="n">
        <f aca="false">IF((SUMIFS(Fact_PreSortWeights!$E$2:$E$15,Fact_PreSortWeights!$C$2:$C$15,"CAFÉ BOH",Fact_PreSortWeights!$B$2:$B$15,"Paper Recycling"))=0,0,1-SUMIFS(Fact_Extrapolated!$F$2:$F$781,Fact_Extrapolated!$I$2:$I$781,"BOH",Fact_Extrapolated!$B$2:$B$781,"Paper Recycling",Fact_Extrapolated!$J$2:$J$781,1)/(SUMIFS(Fact_PreSortWeights!$E$2:$E$15,Fact_PreSortWeights!$C$2:$C$15,"CAFÉ BOH",Fact_PreSortWeights!$B$2:$B$15,"Paper Recycling")))</f>
        <v>0</v>
      </c>
      <c r="G34" s="0" t="n">
        <f aca="false">IF((SUMIFS(Fact_PreSortWeights!$E$2:$E$15,Fact_PreSortWeights!$C$2:$C$15,"CAFÉ BOH",Fact_PreSortWeights!$B$2:$B$15,"Terracycle"))=0,0,1-SUMIFS(Fact_Extrapolated!$F$2:$F$781,Fact_Extrapolated!$I$2:$I$781,"BOH",Fact_Extrapolated!$B$2:$B$781,"Terracycle",Fact_Extrapolated!$J$2:$J$781,1)/(SUMIFS(Fact_PreSortWeights!$E$2:$E$15,Fact_PreSortWeights!$C$2:$C$15,"CAFÉ BOH",Fact_PreSortWeights!$B$2:$B$15,"Terracycle")))</f>
        <v>0</v>
      </c>
    </row>
    <row r="35" customFormat="false" ht="15" hidden="false" customHeight="false" outlineLevel="0" collapsed="false">
      <c r="A35" s="0" t="s">
        <v>143</v>
      </c>
      <c r="B35" s="0" t="n">
        <f aca="false">IF((SUMIFS(Fact_PreSortWeights!$E$2:$E$15,Fact_PreSortWeights!$C$2:$C$15,"OFFICES",Fact_PreSortWeights!$B$2:$B$15,"Trash")+SUMIFS(Fact_PreSortWeights!$E$2:$E$15,Fact_PreSortWeights!$C$2:$C$15,"CAFÉ BOH",Fact_PreSortWeights!$B$2:$B$15,"Trash")+SUMIFS(Fact_PreSortWeights!$E$2:$E$15,Fact_PreSortWeights!$C$2:$C$15,"LOCATION C",Fact_PreSortWeights!$B$2:$B$15,"Trash")+SUMIFS(Fact_PreSortWeights!$E$2:$E$15,Fact_PreSortWeights!$C$2:$C$15,"LOCATION D",Fact_PreSortWeights!$B$2:$B$15,"Trash")+SUMIFS(Fact_PreSortWeights!$E$2:$E$15,Fact_PreSortWeights!$C$2:$C$15,"BATHROOM",Fact_PreSortWeights!$B$2:$B$15,"Trash"))=0,0,1-SUMIFS(Fact_Extrapolated!$F$2:$F$781,Fact_Extrapolated!$B$2:$B$781,"Trash",Fact_Extrapolated!$J$2:$J$781,1)/(SUMIFS(Fact_PreSortWeights!$E$2:$E$15,Fact_PreSortWeights!$C$2:$C$15,"OFFICES",Fact_PreSortWeights!$B$2:$B$15,"Trash")+SUMIFS(Fact_PreSortWeights!$E$2:$E$15,Fact_PreSortWeights!$C$2:$C$15,"CAFÉ BOH",Fact_PreSortWeights!$B$2:$B$15,"Trash")+SUMIFS(Fact_PreSortWeights!$E$2:$E$15,Fact_PreSortWeights!$C$2:$C$15,"LOCATION C",Fact_PreSortWeights!$B$2:$B$15,"Trash")+SUMIFS(Fact_PreSortWeights!$E$2:$E$15,Fact_PreSortWeights!$C$2:$C$15,"LOCATION D",Fact_PreSortWeights!$B$2:$B$15,"Trash")+SUMIFS(Fact_PreSortWeights!$E$2:$E$15,Fact_PreSortWeights!$C$2:$C$15,"BATHROOM",Fact_PreSortWeights!$B$2:$B$15,"Trash")))</f>
        <v>0.922222222222222</v>
      </c>
      <c r="C35" s="0" t="n">
        <f aca="false">IF((SUMIFS(Fact_PreSortWeights!$E$2:$E$15,Fact_PreSortWeights!$C$2:$C$15,"OFFICES",Fact_PreSortWeights!$B$2:$B$15,"GMPC Recycling")+SUMIFS(Fact_PreSortWeights!$E$2:$E$15,Fact_PreSortWeights!$C$2:$C$15,"CAFÉ BOH",Fact_PreSortWeights!$B$2:$B$15,"GMPC Recycling")+SUMIFS(Fact_PreSortWeights!$E$2:$E$15,Fact_PreSortWeights!$C$2:$C$15,"LOCATION C",Fact_PreSortWeights!$B$2:$B$15,"GMPC Recycling")+SUMIFS(Fact_PreSortWeights!$E$2:$E$15,Fact_PreSortWeights!$C$2:$C$15,"LOCATION D",Fact_PreSortWeights!$B$2:$B$15,"GMPC Recycling")+SUMIFS(Fact_PreSortWeights!$E$2:$E$15,Fact_PreSortWeights!$C$2:$C$15,"BATHROOM",Fact_PreSortWeights!$B$2:$B$15,"GMPC Recycling"))=0,0,1-SUMIFS(Fact_Extrapolated!$F$2:$F$781,Fact_Extrapolated!$B$2:$B$781,"GMPC Recycling",Fact_Extrapolated!$J$2:$J$781,1)/(SUMIFS(Fact_PreSortWeights!$E$2:$E$15,Fact_PreSortWeights!$C$2:$C$15,"OFFICES",Fact_PreSortWeights!$B$2:$B$15,"GMPC Recycling")+SUMIFS(Fact_PreSortWeights!$E$2:$E$15,Fact_PreSortWeights!$C$2:$C$15,"CAFÉ BOH",Fact_PreSortWeights!$B$2:$B$15,"GMPC Recycling")+SUMIFS(Fact_PreSortWeights!$E$2:$E$15,Fact_PreSortWeights!$C$2:$C$15,"LOCATION C",Fact_PreSortWeights!$B$2:$B$15,"GMPC Recycling")+SUMIFS(Fact_PreSortWeights!$E$2:$E$15,Fact_PreSortWeights!$C$2:$C$15,"LOCATION D",Fact_PreSortWeights!$B$2:$B$15,"GMPC Recycling")+SUMIFS(Fact_PreSortWeights!$E$2:$E$15,Fact_PreSortWeights!$C$2:$C$15,"BATHROOM",Fact_PreSortWeights!$B$2:$B$15,"GMPC Recycling")))</f>
        <v>0</v>
      </c>
      <c r="D35" s="0" t="n">
        <f aca="false">IF((SUMIFS(Fact_PreSortWeights!$E$2:$E$15,Fact_PreSortWeights!$C$2:$C$15,"OFFICES",Fact_PreSortWeights!$B$2:$B$15,"Organics Recycling")+SUMIFS(Fact_PreSortWeights!$E$2:$E$15,Fact_PreSortWeights!$C$2:$C$15,"CAFÉ BOH",Fact_PreSortWeights!$B$2:$B$15,"Organics Recycling")+SUMIFS(Fact_PreSortWeights!$E$2:$E$15,Fact_PreSortWeights!$C$2:$C$15,"LOCATION C",Fact_PreSortWeights!$B$2:$B$15,"Organics Recycling")+SUMIFS(Fact_PreSortWeights!$E$2:$E$15,Fact_PreSortWeights!$C$2:$C$15,"LOCATION D",Fact_PreSortWeights!$B$2:$B$15,"Organics Recycling")+SUMIFS(Fact_PreSortWeights!$E$2:$E$15,Fact_PreSortWeights!$C$2:$C$15,"BATHROOM",Fact_PreSortWeights!$B$2:$B$15,"Organics Recycling"))=0,0,1-SUMIFS(Fact_Extrapolated!$F$2:$F$781,Fact_Extrapolated!$B$2:$B$781,"Organics Recycling",Fact_Extrapolated!$J$2:$J$781,1)/(SUMIFS(Fact_PreSortWeights!$E$2:$E$15,Fact_PreSortWeights!$C$2:$C$15,"OFFICES",Fact_PreSortWeights!$B$2:$B$15,"Organics Recycling")+SUMIFS(Fact_PreSortWeights!$E$2:$E$15,Fact_PreSortWeights!$C$2:$C$15,"CAFÉ BOH",Fact_PreSortWeights!$B$2:$B$15,"Organics Recycling")+SUMIFS(Fact_PreSortWeights!$E$2:$E$15,Fact_PreSortWeights!$C$2:$C$15,"LOCATION C",Fact_PreSortWeights!$B$2:$B$15,"Organics Recycling")+SUMIFS(Fact_PreSortWeights!$E$2:$E$15,Fact_PreSortWeights!$C$2:$C$15,"LOCATION D",Fact_PreSortWeights!$B$2:$B$15,"Organics Recycling")+SUMIFS(Fact_PreSortWeights!$E$2:$E$15,Fact_PreSortWeights!$C$2:$C$15,"BATHROOM",Fact_PreSortWeights!$B$2:$B$15,"Organics Recycling")))</f>
        <v>0</v>
      </c>
      <c r="E35" s="0" t="n">
        <f aca="false">IF((SUMIFS(Fact_SortedWeights!$E$2:$E$6,Fact_SortedWeights!$C$2:$C$6,"OFFICES",Fact_SortedWeights!$B$2:$B$6,"Cardboard Recycling")+SUMIFS(Fact_SortedWeights!$E$2:$E$6,Fact_SortedWeights!$C$2:$C$6,"CAFÉ BOH",Fact_SortedWeights!$B$2:$B$6,"Cardboard Recycling")+SUMIFS(Fact_SortedWeights!$E$2:$E$6,Fact_SortedWeights!$C$2:$C$6,"LOCATION C",Fact_SortedWeights!$B$2:$B$6,"Cardboard Recycling")+SUMIFS(Fact_SortedWeights!$E$2:$E$6,Fact_SortedWeights!$C$2:$C$6,"LOCATION D",Fact_SortedWeights!$B$2:$B$6,"Cardboard Recycling")+SUMIFS(Fact_SortedWeights!$E$2:$E$6,Fact_SortedWeights!$C$2:$C$6,"BATHROOM",Fact_SortedWeights!$B$2:$B$6,"Cardboard Recycling"))=0,0,1-SUMIFS(Fact_Extrapolated!$F$2:$F$781,Fact_Extrapolated!$B$2:$B$781,"Cardboard Recycling",Fact_Extrapolated!$J$2:$J$781,1)/(SUMIFS(Fact_SortedWeights!$E$2:$E$6,Fact_SortedWeights!$C$2:$C$6,"OFFICES",Fact_SortedWeights!$B$2:$B$6,"Cardboard Recycling")+SUMIFS(Fact_SortedWeights!$E$2:$E$6,Fact_SortedWeights!$C$2:$C$6,"CAFÉ BOH",Fact_SortedWeights!$B$2:$B$6,"Cardboard Recycling")+SUMIFS(Fact_SortedWeights!$E$2:$E$6,Fact_SortedWeights!$C$2:$C$6,"LOCATION C",Fact_SortedWeights!$B$2:$B$6,"Cardboard Recycling")+SUMIFS(Fact_SortedWeights!$E$2:$E$6,Fact_SortedWeights!$C$2:$C$6,"LOCATION D",Fact_SortedWeights!$B$2:$B$6,"Cardboard Recycling")+SUMIFS(Fact_SortedWeights!$E$2:$E$6,Fact_SortedWeights!$C$2:$C$6,"BATHROOM",Fact_SortedWeights!$B$2:$B$6,"Cardboard Recycling")))</f>
        <v>0</v>
      </c>
      <c r="F35" s="0" t="n">
        <f aca="false">IF((SUMIFS(Fact_PreSortWeights!$E$2:$E$15,Fact_PreSortWeights!$C$2:$C$15,"OFFICES",Fact_PreSortWeights!$B$2:$B$15,"Paper Recycling")+SUMIFS(Fact_PreSortWeights!$E$2:$E$15,Fact_PreSortWeights!$C$2:$C$15,"CAFÉ BOH",Fact_PreSortWeights!$B$2:$B$15,"Paper Recycling")+SUMIFS(Fact_PreSortWeights!$E$2:$E$15,Fact_PreSortWeights!$C$2:$C$15,"LOCATION C",Fact_PreSortWeights!$B$2:$B$15,"Paper Recycling")+SUMIFS(Fact_PreSortWeights!$E$2:$E$15,Fact_PreSortWeights!$C$2:$C$15,"LOCATION D",Fact_PreSortWeights!$B$2:$B$15,"Paper Recycling")+SUMIFS(Fact_PreSortWeights!$E$2:$E$15,Fact_PreSortWeights!$C$2:$C$15,"BATHROOM",Fact_PreSortWeights!$B$2:$B$15,"Paper Recycling"))=0,0,1-SUMIFS(Fact_Extrapolated!$F$2:$F$781,Fact_Extrapolated!$B$2:$B$781,"Paper Recycling",Fact_Extrapolated!$J$2:$J$781,1)/(SUMIFS(Fact_PreSortWeights!$E$2:$E$15,Fact_PreSortWeights!$C$2:$C$15,"OFFICES",Fact_PreSortWeights!$B$2:$B$15,"Paper Recycling")+SUMIFS(Fact_PreSortWeights!$E$2:$E$15,Fact_PreSortWeights!$C$2:$C$15,"CAFÉ BOH",Fact_PreSortWeights!$B$2:$B$15,"Paper Recycling")+SUMIFS(Fact_PreSortWeights!$E$2:$E$15,Fact_PreSortWeights!$C$2:$C$15,"LOCATION C",Fact_PreSortWeights!$B$2:$B$15,"Paper Recycling")+SUMIFS(Fact_PreSortWeights!$E$2:$E$15,Fact_PreSortWeights!$C$2:$C$15,"LOCATION D",Fact_PreSortWeights!$B$2:$B$15,"Paper Recycling")+SUMIFS(Fact_PreSortWeights!$E$2:$E$15,Fact_PreSortWeights!$C$2:$C$15,"BATHROOM",Fact_PreSortWeights!$B$2:$B$15,"Paper Recycling")))</f>
        <v>0</v>
      </c>
      <c r="G35" s="0" t="n">
        <f aca="false">IF((SUMIFS(Fact_PreSortWeights!$E$2:$E$15,Fact_PreSortWeights!$C$2:$C$15,"OFFICES",Fact_PreSortWeights!$B$2:$B$15,"Terracycle")+SUMIFS(Fact_PreSortWeights!$E$2:$E$15,Fact_PreSortWeights!$C$2:$C$15,"CAFÉ BOH",Fact_PreSortWeights!$B$2:$B$15,"Terracycle")+SUMIFS(Fact_PreSortWeights!$E$2:$E$15,Fact_PreSortWeights!$C$2:$C$15,"LOCATION C",Fact_PreSortWeights!$B$2:$B$15,"Terracycle")+SUMIFS(Fact_PreSortWeights!$E$2:$E$15,Fact_PreSortWeights!$C$2:$C$15,"LOCATION D",Fact_PreSortWeights!$B$2:$B$15,"Terracycle")+SUMIFS(Fact_PreSortWeights!$E$2:$E$15,Fact_PreSortWeights!$C$2:$C$15,"BATHROOM",Fact_PreSortWeights!$B$2:$B$15,"Terracycle"))=0,0,1-SUMIFS(Fact_Extrapolated!$F$2:$F$781,Fact_Extrapolated!$B$2:$B$781,"Terracycle",Fact_Extrapolated!$J$2:$J$781,1)/(SUMIFS(Fact_PreSortWeights!$E$2:$E$15,Fact_PreSortWeights!$C$2:$C$15,"OFFICES",Fact_PreSortWeights!$B$2:$B$15,"Terracycle")+SUMIFS(Fact_PreSortWeights!$E$2:$E$15,Fact_PreSortWeights!$C$2:$C$15,"CAFÉ BOH",Fact_PreSortWeights!$B$2:$B$15,"Terracycle")+SUMIFS(Fact_PreSortWeights!$E$2:$E$15,Fact_PreSortWeights!$C$2:$C$15,"LOCATION C",Fact_PreSortWeights!$B$2:$B$15,"Terracycle")+SUMIFS(Fact_PreSortWeights!$E$2:$E$15,Fact_PreSortWeights!$C$2:$C$15,"LOCATION D",Fact_PreSortWeights!$B$2:$B$15,"Terracycle")+SUMIFS(Fact_PreSortWeights!$E$2:$E$15,Fact_PreSortWeights!$C$2:$C$15,"BATHROOM",Fact_PreSortWeights!$B$2:$B$15,"Terracycle")))</f>
        <v>0</v>
      </c>
    </row>
    <row r="36" customFormat="false" ht="15" hidden="false" customHeight="false" outlineLevel="0" collapsed="false"/>
    <row r="37" customFormat="false" ht="15" hidden="false" customHeight="false" outlineLevel="0" collapsed="false">
      <c r="A37" s="0" t="s">
        <v>153</v>
      </c>
    </row>
    <row r="38" customFormat="false" ht="15" hidden="false" customHeight="false" outlineLevel="0" collapsed="false">
      <c r="A38" s="0" t="s">
        <v>152</v>
      </c>
      <c r="B38" s="0" t="s">
        <v>154</v>
      </c>
      <c r="C38" s="0" t="s">
        <v>155</v>
      </c>
      <c r="D38" s="0" t="s">
        <v>156</v>
      </c>
    </row>
    <row r="39" customFormat="false" ht="15" hidden="false" customHeight="false" outlineLevel="0" collapsed="false">
      <c r="A39" s="0" t="s">
        <v>92</v>
      </c>
      <c r="B39" s="0" t="n">
        <f aca="false">IF((SUMIFS(Fact_PreSortWeights!$E$2:$E$15,Fact_PreSortWeights!$C$2:$C$15,"OFFICES")+SUMIFS(Fact_SortedWeights!$E$2:$E$6,Fact_SortedWeights!$C$2:$C$6,"OFFICES",Fact_SortedWeights!$B$2:$B$6,"Cardboard Recycling")+SUMIFS(Fact_PreSortWeights!$E$2:$E$15,Fact_PreSortWeights!$C$2:$C$15,"LOCATION C")+SUMIFS(Fact_SortedWeights!$E$2:$E$6,Fact_SortedWeights!$C$2:$C$6,"LOCATION C",Fact_SortedWeights!$B$2:$B$6,"Cardboard Recycling")+SUMIFS(Fact_PreSortWeights!$E$2:$E$15,Fact_PreSortWeights!$C$2:$C$15,"LOCATION D")+SUMIFS(Fact_SortedWeights!$E$2:$E$6,Fact_SortedWeights!$C$2:$C$6,"LOCATION D",Fact_SortedWeights!$B$2:$B$6,"Cardboard Recycling")+SUMIFS(Fact_PreSortWeights!$E$2:$E$15,Fact_PreSortWeights!$C$2:$C$15,"BATHROOM")+SUMIFS(Fact_SortedWeights!$E$2:$E$6,Fact_SortedWeights!$C$2:$C$6,"BATHROOM",Fact_SortedWeights!$B$2:$B$6,"Cardboard Recycling"))=0,0,SUMIFS(Fact_Extrapolated!$F$2:$F$781,Fact_Extrapolated!$I$2:$I$781,"Rest of Building",Fact_Extrapolated!$G$2:$G$781,1)/(SUMIFS(Fact_PreSortWeights!$E$2:$E$15,Fact_PreSortWeights!$C$2:$C$15,"OFFICES")+SUMIFS(Fact_SortedWeights!$E$2:$E$6,Fact_SortedWeights!$C$2:$C$6,"OFFICES",Fact_SortedWeights!$B$2:$B$6,"Cardboard Recycling")+SUMIFS(Fact_PreSortWeights!$E$2:$E$15,Fact_PreSortWeights!$C$2:$C$15,"LOCATION C")+SUMIFS(Fact_SortedWeights!$E$2:$E$6,Fact_SortedWeights!$C$2:$C$6,"LOCATION C",Fact_SortedWeights!$B$2:$B$6,"Cardboard Recycling")+SUMIFS(Fact_PreSortWeights!$E$2:$E$15,Fact_PreSortWeights!$C$2:$C$15,"LOCATION D")+SUMIFS(Fact_SortedWeights!$E$2:$E$6,Fact_SortedWeights!$C$2:$C$6,"LOCATION D",Fact_SortedWeights!$B$2:$B$6,"Cardboard Recycling")+SUMIFS(Fact_PreSortWeights!$E$2:$E$15,Fact_PreSortWeights!$C$2:$C$15,"BATHROOM")+SUMIFS(Fact_SortedWeights!$E$2:$E$6,Fact_SortedWeights!$C$2:$C$6,"BATHROOM",Fact_SortedWeights!$B$2:$B$6,"Cardboard Recycling")))</f>
        <v>0.181818181818182</v>
      </c>
      <c r="C39" s="0" t="n">
        <f aca="false">IF((SUMIFS(Fact_PreSortWeights!$E$2:$E$15,Fact_PreSortWeights!$C$2:$C$15,"OFFICES")+SUMIFS(Fact_SortedWeights!$E$2:$E$6,Fact_SortedWeights!$C$2:$C$6,"OFFICES",Fact_SortedWeights!$B$2:$B$6,"Cardboard Recycling")+SUMIFS(Fact_PreSortWeights!$E$2:$E$15,Fact_PreSortWeights!$C$2:$C$15,"LOCATION C")+SUMIFS(Fact_SortedWeights!$E$2:$E$6,Fact_SortedWeights!$C$2:$C$6,"LOCATION C",Fact_SortedWeights!$B$2:$B$6,"Cardboard Recycling")+SUMIFS(Fact_PreSortWeights!$E$2:$E$15,Fact_PreSortWeights!$C$2:$C$15,"LOCATION D")+SUMIFS(Fact_SortedWeights!$E$2:$E$6,Fact_SortedWeights!$C$2:$C$6,"LOCATION D",Fact_SortedWeights!$B$2:$B$6,"Cardboard Recycling")+SUMIFS(Fact_PreSortWeights!$E$2:$E$15,Fact_PreSortWeights!$C$2:$C$15,"BATHROOM")+SUMIFS(Fact_SortedWeights!$E$2:$E$6,Fact_SortedWeights!$C$2:$C$6,"BATHROOM",Fact_SortedWeights!$B$2:$B$6,"Cardboard Recycling"))=0,0,SUMIFS(Fact_Extrapolated!$F$2:$F$781,Fact_Extrapolated!$I$2:$I$781,"Rest of Building",Fact_Extrapolated!$H$2:$H$781,"Yes")/(SUMIFS(Fact_PreSortWeights!$E$2:$E$15,Fact_PreSortWeights!$C$2:$C$15,"OFFICES")+SUMIFS(Fact_SortedWeights!$E$2:$E$6,Fact_SortedWeights!$C$2:$C$6,"OFFICES",Fact_SortedWeights!$B$2:$B$6,"Cardboard Recycling")+SUMIFS(Fact_PreSortWeights!$E$2:$E$15,Fact_PreSortWeights!$C$2:$C$15,"LOCATION C")+SUMIFS(Fact_SortedWeights!$E$2:$E$6,Fact_SortedWeights!$C$2:$C$6,"LOCATION C",Fact_SortedWeights!$B$2:$B$6,"Cardboard Recycling")+SUMIFS(Fact_PreSortWeights!$E$2:$E$15,Fact_PreSortWeights!$C$2:$C$15,"LOCATION D")+SUMIFS(Fact_SortedWeights!$E$2:$E$6,Fact_SortedWeights!$C$2:$C$6,"LOCATION D",Fact_SortedWeights!$B$2:$B$6,"Cardboard Recycling")+SUMIFS(Fact_PreSortWeights!$E$2:$E$15,Fact_PreSortWeights!$C$2:$C$15,"BATHROOM")+SUMIFS(Fact_SortedWeights!$E$2:$E$6,Fact_SortedWeights!$C$2:$C$6,"BATHROOM",Fact_SortedWeights!$B$2:$B$6,"Cardboard Recycling")))</f>
        <v>0.936363636363636</v>
      </c>
      <c r="D39" s="0" t="n">
        <f aca="false">C39-B39</f>
        <v>0.754545454545455</v>
      </c>
    </row>
    <row r="40" customFormat="false" ht="15" hidden="false" customHeight="false" outlineLevel="0" collapsed="false">
      <c r="A40" s="0" t="s">
        <v>95</v>
      </c>
      <c r="B40" s="0" t="n">
        <f aca="false">IF((SUMIFS(Fact_PreSortWeights!$E$2:$E$15,Fact_PreSortWeights!$C$2:$C$15,"CAFÉ BOH")+SUMIFS(Fact_SortedWeights!$E$2:$E$6,Fact_SortedWeights!$C$2:$C$6,"CAFÉ BOH",Fact_SortedWeights!$B$2:$B$6,"Cardboard Recycling"))=0,0,SUMIFS(Fact_Extrapolated!$F$2:$F$781,Fact_Extrapolated!$I$2:$I$781,"BOH",Fact_Extrapolated!$G$2:$G$781,1)/(SUMIFS(Fact_PreSortWeights!$E$2:$E$15,Fact_PreSortWeights!$C$2:$C$15,"CAFÉ BOH")+SUMIFS(Fact_SortedWeights!$E$2:$E$6,Fact_SortedWeights!$C$2:$C$6,"CAFÉ BOH",Fact_SortedWeights!$B$2:$B$6,"Cardboard Recycling")))</f>
        <v>0</v>
      </c>
      <c r="C40" s="0" t="n">
        <f aca="false">IF((SUMIFS(Fact_PreSortWeights!$E$2:$E$15,Fact_PreSortWeights!$C$2:$C$15,"CAFÉ BOH")+SUMIFS(Fact_SortedWeights!$E$2:$E$6,Fact_SortedWeights!$C$2:$C$6,"CAFÉ BOH",Fact_SortedWeights!$B$2:$B$6,"Cardboard Recycling"))=0,0,SUMIFS(Fact_Extrapolated!$F$2:$F$781,Fact_Extrapolated!$I$2:$I$781,"BOH",Fact_Extrapolated!$H$2:$H$781,"Yes")/(SUMIFS(Fact_PreSortWeights!$E$2:$E$15,Fact_PreSortWeights!$C$2:$C$15,"CAFÉ BOH")+SUMIFS(Fact_SortedWeights!$E$2:$E$6,Fact_SortedWeights!$C$2:$C$6,"CAFÉ BOH",Fact_SortedWeights!$B$2:$B$6,"Cardboard Recycling")))</f>
        <v>0</v>
      </c>
      <c r="D40" s="0" t="n">
        <f aca="false">C40-B40</f>
        <v>0</v>
      </c>
    </row>
    <row r="41" customFormat="false" ht="15" hidden="false" customHeight="false" outlineLevel="0" collapsed="false">
      <c r="A41" s="0" t="s">
        <v>143</v>
      </c>
      <c r="B41" s="0" t="n">
        <f aca="false">IF((SUMIFS(Fact_PreSortWeights!$E$2:$E$15,Fact_PreSortWeights!$C$2:$C$15,"OFFICES")+SUMIFS(Fact_SortedWeights!$E$2:$E$6,Fact_SortedWeights!$C$2:$C$6,"OFFICES",Fact_SortedWeights!$B$2:$B$6,"Cardboard Recycling")+SUMIFS(Fact_PreSortWeights!$E$2:$E$15,Fact_PreSortWeights!$C$2:$C$15,"CAFÉ BOH")+SUMIFS(Fact_SortedWeights!$E$2:$E$6,Fact_SortedWeights!$C$2:$C$6,"CAFÉ BOH",Fact_SortedWeights!$B$2:$B$6,"Cardboard Recycling")+SUMIFS(Fact_PreSortWeights!$E$2:$E$15,Fact_PreSortWeights!$C$2:$C$15,"LOCATION C")+SUMIFS(Fact_SortedWeights!$E$2:$E$6,Fact_SortedWeights!$C$2:$C$6,"LOCATION C",Fact_SortedWeights!$B$2:$B$6,"Cardboard Recycling")+SUMIFS(Fact_PreSortWeights!$E$2:$E$15,Fact_PreSortWeights!$C$2:$C$15,"LOCATION D")+SUMIFS(Fact_SortedWeights!$E$2:$E$6,Fact_SortedWeights!$C$2:$C$6,"LOCATION D",Fact_SortedWeights!$B$2:$B$6,"Cardboard Recycling")+SUMIFS(Fact_PreSortWeights!$E$2:$E$15,Fact_PreSortWeights!$C$2:$C$15,"BATHROOM")+SUMIFS(Fact_SortedWeights!$E$2:$E$6,Fact_SortedWeights!$C$2:$C$6,"BATHROOM",Fact_SortedWeights!$B$2:$B$6,"Cardboard Recycling"))=0,0,SUMIFS(Fact_Extrapolated!$F$2:$F$781,Fact_Extrapolated!$G$2:$G$781,1)/(SUMIFS(Fact_PreSortWeights!$E$2:$E$15,Fact_PreSortWeights!$C$2:$C$15,"OFFICES")+SUMIFS(Fact_SortedWeights!$E$2:$E$6,Fact_SortedWeights!$C$2:$C$6,"OFFICES",Fact_SortedWeights!$B$2:$B$6,"Cardboard Recycling")+SUMIFS(Fact_PreSortWeights!$E$2:$E$15,Fact_PreSortWeights!$C$2:$C$15,"CAFÉ BOH")+SUMIFS(Fact_SortedWeights!$E$2:$E$6,Fact_SortedWeights!$C$2:$C$6,"CAFÉ BOH",Fact_SortedWeights!$B$2:$B$6,"Cardboard Recycling")+SUMIFS(Fact_PreSortWeights!$E$2:$E$15,Fact_PreSortWeights!$C$2:$C$15,"LOCATION C")+SUMIFS(Fact_SortedWeights!$E$2:$E$6,Fact_SortedWeights!$C$2:$C$6,"LOCATION C",Fact_SortedWeights!$B$2:$B$6,"Cardboard Recycling")+SUMIFS(Fact_PreSortWeights!$E$2:$E$15,Fact_PreSortWeights!$C$2:$C$15,"LOCATION D")+SUMIFS(Fact_SortedWeights!$E$2:$E$6,Fact_SortedWeights!$C$2:$C$6,"LOCATION D",Fact_SortedWeights!$B$2:$B$6,"Cardboard Recycling")+SUMIFS(Fact_PreSortWeights!$E$2:$E$15,Fact_PreSortWeights!$C$2:$C$15,"BATHROOM")+SUMIFS(Fact_SortedWeights!$E$2:$E$6,Fact_SortedWeights!$C$2:$C$6,"BATHROOM",Fact_SortedWeights!$B$2:$B$6,"Cardboard Recycling")))</f>
        <v>0.181818181818182</v>
      </c>
      <c r="C41" s="0" t="n">
        <f aca="false">IF((SUMIFS(Fact_PreSortWeights!$E$2:$E$15,Fact_PreSortWeights!$C$2:$C$15,"OFFICES")+SUMIFS(Fact_SortedWeights!$E$2:$E$6,Fact_SortedWeights!$C$2:$C$6,"OFFICES",Fact_SortedWeights!$B$2:$B$6,"Cardboard Recycling")+SUMIFS(Fact_PreSortWeights!$E$2:$E$15,Fact_PreSortWeights!$C$2:$C$15,"CAFÉ BOH")+SUMIFS(Fact_SortedWeights!$E$2:$E$6,Fact_SortedWeights!$C$2:$C$6,"CAFÉ BOH",Fact_SortedWeights!$B$2:$B$6,"Cardboard Recycling")+SUMIFS(Fact_PreSortWeights!$E$2:$E$15,Fact_PreSortWeights!$C$2:$C$15,"LOCATION C")+SUMIFS(Fact_SortedWeights!$E$2:$E$6,Fact_SortedWeights!$C$2:$C$6,"LOCATION C",Fact_SortedWeights!$B$2:$B$6,"Cardboard Recycling")+SUMIFS(Fact_PreSortWeights!$E$2:$E$15,Fact_PreSortWeights!$C$2:$C$15,"LOCATION D")+SUMIFS(Fact_SortedWeights!$E$2:$E$6,Fact_SortedWeights!$C$2:$C$6,"LOCATION D",Fact_SortedWeights!$B$2:$B$6,"Cardboard Recycling")+SUMIFS(Fact_PreSortWeights!$E$2:$E$15,Fact_PreSortWeights!$C$2:$C$15,"BATHROOM")+SUMIFS(Fact_SortedWeights!$E$2:$E$6,Fact_SortedWeights!$C$2:$C$6,"BATHROOM",Fact_SortedWeights!$B$2:$B$6,"Cardboard Recycling"))=0,0,SUMIFS(Fact_Extrapolated!$F$2:$F$781,Fact_Extrapolated!$H$2:$H$781,"Yes")/(SUMIFS(Fact_PreSortWeights!$E$2:$E$15,Fact_PreSortWeights!$C$2:$C$15,"OFFICES")+SUMIFS(Fact_SortedWeights!$E$2:$E$6,Fact_SortedWeights!$C$2:$C$6,"OFFICES",Fact_SortedWeights!$B$2:$B$6,"Cardboard Recycling")+SUMIFS(Fact_PreSortWeights!$E$2:$E$15,Fact_PreSortWeights!$C$2:$C$15,"CAFÉ BOH")+SUMIFS(Fact_SortedWeights!$E$2:$E$6,Fact_SortedWeights!$C$2:$C$6,"CAFÉ BOH",Fact_SortedWeights!$B$2:$B$6,"Cardboard Recycling")+SUMIFS(Fact_PreSortWeights!$E$2:$E$15,Fact_PreSortWeights!$C$2:$C$15,"LOCATION C")+SUMIFS(Fact_SortedWeights!$E$2:$E$6,Fact_SortedWeights!$C$2:$C$6,"LOCATION C",Fact_SortedWeights!$B$2:$B$6,"Cardboard Recycling")+SUMIFS(Fact_PreSortWeights!$E$2:$E$15,Fact_PreSortWeights!$C$2:$C$15,"LOCATION D")+SUMIFS(Fact_SortedWeights!$E$2:$E$6,Fact_SortedWeights!$C$2:$C$6,"LOCATION D",Fact_SortedWeights!$B$2:$B$6,"Cardboard Recycling")+SUMIFS(Fact_PreSortWeights!$E$2:$E$15,Fact_PreSortWeights!$C$2:$C$15,"BATHROOM")+SUMIFS(Fact_SortedWeights!$E$2:$E$6,Fact_SortedWeights!$C$2:$C$6,"BATHROOM",Fact_SortedWeights!$B$2:$B$6,"Cardboard Recycling")))</f>
        <v>0.936363636363636</v>
      </c>
      <c r="D41" s="0" t="n">
        <f aca="false">C41-B41</f>
        <v>0.754545454545455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137</v>
      </c>
    </row>
    <row r="2" customFormat="false" ht="15" hidden="false" customHeight="false" outlineLevel="0" collapsed="false">
      <c r="A2" s="0" t="s">
        <v>138</v>
      </c>
      <c r="B2" s="0" t="s">
        <v>139</v>
      </c>
      <c r="C2" s="0" t="s">
        <v>140</v>
      </c>
      <c r="D2" s="0" t="s">
        <v>141</v>
      </c>
      <c r="E2" s="0" t="s">
        <v>142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SUMIFS(Fact_PreSortWeights!$E$2:$E$15,Fact_PreSortWeights!$C$2:$C$15,"OFFICES",Fact_PreSortWeights!$B$2:$B$15,"Trash")</f>
        <v>420</v>
      </c>
      <c r="C3" s="0" t="n">
        <f aca="false">IF($B$9=0,0,B3/$B$9)</f>
        <v>0.807692307692308</v>
      </c>
      <c r="D3" s="0" t="n">
        <f aca="false">SUMIFS(Fact_Extrapolated!$F$2:$F$781,Fact_Extrapolated!$B$2:$B$781,A3,Fact_Extrapolated!$A$2:$A$781,"OFFICES",Fact_Extrapolated!$G$2:$G$781,1)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SUMIFS(Fact_PreSortWeights!$E$2:$E$15,Fact_PreSortWeights!$C$2:$C$15,"OFFICES",Fact_PreSortWeights!$B$2:$B$15,"GMPC Recycling")</f>
        <v>30</v>
      </c>
      <c r="C4" s="0" t="n">
        <f aca="false">IF($B$9=0,0,B4/$B$9)</f>
        <v>0.0576923076923077</v>
      </c>
      <c r="D4" s="0" t="n">
        <f aca="false">SUMIFS(Fact_Extrapolated!$F$2:$F$781,Fact_Extrapolated!$B$2:$B$781,A4,Fact_Extrapolated!$A$2:$A$781,"OFFICES",Fact_Extrapolated!$G$2:$G$781,1)</f>
        <v>30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SUMIFS(Fact_PreSortWeights!$E$2:$E$15,Fact_PreSortWeights!$C$2:$C$15,"OFFICES",Fact_PreSortWeights!$B$2:$B$15,"Organics Recycling")</f>
        <v>20</v>
      </c>
      <c r="C5" s="0" t="n">
        <f aca="false">IF($B$9=0,0,B5/$B$9)</f>
        <v>0.0384615384615385</v>
      </c>
      <c r="D5" s="0" t="n">
        <f aca="false">SUMIFS(Fact_Extrapolated!$F$2:$F$781,Fact_Extrapolated!$B$2:$B$781,A5,Fact_Extrapolated!$A$2:$A$781,"OFFICES",Fact_Extrapolated!$G$2:$G$781,1)</f>
        <v>20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SUMIFS(Fact_SortedWeights!$E$2:$E$6,Fact_SortedWeights!$C$2:$C$6,"OFFICES",Fact_SortedWeights!$B$2:$B$6,"Cardboard Recycling")</f>
        <v>50</v>
      </c>
      <c r="C6" s="0" t="n">
        <f aca="false">IF($B$9=0,0,B6/$B$9)</f>
        <v>0.0961538461538462</v>
      </c>
      <c r="D6" s="0" t="n">
        <f aca="false">SUMIFS(Fact_Extrapolated!$F$2:$F$781,Fact_Extrapolated!$B$2:$B$781,A6,Fact_Extrapolated!$A$2:$A$781,"OFFICES",Fact_Extrapolated!$G$2:$G$781,1)</f>
        <v>50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SUMIFS(Fact_PreSortWeights!$E$2:$E$15,Fact_PreSortWeights!$C$2:$C$15,"OFFICES",Fact_PreSortWeights!$B$2:$B$15,"Paper Recycling")</f>
        <v>0</v>
      </c>
      <c r="C7" s="0" t="n">
        <f aca="false">IF($B$9=0,0,B7/$B$9)</f>
        <v>0</v>
      </c>
      <c r="D7" s="0" t="n">
        <f aca="false">SUMIFS(Fact_Extrapolated!$F$2:$F$781,Fact_Extrapolated!$B$2:$B$781,A7,Fact_Extrapolated!$A$2:$A$781,"OFFICES",Fact_Extrapolated!$G$2:$G$781,1)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SUMIFS(Fact_PreSortWeights!$E$2:$E$15,Fact_PreSortWeights!$C$2:$C$15,"OFFICES",Fact_PreSortWeights!$B$2:$B$15,"Terracycle")</f>
        <v>0</v>
      </c>
      <c r="C8" s="0" t="n">
        <f aca="false">IF($B$9=0,0,B8/$B$9)</f>
        <v>0</v>
      </c>
      <c r="D8" s="0" t="n">
        <f aca="false">SUMIFS(Fact_Extrapolated!$F$2:$F$781,Fact_Extrapolated!$B$2:$B$781,A8,Fact_Extrapolated!$A$2:$A$781,"OFFICES",Fact_Extrapolated!$G$2:$G$781,1)</f>
        <v>0</v>
      </c>
    </row>
    <row r="9" customFormat="false" ht="15" hidden="false" customHeight="false" outlineLevel="0" collapsed="false">
      <c r="A9" s="0" t="s">
        <v>143</v>
      </c>
      <c r="B9" s="0" t="n">
        <f aca="false">SUM(B3:B8)</f>
        <v>520</v>
      </c>
      <c r="C9" s="0" t="n">
        <f aca="false">IF($B$9=0,0,B9/$B$9)</f>
        <v>1</v>
      </c>
      <c r="D9" s="0" t="n">
        <f aca="false">SUM(D3:D8)</f>
        <v>100</v>
      </c>
      <c r="E9" s="0" t="n">
        <f aca="false">IF(B9=0,0,D9/B9)</f>
        <v>0.192307692307692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144</v>
      </c>
    </row>
    <row r="12" customFormat="false" ht="15" hidden="false" customHeight="false" outlineLevel="0" collapsed="false">
      <c r="A12" s="0" t="s">
        <v>138</v>
      </c>
      <c r="B12" s="0" t="s">
        <v>145</v>
      </c>
      <c r="C12" s="0" t="s">
        <v>146</v>
      </c>
      <c r="D12" s="0" t="s">
        <v>147</v>
      </c>
      <c r="E12" s="0" t="s">
        <v>140</v>
      </c>
      <c r="F12" s="0" t="s">
        <v>141</v>
      </c>
      <c r="G12" s="0" t="s">
        <v>142</v>
      </c>
      <c r="H12" s="0" t="s">
        <v>148</v>
      </c>
    </row>
    <row r="13" customFormat="false" ht="15" hidden="false" customHeight="false" outlineLevel="0" collapsed="false">
      <c r="A13" s="0" t="s">
        <v>106</v>
      </c>
      <c r="B13" s="0" t="s">
        <v>28</v>
      </c>
      <c r="C13" s="0" t="s">
        <v>27</v>
      </c>
      <c r="D13" s="0" t="n">
        <f aca="false">SUMIFS(Fact_Extrapolated!$F$2:$F$781,Fact_Extrapolated!$C$2:$C$781,"FIB01",Fact_Extrapolated!$B$2:$B$781,"Cardboard Recycling",Fact_Extrapolated!$A$2:$A$781,"OFFICES")</f>
        <v>50</v>
      </c>
      <c r="E13" s="0" t="n">
        <f aca="false">IF($B$9=0,0,D13/$B$9)</f>
        <v>0.0961538461538462</v>
      </c>
      <c r="F13" s="0" t="n">
        <f aca="false">SUMIFS(Fact_Extrapolated!$F$2:$F$781,Fact_Extrapolated!$C$2:$C$781,"FIB01",Fact_Extrapolated!$B$2:$B$781,"Cardboard Recycling",Fact_Extrapolated!$A$2:$A$781,"OFFICES",Fact_Extrapolated!$G$2:$G$781,1)</f>
        <v>50</v>
      </c>
      <c r="G13" s="0" t="n">
        <f aca="false">IF(D13=0,0,F13/D13)</f>
        <v>1</v>
      </c>
      <c r="H13" s="0" t="str">
        <f aca="false">INDEX('Materials Master'!$D$2:$D$27,MATCH(C13,'Materials Master'!$B$2:$B$27,0))</f>
        <v>Yes</v>
      </c>
    </row>
    <row r="14" customFormat="false" ht="15" hidden="false" customHeight="false" outlineLevel="0" collapsed="false">
      <c r="A14" s="0" t="s">
        <v>103</v>
      </c>
      <c r="B14" s="0" t="s">
        <v>28</v>
      </c>
      <c r="C14" s="0" t="s">
        <v>36</v>
      </c>
      <c r="D14" s="0" t="n">
        <f aca="false">SUMIFS(Fact_Extrapolated!$F$2:$F$781,Fact_Extrapolated!$C$2:$C$781,"FIB04",Fact_Extrapolated!$B$2:$B$781,"Trash",Fact_Extrapolated!$A$2:$A$781,"OFFICES")</f>
        <v>395</v>
      </c>
      <c r="E14" s="0" t="n">
        <f aca="false">IF($B$9=0,0,D14/$B$9)</f>
        <v>0.759615384615385</v>
      </c>
      <c r="F14" s="0" t="n">
        <f aca="false">SUMIFS(Fact_Extrapolated!$F$2:$F$781,Fact_Extrapolated!$C$2:$C$781,"FIB04",Fact_Extrapolated!$B$2:$B$781,"Trash",Fact_Extrapolated!$A$2:$A$781,"OFFICES",Fact_Extrapolated!$G$2:$G$781,1)</f>
        <v>0</v>
      </c>
      <c r="G14" s="0" t="n">
        <f aca="false">IF(D14=0,0,F14/D14)</f>
        <v>0</v>
      </c>
      <c r="H14" s="0" t="str">
        <f aca="false">INDEX('Materials Master'!$D$2:$D$27,MATCH(C14,'Materials Master'!$B$2:$B$27,0))</f>
        <v>Yes</v>
      </c>
    </row>
    <row r="15" customFormat="false" ht="15" hidden="false" customHeight="false" outlineLevel="0" collapsed="false">
      <c r="A15" s="0" t="s">
        <v>104</v>
      </c>
      <c r="B15" s="0" t="s">
        <v>28</v>
      </c>
      <c r="C15" s="0" t="s">
        <v>36</v>
      </c>
      <c r="D15" s="0" t="n">
        <f aca="false">SUMIFS(Fact_Extrapolated!$F$2:$F$781,Fact_Extrapolated!$C$2:$C$781,"FIB04",Fact_Extrapolated!$B$2:$B$781,"GMPC Recycling",Fact_Extrapolated!$A$2:$A$781,"OFFICES")</f>
        <v>30</v>
      </c>
      <c r="E15" s="0" t="n">
        <f aca="false">IF($B$9=0,0,D15/$B$9)</f>
        <v>0.0576923076923077</v>
      </c>
      <c r="F15" s="0" t="n">
        <f aca="false">SUMIFS(Fact_Extrapolated!$F$2:$F$781,Fact_Extrapolated!$C$2:$C$781,"FIB04",Fact_Extrapolated!$B$2:$B$781,"GMPC Recycling",Fact_Extrapolated!$A$2:$A$781,"OFFICES",Fact_Extrapolated!$G$2:$G$781,1)</f>
        <v>30</v>
      </c>
      <c r="G15" s="0" t="n">
        <f aca="false">IF(D15=0,0,F15/D15)</f>
        <v>1</v>
      </c>
      <c r="H15" s="0" t="str">
        <f aca="false">INDEX('Materials Master'!$D$2:$D$27,MATCH(C15,'Materials Master'!$B$2:$B$27,0))</f>
        <v>Yes</v>
      </c>
    </row>
    <row r="16" customFormat="false" ht="15" hidden="false" customHeight="false" outlineLevel="0" collapsed="false">
      <c r="A16" s="0" t="s">
        <v>105</v>
      </c>
      <c r="B16" s="0" t="s">
        <v>28</v>
      </c>
      <c r="C16" s="0" t="s">
        <v>36</v>
      </c>
      <c r="D16" s="0" t="n">
        <f aca="false">SUMIFS(Fact_Extrapolated!$F$2:$F$781,Fact_Extrapolated!$C$2:$C$781,"FIB04",Fact_Extrapolated!$B$2:$B$781,"Organics Recycling",Fact_Extrapolated!$A$2:$A$781,"OFFICES")</f>
        <v>20</v>
      </c>
      <c r="E16" s="0" t="n">
        <f aca="false">IF($B$9=0,0,D16/$B$9)</f>
        <v>0.0384615384615385</v>
      </c>
      <c r="F16" s="0" t="n">
        <f aca="false">SUMIFS(Fact_Extrapolated!$F$2:$F$781,Fact_Extrapolated!$C$2:$C$781,"FIB04",Fact_Extrapolated!$B$2:$B$781,"Organics Recycling",Fact_Extrapolated!$A$2:$A$781,"OFFICES",Fact_Extrapolated!$G$2:$G$781,1)</f>
        <v>20</v>
      </c>
      <c r="G16" s="0" t="n">
        <f aca="false">IF(D16=0,0,F16/D16)</f>
        <v>1</v>
      </c>
      <c r="H16" s="0" t="str">
        <f aca="false">INDEX('Materials Master'!$D$2:$D$27,MATCH(C16,'Materials Master'!$B$2:$B$27,0))</f>
        <v>Yes</v>
      </c>
    </row>
    <row r="17" customFormat="false" ht="15" hidden="false" customHeight="false" outlineLevel="0" collapsed="false">
      <c r="A17" s="0" t="s">
        <v>103</v>
      </c>
      <c r="B17" s="0" t="s">
        <v>47</v>
      </c>
      <c r="C17" s="0" t="s">
        <v>49</v>
      </c>
      <c r="D17" s="0" t="n">
        <f aca="false">SUMIFS(Fact_Extrapolated!$F$2:$F$781,Fact_Extrapolated!$C$2:$C$781,"GLA02",Fact_Extrapolated!$B$2:$B$781,"Trash",Fact_Extrapolated!$A$2:$A$781,"OFFICES")</f>
        <v>5</v>
      </c>
      <c r="E17" s="0" t="n">
        <f aca="false">IF($B$9=0,0,D17/$B$9)</f>
        <v>0.00961538461538462</v>
      </c>
      <c r="F17" s="0" t="n">
        <f aca="false">SUMIFS(Fact_Extrapolated!$F$2:$F$781,Fact_Extrapolated!$C$2:$C$781,"GLA02",Fact_Extrapolated!$B$2:$B$781,"Trash",Fact_Extrapolated!$A$2:$A$781,"OFFICES",Fact_Extrapolated!$G$2:$G$781,1)</f>
        <v>0</v>
      </c>
      <c r="G17" s="0" t="n">
        <f aca="false">IF(D17=0,0,F17/D17)</f>
        <v>0</v>
      </c>
      <c r="H17" s="0" t="str">
        <f aca="false">INDEX('Materials Master'!$D$2:$D$27,MATCH(C17,'Materials Master'!$B$2:$B$27,0))</f>
        <v>No</v>
      </c>
    </row>
    <row r="18" customFormat="false" ht="15" hidden="false" customHeight="false" outlineLevel="0" collapsed="false"/>
    <row r="19" customFormat="false" ht="15" hidden="false" customHeight="false" outlineLevel="0" collapsed="false">
      <c r="A19" s="0" t="s">
        <v>149</v>
      </c>
    </row>
    <row r="20" customFormat="false" ht="15" hidden="false" customHeight="false" outlineLevel="0" collapsed="false">
      <c r="A20" s="0" t="s">
        <v>146</v>
      </c>
      <c r="B20" s="0" t="s">
        <v>147</v>
      </c>
      <c r="C20" s="0" t="s">
        <v>140</v>
      </c>
    </row>
    <row r="21" customFormat="false" ht="15" hidden="false" customHeight="false" outlineLevel="0" collapsed="false">
      <c r="A21" s="0" t="s">
        <v>28</v>
      </c>
      <c r="B21" s="0" t="n">
        <f aca="false">SUM(D13:D16)</f>
        <v>495</v>
      </c>
      <c r="C21" s="0" t="n">
        <f aca="false">IF($B$9=0,0,B21/$B$9)</f>
        <v>0.951923076923077</v>
      </c>
    </row>
    <row r="22" customFormat="false" ht="15" hidden="false" customHeight="false" outlineLevel="0" collapsed="false">
      <c r="A22" s="0" t="s">
        <v>47</v>
      </c>
      <c r="B22" s="0" t="n">
        <f aca="false">SUM(D17:D17)</f>
        <v>5</v>
      </c>
      <c r="C22" s="0" t="n">
        <f aca="false">IF($B$9=0,0,B22/$B$9)</f>
        <v>0.00961538461538462</v>
      </c>
    </row>
    <row r="23" customFormat="false" ht="15" hidden="false" customHeight="false" outlineLevel="0" collapsed="false">
      <c r="A23" s="0" t="s">
        <v>52</v>
      </c>
      <c r="B23" s="0" t="n">
        <v>0</v>
      </c>
      <c r="C23" s="0" t="n">
        <f aca="false">IF($B$9=0,0,B23/$B$9)</f>
        <v>0</v>
      </c>
    </row>
    <row r="24" customFormat="false" ht="15" hidden="false" customHeight="false" outlineLevel="0" collapsed="false">
      <c r="A24" s="0" t="s">
        <v>57</v>
      </c>
      <c r="B24" s="0" t="n">
        <v>0</v>
      </c>
      <c r="C24" s="0" t="n">
        <f aca="false">IF($B$9=0,0,B24/$B$9)</f>
        <v>0</v>
      </c>
    </row>
    <row r="25" customFormat="false" ht="15" hidden="false" customHeight="false" outlineLevel="0" collapsed="false">
      <c r="A25" s="0" t="s">
        <v>66</v>
      </c>
      <c r="B25" s="0" t="n">
        <v>0</v>
      </c>
      <c r="C25" s="0" t="n">
        <f aca="false">IF($B$9=0,0,B25/$B$9)</f>
        <v>0</v>
      </c>
    </row>
    <row r="26" customFormat="false" ht="15" hidden="false" customHeight="false" outlineLevel="0" collapsed="false">
      <c r="A26" s="0" t="s">
        <v>75</v>
      </c>
      <c r="B26" s="0" t="n">
        <v>0</v>
      </c>
      <c r="C26" s="0" t="n">
        <f aca="false">IF($B$9=0,0,B26/$B$9)</f>
        <v>0</v>
      </c>
    </row>
    <row r="27" customFormat="false" ht="15" hidden="false" customHeight="false" outlineLevel="0" collapsed="false">
      <c r="A27" s="0" t="s">
        <v>84</v>
      </c>
      <c r="B27" s="0" t="n">
        <v>0</v>
      </c>
      <c r="C27" s="0" t="n">
        <f aca="false">IF($B$9=0,0,B27/$B$9)</f>
        <v>0</v>
      </c>
    </row>
    <row r="28" customFormat="false" ht="15" hidden="false" customHeight="false" outlineLevel="0" collapsed="false">
      <c r="A28" s="0" t="s">
        <v>150</v>
      </c>
      <c r="B28" s="0" t="n">
        <f aca="false">$B$9-SUM(B21:B27)</f>
        <v>20</v>
      </c>
      <c r="C28" s="0" t="n">
        <f aca="false">IF($B$9=0,0,B28/$B$9)</f>
        <v>0.0384615384615385</v>
      </c>
    </row>
    <row r="29" customFormat="false" ht="15" hidden="false" customHeight="false" outlineLevel="0" collapsed="false">
      <c r="A29" s="0" t="s">
        <v>143</v>
      </c>
      <c r="B29" s="0" t="n">
        <f aca="false">SUM(B21:B28)</f>
        <v>520</v>
      </c>
      <c r="C29" s="0" t="n">
        <f aca="false">IF(B29=0,0,B29/$B$9)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137</v>
      </c>
    </row>
    <row r="2" customFormat="false" ht="15" hidden="false" customHeight="false" outlineLevel="0" collapsed="false">
      <c r="A2" s="0" t="s">
        <v>138</v>
      </c>
      <c r="B2" s="0" t="s">
        <v>139</v>
      </c>
      <c r="C2" s="0" t="s">
        <v>140</v>
      </c>
      <c r="D2" s="0" t="s">
        <v>141</v>
      </c>
      <c r="E2" s="0" t="s">
        <v>142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SUMIFS(Fact_PreSortWeights!$E$2:$E$15,Fact_PreSortWeights!$C$2:$C$15,"CAFÉ BOH",Fact_PreSortWeights!$B$2:$B$15,"Trash")</f>
        <v>0</v>
      </c>
      <c r="C3" s="0" t="n">
        <f aca="false">IF($B$9=0,0,B3/$B$9)</f>
        <v>0</v>
      </c>
      <c r="D3" s="0" t="n">
        <f aca="false">SUMIFS(Fact_Extrapolated!$F$2:$F$781,Fact_Extrapolated!$B$2:$B$781,A3,Fact_Extrapolated!$A$2:$A$781,"CAFÉ BOH",Fact_Extrapolated!$G$2:$G$781,1)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SUMIFS(Fact_PreSortWeights!$E$2:$E$15,Fact_PreSortWeights!$C$2:$C$15,"CAFÉ BOH",Fact_PreSortWeights!$B$2:$B$15,"GMPC Recycling")</f>
        <v>0</v>
      </c>
      <c r="C4" s="0" t="n">
        <f aca="false">IF($B$9=0,0,B4/$B$9)</f>
        <v>0</v>
      </c>
      <c r="D4" s="0" t="n">
        <f aca="false">SUMIFS(Fact_Extrapolated!$F$2:$F$781,Fact_Extrapolated!$B$2:$B$781,A4,Fact_Extrapolated!$A$2:$A$781,"CAFÉ BOH",Fact_Extrapolated!$G$2:$G$781,1)</f>
        <v>0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SUMIFS(Fact_PreSortWeights!$E$2:$E$15,Fact_PreSortWeights!$C$2:$C$15,"CAFÉ BOH",Fact_PreSortWeights!$B$2:$B$15,"Organics Recycling")</f>
        <v>0</v>
      </c>
      <c r="C5" s="0" t="n">
        <f aca="false">IF($B$9=0,0,B5/$B$9)</f>
        <v>0</v>
      </c>
      <c r="D5" s="0" t="n">
        <f aca="false">SUMIFS(Fact_Extrapolated!$F$2:$F$781,Fact_Extrapolated!$B$2:$B$781,A5,Fact_Extrapolated!$A$2:$A$781,"CAFÉ BOH",Fact_Extrapolated!$G$2:$G$781,1)</f>
        <v>0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SUMIFS(Fact_SortedWeights!$E$2:$E$6,Fact_SortedWeights!$C$2:$C$6,"CAFÉ BOH",Fact_SortedWeights!$B$2:$B$6,"Cardboard Recycling")</f>
        <v>0</v>
      </c>
      <c r="C6" s="0" t="n">
        <f aca="false">IF($B$9=0,0,B6/$B$9)</f>
        <v>0</v>
      </c>
      <c r="D6" s="0" t="n">
        <f aca="false">SUMIFS(Fact_Extrapolated!$F$2:$F$781,Fact_Extrapolated!$B$2:$B$781,A6,Fact_Extrapolated!$A$2:$A$781,"CAFÉ BOH",Fact_Extrapolated!$G$2:$G$781,1)</f>
        <v>0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SUMIFS(Fact_PreSortWeights!$E$2:$E$15,Fact_PreSortWeights!$C$2:$C$15,"CAFÉ BOH",Fact_PreSortWeights!$B$2:$B$15,"Paper Recycling")</f>
        <v>0</v>
      </c>
      <c r="C7" s="0" t="n">
        <f aca="false">IF($B$9=0,0,B7/$B$9)</f>
        <v>0</v>
      </c>
      <c r="D7" s="0" t="n">
        <f aca="false">SUMIFS(Fact_Extrapolated!$F$2:$F$781,Fact_Extrapolated!$B$2:$B$781,A7,Fact_Extrapolated!$A$2:$A$781,"CAFÉ BOH",Fact_Extrapolated!$G$2:$G$781,1)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SUMIFS(Fact_PreSortWeights!$E$2:$E$15,Fact_PreSortWeights!$C$2:$C$15,"CAFÉ BOH",Fact_PreSortWeights!$B$2:$B$15,"Terracycle")</f>
        <v>0</v>
      </c>
      <c r="C8" s="0" t="n">
        <f aca="false">IF($B$9=0,0,B8/$B$9)</f>
        <v>0</v>
      </c>
      <c r="D8" s="0" t="n">
        <f aca="false">SUMIFS(Fact_Extrapolated!$F$2:$F$781,Fact_Extrapolated!$B$2:$B$781,A8,Fact_Extrapolated!$A$2:$A$781,"CAFÉ BOH",Fact_Extrapolated!$G$2:$G$781,1)</f>
        <v>0</v>
      </c>
    </row>
    <row r="9" customFormat="false" ht="15" hidden="false" customHeight="false" outlineLevel="0" collapsed="false">
      <c r="A9" s="0" t="s">
        <v>143</v>
      </c>
      <c r="B9" s="0" t="n">
        <f aca="false">SUM(B3:B8)</f>
        <v>0</v>
      </c>
      <c r="C9" s="0" t="n">
        <f aca="false">IF($B$9=0,0,B9/$B$9)</f>
        <v>0</v>
      </c>
      <c r="D9" s="0" t="n">
        <f aca="false">SUM(D3:D8)</f>
        <v>0</v>
      </c>
      <c r="E9" s="0" t="n">
        <f aca="false">IF(B9=0,0,D9/B9)</f>
        <v>0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144</v>
      </c>
    </row>
    <row r="12" customFormat="false" ht="15" hidden="false" customHeight="false" outlineLevel="0" collapsed="false">
      <c r="A12" s="0" t="s">
        <v>138</v>
      </c>
      <c r="B12" s="0" t="s">
        <v>145</v>
      </c>
      <c r="C12" s="0" t="s">
        <v>146</v>
      </c>
      <c r="D12" s="0" t="s">
        <v>147</v>
      </c>
      <c r="E12" s="0" t="s">
        <v>140</v>
      </c>
      <c r="F12" s="0" t="s">
        <v>141</v>
      </c>
      <c r="G12" s="0" t="s">
        <v>142</v>
      </c>
      <c r="H12" s="0" t="s">
        <v>148</v>
      </c>
    </row>
    <row r="13" customFormat="false" ht="15" hidden="false" customHeight="false" outlineLevel="0" collapsed="false"/>
    <row r="14" customFormat="false" ht="15" hidden="false" customHeight="false" outlineLevel="0" collapsed="false">
      <c r="A14" s="0" t="s">
        <v>149</v>
      </c>
    </row>
    <row r="15" customFormat="false" ht="15" hidden="false" customHeight="false" outlineLevel="0" collapsed="false">
      <c r="A15" s="0" t="s">
        <v>146</v>
      </c>
      <c r="B15" s="0" t="s">
        <v>147</v>
      </c>
      <c r="C15" s="0" t="s">
        <v>140</v>
      </c>
    </row>
    <row r="16" customFormat="false" ht="15" hidden="false" customHeight="false" outlineLevel="0" collapsed="false">
      <c r="A16" s="0" t="s">
        <v>28</v>
      </c>
      <c r="B16" s="0" t="n">
        <v>0</v>
      </c>
      <c r="C16" s="0" t="n">
        <f aca="false">IF($B$9=0,0,B16/$B$9)</f>
        <v>0</v>
      </c>
    </row>
    <row r="17" customFormat="false" ht="15" hidden="false" customHeight="false" outlineLevel="0" collapsed="false">
      <c r="A17" s="0" t="s">
        <v>47</v>
      </c>
      <c r="B17" s="0" t="n">
        <v>0</v>
      </c>
      <c r="C17" s="0" t="n">
        <f aca="false">IF($B$9=0,0,B17/$B$9)</f>
        <v>0</v>
      </c>
    </row>
    <row r="18" customFormat="false" ht="15" hidden="false" customHeight="false" outlineLevel="0" collapsed="false">
      <c r="A18" s="0" t="s">
        <v>52</v>
      </c>
      <c r="B18" s="0" t="n">
        <v>0</v>
      </c>
      <c r="C18" s="0" t="n">
        <f aca="false">IF($B$9=0,0,B18/$B$9)</f>
        <v>0</v>
      </c>
    </row>
    <row r="19" customFormat="false" ht="15" hidden="false" customHeight="false" outlineLevel="0" collapsed="false">
      <c r="A19" s="0" t="s">
        <v>57</v>
      </c>
      <c r="B19" s="0" t="n">
        <v>0</v>
      </c>
      <c r="C19" s="0" t="n">
        <f aca="false">IF($B$9=0,0,B19/$B$9)</f>
        <v>0</v>
      </c>
    </row>
    <row r="20" customFormat="false" ht="15" hidden="false" customHeight="false" outlineLevel="0" collapsed="false">
      <c r="A20" s="0" t="s">
        <v>66</v>
      </c>
      <c r="B20" s="0" t="n">
        <v>0</v>
      </c>
      <c r="C20" s="0" t="n">
        <f aca="false">IF($B$9=0,0,B20/$B$9)</f>
        <v>0</v>
      </c>
    </row>
    <row r="21" customFormat="false" ht="15" hidden="false" customHeight="false" outlineLevel="0" collapsed="false">
      <c r="A21" s="0" t="s">
        <v>75</v>
      </c>
      <c r="B21" s="0" t="n">
        <v>0</v>
      </c>
      <c r="C21" s="0" t="n">
        <f aca="false">IF($B$9=0,0,B21/$B$9)</f>
        <v>0</v>
      </c>
    </row>
    <row r="22" customFormat="false" ht="15" hidden="false" customHeight="false" outlineLevel="0" collapsed="false">
      <c r="A22" s="0" t="s">
        <v>84</v>
      </c>
      <c r="B22" s="0" t="n">
        <v>0</v>
      </c>
      <c r="C22" s="0" t="n">
        <f aca="false">IF($B$9=0,0,B22/$B$9)</f>
        <v>0</v>
      </c>
    </row>
    <row r="23" customFormat="false" ht="15" hidden="false" customHeight="false" outlineLevel="0" collapsed="false">
      <c r="A23" s="0" t="s">
        <v>150</v>
      </c>
      <c r="B23" s="0" t="n">
        <f aca="false">$B$9-SUM(B16:B22)</f>
        <v>0</v>
      </c>
      <c r="C23" s="0" t="n">
        <f aca="false">IF($B$9=0,0,B23/$B$9)</f>
        <v>0</v>
      </c>
    </row>
    <row r="24" customFormat="false" ht="15" hidden="false" customHeight="false" outlineLevel="0" collapsed="false">
      <c r="A24" s="0" t="s">
        <v>143</v>
      </c>
      <c r="B24" s="0" t="n">
        <f aca="false">SUM(B16:B23)</f>
        <v>0</v>
      </c>
      <c r="C24" s="0" t="n">
        <f aca="false">IF(B24=0,0,B24/$B$9)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137</v>
      </c>
    </row>
    <row r="2" customFormat="false" ht="15" hidden="false" customHeight="false" outlineLevel="0" collapsed="false">
      <c r="A2" s="0" t="s">
        <v>138</v>
      </c>
      <c r="B2" s="0" t="s">
        <v>139</v>
      </c>
      <c r="C2" s="0" t="s">
        <v>140</v>
      </c>
      <c r="D2" s="0" t="s">
        <v>141</v>
      </c>
      <c r="E2" s="0" t="s">
        <v>142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SUMIFS(Fact_PreSortWeights!$E$2:$E$15,Fact_PreSortWeights!$C$2:$C$15,"LOCATION C",Fact_PreSortWeights!$B$2:$B$15,"Trash")</f>
        <v>0</v>
      </c>
      <c r="C3" s="0" t="n">
        <f aca="false">IF($B$9=0,0,B3/$B$9)</f>
        <v>0</v>
      </c>
      <c r="D3" s="0" t="n">
        <f aca="false">SUMIFS(Fact_Extrapolated!$F$2:$F$781,Fact_Extrapolated!$B$2:$B$781,A3,Fact_Extrapolated!$A$2:$A$781,"LOCATION C",Fact_Extrapolated!$G$2:$G$781,1)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SUMIFS(Fact_PreSortWeights!$E$2:$E$15,Fact_PreSortWeights!$C$2:$C$15,"LOCATION C",Fact_PreSortWeights!$B$2:$B$15,"GMPC Recycling")</f>
        <v>0</v>
      </c>
      <c r="C4" s="0" t="n">
        <f aca="false">IF($B$9=0,0,B4/$B$9)</f>
        <v>0</v>
      </c>
      <c r="D4" s="0" t="n">
        <f aca="false">SUMIFS(Fact_Extrapolated!$F$2:$F$781,Fact_Extrapolated!$B$2:$B$781,A4,Fact_Extrapolated!$A$2:$A$781,"LOCATION C",Fact_Extrapolated!$G$2:$G$781,1)</f>
        <v>0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SUMIFS(Fact_PreSortWeights!$E$2:$E$15,Fact_PreSortWeights!$C$2:$C$15,"LOCATION C",Fact_PreSortWeights!$B$2:$B$15,"Organics Recycling")</f>
        <v>0</v>
      </c>
      <c r="C5" s="0" t="n">
        <f aca="false">IF($B$9=0,0,B5/$B$9)</f>
        <v>0</v>
      </c>
      <c r="D5" s="0" t="n">
        <f aca="false">SUMIFS(Fact_Extrapolated!$F$2:$F$781,Fact_Extrapolated!$B$2:$B$781,A5,Fact_Extrapolated!$A$2:$A$781,"LOCATION C",Fact_Extrapolated!$G$2:$G$781,1)</f>
        <v>0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SUMIFS(Fact_SortedWeights!$E$2:$E$6,Fact_SortedWeights!$C$2:$C$6,"LOCATION C",Fact_SortedWeights!$B$2:$B$6,"Cardboard Recycling")</f>
        <v>0</v>
      </c>
      <c r="C6" s="0" t="n">
        <f aca="false">IF($B$9=0,0,B6/$B$9)</f>
        <v>0</v>
      </c>
      <c r="D6" s="0" t="n">
        <f aca="false">SUMIFS(Fact_Extrapolated!$F$2:$F$781,Fact_Extrapolated!$B$2:$B$781,A6,Fact_Extrapolated!$A$2:$A$781,"LOCATION C",Fact_Extrapolated!$G$2:$G$781,1)</f>
        <v>0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SUMIFS(Fact_PreSortWeights!$E$2:$E$15,Fact_PreSortWeights!$C$2:$C$15,"LOCATION C",Fact_PreSortWeights!$B$2:$B$15,"Paper Recycling")</f>
        <v>0</v>
      </c>
      <c r="C7" s="0" t="n">
        <f aca="false">IF($B$9=0,0,B7/$B$9)</f>
        <v>0</v>
      </c>
      <c r="D7" s="0" t="n">
        <f aca="false">SUMIFS(Fact_Extrapolated!$F$2:$F$781,Fact_Extrapolated!$B$2:$B$781,A7,Fact_Extrapolated!$A$2:$A$781,"LOCATION C",Fact_Extrapolated!$G$2:$G$781,1)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SUMIFS(Fact_PreSortWeights!$E$2:$E$15,Fact_PreSortWeights!$C$2:$C$15,"LOCATION C",Fact_PreSortWeights!$B$2:$B$15,"Terracycle")</f>
        <v>0</v>
      </c>
      <c r="C8" s="0" t="n">
        <f aca="false">IF($B$9=0,0,B8/$B$9)</f>
        <v>0</v>
      </c>
      <c r="D8" s="0" t="n">
        <f aca="false">SUMIFS(Fact_Extrapolated!$F$2:$F$781,Fact_Extrapolated!$B$2:$B$781,A8,Fact_Extrapolated!$A$2:$A$781,"LOCATION C",Fact_Extrapolated!$G$2:$G$781,1)</f>
        <v>0</v>
      </c>
    </row>
    <row r="9" customFormat="false" ht="15" hidden="false" customHeight="false" outlineLevel="0" collapsed="false">
      <c r="A9" s="0" t="s">
        <v>143</v>
      </c>
      <c r="B9" s="0" t="n">
        <f aca="false">SUM(B3:B8)</f>
        <v>0</v>
      </c>
      <c r="C9" s="0" t="n">
        <f aca="false">IF($B$9=0,0,B9/$B$9)</f>
        <v>0</v>
      </c>
      <c r="D9" s="0" t="n">
        <f aca="false">SUM(D3:D8)</f>
        <v>0</v>
      </c>
      <c r="E9" s="0" t="n">
        <f aca="false">IF(B9=0,0,D9/B9)</f>
        <v>0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144</v>
      </c>
    </row>
    <row r="12" customFormat="false" ht="15" hidden="false" customHeight="false" outlineLevel="0" collapsed="false">
      <c r="A12" s="0" t="s">
        <v>138</v>
      </c>
      <c r="B12" s="0" t="s">
        <v>145</v>
      </c>
      <c r="C12" s="0" t="s">
        <v>146</v>
      </c>
      <c r="D12" s="0" t="s">
        <v>147</v>
      </c>
      <c r="E12" s="0" t="s">
        <v>140</v>
      </c>
      <c r="F12" s="0" t="s">
        <v>141</v>
      </c>
      <c r="G12" s="0" t="s">
        <v>142</v>
      </c>
      <c r="H12" s="0" t="s">
        <v>148</v>
      </c>
    </row>
    <row r="13" customFormat="false" ht="15" hidden="false" customHeight="false" outlineLevel="0" collapsed="false"/>
    <row r="14" customFormat="false" ht="15" hidden="false" customHeight="false" outlineLevel="0" collapsed="false">
      <c r="A14" s="0" t="s">
        <v>149</v>
      </c>
    </row>
    <row r="15" customFormat="false" ht="15" hidden="false" customHeight="false" outlineLevel="0" collapsed="false">
      <c r="A15" s="0" t="s">
        <v>146</v>
      </c>
      <c r="B15" s="0" t="s">
        <v>147</v>
      </c>
      <c r="C15" s="0" t="s">
        <v>140</v>
      </c>
    </row>
    <row r="16" customFormat="false" ht="15" hidden="false" customHeight="false" outlineLevel="0" collapsed="false">
      <c r="A16" s="0" t="s">
        <v>28</v>
      </c>
      <c r="B16" s="0" t="n">
        <v>0</v>
      </c>
      <c r="C16" s="0" t="n">
        <f aca="false">IF($B$9=0,0,B16/$B$9)</f>
        <v>0</v>
      </c>
    </row>
    <row r="17" customFormat="false" ht="15" hidden="false" customHeight="false" outlineLevel="0" collapsed="false">
      <c r="A17" s="0" t="s">
        <v>47</v>
      </c>
      <c r="B17" s="0" t="n">
        <v>0</v>
      </c>
      <c r="C17" s="0" t="n">
        <f aca="false">IF($B$9=0,0,B17/$B$9)</f>
        <v>0</v>
      </c>
    </row>
    <row r="18" customFormat="false" ht="15" hidden="false" customHeight="false" outlineLevel="0" collapsed="false">
      <c r="A18" s="0" t="s">
        <v>52</v>
      </c>
      <c r="B18" s="0" t="n">
        <v>0</v>
      </c>
      <c r="C18" s="0" t="n">
        <f aca="false">IF($B$9=0,0,B18/$B$9)</f>
        <v>0</v>
      </c>
    </row>
    <row r="19" customFormat="false" ht="15" hidden="false" customHeight="false" outlineLevel="0" collapsed="false">
      <c r="A19" s="0" t="s">
        <v>57</v>
      </c>
      <c r="B19" s="0" t="n">
        <v>0</v>
      </c>
      <c r="C19" s="0" t="n">
        <f aca="false">IF($B$9=0,0,B19/$B$9)</f>
        <v>0</v>
      </c>
    </row>
    <row r="20" customFormat="false" ht="15" hidden="false" customHeight="false" outlineLevel="0" collapsed="false">
      <c r="A20" s="0" t="s">
        <v>66</v>
      </c>
      <c r="B20" s="0" t="n">
        <v>0</v>
      </c>
      <c r="C20" s="0" t="n">
        <f aca="false">IF($B$9=0,0,B20/$B$9)</f>
        <v>0</v>
      </c>
    </row>
    <row r="21" customFormat="false" ht="15" hidden="false" customHeight="false" outlineLevel="0" collapsed="false">
      <c r="A21" s="0" t="s">
        <v>75</v>
      </c>
      <c r="B21" s="0" t="n">
        <v>0</v>
      </c>
      <c r="C21" s="0" t="n">
        <f aca="false">IF($B$9=0,0,B21/$B$9)</f>
        <v>0</v>
      </c>
    </row>
    <row r="22" customFormat="false" ht="15" hidden="false" customHeight="false" outlineLevel="0" collapsed="false">
      <c r="A22" s="0" t="s">
        <v>84</v>
      </c>
      <c r="B22" s="0" t="n">
        <v>0</v>
      </c>
      <c r="C22" s="0" t="n">
        <f aca="false">IF($B$9=0,0,B22/$B$9)</f>
        <v>0</v>
      </c>
    </row>
    <row r="23" customFormat="false" ht="15" hidden="false" customHeight="false" outlineLevel="0" collapsed="false">
      <c r="A23" s="0" t="s">
        <v>150</v>
      </c>
      <c r="B23" s="0" t="n">
        <f aca="false">$B$9-SUM(B16:B22)</f>
        <v>0</v>
      </c>
      <c r="C23" s="0" t="n">
        <f aca="false">IF($B$9=0,0,B23/$B$9)</f>
        <v>0</v>
      </c>
    </row>
    <row r="24" customFormat="false" ht="15" hidden="false" customHeight="false" outlineLevel="0" collapsed="false">
      <c r="A24" s="0" t="s">
        <v>143</v>
      </c>
      <c r="B24" s="0" t="n">
        <f aca="false">SUM(B16:B23)</f>
        <v>0</v>
      </c>
      <c r="C24" s="0" t="n">
        <f aca="false">IF(B24=0,0,B24/$B$9)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137</v>
      </c>
    </row>
    <row r="2" customFormat="false" ht="15" hidden="false" customHeight="false" outlineLevel="0" collapsed="false">
      <c r="A2" s="0" t="s">
        <v>138</v>
      </c>
      <c r="B2" s="0" t="s">
        <v>139</v>
      </c>
      <c r="C2" s="0" t="s">
        <v>140</v>
      </c>
      <c r="D2" s="0" t="s">
        <v>141</v>
      </c>
      <c r="E2" s="0" t="s">
        <v>142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SUMIFS(Fact_PreSortWeights!$E$2:$E$15,Fact_PreSortWeights!$C$2:$C$15,"LOCATION D",Fact_PreSortWeights!$B$2:$B$15,"Trash")</f>
        <v>0</v>
      </c>
      <c r="C3" s="0" t="n">
        <f aca="false">IF($B$9=0,0,B3/$B$9)</f>
        <v>0</v>
      </c>
      <c r="D3" s="0" t="n">
        <f aca="false">SUMIFS(Fact_Extrapolated!$F$2:$F$781,Fact_Extrapolated!$B$2:$B$781,A3,Fact_Extrapolated!$A$2:$A$781,"LOCATION D",Fact_Extrapolated!$G$2:$G$781,1)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SUMIFS(Fact_PreSortWeights!$E$2:$E$15,Fact_PreSortWeights!$C$2:$C$15,"LOCATION D",Fact_PreSortWeights!$B$2:$B$15,"GMPC Recycling")</f>
        <v>0</v>
      </c>
      <c r="C4" s="0" t="n">
        <f aca="false">IF($B$9=0,0,B4/$B$9)</f>
        <v>0</v>
      </c>
      <c r="D4" s="0" t="n">
        <f aca="false">SUMIFS(Fact_Extrapolated!$F$2:$F$781,Fact_Extrapolated!$B$2:$B$781,A4,Fact_Extrapolated!$A$2:$A$781,"LOCATION D",Fact_Extrapolated!$G$2:$G$781,1)</f>
        <v>0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SUMIFS(Fact_PreSortWeights!$E$2:$E$15,Fact_PreSortWeights!$C$2:$C$15,"LOCATION D",Fact_PreSortWeights!$B$2:$B$15,"Organics Recycling")</f>
        <v>0</v>
      </c>
      <c r="C5" s="0" t="n">
        <f aca="false">IF($B$9=0,0,B5/$B$9)</f>
        <v>0</v>
      </c>
      <c r="D5" s="0" t="n">
        <f aca="false">SUMIFS(Fact_Extrapolated!$F$2:$F$781,Fact_Extrapolated!$B$2:$B$781,A5,Fact_Extrapolated!$A$2:$A$781,"LOCATION D",Fact_Extrapolated!$G$2:$G$781,1)</f>
        <v>0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SUMIFS(Fact_SortedWeights!$E$2:$E$6,Fact_SortedWeights!$C$2:$C$6,"LOCATION D",Fact_SortedWeights!$B$2:$B$6,"Cardboard Recycling")</f>
        <v>0</v>
      </c>
      <c r="C6" s="0" t="n">
        <f aca="false">IF($B$9=0,0,B6/$B$9)</f>
        <v>0</v>
      </c>
      <c r="D6" s="0" t="n">
        <f aca="false">SUMIFS(Fact_Extrapolated!$F$2:$F$781,Fact_Extrapolated!$B$2:$B$781,A6,Fact_Extrapolated!$A$2:$A$781,"LOCATION D",Fact_Extrapolated!$G$2:$G$781,1)</f>
        <v>0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SUMIFS(Fact_PreSortWeights!$E$2:$E$15,Fact_PreSortWeights!$C$2:$C$15,"LOCATION D",Fact_PreSortWeights!$B$2:$B$15,"Paper Recycling")</f>
        <v>0</v>
      </c>
      <c r="C7" s="0" t="n">
        <f aca="false">IF($B$9=0,0,B7/$B$9)</f>
        <v>0</v>
      </c>
      <c r="D7" s="0" t="n">
        <f aca="false">SUMIFS(Fact_Extrapolated!$F$2:$F$781,Fact_Extrapolated!$B$2:$B$781,A7,Fact_Extrapolated!$A$2:$A$781,"LOCATION D",Fact_Extrapolated!$G$2:$G$781,1)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SUMIFS(Fact_PreSortWeights!$E$2:$E$15,Fact_PreSortWeights!$C$2:$C$15,"LOCATION D",Fact_PreSortWeights!$B$2:$B$15,"Terracycle")</f>
        <v>0</v>
      </c>
      <c r="C8" s="0" t="n">
        <f aca="false">IF($B$9=0,0,B8/$B$9)</f>
        <v>0</v>
      </c>
      <c r="D8" s="0" t="n">
        <f aca="false">SUMIFS(Fact_Extrapolated!$F$2:$F$781,Fact_Extrapolated!$B$2:$B$781,A8,Fact_Extrapolated!$A$2:$A$781,"LOCATION D",Fact_Extrapolated!$G$2:$G$781,1)</f>
        <v>0</v>
      </c>
    </row>
    <row r="9" customFormat="false" ht="15" hidden="false" customHeight="false" outlineLevel="0" collapsed="false">
      <c r="A9" s="0" t="s">
        <v>143</v>
      </c>
      <c r="B9" s="0" t="n">
        <f aca="false">SUM(B3:B8)</f>
        <v>0</v>
      </c>
      <c r="C9" s="0" t="n">
        <f aca="false">IF($B$9=0,0,B9/$B$9)</f>
        <v>0</v>
      </c>
      <c r="D9" s="0" t="n">
        <f aca="false">SUM(D3:D8)</f>
        <v>0</v>
      </c>
      <c r="E9" s="0" t="n">
        <f aca="false">IF(B9=0,0,D9/B9)</f>
        <v>0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144</v>
      </c>
    </row>
    <row r="12" customFormat="false" ht="15" hidden="false" customHeight="false" outlineLevel="0" collapsed="false">
      <c r="A12" s="0" t="s">
        <v>138</v>
      </c>
      <c r="B12" s="0" t="s">
        <v>145</v>
      </c>
      <c r="C12" s="0" t="s">
        <v>146</v>
      </c>
      <c r="D12" s="0" t="s">
        <v>147</v>
      </c>
      <c r="E12" s="0" t="s">
        <v>140</v>
      </c>
      <c r="F12" s="0" t="s">
        <v>141</v>
      </c>
      <c r="G12" s="0" t="s">
        <v>142</v>
      </c>
      <c r="H12" s="0" t="s">
        <v>148</v>
      </c>
    </row>
    <row r="13" customFormat="false" ht="15" hidden="false" customHeight="false" outlineLevel="0" collapsed="false"/>
    <row r="14" customFormat="false" ht="15" hidden="false" customHeight="false" outlineLevel="0" collapsed="false">
      <c r="A14" s="0" t="s">
        <v>149</v>
      </c>
    </row>
    <row r="15" customFormat="false" ht="15" hidden="false" customHeight="false" outlineLevel="0" collapsed="false">
      <c r="A15" s="0" t="s">
        <v>146</v>
      </c>
      <c r="B15" s="0" t="s">
        <v>147</v>
      </c>
      <c r="C15" s="0" t="s">
        <v>140</v>
      </c>
    </row>
    <row r="16" customFormat="false" ht="15" hidden="false" customHeight="false" outlineLevel="0" collapsed="false">
      <c r="A16" s="0" t="s">
        <v>28</v>
      </c>
      <c r="B16" s="0" t="n">
        <v>0</v>
      </c>
      <c r="C16" s="0" t="n">
        <f aca="false">IF($B$9=0,0,B16/$B$9)</f>
        <v>0</v>
      </c>
    </row>
    <row r="17" customFormat="false" ht="15" hidden="false" customHeight="false" outlineLevel="0" collapsed="false">
      <c r="A17" s="0" t="s">
        <v>47</v>
      </c>
      <c r="B17" s="0" t="n">
        <v>0</v>
      </c>
      <c r="C17" s="0" t="n">
        <f aca="false">IF($B$9=0,0,B17/$B$9)</f>
        <v>0</v>
      </c>
    </row>
    <row r="18" customFormat="false" ht="15" hidden="false" customHeight="false" outlineLevel="0" collapsed="false">
      <c r="A18" s="0" t="s">
        <v>52</v>
      </c>
      <c r="B18" s="0" t="n">
        <v>0</v>
      </c>
      <c r="C18" s="0" t="n">
        <f aca="false">IF($B$9=0,0,B18/$B$9)</f>
        <v>0</v>
      </c>
    </row>
    <row r="19" customFormat="false" ht="15" hidden="false" customHeight="false" outlineLevel="0" collapsed="false">
      <c r="A19" s="0" t="s">
        <v>57</v>
      </c>
      <c r="B19" s="0" t="n">
        <v>0</v>
      </c>
      <c r="C19" s="0" t="n">
        <f aca="false">IF($B$9=0,0,B19/$B$9)</f>
        <v>0</v>
      </c>
    </row>
    <row r="20" customFormat="false" ht="15" hidden="false" customHeight="false" outlineLevel="0" collapsed="false">
      <c r="A20" s="0" t="s">
        <v>66</v>
      </c>
      <c r="B20" s="0" t="n">
        <v>0</v>
      </c>
      <c r="C20" s="0" t="n">
        <f aca="false">IF($B$9=0,0,B20/$B$9)</f>
        <v>0</v>
      </c>
    </row>
    <row r="21" customFormat="false" ht="15" hidden="false" customHeight="false" outlineLevel="0" collapsed="false">
      <c r="A21" s="0" t="s">
        <v>75</v>
      </c>
      <c r="B21" s="0" t="n">
        <v>0</v>
      </c>
      <c r="C21" s="0" t="n">
        <f aca="false">IF($B$9=0,0,B21/$B$9)</f>
        <v>0</v>
      </c>
    </row>
    <row r="22" customFormat="false" ht="15" hidden="false" customHeight="false" outlineLevel="0" collapsed="false">
      <c r="A22" s="0" t="s">
        <v>84</v>
      </c>
      <c r="B22" s="0" t="n">
        <v>0</v>
      </c>
      <c r="C22" s="0" t="n">
        <f aca="false">IF($B$9=0,0,B22/$B$9)</f>
        <v>0</v>
      </c>
    </row>
    <row r="23" customFormat="false" ht="15" hidden="false" customHeight="false" outlineLevel="0" collapsed="false">
      <c r="A23" s="0" t="s">
        <v>150</v>
      </c>
      <c r="B23" s="0" t="n">
        <f aca="false">$B$9-SUM(B16:B22)</f>
        <v>0</v>
      </c>
      <c r="C23" s="0" t="n">
        <f aca="false">IF($B$9=0,0,B23/$B$9)</f>
        <v>0</v>
      </c>
    </row>
    <row r="24" customFormat="false" ht="15" hidden="false" customHeight="false" outlineLevel="0" collapsed="false">
      <c r="A24" s="0" t="s">
        <v>143</v>
      </c>
      <c r="B24" s="0" t="n">
        <f aca="false">SUM(B16:B23)</f>
        <v>0</v>
      </c>
      <c r="C24" s="0" t="n">
        <f aca="false">IF(B24=0,0,B24/$B$9)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137</v>
      </c>
    </row>
    <row r="2" customFormat="false" ht="15" hidden="false" customHeight="false" outlineLevel="0" collapsed="false">
      <c r="A2" s="0" t="s">
        <v>138</v>
      </c>
      <c r="B2" s="0" t="s">
        <v>139</v>
      </c>
      <c r="C2" s="0" t="s">
        <v>140</v>
      </c>
      <c r="D2" s="0" t="s">
        <v>141</v>
      </c>
      <c r="E2" s="0" t="s">
        <v>142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SUMIFS(Fact_PreSortWeights!$E$2:$E$15,Fact_PreSortWeights!$C$2:$C$15,"BATHROOM",Fact_PreSortWeights!$B$2:$B$15,"Trash")</f>
        <v>30</v>
      </c>
      <c r="C3" s="0" t="n">
        <f aca="false">IF($B$9=0,0,B3/$B$9)</f>
        <v>1</v>
      </c>
      <c r="D3" s="0" t="n">
        <f aca="false">SUMIFS(Fact_Extrapolated!$F$2:$F$781,Fact_Extrapolated!$B$2:$B$781,A3,Fact_Extrapolated!$A$2:$A$781,"BATHROOM",Fact_Extrapolated!$G$2:$G$781,1)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SUMIFS(Fact_PreSortWeights!$E$2:$E$15,Fact_PreSortWeights!$C$2:$C$15,"BATHROOM",Fact_PreSortWeights!$B$2:$B$15,"GMPC Recycling")</f>
        <v>0</v>
      </c>
      <c r="C4" s="0" t="n">
        <f aca="false">IF($B$9=0,0,B4/$B$9)</f>
        <v>0</v>
      </c>
      <c r="D4" s="0" t="n">
        <f aca="false">SUMIFS(Fact_Extrapolated!$F$2:$F$781,Fact_Extrapolated!$B$2:$B$781,A4,Fact_Extrapolated!$A$2:$A$781,"BATHROOM",Fact_Extrapolated!$G$2:$G$781,1)</f>
        <v>0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SUMIFS(Fact_PreSortWeights!$E$2:$E$15,Fact_PreSortWeights!$C$2:$C$15,"BATHROOM",Fact_PreSortWeights!$B$2:$B$15,"Organics Recycling")</f>
        <v>0</v>
      </c>
      <c r="C5" s="0" t="n">
        <f aca="false">IF($B$9=0,0,B5/$B$9)</f>
        <v>0</v>
      </c>
      <c r="D5" s="0" t="n">
        <f aca="false">SUMIFS(Fact_Extrapolated!$F$2:$F$781,Fact_Extrapolated!$B$2:$B$781,A5,Fact_Extrapolated!$A$2:$A$781,"BATHROOM",Fact_Extrapolated!$G$2:$G$781,1)</f>
        <v>0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SUMIFS(Fact_SortedWeights!$E$2:$E$6,Fact_SortedWeights!$C$2:$C$6,"BATHROOM",Fact_SortedWeights!$B$2:$B$6,"Cardboard Recycling")</f>
        <v>0</v>
      </c>
      <c r="C6" s="0" t="n">
        <f aca="false">IF($B$9=0,0,B6/$B$9)</f>
        <v>0</v>
      </c>
      <c r="D6" s="0" t="n">
        <f aca="false">SUMIFS(Fact_Extrapolated!$F$2:$F$781,Fact_Extrapolated!$B$2:$B$781,A6,Fact_Extrapolated!$A$2:$A$781,"BATHROOM",Fact_Extrapolated!$G$2:$G$781,1)</f>
        <v>0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SUMIFS(Fact_PreSortWeights!$E$2:$E$15,Fact_PreSortWeights!$C$2:$C$15,"BATHROOM",Fact_PreSortWeights!$B$2:$B$15,"Paper Recycling")</f>
        <v>0</v>
      </c>
      <c r="C7" s="0" t="n">
        <f aca="false">IF($B$9=0,0,B7/$B$9)</f>
        <v>0</v>
      </c>
      <c r="D7" s="0" t="n">
        <f aca="false">SUMIFS(Fact_Extrapolated!$F$2:$F$781,Fact_Extrapolated!$B$2:$B$781,A7,Fact_Extrapolated!$A$2:$A$781,"BATHROOM",Fact_Extrapolated!$G$2:$G$781,1)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SUMIFS(Fact_PreSortWeights!$E$2:$E$15,Fact_PreSortWeights!$C$2:$C$15,"BATHROOM",Fact_PreSortWeights!$B$2:$B$15,"Terracycle")</f>
        <v>0</v>
      </c>
      <c r="C8" s="0" t="n">
        <f aca="false">IF($B$9=0,0,B8/$B$9)</f>
        <v>0</v>
      </c>
      <c r="D8" s="0" t="n">
        <f aca="false">SUMIFS(Fact_Extrapolated!$F$2:$F$781,Fact_Extrapolated!$B$2:$B$781,A8,Fact_Extrapolated!$A$2:$A$781,"BATHROOM",Fact_Extrapolated!$G$2:$G$781,1)</f>
        <v>0</v>
      </c>
    </row>
    <row r="9" customFormat="false" ht="15" hidden="false" customHeight="false" outlineLevel="0" collapsed="false">
      <c r="A9" s="0" t="s">
        <v>143</v>
      </c>
      <c r="B9" s="0" t="n">
        <f aca="false">SUM(B3:B8)</f>
        <v>30</v>
      </c>
      <c r="C9" s="0" t="n">
        <f aca="false">IF($B$9=0,0,B9/$B$9)</f>
        <v>1</v>
      </c>
      <c r="D9" s="0" t="n">
        <f aca="false">SUM(D3:D8)</f>
        <v>0</v>
      </c>
      <c r="E9" s="0" t="n">
        <f aca="false">IF(B9=0,0,D9/B9)</f>
        <v>0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144</v>
      </c>
    </row>
    <row r="12" customFormat="false" ht="15" hidden="false" customHeight="false" outlineLevel="0" collapsed="false">
      <c r="A12" s="0" t="s">
        <v>138</v>
      </c>
      <c r="B12" s="0" t="s">
        <v>145</v>
      </c>
      <c r="C12" s="0" t="s">
        <v>146</v>
      </c>
      <c r="D12" s="0" t="s">
        <v>147</v>
      </c>
      <c r="E12" s="0" t="s">
        <v>140</v>
      </c>
      <c r="F12" s="0" t="s">
        <v>141</v>
      </c>
      <c r="G12" s="0" t="s">
        <v>142</v>
      </c>
      <c r="H12" s="0" t="s">
        <v>148</v>
      </c>
    </row>
    <row r="13" customFormat="false" ht="15" hidden="false" customHeight="false" outlineLevel="0" collapsed="false"/>
    <row r="14" customFormat="false" ht="15" hidden="false" customHeight="false" outlineLevel="0" collapsed="false">
      <c r="A14" s="0" t="s">
        <v>149</v>
      </c>
    </row>
    <row r="15" customFormat="false" ht="15" hidden="false" customHeight="false" outlineLevel="0" collapsed="false">
      <c r="A15" s="0" t="s">
        <v>146</v>
      </c>
      <c r="B15" s="0" t="s">
        <v>147</v>
      </c>
      <c r="C15" s="0" t="s">
        <v>140</v>
      </c>
    </row>
    <row r="16" customFormat="false" ht="15" hidden="false" customHeight="false" outlineLevel="0" collapsed="false">
      <c r="A16" s="0" t="s">
        <v>28</v>
      </c>
      <c r="B16" s="0" t="n">
        <v>0</v>
      </c>
      <c r="C16" s="0" t="n">
        <f aca="false">IF($B$9=0,0,B16/$B$9)</f>
        <v>0</v>
      </c>
    </row>
    <row r="17" customFormat="false" ht="15" hidden="false" customHeight="false" outlineLevel="0" collapsed="false">
      <c r="A17" s="0" t="s">
        <v>47</v>
      </c>
      <c r="B17" s="0" t="n">
        <v>0</v>
      </c>
      <c r="C17" s="0" t="n">
        <f aca="false">IF($B$9=0,0,B17/$B$9)</f>
        <v>0</v>
      </c>
    </row>
    <row r="18" customFormat="false" ht="15" hidden="false" customHeight="false" outlineLevel="0" collapsed="false">
      <c r="A18" s="0" t="s">
        <v>52</v>
      </c>
      <c r="B18" s="0" t="n">
        <v>0</v>
      </c>
      <c r="C18" s="0" t="n">
        <f aca="false">IF($B$9=0,0,B18/$B$9)</f>
        <v>0</v>
      </c>
    </row>
    <row r="19" customFormat="false" ht="15" hidden="false" customHeight="false" outlineLevel="0" collapsed="false">
      <c r="A19" s="0" t="s">
        <v>57</v>
      </c>
      <c r="B19" s="0" t="n">
        <v>0</v>
      </c>
      <c r="C19" s="0" t="n">
        <f aca="false">IF($B$9=0,0,B19/$B$9)</f>
        <v>0</v>
      </c>
    </row>
    <row r="20" customFormat="false" ht="15" hidden="false" customHeight="false" outlineLevel="0" collapsed="false">
      <c r="A20" s="0" t="s">
        <v>66</v>
      </c>
      <c r="B20" s="0" t="n">
        <v>0</v>
      </c>
      <c r="C20" s="0" t="n">
        <f aca="false">IF($B$9=0,0,B20/$B$9)</f>
        <v>0</v>
      </c>
    </row>
    <row r="21" customFormat="false" ht="15" hidden="false" customHeight="false" outlineLevel="0" collapsed="false">
      <c r="A21" s="0" t="s">
        <v>75</v>
      </c>
      <c r="B21" s="0" t="n">
        <v>0</v>
      </c>
      <c r="C21" s="0" t="n">
        <f aca="false">IF($B$9=0,0,B21/$B$9)</f>
        <v>0</v>
      </c>
    </row>
    <row r="22" customFormat="false" ht="15" hidden="false" customHeight="false" outlineLevel="0" collapsed="false">
      <c r="A22" s="0" t="s">
        <v>84</v>
      </c>
      <c r="B22" s="0" t="n">
        <v>0</v>
      </c>
      <c r="C22" s="0" t="n">
        <f aca="false">IF($B$9=0,0,B22/$B$9)</f>
        <v>0</v>
      </c>
    </row>
    <row r="23" customFormat="false" ht="15" hidden="false" customHeight="false" outlineLevel="0" collapsed="false">
      <c r="A23" s="0" t="s">
        <v>150</v>
      </c>
      <c r="B23" s="0" t="n">
        <f aca="false">$B$9-SUM(B16:B22)</f>
        <v>30</v>
      </c>
      <c r="C23" s="0" t="n">
        <f aca="false">IF($B$9=0,0,B23/$B$9)</f>
        <v>1</v>
      </c>
    </row>
    <row r="24" customFormat="false" ht="15" hidden="false" customHeight="false" outlineLevel="0" collapsed="false">
      <c r="A24" s="0" t="s">
        <v>143</v>
      </c>
      <c r="B24" s="0" t="n">
        <f aca="false">SUM(B16:B23)</f>
        <v>30</v>
      </c>
      <c r="C24" s="0" t="n">
        <f aca="false">IF(B24=0,0,B24/$B$9)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157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158</v>
      </c>
    </row>
    <row r="4" customFormat="false" ht="15" hidden="false" customHeight="false" outlineLevel="0" collapsed="false"/>
    <row r="5" customFormat="false" ht="15" hidden="false" customHeight="false" outlineLevel="0" collapsed="false">
      <c r="A5" s="0" t="s">
        <v>159</v>
      </c>
    </row>
    <row r="6" customFormat="false" ht="15" hidden="false" customHeight="false" outlineLevel="0" collapsed="false"/>
    <row r="7" customFormat="false" ht="15" hidden="false" customHeight="false" outlineLevel="0" collapsed="false">
      <c r="A7" s="0" t="s">
        <v>160</v>
      </c>
    </row>
    <row r="8" customFormat="false" ht="15" hidden="false" customHeight="false" outlineLevel="0" collapsed="false"/>
    <row r="9" customFormat="false" ht="15" hidden="false" customHeight="false" outlineLevel="0" collapsed="false">
      <c r="A9" s="0" t="s">
        <v>161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162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163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111</v>
      </c>
      <c r="B3" s="0" t="s">
        <v>110</v>
      </c>
      <c r="C3" s="0" t="s">
        <v>164</v>
      </c>
      <c r="D3" s="0" t="s">
        <v>165</v>
      </c>
      <c r="E3" s="0" t="s">
        <v>166</v>
      </c>
      <c r="F3" s="0" t="s">
        <v>167</v>
      </c>
      <c r="G3" s="0" t="s">
        <v>168</v>
      </c>
      <c r="H3" s="0" t="s">
        <v>169</v>
      </c>
      <c r="I3" s="0" t="s">
        <v>170</v>
      </c>
    </row>
    <row r="4" customFormat="false" ht="15" hidden="false" customHeight="false" outlineLevel="0" collapsed="false">
      <c r="A4" s="0" t="s">
        <v>91</v>
      </c>
      <c r="B4" s="0" t="s">
        <v>103</v>
      </c>
      <c r="C4" s="0" t="n">
        <f aca="false">SUMIFS(Fact_PreSortWeights!$E$2:$E$15,Fact_PreSortWeights!$C$2:$C$15,A4,Fact_PreSortWeights!$B$2:$B$15,B4,Fact_PreSortWeights!$F$2:$F$15,"")</f>
        <v>400</v>
      </c>
      <c r="D4" s="0" t="n">
        <f aca="false">SUMIFS(Fact_PreSortWeights!$E$2:$E$15,Fact_PreSortWeights!$C$2:$C$15,A4,Fact_PreSortWeights!$B$2:$B$15,B4,Fact_PreSortWeights!$F$2:$F$15,"&lt;&gt;")</f>
        <v>20</v>
      </c>
      <c r="E4" s="0" t="n">
        <f aca="false">SUMIFS(Fact_SortedWeights!$E$2:$E$6,Fact_SortedWeights!$C$2:$C$6,A4,Fact_SortedWeights!$B$2:$B$6,B4,Fact_SortedWeights!$L$2:$L$6,"No")</f>
        <v>35</v>
      </c>
      <c r="F4" s="0" t="n">
        <f aca="false">SUMIFS(Fact_SortedWeights!$E$2:$E$6,Fact_SortedWeights!$C$2:$C$6,A4,Fact_SortedWeights!$B$2:$B$6,B4,Fact_SortedWeights!$L$2:$L$6,"Yes")</f>
        <v>5</v>
      </c>
      <c r="G4" s="0" t="n">
        <f aca="false">E4-C4</f>
        <v>-365</v>
      </c>
      <c r="H4" s="0" t="n">
        <f aca="false">IF(C4=0,"n/a",G4/C4)</f>
        <v>-0.9125</v>
      </c>
      <c r="I4" s="0" t="str">
        <f aca="false">IF(AND(C4=0,E4=0),"no data yet",IF(C4=0,"no presort pool data",IF(E4=0,"NOT YET SORTED",IF(ABS(H4)&gt;0.15,"CHECK &gt;15% variance","OK"))))</f>
        <v>CHECK &gt;15% variance</v>
      </c>
    </row>
    <row r="5" customFormat="false" ht="15" hidden="false" customHeight="false" outlineLevel="0" collapsed="false">
      <c r="A5" s="0" t="s">
        <v>91</v>
      </c>
      <c r="B5" s="0" t="s">
        <v>104</v>
      </c>
      <c r="C5" s="0" t="n">
        <f aca="false">SUMIFS(Fact_PreSortWeights!$E$2:$E$15,Fact_PreSortWeights!$C$2:$C$15,A5,Fact_PreSortWeights!$B$2:$B$15,B5,Fact_PreSortWeights!$F$2:$F$15,"")</f>
        <v>30</v>
      </c>
      <c r="D5" s="0" t="n">
        <f aca="false">SUMIFS(Fact_PreSortWeights!$E$2:$E$15,Fact_PreSortWeights!$C$2:$C$15,A5,Fact_PreSortWeights!$B$2:$B$15,B5,Fact_PreSortWeights!$F$2:$F$15,"&lt;&gt;")</f>
        <v>0</v>
      </c>
      <c r="E5" s="0" t="n">
        <f aca="false">SUMIFS(Fact_SortedWeights!$E$2:$E$6,Fact_SortedWeights!$C$2:$C$6,A5,Fact_SortedWeights!$B$2:$B$6,B5,Fact_SortedWeights!$L$2:$L$6,"No")</f>
        <v>30</v>
      </c>
      <c r="F5" s="0" t="n">
        <f aca="false">SUMIFS(Fact_SortedWeights!$E$2:$E$6,Fact_SortedWeights!$C$2:$C$6,A5,Fact_SortedWeights!$B$2:$B$6,B5,Fact_SortedWeights!$L$2:$L$6,"Yes")</f>
        <v>0</v>
      </c>
      <c r="G5" s="0" t="n">
        <f aca="false">E5-C5</f>
        <v>0</v>
      </c>
      <c r="H5" s="0" t="n">
        <f aca="false">IF(C5=0,"n/a",G5/C5)</f>
        <v>0</v>
      </c>
      <c r="I5" s="0" t="str">
        <f aca="false">IF(AND(C5=0,E5=0),"no data yet",IF(C5=0,"no presort pool data",IF(E5=0,"NOT YET SORTED",IF(ABS(H5)&gt;0.15,"CHECK &gt;15% variance","OK"))))</f>
        <v>OK</v>
      </c>
    </row>
    <row r="6" customFormat="false" ht="15" hidden="false" customHeight="false" outlineLevel="0" collapsed="false">
      <c r="A6" s="0" t="s">
        <v>91</v>
      </c>
      <c r="B6" s="0" t="s">
        <v>105</v>
      </c>
      <c r="C6" s="0" t="n">
        <f aca="false">SUMIFS(Fact_PreSortWeights!$E$2:$E$15,Fact_PreSortWeights!$C$2:$C$15,A6,Fact_PreSortWeights!$B$2:$B$15,B6,Fact_PreSortWeights!$F$2:$F$15,"")</f>
        <v>20</v>
      </c>
      <c r="D6" s="0" t="n">
        <f aca="false">SUMIFS(Fact_PreSortWeights!$E$2:$E$15,Fact_PreSortWeights!$C$2:$C$15,A6,Fact_PreSortWeights!$B$2:$B$15,B6,Fact_PreSortWeights!$F$2:$F$15,"&lt;&gt;")</f>
        <v>0</v>
      </c>
      <c r="E6" s="0" t="n">
        <f aca="false">SUMIFS(Fact_SortedWeights!$E$2:$E$6,Fact_SortedWeights!$C$2:$C$6,A6,Fact_SortedWeights!$B$2:$B$6,B6,Fact_SortedWeights!$L$2:$L$6,"No")</f>
        <v>20</v>
      </c>
      <c r="F6" s="0" t="n">
        <f aca="false">SUMIFS(Fact_SortedWeights!$E$2:$E$6,Fact_SortedWeights!$C$2:$C$6,A6,Fact_SortedWeights!$B$2:$B$6,B6,Fact_SortedWeights!$L$2:$L$6,"Yes")</f>
        <v>0</v>
      </c>
      <c r="G6" s="0" t="n">
        <f aca="false">E6-C6</f>
        <v>0</v>
      </c>
      <c r="H6" s="0" t="n">
        <f aca="false">IF(C6=0,"n/a",G6/C6)</f>
        <v>0</v>
      </c>
      <c r="I6" s="0" t="str">
        <f aca="false">IF(AND(C6=0,E6=0),"no data yet",IF(C6=0,"no presort pool data",IF(E6=0,"NOT YET SORTED",IF(ABS(H6)&gt;0.15,"CHECK &gt;15% variance","OK"))))</f>
        <v>OK</v>
      </c>
    </row>
    <row r="7" customFormat="false" ht="15" hidden="false" customHeight="false" outlineLevel="0" collapsed="false">
      <c r="A7" s="0" t="s">
        <v>91</v>
      </c>
      <c r="B7" s="0" t="s">
        <v>106</v>
      </c>
      <c r="C7" s="0" t="s">
        <v>171</v>
      </c>
      <c r="D7" s="0" t="s">
        <v>171</v>
      </c>
      <c r="E7" s="0" t="n">
        <f aca="false">SUMIFS(Fact_SortedWeights!$E$2:$E$6,Fact_SortedWeights!$C$2:$C$6,A7,Fact_SortedWeights!$B$2:$B$6,B7)</f>
        <v>50</v>
      </c>
      <c r="F7" s="0" t="n">
        <f aca="false">SUMIFS(Fact_SortedWeights!$E$2:$E$6,Fact_SortedWeights!$C$2:$C$6,A7,Fact_SortedWeights!$B$2:$B$6,B7,Fact_SortedWeights!$L$2:$L$6,"Yes")</f>
        <v>0</v>
      </c>
      <c r="G7" s="0" t="s">
        <v>171</v>
      </c>
      <c r="H7" s="0" t="s">
        <v>171</v>
      </c>
      <c r="I7" s="0" t="s">
        <v>172</v>
      </c>
    </row>
    <row r="8" customFormat="false" ht="15" hidden="false" customHeight="false" outlineLevel="0" collapsed="false">
      <c r="A8" s="0" t="s">
        <v>91</v>
      </c>
      <c r="B8" s="0" t="s">
        <v>107</v>
      </c>
      <c r="C8" s="0" t="n">
        <f aca="false">SUMIFS(Fact_PreSortWeights!$E$2:$E$15,Fact_PreSortWeights!$C$2:$C$15,A8,Fact_PreSortWeights!$B$2:$B$15,B8,Fact_PreSortWeights!$F$2:$F$15,"")</f>
        <v>0</v>
      </c>
      <c r="D8" s="0" t="n">
        <f aca="false">SUMIFS(Fact_PreSortWeights!$E$2:$E$15,Fact_PreSortWeights!$C$2:$C$15,A8,Fact_PreSortWeights!$B$2:$B$15,B8,Fact_PreSortWeights!$F$2:$F$15,"&lt;&gt;")</f>
        <v>0</v>
      </c>
      <c r="E8" s="0" t="n">
        <f aca="false">SUMIFS(Fact_SortedWeights!$E$2:$E$6,Fact_SortedWeights!$C$2:$C$6,A8,Fact_SortedWeights!$B$2:$B$6,B8,Fact_SortedWeights!$L$2:$L$6,"No")</f>
        <v>0</v>
      </c>
      <c r="F8" s="0" t="n">
        <f aca="false">SUMIFS(Fact_SortedWeights!$E$2:$E$6,Fact_SortedWeights!$C$2:$C$6,A8,Fact_SortedWeights!$B$2:$B$6,B8,Fact_SortedWeights!$L$2:$L$6,"Yes")</f>
        <v>0</v>
      </c>
      <c r="G8" s="0" t="n">
        <f aca="false">E8-C8</f>
        <v>0</v>
      </c>
      <c r="H8" s="0" t="str">
        <f aca="false">IF(C8=0,"n/a",G8/C8)</f>
        <v>n/a</v>
      </c>
      <c r="I8" s="0" t="str">
        <f aca="false">IF(AND(C8=0,E8=0),"no data yet",IF(C8=0,"no presort pool data",IF(E8=0,"NOT YET SORTED",IF(ABS(H8)&gt;0.15,"CHECK &gt;15% variance","OK"))))</f>
        <v>no data yet</v>
      </c>
    </row>
    <row r="9" customFormat="false" ht="15" hidden="false" customHeight="false" outlineLevel="0" collapsed="false">
      <c r="A9" s="0" t="s">
        <v>91</v>
      </c>
      <c r="B9" s="0" t="s">
        <v>108</v>
      </c>
      <c r="C9" s="0" t="n">
        <f aca="false">SUMIFS(Fact_PreSortWeights!$E$2:$E$15,Fact_PreSortWeights!$C$2:$C$15,A9,Fact_PreSortWeights!$B$2:$B$15,B9,Fact_PreSortWeights!$F$2:$F$15,"")</f>
        <v>0</v>
      </c>
      <c r="D9" s="0" t="n">
        <f aca="false">SUMIFS(Fact_PreSortWeights!$E$2:$E$15,Fact_PreSortWeights!$C$2:$C$15,A9,Fact_PreSortWeights!$B$2:$B$15,B9,Fact_PreSortWeights!$F$2:$F$15,"&lt;&gt;")</f>
        <v>0</v>
      </c>
      <c r="E9" s="0" t="n">
        <f aca="false">SUMIFS(Fact_SortedWeights!$E$2:$E$6,Fact_SortedWeights!$C$2:$C$6,A9,Fact_SortedWeights!$B$2:$B$6,B9,Fact_SortedWeights!$L$2:$L$6,"No")</f>
        <v>0</v>
      </c>
      <c r="F9" s="0" t="n">
        <f aca="false">SUMIFS(Fact_SortedWeights!$E$2:$E$6,Fact_SortedWeights!$C$2:$C$6,A9,Fact_SortedWeights!$B$2:$B$6,B9,Fact_SortedWeights!$L$2:$L$6,"Yes")</f>
        <v>0</v>
      </c>
      <c r="G9" s="0" t="n">
        <f aca="false">E9-C9</f>
        <v>0</v>
      </c>
      <c r="H9" s="0" t="str">
        <f aca="false">IF(C9=0,"n/a",G9/C9)</f>
        <v>n/a</v>
      </c>
      <c r="I9" s="0" t="str">
        <f aca="false">IF(AND(C9=0,E9=0),"no data yet",IF(C9=0,"no presort pool data",IF(E9=0,"NOT YET SORTED",IF(ABS(H9)&gt;0.15,"CHECK &gt;15% variance","OK"))))</f>
        <v>no data yet</v>
      </c>
    </row>
    <row r="10" customFormat="false" ht="15" hidden="false" customHeight="false" outlineLevel="0" collapsed="false">
      <c r="A10" s="0" t="s">
        <v>94</v>
      </c>
      <c r="B10" s="0" t="s">
        <v>103</v>
      </c>
      <c r="C10" s="0" t="n">
        <f aca="false">SUMIFS(Fact_PreSortWeights!$E$2:$E$15,Fact_PreSortWeights!$C$2:$C$15,A10,Fact_PreSortWeights!$B$2:$B$15,B10,Fact_PreSortWeights!$F$2:$F$15,"")</f>
        <v>0</v>
      </c>
      <c r="D10" s="0" t="n">
        <f aca="false">SUMIFS(Fact_PreSortWeights!$E$2:$E$15,Fact_PreSortWeights!$C$2:$C$15,A10,Fact_PreSortWeights!$B$2:$B$15,B10,Fact_PreSortWeights!$F$2:$F$15,"&lt;&gt;")</f>
        <v>0</v>
      </c>
      <c r="E10" s="0" t="n">
        <f aca="false">SUMIFS(Fact_SortedWeights!$E$2:$E$6,Fact_SortedWeights!$C$2:$C$6,A10,Fact_SortedWeights!$B$2:$B$6,B10,Fact_SortedWeights!$L$2:$L$6,"No")</f>
        <v>0</v>
      </c>
      <c r="F10" s="0" t="n">
        <f aca="false">SUMIFS(Fact_SortedWeights!$E$2:$E$6,Fact_SortedWeights!$C$2:$C$6,A10,Fact_SortedWeights!$B$2:$B$6,B10,Fact_SortedWeights!$L$2:$L$6,"Yes")</f>
        <v>0</v>
      </c>
      <c r="G10" s="0" t="n">
        <f aca="false">E10-C10</f>
        <v>0</v>
      </c>
      <c r="H10" s="0" t="str">
        <f aca="false">IF(C10=0,"n/a",G10/C10)</f>
        <v>n/a</v>
      </c>
      <c r="I10" s="0" t="str">
        <f aca="false">IF(AND(C10=0,E10=0),"no data yet",IF(C10=0,"no presort pool data",IF(E10=0,"NOT YET SORTED",IF(ABS(H10)&gt;0.15,"CHECK &gt;15% variance","OK"))))</f>
        <v>no data yet</v>
      </c>
    </row>
    <row r="11" customFormat="false" ht="15" hidden="false" customHeight="false" outlineLevel="0" collapsed="false">
      <c r="A11" s="0" t="s">
        <v>94</v>
      </c>
      <c r="B11" s="0" t="s">
        <v>104</v>
      </c>
      <c r="C11" s="0" t="n">
        <f aca="false">SUMIFS(Fact_PreSortWeights!$E$2:$E$15,Fact_PreSortWeights!$C$2:$C$15,A11,Fact_PreSortWeights!$B$2:$B$15,B11,Fact_PreSortWeights!$F$2:$F$15,"")</f>
        <v>0</v>
      </c>
      <c r="D11" s="0" t="n">
        <f aca="false">SUMIFS(Fact_PreSortWeights!$E$2:$E$15,Fact_PreSortWeights!$C$2:$C$15,A11,Fact_PreSortWeights!$B$2:$B$15,B11,Fact_PreSortWeights!$F$2:$F$15,"&lt;&gt;")</f>
        <v>0</v>
      </c>
      <c r="E11" s="0" t="n">
        <f aca="false">SUMIFS(Fact_SortedWeights!$E$2:$E$6,Fact_SortedWeights!$C$2:$C$6,A11,Fact_SortedWeights!$B$2:$B$6,B11,Fact_SortedWeights!$L$2:$L$6,"No")</f>
        <v>0</v>
      </c>
      <c r="F11" s="0" t="n">
        <f aca="false">SUMIFS(Fact_SortedWeights!$E$2:$E$6,Fact_SortedWeights!$C$2:$C$6,A11,Fact_SortedWeights!$B$2:$B$6,B11,Fact_SortedWeights!$L$2:$L$6,"Yes")</f>
        <v>0</v>
      </c>
      <c r="G11" s="0" t="n">
        <f aca="false">E11-C11</f>
        <v>0</v>
      </c>
      <c r="H11" s="0" t="str">
        <f aca="false">IF(C11=0,"n/a",G11/C11)</f>
        <v>n/a</v>
      </c>
      <c r="I11" s="0" t="str">
        <f aca="false">IF(AND(C11=0,E11=0),"no data yet",IF(C11=0,"no presort pool data",IF(E11=0,"NOT YET SORTED",IF(ABS(H11)&gt;0.15,"CHECK &gt;15% variance","OK"))))</f>
        <v>no data yet</v>
      </c>
    </row>
    <row r="12" customFormat="false" ht="15" hidden="false" customHeight="false" outlineLevel="0" collapsed="false">
      <c r="A12" s="0" t="s">
        <v>94</v>
      </c>
      <c r="B12" s="0" t="s">
        <v>105</v>
      </c>
      <c r="C12" s="0" t="n">
        <f aca="false">SUMIFS(Fact_PreSortWeights!$E$2:$E$15,Fact_PreSortWeights!$C$2:$C$15,A12,Fact_PreSortWeights!$B$2:$B$15,B12,Fact_PreSortWeights!$F$2:$F$15,"")</f>
        <v>0</v>
      </c>
      <c r="D12" s="0" t="n">
        <f aca="false">SUMIFS(Fact_PreSortWeights!$E$2:$E$15,Fact_PreSortWeights!$C$2:$C$15,A12,Fact_PreSortWeights!$B$2:$B$15,B12,Fact_PreSortWeights!$F$2:$F$15,"&lt;&gt;")</f>
        <v>0</v>
      </c>
      <c r="E12" s="0" t="n">
        <f aca="false">SUMIFS(Fact_SortedWeights!$E$2:$E$6,Fact_SortedWeights!$C$2:$C$6,A12,Fact_SortedWeights!$B$2:$B$6,B12,Fact_SortedWeights!$L$2:$L$6,"No")</f>
        <v>0</v>
      </c>
      <c r="F12" s="0" t="n">
        <f aca="false">SUMIFS(Fact_SortedWeights!$E$2:$E$6,Fact_SortedWeights!$C$2:$C$6,A12,Fact_SortedWeights!$B$2:$B$6,B12,Fact_SortedWeights!$L$2:$L$6,"Yes")</f>
        <v>0</v>
      </c>
      <c r="G12" s="0" t="n">
        <f aca="false">E12-C12</f>
        <v>0</v>
      </c>
      <c r="H12" s="0" t="str">
        <f aca="false">IF(C12=0,"n/a",G12/C12)</f>
        <v>n/a</v>
      </c>
      <c r="I12" s="0" t="str">
        <f aca="false">IF(AND(C12=0,E12=0),"no data yet",IF(C12=0,"no presort pool data",IF(E12=0,"NOT YET SORTED",IF(ABS(H12)&gt;0.15,"CHECK &gt;15% variance","OK"))))</f>
        <v>no data yet</v>
      </c>
    </row>
    <row r="13" customFormat="false" ht="15" hidden="false" customHeight="false" outlineLevel="0" collapsed="false">
      <c r="A13" s="0" t="s">
        <v>94</v>
      </c>
      <c r="B13" s="0" t="s">
        <v>106</v>
      </c>
      <c r="C13" s="0" t="s">
        <v>171</v>
      </c>
      <c r="D13" s="0" t="s">
        <v>171</v>
      </c>
      <c r="E13" s="0" t="n">
        <f aca="false">SUMIFS(Fact_SortedWeights!$E$2:$E$6,Fact_SortedWeights!$C$2:$C$6,A13,Fact_SortedWeights!$B$2:$B$6,B13)</f>
        <v>0</v>
      </c>
      <c r="F13" s="0" t="n">
        <f aca="false">SUMIFS(Fact_SortedWeights!$E$2:$E$6,Fact_SortedWeights!$C$2:$C$6,A13,Fact_SortedWeights!$B$2:$B$6,B13,Fact_SortedWeights!$L$2:$L$6,"Yes")</f>
        <v>0</v>
      </c>
      <c r="G13" s="0" t="s">
        <v>171</v>
      </c>
      <c r="H13" s="0" t="s">
        <v>171</v>
      </c>
      <c r="I13" s="0" t="s">
        <v>172</v>
      </c>
    </row>
    <row r="14" customFormat="false" ht="15" hidden="false" customHeight="false" outlineLevel="0" collapsed="false">
      <c r="A14" s="0" t="s">
        <v>94</v>
      </c>
      <c r="B14" s="0" t="s">
        <v>107</v>
      </c>
      <c r="C14" s="0" t="n">
        <f aca="false">SUMIFS(Fact_PreSortWeights!$E$2:$E$15,Fact_PreSortWeights!$C$2:$C$15,A14,Fact_PreSortWeights!$B$2:$B$15,B14,Fact_PreSortWeights!$F$2:$F$15,"")</f>
        <v>0</v>
      </c>
      <c r="D14" s="0" t="n">
        <f aca="false">SUMIFS(Fact_PreSortWeights!$E$2:$E$15,Fact_PreSortWeights!$C$2:$C$15,A14,Fact_PreSortWeights!$B$2:$B$15,B14,Fact_PreSortWeights!$F$2:$F$15,"&lt;&gt;")</f>
        <v>0</v>
      </c>
      <c r="E14" s="0" t="n">
        <f aca="false">SUMIFS(Fact_SortedWeights!$E$2:$E$6,Fact_SortedWeights!$C$2:$C$6,A14,Fact_SortedWeights!$B$2:$B$6,B14,Fact_SortedWeights!$L$2:$L$6,"No")</f>
        <v>0</v>
      </c>
      <c r="F14" s="0" t="n">
        <f aca="false">SUMIFS(Fact_SortedWeights!$E$2:$E$6,Fact_SortedWeights!$C$2:$C$6,A14,Fact_SortedWeights!$B$2:$B$6,B14,Fact_SortedWeights!$L$2:$L$6,"Yes")</f>
        <v>0</v>
      </c>
      <c r="G14" s="0" t="n">
        <f aca="false">E14-C14</f>
        <v>0</v>
      </c>
      <c r="H14" s="0" t="str">
        <f aca="false">IF(C14=0,"n/a",G14/C14)</f>
        <v>n/a</v>
      </c>
      <c r="I14" s="0" t="str">
        <f aca="false">IF(AND(C14=0,E14=0),"no data yet",IF(C14=0,"no presort pool data",IF(E14=0,"NOT YET SORTED",IF(ABS(H14)&gt;0.15,"CHECK &gt;15% variance","OK"))))</f>
        <v>no data yet</v>
      </c>
    </row>
    <row r="15" customFormat="false" ht="15" hidden="false" customHeight="false" outlineLevel="0" collapsed="false">
      <c r="A15" s="0" t="s">
        <v>94</v>
      </c>
      <c r="B15" s="0" t="s">
        <v>108</v>
      </c>
      <c r="C15" s="0" t="n">
        <f aca="false">SUMIFS(Fact_PreSortWeights!$E$2:$E$15,Fact_PreSortWeights!$C$2:$C$15,A15,Fact_PreSortWeights!$B$2:$B$15,B15,Fact_PreSortWeights!$F$2:$F$15,"")</f>
        <v>0</v>
      </c>
      <c r="D15" s="0" t="n">
        <f aca="false">SUMIFS(Fact_PreSortWeights!$E$2:$E$15,Fact_PreSortWeights!$C$2:$C$15,A15,Fact_PreSortWeights!$B$2:$B$15,B15,Fact_PreSortWeights!$F$2:$F$15,"&lt;&gt;")</f>
        <v>0</v>
      </c>
      <c r="E15" s="0" t="n">
        <f aca="false">SUMIFS(Fact_SortedWeights!$E$2:$E$6,Fact_SortedWeights!$C$2:$C$6,A15,Fact_SortedWeights!$B$2:$B$6,B15,Fact_SortedWeights!$L$2:$L$6,"No")</f>
        <v>0</v>
      </c>
      <c r="F15" s="0" t="n">
        <f aca="false">SUMIFS(Fact_SortedWeights!$E$2:$E$6,Fact_SortedWeights!$C$2:$C$6,A15,Fact_SortedWeights!$B$2:$B$6,B15,Fact_SortedWeights!$L$2:$L$6,"Yes")</f>
        <v>0</v>
      </c>
      <c r="G15" s="0" t="n">
        <f aca="false">E15-C15</f>
        <v>0</v>
      </c>
      <c r="H15" s="0" t="str">
        <f aca="false">IF(C15=0,"n/a",G15/C15)</f>
        <v>n/a</v>
      </c>
      <c r="I15" s="0" t="str">
        <f aca="false">IF(AND(C15=0,E15=0),"no data yet",IF(C15=0,"no presort pool data",IF(E15=0,"NOT YET SORTED",IF(ABS(H15)&gt;0.15,"CHECK &gt;15% variance","OK"))))</f>
        <v>no data yet</v>
      </c>
    </row>
    <row r="16" customFormat="false" ht="15" hidden="false" customHeight="false" outlineLevel="0" collapsed="false">
      <c r="A16" s="0" t="s">
        <v>97</v>
      </c>
      <c r="B16" s="0" t="s">
        <v>103</v>
      </c>
      <c r="C16" s="0" t="n">
        <f aca="false">SUMIFS(Fact_PreSortWeights!$E$2:$E$15,Fact_PreSortWeights!$C$2:$C$15,A16,Fact_PreSortWeights!$B$2:$B$15,B16,Fact_PreSortWeights!$F$2:$F$15,"")</f>
        <v>0</v>
      </c>
      <c r="D16" s="0" t="n">
        <f aca="false">SUMIFS(Fact_PreSortWeights!$E$2:$E$15,Fact_PreSortWeights!$C$2:$C$15,A16,Fact_PreSortWeights!$B$2:$B$15,B16,Fact_PreSortWeights!$F$2:$F$15,"&lt;&gt;")</f>
        <v>0</v>
      </c>
      <c r="E16" s="0" t="n">
        <f aca="false">SUMIFS(Fact_SortedWeights!$E$2:$E$6,Fact_SortedWeights!$C$2:$C$6,A16,Fact_SortedWeights!$B$2:$B$6,B16,Fact_SortedWeights!$L$2:$L$6,"No")</f>
        <v>0</v>
      </c>
      <c r="F16" s="0" t="n">
        <f aca="false">SUMIFS(Fact_SortedWeights!$E$2:$E$6,Fact_SortedWeights!$C$2:$C$6,A16,Fact_SortedWeights!$B$2:$B$6,B16,Fact_SortedWeights!$L$2:$L$6,"Yes")</f>
        <v>0</v>
      </c>
      <c r="G16" s="0" t="n">
        <f aca="false">E16-C16</f>
        <v>0</v>
      </c>
      <c r="H16" s="0" t="str">
        <f aca="false">IF(C16=0,"n/a",G16/C16)</f>
        <v>n/a</v>
      </c>
      <c r="I16" s="0" t="str">
        <f aca="false">IF(AND(C16=0,E16=0),"no data yet",IF(C16=0,"no presort pool data",IF(E16=0,"NOT YET SORTED",IF(ABS(H16)&gt;0.15,"CHECK &gt;15% variance","OK"))))</f>
        <v>no data yet</v>
      </c>
    </row>
    <row r="17" customFormat="false" ht="15" hidden="false" customHeight="false" outlineLevel="0" collapsed="false">
      <c r="A17" s="0" t="s">
        <v>97</v>
      </c>
      <c r="B17" s="0" t="s">
        <v>104</v>
      </c>
      <c r="C17" s="0" t="n">
        <f aca="false">SUMIFS(Fact_PreSortWeights!$E$2:$E$15,Fact_PreSortWeights!$C$2:$C$15,A17,Fact_PreSortWeights!$B$2:$B$15,B17,Fact_PreSortWeights!$F$2:$F$15,"")</f>
        <v>0</v>
      </c>
      <c r="D17" s="0" t="n">
        <f aca="false">SUMIFS(Fact_PreSortWeights!$E$2:$E$15,Fact_PreSortWeights!$C$2:$C$15,A17,Fact_PreSortWeights!$B$2:$B$15,B17,Fact_PreSortWeights!$F$2:$F$15,"&lt;&gt;")</f>
        <v>0</v>
      </c>
      <c r="E17" s="0" t="n">
        <f aca="false">SUMIFS(Fact_SortedWeights!$E$2:$E$6,Fact_SortedWeights!$C$2:$C$6,A17,Fact_SortedWeights!$B$2:$B$6,B17,Fact_SortedWeights!$L$2:$L$6,"No")</f>
        <v>0</v>
      </c>
      <c r="F17" s="0" t="n">
        <f aca="false">SUMIFS(Fact_SortedWeights!$E$2:$E$6,Fact_SortedWeights!$C$2:$C$6,A17,Fact_SortedWeights!$B$2:$B$6,B17,Fact_SortedWeights!$L$2:$L$6,"Yes")</f>
        <v>0</v>
      </c>
      <c r="G17" s="0" t="n">
        <f aca="false">E17-C17</f>
        <v>0</v>
      </c>
      <c r="H17" s="0" t="str">
        <f aca="false">IF(C17=0,"n/a",G17/C17)</f>
        <v>n/a</v>
      </c>
      <c r="I17" s="0" t="str">
        <f aca="false">IF(AND(C17=0,E17=0),"no data yet",IF(C17=0,"no presort pool data",IF(E17=0,"NOT YET SORTED",IF(ABS(H17)&gt;0.15,"CHECK &gt;15% variance","OK"))))</f>
        <v>no data yet</v>
      </c>
    </row>
    <row r="18" customFormat="false" ht="15" hidden="false" customHeight="false" outlineLevel="0" collapsed="false">
      <c r="A18" s="0" t="s">
        <v>97</v>
      </c>
      <c r="B18" s="0" t="s">
        <v>105</v>
      </c>
      <c r="C18" s="0" t="n">
        <f aca="false">SUMIFS(Fact_PreSortWeights!$E$2:$E$15,Fact_PreSortWeights!$C$2:$C$15,A18,Fact_PreSortWeights!$B$2:$B$15,B18,Fact_PreSortWeights!$F$2:$F$15,"")</f>
        <v>0</v>
      </c>
      <c r="D18" s="0" t="n">
        <f aca="false">SUMIFS(Fact_PreSortWeights!$E$2:$E$15,Fact_PreSortWeights!$C$2:$C$15,A18,Fact_PreSortWeights!$B$2:$B$15,B18,Fact_PreSortWeights!$F$2:$F$15,"&lt;&gt;")</f>
        <v>0</v>
      </c>
      <c r="E18" s="0" t="n">
        <f aca="false">SUMIFS(Fact_SortedWeights!$E$2:$E$6,Fact_SortedWeights!$C$2:$C$6,A18,Fact_SortedWeights!$B$2:$B$6,B18,Fact_SortedWeights!$L$2:$L$6,"No")</f>
        <v>0</v>
      </c>
      <c r="F18" s="0" t="n">
        <f aca="false">SUMIFS(Fact_SortedWeights!$E$2:$E$6,Fact_SortedWeights!$C$2:$C$6,A18,Fact_SortedWeights!$B$2:$B$6,B18,Fact_SortedWeights!$L$2:$L$6,"Yes")</f>
        <v>0</v>
      </c>
      <c r="G18" s="0" t="n">
        <f aca="false">E18-C18</f>
        <v>0</v>
      </c>
      <c r="H18" s="0" t="str">
        <f aca="false">IF(C18=0,"n/a",G18/C18)</f>
        <v>n/a</v>
      </c>
      <c r="I18" s="0" t="str">
        <f aca="false">IF(AND(C18=0,E18=0),"no data yet",IF(C18=0,"no presort pool data",IF(E18=0,"NOT YET SORTED",IF(ABS(H18)&gt;0.15,"CHECK &gt;15% variance","OK"))))</f>
        <v>no data yet</v>
      </c>
    </row>
    <row r="19" customFormat="false" ht="15" hidden="false" customHeight="false" outlineLevel="0" collapsed="false">
      <c r="A19" s="0" t="s">
        <v>97</v>
      </c>
      <c r="B19" s="0" t="s">
        <v>106</v>
      </c>
      <c r="C19" s="0" t="s">
        <v>171</v>
      </c>
      <c r="D19" s="0" t="s">
        <v>171</v>
      </c>
      <c r="E19" s="0" t="n">
        <f aca="false">SUMIFS(Fact_SortedWeights!$E$2:$E$6,Fact_SortedWeights!$C$2:$C$6,A19,Fact_SortedWeights!$B$2:$B$6,B19)</f>
        <v>0</v>
      </c>
      <c r="F19" s="0" t="n">
        <f aca="false">SUMIFS(Fact_SortedWeights!$E$2:$E$6,Fact_SortedWeights!$C$2:$C$6,A19,Fact_SortedWeights!$B$2:$B$6,B19,Fact_SortedWeights!$L$2:$L$6,"Yes")</f>
        <v>0</v>
      </c>
      <c r="G19" s="0" t="s">
        <v>171</v>
      </c>
      <c r="H19" s="0" t="s">
        <v>171</v>
      </c>
      <c r="I19" s="0" t="s">
        <v>172</v>
      </c>
    </row>
    <row r="20" customFormat="false" ht="15" hidden="false" customHeight="false" outlineLevel="0" collapsed="false">
      <c r="A20" s="0" t="s">
        <v>97</v>
      </c>
      <c r="B20" s="0" t="s">
        <v>107</v>
      </c>
      <c r="C20" s="0" t="n">
        <f aca="false">SUMIFS(Fact_PreSortWeights!$E$2:$E$15,Fact_PreSortWeights!$C$2:$C$15,A20,Fact_PreSortWeights!$B$2:$B$15,B20,Fact_PreSortWeights!$F$2:$F$15,"")</f>
        <v>0</v>
      </c>
      <c r="D20" s="0" t="n">
        <f aca="false">SUMIFS(Fact_PreSortWeights!$E$2:$E$15,Fact_PreSortWeights!$C$2:$C$15,A20,Fact_PreSortWeights!$B$2:$B$15,B20,Fact_PreSortWeights!$F$2:$F$15,"&lt;&gt;")</f>
        <v>0</v>
      </c>
      <c r="E20" s="0" t="n">
        <f aca="false">SUMIFS(Fact_SortedWeights!$E$2:$E$6,Fact_SortedWeights!$C$2:$C$6,A20,Fact_SortedWeights!$B$2:$B$6,B20,Fact_SortedWeights!$L$2:$L$6,"No")</f>
        <v>0</v>
      </c>
      <c r="F20" s="0" t="n">
        <f aca="false">SUMIFS(Fact_SortedWeights!$E$2:$E$6,Fact_SortedWeights!$C$2:$C$6,A20,Fact_SortedWeights!$B$2:$B$6,B20,Fact_SortedWeights!$L$2:$L$6,"Yes")</f>
        <v>0</v>
      </c>
      <c r="G20" s="0" t="n">
        <f aca="false">E20-C20</f>
        <v>0</v>
      </c>
      <c r="H20" s="0" t="str">
        <f aca="false">IF(C20=0,"n/a",G20/C20)</f>
        <v>n/a</v>
      </c>
      <c r="I20" s="0" t="str">
        <f aca="false">IF(AND(C20=0,E20=0),"no data yet",IF(C20=0,"no presort pool data",IF(E20=0,"NOT YET SORTED",IF(ABS(H20)&gt;0.15,"CHECK &gt;15% variance","OK"))))</f>
        <v>no data yet</v>
      </c>
    </row>
    <row r="21" customFormat="false" ht="15" hidden="false" customHeight="false" outlineLevel="0" collapsed="false">
      <c r="A21" s="0" t="s">
        <v>97</v>
      </c>
      <c r="B21" s="0" t="s">
        <v>108</v>
      </c>
      <c r="C21" s="0" t="n">
        <f aca="false">SUMIFS(Fact_PreSortWeights!$E$2:$E$15,Fact_PreSortWeights!$C$2:$C$15,A21,Fact_PreSortWeights!$B$2:$B$15,B21,Fact_PreSortWeights!$F$2:$F$15,"")</f>
        <v>0</v>
      </c>
      <c r="D21" s="0" t="n">
        <f aca="false">SUMIFS(Fact_PreSortWeights!$E$2:$E$15,Fact_PreSortWeights!$C$2:$C$15,A21,Fact_PreSortWeights!$B$2:$B$15,B21,Fact_PreSortWeights!$F$2:$F$15,"&lt;&gt;")</f>
        <v>0</v>
      </c>
      <c r="E21" s="0" t="n">
        <f aca="false">SUMIFS(Fact_SortedWeights!$E$2:$E$6,Fact_SortedWeights!$C$2:$C$6,A21,Fact_SortedWeights!$B$2:$B$6,B21,Fact_SortedWeights!$L$2:$L$6,"No")</f>
        <v>0</v>
      </c>
      <c r="F21" s="0" t="n">
        <f aca="false">SUMIFS(Fact_SortedWeights!$E$2:$E$6,Fact_SortedWeights!$C$2:$C$6,A21,Fact_SortedWeights!$B$2:$B$6,B21,Fact_SortedWeights!$L$2:$L$6,"Yes")</f>
        <v>0</v>
      </c>
      <c r="G21" s="0" t="n">
        <f aca="false">E21-C21</f>
        <v>0</v>
      </c>
      <c r="H21" s="0" t="str">
        <f aca="false">IF(C21=0,"n/a",G21/C21)</f>
        <v>n/a</v>
      </c>
      <c r="I21" s="0" t="str">
        <f aca="false">IF(AND(C21=0,E21=0),"no data yet",IF(C21=0,"no presort pool data",IF(E21=0,"NOT YET SORTED",IF(ABS(H21)&gt;0.15,"CHECK &gt;15% variance","OK"))))</f>
        <v>no data yet</v>
      </c>
    </row>
    <row r="22" customFormat="false" ht="15" hidden="false" customHeight="false" outlineLevel="0" collapsed="false">
      <c r="A22" s="0" t="s">
        <v>99</v>
      </c>
      <c r="B22" s="0" t="s">
        <v>103</v>
      </c>
      <c r="C22" s="0" t="n">
        <f aca="false">SUMIFS(Fact_PreSortWeights!$E$2:$E$15,Fact_PreSortWeights!$C$2:$C$15,A22,Fact_PreSortWeights!$B$2:$B$15,B22,Fact_PreSortWeights!$F$2:$F$15,"")</f>
        <v>0</v>
      </c>
      <c r="D22" s="0" t="n">
        <f aca="false">SUMIFS(Fact_PreSortWeights!$E$2:$E$15,Fact_PreSortWeights!$C$2:$C$15,A22,Fact_PreSortWeights!$B$2:$B$15,B22,Fact_PreSortWeights!$F$2:$F$15,"&lt;&gt;")</f>
        <v>0</v>
      </c>
      <c r="E22" s="0" t="n">
        <f aca="false">SUMIFS(Fact_SortedWeights!$E$2:$E$6,Fact_SortedWeights!$C$2:$C$6,A22,Fact_SortedWeights!$B$2:$B$6,B22,Fact_SortedWeights!$L$2:$L$6,"No")</f>
        <v>0</v>
      </c>
      <c r="F22" s="0" t="n">
        <f aca="false">SUMIFS(Fact_SortedWeights!$E$2:$E$6,Fact_SortedWeights!$C$2:$C$6,A22,Fact_SortedWeights!$B$2:$B$6,B22,Fact_SortedWeights!$L$2:$L$6,"Yes")</f>
        <v>0</v>
      </c>
      <c r="G22" s="0" t="n">
        <f aca="false">E22-C22</f>
        <v>0</v>
      </c>
      <c r="H22" s="0" t="str">
        <f aca="false">IF(C22=0,"n/a",G22/C22)</f>
        <v>n/a</v>
      </c>
      <c r="I22" s="0" t="str">
        <f aca="false">IF(AND(C22=0,E22=0),"no data yet",IF(C22=0,"no presort pool data",IF(E22=0,"NOT YET SORTED",IF(ABS(H22)&gt;0.15,"CHECK &gt;15% variance","OK"))))</f>
        <v>no data yet</v>
      </c>
    </row>
    <row r="23" customFormat="false" ht="15" hidden="false" customHeight="false" outlineLevel="0" collapsed="false">
      <c r="A23" s="0" t="s">
        <v>99</v>
      </c>
      <c r="B23" s="0" t="s">
        <v>104</v>
      </c>
      <c r="C23" s="0" t="n">
        <f aca="false">SUMIFS(Fact_PreSortWeights!$E$2:$E$15,Fact_PreSortWeights!$C$2:$C$15,A23,Fact_PreSortWeights!$B$2:$B$15,B23,Fact_PreSortWeights!$F$2:$F$15,"")</f>
        <v>0</v>
      </c>
      <c r="D23" s="0" t="n">
        <f aca="false">SUMIFS(Fact_PreSortWeights!$E$2:$E$15,Fact_PreSortWeights!$C$2:$C$15,A23,Fact_PreSortWeights!$B$2:$B$15,B23,Fact_PreSortWeights!$F$2:$F$15,"&lt;&gt;")</f>
        <v>0</v>
      </c>
      <c r="E23" s="0" t="n">
        <f aca="false">SUMIFS(Fact_SortedWeights!$E$2:$E$6,Fact_SortedWeights!$C$2:$C$6,A23,Fact_SortedWeights!$B$2:$B$6,B23,Fact_SortedWeights!$L$2:$L$6,"No")</f>
        <v>0</v>
      </c>
      <c r="F23" s="0" t="n">
        <f aca="false">SUMIFS(Fact_SortedWeights!$E$2:$E$6,Fact_SortedWeights!$C$2:$C$6,A23,Fact_SortedWeights!$B$2:$B$6,B23,Fact_SortedWeights!$L$2:$L$6,"Yes")</f>
        <v>0</v>
      </c>
      <c r="G23" s="0" t="n">
        <f aca="false">E23-C23</f>
        <v>0</v>
      </c>
      <c r="H23" s="0" t="str">
        <f aca="false">IF(C23=0,"n/a",G23/C23)</f>
        <v>n/a</v>
      </c>
      <c r="I23" s="0" t="str">
        <f aca="false">IF(AND(C23=0,E23=0),"no data yet",IF(C23=0,"no presort pool data",IF(E23=0,"NOT YET SORTED",IF(ABS(H23)&gt;0.15,"CHECK &gt;15% variance","OK"))))</f>
        <v>no data yet</v>
      </c>
    </row>
    <row r="24" customFormat="false" ht="15" hidden="false" customHeight="false" outlineLevel="0" collapsed="false">
      <c r="A24" s="0" t="s">
        <v>99</v>
      </c>
      <c r="B24" s="0" t="s">
        <v>105</v>
      </c>
      <c r="C24" s="0" t="n">
        <f aca="false">SUMIFS(Fact_PreSortWeights!$E$2:$E$15,Fact_PreSortWeights!$C$2:$C$15,A24,Fact_PreSortWeights!$B$2:$B$15,B24,Fact_PreSortWeights!$F$2:$F$15,"")</f>
        <v>0</v>
      </c>
      <c r="D24" s="0" t="n">
        <f aca="false">SUMIFS(Fact_PreSortWeights!$E$2:$E$15,Fact_PreSortWeights!$C$2:$C$15,A24,Fact_PreSortWeights!$B$2:$B$15,B24,Fact_PreSortWeights!$F$2:$F$15,"&lt;&gt;")</f>
        <v>0</v>
      </c>
      <c r="E24" s="0" t="n">
        <f aca="false">SUMIFS(Fact_SortedWeights!$E$2:$E$6,Fact_SortedWeights!$C$2:$C$6,A24,Fact_SortedWeights!$B$2:$B$6,B24,Fact_SortedWeights!$L$2:$L$6,"No")</f>
        <v>0</v>
      </c>
      <c r="F24" s="0" t="n">
        <f aca="false">SUMIFS(Fact_SortedWeights!$E$2:$E$6,Fact_SortedWeights!$C$2:$C$6,A24,Fact_SortedWeights!$B$2:$B$6,B24,Fact_SortedWeights!$L$2:$L$6,"Yes")</f>
        <v>0</v>
      </c>
      <c r="G24" s="0" t="n">
        <f aca="false">E24-C24</f>
        <v>0</v>
      </c>
      <c r="H24" s="0" t="str">
        <f aca="false">IF(C24=0,"n/a",G24/C24)</f>
        <v>n/a</v>
      </c>
      <c r="I24" s="0" t="str">
        <f aca="false">IF(AND(C24=0,E24=0),"no data yet",IF(C24=0,"no presort pool data",IF(E24=0,"NOT YET SORTED",IF(ABS(H24)&gt;0.15,"CHECK &gt;15% variance","OK"))))</f>
        <v>no data yet</v>
      </c>
    </row>
    <row r="25" customFormat="false" ht="15" hidden="false" customHeight="false" outlineLevel="0" collapsed="false">
      <c r="A25" s="0" t="s">
        <v>99</v>
      </c>
      <c r="B25" s="0" t="s">
        <v>106</v>
      </c>
      <c r="C25" s="0" t="s">
        <v>171</v>
      </c>
      <c r="D25" s="0" t="s">
        <v>171</v>
      </c>
      <c r="E25" s="0" t="n">
        <f aca="false">SUMIFS(Fact_SortedWeights!$E$2:$E$6,Fact_SortedWeights!$C$2:$C$6,A25,Fact_SortedWeights!$B$2:$B$6,B25)</f>
        <v>0</v>
      </c>
      <c r="F25" s="0" t="n">
        <f aca="false">SUMIFS(Fact_SortedWeights!$E$2:$E$6,Fact_SortedWeights!$C$2:$C$6,A25,Fact_SortedWeights!$B$2:$B$6,B25,Fact_SortedWeights!$L$2:$L$6,"Yes")</f>
        <v>0</v>
      </c>
      <c r="G25" s="0" t="s">
        <v>171</v>
      </c>
      <c r="H25" s="0" t="s">
        <v>171</v>
      </c>
      <c r="I25" s="0" t="s">
        <v>172</v>
      </c>
    </row>
    <row r="26" customFormat="false" ht="15" hidden="false" customHeight="false" outlineLevel="0" collapsed="false">
      <c r="A26" s="0" t="s">
        <v>99</v>
      </c>
      <c r="B26" s="0" t="s">
        <v>107</v>
      </c>
      <c r="C26" s="0" t="n">
        <f aca="false">SUMIFS(Fact_PreSortWeights!$E$2:$E$15,Fact_PreSortWeights!$C$2:$C$15,A26,Fact_PreSortWeights!$B$2:$B$15,B26,Fact_PreSortWeights!$F$2:$F$15,"")</f>
        <v>0</v>
      </c>
      <c r="D26" s="0" t="n">
        <f aca="false">SUMIFS(Fact_PreSortWeights!$E$2:$E$15,Fact_PreSortWeights!$C$2:$C$15,A26,Fact_PreSortWeights!$B$2:$B$15,B26,Fact_PreSortWeights!$F$2:$F$15,"&lt;&gt;")</f>
        <v>0</v>
      </c>
      <c r="E26" s="0" t="n">
        <f aca="false">SUMIFS(Fact_SortedWeights!$E$2:$E$6,Fact_SortedWeights!$C$2:$C$6,A26,Fact_SortedWeights!$B$2:$B$6,B26,Fact_SortedWeights!$L$2:$L$6,"No")</f>
        <v>0</v>
      </c>
      <c r="F26" s="0" t="n">
        <f aca="false">SUMIFS(Fact_SortedWeights!$E$2:$E$6,Fact_SortedWeights!$C$2:$C$6,A26,Fact_SortedWeights!$B$2:$B$6,B26,Fact_SortedWeights!$L$2:$L$6,"Yes")</f>
        <v>0</v>
      </c>
      <c r="G26" s="0" t="n">
        <f aca="false">E26-C26</f>
        <v>0</v>
      </c>
      <c r="H26" s="0" t="str">
        <f aca="false">IF(C26=0,"n/a",G26/C26)</f>
        <v>n/a</v>
      </c>
      <c r="I26" s="0" t="str">
        <f aca="false">IF(AND(C26=0,E26=0),"no data yet",IF(C26=0,"no presort pool data",IF(E26=0,"NOT YET SORTED",IF(ABS(H26)&gt;0.15,"CHECK &gt;15% variance","OK"))))</f>
        <v>no data yet</v>
      </c>
    </row>
    <row r="27" customFormat="false" ht="15" hidden="false" customHeight="false" outlineLevel="0" collapsed="false">
      <c r="A27" s="0" t="s">
        <v>99</v>
      </c>
      <c r="B27" s="0" t="s">
        <v>108</v>
      </c>
      <c r="C27" s="0" t="n">
        <f aca="false">SUMIFS(Fact_PreSortWeights!$E$2:$E$15,Fact_PreSortWeights!$C$2:$C$15,A27,Fact_PreSortWeights!$B$2:$B$15,B27,Fact_PreSortWeights!$F$2:$F$15,"")</f>
        <v>0</v>
      </c>
      <c r="D27" s="0" t="n">
        <f aca="false">SUMIFS(Fact_PreSortWeights!$E$2:$E$15,Fact_PreSortWeights!$C$2:$C$15,A27,Fact_PreSortWeights!$B$2:$B$15,B27,Fact_PreSortWeights!$F$2:$F$15,"&lt;&gt;")</f>
        <v>0</v>
      </c>
      <c r="E27" s="0" t="n">
        <f aca="false">SUMIFS(Fact_SortedWeights!$E$2:$E$6,Fact_SortedWeights!$C$2:$C$6,A27,Fact_SortedWeights!$B$2:$B$6,B27,Fact_SortedWeights!$L$2:$L$6,"No")</f>
        <v>0</v>
      </c>
      <c r="F27" s="0" t="n">
        <f aca="false">SUMIFS(Fact_SortedWeights!$E$2:$E$6,Fact_SortedWeights!$C$2:$C$6,A27,Fact_SortedWeights!$B$2:$B$6,B27,Fact_SortedWeights!$L$2:$L$6,"Yes")</f>
        <v>0</v>
      </c>
      <c r="G27" s="0" t="n">
        <f aca="false">E27-C27</f>
        <v>0</v>
      </c>
      <c r="H27" s="0" t="str">
        <f aca="false">IF(C27=0,"n/a",G27/C27)</f>
        <v>n/a</v>
      </c>
      <c r="I27" s="0" t="str">
        <f aca="false">IF(AND(C27=0,E27=0),"no data yet",IF(C27=0,"no presort pool data",IF(E27=0,"NOT YET SORTED",IF(ABS(H27)&gt;0.15,"CHECK &gt;15% variance","OK"))))</f>
        <v>no data yet</v>
      </c>
    </row>
    <row r="28" customFormat="false" ht="15" hidden="false" customHeight="false" outlineLevel="0" collapsed="false">
      <c r="A28" s="0" t="s">
        <v>100</v>
      </c>
      <c r="B28" s="0" t="s">
        <v>103</v>
      </c>
      <c r="C28" s="0" t="n">
        <f aca="false">SUMIFS(Fact_PreSortWeights!$E$2:$E$15,Fact_PreSortWeights!$C$2:$C$15,A28,Fact_PreSortWeights!$B$2:$B$15,B28,Fact_PreSortWeights!$F$2:$F$15,"")</f>
        <v>30</v>
      </c>
      <c r="D28" s="0" t="n">
        <f aca="false">SUMIFS(Fact_PreSortWeights!$E$2:$E$15,Fact_PreSortWeights!$C$2:$C$15,A28,Fact_PreSortWeights!$B$2:$B$15,B28,Fact_PreSortWeights!$F$2:$F$15,"&lt;&gt;")</f>
        <v>0</v>
      </c>
      <c r="E28" s="0" t="n">
        <f aca="false">SUMIFS(Fact_SortedWeights!$E$2:$E$6,Fact_SortedWeights!$C$2:$C$6,A28,Fact_SortedWeights!$B$2:$B$6,B28,Fact_SortedWeights!$L$2:$L$6,"No")</f>
        <v>0</v>
      </c>
      <c r="F28" s="0" t="n">
        <f aca="false">SUMIFS(Fact_SortedWeights!$E$2:$E$6,Fact_SortedWeights!$C$2:$C$6,A28,Fact_SortedWeights!$B$2:$B$6,B28,Fact_SortedWeights!$L$2:$L$6,"Yes")</f>
        <v>0</v>
      </c>
      <c r="G28" s="0" t="n">
        <f aca="false">E28-C28</f>
        <v>-30</v>
      </c>
      <c r="H28" s="0" t="n">
        <f aca="false">IF(C28=0,"n/a",G28/C28)</f>
        <v>-1</v>
      </c>
      <c r="I28" s="0" t="str">
        <f aca="false">IF(AND(C28=0,E28=0),"no data yet",IF(C28=0,"no presort pool data",IF(E28=0,"NOT YET SORTED",IF(ABS(H28)&gt;0.15,"CHECK &gt;15% variance","OK"))))</f>
        <v>NOT YET SORTED</v>
      </c>
    </row>
    <row r="29" customFormat="false" ht="15" hidden="false" customHeight="false" outlineLevel="0" collapsed="false">
      <c r="A29" s="0" t="s">
        <v>100</v>
      </c>
      <c r="B29" s="0" t="s">
        <v>104</v>
      </c>
      <c r="C29" s="0" t="n">
        <f aca="false">SUMIFS(Fact_PreSortWeights!$E$2:$E$15,Fact_PreSortWeights!$C$2:$C$15,A29,Fact_PreSortWeights!$B$2:$B$15,B29,Fact_PreSortWeights!$F$2:$F$15,"")</f>
        <v>0</v>
      </c>
      <c r="D29" s="0" t="n">
        <f aca="false">SUMIFS(Fact_PreSortWeights!$E$2:$E$15,Fact_PreSortWeights!$C$2:$C$15,A29,Fact_PreSortWeights!$B$2:$B$15,B29,Fact_PreSortWeights!$F$2:$F$15,"&lt;&gt;")</f>
        <v>0</v>
      </c>
      <c r="E29" s="0" t="n">
        <f aca="false">SUMIFS(Fact_SortedWeights!$E$2:$E$6,Fact_SortedWeights!$C$2:$C$6,A29,Fact_SortedWeights!$B$2:$B$6,B29,Fact_SortedWeights!$L$2:$L$6,"No")</f>
        <v>0</v>
      </c>
      <c r="F29" s="0" t="n">
        <f aca="false">SUMIFS(Fact_SortedWeights!$E$2:$E$6,Fact_SortedWeights!$C$2:$C$6,A29,Fact_SortedWeights!$B$2:$B$6,B29,Fact_SortedWeights!$L$2:$L$6,"Yes")</f>
        <v>0</v>
      </c>
      <c r="G29" s="0" t="n">
        <f aca="false">E29-C29</f>
        <v>0</v>
      </c>
      <c r="H29" s="0" t="str">
        <f aca="false">IF(C29=0,"n/a",G29/C29)</f>
        <v>n/a</v>
      </c>
      <c r="I29" s="0" t="str">
        <f aca="false">IF(AND(C29=0,E29=0),"no data yet",IF(C29=0,"no presort pool data",IF(E29=0,"NOT YET SORTED",IF(ABS(H29)&gt;0.15,"CHECK &gt;15% variance","OK"))))</f>
        <v>no data yet</v>
      </c>
    </row>
    <row r="30" customFormat="false" ht="15" hidden="false" customHeight="false" outlineLevel="0" collapsed="false">
      <c r="A30" s="0" t="s">
        <v>100</v>
      </c>
      <c r="B30" s="0" t="s">
        <v>105</v>
      </c>
      <c r="C30" s="0" t="n">
        <f aca="false">SUMIFS(Fact_PreSortWeights!$E$2:$E$15,Fact_PreSortWeights!$C$2:$C$15,A30,Fact_PreSortWeights!$B$2:$B$15,B30,Fact_PreSortWeights!$F$2:$F$15,"")</f>
        <v>0</v>
      </c>
      <c r="D30" s="0" t="n">
        <f aca="false">SUMIFS(Fact_PreSortWeights!$E$2:$E$15,Fact_PreSortWeights!$C$2:$C$15,A30,Fact_PreSortWeights!$B$2:$B$15,B30,Fact_PreSortWeights!$F$2:$F$15,"&lt;&gt;")</f>
        <v>0</v>
      </c>
      <c r="E30" s="0" t="n">
        <f aca="false">SUMIFS(Fact_SortedWeights!$E$2:$E$6,Fact_SortedWeights!$C$2:$C$6,A30,Fact_SortedWeights!$B$2:$B$6,B30,Fact_SortedWeights!$L$2:$L$6,"No")</f>
        <v>0</v>
      </c>
      <c r="F30" s="0" t="n">
        <f aca="false">SUMIFS(Fact_SortedWeights!$E$2:$E$6,Fact_SortedWeights!$C$2:$C$6,A30,Fact_SortedWeights!$B$2:$B$6,B30,Fact_SortedWeights!$L$2:$L$6,"Yes")</f>
        <v>0</v>
      </c>
      <c r="G30" s="0" t="n">
        <f aca="false">E30-C30</f>
        <v>0</v>
      </c>
      <c r="H30" s="0" t="str">
        <f aca="false">IF(C30=0,"n/a",G30/C30)</f>
        <v>n/a</v>
      </c>
      <c r="I30" s="0" t="str">
        <f aca="false">IF(AND(C30=0,E30=0),"no data yet",IF(C30=0,"no presort pool data",IF(E30=0,"NOT YET SORTED",IF(ABS(H30)&gt;0.15,"CHECK &gt;15% variance","OK"))))</f>
        <v>no data yet</v>
      </c>
    </row>
    <row r="31" customFormat="false" ht="15" hidden="false" customHeight="false" outlineLevel="0" collapsed="false">
      <c r="A31" s="0" t="s">
        <v>100</v>
      </c>
      <c r="B31" s="0" t="s">
        <v>106</v>
      </c>
      <c r="C31" s="0" t="s">
        <v>171</v>
      </c>
      <c r="D31" s="0" t="s">
        <v>171</v>
      </c>
      <c r="E31" s="0" t="n">
        <f aca="false">SUMIFS(Fact_SortedWeights!$E$2:$E$6,Fact_SortedWeights!$C$2:$C$6,A31,Fact_SortedWeights!$B$2:$B$6,B31)</f>
        <v>0</v>
      </c>
      <c r="F31" s="0" t="n">
        <f aca="false">SUMIFS(Fact_SortedWeights!$E$2:$E$6,Fact_SortedWeights!$C$2:$C$6,A31,Fact_SortedWeights!$B$2:$B$6,B31,Fact_SortedWeights!$L$2:$L$6,"Yes")</f>
        <v>0</v>
      </c>
      <c r="G31" s="0" t="s">
        <v>171</v>
      </c>
      <c r="H31" s="0" t="s">
        <v>171</v>
      </c>
      <c r="I31" s="0" t="s">
        <v>172</v>
      </c>
    </row>
    <row r="32" customFormat="false" ht="15" hidden="false" customHeight="false" outlineLevel="0" collapsed="false">
      <c r="A32" s="0" t="s">
        <v>100</v>
      </c>
      <c r="B32" s="0" t="s">
        <v>107</v>
      </c>
      <c r="C32" s="0" t="n">
        <f aca="false">SUMIFS(Fact_PreSortWeights!$E$2:$E$15,Fact_PreSortWeights!$C$2:$C$15,A32,Fact_PreSortWeights!$B$2:$B$15,B32,Fact_PreSortWeights!$F$2:$F$15,"")</f>
        <v>0</v>
      </c>
      <c r="D32" s="0" t="n">
        <f aca="false">SUMIFS(Fact_PreSortWeights!$E$2:$E$15,Fact_PreSortWeights!$C$2:$C$15,A32,Fact_PreSortWeights!$B$2:$B$15,B32,Fact_PreSortWeights!$F$2:$F$15,"&lt;&gt;")</f>
        <v>0</v>
      </c>
      <c r="E32" s="0" t="n">
        <f aca="false">SUMIFS(Fact_SortedWeights!$E$2:$E$6,Fact_SortedWeights!$C$2:$C$6,A32,Fact_SortedWeights!$B$2:$B$6,B32,Fact_SortedWeights!$L$2:$L$6,"No")</f>
        <v>0</v>
      </c>
      <c r="F32" s="0" t="n">
        <f aca="false">SUMIFS(Fact_SortedWeights!$E$2:$E$6,Fact_SortedWeights!$C$2:$C$6,A32,Fact_SortedWeights!$B$2:$B$6,B32,Fact_SortedWeights!$L$2:$L$6,"Yes")</f>
        <v>0</v>
      </c>
      <c r="G32" s="0" t="n">
        <f aca="false">E32-C32</f>
        <v>0</v>
      </c>
      <c r="H32" s="0" t="str">
        <f aca="false">IF(C32=0,"n/a",G32/C32)</f>
        <v>n/a</v>
      </c>
      <c r="I32" s="0" t="str">
        <f aca="false">IF(AND(C32=0,E32=0),"no data yet",IF(C32=0,"no presort pool data",IF(E32=0,"NOT YET SORTED",IF(ABS(H32)&gt;0.15,"CHECK &gt;15% variance","OK"))))</f>
        <v>no data yet</v>
      </c>
    </row>
    <row r="33" customFormat="false" ht="15" hidden="false" customHeight="false" outlineLevel="0" collapsed="false">
      <c r="A33" s="0" t="s">
        <v>100</v>
      </c>
      <c r="B33" s="0" t="s">
        <v>108</v>
      </c>
      <c r="C33" s="0" t="n">
        <f aca="false">SUMIFS(Fact_PreSortWeights!$E$2:$E$15,Fact_PreSortWeights!$C$2:$C$15,A33,Fact_PreSortWeights!$B$2:$B$15,B33,Fact_PreSortWeights!$F$2:$F$15,"")</f>
        <v>0</v>
      </c>
      <c r="D33" s="0" t="n">
        <f aca="false">SUMIFS(Fact_PreSortWeights!$E$2:$E$15,Fact_PreSortWeights!$C$2:$C$15,A33,Fact_PreSortWeights!$B$2:$B$15,B33,Fact_PreSortWeights!$F$2:$F$15,"&lt;&gt;")</f>
        <v>0</v>
      </c>
      <c r="E33" s="0" t="n">
        <f aca="false">SUMIFS(Fact_SortedWeights!$E$2:$E$6,Fact_SortedWeights!$C$2:$C$6,A33,Fact_SortedWeights!$B$2:$B$6,B33,Fact_SortedWeights!$L$2:$L$6,"No")</f>
        <v>0</v>
      </c>
      <c r="F33" s="0" t="n">
        <f aca="false">SUMIFS(Fact_SortedWeights!$E$2:$E$6,Fact_SortedWeights!$C$2:$C$6,A33,Fact_SortedWeights!$B$2:$B$6,B33,Fact_SortedWeights!$L$2:$L$6,"Yes")</f>
        <v>0</v>
      </c>
      <c r="G33" s="0" t="n">
        <f aca="false">E33-C33</f>
        <v>0</v>
      </c>
      <c r="H33" s="0" t="str">
        <f aca="false">IF(C33=0,"n/a",G33/C33)</f>
        <v>n/a</v>
      </c>
      <c r="I33" s="0" t="str">
        <f aca="false">IF(AND(C33=0,E33=0),"no data yet",IF(C33=0,"no presort pool data",IF(E33=0,"NOT YET SORTED",IF(ABS(H33)&gt;0.15,"CHECK &gt;15% variance","OK"))))</f>
        <v>no data yet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