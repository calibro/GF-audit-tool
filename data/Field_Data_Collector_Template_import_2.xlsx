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dit Info" sheetId="1" state="visible" r:id="rId3"/>
    <sheet name="Materials Master" sheetId="2" state="visible" r:id="rId4"/>
    <sheet name="Areas" sheetId="3" state="visible" r:id="rId5"/>
    <sheet name="Streams" sheetId="4" state="visible" r:id="rId6"/>
    <sheet name="Fact_SortedWeights" sheetId="5" state="visible" r:id="rId7"/>
    <sheet name="Fact_PreSortWeights" sheetId="6" state="visible" r:id="rId8"/>
    <sheet name="Fact_Extrapolated" sheetId="7" state="visible" r:id="rId9"/>
    <sheet name="Overall Summary" sheetId="8" state="visible" r:id="rId10"/>
    <sheet name="Cafeteria Summary" sheetId="9" state="visible" r:id="rId11"/>
    <sheet name="Base Building Summary" sheetId="10" state="visible" r:id="rId12"/>
    <sheet name="Notes &amp; Assumptions" sheetId="11" state="visible" r:id="rId13"/>
    <sheet name="QA_Reconciliation" sheetId="12" state="visible" r:id="rId1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<sst xmlns="http://schemas.openxmlformats.org/spreadsheetml/2006/main" count="1481" uniqueCount="131">
  <si>
    <t xml:space="preserve">Audit Info</t>
  </si>
  <si>
    <t xml:space="preserve">Client Name</t>
  </si>
  <si>
    <t xml:space="preserve">Cushman &amp; Wakefield</t>
  </si>
  <si>
    <t xml:space="preserve">Site Name</t>
  </si>
  <si>
    <t xml:space="preserve">730 Third Ave</t>
  </si>
  <si>
    <t xml:space="preserve">Site Address</t>
  </si>
  <si>
    <t xml:space="preserve">730 Third Ave, New York, NY 10017</t>
  </si>
  <si>
    <t xml:space="preserve">Hauler</t>
  </si>
  <si>
    <t xml:space="preserve">Tenant/Area Breakouts</t>
  </si>
  <si>
    <t xml:space="preserve">Cafeteria, Base Building</t>
  </si>
  <si>
    <t xml:space="preserve">Auditors</t>
  </si>
  <si>
    <t xml:space="preserve">Great Forest — Inga Guliyeva, Emilie Fuchs</t>
  </si>
  <si>
    <t xml:space="preserve">Audit Date</t>
  </si>
  <si>
    <t xml:space="preserve">2025-07-15</t>
  </si>
  <si>
    <t xml:space="preserve">Site Occupancy</t>
  </si>
  <si>
    <t xml:space="preserve">Source</t>
  </si>
  <si>
    <t xml:space="preserve">Collected via tablet field form</t>
  </si>
  <si>
    <t xml:space="preserve">material_id</t>
  </si>
  <si>
    <t xml:space="preserve">material_name</t>
  </si>
  <si>
    <t xml:space="preserve">material_category</t>
  </si>
  <si>
    <t xml:space="preserve">currently_divertible</t>
  </si>
  <si>
    <t xml:space="preserve">accepted_in_program</t>
  </si>
  <si>
    <t xml:space="preserve">target: Trash</t>
  </si>
  <si>
    <t xml:space="preserve">target: GMPC Recycling</t>
  </si>
  <si>
    <t xml:space="preserve">target: Organics Recycling</t>
  </si>
  <si>
    <t xml:space="preserve">target: Cardboard Recycling</t>
  </si>
  <si>
    <t xml:space="preserve">target: Paper Recycling</t>
  </si>
  <si>
    <t xml:space="preserve">target: Terracycle</t>
  </si>
  <si>
    <t xml:space="preserve">FIB01</t>
  </si>
  <si>
    <t xml:space="preserve">Corrugated Cardboard</t>
  </si>
  <si>
    <t xml:space="preserve">Fibers</t>
  </si>
  <si>
    <t xml:space="preserve">Yes</t>
  </si>
  <si>
    <t xml:space="preserve">No</t>
  </si>
  <si>
    <t xml:space="preserve">FIB02</t>
  </si>
  <si>
    <t xml:space="preserve">Waxed Cardboard</t>
  </si>
  <si>
    <t xml:space="preserve">FIB03</t>
  </si>
  <si>
    <t xml:space="preserve">Mixed Paper</t>
  </si>
  <si>
    <t xml:space="preserve">FIB04</t>
  </si>
  <si>
    <t xml:space="preserve">Gable-top &amp; Aseptic Cartons</t>
  </si>
  <si>
    <t xml:space="preserve">FIB05</t>
  </si>
  <si>
    <t xml:space="preserve">Other Coated Paper Containers</t>
  </si>
  <si>
    <t xml:space="preserve">GLA01</t>
  </si>
  <si>
    <t xml:space="preserve">Glass Bottles &amp; Jars</t>
  </si>
  <si>
    <t xml:space="preserve">Glass</t>
  </si>
  <si>
    <t xml:space="preserve">GLA02</t>
  </si>
  <si>
    <t xml:space="preserve">Broken Glass</t>
  </si>
  <si>
    <t xml:space="preserve">MET01</t>
  </si>
  <si>
    <t xml:space="preserve">Aluminum &amp; Bi-metal Containers</t>
  </si>
  <si>
    <t xml:space="preserve">Metals</t>
  </si>
  <si>
    <t xml:space="preserve">MET02</t>
  </si>
  <si>
    <t xml:space="preserve">Metal Hangers</t>
  </si>
  <si>
    <t xml:space="preserve">PLA01</t>
  </si>
  <si>
    <t xml:space="preserve">Rigid Plastics (1-6)</t>
  </si>
  <si>
    <t xml:space="preserve">Plastics</t>
  </si>
  <si>
    <t xml:space="preserve">PLA02</t>
  </si>
  <si>
    <t xml:space="preserve">Soiled Rigid Plastics</t>
  </si>
  <si>
    <t xml:space="preserve">PLA03</t>
  </si>
  <si>
    <t xml:space="preserve">Film Plastics</t>
  </si>
  <si>
    <t xml:space="preserve">PLA04</t>
  </si>
  <si>
    <t xml:space="preserve">Waste Disposal Bags</t>
  </si>
  <si>
    <t xml:space="preserve">ORG01</t>
  </si>
  <si>
    <t xml:space="preserve">Food Waste</t>
  </si>
  <si>
    <t xml:space="preserve">Organics</t>
  </si>
  <si>
    <t xml:space="preserve">ORG02</t>
  </si>
  <si>
    <t xml:space="preserve">Paper Fibers and FSP</t>
  </si>
  <si>
    <t xml:space="preserve">ORG03</t>
  </si>
  <si>
    <t xml:space="preserve">Certified Compostables</t>
  </si>
  <si>
    <t xml:space="preserve">UNA01</t>
  </si>
  <si>
    <t xml:space="preserve">Textiles</t>
  </si>
  <si>
    <t xml:space="preserve">Unacceptable</t>
  </si>
  <si>
    <t xml:space="preserve">UNA02</t>
  </si>
  <si>
    <t xml:space="preserve">Liquids</t>
  </si>
  <si>
    <t xml:space="preserve">OTH01</t>
  </si>
  <si>
    <t xml:space="preserve">Residual Materials</t>
  </si>
  <si>
    <t xml:space="preserve">Other</t>
  </si>
  <si>
    <t xml:space="preserve">area_id</t>
  </si>
  <si>
    <t xml:space="preserve">area_name</t>
  </si>
  <si>
    <t xml:space="preserve">rollup_group</t>
  </si>
  <si>
    <t xml:space="preserve">CAFETERIA</t>
  </si>
  <si>
    <t xml:space="preserve">Cafeteria</t>
  </si>
  <si>
    <t xml:space="preserve">BASE_BLDG</t>
  </si>
  <si>
    <t xml:space="preserve">Base Building</t>
  </si>
  <si>
    <t xml:space="preserve">stream_name</t>
  </si>
  <si>
    <t xml:space="preserve">Trash</t>
  </si>
  <si>
    <t xml:space="preserve">GMPC Recycling</t>
  </si>
  <si>
    <t xml:space="preserve">Organics Recycling</t>
  </si>
  <si>
    <t xml:space="preserve">Cardboard Recycling</t>
  </si>
  <si>
    <t xml:space="preserve">Paper Recycling</t>
  </si>
  <si>
    <t xml:space="preserve">Terracycle</t>
  </si>
  <si>
    <t xml:space="preserve">audit_id</t>
  </si>
  <si>
    <t xml:space="preserve">stream</t>
  </si>
  <si>
    <t xml:space="preserve">area</t>
  </si>
  <si>
    <t xml:space="preserve">weight_lbs</t>
  </si>
  <si>
    <t xml:space="preserve">belongs_here</t>
  </si>
  <si>
    <t xml:space="preserve">notes</t>
  </si>
  <si>
    <t xml:space="preserve">120PARK-2025</t>
  </si>
  <si>
    <t xml:space="preserve">bag_number</t>
  </si>
  <si>
    <t xml:space="preserve">extrapolated_weight_lbs</t>
  </si>
  <si>
    <t xml:space="preserve">correctly_placed</t>
  </si>
  <si>
    <t xml:space="preserve">Total Waste Generation — Day of Audit</t>
  </si>
  <si>
    <t xml:space="preserve">Waste Stream</t>
  </si>
  <si>
    <t xml:space="preserve">Waste Stream Weight (lbs.)</t>
  </si>
  <si>
    <t xml:space="preserve">% of Total Waste Stream</t>
  </si>
  <si>
    <t xml:space="preserve">Weight of Material Diverted (lbs.)</t>
  </si>
  <si>
    <t xml:space="preserve">% of Material Diverted</t>
  </si>
  <si>
    <t xml:space="preserve">Total</t>
  </si>
  <si>
    <t xml:space="preserve">Waste Stream Breakdown — by Material Type</t>
  </si>
  <si>
    <t xml:space="preserve">Material Type Category</t>
  </si>
  <si>
    <t xml:space="preserve">Material Type</t>
  </si>
  <si>
    <t xml:space="preserve">Total Material Type Weight (lbs.)</t>
  </si>
  <si>
    <t xml:space="preserve">Currently Divertible?</t>
  </si>
  <si>
    <t xml:space="preserve">Total Waste Consumption</t>
  </si>
  <si>
    <t xml:space="preserve">Unsorted (not broken down by material)</t>
  </si>
  <si>
    <t xml:space="preserve">Waste Stream Contamination</t>
  </si>
  <si>
    <t xml:space="preserve">Generation Area</t>
  </si>
  <si>
    <t xml:space="preserve">Current v Potential Diversion</t>
  </si>
  <si>
    <t xml:space="preserve">Current Diversion Rate</t>
  </si>
  <si>
    <t xml:space="preserve">Potential Diversion Rate</t>
  </si>
  <si>
    <t xml:space="preserve">Current v Potential (Percentage Point) Gap</t>
  </si>
  <si>
    <t xml:space="preserve">Notes &amp; Assumptions</t>
  </si>
  <si>
    <t xml:space="preserve">Total Waste Generation reflects the full pre-sort weight for each stream — everything that went on the scale — not just the portion that was hand-sorted into materials. The material breakdown is extrapolated: whatever percentage each material represented in the sorted sample is applied to the full pre-sort weight for that area/stream.</t>
  </si>
  <si>
    <t xml:space="preserve">Cardboard Recycling is weighed loose rather than bagged, so its "pre-sort total" is the same as its sorted total (100% sorted by definition, no extrapolation needed).</t>
  </si>
  <si>
    <t xml:space="preserve">GMPC Recycling, Cardboard Recycling, and Paper Recycling are treated as the same underlying dry-recyclables program for contamination purposes (collected differently — bagged vs. loose — but processed together) — a recyclable found in any of the three is not counted as contamination. Terracycle is a separate specialty program with its own accepted materials.</t>
  </si>
  <si>
    <t xml:space="preserve">Any area with pre-sort weight but zero sorted-material rows (nothing was hand-sorted there) is reported as its own "[Area] Waste" line rather than folded into a stream it was never actually sorted into.</t>
  </si>
  <si>
    <t xml:space="preserve">"Currently Divertible?" is pulled live from the Materials Master tab for this site’s specific recycling program, so it stays consistent across every summary sheet automatically.</t>
  </si>
  <si>
    <t xml:space="preserve">QA — Pre-sort bag weights vs. sorted material weights</t>
  </si>
  <si>
    <t xml:space="preserve">presort_total_lbs</t>
  </si>
  <si>
    <t xml:space="preserve">sorted_total_lbs</t>
  </si>
  <si>
    <t xml:space="preserve">variance_lbs</t>
  </si>
  <si>
    <t xml:space="preserve">variance_pct</t>
  </si>
  <si>
    <t xml:space="preserve">flag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</si>
</sst>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/>
    <row r="3" customFormat="false" ht="15" hidden="false" customHeight="false" outlineLevel="0" collapsed="false">
      <c r="A3" s="0" t="s">
        <v>1</v>
      </c>
      <c r="B3" s="0" t="s">
        <v>2</v>
      </c>
    </row>
    <row r="4" customFormat="false" ht="15" hidden="false" customHeight="false" outlineLevel="0" collapsed="false">
      <c r="A4" s="0" t="s">
        <v>3</v>
      </c>
      <c r="B4" s="0" t="s">
        <v>4</v>
      </c>
    </row>
    <row r="5" customFormat="false" ht="15" hidden="false" customHeight="false" outlineLevel="0" collapsed="false">
      <c r="A5" s="0" t="s">
        <v>5</v>
      </c>
      <c r="B5" s="0" t="s">
        <v>6</v>
      </c>
    </row>
    <row r="6" customFormat="false" ht="15" hidden="false" customHeight="false" outlineLevel="0" collapsed="false">
      <c r="A6" s="0" t="s">
        <v>7</v>
      </c>
    </row>
    <row r="7" customFormat="false" ht="15" hidden="false" customHeight="false" outlineLevel="0" collapsed="false">
      <c r="A7" s="0" t="s">
        <v>8</v>
      </c>
      <c r="B7" s="0" t="s">
        <v>9</v>
      </c>
    </row>
    <row r="8" customFormat="false" ht="15" hidden="false" customHeight="false" outlineLevel="0" collapsed="false">
      <c r="A8" s="0" t="s">
        <v>10</v>
      </c>
      <c r="B8" s="0" t="s">
        <v>11</v>
      </c>
    </row>
    <row r="9" customFormat="false" ht="15" hidden="false" customHeight="false" outlineLevel="0" collapsed="false">
      <c r="A9" s="0" t="s">
        <v>12</v>
      </c>
      <c r="B9" s="0" t="s">
        <v>13</v>
      </c>
    </row>
    <row r="10" customFormat="false" ht="15" hidden="false" customHeight="false" outlineLevel="0" collapsed="false">
      <c r="A10" s="0" t="s">
        <v>14</v>
      </c>
    </row>
    <row r="11" customFormat="false" ht="15" hidden="false" customHeight="false" outlineLevel="0" collapsed="false">
      <c r="A11" s="0" t="s">
        <v>15</v>
      </c>
      <c r="B11" s="0" t="s">
        <v>16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5" hidden="false" customHeight="false" outlineLevel="0" collapsed="false">
      <c r="A1" s="0" t="s">
        <v>17</v>
      </c>
      <c r="B1" s="0" t="s">
        <v>18</v>
      </c>
      <c r="C1" s="0" t="s">
        <v>19</v>
      </c>
      <c r="D1" s="0" t="s">
        <v>20</v>
      </c>
      <c r="E1" s="0" t="s">
        <v>21</v>
      </c>
      <c r="F1" s="0" t="s">
        <v>22</v>
      </c>
      <c r="G1" s="0" t="s">
        <v>23</v>
      </c>
      <c r="H1" s="0" t="s">
        <v>24</v>
      </c>
      <c r="I1" s="0" t="s">
        <v>25</v>
      </c>
      <c r="J1" s="0" t="s">
        <v>26</v>
      </c>
      <c r="K1" s="0" t="s">
        <v>27</v>
      </c>
    </row>
    <row r="2" customFormat="false" ht="15" hidden="false" customHeight="false" outlineLevel="0" collapsed="false">
      <c r="A2" s="0" t="s">
        <v>28</v>
      </c>
      <c r="B2" s="0" t="s">
        <v>29</v>
      </c>
      <c r="C2" s="0" t="s">
        <v>30</v>
      </c>
      <c r="D2" s="0" t="s">
        <v>31</v>
      </c>
      <c r="E2" s="0" t="s">
        <v>31</v>
      </c>
      <c r="F2" s="0" t="s">
        <v>32</v>
      </c>
      <c r="G2" s="0" t="s">
        <v>31</v>
      </c>
      <c r="H2" s="0" t="s">
        <v>32</v>
      </c>
      <c r="I2" s="0" t="s">
        <v>31</v>
      </c>
      <c r="J2" s="0" t="s">
        <v>32</v>
      </c>
      <c r="K2" s="0" t="s">
        <v>32</v>
      </c>
    </row>
    <row r="3" customFormat="false" ht="15" hidden="false" customHeight="false" outlineLevel="0" collapsed="false">
      <c r="A3" s="0" t="s">
        <v>33</v>
      </c>
      <c r="B3" s="0" t="s">
        <v>34</v>
      </c>
      <c r="C3" s="0" t="s">
        <v>30</v>
      </c>
      <c r="D3" s="0" t="s">
        <v>32</v>
      </c>
      <c r="E3" s="0" t="s">
        <v>32</v>
      </c>
      <c r="F3" s="0" t="s">
        <v>31</v>
      </c>
      <c r="G3" s="0" t="s">
        <v>32</v>
      </c>
      <c r="H3" s="0" t="s">
        <v>32</v>
      </c>
      <c r="I3" s="0" t="s">
        <v>32</v>
      </c>
      <c r="J3" s="0" t="s">
        <v>32</v>
      </c>
      <c r="K3" s="0" t="s">
        <v>32</v>
      </c>
    </row>
    <row r="4" customFormat="false" ht="15" hidden="false" customHeight="false" outlineLevel="0" collapsed="false">
      <c r="A4" s="0" t="s">
        <v>35</v>
      </c>
      <c r="B4" s="0" t="s">
        <v>36</v>
      </c>
      <c r="C4" s="0" t="s">
        <v>30</v>
      </c>
      <c r="D4" s="0" t="s">
        <v>31</v>
      </c>
      <c r="E4" s="0" t="s">
        <v>31</v>
      </c>
      <c r="F4" s="0" t="s">
        <v>32</v>
      </c>
      <c r="G4" s="0" t="s">
        <v>31</v>
      </c>
      <c r="H4" s="0" t="s">
        <v>31</v>
      </c>
      <c r="I4" s="0" t="s">
        <v>32</v>
      </c>
      <c r="J4" s="0" t="s">
        <v>32</v>
      </c>
      <c r="K4" s="0" t="s">
        <v>32</v>
      </c>
    </row>
    <row r="5" customFormat="false" ht="15" hidden="false" customHeight="false" outlineLevel="0" collapsed="false">
      <c r="A5" s="0" t="s">
        <v>37</v>
      </c>
      <c r="B5" s="0" t="s">
        <v>38</v>
      </c>
      <c r="C5" s="0" t="s">
        <v>30</v>
      </c>
      <c r="D5" s="0" t="s">
        <v>31</v>
      </c>
      <c r="E5" s="0" t="s">
        <v>31</v>
      </c>
      <c r="F5" s="0" t="s">
        <v>32</v>
      </c>
      <c r="G5" s="0" t="s">
        <v>31</v>
      </c>
      <c r="H5" s="0" t="s">
        <v>32</v>
      </c>
      <c r="I5" s="0" t="s">
        <v>32</v>
      </c>
      <c r="J5" s="0" t="s">
        <v>32</v>
      </c>
      <c r="K5" s="0" t="s">
        <v>32</v>
      </c>
    </row>
    <row r="6" customFormat="false" ht="15" hidden="false" customHeight="false" outlineLevel="0" collapsed="false">
      <c r="A6" s="0" t="s">
        <v>39</v>
      </c>
      <c r="B6" s="0" t="s">
        <v>40</v>
      </c>
      <c r="C6" s="0" t="s">
        <v>30</v>
      </c>
      <c r="D6" s="0" t="s">
        <v>32</v>
      </c>
      <c r="E6" s="0" t="s">
        <v>32</v>
      </c>
      <c r="F6" s="0" t="s">
        <v>31</v>
      </c>
      <c r="G6" s="0" t="s">
        <v>32</v>
      </c>
      <c r="H6" s="0" t="s">
        <v>32</v>
      </c>
      <c r="I6" s="0" t="s">
        <v>32</v>
      </c>
      <c r="J6" s="0" t="s">
        <v>32</v>
      </c>
      <c r="K6" s="0" t="s">
        <v>32</v>
      </c>
    </row>
    <row r="7" customFormat="false" ht="15" hidden="false" customHeight="false" outlineLevel="0" collapsed="false">
      <c r="A7" s="0" t="s">
        <v>41</v>
      </c>
      <c r="B7" s="0" t="s">
        <v>42</v>
      </c>
      <c r="C7" s="0" t="s">
        <v>43</v>
      </c>
      <c r="D7" s="0" t="s">
        <v>31</v>
      </c>
      <c r="E7" s="0" t="s">
        <v>31</v>
      </c>
      <c r="F7" s="0" t="s">
        <v>32</v>
      </c>
      <c r="G7" s="0" t="s">
        <v>31</v>
      </c>
      <c r="H7" s="0" t="s">
        <v>32</v>
      </c>
      <c r="I7" s="0" t="s">
        <v>32</v>
      </c>
      <c r="J7" s="0" t="s">
        <v>32</v>
      </c>
      <c r="K7" s="0" t="s">
        <v>32</v>
      </c>
    </row>
    <row r="8" customFormat="false" ht="15" hidden="false" customHeight="false" outlineLevel="0" collapsed="false">
      <c r="A8" s="0" t="s">
        <v>44</v>
      </c>
      <c r="B8" s="0" t="s">
        <v>45</v>
      </c>
      <c r="C8" s="0" t="s">
        <v>43</v>
      </c>
      <c r="D8" s="0" t="s">
        <v>32</v>
      </c>
      <c r="E8" s="0" t="s">
        <v>32</v>
      </c>
      <c r="F8" s="0" t="s">
        <v>31</v>
      </c>
      <c r="G8" s="0" t="s">
        <v>32</v>
      </c>
      <c r="H8" s="0" t="s">
        <v>32</v>
      </c>
      <c r="I8" s="0" t="s">
        <v>32</v>
      </c>
      <c r="J8" s="0" t="s">
        <v>32</v>
      </c>
      <c r="K8" s="0" t="s">
        <v>32</v>
      </c>
    </row>
    <row r="9" customFormat="false" ht="15" hidden="false" customHeight="false" outlineLevel="0" collapsed="false">
      <c r="A9" s="0" t="s">
        <v>46</v>
      </c>
      <c r="B9" s="0" t="s">
        <v>47</v>
      </c>
      <c r="C9" s="0" t="s">
        <v>48</v>
      </c>
      <c r="D9" s="0" t="s">
        <v>31</v>
      </c>
      <c r="E9" s="0" t="s">
        <v>31</v>
      </c>
      <c r="F9" s="0" t="s">
        <v>32</v>
      </c>
      <c r="G9" s="0" t="s">
        <v>31</v>
      </c>
      <c r="H9" s="0" t="s">
        <v>32</v>
      </c>
      <c r="I9" s="0" t="s">
        <v>32</v>
      </c>
      <c r="J9" s="0" t="s">
        <v>32</v>
      </c>
      <c r="K9" s="0" t="s">
        <v>32</v>
      </c>
    </row>
    <row r="10" customFormat="false" ht="15" hidden="false" customHeight="false" outlineLevel="0" collapsed="false">
      <c r="A10" s="0" t="s">
        <v>49</v>
      </c>
      <c r="B10" s="0" t="s">
        <v>50</v>
      </c>
      <c r="C10" s="0" t="s">
        <v>48</v>
      </c>
      <c r="D10" s="0" t="s">
        <v>32</v>
      </c>
      <c r="E10" s="0" t="s">
        <v>32</v>
      </c>
      <c r="F10" s="0" t="s">
        <v>31</v>
      </c>
      <c r="G10" s="0" t="s">
        <v>32</v>
      </c>
      <c r="H10" s="0" t="s">
        <v>32</v>
      </c>
      <c r="I10" s="0" t="s">
        <v>32</v>
      </c>
      <c r="J10" s="0" t="s">
        <v>32</v>
      </c>
      <c r="K10" s="0" t="s">
        <v>32</v>
      </c>
    </row>
    <row r="11" customFormat="false" ht="15" hidden="false" customHeight="false" outlineLevel="0" collapsed="false">
      <c r="A11" s="0" t="s">
        <v>51</v>
      </c>
      <c r="B11" s="0" t="s">
        <v>52</v>
      </c>
      <c r="C11" s="0" t="s">
        <v>53</v>
      </c>
      <c r="D11" s="0" t="s">
        <v>31</v>
      </c>
      <c r="E11" s="0" t="s">
        <v>31</v>
      </c>
      <c r="F11" s="0" t="s">
        <v>32</v>
      </c>
      <c r="G11" s="0" t="s">
        <v>31</v>
      </c>
      <c r="H11" s="0" t="s">
        <v>32</v>
      </c>
      <c r="I11" s="0" t="s">
        <v>32</v>
      </c>
      <c r="J11" s="0" t="s">
        <v>32</v>
      </c>
      <c r="K11" s="0" t="s">
        <v>32</v>
      </c>
    </row>
    <row r="12" customFormat="false" ht="15" hidden="false" customHeight="false" outlineLevel="0" collapsed="false">
      <c r="A12" s="0" t="s">
        <v>54</v>
      </c>
      <c r="B12" s="0" t="s">
        <v>55</v>
      </c>
      <c r="C12" s="0" t="s">
        <v>53</v>
      </c>
      <c r="D12" s="0" t="s">
        <v>32</v>
      </c>
      <c r="E12" s="0" t="s">
        <v>32</v>
      </c>
      <c r="F12" s="0" t="s">
        <v>31</v>
      </c>
      <c r="G12" s="0" t="s">
        <v>32</v>
      </c>
      <c r="H12" s="0" t="s">
        <v>32</v>
      </c>
      <c r="I12" s="0" t="s">
        <v>32</v>
      </c>
      <c r="J12" s="0" t="s">
        <v>32</v>
      </c>
      <c r="K12" s="0" t="s">
        <v>32</v>
      </c>
    </row>
    <row r="13" customFormat="false" ht="15" hidden="false" customHeight="false" outlineLevel="0" collapsed="false">
      <c r="A13" s="0" t="s">
        <v>56</v>
      </c>
      <c r="B13" s="0" t="s">
        <v>57</v>
      </c>
      <c r="C13" s="0" t="s">
        <v>53</v>
      </c>
      <c r="D13" s="0" t="s">
        <v>32</v>
      </c>
      <c r="E13" s="0" t="s">
        <v>32</v>
      </c>
      <c r="F13" s="0" t="s">
        <v>31</v>
      </c>
      <c r="G13" s="0" t="s">
        <v>32</v>
      </c>
      <c r="H13" s="0" t="s">
        <v>32</v>
      </c>
      <c r="I13" s="0" t="s">
        <v>32</v>
      </c>
      <c r="J13" s="0" t="s">
        <v>32</v>
      </c>
      <c r="K13" s="0" t="s">
        <v>32</v>
      </c>
    </row>
    <row r="14" customFormat="false" ht="15" hidden="false" customHeight="false" outlineLevel="0" collapsed="false">
      <c r="A14" s="0" t="s">
        <v>58</v>
      </c>
      <c r="B14" s="0" t="s">
        <v>59</v>
      </c>
      <c r="C14" s="0" t="s">
        <v>53</v>
      </c>
      <c r="D14" s="0" t="s">
        <v>32</v>
      </c>
      <c r="E14" s="0" t="s">
        <v>32</v>
      </c>
      <c r="F14" s="0" t="s">
        <v>31</v>
      </c>
      <c r="G14" s="0" t="s">
        <v>32</v>
      </c>
      <c r="H14" s="0" t="s">
        <v>32</v>
      </c>
      <c r="I14" s="0" t="s">
        <v>32</v>
      </c>
      <c r="J14" s="0" t="s">
        <v>32</v>
      </c>
      <c r="K14" s="0" t="s">
        <v>32</v>
      </c>
    </row>
    <row r="15" customFormat="false" ht="15" hidden="false" customHeight="false" outlineLevel="0" collapsed="false">
      <c r="A15" s="0" t="s">
        <v>60</v>
      </c>
      <c r="B15" s="0" t="s">
        <v>61</v>
      </c>
      <c r="C15" s="0" t="s">
        <v>62</v>
      </c>
      <c r="D15" s="0" t="s">
        <v>32</v>
      </c>
      <c r="E15" s="0" t="s">
        <v>31</v>
      </c>
      <c r="F15" s="0" t="s">
        <v>32</v>
      </c>
      <c r="G15" s="0" t="s">
        <v>32</v>
      </c>
      <c r="H15" s="0" t="s">
        <v>31</v>
      </c>
      <c r="I15" s="0" t="s">
        <v>32</v>
      </c>
      <c r="J15" s="0" t="s">
        <v>32</v>
      </c>
      <c r="K15" s="0" t="s">
        <v>32</v>
      </c>
    </row>
    <row r="16" customFormat="false" ht="15" hidden="false" customHeight="false" outlineLevel="0" collapsed="false">
      <c r="A16" s="0" t="s">
        <v>63</v>
      </c>
      <c r="B16" s="0" t="s">
        <v>64</v>
      </c>
      <c r="C16" s="0" t="s">
        <v>62</v>
      </c>
      <c r="D16" s="0" t="s">
        <v>32</v>
      </c>
      <c r="E16" s="0" t="s">
        <v>32</v>
      </c>
      <c r="F16" s="0" t="s">
        <v>31</v>
      </c>
      <c r="G16" s="0" t="s">
        <v>32</v>
      </c>
      <c r="H16" s="0" t="s">
        <v>32</v>
      </c>
      <c r="I16" s="0" t="s">
        <v>32</v>
      </c>
      <c r="J16" s="0" t="s">
        <v>32</v>
      </c>
      <c r="K16" s="0" t="s">
        <v>32</v>
      </c>
    </row>
    <row r="17" customFormat="false" ht="15" hidden="false" customHeight="false" outlineLevel="0" collapsed="false">
      <c r="A17" s="0" t="s">
        <v>65</v>
      </c>
      <c r="B17" s="0" t="s">
        <v>66</v>
      </c>
      <c r="C17" s="0" t="s">
        <v>62</v>
      </c>
      <c r="D17" s="0" t="s">
        <v>32</v>
      </c>
      <c r="E17" s="0" t="s">
        <v>32</v>
      </c>
      <c r="F17" s="0" t="s">
        <v>31</v>
      </c>
      <c r="G17" s="0" t="s">
        <v>32</v>
      </c>
      <c r="H17" s="0" t="s">
        <v>32</v>
      </c>
      <c r="I17" s="0" t="s">
        <v>32</v>
      </c>
      <c r="J17" s="0" t="s">
        <v>32</v>
      </c>
      <c r="K17" s="0" t="s">
        <v>32</v>
      </c>
    </row>
    <row r="18" customFormat="false" ht="15" hidden="false" customHeight="false" outlineLevel="0" collapsed="false">
      <c r="A18" s="0" t="s">
        <v>67</v>
      </c>
      <c r="B18" s="0" t="s">
        <v>68</v>
      </c>
      <c r="C18" s="0" t="s">
        <v>69</v>
      </c>
      <c r="D18" s="0" t="s">
        <v>69</v>
      </c>
      <c r="E18" s="0" t="s">
        <v>32</v>
      </c>
      <c r="F18" s="0" t="s">
        <v>31</v>
      </c>
      <c r="G18" s="0" t="s">
        <v>32</v>
      </c>
      <c r="H18" s="0" t="s">
        <v>32</v>
      </c>
      <c r="I18" s="0" t="s">
        <v>32</v>
      </c>
      <c r="J18" s="0" t="s">
        <v>32</v>
      </c>
      <c r="K18" s="0" t="s">
        <v>32</v>
      </c>
    </row>
    <row r="19" customFormat="false" ht="15" hidden="false" customHeight="false" outlineLevel="0" collapsed="false">
      <c r="A19" s="0" t="s">
        <v>70</v>
      </c>
      <c r="B19" s="0" t="s">
        <v>71</v>
      </c>
      <c r="C19" s="0" t="s">
        <v>69</v>
      </c>
      <c r="D19" s="0" t="s">
        <v>69</v>
      </c>
      <c r="E19" s="0" t="s">
        <v>32</v>
      </c>
      <c r="F19" s="0" t="s">
        <v>31</v>
      </c>
      <c r="G19" s="0" t="s">
        <v>32</v>
      </c>
      <c r="H19" s="0" t="s">
        <v>32</v>
      </c>
      <c r="I19" s="0" t="s">
        <v>32</v>
      </c>
      <c r="J19" s="0" t="s">
        <v>32</v>
      </c>
      <c r="K19" s="0" t="s">
        <v>32</v>
      </c>
    </row>
    <row r="20" customFormat="false" ht="15" hidden="false" customHeight="false" outlineLevel="0" collapsed="false">
      <c r="A20" s="0" t="s">
        <v>72</v>
      </c>
      <c r="B20" s="0" t="s">
        <v>73</v>
      </c>
      <c r="C20" s="0" t="s">
        <v>74</v>
      </c>
      <c r="D20" s="0" t="s">
        <v>32</v>
      </c>
      <c r="E20" s="0" t="s">
        <v>32</v>
      </c>
      <c r="F20" s="0" t="s">
        <v>31</v>
      </c>
      <c r="G20" s="0" t="s">
        <v>32</v>
      </c>
      <c r="H20" s="0" t="s">
        <v>32</v>
      </c>
      <c r="I20" s="0" t="s">
        <v>32</v>
      </c>
      <c r="J20" s="0" t="s">
        <v>32</v>
      </c>
      <c r="K20" s="0" t="s">
        <v>32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5" hidden="false" customHeight="false" outlineLevel="0" collapsed="false">
      <c r="A1" s="0" t="s">
        <v>75</v>
      </c>
      <c r="B1" s="0" t="s">
        <v>76</v>
      </c>
      <c r="C1" s="0" t="s">
        <v>77</v>
      </c>
    </row>
    <row r="2" customFormat="false" ht="15" hidden="false" customHeight="false" outlineLevel="0" collapsed="false">
      <c r="A2" s="0" t="s">
        <v>78</v>
      </c>
      <c r="B2" s="0" t="s">
        <v>79</v>
      </c>
      <c r="C2" s="0" t="s">
        <v>79</v>
      </c>
    </row>
    <row r="3" customFormat="false" ht="15" hidden="false" customHeight="false" outlineLevel="0" collapsed="false">
      <c r="A3" s="0" t="s">
        <v>80</v>
      </c>
      <c r="B3" s="0" t="s">
        <v>81</v>
      </c>
      <c r="C3" s="0" t="s">
        <v>81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5" hidden="false" customHeight="false" outlineLevel="0" collapsed="false">
      <c r="A1" s="0" t="s">
        <v>82</v>
      </c>
    </row>
    <row r="2" customFormat="false" ht="15" hidden="false" customHeight="false" outlineLevel="0" collapsed="false">
      <c r="A2" s="0" t="s">
        <v>83</v>
      </c>
    </row>
    <row r="3" customFormat="false" ht="15" hidden="false" customHeight="false" outlineLevel="0" collapsed="false">
      <c r="A3" s="0" t="s">
        <v>84</v>
      </c>
    </row>
    <row r="4" customFormat="false" ht="15" hidden="false" customHeight="false" outlineLevel="0" collapsed="false">
      <c r="A4" s="0" t="s">
        <v>85</v>
      </c>
    </row>
    <row r="5" customFormat="false" ht="15" hidden="false" customHeight="false" outlineLevel="0" collapsed="false">
      <c r="A5" s="0" t="s">
        <v>86</v>
      </c>
    </row>
    <row r="6" customFormat="false" ht="15" hidden="false" customHeight="false" outlineLevel="0" collapsed="false">
      <c r="A6" s="0" t="s">
        <v>87</v>
      </c>
    </row>
    <row r="7" customFormat="false" ht="15" hidden="false" customHeight="false" outlineLevel="0" collapsed="false">
      <c r="A7" s="0" t="s">
        <v>88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5" hidden="false" customHeight="false" outlineLevel="0" collapsed="false">
      <c r="A1" s="0" t="s">
        <v>89</v>
      </c>
      <c r="B1" s="0" t="s">
        <v>90</v>
      </c>
      <c r="C1" s="0" t="s">
        <v>91</v>
      </c>
      <c r="D1" s="0" t="s">
        <v>17</v>
      </c>
      <c r="E1" s="0" t="s">
        <v>92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93</v>
      </c>
      <c r="K1" s="0" t="s">
        <v>77</v>
      </c>
      <c r="L1" s="0" t="s">
        <v>94</v>
      </c>
    </row>
    <row r="2" customFormat="false" ht="15" hidden="false" customHeight="false" outlineLevel="0" collapsed="false">
      <c r="A2" s="0" t="s">
        <v>95</v>
      </c>
      <c r="B2" s="0" t="s">
        <v>83</v>
      </c>
      <c r="C2" s="0" t="s">
        <v>79</v>
      </c>
      <c r="D2" s="0" t="s">
        <v>35</v>
      </c>
      <c r="E2" s="0" t="n">
        <v>4.69</v>
      </c>
      <c r="F2" s="0" t="str">
        <f aca="false">IFERROR(INDEX('Materials Master'!$B$2:$B$20,MATCH(D2,'Materials Master'!$A$2:$A$20,0)),"")</f>
        <v>Mixed Paper</v>
      </c>
      <c r="G2" s="0" t="str">
        <f aca="false">IFERROR(INDEX('Materials Master'!$C$2:$C$20,MATCH(D2,'Materials Master'!$A$2:$A$20,0)),"")</f>
        <v>Fibers</v>
      </c>
      <c r="H2" s="0" t="str">
        <f aca="false">IFERROR(INDEX('Materials Master'!$D$2:$D$20,MATCH(D2,'Materials Master'!$A$2:$A$20,0)),"")</f>
        <v>Yes</v>
      </c>
      <c r="I2" s="0" t="str">
        <f aca="false">IFERROR(INDEX('Materials Master'!$E$2:$E$20,MATCH(D2,'Materials Master'!$A$2:$A$20,0)),"")</f>
        <v>Yes</v>
      </c>
      <c r="J2" s="0" t="str">
        <f aca="false">IFERROR(IF(B2="Trash",INDEX('Materials Master'!$F$2:$F$20,MATCH(D2,'Materials Master'!$A$2:$A$20,0)),IF(B2="GMPC Recycling",INDEX('Materials Master'!$G$2:$G$20,MATCH(D2,'Materials Master'!$A$2:$A$20,0)),IF(B2="Organics Recycling",INDEX('Materials Master'!$H$2:$H$20,MATCH(D2,'Materials Master'!$A$2:$A$20,0)),IF(B2="Cardboard Recycling",INDEX('Materials Master'!$I$2:$I$20,MATCH(D2,'Materials Master'!$A$2:$A$20,0)),IF(B2="Paper Recycling",INDEX('Materials Master'!$J$2:$J$20,MATCH(D2,'Materials Master'!$A$2:$A$20,0)),IF(B2="Terracycle",INDEX('Materials Master'!$K$2:$K$20,MATCH(D2,'Materials Master'!$A$2:$A$20,0)),"No")))))),"")</f>
        <v>No</v>
      </c>
      <c r="K2" s="0" t="str">
        <f aca="false">IFERROR(INDEX(Areas!$C$2:$C$3,MATCH(C2,Areas!$B$2:$B$3,0)),"")</f>
        <v>Cafeteria</v>
      </c>
    </row>
    <row r="3" customFormat="false" ht="15" hidden="false" customHeight="false" outlineLevel="0" collapsed="false">
      <c r="A3" s="0" t="s">
        <v>95</v>
      </c>
      <c r="B3" s="0" t="s">
        <v>83</v>
      </c>
      <c r="C3" s="0" t="s">
        <v>79</v>
      </c>
      <c r="D3" s="0" t="s">
        <v>37</v>
      </c>
      <c r="E3" s="0" t="n">
        <v>4.02</v>
      </c>
      <c r="F3" s="0" t="str">
        <f aca="false">IFERROR(INDEX('Materials Master'!$B$2:$B$20,MATCH(D3,'Materials Master'!$A$2:$A$20,0)),"")</f>
        <v>Gable-top &amp; Aseptic Cartons</v>
      </c>
      <c r="G3" s="0" t="str">
        <f aca="false">IFERROR(INDEX('Materials Master'!$C$2:$C$20,MATCH(D3,'Materials Master'!$A$2:$A$20,0)),"")</f>
        <v>Fibers</v>
      </c>
      <c r="H3" s="0" t="str">
        <f aca="false">IFERROR(INDEX('Materials Master'!$D$2:$D$20,MATCH(D3,'Materials Master'!$A$2:$A$20,0)),"")</f>
        <v>Yes</v>
      </c>
      <c r="I3" s="0" t="str">
        <f aca="false">IFERROR(INDEX('Materials Master'!$E$2:$E$20,MATCH(D3,'Materials Master'!$A$2:$A$20,0)),"")</f>
        <v>Yes</v>
      </c>
      <c r="J3" s="0" t="str">
        <f aca="false">IFERROR(IF(B3="Trash",INDEX('Materials Master'!$F$2:$F$20,MATCH(D3,'Materials Master'!$A$2:$A$20,0)),IF(B3="GMPC Recycling",INDEX('Materials Master'!$G$2:$G$20,MATCH(D3,'Materials Master'!$A$2:$A$20,0)),IF(B3="Organics Recycling",INDEX('Materials Master'!$H$2:$H$20,MATCH(D3,'Materials Master'!$A$2:$A$20,0)),IF(B3="Cardboard Recycling",INDEX('Materials Master'!$I$2:$I$20,MATCH(D3,'Materials Master'!$A$2:$A$20,0)),IF(B3="Paper Recycling",INDEX('Materials Master'!$J$2:$J$20,MATCH(D3,'Materials Master'!$A$2:$A$20,0)),IF(B3="Terracycle",INDEX('Materials Master'!$K$2:$K$20,MATCH(D3,'Materials Master'!$A$2:$A$20,0)),"No")))))),"")</f>
        <v>No</v>
      </c>
      <c r="K3" s="0" t="str">
        <f aca="false">IFERROR(INDEX(Areas!$C$2:$C$3,MATCH(C3,Areas!$B$2:$B$3,0)),"")</f>
        <v>Cafeteria</v>
      </c>
    </row>
    <row r="4" customFormat="false" ht="15" hidden="false" customHeight="false" outlineLevel="0" collapsed="false">
      <c r="A4" s="0" t="s">
        <v>95</v>
      </c>
      <c r="B4" s="0" t="s">
        <v>83</v>
      </c>
      <c r="C4" s="0" t="s">
        <v>79</v>
      </c>
      <c r="D4" s="0" t="s">
        <v>39</v>
      </c>
      <c r="E4" s="0" t="n">
        <v>1</v>
      </c>
      <c r="F4" s="0" t="str">
        <f aca="false">IFERROR(INDEX('Materials Master'!$B$2:$B$20,MATCH(D4,'Materials Master'!$A$2:$A$20,0)),"")</f>
        <v>Other Coated Paper Containers</v>
      </c>
      <c r="G4" s="0" t="str">
        <f aca="false">IFERROR(INDEX('Materials Master'!$C$2:$C$20,MATCH(D4,'Materials Master'!$A$2:$A$20,0)),"")</f>
        <v>Fibers</v>
      </c>
      <c r="H4" s="0" t="str">
        <f aca="false">IFERROR(INDEX('Materials Master'!$D$2:$D$20,MATCH(D4,'Materials Master'!$A$2:$A$20,0)),"")</f>
        <v>No</v>
      </c>
      <c r="I4" s="0" t="str">
        <f aca="false">IFERROR(INDEX('Materials Master'!$E$2:$E$20,MATCH(D4,'Materials Master'!$A$2:$A$20,0)),"")</f>
        <v>No</v>
      </c>
      <c r="J4" s="0" t="str">
        <f aca="false">IFERROR(IF(B4="Trash",INDEX('Materials Master'!$F$2:$F$20,MATCH(D4,'Materials Master'!$A$2:$A$20,0)),IF(B4="GMPC Recycling",INDEX('Materials Master'!$G$2:$G$20,MATCH(D4,'Materials Master'!$A$2:$A$20,0)),IF(B4="Organics Recycling",INDEX('Materials Master'!$H$2:$H$20,MATCH(D4,'Materials Master'!$A$2:$A$20,0)),IF(B4="Cardboard Recycling",INDEX('Materials Master'!$I$2:$I$20,MATCH(D4,'Materials Master'!$A$2:$A$20,0)),IF(B4="Paper Recycling",INDEX('Materials Master'!$J$2:$J$20,MATCH(D4,'Materials Master'!$A$2:$A$20,0)),IF(B4="Terracycle",INDEX('Materials Master'!$K$2:$K$20,MATCH(D4,'Materials Master'!$A$2:$A$20,0)),"No")))))),"")</f>
        <v>Yes</v>
      </c>
      <c r="K4" s="0" t="str">
        <f aca="false">IFERROR(INDEX(Areas!$C$2:$C$3,MATCH(C4,Areas!$B$2:$B$3,0)),"")</f>
        <v>Cafeteria</v>
      </c>
    </row>
    <row r="5" customFormat="false" ht="15" hidden="false" customHeight="false" outlineLevel="0" collapsed="false">
      <c r="A5" s="0" t="s">
        <v>95</v>
      </c>
      <c r="B5" s="0" t="s">
        <v>83</v>
      </c>
      <c r="C5" s="0" t="s">
        <v>79</v>
      </c>
      <c r="D5" s="0" t="s">
        <v>41</v>
      </c>
      <c r="E5" s="0" t="n">
        <v>4.35</v>
      </c>
      <c r="F5" s="0" t="str">
        <f aca="false">IFERROR(INDEX('Materials Master'!$B$2:$B$20,MATCH(D5,'Materials Master'!$A$2:$A$20,0)),"")</f>
        <v>Glass Bottles &amp; Jars</v>
      </c>
      <c r="G5" s="0" t="str">
        <f aca="false">IFERROR(INDEX('Materials Master'!$C$2:$C$20,MATCH(D5,'Materials Master'!$A$2:$A$20,0)),"")</f>
        <v>Glass</v>
      </c>
      <c r="H5" s="0" t="str">
        <f aca="false">IFERROR(INDEX('Materials Master'!$D$2:$D$20,MATCH(D5,'Materials Master'!$A$2:$A$20,0)),"")</f>
        <v>Yes</v>
      </c>
      <c r="I5" s="0" t="str">
        <f aca="false">IFERROR(INDEX('Materials Master'!$E$2:$E$20,MATCH(D5,'Materials Master'!$A$2:$A$20,0)),"")</f>
        <v>Yes</v>
      </c>
      <c r="J5" s="0" t="str">
        <f aca="false">IFERROR(IF(B5="Trash",INDEX('Materials Master'!$F$2:$F$20,MATCH(D5,'Materials Master'!$A$2:$A$20,0)),IF(B5="GMPC Recycling",INDEX('Materials Master'!$G$2:$G$20,MATCH(D5,'Materials Master'!$A$2:$A$20,0)),IF(B5="Organics Recycling",INDEX('Materials Master'!$H$2:$H$20,MATCH(D5,'Materials Master'!$A$2:$A$20,0)),IF(B5="Cardboard Recycling",INDEX('Materials Master'!$I$2:$I$20,MATCH(D5,'Materials Master'!$A$2:$A$20,0)),IF(B5="Paper Recycling",INDEX('Materials Master'!$J$2:$J$20,MATCH(D5,'Materials Master'!$A$2:$A$20,0)),IF(B5="Terracycle",INDEX('Materials Master'!$K$2:$K$20,MATCH(D5,'Materials Master'!$A$2:$A$20,0)),"No")))))),"")</f>
        <v>No</v>
      </c>
      <c r="K5" s="0" t="str">
        <f aca="false">IFERROR(INDEX(Areas!$C$2:$C$3,MATCH(C5,Areas!$B$2:$B$3,0)),"")</f>
        <v>Cafeteria</v>
      </c>
    </row>
    <row r="6" customFormat="false" ht="15" hidden="false" customHeight="false" outlineLevel="0" collapsed="false">
      <c r="A6" s="0" t="s">
        <v>95</v>
      </c>
      <c r="B6" s="0" t="s">
        <v>83</v>
      </c>
      <c r="C6" s="0" t="s">
        <v>79</v>
      </c>
      <c r="D6" s="0" t="s">
        <v>46</v>
      </c>
      <c r="E6" s="0" t="n">
        <v>1</v>
      </c>
      <c r="F6" s="0" t="str">
        <f aca="false">IFERROR(INDEX('Materials Master'!$B$2:$B$20,MATCH(D6,'Materials Master'!$A$2:$A$20,0)),"")</f>
        <v>Aluminum &amp; Bi-metal Containers</v>
      </c>
      <c r="G6" s="0" t="str">
        <f aca="false">IFERROR(INDEX('Materials Master'!$C$2:$C$20,MATCH(D6,'Materials Master'!$A$2:$A$20,0)),"")</f>
        <v>Metals</v>
      </c>
      <c r="H6" s="0" t="str">
        <f aca="false">IFERROR(INDEX('Materials Master'!$D$2:$D$20,MATCH(D6,'Materials Master'!$A$2:$A$20,0)),"")</f>
        <v>Yes</v>
      </c>
      <c r="I6" s="0" t="str">
        <f aca="false">IFERROR(INDEX('Materials Master'!$E$2:$E$20,MATCH(D6,'Materials Master'!$A$2:$A$20,0)),"")</f>
        <v>Yes</v>
      </c>
      <c r="J6" s="0" t="str">
        <f aca="false">IFERROR(IF(B6="Trash",INDEX('Materials Master'!$F$2:$F$20,MATCH(D6,'Materials Master'!$A$2:$A$20,0)),IF(B6="GMPC Recycling",INDEX('Materials Master'!$G$2:$G$20,MATCH(D6,'Materials Master'!$A$2:$A$20,0)),IF(B6="Organics Recycling",INDEX('Materials Master'!$H$2:$H$20,MATCH(D6,'Materials Master'!$A$2:$A$20,0)),IF(B6="Cardboard Recycling",INDEX('Materials Master'!$I$2:$I$20,MATCH(D6,'Materials Master'!$A$2:$A$20,0)),IF(B6="Paper Recycling",INDEX('Materials Master'!$J$2:$J$20,MATCH(D6,'Materials Master'!$A$2:$A$20,0)),IF(B6="Terracycle",INDEX('Materials Master'!$K$2:$K$20,MATCH(D6,'Materials Master'!$A$2:$A$20,0)),"No")))))),"")</f>
        <v>No</v>
      </c>
      <c r="K6" s="0" t="str">
        <f aca="false">IFERROR(INDEX(Areas!$C$2:$C$3,MATCH(C6,Areas!$B$2:$B$3,0)),"")</f>
        <v>Cafeteria</v>
      </c>
    </row>
    <row r="7" customFormat="false" ht="15" hidden="false" customHeight="false" outlineLevel="0" collapsed="false">
      <c r="A7" s="0" t="s">
        <v>95</v>
      </c>
      <c r="B7" s="0" t="s">
        <v>83</v>
      </c>
      <c r="C7" s="0" t="s">
        <v>79</v>
      </c>
      <c r="D7" s="0" t="s">
        <v>51</v>
      </c>
      <c r="E7" s="0" t="n">
        <v>21.1</v>
      </c>
      <c r="F7" s="0" t="str">
        <f aca="false">IFERROR(INDEX('Materials Master'!$B$2:$B$20,MATCH(D7,'Materials Master'!$A$2:$A$20,0)),"")</f>
        <v>Rigid Plastics (1-6)</v>
      </c>
      <c r="G7" s="0" t="str">
        <f aca="false">IFERROR(INDEX('Materials Master'!$C$2:$C$20,MATCH(D7,'Materials Master'!$A$2:$A$20,0)),"")</f>
        <v>Plastics</v>
      </c>
      <c r="H7" s="0" t="str">
        <f aca="false">IFERROR(INDEX('Materials Master'!$D$2:$D$20,MATCH(D7,'Materials Master'!$A$2:$A$20,0)),"")</f>
        <v>Yes</v>
      </c>
      <c r="I7" s="0" t="str">
        <f aca="false">IFERROR(INDEX('Materials Master'!$E$2:$E$20,MATCH(D7,'Materials Master'!$A$2:$A$20,0)),"")</f>
        <v>Yes</v>
      </c>
      <c r="J7" s="0" t="str">
        <f aca="false">IFERROR(IF(B7="Trash",INDEX('Materials Master'!$F$2:$F$20,MATCH(D7,'Materials Master'!$A$2:$A$20,0)),IF(B7="GMPC Recycling",INDEX('Materials Master'!$G$2:$G$20,MATCH(D7,'Materials Master'!$A$2:$A$20,0)),IF(B7="Organics Recycling",INDEX('Materials Master'!$H$2:$H$20,MATCH(D7,'Materials Master'!$A$2:$A$20,0)),IF(B7="Cardboard Recycling",INDEX('Materials Master'!$I$2:$I$20,MATCH(D7,'Materials Master'!$A$2:$A$20,0)),IF(B7="Paper Recycling",INDEX('Materials Master'!$J$2:$J$20,MATCH(D7,'Materials Master'!$A$2:$A$20,0)),IF(B7="Terracycle",INDEX('Materials Master'!$K$2:$K$20,MATCH(D7,'Materials Master'!$A$2:$A$20,0)),"No")))))),"")</f>
        <v>No</v>
      </c>
      <c r="K7" s="0" t="str">
        <f aca="false">IFERROR(INDEX(Areas!$C$2:$C$3,MATCH(C7,Areas!$B$2:$B$3,0)),"")</f>
        <v>Cafeteria</v>
      </c>
    </row>
    <row r="8" customFormat="false" ht="15" hidden="false" customHeight="false" outlineLevel="0" collapsed="false">
      <c r="A8" s="0" t="s">
        <v>95</v>
      </c>
      <c r="B8" s="0" t="s">
        <v>83</v>
      </c>
      <c r="C8" s="0" t="s">
        <v>79</v>
      </c>
      <c r="D8" s="0" t="s">
        <v>58</v>
      </c>
      <c r="E8" s="0" t="n">
        <v>8.71</v>
      </c>
      <c r="F8" s="0" t="str">
        <f aca="false">IFERROR(INDEX('Materials Master'!$B$2:$B$20,MATCH(D8,'Materials Master'!$A$2:$A$20,0)),"")</f>
        <v>Waste Disposal Bags</v>
      </c>
      <c r="G8" s="0" t="str">
        <f aca="false">IFERROR(INDEX('Materials Master'!$C$2:$C$20,MATCH(D8,'Materials Master'!$A$2:$A$20,0)),"")</f>
        <v>Plastics</v>
      </c>
      <c r="H8" s="0" t="str">
        <f aca="false">IFERROR(INDEX('Materials Master'!$D$2:$D$20,MATCH(D8,'Materials Master'!$A$2:$A$20,0)),"")</f>
        <v>No</v>
      </c>
      <c r="I8" s="0" t="str">
        <f aca="false">IFERROR(INDEX('Materials Master'!$E$2:$E$20,MATCH(D8,'Materials Master'!$A$2:$A$20,0)),"")</f>
        <v>No</v>
      </c>
      <c r="J8" s="0" t="str">
        <f aca="false">IFERROR(IF(B8="Trash",INDEX('Materials Master'!$F$2:$F$20,MATCH(D8,'Materials Master'!$A$2:$A$20,0)),IF(B8="GMPC Recycling",INDEX('Materials Master'!$G$2:$G$20,MATCH(D8,'Materials Master'!$A$2:$A$20,0)),IF(B8="Organics Recycling",INDEX('Materials Master'!$H$2:$H$20,MATCH(D8,'Materials Master'!$A$2:$A$20,0)),IF(B8="Cardboard Recycling",INDEX('Materials Master'!$I$2:$I$20,MATCH(D8,'Materials Master'!$A$2:$A$20,0)),IF(B8="Paper Recycling",INDEX('Materials Master'!$J$2:$J$20,MATCH(D8,'Materials Master'!$A$2:$A$20,0)),IF(B8="Terracycle",INDEX('Materials Master'!$K$2:$K$20,MATCH(D8,'Materials Master'!$A$2:$A$20,0)),"No")))))),"")</f>
        <v>Yes</v>
      </c>
      <c r="K8" s="0" t="str">
        <f aca="false">IFERROR(INDEX(Areas!$C$2:$C$3,MATCH(C8,Areas!$B$2:$B$3,0)),"")</f>
        <v>Cafeteria</v>
      </c>
    </row>
    <row r="9" customFormat="false" ht="15" hidden="false" customHeight="false" outlineLevel="0" collapsed="false">
      <c r="A9" s="0" t="s">
        <v>95</v>
      </c>
      <c r="B9" s="0" t="s">
        <v>83</v>
      </c>
      <c r="C9" s="0" t="s">
        <v>79</v>
      </c>
      <c r="D9" s="0" t="s">
        <v>60</v>
      </c>
      <c r="E9" s="0" t="n">
        <v>79.02</v>
      </c>
      <c r="F9" s="0" t="str">
        <f aca="false">IFERROR(INDEX('Materials Master'!$B$2:$B$20,MATCH(D9,'Materials Master'!$A$2:$A$20,0)),"")</f>
        <v>Food Waste</v>
      </c>
      <c r="G9" s="0" t="str">
        <f aca="false">IFERROR(INDEX('Materials Master'!$C$2:$C$20,MATCH(D9,'Materials Master'!$A$2:$A$20,0)),"")</f>
        <v>Organics</v>
      </c>
      <c r="H9" s="0" t="str">
        <f aca="false">IFERROR(INDEX('Materials Master'!$D$2:$D$20,MATCH(D9,'Materials Master'!$A$2:$A$20,0)),"")</f>
        <v>No</v>
      </c>
      <c r="I9" s="0" t="str">
        <f aca="false">IFERROR(INDEX('Materials Master'!$E$2:$E$20,MATCH(D9,'Materials Master'!$A$2:$A$20,0)),"")</f>
        <v>Yes</v>
      </c>
      <c r="J9" s="0" t="str">
        <f aca="false">IFERROR(IF(B9="Trash",INDEX('Materials Master'!$F$2:$F$20,MATCH(D9,'Materials Master'!$A$2:$A$20,0)),IF(B9="GMPC Recycling",INDEX('Materials Master'!$G$2:$G$20,MATCH(D9,'Materials Master'!$A$2:$A$20,0)),IF(B9="Organics Recycling",INDEX('Materials Master'!$H$2:$H$20,MATCH(D9,'Materials Master'!$A$2:$A$20,0)),IF(B9="Cardboard Recycling",INDEX('Materials Master'!$I$2:$I$20,MATCH(D9,'Materials Master'!$A$2:$A$20,0)),IF(B9="Paper Recycling",INDEX('Materials Master'!$J$2:$J$20,MATCH(D9,'Materials Master'!$A$2:$A$20,0)),IF(B9="Terracycle",INDEX('Materials Master'!$K$2:$K$20,MATCH(D9,'Materials Master'!$A$2:$A$20,0)),"No")))))),"")</f>
        <v>No</v>
      </c>
      <c r="K9" s="0" t="str">
        <f aca="false">IFERROR(INDEX(Areas!$C$2:$C$3,MATCH(C9,Areas!$B$2:$B$3,0)),"")</f>
        <v>Cafeteria</v>
      </c>
    </row>
    <row r="10" customFormat="false" ht="15" hidden="false" customHeight="false" outlineLevel="0" collapsed="false">
      <c r="A10" s="0" t="s">
        <v>95</v>
      </c>
      <c r="B10" s="0" t="s">
        <v>83</v>
      </c>
      <c r="C10" s="0" t="s">
        <v>79</v>
      </c>
      <c r="D10" s="0" t="s">
        <v>63</v>
      </c>
      <c r="E10" s="0" t="n">
        <v>20.09</v>
      </c>
      <c r="F10" s="0" t="str">
        <f aca="false">IFERROR(INDEX('Materials Master'!$B$2:$B$20,MATCH(D10,'Materials Master'!$A$2:$A$20,0)),"")</f>
        <v>Paper Fibers and FSP</v>
      </c>
      <c r="G10" s="0" t="str">
        <f aca="false">IFERROR(INDEX('Materials Master'!$C$2:$C$20,MATCH(D10,'Materials Master'!$A$2:$A$20,0)),"")</f>
        <v>Organics</v>
      </c>
      <c r="H10" s="0" t="str">
        <f aca="false">IFERROR(INDEX('Materials Master'!$D$2:$D$20,MATCH(D10,'Materials Master'!$A$2:$A$20,0)),"")</f>
        <v>No</v>
      </c>
      <c r="I10" s="0" t="str">
        <f aca="false">IFERROR(INDEX('Materials Master'!$E$2:$E$20,MATCH(D10,'Materials Master'!$A$2:$A$20,0)),"")</f>
        <v>No</v>
      </c>
      <c r="J10" s="0" t="str">
        <f aca="false">IFERROR(IF(B10="Trash",INDEX('Materials Master'!$F$2:$F$20,MATCH(D10,'Materials Master'!$A$2:$A$20,0)),IF(B10="GMPC Recycling",INDEX('Materials Master'!$G$2:$G$20,MATCH(D10,'Materials Master'!$A$2:$A$20,0)),IF(B10="Organics Recycling",INDEX('Materials Master'!$H$2:$H$20,MATCH(D10,'Materials Master'!$A$2:$A$20,0)),IF(B10="Cardboard Recycling",INDEX('Materials Master'!$I$2:$I$20,MATCH(D10,'Materials Master'!$A$2:$A$20,0)),IF(B10="Paper Recycling",INDEX('Materials Master'!$J$2:$J$20,MATCH(D10,'Materials Master'!$A$2:$A$20,0)),IF(B10="Terracycle",INDEX('Materials Master'!$K$2:$K$20,MATCH(D10,'Materials Master'!$A$2:$A$20,0)),"No")))))),"")</f>
        <v>Yes</v>
      </c>
      <c r="K10" s="0" t="str">
        <f aca="false">IFERROR(INDEX(Areas!$C$2:$C$3,MATCH(C10,Areas!$B$2:$B$3,0)),"")</f>
        <v>Cafeteria</v>
      </c>
    </row>
    <row r="11" customFormat="false" ht="15" hidden="false" customHeight="false" outlineLevel="0" collapsed="false">
      <c r="A11" s="0" t="s">
        <v>95</v>
      </c>
      <c r="B11" s="0" t="s">
        <v>83</v>
      </c>
      <c r="C11" s="0" t="s">
        <v>79</v>
      </c>
      <c r="D11" s="0" t="s">
        <v>65</v>
      </c>
      <c r="E11" s="0" t="n">
        <v>15.74</v>
      </c>
      <c r="F11" s="0" t="str">
        <f aca="false">IFERROR(INDEX('Materials Master'!$B$2:$B$20,MATCH(D11,'Materials Master'!$A$2:$A$20,0)),"")</f>
        <v>Certified Compostables</v>
      </c>
      <c r="G11" s="0" t="str">
        <f aca="false">IFERROR(INDEX('Materials Master'!$C$2:$C$20,MATCH(D11,'Materials Master'!$A$2:$A$20,0)),"")</f>
        <v>Organics</v>
      </c>
      <c r="H11" s="0" t="str">
        <f aca="false">IFERROR(INDEX('Materials Master'!$D$2:$D$20,MATCH(D11,'Materials Master'!$A$2:$A$20,0)),"")</f>
        <v>No</v>
      </c>
      <c r="I11" s="0" t="str">
        <f aca="false">IFERROR(INDEX('Materials Master'!$E$2:$E$20,MATCH(D11,'Materials Master'!$A$2:$A$20,0)),"")</f>
        <v>No</v>
      </c>
      <c r="J11" s="0" t="str">
        <f aca="false">IFERROR(IF(B11="Trash",INDEX('Materials Master'!$F$2:$F$20,MATCH(D11,'Materials Master'!$A$2:$A$20,0)),IF(B11="GMPC Recycling",INDEX('Materials Master'!$G$2:$G$20,MATCH(D11,'Materials Master'!$A$2:$A$20,0)),IF(B11="Organics Recycling",INDEX('Materials Master'!$H$2:$H$20,MATCH(D11,'Materials Master'!$A$2:$A$20,0)),IF(B11="Cardboard Recycling",INDEX('Materials Master'!$I$2:$I$20,MATCH(D11,'Materials Master'!$A$2:$A$20,0)),IF(B11="Paper Recycling",INDEX('Materials Master'!$J$2:$J$20,MATCH(D11,'Materials Master'!$A$2:$A$20,0)),IF(B11="Terracycle",INDEX('Materials Master'!$K$2:$K$20,MATCH(D11,'Materials Master'!$A$2:$A$20,0)),"No")))))),"")</f>
        <v>Yes</v>
      </c>
      <c r="K11" s="0" t="str">
        <f aca="false">IFERROR(INDEX(Areas!$C$2:$C$3,MATCH(C11,Areas!$B$2:$B$3,0)),"")</f>
        <v>Cafeteria</v>
      </c>
    </row>
    <row r="12" customFormat="false" ht="15" hidden="false" customHeight="false" outlineLevel="0" collapsed="false">
      <c r="A12" s="0" t="s">
        <v>95</v>
      </c>
      <c r="B12" s="0" t="s">
        <v>83</v>
      </c>
      <c r="C12" s="0" t="s">
        <v>79</v>
      </c>
      <c r="D12" s="0" t="s">
        <v>70</v>
      </c>
      <c r="E12" s="0" t="n">
        <v>3.35</v>
      </c>
      <c r="F12" s="0" t="str">
        <f aca="false">IFERROR(INDEX('Materials Master'!$B$2:$B$20,MATCH(D12,'Materials Master'!$A$2:$A$20,0)),"")</f>
        <v>Liquids</v>
      </c>
      <c r="G12" s="0" t="str">
        <f aca="false">IFERROR(INDEX('Materials Master'!$C$2:$C$20,MATCH(D12,'Materials Master'!$A$2:$A$20,0)),"")</f>
        <v>Unacceptable</v>
      </c>
      <c r="H12" s="0" t="str">
        <f aca="false">IFERROR(INDEX('Materials Master'!$D$2:$D$20,MATCH(D12,'Materials Master'!$A$2:$A$20,0)),"")</f>
        <v>Unacceptable</v>
      </c>
      <c r="I12" s="0" t="str">
        <f aca="false">IFERROR(INDEX('Materials Master'!$E$2:$E$20,MATCH(D12,'Materials Master'!$A$2:$A$20,0)),"")</f>
        <v>No</v>
      </c>
      <c r="J12" s="0" t="str">
        <f aca="false">IFERROR(IF(B12="Trash",INDEX('Materials Master'!$F$2:$F$20,MATCH(D12,'Materials Master'!$A$2:$A$20,0)),IF(B12="GMPC Recycling",INDEX('Materials Master'!$G$2:$G$20,MATCH(D12,'Materials Master'!$A$2:$A$20,0)),IF(B12="Organics Recycling",INDEX('Materials Master'!$H$2:$H$20,MATCH(D12,'Materials Master'!$A$2:$A$20,0)),IF(B12="Cardboard Recycling",INDEX('Materials Master'!$I$2:$I$20,MATCH(D12,'Materials Master'!$A$2:$A$20,0)),IF(B12="Paper Recycling",INDEX('Materials Master'!$J$2:$J$20,MATCH(D12,'Materials Master'!$A$2:$A$20,0)),IF(B12="Terracycle",INDEX('Materials Master'!$K$2:$K$20,MATCH(D12,'Materials Master'!$A$2:$A$20,0)),"No")))))),"")</f>
        <v>Yes</v>
      </c>
      <c r="K12" s="0" t="str">
        <f aca="false">IFERROR(INDEX(Areas!$C$2:$C$3,MATCH(C12,Areas!$B$2:$B$3,0)),"")</f>
        <v>Cafeteria</v>
      </c>
    </row>
    <row r="13" customFormat="false" ht="15" hidden="false" customHeight="false" outlineLevel="0" collapsed="false">
      <c r="A13" s="0" t="s">
        <v>95</v>
      </c>
      <c r="B13" s="0" t="s">
        <v>83</v>
      </c>
      <c r="C13" s="0" t="s">
        <v>79</v>
      </c>
      <c r="D13" s="0" t="s">
        <v>72</v>
      </c>
      <c r="E13" s="0" t="n">
        <v>35.83</v>
      </c>
      <c r="F13" s="0" t="str">
        <f aca="false">IFERROR(INDEX('Materials Master'!$B$2:$B$20,MATCH(D13,'Materials Master'!$A$2:$A$20,0)),"")</f>
        <v>Residual Materials</v>
      </c>
      <c r="G13" s="0" t="str">
        <f aca="false">IFERROR(INDEX('Materials Master'!$C$2:$C$20,MATCH(D13,'Materials Master'!$A$2:$A$20,0)),"")</f>
        <v>Other</v>
      </c>
      <c r="H13" s="0" t="str">
        <f aca="false">IFERROR(INDEX('Materials Master'!$D$2:$D$20,MATCH(D13,'Materials Master'!$A$2:$A$20,0)),"")</f>
        <v>No</v>
      </c>
      <c r="I13" s="0" t="str">
        <f aca="false">IFERROR(INDEX('Materials Master'!$E$2:$E$20,MATCH(D13,'Materials Master'!$A$2:$A$20,0)),"")</f>
        <v>No</v>
      </c>
      <c r="J13" s="0" t="str">
        <f aca="false">IFERROR(IF(B13="Trash",INDEX('Materials Master'!$F$2:$F$20,MATCH(D13,'Materials Master'!$A$2:$A$20,0)),IF(B13="GMPC Recycling",INDEX('Materials Master'!$G$2:$G$20,MATCH(D13,'Materials Master'!$A$2:$A$20,0)),IF(B13="Organics Recycling",INDEX('Materials Master'!$H$2:$H$20,MATCH(D13,'Materials Master'!$A$2:$A$20,0)),IF(B13="Cardboard Recycling",INDEX('Materials Master'!$I$2:$I$20,MATCH(D13,'Materials Master'!$A$2:$A$20,0)),IF(B13="Paper Recycling",INDEX('Materials Master'!$J$2:$J$20,MATCH(D13,'Materials Master'!$A$2:$A$20,0)),IF(B13="Terracycle",INDEX('Materials Master'!$K$2:$K$20,MATCH(D13,'Materials Master'!$A$2:$A$20,0)),"No")))))),"")</f>
        <v>Yes</v>
      </c>
      <c r="K13" s="0" t="str">
        <f aca="false">IFERROR(INDEX(Areas!$C$2:$C$3,MATCH(C13,Areas!$B$2:$B$3,0)),"")</f>
        <v>Cafeteria</v>
      </c>
    </row>
    <row r="14" customFormat="false" ht="15" hidden="false" customHeight="false" outlineLevel="0" collapsed="false">
      <c r="A14" s="0" t="s">
        <v>95</v>
      </c>
      <c r="B14" s="0" t="s">
        <v>84</v>
      </c>
      <c r="C14" s="0" t="s">
        <v>79</v>
      </c>
      <c r="D14" s="0" t="s">
        <v>28</v>
      </c>
      <c r="E14" s="0" t="n">
        <v>0.85</v>
      </c>
      <c r="F14" s="0" t="str">
        <f aca="false">IFERROR(INDEX('Materials Master'!$B$2:$B$20,MATCH(D14,'Materials Master'!$A$2:$A$20,0)),"")</f>
        <v>Corrugated Cardboard</v>
      </c>
      <c r="G14" s="0" t="str">
        <f aca="false">IFERROR(INDEX('Materials Master'!$C$2:$C$20,MATCH(D14,'Materials Master'!$A$2:$A$20,0)),"")</f>
        <v>Fibers</v>
      </c>
      <c r="H14" s="0" t="str">
        <f aca="false">IFERROR(INDEX('Materials Master'!$D$2:$D$20,MATCH(D14,'Materials Master'!$A$2:$A$20,0)),"")</f>
        <v>Yes</v>
      </c>
      <c r="I14" s="0" t="str">
        <f aca="false">IFERROR(INDEX('Materials Master'!$E$2:$E$20,MATCH(D14,'Materials Master'!$A$2:$A$20,0)),"")</f>
        <v>Yes</v>
      </c>
      <c r="J14" s="0" t="str">
        <f aca="false">IFERROR(IF(B14="Trash",INDEX('Materials Master'!$F$2:$F$20,MATCH(D14,'Materials Master'!$A$2:$A$20,0)),IF(B14="GMPC Recycling",INDEX('Materials Master'!$G$2:$G$20,MATCH(D14,'Materials Master'!$A$2:$A$20,0)),IF(B14="Organics Recycling",INDEX('Materials Master'!$H$2:$H$20,MATCH(D14,'Materials Master'!$A$2:$A$20,0)),IF(B14="Cardboard Recycling",INDEX('Materials Master'!$I$2:$I$20,MATCH(D14,'Materials Master'!$A$2:$A$20,0)),IF(B14="Paper Recycling",INDEX('Materials Master'!$J$2:$J$20,MATCH(D14,'Materials Master'!$A$2:$A$20,0)),IF(B14="Terracycle",INDEX('Materials Master'!$K$2:$K$20,MATCH(D14,'Materials Master'!$A$2:$A$20,0)),"No")))))),"")</f>
        <v>Yes</v>
      </c>
      <c r="K14" s="0" t="str">
        <f aca="false">IFERROR(INDEX(Areas!$C$2:$C$3,MATCH(C14,Areas!$B$2:$B$3,0)),"")</f>
        <v>Cafeteria</v>
      </c>
    </row>
    <row r="15" customFormat="false" ht="15" hidden="false" customHeight="false" outlineLevel="0" collapsed="false">
      <c r="A15" s="0" t="s">
        <v>95</v>
      </c>
      <c r="B15" s="0" t="s">
        <v>84</v>
      </c>
      <c r="C15" s="0" t="s">
        <v>79</v>
      </c>
      <c r="D15" s="0" t="s">
        <v>35</v>
      </c>
      <c r="E15" s="0" t="n">
        <v>0.53</v>
      </c>
      <c r="F15" s="0" t="str">
        <f aca="false">IFERROR(INDEX('Materials Master'!$B$2:$B$20,MATCH(D15,'Materials Master'!$A$2:$A$20,0)),"")</f>
        <v>Mixed Paper</v>
      </c>
      <c r="G15" s="0" t="str">
        <f aca="false">IFERROR(INDEX('Materials Master'!$C$2:$C$20,MATCH(D15,'Materials Master'!$A$2:$A$20,0)),"")</f>
        <v>Fibers</v>
      </c>
      <c r="H15" s="0" t="str">
        <f aca="false">IFERROR(INDEX('Materials Master'!$D$2:$D$20,MATCH(D15,'Materials Master'!$A$2:$A$20,0)),"")</f>
        <v>Yes</v>
      </c>
      <c r="I15" s="0" t="str">
        <f aca="false">IFERROR(INDEX('Materials Master'!$E$2:$E$20,MATCH(D15,'Materials Master'!$A$2:$A$20,0)),"")</f>
        <v>Yes</v>
      </c>
      <c r="J15" s="0" t="str">
        <f aca="false">IFERROR(IF(B15="Trash",INDEX('Materials Master'!$F$2:$F$20,MATCH(D15,'Materials Master'!$A$2:$A$20,0)),IF(B15="GMPC Recycling",INDEX('Materials Master'!$G$2:$G$20,MATCH(D15,'Materials Master'!$A$2:$A$20,0)),IF(B15="Organics Recycling",INDEX('Materials Master'!$H$2:$H$20,MATCH(D15,'Materials Master'!$A$2:$A$20,0)),IF(B15="Cardboard Recycling",INDEX('Materials Master'!$I$2:$I$20,MATCH(D15,'Materials Master'!$A$2:$A$20,0)),IF(B15="Paper Recycling",INDEX('Materials Master'!$J$2:$J$20,MATCH(D15,'Materials Master'!$A$2:$A$20,0)),IF(B15="Terracycle",INDEX('Materials Master'!$K$2:$K$20,MATCH(D15,'Materials Master'!$A$2:$A$20,0)),"No")))))),"")</f>
        <v>Yes</v>
      </c>
      <c r="K15" s="0" t="str">
        <f aca="false">IFERROR(INDEX(Areas!$C$2:$C$3,MATCH(C15,Areas!$B$2:$B$3,0)),"")</f>
        <v>Cafeteria</v>
      </c>
    </row>
    <row r="16" customFormat="false" ht="15" hidden="false" customHeight="false" outlineLevel="0" collapsed="false">
      <c r="A16" s="0" t="s">
        <v>95</v>
      </c>
      <c r="B16" s="0" t="s">
        <v>84</v>
      </c>
      <c r="C16" s="0" t="s">
        <v>79</v>
      </c>
      <c r="D16" s="0" t="s">
        <v>39</v>
      </c>
      <c r="E16" s="0" t="n">
        <v>0.11</v>
      </c>
      <c r="F16" s="0" t="str">
        <f aca="false">IFERROR(INDEX('Materials Master'!$B$2:$B$20,MATCH(D16,'Materials Master'!$A$2:$A$20,0)),"")</f>
        <v>Other Coated Paper Containers</v>
      </c>
      <c r="G16" s="0" t="str">
        <f aca="false">IFERROR(INDEX('Materials Master'!$C$2:$C$20,MATCH(D16,'Materials Master'!$A$2:$A$20,0)),"")</f>
        <v>Fibers</v>
      </c>
      <c r="H16" s="0" t="str">
        <f aca="false">IFERROR(INDEX('Materials Master'!$D$2:$D$20,MATCH(D16,'Materials Master'!$A$2:$A$20,0)),"")</f>
        <v>No</v>
      </c>
      <c r="I16" s="0" t="str">
        <f aca="false">IFERROR(INDEX('Materials Master'!$E$2:$E$20,MATCH(D16,'Materials Master'!$A$2:$A$20,0)),"")</f>
        <v>No</v>
      </c>
      <c r="J16" s="0" t="str">
        <f aca="false">IFERROR(IF(B16="Trash",INDEX('Materials Master'!$F$2:$F$20,MATCH(D16,'Materials Master'!$A$2:$A$20,0)),IF(B16="GMPC Recycling",INDEX('Materials Master'!$G$2:$G$20,MATCH(D16,'Materials Master'!$A$2:$A$20,0)),IF(B16="Organics Recycling",INDEX('Materials Master'!$H$2:$H$20,MATCH(D16,'Materials Master'!$A$2:$A$20,0)),IF(B16="Cardboard Recycling",INDEX('Materials Master'!$I$2:$I$20,MATCH(D16,'Materials Master'!$A$2:$A$20,0)),IF(B16="Paper Recycling",INDEX('Materials Master'!$J$2:$J$20,MATCH(D16,'Materials Master'!$A$2:$A$20,0)),IF(B16="Terracycle",INDEX('Materials Master'!$K$2:$K$20,MATCH(D16,'Materials Master'!$A$2:$A$20,0)),"No")))))),"")</f>
        <v>No</v>
      </c>
      <c r="K16" s="0" t="str">
        <f aca="false">IFERROR(INDEX(Areas!$C$2:$C$3,MATCH(C16,Areas!$B$2:$B$3,0)),"")</f>
        <v>Cafeteria</v>
      </c>
    </row>
    <row r="17" customFormat="false" ht="15" hidden="false" customHeight="false" outlineLevel="0" collapsed="false">
      <c r="A17" s="0" t="s">
        <v>95</v>
      </c>
      <c r="B17" s="0" t="s">
        <v>84</v>
      </c>
      <c r="C17" s="0" t="s">
        <v>79</v>
      </c>
      <c r="D17" s="0" t="s">
        <v>41</v>
      </c>
      <c r="E17" s="0" t="n">
        <v>0.43</v>
      </c>
      <c r="F17" s="0" t="str">
        <f aca="false">IFERROR(INDEX('Materials Master'!$B$2:$B$20,MATCH(D17,'Materials Master'!$A$2:$A$20,0)),"")</f>
        <v>Glass Bottles &amp; Jars</v>
      </c>
      <c r="G17" s="0" t="str">
        <f aca="false">IFERROR(INDEX('Materials Master'!$C$2:$C$20,MATCH(D17,'Materials Master'!$A$2:$A$20,0)),"")</f>
        <v>Glass</v>
      </c>
      <c r="H17" s="0" t="str">
        <f aca="false">IFERROR(INDEX('Materials Master'!$D$2:$D$20,MATCH(D17,'Materials Master'!$A$2:$A$20,0)),"")</f>
        <v>Yes</v>
      </c>
      <c r="I17" s="0" t="str">
        <f aca="false">IFERROR(INDEX('Materials Master'!$E$2:$E$20,MATCH(D17,'Materials Master'!$A$2:$A$20,0)),"")</f>
        <v>Yes</v>
      </c>
      <c r="J17" s="0" t="str">
        <f aca="false">IFERROR(IF(B17="Trash",INDEX('Materials Master'!$F$2:$F$20,MATCH(D17,'Materials Master'!$A$2:$A$20,0)),IF(B17="GMPC Recycling",INDEX('Materials Master'!$G$2:$G$20,MATCH(D17,'Materials Master'!$A$2:$A$20,0)),IF(B17="Organics Recycling",INDEX('Materials Master'!$H$2:$H$20,MATCH(D17,'Materials Master'!$A$2:$A$20,0)),IF(B17="Cardboard Recycling",INDEX('Materials Master'!$I$2:$I$20,MATCH(D17,'Materials Master'!$A$2:$A$20,0)),IF(B17="Paper Recycling",INDEX('Materials Master'!$J$2:$J$20,MATCH(D17,'Materials Master'!$A$2:$A$20,0)),IF(B17="Terracycle",INDEX('Materials Master'!$K$2:$K$20,MATCH(D17,'Materials Master'!$A$2:$A$20,0)),"No")))))),"")</f>
        <v>Yes</v>
      </c>
      <c r="K17" s="0" t="str">
        <f aca="false">IFERROR(INDEX(Areas!$C$2:$C$3,MATCH(C17,Areas!$B$2:$B$3,0)),"")</f>
        <v>Cafeteria</v>
      </c>
    </row>
    <row r="18" customFormat="false" ht="15" hidden="false" customHeight="false" outlineLevel="0" collapsed="false">
      <c r="A18" s="0" t="s">
        <v>95</v>
      </c>
      <c r="B18" s="0" t="s">
        <v>84</v>
      </c>
      <c r="C18" s="0" t="s">
        <v>79</v>
      </c>
      <c r="D18" s="0" t="s">
        <v>46</v>
      </c>
      <c r="E18" s="0" t="n">
        <v>0.21</v>
      </c>
      <c r="F18" s="0" t="str">
        <f aca="false">IFERROR(INDEX('Materials Master'!$B$2:$B$20,MATCH(D18,'Materials Master'!$A$2:$A$20,0)),"")</f>
        <v>Aluminum &amp; Bi-metal Containers</v>
      </c>
      <c r="G18" s="0" t="str">
        <f aca="false">IFERROR(INDEX('Materials Master'!$C$2:$C$20,MATCH(D18,'Materials Master'!$A$2:$A$20,0)),"")</f>
        <v>Metals</v>
      </c>
      <c r="H18" s="0" t="str">
        <f aca="false">IFERROR(INDEX('Materials Master'!$D$2:$D$20,MATCH(D18,'Materials Master'!$A$2:$A$20,0)),"")</f>
        <v>Yes</v>
      </c>
      <c r="I18" s="0" t="str">
        <f aca="false">IFERROR(INDEX('Materials Master'!$E$2:$E$20,MATCH(D18,'Materials Master'!$A$2:$A$20,0)),"")</f>
        <v>Yes</v>
      </c>
      <c r="J18" s="0" t="str">
        <f aca="false">IFERROR(IF(B18="Trash",INDEX('Materials Master'!$F$2:$F$20,MATCH(D18,'Materials Master'!$A$2:$A$20,0)),IF(B18="GMPC Recycling",INDEX('Materials Master'!$G$2:$G$20,MATCH(D18,'Materials Master'!$A$2:$A$20,0)),IF(B18="Organics Recycling",INDEX('Materials Master'!$H$2:$H$20,MATCH(D18,'Materials Master'!$A$2:$A$20,0)),IF(B18="Cardboard Recycling",INDEX('Materials Master'!$I$2:$I$20,MATCH(D18,'Materials Master'!$A$2:$A$20,0)),IF(B18="Paper Recycling",INDEX('Materials Master'!$J$2:$J$20,MATCH(D18,'Materials Master'!$A$2:$A$20,0)),IF(B18="Terracycle",INDEX('Materials Master'!$K$2:$K$20,MATCH(D18,'Materials Master'!$A$2:$A$20,0)),"No")))))),"")</f>
        <v>Yes</v>
      </c>
      <c r="K18" s="0" t="str">
        <f aca="false">IFERROR(INDEX(Areas!$C$2:$C$3,MATCH(C18,Areas!$B$2:$B$3,0)),"")</f>
        <v>Cafeteria</v>
      </c>
    </row>
    <row r="19" customFormat="false" ht="15" hidden="false" customHeight="false" outlineLevel="0" collapsed="false">
      <c r="A19" s="0" t="s">
        <v>95</v>
      </c>
      <c r="B19" s="0" t="s">
        <v>84</v>
      </c>
      <c r="C19" s="0" t="s">
        <v>79</v>
      </c>
      <c r="D19" s="0" t="s">
        <v>49</v>
      </c>
      <c r="E19" s="0" t="n">
        <v>2.98</v>
      </c>
      <c r="F19" s="0" t="str">
        <f aca="false">IFERROR(INDEX('Materials Master'!$B$2:$B$20,MATCH(D19,'Materials Master'!$A$2:$A$20,0)),"")</f>
        <v>Metal Hangers</v>
      </c>
      <c r="G19" s="0" t="str">
        <f aca="false">IFERROR(INDEX('Materials Master'!$C$2:$C$20,MATCH(D19,'Materials Master'!$A$2:$A$20,0)),"")</f>
        <v>Metals</v>
      </c>
      <c r="H19" s="0" t="str">
        <f aca="false">IFERROR(INDEX('Materials Master'!$D$2:$D$20,MATCH(D19,'Materials Master'!$A$2:$A$20,0)),"")</f>
        <v>No</v>
      </c>
      <c r="I19" s="0" t="str">
        <f aca="false">IFERROR(INDEX('Materials Master'!$E$2:$E$20,MATCH(D19,'Materials Master'!$A$2:$A$20,0)),"")</f>
        <v>No</v>
      </c>
      <c r="J19" s="0" t="str">
        <f aca="false">IFERROR(IF(B19="Trash",INDEX('Materials Master'!$F$2:$F$20,MATCH(D19,'Materials Master'!$A$2:$A$20,0)),IF(B19="GMPC Recycling",INDEX('Materials Master'!$G$2:$G$20,MATCH(D19,'Materials Master'!$A$2:$A$20,0)),IF(B19="Organics Recycling",INDEX('Materials Master'!$H$2:$H$20,MATCH(D19,'Materials Master'!$A$2:$A$20,0)),IF(B19="Cardboard Recycling",INDEX('Materials Master'!$I$2:$I$20,MATCH(D19,'Materials Master'!$A$2:$A$20,0)),IF(B19="Paper Recycling",INDEX('Materials Master'!$J$2:$J$20,MATCH(D19,'Materials Master'!$A$2:$A$20,0)),IF(B19="Terracycle",INDEX('Materials Master'!$K$2:$K$20,MATCH(D19,'Materials Master'!$A$2:$A$20,0)),"No")))))),"")</f>
        <v>No</v>
      </c>
      <c r="K19" s="0" t="str">
        <f aca="false">IFERROR(INDEX(Areas!$C$2:$C$3,MATCH(C19,Areas!$B$2:$B$3,0)),"")</f>
        <v>Cafeteria</v>
      </c>
    </row>
    <row r="20" customFormat="false" ht="15" hidden="false" customHeight="false" outlineLevel="0" collapsed="false">
      <c r="A20" s="0" t="s">
        <v>95</v>
      </c>
      <c r="B20" s="0" t="s">
        <v>84</v>
      </c>
      <c r="C20" s="0" t="s">
        <v>79</v>
      </c>
      <c r="D20" s="0" t="s">
        <v>51</v>
      </c>
      <c r="E20" s="0" t="n">
        <v>2.34</v>
      </c>
      <c r="F20" s="0" t="str">
        <f aca="false">IFERROR(INDEX('Materials Master'!$B$2:$B$20,MATCH(D20,'Materials Master'!$A$2:$A$20,0)),"")</f>
        <v>Rigid Plastics (1-6)</v>
      </c>
      <c r="G20" s="0" t="str">
        <f aca="false">IFERROR(INDEX('Materials Master'!$C$2:$C$20,MATCH(D20,'Materials Master'!$A$2:$A$20,0)),"")</f>
        <v>Plastics</v>
      </c>
      <c r="H20" s="0" t="str">
        <f aca="false">IFERROR(INDEX('Materials Master'!$D$2:$D$20,MATCH(D20,'Materials Master'!$A$2:$A$20,0)),"")</f>
        <v>Yes</v>
      </c>
      <c r="I20" s="0" t="str">
        <f aca="false">IFERROR(INDEX('Materials Master'!$E$2:$E$20,MATCH(D20,'Materials Master'!$A$2:$A$20,0)),"")</f>
        <v>Yes</v>
      </c>
      <c r="J20" s="0" t="str">
        <f aca="false">IFERROR(IF(B20="Trash",INDEX('Materials Master'!$F$2:$F$20,MATCH(D20,'Materials Master'!$A$2:$A$20,0)),IF(B20="GMPC Recycling",INDEX('Materials Master'!$G$2:$G$20,MATCH(D20,'Materials Master'!$A$2:$A$20,0)),IF(B20="Organics Recycling",INDEX('Materials Master'!$H$2:$H$20,MATCH(D20,'Materials Master'!$A$2:$A$20,0)),IF(B20="Cardboard Recycling",INDEX('Materials Master'!$I$2:$I$20,MATCH(D20,'Materials Master'!$A$2:$A$20,0)),IF(B20="Paper Recycling",INDEX('Materials Master'!$J$2:$J$20,MATCH(D20,'Materials Master'!$A$2:$A$20,0)),IF(B20="Terracycle",INDEX('Materials Master'!$K$2:$K$20,MATCH(D20,'Materials Master'!$A$2:$A$20,0)),"No")))))),"")</f>
        <v>Yes</v>
      </c>
      <c r="K20" s="0" t="str">
        <f aca="false">IFERROR(INDEX(Areas!$C$2:$C$3,MATCH(C20,Areas!$B$2:$B$3,0)),"")</f>
        <v>Cafeteria</v>
      </c>
    </row>
    <row r="21" customFormat="false" ht="15" hidden="false" customHeight="false" outlineLevel="0" collapsed="false">
      <c r="A21" s="0" t="s">
        <v>95</v>
      </c>
      <c r="B21" s="0" t="s">
        <v>84</v>
      </c>
      <c r="C21" s="0" t="s">
        <v>79</v>
      </c>
      <c r="D21" s="0" t="s">
        <v>54</v>
      </c>
      <c r="E21" s="0" t="n">
        <v>0.53</v>
      </c>
      <c r="F21" s="0" t="str">
        <f aca="false">IFERROR(INDEX('Materials Master'!$B$2:$B$20,MATCH(D21,'Materials Master'!$A$2:$A$20,0)),"")</f>
        <v>Soiled Rigid Plastics</v>
      </c>
      <c r="G21" s="0" t="str">
        <f aca="false">IFERROR(INDEX('Materials Master'!$C$2:$C$20,MATCH(D21,'Materials Master'!$A$2:$A$20,0)),"")</f>
        <v>Plastics</v>
      </c>
      <c r="H21" s="0" t="str">
        <f aca="false">IFERROR(INDEX('Materials Master'!$D$2:$D$20,MATCH(D21,'Materials Master'!$A$2:$A$20,0)),"")</f>
        <v>No</v>
      </c>
      <c r="I21" s="0" t="str">
        <f aca="false">IFERROR(INDEX('Materials Master'!$E$2:$E$20,MATCH(D21,'Materials Master'!$A$2:$A$20,0)),"")</f>
        <v>No</v>
      </c>
      <c r="J21" s="0" t="str">
        <f aca="false">IFERROR(IF(B21="Trash",INDEX('Materials Master'!$F$2:$F$20,MATCH(D21,'Materials Master'!$A$2:$A$20,0)),IF(B21="GMPC Recycling",INDEX('Materials Master'!$G$2:$G$20,MATCH(D21,'Materials Master'!$A$2:$A$20,0)),IF(B21="Organics Recycling",INDEX('Materials Master'!$H$2:$H$20,MATCH(D21,'Materials Master'!$A$2:$A$20,0)),IF(B21="Cardboard Recycling",INDEX('Materials Master'!$I$2:$I$20,MATCH(D21,'Materials Master'!$A$2:$A$20,0)),IF(B21="Paper Recycling",INDEX('Materials Master'!$J$2:$J$20,MATCH(D21,'Materials Master'!$A$2:$A$20,0)),IF(B21="Terracycle",INDEX('Materials Master'!$K$2:$K$20,MATCH(D21,'Materials Master'!$A$2:$A$20,0)),"No")))))),"")</f>
        <v>No</v>
      </c>
      <c r="K21" s="0" t="str">
        <f aca="false">IFERROR(INDEX(Areas!$C$2:$C$3,MATCH(C21,Areas!$B$2:$B$3,0)),"")</f>
        <v>Cafeteria</v>
      </c>
    </row>
    <row r="22" customFormat="false" ht="15" hidden="false" customHeight="false" outlineLevel="0" collapsed="false">
      <c r="A22" s="0" t="s">
        <v>95</v>
      </c>
      <c r="B22" s="0" t="s">
        <v>84</v>
      </c>
      <c r="C22" s="0" t="s">
        <v>79</v>
      </c>
      <c r="D22" s="0" t="s">
        <v>56</v>
      </c>
      <c r="E22" s="0" t="n">
        <v>0.96</v>
      </c>
      <c r="F22" s="0" t="str">
        <f aca="false">IFERROR(INDEX('Materials Master'!$B$2:$B$20,MATCH(D22,'Materials Master'!$A$2:$A$20,0)),"")</f>
        <v>Film Plastics</v>
      </c>
      <c r="G22" s="0" t="str">
        <f aca="false">IFERROR(INDEX('Materials Master'!$C$2:$C$20,MATCH(D22,'Materials Master'!$A$2:$A$20,0)),"")</f>
        <v>Plastics</v>
      </c>
      <c r="H22" s="0" t="str">
        <f aca="false">IFERROR(INDEX('Materials Master'!$D$2:$D$20,MATCH(D22,'Materials Master'!$A$2:$A$20,0)),"")</f>
        <v>No</v>
      </c>
      <c r="I22" s="0" t="str">
        <f aca="false">IFERROR(INDEX('Materials Master'!$E$2:$E$20,MATCH(D22,'Materials Master'!$A$2:$A$20,0)),"")</f>
        <v>No</v>
      </c>
      <c r="J22" s="0" t="str">
        <f aca="false">IFERROR(IF(B22="Trash",INDEX('Materials Master'!$F$2:$F$20,MATCH(D22,'Materials Master'!$A$2:$A$20,0)),IF(B22="GMPC Recycling",INDEX('Materials Master'!$G$2:$G$20,MATCH(D22,'Materials Master'!$A$2:$A$20,0)),IF(B22="Organics Recycling",INDEX('Materials Master'!$H$2:$H$20,MATCH(D22,'Materials Master'!$A$2:$A$20,0)),IF(B22="Cardboard Recycling",INDEX('Materials Master'!$I$2:$I$20,MATCH(D22,'Materials Master'!$A$2:$A$20,0)),IF(B22="Paper Recycling",INDEX('Materials Master'!$J$2:$J$20,MATCH(D22,'Materials Master'!$A$2:$A$20,0)),IF(B22="Terracycle",INDEX('Materials Master'!$K$2:$K$20,MATCH(D22,'Materials Master'!$A$2:$A$20,0)),"No")))))),"")</f>
        <v>No</v>
      </c>
      <c r="K22" s="0" t="str">
        <f aca="false">IFERROR(INDEX(Areas!$C$2:$C$3,MATCH(C22,Areas!$B$2:$B$3,0)),"")</f>
        <v>Cafeteria</v>
      </c>
    </row>
    <row r="23" customFormat="false" ht="15" hidden="false" customHeight="false" outlineLevel="0" collapsed="false">
      <c r="A23" s="0" t="s">
        <v>95</v>
      </c>
      <c r="B23" s="0" t="s">
        <v>84</v>
      </c>
      <c r="C23" s="0" t="s">
        <v>79</v>
      </c>
      <c r="D23" s="0" t="s">
        <v>58</v>
      </c>
      <c r="E23" s="0" t="n">
        <v>0.96</v>
      </c>
      <c r="F23" s="0" t="str">
        <f aca="false">IFERROR(INDEX('Materials Master'!$B$2:$B$20,MATCH(D23,'Materials Master'!$A$2:$A$20,0)),"")</f>
        <v>Waste Disposal Bags</v>
      </c>
      <c r="G23" s="0" t="str">
        <f aca="false">IFERROR(INDEX('Materials Master'!$C$2:$C$20,MATCH(D23,'Materials Master'!$A$2:$A$20,0)),"")</f>
        <v>Plastics</v>
      </c>
      <c r="H23" s="0" t="str">
        <f aca="false">IFERROR(INDEX('Materials Master'!$D$2:$D$20,MATCH(D23,'Materials Master'!$A$2:$A$20,0)),"")</f>
        <v>No</v>
      </c>
      <c r="I23" s="0" t="str">
        <f aca="false">IFERROR(INDEX('Materials Master'!$E$2:$E$20,MATCH(D23,'Materials Master'!$A$2:$A$20,0)),"")</f>
        <v>No</v>
      </c>
      <c r="J23" s="0" t="str">
        <f aca="false">IFERROR(IF(B23="Trash",INDEX('Materials Master'!$F$2:$F$20,MATCH(D23,'Materials Master'!$A$2:$A$20,0)),IF(B23="GMPC Recycling",INDEX('Materials Master'!$G$2:$G$20,MATCH(D23,'Materials Master'!$A$2:$A$20,0)),IF(B23="Organics Recycling",INDEX('Materials Master'!$H$2:$H$20,MATCH(D23,'Materials Master'!$A$2:$A$20,0)),IF(B23="Cardboard Recycling",INDEX('Materials Master'!$I$2:$I$20,MATCH(D23,'Materials Master'!$A$2:$A$20,0)),IF(B23="Paper Recycling",INDEX('Materials Master'!$J$2:$J$20,MATCH(D23,'Materials Master'!$A$2:$A$20,0)),IF(B23="Terracycle",INDEX('Materials Master'!$K$2:$K$20,MATCH(D23,'Materials Master'!$A$2:$A$20,0)),"No")))))),"")</f>
        <v>No</v>
      </c>
      <c r="K23" s="0" t="str">
        <f aca="false">IFERROR(INDEX(Areas!$C$2:$C$3,MATCH(C23,Areas!$B$2:$B$3,0)),"")</f>
        <v>Cafeteria</v>
      </c>
    </row>
    <row r="24" customFormat="false" ht="15" hidden="false" customHeight="false" outlineLevel="0" collapsed="false">
      <c r="A24" s="0" t="s">
        <v>95</v>
      </c>
      <c r="B24" s="0" t="s">
        <v>84</v>
      </c>
      <c r="C24" s="0" t="s">
        <v>79</v>
      </c>
      <c r="D24" s="0" t="s">
        <v>60</v>
      </c>
      <c r="E24" s="0" t="n">
        <v>2.34</v>
      </c>
      <c r="F24" s="0" t="str">
        <f aca="false">IFERROR(INDEX('Materials Master'!$B$2:$B$20,MATCH(D24,'Materials Master'!$A$2:$A$20,0)),"")</f>
        <v>Food Waste</v>
      </c>
      <c r="G24" s="0" t="str">
        <f aca="false">IFERROR(INDEX('Materials Master'!$C$2:$C$20,MATCH(D24,'Materials Master'!$A$2:$A$20,0)),"")</f>
        <v>Organics</v>
      </c>
      <c r="H24" s="0" t="str">
        <f aca="false">IFERROR(INDEX('Materials Master'!$D$2:$D$20,MATCH(D24,'Materials Master'!$A$2:$A$20,0)),"")</f>
        <v>No</v>
      </c>
      <c r="I24" s="0" t="str">
        <f aca="false">IFERROR(INDEX('Materials Master'!$E$2:$E$20,MATCH(D24,'Materials Master'!$A$2:$A$20,0)),"")</f>
        <v>Yes</v>
      </c>
      <c r="J24" s="0" t="str">
        <f aca="false">IFERROR(IF(B24="Trash",INDEX('Materials Master'!$F$2:$F$20,MATCH(D24,'Materials Master'!$A$2:$A$20,0)),IF(B24="GMPC Recycling",INDEX('Materials Master'!$G$2:$G$20,MATCH(D24,'Materials Master'!$A$2:$A$20,0)),IF(B24="Organics Recycling",INDEX('Materials Master'!$H$2:$H$20,MATCH(D24,'Materials Master'!$A$2:$A$20,0)),IF(B24="Cardboard Recycling",INDEX('Materials Master'!$I$2:$I$20,MATCH(D24,'Materials Master'!$A$2:$A$20,0)),IF(B24="Paper Recycling",INDEX('Materials Master'!$J$2:$J$20,MATCH(D24,'Materials Master'!$A$2:$A$20,0)),IF(B24="Terracycle",INDEX('Materials Master'!$K$2:$K$20,MATCH(D24,'Materials Master'!$A$2:$A$20,0)),"No")))))),"")</f>
        <v>No</v>
      </c>
      <c r="K24" s="0" t="str">
        <f aca="false">IFERROR(INDEX(Areas!$C$2:$C$3,MATCH(C24,Areas!$B$2:$B$3,0)),"")</f>
        <v>Cafeteria</v>
      </c>
    </row>
    <row r="25" customFormat="false" ht="15" hidden="false" customHeight="false" outlineLevel="0" collapsed="false">
      <c r="A25" s="0" t="s">
        <v>95</v>
      </c>
      <c r="B25" s="0" t="s">
        <v>84</v>
      </c>
      <c r="C25" s="0" t="s">
        <v>79</v>
      </c>
      <c r="D25" s="0" t="s">
        <v>63</v>
      </c>
      <c r="E25" s="0" t="n">
        <v>0.43</v>
      </c>
      <c r="F25" s="0" t="str">
        <f aca="false">IFERROR(INDEX('Materials Master'!$B$2:$B$20,MATCH(D25,'Materials Master'!$A$2:$A$20,0)),"")</f>
        <v>Paper Fibers and FSP</v>
      </c>
      <c r="G25" s="0" t="str">
        <f aca="false">IFERROR(INDEX('Materials Master'!$C$2:$C$20,MATCH(D25,'Materials Master'!$A$2:$A$20,0)),"")</f>
        <v>Organics</v>
      </c>
      <c r="H25" s="0" t="str">
        <f aca="false">IFERROR(INDEX('Materials Master'!$D$2:$D$20,MATCH(D25,'Materials Master'!$A$2:$A$20,0)),"")</f>
        <v>No</v>
      </c>
      <c r="I25" s="0" t="str">
        <f aca="false">IFERROR(INDEX('Materials Master'!$E$2:$E$20,MATCH(D25,'Materials Master'!$A$2:$A$20,0)),"")</f>
        <v>No</v>
      </c>
      <c r="J25" s="0" t="str">
        <f aca="false">IFERROR(IF(B25="Trash",INDEX('Materials Master'!$F$2:$F$20,MATCH(D25,'Materials Master'!$A$2:$A$20,0)),IF(B25="GMPC Recycling",INDEX('Materials Master'!$G$2:$G$20,MATCH(D25,'Materials Master'!$A$2:$A$20,0)),IF(B25="Organics Recycling",INDEX('Materials Master'!$H$2:$H$20,MATCH(D25,'Materials Master'!$A$2:$A$20,0)),IF(B25="Cardboard Recycling",INDEX('Materials Master'!$I$2:$I$20,MATCH(D25,'Materials Master'!$A$2:$A$20,0)),IF(B25="Paper Recycling",INDEX('Materials Master'!$J$2:$J$20,MATCH(D25,'Materials Master'!$A$2:$A$20,0)),IF(B25="Terracycle",INDEX('Materials Master'!$K$2:$K$20,MATCH(D25,'Materials Master'!$A$2:$A$20,0)),"No")))))),"")</f>
        <v>No</v>
      </c>
      <c r="K25" s="0" t="str">
        <f aca="false">IFERROR(INDEX(Areas!$C$2:$C$3,MATCH(C25,Areas!$B$2:$B$3,0)),"")</f>
        <v>Cafeteria</v>
      </c>
    </row>
    <row r="26" customFormat="false" ht="15" hidden="false" customHeight="false" outlineLevel="0" collapsed="false">
      <c r="A26" s="0" t="s">
        <v>95</v>
      </c>
      <c r="B26" s="0" t="s">
        <v>84</v>
      </c>
      <c r="C26" s="0" t="s">
        <v>79</v>
      </c>
      <c r="D26" s="0" t="s">
        <v>65</v>
      </c>
      <c r="E26" s="0" t="n">
        <v>1.17</v>
      </c>
      <c r="F26" s="0" t="str">
        <f aca="false">IFERROR(INDEX('Materials Master'!$B$2:$B$20,MATCH(D26,'Materials Master'!$A$2:$A$20,0)),"")</f>
        <v>Certified Compostables</v>
      </c>
      <c r="G26" s="0" t="str">
        <f aca="false">IFERROR(INDEX('Materials Master'!$C$2:$C$20,MATCH(D26,'Materials Master'!$A$2:$A$20,0)),"")</f>
        <v>Organics</v>
      </c>
      <c r="H26" s="0" t="str">
        <f aca="false">IFERROR(INDEX('Materials Master'!$D$2:$D$20,MATCH(D26,'Materials Master'!$A$2:$A$20,0)),"")</f>
        <v>No</v>
      </c>
      <c r="I26" s="0" t="str">
        <f aca="false">IFERROR(INDEX('Materials Master'!$E$2:$E$20,MATCH(D26,'Materials Master'!$A$2:$A$20,0)),"")</f>
        <v>No</v>
      </c>
      <c r="J26" s="0" t="str">
        <f aca="false">IFERROR(IF(B26="Trash",INDEX('Materials Master'!$F$2:$F$20,MATCH(D26,'Materials Master'!$A$2:$A$20,0)),IF(B26="GMPC Recycling",INDEX('Materials Master'!$G$2:$G$20,MATCH(D26,'Materials Master'!$A$2:$A$20,0)),IF(B26="Organics Recycling",INDEX('Materials Master'!$H$2:$H$20,MATCH(D26,'Materials Master'!$A$2:$A$20,0)),IF(B26="Cardboard Recycling",INDEX('Materials Master'!$I$2:$I$20,MATCH(D26,'Materials Master'!$A$2:$A$20,0)),IF(B26="Paper Recycling",INDEX('Materials Master'!$J$2:$J$20,MATCH(D26,'Materials Master'!$A$2:$A$20,0)),IF(B26="Terracycle",INDEX('Materials Master'!$K$2:$K$20,MATCH(D26,'Materials Master'!$A$2:$A$20,0)),"No")))))),"")</f>
        <v>No</v>
      </c>
      <c r="K26" s="0" t="str">
        <f aca="false">IFERROR(INDEX(Areas!$C$2:$C$3,MATCH(C26,Areas!$B$2:$B$3,0)),"")</f>
        <v>Cafeteria</v>
      </c>
    </row>
    <row r="27" customFormat="false" ht="15" hidden="false" customHeight="false" outlineLevel="0" collapsed="false">
      <c r="A27" s="0" t="s">
        <v>95</v>
      </c>
      <c r="B27" s="0" t="s">
        <v>84</v>
      </c>
      <c r="C27" s="0" t="s">
        <v>79</v>
      </c>
      <c r="D27" s="0" t="s">
        <v>70</v>
      </c>
      <c r="E27" s="0" t="n">
        <v>2.56</v>
      </c>
      <c r="F27" s="0" t="str">
        <f aca="false">IFERROR(INDEX('Materials Master'!$B$2:$B$20,MATCH(D27,'Materials Master'!$A$2:$A$20,0)),"")</f>
        <v>Liquids</v>
      </c>
      <c r="G27" s="0" t="str">
        <f aca="false">IFERROR(INDEX('Materials Master'!$C$2:$C$20,MATCH(D27,'Materials Master'!$A$2:$A$20,0)),"")</f>
        <v>Unacceptable</v>
      </c>
      <c r="H27" s="0" t="str">
        <f aca="false">IFERROR(INDEX('Materials Master'!$D$2:$D$20,MATCH(D27,'Materials Master'!$A$2:$A$20,0)),"")</f>
        <v>Unacceptable</v>
      </c>
      <c r="I27" s="0" t="str">
        <f aca="false">IFERROR(INDEX('Materials Master'!$E$2:$E$20,MATCH(D27,'Materials Master'!$A$2:$A$20,0)),"")</f>
        <v>No</v>
      </c>
      <c r="J27" s="0" t="str">
        <f aca="false">IFERROR(IF(B27="Trash",INDEX('Materials Master'!$F$2:$F$20,MATCH(D27,'Materials Master'!$A$2:$A$20,0)),IF(B27="GMPC Recycling",INDEX('Materials Master'!$G$2:$G$20,MATCH(D27,'Materials Master'!$A$2:$A$20,0)),IF(B27="Organics Recycling",INDEX('Materials Master'!$H$2:$H$20,MATCH(D27,'Materials Master'!$A$2:$A$20,0)),IF(B27="Cardboard Recycling",INDEX('Materials Master'!$I$2:$I$20,MATCH(D27,'Materials Master'!$A$2:$A$20,0)),IF(B27="Paper Recycling",INDEX('Materials Master'!$J$2:$J$20,MATCH(D27,'Materials Master'!$A$2:$A$20,0)),IF(B27="Terracycle",INDEX('Materials Master'!$K$2:$K$20,MATCH(D27,'Materials Master'!$A$2:$A$20,0)),"No")))))),"")</f>
        <v>No</v>
      </c>
      <c r="K27" s="0" t="str">
        <f aca="false">IFERROR(INDEX(Areas!$C$2:$C$3,MATCH(C27,Areas!$B$2:$B$3,0)),"")</f>
        <v>Cafeteria</v>
      </c>
    </row>
    <row r="28" customFormat="false" ht="15" hidden="false" customHeight="false" outlineLevel="0" collapsed="false">
      <c r="A28" s="0" t="s">
        <v>95</v>
      </c>
      <c r="B28" s="0" t="s">
        <v>84</v>
      </c>
      <c r="C28" s="0" t="s">
        <v>79</v>
      </c>
      <c r="D28" s="0" t="s">
        <v>72</v>
      </c>
      <c r="E28" s="0" t="n">
        <v>1.39</v>
      </c>
      <c r="F28" s="0" t="str">
        <f aca="false">IFERROR(INDEX('Materials Master'!$B$2:$B$20,MATCH(D28,'Materials Master'!$A$2:$A$20,0)),"")</f>
        <v>Residual Materials</v>
      </c>
      <c r="G28" s="0" t="str">
        <f aca="false">IFERROR(INDEX('Materials Master'!$C$2:$C$20,MATCH(D28,'Materials Master'!$A$2:$A$20,0)),"")</f>
        <v>Other</v>
      </c>
      <c r="H28" s="0" t="str">
        <f aca="false">IFERROR(INDEX('Materials Master'!$D$2:$D$20,MATCH(D28,'Materials Master'!$A$2:$A$20,0)),"")</f>
        <v>No</v>
      </c>
      <c r="I28" s="0" t="str">
        <f aca="false">IFERROR(INDEX('Materials Master'!$E$2:$E$20,MATCH(D28,'Materials Master'!$A$2:$A$20,0)),"")</f>
        <v>No</v>
      </c>
      <c r="J28" s="0" t="str">
        <f aca="false">IFERROR(IF(B28="Trash",INDEX('Materials Master'!$F$2:$F$20,MATCH(D28,'Materials Master'!$A$2:$A$20,0)),IF(B28="GMPC Recycling",INDEX('Materials Master'!$G$2:$G$20,MATCH(D28,'Materials Master'!$A$2:$A$20,0)),IF(B28="Organics Recycling",INDEX('Materials Master'!$H$2:$H$20,MATCH(D28,'Materials Master'!$A$2:$A$20,0)),IF(B28="Cardboard Recycling",INDEX('Materials Master'!$I$2:$I$20,MATCH(D28,'Materials Master'!$A$2:$A$20,0)),IF(B28="Paper Recycling",INDEX('Materials Master'!$J$2:$J$20,MATCH(D28,'Materials Master'!$A$2:$A$20,0)),IF(B28="Terracycle",INDEX('Materials Master'!$K$2:$K$20,MATCH(D28,'Materials Master'!$A$2:$A$20,0)),"No")))))),"")</f>
        <v>No</v>
      </c>
      <c r="K28" s="0" t="str">
        <f aca="false">IFERROR(INDEX(Areas!$C$2:$C$3,MATCH(C28,Areas!$B$2:$B$3,0)),"")</f>
        <v>Cafeteria</v>
      </c>
    </row>
    <row r="29" customFormat="false" ht="15" hidden="false" customHeight="false" outlineLevel="0" collapsed="false">
      <c r="A29" s="0" t="s">
        <v>95</v>
      </c>
      <c r="B29" s="0" t="s">
        <v>86</v>
      </c>
      <c r="C29" s="0" t="s">
        <v>79</v>
      </c>
      <c r="D29" s="0" t="s">
        <v>28</v>
      </c>
      <c r="E29" s="0" t="n">
        <v>82.14</v>
      </c>
      <c r="F29" s="0" t="str">
        <f aca="false">IFERROR(INDEX('Materials Master'!$B$2:$B$20,MATCH(D29,'Materials Master'!$A$2:$A$20,0)),"")</f>
        <v>Corrugated Cardboard</v>
      </c>
      <c r="G29" s="0" t="str">
        <f aca="false">IFERROR(INDEX('Materials Master'!$C$2:$C$20,MATCH(D29,'Materials Master'!$A$2:$A$20,0)),"")</f>
        <v>Fibers</v>
      </c>
      <c r="H29" s="0" t="str">
        <f aca="false">IFERROR(INDEX('Materials Master'!$D$2:$D$20,MATCH(D29,'Materials Master'!$A$2:$A$20,0)),"")</f>
        <v>Yes</v>
      </c>
      <c r="I29" s="0" t="str">
        <f aca="false">IFERROR(INDEX('Materials Master'!$E$2:$E$20,MATCH(D29,'Materials Master'!$A$2:$A$20,0)),"")</f>
        <v>Yes</v>
      </c>
      <c r="J29" s="0" t="str">
        <f aca="false">IFERROR(IF(B29="Trash",INDEX('Materials Master'!$F$2:$F$20,MATCH(D29,'Materials Master'!$A$2:$A$20,0)),IF(B29="GMPC Recycling",INDEX('Materials Master'!$G$2:$G$20,MATCH(D29,'Materials Master'!$A$2:$A$20,0)),IF(B29="Organics Recycling",INDEX('Materials Master'!$H$2:$H$20,MATCH(D29,'Materials Master'!$A$2:$A$20,0)),IF(B29="Cardboard Recycling",INDEX('Materials Master'!$I$2:$I$20,MATCH(D29,'Materials Master'!$A$2:$A$20,0)),IF(B29="Paper Recycling",INDEX('Materials Master'!$J$2:$J$20,MATCH(D29,'Materials Master'!$A$2:$A$20,0)),IF(B29="Terracycle",INDEX('Materials Master'!$K$2:$K$20,MATCH(D29,'Materials Master'!$A$2:$A$20,0)),"No")))))),"")</f>
        <v>Yes</v>
      </c>
      <c r="K29" s="0" t="str">
        <f aca="false">IFERROR(INDEX(Areas!$C$2:$C$3,MATCH(C29,Areas!$B$2:$B$3,0)),"")</f>
        <v>Cafeteria</v>
      </c>
    </row>
    <row r="30" customFormat="false" ht="15" hidden="false" customHeight="false" outlineLevel="0" collapsed="false">
      <c r="A30" s="0" t="s">
        <v>95</v>
      </c>
      <c r="B30" s="0" t="s">
        <v>86</v>
      </c>
      <c r="C30" s="0" t="s">
        <v>79</v>
      </c>
      <c r="D30" s="0" t="s">
        <v>33</v>
      </c>
      <c r="E30" s="0" t="n">
        <v>5.26</v>
      </c>
      <c r="F30" s="0" t="str">
        <f aca="false">IFERROR(INDEX('Materials Master'!$B$2:$B$20,MATCH(D30,'Materials Master'!$A$2:$A$20,0)),"")</f>
        <v>Waxed Cardboard</v>
      </c>
      <c r="G30" s="0" t="str">
        <f aca="false">IFERROR(INDEX('Materials Master'!$C$2:$C$20,MATCH(D30,'Materials Master'!$A$2:$A$20,0)),"")</f>
        <v>Fibers</v>
      </c>
      <c r="H30" s="0" t="str">
        <f aca="false">IFERROR(INDEX('Materials Master'!$D$2:$D$20,MATCH(D30,'Materials Master'!$A$2:$A$20,0)),"")</f>
        <v>No</v>
      </c>
      <c r="I30" s="0" t="str">
        <f aca="false">IFERROR(INDEX('Materials Master'!$E$2:$E$20,MATCH(D30,'Materials Master'!$A$2:$A$20,0)),"")</f>
        <v>No</v>
      </c>
      <c r="J30" s="0" t="str">
        <f aca="false">IFERROR(IF(B30="Trash",INDEX('Materials Master'!$F$2:$F$20,MATCH(D30,'Materials Master'!$A$2:$A$20,0)),IF(B30="GMPC Recycling",INDEX('Materials Master'!$G$2:$G$20,MATCH(D30,'Materials Master'!$A$2:$A$20,0)),IF(B30="Organics Recycling",INDEX('Materials Master'!$H$2:$H$20,MATCH(D30,'Materials Master'!$A$2:$A$20,0)),IF(B30="Cardboard Recycling",INDEX('Materials Master'!$I$2:$I$20,MATCH(D30,'Materials Master'!$A$2:$A$20,0)),IF(B30="Paper Recycling",INDEX('Materials Master'!$J$2:$J$20,MATCH(D30,'Materials Master'!$A$2:$A$20,0)),IF(B30="Terracycle",INDEX('Materials Master'!$K$2:$K$20,MATCH(D30,'Materials Master'!$A$2:$A$20,0)),"No")))))),"")</f>
        <v>No</v>
      </c>
      <c r="K30" s="0" t="str">
        <f aca="false">IFERROR(INDEX(Areas!$C$2:$C$3,MATCH(C30,Areas!$B$2:$B$3,0)),"")</f>
        <v>Cafeteria</v>
      </c>
    </row>
    <row r="31" customFormat="false" ht="15" hidden="false" customHeight="false" outlineLevel="0" collapsed="false">
      <c r="A31" s="0" t="s">
        <v>95</v>
      </c>
      <c r="B31" s="0" t="s">
        <v>85</v>
      </c>
      <c r="C31" s="0" t="s">
        <v>79</v>
      </c>
      <c r="D31" s="0" t="s">
        <v>35</v>
      </c>
      <c r="E31" s="0" t="n">
        <v>1.58</v>
      </c>
      <c r="F31" s="0" t="str">
        <f aca="false">IFERROR(INDEX('Materials Master'!$B$2:$B$20,MATCH(D31,'Materials Master'!$A$2:$A$20,0)),"")</f>
        <v>Mixed Paper</v>
      </c>
      <c r="G31" s="0" t="str">
        <f aca="false">IFERROR(INDEX('Materials Master'!$C$2:$C$20,MATCH(D31,'Materials Master'!$A$2:$A$20,0)),"")</f>
        <v>Fibers</v>
      </c>
      <c r="H31" s="0" t="str">
        <f aca="false">IFERROR(INDEX('Materials Master'!$D$2:$D$20,MATCH(D31,'Materials Master'!$A$2:$A$20,0)),"")</f>
        <v>Yes</v>
      </c>
      <c r="I31" s="0" t="str">
        <f aca="false">IFERROR(INDEX('Materials Master'!$E$2:$E$20,MATCH(D31,'Materials Master'!$A$2:$A$20,0)),"")</f>
        <v>Yes</v>
      </c>
      <c r="J31" s="0" t="str">
        <f aca="false">IFERROR(IF(B31="Trash",INDEX('Materials Master'!$F$2:$F$20,MATCH(D31,'Materials Master'!$A$2:$A$20,0)),IF(B31="GMPC Recycling",INDEX('Materials Master'!$G$2:$G$20,MATCH(D31,'Materials Master'!$A$2:$A$20,0)),IF(B31="Organics Recycling",INDEX('Materials Master'!$H$2:$H$20,MATCH(D31,'Materials Master'!$A$2:$A$20,0)),IF(B31="Cardboard Recycling",INDEX('Materials Master'!$I$2:$I$20,MATCH(D31,'Materials Master'!$A$2:$A$20,0)),IF(B31="Paper Recycling",INDEX('Materials Master'!$J$2:$J$20,MATCH(D31,'Materials Master'!$A$2:$A$20,0)),IF(B31="Terracycle",INDEX('Materials Master'!$K$2:$K$20,MATCH(D31,'Materials Master'!$A$2:$A$20,0)),"No")))))),"")</f>
        <v>Yes</v>
      </c>
      <c r="K31" s="0" t="str">
        <f aca="false">IFERROR(INDEX(Areas!$C$2:$C$3,MATCH(C31,Areas!$B$2:$B$3,0)),"")</f>
        <v>Cafeteria</v>
      </c>
    </row>
    <row r="32" customFormat="false" ht="15" hidden="false" customHeight="false" outlineLevel="0" collapsed="false">
      <c r="A32" s="0" t="s">
        <v>95</v>
      </c>
      <c r="B32" s="0" t="s">
        <v>85</v>
      </c>
      <c r="C32" s="0" t="s">
        <v>79</v>
      </c>
      <c r="D32" s="0" t="s">
        <v>39</v>
      </c>
      <c r="E32" s="0" t="n">
        <v>0.06</v>
      </c>
      <c r="F32" s="0" t="str">
        <f aca="false">IFERROR(INDEX('Materials Master'!$B$2:$B$20,MATCH(D32,'Materials Master'!$A$2:$A$20,0)),"")</f>
        <v>Other Coated Paper Containers</v>
      </c>
      <c r="G32" s="0" t="str">
        <f aca="false">IFERROR(INDEX('Materials Master'!$C$2:$C$20,MATCH(D32,'Materials Master'!$A$2:$A$20,0)),"")</f>
        <v>Fibers</v>
      </c>
      <c r="H32" s="0" t="str">
        <f aca="false">IFERROR(INDEX('Materials Master'!$D$2:$D$20,MATCH(D32,'Materials Master'!$A$2:$A$20,0)),"")</f>
        <v>No</v>
      </c>
      <c r="I32" s="0" t="str">
        <f aca="false">IFERROR(INDEX('Materials Master'!$E$2:$E$20,MATCH(D32,'Materials Master'!$A$2:$A$20,0)),"")</f>
        <v>No</v>
      </c>
      <c r="J32" s="0" t="str">
        <f aca="false">IFERROR(IF(B32="Trash",INDEX('Materials Master'!$F$2:$F$20,MATCH(D32,'Materials Master'!$A$2:$A$20,0)),IF(B32="GMPC Recycling",INDEX('Materials Master'!$G$2:$G$20,MATCH(D32,'Materials Master'!$A$2:$A$20,0)),IF(B32="Organics Recycling",INDEX('Materials Master'!$H$2:$H$20,MATCH(D32,'Materials Master'!$A$2:$A$20,0)),IF(B32="Cardboard Recycling",INDEX('Materials Master'!$I$2:$I$20,MATCH(D32,'Materials Master'!$A$2:$A$20,0)),IF(B32="Paper Recycling",INDEX('Materials Master'!$J$2:$J$20,MATCH(D32,'Materials Master'!$A$2:$A$20,0)),IF(B32="Terracycle",INDEX('Materials Master'!$K$2:$K$20,MATCH(D32,'Materials Master'!$A$2:$A$20,0)),"No")))))),"")</f>
        <v>No</v>
      </c>
      <c r="K32" s="0" t="str">
        <f aca="false">IFERROR(INDEX(Areas!$C$2:$C$3,MATCH(C32,Areas!$B$2:$B$3,0)),"")</f>
        <v>Cafeteria</v>
      </c>
    </row>
    <row r="33" customFormat="false" ht="15" hidden="false" customHeight="false" outlineLevel="0" collapsed="false">
      <c r="A33" s="0" t="s">
        <v>95</v>
      </c>
      <c r="B33" s="0" t="s">
        <v>85</v>
      </c>
      <c r="C33" s="0" t="s">
        <v>79</v>
      </c>
      <c r="D33" s="0" t="s">
        <v>46</v>
      </c>
      <c r="E33" s="0" t="n">
        <v>0.11</v>
      </c>
      <c r="F33" s="0" t="str">
        <f aca="false">IFERROR(INDEX('Materials Master'!$B$2:$B$20,MATCH(D33,'Materials Master'!$A$2:$A$20,0)),"")</f>
        <v>Aluminum &amp; Bi-metal Containers</v>
      </c>
      <c r="G33" s="0" t="str">
        <f aca="false">IFERROR(INDEX('Materials Master'!$C$2:$C$20,MATCH(D33,'Materials Master'!$A$2:$A$20,0)),"")</f>
        <v>Metals</v>
      </c>
      <c r="H33" s="0" t="str">
        <f aca="false">IFERROR(INDEX('Materials Master'!$D$2:$D$20,MATCH(D33,'Materials Master'!$A$2:$A$20,0)),"")</f>
        <v>Yes</v>
      </c>
      <c r="I33" s="0" t="str">
        <f aca="false">IFERROR(INDEX('Materials Master'!$E$2:$E$20,MATCH(D33,'Materials Master'!$A$2:$A$20,0)),"")</f>
        <v>Yes</v>
      </c>
      <c r="J33" s="0" t="str">
        <f aca="false">IFERROR(IF(B33="Trash",INDEX('Materials Master'!$F$2:$F$20,MATCH(D33,'Materials Master'!$A$2:$A$20,0)),IF(B33="GMPC Recycling",INDEX('Materials Master'!$G$2:$G$20,MATCH(D33,'Materials Master'!$A$2:$A$20,0)),IF(B33="Organics Recycling",INDEX('Materials Master'!$H$2:$H$20,MATCH(D33,'Materials Master'!$A$2:$A$20,0)),IF(B33="Cardboard Recycling",INDEX('Materials Master'!$I$2:$I$20,MATCH(D33,'Materials Master'!$A$2:$A$20,0)),IF(B33="Paper Recycling",INDEX('Materials Master'!$J$2:$J$20,MATCH(D33,'Materials Master'!$A$2:$A$20,0)),IF(B33="Terracycle",INDEX('Materials Master'!$K$2:$K$20,MATCH(D33,'Materials Master'!$A$2:$A$20,0)),"No")))))),"")</f>
        <v>No</v>
      </c>
      <c r="K33" s="0" t="str">
        <f aca="false">IFERROR(INDEX(Areas!$C$2:$C$3,MATCH(C33,Areas!$B$2:$B$3,0)),"")</f>
        <v>Cafeteria</v>
      </c>
    </row>
    <row r="34" customFormat="false" ht="15" hidden="false" customHeight="false" outlineLevel="0" collapsed="false">
      <c r="A34" s="0" t="s">
        <v>95</v>
      </c>
      <c r="B34" s="0" t="s">
        <v>85</v>
      </c>
      <c r="C34" s="0" t="s">
        <v>79</v>
      </c>
      <c r="D34" s="0" t="s">
        <v>51</v>
      </c>
      <c r="E34" s="0" t="n">
        <v>1.58</v>
      </c>
      <c r="F34" s="0" t="str">
        <f aca="false">IFERROR(INDEX('Materials Master'!$B$2:$B$20,MATCH(D34,'Materials Master'!$A$2:$A$20,0)),"")</f>
        <v>Rigid Plastics (1-6)</v>
      </c>
      <c r="G34" s="0" t="str">
        <f aca="false">IFERROR(INDEX('Materials Master'!$C$2:$C$20,MATCH(D34,'Materials Master'!$A$2:$A$20,0)),"")</f>
        <v>Plastics</v>
      </c>
      <c r="H34" s="0" t="str">
        <f aca="false">IFERROR(INDEX('Materials Master'!$D$2:$D$20,MATCH(D34,'Materials Master'!$A$2:$A$20,0)),"")</f>
        <v>Yes</v>
      </c>
      <c r="I34" s="0" t="str">
        <f aca="false">IFERROR(INDEX('Materials Master'!$E$2:$E$20,MATCH(D34,'Materials Master'!$A$2:$A$20,0)),"")</f>
        <v>Yes</v>
      </c>
      <c r="J34" s="0" t="str">
        <f aca="false">IFERROR(IF(B34="Trash",INDEX('Materials Master'!$F$2:$F$20,MATCH(D34,'Materials Master'!$A$2:$A$20,0)),IF(B34="GMPC Recycling",INDEX('Materials Master'!$G$2:$G$20,MATCH(D34,'Materials Master'!$A$2:$A$20,0)),IF(B34="Organics Recycling",INDEX('Materials Master'!$H$2:$H$20,MATCH(D34,'Materials Master'!$A$2:$A$20,0)),IF(B34="Cardboard Recycling",INDEX('Materials Master'!$I$2:$I$20,MATCH(D34,'Materials Master'!$A$2:$A$20,0)),IF(B34="Paper Recycling",INDEX('Materials Master'!$J$2:$J$20,MATCH(D34,'Materials Master'!$A$2:$A$20,0)),IF(B34="Terracycle",INDEX('Materials Master'!$K$2:$K$20,MATCH(D34,'Materials Master'!$A$2:$A$20,0)),"No")))))),"")</f>
        <v>No</v>
      </c>
      <c r="K34" s="0" t="str">
        <f aca="false">IFERROR(INDEX(Areas!$C$2:$C$3,MATCH(C34,Areas!$B$2:$B$3,0)),"")</f>
        <v>Cafeteria</v>
      </c>
    </row>
    <row r="35" customFormat="false" ht="15" hidden="false" customHeight="false" outlineLevel="0" collapsed="false">
      <c r="A35" s="0" t="s">
        <v>95</v>
      </c>
      <c r="B35" s="0" t="s">
        <v>85</v>
      </c>
      <c r="C35" s="0" t="s">
        <v>79</v>
      </c>
      <c r="D35" s="0" t="s">
        <v>60</v>
      </c>
      <c r="E35" s="0" t="n">
        <v>301.99</v>
      </c>
      <c r="F35" s="0" t="str">
        <f aca="false">IFERROR(INDEX('Materials Master'!$B$2:$B$20,MATCH(D35,'Materials Master'!$A$2:$A$20,0)),"")</f>
        <v>Food Waste</v>
      </c>
      <c r="G35" s="0" t="str">
        <f aca="false">IFERROR(INDEX('Materials Master'!$C$2:$C$20,MATCH(D35,'Materials Master'!$A$2:$A$20,0)),"")</f>
        <v>Organics</v>
      </c>
      <c r="H35" s="0" t="str">
        <f aca="false">IFERROR(INDEX('Materials Master'!$D$2:$D$20,MATCH(D35,'Materials Master'!$A$2:$A$20,0)),"")</f>
        <v>No</v>
      </c>
      <c r="I35" s="0" t="str">
        <f aca="false">IFERROR(INDEX('Materials Master'!$E$2:$E$20,MATCH(D35,'Materials Master'!$A$2:$A$20,0)),"")</f>
        <v>Yes</v>
      </c>
      <c r="J35" s="0" t="str">
        <f aca="false">IFERROR(IF(B35="Trash",INDEX('Materials Master'!$F$2:$F$20,MATCH(D35,'Materials Master'!$A$2:$A$20,0)),IF(B35="GMPC Recycling",INDEX('Materials Master'!$G$2:$G$20,MATCH(D35,'Materials Master'!$A$2:$A$20,0)),IF(B35="Organics Recycling",INDEX('Materials Master'!$H$2:$H$20,MATCH(D35,'Materials Master'!$A$2:$A$20,0)),IF(B35="Cardboard Recycling",INDEX('Materials Master'!$I$2:$I$20,MATCH(D35,'Materials Master'!$A$2:$A$20,0)),IF(B35="Paper Recycling",INDEX('Materials Master'!$J$2:$J$20,MATCH(D35,'Materials Master'!$A$2:$A$20,0)),IF(B35="Terracycle",INDEX('Materials Master'!$K$2:$K$20,MATCH(D35,'Materials Master'!$A$2:$A$20,0)),"No")))))),"")</f>
        <v>Yes</v>
      </c>
      <c r="K35" s="0" t="str">
        <f aca="false">IFERROR(INDEX(Areas!$C$2:$C$3,MATCH(C35,Areas!$B$2:$B$3,0)),"")</f>
        <v>Cafeteria</v>
      </c>
    </row>
    <row r="36" customFormat="false" ht="15" hidden="false" customHeight="false" outlineLevel="0" collapsed="false">
      <c r="A36" s="0" t="s">
        <v>95</v>
      </c>
      <c r="B36" s="0" t="s">
        <v>85</v>
      </c>
      <c r="C36" s="0" t="s">
        <v>79</v>
      </c>
      <c r="D36" s="0" t="s">
        <v>63</v>
      </c>
      <c r="E36" s="0" t="n">
        <v>0.11</v>
      </c>
      <c r="F36" s="0" t="str">
        <f aca="false">IFERROR(INDEX('Materials Master'!$B$2:$B$20,MATCH(D36,'Materials Master'!$A$2:$A$20,0)),"")</f>
        <v>Paper Fibers and FSP</v>
      </c>
      <c r="G36" s="0" t="str">
        <f aca="false">IFERROR(INDEX('Materials Master'!$C$2:$C$20,MATCH(D36,'Materials Master'!$A$2:$A$20,0)),"")</f>
        <v>Organics</v>
      </c>
      <c r="H36" s="0" t="str">
        <f aca="false">IFERROR(INDEX('Materials Master'!$D$2:$D$20,MATCH(D36,'Materials Master'!$A$2:$A$20,0)),"")</f>
        <v>No</v>
      </c>
      <c r="I36" s="0" t="str">
        <f aca="false">IFERROR(INDEX('Materials Master'!$E$2:$E$20,MATCH(D36,'Materials Master'!$A$2:$A$20,0)),"")</f>
        <v>No</v>
      </c>
      <c r="J36" s="0" t="str">
        <f aca="false">IFERROR(IF(B36="Trash",INDEX('Materials Master'!$F$2:$F$20,MATCH(D36,'Materials Master'!$A$2:$A$20,0)),IF(B36="GMPC Recycling",INDEX('Materials Master'!$G$2:$G$20,MATCH(D36,'Materials Master'!$A$2:$A$20,0)),IF(B36="Organics Recycling",INDEX('Materials Master'!$H$2:$H$20,MATCH(D36,'Materials Master'!$A$2:$A$20,0)),IF(B36="Cardboard Recycling",INDEX('Materials Master'!$I$2:$I$20,MATCH(D36,'Materials Master'!$A$2:$A$20,0)),IF(B36="Paper Recycling",INDEX('Materials Master'!$J$2:$J$20,MATCH(D36,'Materials Master'!$A$2:$A$20,0)),IF(B36="Terracycle",INDEX('Materials Master'!$K$2:$K$20,MATCH(D36,'Materials Master'!$A$2:$A$20,0)),"No")))))),"")</f>
        <v>No</v>
      </c>
      <c r="K36" s="0" t="str">
        <f aca="false">IFERROR(INDEX(Areas!$C$2:$C$3,MATCH(C36,Areas!$B$2:$B$3,0)),"")</f>
        <v>Cafeteria</v>
      </c>
    </row>
    <row r="37" customFormat="false" ht="15" hidden="false" customHeight="false" outlineLevel="0" collapsed="false">
      <c r="A37" s="0" t="s">
        <v>95</v>
      </c>
      <c r="B37" s="0" t="s">
        <v>85</v>
      </c>
      <c r="C37" s="0" t="s">
        <v>79</v>
      </c>
      <c r="D37" s="0" t="s">
        <v>65</v>
      </c>
      <c r="E37" s="0" t="n">
        <v>0.11</v>
      </c>
      <c r="F37" s="0" t="str">
        <f aca="false">IFERROR(INDEX('Materials Master'!$B$2:$B$20,MATCH(D37,'Materials Master'!$A$2:$A$20,0)),"")</f>
        <v>Certified Compostables</v>
      </c>
      <c r="G37" s="0" t="str">
        <f aca="false">IFERROR(INDEX('Materials Master'!$C$2:$C$20,MATCH(D37,'Materials Master'!$A$2:$A$20,0)),"")</f>
        <v>Organics</v>
      </c>
      <c r="H37" s="0" t="str">
        <f aca="false">IFERROR(INDEX('Materials Master'!$D$2:$D$20,MATCH(D37,'Materials Master'!$A$2:$A$20,0)),"")</f>
        <v>No</v>
      </c>
      <c r="I37" s="0" t="str">
        <f aca="false">IFERROR(INDEX('Materials Master'!$E$2:$E$20,MATCH(D37,'Materials Master'!$A$2:$A$20,0)),"")</f>
        <v>No</v>
      </c>
      <c r="J37" s="0" t="str">
        <f aca="false">IFERROR(IF(B37="Trash",INDEX('Materials Master'!$F$2:$F$20,MATCH(D37,'Materials Master'!$A$2:$A$20,0)),IF(B37="GMPC Recycling",INDEX('Materials Master'!$G$2:$G$20,MATCH(D37,'Materials Master'!$A$2:$A$20,0)),IF(B37="Organics Recycling",INDEX('Materials Master'!$H$2:$H$20,MATCH(D37,'Materials Master'!$A$2:$A$20,0)),IF(B37="Cardboard Recycling",INDEX('Materials Master'!$I$2:$I$20,MATCH(D37,'Materials Master'!$A$2:$A$20,0)),IF(B37="Paper Recycling",INDEX('Materials Master'!$J$2:$J$20,MATCH(D37,'Materials Master'!$A$2:$A$20,0)),IF(B37="Terracycle",INDEX('Materials Master'!$K$2:$K$20,MATCH(D37,'Materials Master'!$A$2:$A$20,0)),"No")))))),"")</f>
        <v>No</v>
      </c>
      <c r="K37" s="0" t="str">
        <f aca="false">IFERROR(INDEX(Areas!$C$2:$C$3,MATCH(C37,Areas!$B$2:$B$3,0)),"")</f>
        <v>Cafeteria</v>
      </c>
    </row>
    <row r="38" customFormat="false" ht="15" hidden="false" customHeight="false" outlineLevel="0" collapsed="false">
      <c r="A38" s="0" t="s">
        <v>95</v>
      </c>
      <c r="B38" s="0" t="s">
        <v>85</v>
      </c>
      <c r="C38" s="0" t="s">
        <v>79</v>
      </c>
      <c r="D38" s="0" t="s">
        <v>72</v>
      </c>
      <c r="E38" s="0" t="n">
        <v>0.45</v>
      </c>
      <c r="F38" s="0" t="str">
        <f aca="false">IFERROR(INDEX('Materials Master'!$B$2:$B$20,MATCH(D38,'Materials Master'!$A$2:$A$20,0)),"")</f>
        <v>Residual Materials</v>
      </c>
      <c r="G38" s="0" t="str">
        <f aca="false">IFERROR(INDEX('Materials Master'!$C$2:$C$20,MATCH(D38,'Materials Master'!$A$2:$A$20,0)),"")</f>
        <v>Other</v>
      </c>
      <c r="H38" s="0" t="str">
        <f aca="false">IFERROR(INDEX('Materials Master'!$D$2:$D$20,MATCH(D38,'Materials Master'!$A$2:$A$20,0)),"")</f>
        <v>No</v>
      </c>
      <c r="I38" s="0" t="str">
        <f aca="false">IFERROR(INDEX('Materials Master'!$E$2:$E$20,MATCH(D38,'Materials Master'!$A$2:$A$20,0)),"")</f>
        <v>No</v>
      </c>
      <c r="J38" s="0" t="str">
        <f aca="false">IFERROR(IF(B38="Trash",INDEX('Materials Master'!$F$2:$F$20,MATCH(D38,'Materials Master'!$A$2:$A$20,0)),IF(B38="GMPC Recycling",INDEX('Materials Master'!$G$2:$G$20,MATCH(D38,'Materials Master'!$A$2:$A$20,0)),IF(B38="Organics Recycling",INDEX('Materials Master'!$H$2:$H$20,MATCH(D38,'Materials Master'!$A$2:$A$20,0)),IF(B38="Cardboard Recycling",INDEX('Materials Master'!$I$2:$I$20,MATCH(D38,'Materials Master'!$A$2:$A$20,0)),IF(B38="Paper Recycling",INDEX('Materials Master'!$J$2:$J$20,MATCH(D38,'Materials Master'!$A$2:$A$20,0)),IF(B38="Terracycle",INDEX('Materials Master'!$K$2:$K$20,MATCH(D38,'Materials Master'!$A$2:$A$20,0)),"No")))))),"")</f>
        <v>No</v>
      </c>
      <c r="K38" s="0" t="str">
        <f aca="false">IFERROR(INDEX(Areas!$C$2:$C$3,MATCH(C38,Areas!$B$2:$B$3,0)),"")</f>
        <v>Cafeteria</v>
      </c>
    </row>
    <row r="39" customFormat="false" ht="15" hidden="false" customHeight="false" outlineLevel="0" collapsed="false">
      <c r="A39" s="0" t="s">
        <v>95</v>
      </c>
      <c r="B39" s="0" t="s">
        <v>83</v>
      </c>
      <c r="C39" s="0" t="s">
        <v>81</v>
      </c>
      <c r="D39" s="0" t="s">
        <v>35</v>
      </c>
      <c r="E39" s="0" t="n">
        <v>30.31</v>
      </c>
      <c r="F39" s="0" t="str">
        <f aca="false">IFERROR(INDEX('Materials Master'!$B$2:$B$20,MATCH(D39,'Materials Master'!$A$2:$A$20,0)),"")</f>
        <v>Mixed Paper</v>
      </c>
      <c r="G39" s="0" t="str">
        <f aca="false">IFERROR(INDEX('Materials Master'!$C$2:$C$20,MATCH(D39,'Materials Master'!$A$2:$A$20,0)),"")</f>
        <v>Fibers</v>
      </c>
      <c r="H39" s="0" t="str">
        <f aca="false">IFERROR(INDEX('Materials Master'!$D$2:$D$20,MATCH(D39,'Materials Master'!$A$2:$A$20,0)),"")</f>
        <v>Yes</v>
      </c>
      <c r="I39" s="0" t="str">
        <f aca="false">IFERROR(INDEX('Materials Master'!$E$2:$E$20,MATCH(D39,'Materials Master'!$A$2:$A$20,0)),"")</f>
        <v>Yes</v>
      </c>
      <c r="J39" s="0" t="str">
        <f aca="false">IFERROR(IF(B39="Trash",INDEX('Materials Master'!$F$2:$F$20,MATCH(D39,'Materials Master'!$A$2:$A$20,0)),IF(B39="GMPC Recycling",INDEX('Materials Master'!$G$2:$G$20,MATCH(D39,'Materials Master'!$A$2:$A$20,0)),IF(B39="Organics Recycling",INDEX('Materials Master'!$H$2:$H$20,MATCH(D39,'Materials Master'!$A$2:$A$20,0)),IF(B39="Cardboard Recycling",INDEX('Materials Master'!$I$2:$I$20,MATCH(D39,'Materials Master'!$A$2:$A$20,0)),IF(B39="Paper Recycling",INDEX('Materials Master'!$J$2:$J$20,MATCH(D39,'Materials Master'!$A$2:$A$20,0)),IF(B39="Terracycle",INDEX('Materials Master'!$K$2:$K$20,MATCH(D39,'Materials Master'!$A$2:$A$20,0)),"No")))))),"")</f>
        <v>No</v>
      </c>
      <c r="K39" s="0" t="str">
        <f aca="false">IFERROR(INDEX(Areas!$C$2:$C$3,MATCH(C39,Areas!$B$2:$B$3,0)),"")</f>
        <v>Base Building</v>
      </c>
    </row>
    <row r="40" customFormat="false" ht="15" hidden="false" customHeight="false" outlineLevel="0" collapsed="false">
      <c r="A40" s="0" t="s">
        <v>95</v>
      </c>
      <c r="B40" s="0" t="s">
        <v>83</v>
      </c>
      <c r="C40" s="0" t="s">
        <v>81</v>
      </c>
      <c r="D40" s="0" t="s">
        <v>39</v>
      </c>
      <c r="E40" s="0" t="n">
        <v>32.39</v>
      </c>
      <c r="F40" s="0" t="str">
        <f aca="false">IFERROR(INDEX('Materials Master'!$B$2:$B$20,MATCH(D40,'Materials Master'!$A$2:$A$20,0)),"")</f>
        <v>Other Coated Paper Containers</v>
      </c>
      <c r="G40" s="0" t="str">
        <f aca="false">IFERROR(INDEX('Materials Master'!$C$2:$C$20,MATCH(D40,'Materials Master'!$A$2:$A$20,0)),"")</f>
        <v>Fibers</v>
      </c>
      <c r="H40" s="0" t="str">
        <f aca="false">IFERROR(INDEX('Materials Master'!$D$2:$D$20,MATCH(D40,'Materials Master'!$A$2:$A$20,0)),"")</f>
        <v>No</v>
      </c>
      <c r="I40" s="0" t="str">
        <f aca="false">IFERROR(INDEX('Materials Master'!$E$2:$E$20,MATCH(D40,'Materials Master'!$A$2:$A$20,0)),"")</f>
        <v>No</v>
      </c>
      <c r="J40" s="0" t="str">
        <f aca="false">IFERROR(IF(B40="Trash",INDEX('Materials Master'!$F$2:$F$20,MATCH(D40,'Materials Master'!$A$2:$A$20,0)),IF(B40="GMPC Recycling",INDEX('Materials Master'!$G$2:$G$20,MATCH(D40,'Materials Master'!$A$2:$A$20,0)),IF(B40="Organics Recycling",INDEX('Materials Master'!$H$2:$H$20,MATCH(D40,'Materials Master'!$A$2:$A$20,0)),IF(B40="Cardboard Recycling",INDEX('Materials Master'!$I$2:$I$20,MATCH(D40,'Materials Master'!$A$2:$A$20,0)),IF(B40="Paper Recycling",INDEX('Materials Master'!$J$2:$J$20,MATCH(D40,'Materials Master'!$A$2:$A$20,0)),IF(B40="Terracycle",INDEX('Materials Master'!$K$2:$K$20,MATCH(D40,'Materials Master'!$A$2:$A$20,0)),"No")))))),"")</f>
        <v>Yes</v>
      </c>
      <c r="K40" s="0" t="str">
        <f aca="false">IFERROR(INDEX(Areas!$C$2:$C$3,MATCH(C40,Areas!$B$2:$B$3,0)),"")</f>
        <v>Base Building</v>
      </c>
    </row>
    <row r="41" customFormat="false" ht="15" hidden="false" customHeight="false" outlineLevel="0" collapsed="false">
      <c r="A41" s="0" t="s">
        <v>95</v>
      </c>
      <c r="B41" s="0" t="s">
        <v>83</v>
      </c>
      <c r="C41" s="0" t="s">
        <v>81</v>
      </c>
      <c r="D41" s="0" t="s">
        <v>41</v>
      </c>
      <c r="E41" s="0" t="n">
        <v>12.87</v>
      </c>
      <c r="F41" s="0" t="str">
        <f aca="false">IFERROR(INDEX('Materials Master'!$B$2:$B$20,MATCH(D41,'Materials Master'!$A$2:$A$20,0)),"")</f>
        <v>Glass Bottles &amp; Jars</v>
      </c>
      <c r="G41" s="0" t="str">
        <f aca="false">IFERROR(INDEX('Materials Master'!$C$2:$C$20,MATCH(D41,'Materials Master'!$A$2:$A$20,0)),"")</f>
        <v>Glass</v>
      </c>
      <c r="H41" s="0" t="str">
        <f aca="false">IFERROR(INDEX('Materials Master'!$D$2:$D$20,MATCH(D41,'Materials Master'!$A$2:$A$20,0)),"")</f>
        <v>Yes</v>
      </c>
      <c r="I41" s="0" t="str">
        <f aca="false">IFERROR(INDEX('Materials Master'!$E$2:$E$20,MATCH(D41,'Materials Master'!$A$2:$A$20,0)),"")</f>
        <v>Yes</v>
      </c>
      <c r="J41" s="0" t="str">
        <f aca="false">IFERROR(IF(B41="Trash",INDEX('Materials Master'!$F$2:$F$20,MATCH(D41,'Materials Master'!$A$2:$A$20,0)),IF(B41="GMPC Recycling",INDEX('Materials Master'!$G$2:$G$20,MATCH(D41,'Materials Master'!$A$2:$A$20,0)),IF(B41="Organics Recycling",INDEX('Materials Master'!$H$2:$H$20,MATCH(D41,'Materials Master'!$A$2:$A$20,0)),IF(B41="Cardboard Recycling",INDEX('Materials Master'!$I$2:$I$20,MATCH(D41,'Materials Master'!$A$2:$A$20,0)),IF(B41="Paper Recycling",INDEX('Materials Master'!$J$2:$J$20,MATCH(D41,'Materials Master'!$A$2:$A$20,0)),IF(B41="Terracycle",INDEX('Materials Master'!$K$2:$K$20,MATCH(D41,'Materials Master'!$A$2:$A$20,0)),"No")))))),"")</f>
        <v>No</v>
      </c>
      <c r="K41" s="0" t="str">
        <f aca="false">IFERROR(INDEX(Areas!$C$2:$C$3,MATCH(C41,Areas!$B$2:$B$3,0)),"")</f>
        <v>Base Building</v>
      </c>
    </row>
    <row r="42" customFormat="false" ht="15" hidden="false" customHeight="false" outlineLevel="0" collapsed="false">
      <c r="A42" s="0" t="s">
        <v>95</v>
      </c>
      <c r="B42" s="0" t="s">
        <v>83</v>
      </c>
      <c r="C42" s="0" t="s">
        <v>81</v>
      </c>
      <c r="D42" s="0" t="s">
        <v>44</v>
      </c>
      <c r="E42" s="0" t="n">
        <v>39.04</v>
      </c>
      <c r="F42" s="0" t="str">
        <f aca="false">IFERROR(INDEX('Materials Master'!$B$2:$B$20,MATCH(D42,'Materials Master'!$A$2:$A$20,0)),"")</f>
        <v>Broken Glass</v>
      </c>
      <c r="G42" s="0" t="str">
        <f aca="false">IFERROR(INDEX('Materials Master'!$C$2:$C$20,MATCH(D42,'Materials Master'!$A$2:$A$20,0)),"")</f>
        <v>Glass</v>
      </c>
      <c r="H42" s="0" t="str">
        <f aca="false">IFERROR(INDEX('Materials Master'!$D$2:$D$20,MATCH(D42,'Materials Master'!$A$2:$A$20,0)),"")</f>
        <v>No</v>
      </c>
      <c r="I42" s="0" t="str">
        <f aca="false">IFERROR(INDEX('Materials Master'!$E$2:$E$20,MATCH(D42,'Materials Master'!$A$2:$A$20,0)),"")</f>
        <v>No</v>
      </c>
      <c r="J42" s="0" t="str">
        <f aca="false">IFERROR(IF(B42="Trash",INDEX('Materials Master'!$F$2:$F$20,MATCH(D42,'Materials Master'!$A$2:$A$20,0)),IF(B42="GMPC Recycling",INDEX('Materials Master'!$G$2:$G$20,MATCH(D42,'Materials Master'!$A$2:$A$20,0)),IF(B42="Organics Recycling",INDEX('Materials Master'!$H$2:$H$20,MATCH(D42,'Materials Master'!$A$2:$A$20,0)),IF(B42="Cardboard Recycling",INDEX('Materials Master'!$I$2:$I$20,MATCH(D42,'Materials Master'!$A$2:$A$20,0)),IF(B42="Paper Recycling",INDEX('Materials Master'!$J$2:$J$20,MATCH(D42,'Materials Master'!$A$2:$A$20,0)),IF(B42="Terracycle",INDEX('Materials Master'!$K$2:$K$20,MATCH(D42,'Materials Master'!$A$2:$A$20,0)),"No")))))),"")</f>
        <v>Yes</v>
      </c>
      <c r="K42" s="0" t="str">
        <f aca="false">IFERROR(INDEX(Areas!$C$2:$C$3,MATCH(C42,Areas!$B$2:$B$3,0)),"")</f>
        <v>Base Building</v>
      </c>
    </row>
    <row r="43" customFormat="false" ht="15" hidden="false" customHeight="false" outlineLevel="0" collapsed="false">
      <c r="A43" s="0" t="s">
        <v>95</v>
      </c>
      <c r="B43" s="0" t="s">
        <v>83</v>
      </c>
      <c r="C43" s="0" t="s">
        <v>81</v>
      </c>
      <c r="D43" s="0" t="s">
        <v>46</v>
      </c>
      <c r="E43" s="0" t="n">
        <v>19.93</v>
      </c>
      <c r="F43" s="0" t="str">
        <f aca="false">IFERROR(INDEX('Materials Master'!$B$2:$B$20,MATCH(D43,'Materials Master'!$A$2:$A$20,0)),"")</f>
        <v>Aluminum &amp; Bi-metal Containers</v>
      </c>
      <c r="G43" s="0" t="str">
        <f aca="false">IFERROR(INDEX('Materials Master'!$C$2:$C$20,MATCH(D43,'Materials Master'!$A$2:$A$20,0)),"")</f>
        <v>Metals</v>
      </c>
      <c r="H43" s="0" t="str">
        <f aca="false">IFERROR(INDEX('Materials Master'!$D$2:$D$20,MATCH(D43,'Materials Master'!$A$2:$A$20,0)),"")</f>
        <v>Yes</v>
      </c>
      <c r="I43" s="0" t="str">
        <f aca="false">IFERROR(INDEX('Materials Master'!$E$2:$E$20,MATCH(D43,'Materials Master'!$A$2:$A$20,0)),"")</f>
        <v>Yes</v>
      </c>
      <c r="J43" s="0" t="str">
        <f aca="false">IFERROR(IF(B43="Trash",INDEX('Materials Master'!$F$2:$F$20,MATCH(D43,'Materials Master'!$A$2:$A$20,0)),IF(B43="GMPC Recycling",INDEX('Materials Master'!$G$2:$G$20,MATCH(D43,'Materials Master'!$A$2:$A$20,0)),IF(B43="Organics Recycling",INDEX('Materials Master'!$H$2:$H$20,MATCH(D43,'Materials Master'!$A$2:$A$20,0)),IF(B43="Cardboard Recycling",INDEX('Materials Master'!$I$2:$I$20,MATCH(D43,'Materials Master'!$A$2:$A$20,0)),IF(B43="Paper Recycling",INDEX('Materials Master'!$J$2:$J$20,MATCH(D43,'Materials Master'!$A$2:$A$20,0)),IF(B43="Terracycle",INDEX('Materials Master'!$K$2:$K$20,MATCH(D43,'Materials Master'!$A$2:$A$20,0)),"No")))))),"")</f>
        <v>No</v>
      </c>
      <c r="K43" s="0" t="str">
        <f aca="false">IFERROR(INDEX(Areas!$C$2:$C$3,MATCH(C43,Areas!$B$2:$B$3,0)),"")</f>
        <v>Base Building</v>
      </c>
    </row>
    <row r="44" customFormat="false" ht="15" hidden="false" customHeight="false" outlineLevel="0" collapsed="false">
      <c r="A44" s="0" t="s">
        <v>95</v>
      </c>
      <c r="B44" s="0" t="s">
        <v>83</v>
      </c>
      <c r="C44" s="0" t="s">
        <v>81</v>
      </c>
      <c r="D44" s="0" t="s">
        <v>51</v>
      </c>
      <c r="E44" s="0" t="n">
        <v>59.38</v>
      </c>
      <c r="F44" s="0" t="str">
        <f aca="false">IFERROR(INDEX('Materials Master'!$B$2:$B$20,MATCH(D44,'Materials Master'!$A$2:$A$20,0)),"")</f>
        <v>Rigid Plastics (1-6)</v>
      </c>
      <c r="G44" s="0" t="str">
        <f aca="false">IFERROR(INDEX('Materials Master'!$C$2:$C$20,MATCH(D44,'Materials Master'!$A$2:$A$20,0)),"")</f>
        <v>Plastics</v>
      </c>
      <c r="H44" s="0" t="str">
        <f aca="false">IFERROR(INDEX('Materials Master'!$D$2:$D$20,MATCH(D44,'Materials Master'!$A$2:$A$20,0)),"")</f>
        <v>Yes</v>
      </c>
      <c r="I44" s="0" t="str">
        <f aca="false">IFERROR(INDEX('Materials Master'!$E$2:$E$20,MATCH(D44,'Materials Master'!$A$2:$A$20,0)),"")</f>
        <v>Yes</v>
      </c>
      <c r="J44" s="0" t="str">
        <f aca="false">IFERROR(IF(B44="Trash",INDEX('Materials Master'!$F$2:$F$20,MATCH(D44,'Materials Master'!$A$2:$A$20,0)),IF(B44="GMPC Recycling",INDEX('Materials Master'!$G$2:$G$20,MATCH(D44,'Materials Master'!$A$2:$A$20,0)),IF(B44="Organics Recycling",INDEX('Materials Master'!$H$2:$H$20,MATCH(D44,'Materials Master'!$A$2:$A$20,0)),IF(B44="Cardboard Recycling",INDEX('Materials Master'!$I$2:$I$20,MATCH(D44,'Materials Master'!$A$2:$A$20,0)),IF(B44="Paper Recycling",INDEX('Materials Master'!$J$2:$J$20,MATCH(D44,'Materials Master'!$A$2:$A$20,0)),IF(B44="Terracycle",INDEX('Materials Master'!$K$2:$K$20,MATCH(D44,'Materials Master'!$A$2:$A$20,0)),"No")))))),"")</f>
        <v>No</v>
      </c>
      <c r="K44" s="0" t="str">
        <f aca="false">IFERROR(INDEX(Areas!$C$2:$C$3,MATCH(C44,Areas!$B$2:$B$3,0)),"")</f>
        <v>Base Building</v>
      </c>
    </row>
    <row r="45" customFormat="false" ht="15" hidden="false" customHeight="false" outlineLevel="0" collapsed="false">
      <c r="A45" s="0" t="s">
        <v>95</v>
      </c>
      <c r="B45" s="0" t="s">
        <v>83</v>
      </c>
      <c r="C45" s="0" t="s">
        <v>81</v>
      </c>
      <c r="D45" s="0" t="s">
        <v>56</v>
      </c>
      <c r="E45" s="0" t="n">
        <v>5.4</v>
      </c>
      <c r="F45" s="0" t="str">
        <f aca="false">IFERROR(INDEX('Materials Master'!$B$2:$B$20,MATCH(D45,'Materials Master'!$A$2:$A$20,0)),"")</f>
        <v>Film Plastics</v>
      </c>
      <c r="G45" s="0" t="str">
        <f aca="false">IFERROR(INDEX('Materials Master'!$C$2:$C$20,MATCH(D45,'Materials Master'!$A$2:$A$20,0)),"")</f>
        <v>Plastics</v>
      </c>
      <c r="H45" s="0" t="str">
        <f aca="false">IFERROR(INDEX('Materials Master'!$D$2:$D$20,MATCH(D45,'Materials Master'!$A$2:$A$20,0)),"")</f>
        <v>No</v>
      </c>
      <c r="I45" s="0" t="str">
        <f aca="false">IFERROR(INDEX('Materials Master'!$E$2:$E$20,MATCH(D45,'Materials Master'!$A$2:$A$20,0)),"")</f>
        <v>No</v>
      </c>
      <c r="J45" s="0" t="str">
        <f aca="false">IFERROR(IF(B45="Trash",INDEX('Materials Master'!$F$2:$F$20,MATCH(D45,'Materials Master'!$A$2:$A$20,0)),IF(B45="GMPC Recycling",INDEX('Materials Master'!$G$2:$G$20,MATCH(D45,'Materials Master'!$A$2:$A$20,0)),IF(B45="Organics Recycling",INDEX('Materials Master'!$H$2:$H$20,MATCH(D45,'Materials Master'!$A$2:$A$20,0)),IF(B45="Cardboard Recycling",INDEX('Materials Master'!$I$2:$I$20,MATCH(D45,'Materials Master'!$A$2:$A$20,0)),IF(B45="Paper Recycling",INDEX('Materials Master'!$J$2:$J$20,MATCH(D45,'Materials Master'!$A$2:$A$20,0)),IF(B45="Terracycle",INDEX('Materials Master'!$K$2:$K$20,MATCH(D45,'Materials Master'!$A$2:$A$20,0)),"No")))))),"")</f>
        <v>Yes</v>
      </c>
      <c r="K45" s="0" t="str">
        <f aca="false">IFERROR(INDEX(Areas!$C$2:$C$3,MATCH(C45,Areas!$B$2:$B$3,0)),"")</f>
        <v>Base Building</v>
      </c>
    </row>
    <row r="46" customFormat="false" ht="15" hidden="false" customHeight="false" outlineLevel="0" collapsed="false">
      <c r="A46" s="0" t="s">
        <v>95</v>
      </c>
      <c r="B46" s="0" t="s">
        <v>83</v>
      </c>
      <c r="C46" s="0" t="s">
        <v>81</v>
      </c>
      <c r="D46" s="0" t="s">
        <v>58</v>
      </c>
      <c r="E46" s="0" t="n">
        <v>45.68</v>
      </c>
      <c r="F46" s="0" t="str">
        <f aca="false">IFERROR(INDEX('Materials Master'!$B$2:$B$20,MATCH(D46,'Materials Master'!$A$2:$A$20,0)),"")</f>
        <v>Waste Disposal Bags</v>
      </c>
      <c r="G46" s="0" t="str">
        <f aca="false">IFERROR(INDEX('Materials Master'!$C$2:$C$20,MATCH(D46,'Materials Master'!$A$2:$A$20,0)),"")</f>
        <v>Plastics</v>
      </c>
      <c r="H46" s="0" t="str">
        <f aca="false">IFERROR(INDEX('Materials Master'!$D$2:$D$20,MATCH(D46,'Materials Master'!$A$2:$A$20,0)),"")</f>
        <v>No</v>
      </c>
      <c r="I46" s="0" t="str">
        <f aca="false">IFERROR(INDEX('Materials Master'!$E$2:$E$20,MATCH(D46,'Materials Master'!$A$2:$A$20,0)),"")</f>
        <v>No</v>
      </c>
      <c r="J46" s="0" t="str">
        <f aca="false">IFERROR(IF(B46="Trash",INDEX('Materials Master'!$F$2:$F$20,MATCH(D46,'Materials Master'!$A$2:$A$20,0)),IF(B46="GMPC Recycling",INDEX('Materials Master'!$G$2:$G$20,MATCH(D46,'Materials Master'!$A$2:$A$20,0)),IF(B46="Organics Recycling",INDEX('Materials Master'!$H$2:$H$20,MATCH(D46,'Materials Master'!$A$2:$A$20,0)),IF(B46="Cardboard Recycling",INDEX('Materials Master'!$I$2:$I$20,MATCH(D46,'Materials Master'!$A$2:$A$20,0)),IF(B46="Paper Recycling",INDEX('Materials Master'!$J$2:$J$20,MATCH(D46,'Materials Master'!$A$2:$A$20,0)),IF(B46="Terracycle",INDEX('Materials Master'!$K$2:$K$20,MATCH(D46,'Materials Master'!$A$2:$A$20,0)),"No")))))),"")</f>
        <v>Yes</v>
      </c>
      <c r="K46" s="0" t="str">
        <f aca="false">IFERROR(INDEX(Areas!$C$2:$C$3,MATCH(C46,Areas!$B$2:$B$3,0)),"")</f>
        <v>Base Building</v>
      </c>
    </row>
    <row r="47" customFormat="false" ht="15" hidden="false" customHeight="false" outlineLevel="0" collapsed="false">
      <c r="A47" s="0" t="s">
        <v>95</v>
      </c>
      <c r="B47" s="0" t="s">
        <v>83</v>
      </c>
      <c r="C47" s="0" t="s">
        <v>81</v>
      </c>
      <c r="D47" s="0" t="s">
        <v>60</v>
      </c>
      <c r="E47" s="0" t="n">
        <v>100.91</v>
      </c>
      <c r="F47" s="0" t="str">
        <f aca="false">IFERROR(INDEX('Materials Master'!$B$2:$B$20,MATCH(D47,'Materials Master'!$A$2:$A$20,0)),"")</f>
        <v>Food Waste</v>
      </c>
      <c r="G47" s="0" t="str">
        <f aca="false">IFERROR(INDEX('Materials Master'!$C$2:$C$20,MATCH(D47,'Materials Master'!$A$2:$A$20,0)),"")</f>
        <v>Organics</v>
      </c>
      <c r="H47" s="0" t="str">
        <f aca="false">IFERROR(INDEX('Materials Master'!$D$2:$D$20,MATCH(D47,'Materials Master'!$A$2:$A$20,0)),"")</f>
        <v>No</v>
      </c>
      <c r="I47" s="0" t="str">
        <f aca="false">IFERROR(INDEX('Materials Master'!$E$2:$E$20,MATCH(D47,'Materials Master'!$A$2:$A$20,0)),"")</f>
        <v>Yes</v>
      </c>
      <c r="J47" s="0" t="str">
        <f aca="false">IFERROR(IF(B47="Trash",INDEX('Materials Master'!$F$2:$F$20,MATCH(D47,'Materials Master'!$A$2:$A$20,0)),IF(B47="GMPC Recycling",INDEX('Materials Master'!$G$2:$G$20,MATCH(D47,'Materials Master'!$A$2:$A$20,0)),IF(B47="Organics Recycling",INDEX('Materials Master'!$H$2:$H$20,MATCH(D47,'Materials Master'!$A$2:$A$20,0)),IF(B47="Cardboard Recycling",INDEX('Materials Master'!$I$2:$I$20,MATCH(D47,'Materials Master'!$A$2:$A$20,0)),IF(B47="Paper Recycling",INDEX('Materials Master'!$J$2:$J$20,MATCH(D47,'Materials Master'!$A$2:$A$20,0)),IF(B47="Terracycle",INDEX('Materials Master'!$K$2:$K$20,MATCH(D47,'Materials Master'!$A$2:$A$20,0)),"No")))))),"")</f>
        <v>No</v>
      </c>
      <c r="K47" s="0" t="str">
        <f aca="false">IFERROR(INDEX(Areas!$C$2:$C$3,MATCH(C47,Areas!$B$2:$B$3,0)),"")</f>
        <v>Base Building</v>
      </c>
    </row>
    <row r="48" customFormat="false" ht="15" hidden="false" customHeight="false" outlineLevel="0" collapsed="false">
      <c r="A48" s="0" t="s">
        <v>95</v>
      </c>
      <c r="B48" s="0" t="s">
        <v>83</v>
      </c>
      <c r="C48" s="0" t="s">
        <v>81</v>
      </c>
      <c r="D48" s="0" t="s">
        <v>63</v>
      </c>
      <c r="E48" s="0" t="n">
        <v>83.59</v>
      </c>
      <c r="F48" s="0" t="str">
        <f aca="false">IFERROR(INDEX('Materials Master'!$B$2:$B$20,MATCH(D48,'Materials Master'!$A$2:$A$20,0)),"")</f>
        <v>Paper Fibers and FSP</v>
      </c>
      <c r="G48" s="0" t="str">
        <f aca="false">IFERROR(INDEX('Materials Master'!$C$2:$C$20,MATCH(D48,'Materials Master'!$A$2:$A$20,0)),"")</f>
        <v>Organics</v>
      </c>
      <c r="H48" s="0" t="str">
        <f aca="false">IFERROR(INDEX('Materials Master'!$D$2:$D$20,MATCH(D48,'Materials Master'!$A$2:$A$20,0)),"")</f>
        <v>No</v>
      </c>
      <c r="I48" s="0" t="str">
        <f aca="false">IFERROR(INDEX('Materials Master'!$E$2:$E$20,MATCH(D48,'Materials Master'!$A$2:$A$20,0)),"")</f>
        <v>No</v>
      </c>
      <c r="J48" s="0" t="str">
        <f aca="false">IFERROR(IF(B48="Trash",INDEX('Materials Master'!$F$2:$F$20,MATCH(D48,'Materials Master'!$A$2:$A$20,0)),IF(B48="GMPC Recycling",INDEX('Materials Master'!$G$2:$G$20,MATCH(D48,'Materials Master'!$A$2:$A$20,0)),IF(B48="Organics Recycling",INDEX('Materials Master'!$H$2:$H$20,MATCH(D48,'Materials Master'!$A$2:$A$20,0)),IF(B48="Cardboard Recycling",INDEX('Materials Master'!$I$2:$I$20,MATCH(D48,'Materials Master'!$A$2:$A$20,0)),IF(B48="Paper Recycling",INDEX('Materials Master'!$J$2:$J$20,MATCH(D48,'Materials Master'!$A$2:$A$20,0)),IF(B48="Terracycle",INDEX('Materials Master'!$K$2:$K$20,MATCH(D48,'Materials Master'!$A$2:$A$20,0)),"No")))))),"")</f>
        <v>Yes</v>
      </c>
      <c r="K48" s="0" t="str">
        <f aca="false">IFERROR(INDEX(Areas!$C$2:$C$3,MATCH(C48,Areas!$B$2:$B$3,0)),"")</f>
        <v>Base Building</v>
      </c>
    </row>
    <row r="49" customFormat="false" ht="15" hidden="false" customHeight="false" outlineLevel="0" collapsed="false">
      <c r="A49" s="0" t="s">
        <v>95</v>
      </c>
      <c r="B49" s="0" t="s">
        <v>83</v>
      </c>
      <c r="C49" s="0" t="s">
        <v>81</v>
      </c>
      <c r="D49" s="0" t="s">
        <v>67</v>
      </c>
      <c r="E49" s="0" t="n">
        <v>4.15</v>
      </c>
      <c r="F49" s="0" t="str">
        <f aca="false">IFERROR(INDEX('Materials Master'!$B$2:$B$20,MATCH(D49,'Materials Master'!$A$2:$A$20,0)),"")</f>
        <v>Textiles</v>
      </c>
      <c r="G49" s="0" t="str">
        <f aca="false">IFERROR(INDEX('Materials Master'!$C$2:$C$20,MATCH(D49,'Materials Master'!$A$2:$A$20,0)),"")</f>
        <v>Unacceptable</v>
      </c>
      <c r="H49" s="0" t="str">
        <f aca="false">IFERROR(INDEX('Materials Master'!$D$2:$D$20,MATCH(D49,'Materials Master'!$A$2:$A$20,0)),"")</f>
        <v>Unacceptable</v>
      </c>
      <c r="I49" s="0" t="str">
        <f aca="false">IFERROR(INDEX('Materials Master'!$E$2:$E$20,MATCH(D49,'Materials Master'!$A$2:$A$20,0)),"")</f>
        <v>No</v>
      </c>
      <c r="J49" s="0" t="str">
        <f aca="false">IFERROR(IF(B49="Trash",INDEX('Materials Master'!$F$2:$F$20,MATCH(D49,'Materials Master'!$A$2:$A$20,0)),IF(B49="GMPC Recycling",INDEX('Materials Master'!$G$2:$G$20,MATCH(D49,'Materials Master'!$A$2:$A$20,0)),IF(B49="Organics Recycling",INDEX('Materials Master'!$H$2:$H$20,MATCH(D49,'Materials Master'!$A$2:$A$20,0)),IF(B49="Cardboard Recycling",INDEX('Materials Master'!$I$2:$I$20,MATCH(D49,'Materials Master'!$A$2:$A$20,0)),IF(B49="Paper Recycling",INDEX('Materials Master'!$J$2:$J$20,MATCH(D49,'Materials Master'!$A$2:$A$20,0)),IF(B49="Terracycle",INDEX('Materials Master'!$K$2:$K$20,MATCH(D49,'Materials Master'!$A$2:$A$20,0)),"No")))))),"")</f>
        <v>Yes</v>
      </c>
      <c r="K49" s="0" t="str">
        <f aca="false">IFERROR(INDEX(Areas!$C$2:$C$3,MATCH(C49,Areas!$B$2:$B$3,0)),"")</f>
        <v>Base Building</v>
      </c>
    </row>
    <row r="50" customFormat="false" ht="15" hidden="false" customHeight="false" outlineLevel="0" collapsed="false">
      <c r="A50" s="0" t="s">
        <v>95</v>
      </c>
      <c r="B50" s="0" t="s">
        <v>83</v>
      </c>
      <c r="C50" s="0" t="s">
        <v>81</v>
      </c>
      <c r="D50" s="0" t="s">
        <v>70</v>
      </c>
      <c r="E50" s="0" t="n">
        <v>21.59</v>
      </c>
      <c r="F50" s="0" t="str">
        <f aca="false">IFERROR(INDEX('Materials Master'!$B$2:$B$20,MATCH(D50,'Materials Master'!$A$2:$A$20,0)),"")</f>
        <v>Liquids</v>
      </c>
      <c r="G50" s="0" t="str">
        <f aca="false">IFERROR(INDEX('Materials Master'!$C$2:$C$20,MATCH(D50,'Materials Master'!$A$2:$A$20,0)),"")</f>
        <v>Unacceptable</v>
      </c>
      <c r="H50" s="0" t="str">
        <f aca="false">IFERROR(INDEX('Materials Master'!$D$2:$D$20,MATCH(D50,'Materials Master'!$A$2:$A$20,0)),"")</f>
        <v>Unacceptable</v>
      </c>
      <c r="I50" s="0" t="str">
        <f aca="false">IFERROR(INDEX('Materials Master'!$E$2:$E$20,MATCH(D50,'Materials Master'!$A$2:$A$20,0)),"")</f>
        <v>No</v>
      </c>
      <c r="J50" s="0" t="str">
        <f aca="false">IFERROR(IF(B50="Trash",INDEX('Materials Master'!$F$2:$F$20,MATCH(D50,'Materials Master'!$A$2:$A$20,0)),IF(B50="GMPC Recycling",INDEX('Materials Master'!$G$2:$G$20,MATCH(D50,'Materials Master'!$A$2:$A$20,0)),IF(B50="Organics Recycling",INDEX('Materials Master'!$H$2:$H$20,MATCH(D50,'Materials Master'!$A$2:$A$20,0)),IF(B50="Cardboard Recycling",INDEX('Materials Master'!$I$2:$I$20,MATCH(D50,'Materials Master'!$A$2:$A$20,0)),IF(B50="Paper Recycling",INDEX('Materials Master'!$J$2:$J$20,MATCH(D50,'Materials Master'!$A$2:$A$20,0)),IF(B50="Terracycle",INDEX('Materials Master'!$K$2:$K$20,MATCH(D50,'Materials Master'!$A$2:$A$20,0)),"No")))))),"")</f>
        <v>Yes</v>
      </c>
      <c r="K50" s="0" t="str">
        <f aca="false">IFERROR(INDEX(Areas!$C$2:$C$3,MATCH(C50,Areas!$B$2:$B$3,0)),"")</f>
        <v>Base Building</v>
      </c>
    </row>
    <row r="51" customFormat="false" ht="15" hidden="false" customHeight="false" outlineLevel="0" collapsed="false">
      <c r="A51" s="0" t="s">
        <v>95</v>
      </c>
      <c r="B51" s="0" t="s">
        <v>83</v>
      </c>
      <c r="C51" s="0" t="s">
        <v>81</v>
      </c>
      <c r="D51" s="0" t="s">
        <v>72</v>
      </c>
      <c r="E51" s="0" t="n">
        <v>52.74</v>
      </c>
      <c r="F51" s="0" t="str">
        <f aca="false">IFERROR(INDEX('Materials Master'!$B$2:$B$20,MATCH(D51,'Materials Master'!$A$2:$A$20,0)),"")</f>
        <v>Residual Materials</v>
      </c>
      <c r="G51" s="0" t="str">
        <f aca="false">IFERROR(INDEX('Materials Master'!$C$2:$C$20,MATCH(D51,'Materials Master'!$A$2:$A$20,0)),"")</f>
        <v>Other</v>
      </c>
      <c r="H51" s="0" t="str">
        <f aca="false">IFERROR(INDEX('Materials Master'!$D$2:$D$20,MATCH(D51,'Materials Master'!$A$2:$A$20,0)),"")</f>
        <v>No</v>
      </c>
      <c r="I51" s="0" t="str">
        <f aca="false">IFERROR(INDEX('Materials Master'!$E$2:$E$20,MATCH(D51,'Materials Master'!$A$2:$A$20,0)),"")</f>
        <v>No</v>
      </c>
      <c r="J51" s="0" t="str">
        <f aca="false">IFERROR(IF(B51="Trash",INDEX('Materials Master'!$F$2:$F$20,MATCH(D51,'Materials Master'!$A$2:$A$20,0)),IF(B51="GMPC Recycling",INDEX('Materials Master'!$G$2:$G$20,MATCH(D51,'Materials Master'!$A$2:$A$20,0)),IF(B51="Organics Recycling",INDEX('Materials Master'!$H$2:$H$20,MATCH(D51,'Materials Master'!$A$2:$A$20,0)),IF(B51="Cardboard Recycling",INDEX('Materials Master'!$I$2:$I$20,MATCH(D51,'Materials Master'!$A$2:$A$20,0)),IF(B51="Paper Recycling",INDEX('Materials Master'!$J$2:$J$20,MATCH(D51,'Materials Master'!$A$2:$A$20,0)),IF(B51="Terracycle",INDEX('Materials Master'!$K$2:$K$20,MATCH(D51,'Materials Master'!$A$2:$A$20,0)),"No")))))),"")</f>
        <v>Yes</v>
      </c>
      <c r="K51" s="0" t="str">
        <f aca="false">IFERROR(INDEX(Areas!$C$2:$C$3,MATCH(C51,Areas!$B$2:$B$3,0)),"")</f>
        <v>Base Building</v>
      </c>
    </row>
    <row r="52" customFormat="false" ht="15" hidden="false" customHeight="false" outlineLevel="0" collapsed="false">
      <c r="A52" s="0" t="s">
        <v>95</v>
      </c>
      <c r="B52" s="0" t="s">
        <v>84</v>
      </c>
      <c r="C52" s="0" t="s">
        <v>81</v>
      </c>
      <c r="D52" s="0" t="s">
        <v>28</v>
      </c>
      <c r="E52" s="0" t="n">
        <v>7</v>
      </c>
      <c r="F52" s="0" t="str">
        <f aca="false">IFERROR(INDEX('Materials Master'!$B$2:$B$20,MATCH(D52,'Materials Master'!$A$2:$A$20,0)),"")</f>
        <v>Corrugated Cardboard</v>
      </c>
      <c r="G52" s="0" t="str">
        <f aca="false">IFERROR(INDEX('Materials Master'!$C$2:$C$20,MATCH(D52,'Materials Master'!$A$2:$A$20,0)),"")</f>
        <v>Fibers</v>
      </c>
      <c r="H52" s="0" t="str">
        <f aca="false">IFERROR(INDEX('Materials Master'!$D$2:$D$20,MATCH(D52,'Materials Master'!$A$2:$A$20,0)),"")</f>
        <v>Yes</v>
      </c>
      <c r="I52" s="0" t="str">
        <f aca="false">IFERROR(INDEX('Materials Master'!$E$2:$E$20,MATCH(D52,'Materials Master'!$A$2:$A$20,0)),"")</f>
        <v>Yes</v>
      </c>
      <c r="J52" s="0" t="str">
        <f aca="false">IFERROR(IF(B52="Trash",INDEX('Materials Master'!$F$2:$F$20,MATCH(D52,'Materials Master'!$A$2:$A$20,0)),IF(B52="GMPC Recycling",INDEX('Materials Master'!$G$2:$G$20,MATCH(D52,'Materials Master'!$A$2:$A$20,0)),IF(B52="Organics Recycling",INDEX('Materials Master'!$H$2:$H$20,MATCH(D52,'Materials Master'!$A$2:$A$20,0)),IF(B52="Cardboard Recycling",INDEX('Materials Master'!$I$2:$I$20,MATCH(D52,'Materials Master'!$A$2:$A$20,0)),IF(B52="Paper Recycling",INDEX('Materials Master'!$J$2:$J$20,MATCH(D52,'Materials Master'!$A$2:$A$20,0)),IF(B52="Terracycle",INDEX('Materials Master'!$K$2:$K$20,MATCH(D52,'Materials Master'!$A$2:$A$20,0)),"No")))))),"")</f>
        <v>Yes</v>
      </c>
      <c r="K52" s="0" t="str">
        <f aca="false">IFERROR(INDEX(Areas!$C$2:$C$3,MATCH(C52,Areas!$B$2:$B$3,0)),"")</f>
        <v>Base Building</v>
      </c>
    </row>
    <row r="53" customFormat="false" ht="15" hidden="false" customHeight="false" outlineLevel="0" collapsed="false">
      <c r="A53" s="0" t="s">
        <v>95</v>
      </c>
      <c r="B53" s="0" t="s">
        <v>84</v>
      </c>
      <c r="C53" s="0" t="s">
        <v>81</v>
      </c>
      <c r="D53" s="0" t="s">
        <v>35</v>
      </c>
      <c r="E53" s="0" t="n">
        <v>18.03</v>
      </c>
      <c r="F53" s="0" t="str">
        <f aca="false">IFERROR(INDEX('Materials Master'!$B$2:$B$20,MATCH(D53,'Materials Master'!$A$2:$A$20,0)),"")</f>
        <v>Mixed Paper</v>
      </c>
      <c r="G53" s="0" t="str">
        <f aca="false">IFERROR(INDEX('Materials Master'!$C$2:$C$20,MATCH(D53,'Materials Master'!$A$2:$A$20,0)),"")</f>
        <v>Fibers</v>
      </c>
      <c r="H53" s="0" t="str">
        <f aca="false">IFERROR(INDEX('Materials Master'!$D$2:$D$20,MATCH(D53,'Materials Master'!$A$2:$A$20,0)),"")</f>
        <v>Yes</v>
      </c>
      <c r="I53" s="0" t="str">
        <f aca="false">IFERROR(INDEX('Materials Master'!$E$2:$E$20,MATCH(D53,'Materials Master'!$A$2:$A$20,0)),"")</f>
        <v>Yes</v>
      </c>
      <c r="J53" s="0" t="str">
        <f aca="false">IFERROR(IF(B53="Trash",INDEX('Materials Master'!$F$2:$F$20,MATCH(D53,'Materials Master'!$A$2:$A$20,0)),IF(B53="GMPC Recycling",INDEX('Materials Master'!$G$2:$G$20,MATCH(D53,'Materials Master'!$A$2:$A$20,0)),IF(B53="Organics Recycling",INDEX('Materials Master'!$H$2:$H$20,MATCH(D53,'Materials Master'!$A$2:$A$20,0)),IF(B53="Cardboard Recycling",INDEX('Materials Master'!$I$2:$I$20,MATCH(D53,'Materials Master'!$A$2:$A$20,0)),IF(B53="Paper Recycling",INDEX('Materials Master'!$J$2:$J$20,MATCH(D53,'Materials Master'!$A$2:$A$20,0)),IF(B53="Terracycle",INDEX('Materials Master'!$K$2:$K$20,MATCH(D53,'Materials Master'!$A$2:$A$20,0)),"No")))))),"")</f>
        <v>Yes</v>
      </c>
      <c r="K53" s="0" t="str">
        <f aca="false">IFERROR(INDEX(Areas!$C$2:$C$3,MATCH(C53,Areas!$B$2:$B$3,0)),"")</f>
        <v>Base Building</v>
      </c>
    </row>
    <row r="54" customFormat="false" ht="15" hidden="false" customHeight="false" outlineLevel="0" collapsed="false">
      <c r="A54" s="0" t="s">
        <v>95</v>
      </c>
      <c r="B54" s="0" t="s">
        <v>84</v>
      </c>
      <c r="C54" s="0" t="s">
        <v>81</v>
      </c>
      <c r="D54" s="0" t="s">
        <v>37</v>
      </c>
      <c r="E54" s="0" t="n">
        <v>0.9</v>
      </c>
      <c r="F54" s="0" t="str">
        <f aca="false">IFERROR(INDEX('Materials Master'!$B$2:$B$20,MATCH(D54,'Materials Master'!$A$2:$A$20,0)),"")</f>
        <v>Gable-top &amp; Aseptic Cartons</v>
      </c>
      <c r="G54" s="0" t="str">
        <f aca="false">IFERROR(INDEX('Materials Master'!$C$2:$C$20,MATCH(D54,'Materials Master'!$A$2:$A$20,0)),"")</f>
        <v>Fibers</v>
      </c>
      <c r="H54" s="0" t="str">
        <f aca="false">IFERROR(INDEX('Materials Master'!$D$2:$D$20,MATCH(D54,'Materials Master'!$A$2:$A$20,0)),"")</f>
        <v>Yes</v>
      </c>
      <c r="I54" s="0" t="str">
        <f aca="false">IFERROR(INDEX('Materials Master'!$E$2:$E$20,MATCH(D54,'Materials Master'!$A$2:$A$20,0)),"")</f>
        <v>Yes</v>
      </c>
      <c r="J54" s="0" t="str">
        <f aca="false">IFERROR(IF(B54="Trash",INDEX('Materials Master'!$F$2:$F$20,MATCH(D54,'Materials Master'!$A$2:$A$20,0)),IF(B54="GMPC Recycling",INDEX('Materials Master'!$G$2:$G$20,MATCH(D54,'Materials Master'!$A$2:$A$20,0)),IF(B54="Organics Recycling",INDEX('Materials Master'!$H$2:$H$20,MATCH(D54,'Materials Master'!$A$2:$A$20,0)),IF(B54="Cardboard Recycling",INDEX('Materials Master'!$I$2:$I$20,MATCH(D54,'Materials Master'!$A$2:$A$20,0)),IF(B54="Paper Recycling",INDEX('Materials Master'!$J$2:$J$20,MATCH(D54,'Materials Master'!$A$2:$A$20,0)),IF(B54="Terracycle",INDEX('Materials Master'!$K$2:$K$20,MATCH(D54,'Materials Master'!$A$2:$A$20,0)),"No")))))),"")</f>
        <v>Yes</v>
      </c>
      <c r="K54" s="0" t="str">
        <f aca="false">IFERROR(INDEX(Areas!$C$2:$C$3,MATCH(C54,Areas!$B$2:$B$3,0)),"")</f>
        <v>Base Building</v>
      </c>
    </row>
    <row r="55" customFormat="false" ht="15" hidden="false" customHeight="false" outlineLevel="0" collapsed="false">
      <c r="A55" s="0" t="s">
        <v>95</v>
      </c>
      <c r="B55" s="0" t="s">
        <v>84</v>
      </c>
      <c r="C55" s="0" t="s">
        <v>81</v>
      </c>
      <c r="D55" s="0" t="s">
        <v>39</v>
      </c>
      <c r="E55" s="0" t="n">
        <v>4.52</v>
      </c>
      <c r="F55" s="0" t="str">
        <f aca="false">IFERROR(INDEX('Materials Master'!$B$2:$B$20,MATCH(D55,'Materials Master'!$A$2:$A$20,0)),"")</f>
        <v>Other Coated Paper Containers</v>
      </c>
      <c r="G55" s="0" t="str">
        <f aca="false">IFERROR(INDEX('Materials Master'!$C$2:$C$20,MATCH(D55,'Materials Master'!$A$2:$A$20,0)),"")</f>
        <v>Fibers</v>
      </c>
      <c r="H55" s="0" t="str">
        <f aca="false">IFERROR(INDEX('Materials Master'!$D$2:$D$20,MATCH(D55,'Materials Master'!$A$2:$A$20,0)),"")</f>
        <v>No</v>
      </c>
      <c r="I55" s="0" t="str">
        <f aca="false">IFERROR(INDEX('Materials Master'!$E$2:$E$20,MATCH(D55,'Materials Master'!$A$2:$A$20,0)),"")</f>
        <v>No</v>
      </c>
      <c r="J55" s="0" t="str">
        <f aca="false">IFERROR(IF(B55="Trash",INDEX('Materials Master'!$F$2:$F$20,MATCH(D55,'Materials Master'!$A$2:$A$20,0)),IF(B55="GMPC Recycling",INDEX('Materials Master'!$G$2:$G$20,MATCH(D55,'Materials Master'!$A$2:$A$20,0)),IF(B55="Organics Recycling",INDEX('Materials Master'!$H$2:$H$20,MATCH(D55,'Materials Master'!$A$2:$A$20,0)),IF(B55="Cardboard Recycling",INDEX('Materials Master'!$I$2:$I$20,MATCH(D55,'Materials Master'!$A$2:$A$20,0)),IF(B55="Paper Recycling",INDEX('Materials Master'!$J$2:$J$20,MATCH(D55,'Materials Master'!$A$2:$A$20,0)),IF(B55="Terracycle",INDEX('Materials Master'!$K$2:$K$20,MATCH(D55,'Materials Master'!$A$2:$A$20,0)),"No")))))),"")</f>
        <v>No</v>
      </c>
      <c r="K55" s="0" t="str">
        <f aca="false">IFERROR(INDEX(Areas!$C$2:$C$3,MATCH(C55,Areas!$B$2:$B$3,0)),"")</f>
        <v>Base Building</v>
      </c>
    </row>
    <row r="56" customFormat="false" ht="15" hidden="false" customHeight="false" outlineLevel="0" collapsed="false">
      <c r="A56" s="0" t="s">
        <v>95</v>
      </c>
      <c r="B56" s="0" t="s">
        <v>84</v>
      </c>
      <c r="C56" s="0" t="s">
        <v>81</v>
      </c>
      <c r="D56" s="0" t="s">
        <v>41</v>
      </c>
      <c r="E56" s="0" t="n">
        <v>20.32</v>
      </c>
      <c r="F56" s="0" t="str">
        <f aca="false">IFERROR(INDEX('Materials Master'!$B$2:$B$20,MATCH(D56,'Materials Master'!$A$2:$A$20,0)),"")</f>
        <v>Glass Bottles &amp; Jars</v>
      </c>
      <c r="G56" s="0" t="str">
        <f aca="false">IFERROR(INDEX('Materials Master'!$C$2:$C$20,MATCH(D56,'Materials Master'!$A$2:$A$20,0)),"")</f>
        <v>Glass</v>
      </c>
      <c r="H56" s="0" t="str">
        <f aca="false">IFERROR(INDEX('Materials Master'!$D$2:$D$20,MATCH(D56,'Materials Master'!$A$2:$A$20,0)),"")</f>
        <v>Yes</v>
      </c>
      <c r="I56" s="0" t="str">
        <f aca="false">IFERROR(INDEX('Materials Master'!$E$2:$E$20,MATCH(D56,'Materials Master'!$A$2:$A$20,0)),"")</f>
        <v>Yes</v>
      </c>
      <c r="J56" s="0" t="str">
        <f aca="false">IFERROR(IF(B56="Trash",INDEX('Materials Master'!$F$2:$F$20,MATCH(D56,'Materials Master'!$A$2:$A$20,0)),IF(B56="GMPC Recycling",INDEX('Materials Master'!$G$2:$G$20,MATCH(D56,'Materials Master'!$A$2:$A$20,0)),IF(B56="Organics Recycling",INDEX('Materials Master'!$H$2:$H$20,MATCH(D56,'Materials Master'!$A$2:$A$20,0)),IF(B56="Cardboard Recycling",INDEX('Materials Master'!$I$2:$I$20,MATCH(D56,'Materials Master'!$A$2:$A$20,0)),IF(B56="Paper Recycling",INDEX('Materials Master'!$J$2:$J$20,MATCH(D56,'Materials Master'!$A$2:$A$20,0)),IF(B56="Terracycle",INDEX('Materials Master'!$K$2:$K$20,MATCH(D56,'Materials Master'!$A$2:$A$20,0)),"No")))))),"")</f>
        <v>Yes</v>
      </c>
      <c r="K56" s="0" t="str">
        <f aca="false">IFERROR(INDEX(Areas!$C$2:$C$3,MATCH(C56,Areas!$B$2:$B$3,0)),"")</f>
        <v>Base Building</v>
      </c>
    </row>
    <row r="57" customFormat="false" ht="15" hidden="false" customHeight="false" outlineLevel="0" collapsed="false">
      <c r="A57" s="0" t="s">
        <v>95</v>
      </c>
      <c r="B57" s="0" t="s">
        <v>84</v>
      </c>
      <c r="C57" s="0" t="s">
        <v>81</v>
      </c>
      <c r="D57" s="0" t="s">
        <v>46</v>
      </c>
      <c r="E57" s="0" t="n">
        <v>7.23</v>
      </c>
      <c r="F57" s="0" t="str">
        <f aca="false">IFERROR(INDEX('Materials Master'!$B$2:$B$20,MATCH(D57,'Materials Master'!$A$2:$A$20,0)),"")</f>
        <v>Aluminum &amp; Bi-metal Containers</v>
      </c>
      <c r="G57" s="0" t="str">
        <f aca="false">IFERROR(INDEX('Materials Master'!$C$2:$C$20,MATCH(D57,'Materials Master'!$A$2:$A$20,0)),"")</f>
        <v>Metals</v>
      </c>
      <c r="H57" s="0" t="str">
        <f aca="false">IFERROR(INDEX('Materials Master'!$D$2:$D$20,MATCH(D57,'Materials Master'!$A$2:$A$20,0)),"")</f>
        <v>Yes</v>
      </c>
      <c r="I57" s="0" t="str">
        <f aca="false">IFERROR(INDEX('Materials Master'!$E$2:$E$20,MATCH(D57,'Materials Master'!$A$2:$A$20,0)),"")</f>
        <v>Yes</v>
      </c>
      <c r="J57" s="0" t="str">
        <f aca="false">IFERROR(IF(B57="Trash",INDEX('Materials Master'!$F$2:$F$20,MATCH(D57,'Materials Master'!$A$2:$A$20,0)),IF(B57="GMPC Recycling",INDEX('Materials Master'!$G$2:$G$20,MATCH(D57,'Materials Master'!$A$2:$A$20,0)),IF(B57="Organics Recycling",INDEX('Materials Master'!$H$2:$H$20,MATCH(D57,'Materials Master'!$A$2:$A$20,0)),IF(B57="Cardboard Recycling",INDEX('Materials Master'!$I$2:$I$20,MATCH(D57,'Materials Master'!$A$2:$A$20,0)),IF(B57="Paper Recycling",INDEX('Materials Master'!$J$2:$J$20,MATCH(D57,'Materials Master'!$A$2:$A$20,0)),IF(B57="Terracycle",INDEX('Materials Master'!$K$2:$K$20,MATCH(D57,'Materials Master'!$A$2:$A$20,0)),"No")))))),"")</f>
        <v>Yes</v>
      </c>
      <c r="K57" s="0" t="str">
        <f aca="false">IFERROR(INDEX(Areas!$C$2:$C$3,MATCH(C57,Areas!$B$2:$B$3,0)),"")</f>
        <v>Base Building</v>
      </c>
    </row>
    <row r="58" customFormat="false" ht="15" hidden="false" customHeight="false" outlineLevel="0" collapsed="false">
      <c r="A58" s="0" t="s">
        <v>95</v>
      </c>
      <c r="B58" s="0" t="s">
        <v>84</v>
      </c>
      <c r="C58" s="0" t="s">
        <v>81</v>
      </c>
      <c r="D58" s="0" t="s">
        <v>51</v>
      </c>
      <c r="E58" s="0" t="n">
        <v>18.06</v>
      </c>
      <c r="F58" s="0" t="str">
        <f aca="false">IFERROR(INDEX('Materials Master'!$B$2:$B$20,MATCH(D58,'Materials Master'!$A$2:$A$20,0)),"")</f>
        <v>Rigid Plastics (1-6)</v>
      </c>
      <c r="G58" s="0" t="str">
        <f aca="false">IFERROR(INDEX('Materials Master'!$C$2:$C$20,MATCH(D58,'Materials Master'!$A$2:$A$20,0)),"")</f>
        <v>Plastics</v>
      </c>
      <c r="H58" s="0" t="str">
        <f aca="false">IFERROR(INDEX('Materials Master'!$D$2:$D$20,MATCH(D58,'Materials Master'!$A$2:$A$20,0)),"")</f>
        <v>Yes</v>
      </c>
      <c r="I58" s="0" t="str">
        <f aca="false">IFERROR(INDEX('Materials Master'!$E$2:$E$20,MATCH(D58,'Materials Master'!$A$2:$A$20,0)),"")</f>
        <v>Yes</v>
      </c>
      <c r="J58" s="0" t="str">
        <f aca="false">IFERROR(IF(B58="Trash",INDEX('Materials Master'!$F$2:$F$20,MATCH(D58,'Materials Master'!$A$2:$A$20,0)),IF(B58="GMPC Recycling",INDEX('Materials Master'!$G$2:$G$20,MATCH(D58,'Materials Master'!$A$2:$A$20,0)),IF(B58="Organics Recycling",INDEX('Materials Master'!$H$2:$H$20,MATCH(D58,'Materials Master'!$A$2:$A$20,0)),IF(B58="Cardboard Recycling",INDEX('Materials Master'!$I$2:$I$20,MATCH(D58,'Materials Master'!$A$2:$A$20,0)),IF(B58="Paper Recycling",INDEX('Materials Master'!$J$2:$J$20,MATCH(D58,'Materials Master'!$A$2:$A$20,0)),IF(B58="Terracycle",INDEX('Materials Master'!$K$2:$K$20,MATCH(D58,'Materials Master'!$A$2:$A$20,0)),"No")))))),"")</f>
        <v>Yes</v>
      </c>
      <c r="K58" s="0" t="str">
        <f aca="false">IFERROR(INDEX(Areas!$C$2:$C$3,MATCH(C58,Areas!$B$2:$B$3,0)),"")</f>
        <v>Base Building</v>
      </c>
    </row>
    <row r="59" customFormat="false" ht="15" hidden="false" customHeight="false" outlineLevel="0" collapsed="false">
      <c r="A59" s="0" t="s">
        <v>95</v>
      </c>
      <c r="B59" s="0" t="s">
        <v>84</v>
      </c>
      <c r="C59" s="0" t="s">
        <v>81</v>
      </c>
      <c r="D59" s="0" t="s">
        <v>54</v>
      </c>
      <c r="E59" s="0" t="n">
        <v>9.48</v>
      </c>
      <c r="F59" s="0" t="str">
        <f aca="false">IFERROR(INDEX('Materials Master'!$B$2:$B$20,MATCH(D59,'Materials Master'!$A$2:$A$20,0)),"")</f>
        <v>Soiled Rigid Plastics</v>
      </c>
      <c r="G59" s="0" t="str">
        <f aca="false">IFERROR(INDEX('Materials Master'!$C$2:$C$20,MATCH(D59,'Materials Master'!$A$2:$A$20,0)),"")</f>
        <v>Plastics</v>
      </c>
      <c r="H59" s="0" t="str">
        <f aca="false">IFERROR(INDEX('Materials Master'!$D$2:$D$20,MATCH(D59,'Materials Master'!$A$2:$A$20,0)),"")</f>
        <v>No</v>
      </c>
      <c r="I59" s="0" t="str">
        <f aca="false">IFERROR(INDEX('Materials Master'!$E$2:$E$20,MATCH(D59,'Materials Master'!$A$2:$A$20,0)),"")</f>
        <v>No</v>
      </c>
      <c r="J59" s="0" t="str">
        <f aca="false">IFERROR(IF(B59="Trash",INDEX('Materials Master'!$F$2:$F$20,MATCH(D59,'Materials Master'!$A$2:$A$20,0)),IF(B59="GMPC Recycling",INDEX('Materials Master'!$G$2:$G$20,MATCH(D59,'Materials Master'!$A$2:$A$20,0)),IF(B59="Organics Recycling",INDEX('Materials Master'!$H$2:$H$20,MATCH(D59,'Materials Master'!$A$2:$A$20,0)),IF(B59="Cardboard Recycling",INDEX('Materials Master'!$I$2:$I$20,MATCH(D59,'Materials Master'!$A$2:$A$20,0)),IF(B59="Paper Recycling",INDEX('Materials Master'!$J$2:$J$20,MATCH(D59,'Materials Master'!$A$2:$A$20,0)),IF(B59="Terracycle",INDEX('Materials Master'!$K$2:$K$20,MATCH(D59,'Materials Master'!$A$2:$A$20,0)),"No")))))),"")</f>
        <v>No</v>
      </c>
      <c r="K59" s="0" t="str">
        <f aca="false">IFERROR(INDEX(Areas!$C$2:$C$3,MATCH(C59,Areas!$B$2:$B$3,0)),"")</f>
        <v>Base Building</v>
      </c>
    </row>
    <row r="60" customFormat="false" ht="15" hidden="false" customHeight="false" outlineLevel="0" collapsed="false">
      <c r="A60" s="0" t="s">
        <v>95</v>
      </c>
      <c r="B60" s="0" t="s">
        <v>84</v>
      </c>
      <c r="C60" s="0" t="s">
        <v>81</v>
      </c>
      <c r="D60" s="0" t="s">
        <v>56</v>
      </c>
      <c r="E60" s="0" t="n">
        <v>0.9</v>
      </c>
      <c r="F60" s="0" t="str">
        <f aca="false">IFERROR(INDEX('Materials Master'!$B$2:$B$20,MATCH(D60,'Materials Master'!$A$2:$A$20,0)),"")</f>
        <v>Film Plastics</v>
      </c>
      <c r="G60" s="0" t="str">
        <f aca="false">IFERROR(INDEX('Materials Master'!$C$2:$C$20,MATCH(D60,'Materials Master'!$A$2:$A$20,0)),"")</f>
        <v>Plastics</v>
      </c>
      <c r="H60" s="0" t="str">
        <f aca="false">IFERROR(INDEX('Materials Master'!$D$2:$D$20,MATCH(D60,'Materials Master'!$A$2:$A$20,0)),"")</f>
        <v>No</v>
      </c>
      <c r="I60" s="0" t="str">
        <f aca="false">IFERROR(INDEX('Materials Master'!$E$2:$E$20,MATCH(D60,'Materials Master'!$A$2:$A$20,0)),"")</f>
        <v>No</v>
      </c>
      <c r="J60" s="0" t="str">
        <f aca="false">IFERROR(IF(B60="Trash",INDEX('Materials Master'!$F$2:$F$20,MATCH(D60,'Materials Master'!$A$2:$A$20,0)),IF(B60="GMPC Recycling",INDEX('Materials Master'!$G$2:$G$20,MATCH(D60,'Materials Master'!$A$2:$A$20,0)),IF(B60="Organics Recycling",INDEX('Materials Master'!$H$2:$H$20,MATCH(D60,'Materials Master'!$A$2:$A$20,0)),IF(B60="Cardboard Recycling",INDEX('Materials Master'!$I$2:$I$20,MATCH(D60,'Materials Master'!$A$2:$A$20,0)),IF(B60="Paper Recycling",INDEX('Materials Master'!$J$2:$J$20,MATCH(D60,'Materials Master'!$A$2:$A$20,0)),IF(B60="Terracycle",INDEX('Materials Master'!$K$2:$K$20,MATCH(D60,'Materials Master'!$A$2:$A$20,0)),"No")))))),"")</f>
        <v>No</v>
      </c>
      <c r="K60" s="0" t="str">
        <f aca="false">IFERROR(INDEX(Areas!$C$2:$C$3,MATCH(C60,Areas!$B$2:$B$3,0)),"")</f>
        <v>Base Building</v>
      </c>
    </row>
    <row r="61" customFormat="false" ht="15" hidden="false" customHeight="false" outlineLevel="0" collapsed="false">
      <c r="A61" s="0" t="s">
        <v>95</v>
      </c>
      <c r="B61" s="0" t="s">
        <v>84</v>
      </c>
      <c r="C61" s="0" t="s">
        <v>81</v>
      </c>
      <c r="D61" s="0" t="s">
        <v>58</v>
      </c>
      <c r="E61" s="0" t="n">
        <v>10.84</v>
      </c>
      <c r="F61" s="0" t="str">
        <f aca="false">IFERROR(INDEX('Materials Master'!$B$2:$B$20,MATCH(D61,'Materials Master'!$A$2:$A$20,0)),"")</f>
        <v>Waste Disposal Bags</v>
      </c>
      <c r="G61" s="0" t="str">
        <f aca="false">IFERROR(INDEX('Materials Master'!$C$2:$C$20,MATCH(D61,'Materials Master'!$A$2:$A$20,0)),"")</f>
        <v>Plastics</v>
      </c>
      <c r="H61" s="0" t="str">
        <f aca="false">IFERROR(INDEX('Materials Master'!$D$2:$D$20,MATCH(D61,'Materials Master'!$A$2:$A$20,0)),"")</f>
        <v>No</v>
      </c>
      <c r="I61" s="0" t="str">
        <f aca="false">IFERROR(INDEX('Materials Master'!$E$2:$E$20,MATCH(D61,'Materials Master'!$A$2:$A$20,0)),"")</f>
        <v>No</v>
      </c>
      <c r="J61" s="0" t="str">
        <f aca="false">IFERROR(IF(B61="Trash",INDEX('Materials Master'!$F$2:$F$20,MATCH(D61,'Materials Master'!$A$2:$A$20,0)),IF(B61="GMPC Recycling",INDEX('Materials Master'!$G$2:$G$20,MATCH(D61,'Materials Master'!$A$2:$A$20,0)),IF(B61="Organics Recycling",INDEX('Materials Master'!$H$2:$H$20,MATCH(D61,'Materials Master'!$A$2:$A$20,0)),IF(B61="Cardboard Recycling",INDEX('Materials Master'!$I$2:$I$20,MATCH(D61,'Materials Master'!$A$2:$A$20,0)),IF(B61="Paper Recycling",INDEX('Materials Master'!$J$2:$J$20,MATCH(D61,'Materials Master'!$A$2:$A$20,0)),IF(B61="Terracycle",INDEX('Materials Master'!$K$2:$K$20,MATCH(D61,'Materials Master'!$A$2:$A$20,0)),"No")))))),"")</f>
        <v>No</v>
      </c>
      <c r="K61" s="0" t="str">
        <f aca="false">IFERROR(INDEX(Areas!$C$2:$C$3,MATCH(C61,Areas!$B$2:$B$3,0)),"")</f>
        <v>Base Building</v>
      </c>
    </row>
    <row r="62" customFormat="false" ht="15" hidden="false" customHeight="false" outlineLevel="0" collapsed="false">
      <c r="A62" s="0" t="s">
        <v>95</v>
      </c>
      <c r="B62" s="0" t="s">
        <v>84</v>
      </c>
      <c r="C62" s="0" t="s">
        <v>81</v>
      </c>
      <c r="D62" s="0" t="s">
        <v>60</v>
      </c>
      <c r="E62" s="0" t="n">
        <v>9.48</v>
      </c>
      <c r="F62" s="0" t="str">
        <f aca="false">IFERROR(INDEX('Materials Master'!$B$2:$B$20,MATCH(D62,'Materials Master'!$A$2:$A$20,0)),"")</f>
        <v>Food Waste</v>
      </c>
      <c r="G62" s="0" t="str">
        <f aca="false">IFERROR(INDEX('Materials Master'!$C$2:$C$20,MATCH(D62,'Materials Master'!$A$2:$A$20,0)),"")</f>
        <v>Organics</v>
      </c>
      <c r="H62" s="0" t="str">
        <f aca="false">IFERROR(INDEX('Materials Master'!$D$2:$D$20,MATCH(D62,'Materials Master'!$A$2:$A$20,0)),"")</f>
        <v>No</v>
      </c>
      <c r="I62" s="0" t="str">
        <f aca="false">IFERROR(INDEX('Materials Master'!$E$2:$E$20,MATCH(D62,'Materials Master'!$A$2:$A$20,0)),"")</f>
        <v>Yes</v>
      </c>
      <c r="J62" s="0" t="str">
        <f aca="false">IFERROR(IF(B62="Trash",INDEX('Materials Master'!$F$2:$F$20,MATCH(D62,'Materials Master'!$A$2:$A$20,0)),IF(B62="GMPC Recycling",INDEX('Materials Master'!$G$2:$G$20,MATCH(D62,'Materials Master'!$A$2:$A$20,0)),IF(B62="Organics Recycling",INDEX('Materials Master'!$H$2:$H$20,MATCH(D62,'Materials Master'!$A$2:$A$20,0)),IF(B62="Cardboard Recycling",INDEX('Materials Master'!$I$2:$I$20,MATCH(D62,'Materials Master'!$A$2:$A$20,0)),IF(B62="Paper Recycling",INDEX('Materials Master'!$J$2:$J$20,MATCH(D62,'Materials Master'!$A$2:$A$20,0)),IF(B62="Terracycle",INDEX('Materials Master'!$K$2:$K$20,MATCH(D62,'Materials Master'!$A$2:$A$20,0)),"No")))))),"")</f>
        <v>No</v>
      </c>
      <c r="K62" s="0" t="str">
        <f aca="false">IFERROR(INDEX(Areas!$C$2:$C$3,MATCH(C62,Areas!$B$2:$B$3,0)),"")</f>
        <v>Base Building</v>
      </c>
    </row>
    <row r="63" customFormat="false" ht="15" hidden="false" customHeight="false" outlineLevel="0" collapsed="false">
      <c r="A63" s="0" t="s">
        <v>95</v>
      </c>
      <c r="B63" s="0" t="s">
        <v>84</v>
      </c>
      <c r="C63" s="0" t="s">
        <v>81</v>
      </c>
      <c r="D63" s="0" t="s">
        <v>63</v>
      </c>
      <c r="E63" s="0" t="n">
        <v>6.1</v>
      </c>
      <c r="F63" s="0" t="str">
        <f aca="false">IFERROR(INDEX('Materials Master'!$B$2:$B$20,MATCH(D63,'Materials Master'!$A$2:$A$20,0)),"")</f>
        <v>Paper Fibers and FSP</v>
      </c>
      <c r="G63" s="0" t="str">
        <f aca="false">IFERROR(INDEX('Materials Master'!$C$2:$C$20,MATCH(D63,'Materials Master'!$A$2:$A$20,0)),"")</f>
        <v>Organics</v>
      </c>
      <c r="H63" s="0" t="str">
        <f aca="false">IFERROR(INDEX('Materials Master'!$D$2:$D$20,MATCH(D63,'Materials Master'!$A$2:$A$20,0)),"")</f>
        <v>No</v>
      </c>
      <c r="I63" s="0" t="str">
        <f aca="false">IFERROR(INDEX('Materials Master'!$E$2:$E$20,MATCH(D63,'Materials Master'!$A$2:$A$20,0)),"")</f>
        <v>No</v>
      </c>
      <c r="J63" s="0" t="str">
        <f aca="false">IFERROR(IF(B63="Trash",INDEX('Materials Master'!$F$2:$F$20,MATCH(D63,'Materials Master'!$A$2:$A$20,0)),IF(B63="GMPC Recycling",INDEX('Materials Master'!$G$2:$G$20,MATCH(D63,'Materials Master'!$A$2:$A$20,0)),IF(B63="Organics Recycling",INDEX('Materials Master'!$H$2:$H$20,MATCH(D63,'Materials Master'!$A$2:$A$20,0)),IF(B63="Cardboard Recycling",INDEX('Materials Master'!$I$2:$I$20,MATCH(D63,'Materials Master'!$A$2:$A$20,0)),IF(B63="Paper Recycling",INDEX('Materials Master'!$J$2:$J$20,MATCH(D63,'Materials Master'!$A$2:$A$20,0)),IF(B63="Terracycle",INDEX('Materials Master'!$K$2:$K$20,MATCH(D63,'Materials Master'!$A$2:$A$20,0)),"No")))))),"")</f>
        <v>No</v>
      </c>
      <c r="K63" s="0" t="str">
        <f aca="false">IFERROR(INDEX(Areas!$C$2:$C$3,MATCH(C63,Areas!$B$2:$B$3,0)),"")</f>
        <v>Base Building</v>
      </c>
    </row>
    <row r="64" customFormat="false" ht="15" hidden="false" customHeight="false" outlineLevel="0" collapsed="false">
      <c r="A64" s="0" t="s">
        <v>95</v>
      </c>
      <c r="B64" s="0" t="s">
        <v>84</v>
      </c>
      <c r="C64" s="0" t="s">
        <v>81</v>
      </c>
      <c r="D64" s="0" t="s">
        <v>65</v>
      </c>
      <c r="E64" s="0" t="n">
        <v>2.94</v>
      </c>
      <c r="F64" s="0" t="str">
        <f aca="false">IFERROR(INDEX('Materials Master'!$B$2:$B$20,MATCH(D64,'Materials Master'!$A$2:$A$20,0)),"")</f>
        <v>Certified Compostables</v>
      </c>
      <c r="G64" s="0" t="str">
        <f aca="false">IFERROR(INDEX('Materials Master'!$C$2:$C$20,MATCH(D64,'Materials Master'!$A$2:$A$20,0)),"")</f>
        <v>Organics</v>
      </c>
      <c r="H64" s="0" t="str">
        <f aca="false">IFERROR(INDEX('Materials Master'!$D$2:$D$20,MATCH(D64,'Materials Master'!$A$2:$A$20,0)),"")</f>
        <v>No</v>
      </c>
      <c r="I64" s="0" t="str">
        <f aca="false">IFERROR(INDEX('Materials Master'!$E$2:$E$20,MATCH(D64,'Materials Master'!$A$2:$A$20,0)),"")</f>
        <v>No</v>
      </c>
      <c r="J64" s="0" t="str">
        <f aca="false">IFERROR(IF(B64="Trash",INDEX('Materials Master'!$F$2:$F$20,MATCH(D64,'Materials Master'!$A$2:$A$20,0)),IF(B64="GMPC Recycling",INDEX('Materials Master'!$G$2:$G$20,MATCH(D64,'Materials Master'!$A$2:$A$20,0)),IF(B64="Organics Recycling",INDEX('Materials Master'!$H$2:$H$20,MATCH(D64,'Materials Master'!$A$2:$A$20,0)),IF(B64="Cardboard Recycling",INDEX('Materials Master'!$I$2:$I$20,MATCH(D64,'Materials Master'!$A$2:$A$20,0)),IF(B64="Paper Recycling",INDEX('Materials Master'!$J$2:$J$20,MATCH(D64,'Materials Master'!$A$2:$A$20,0)),IF(B64="Terracycle",INDEX('Materials Master'!$K$2:$K$20,MATCH(D64,'Materials Master'!$A$2:$A$20,0)),"No")))))),"")</f>
        <v>No</v>
      </c>
      <c r="K64" s="0" t="str">
        <f aca="false">IFERROR(INDEX(Areas!$C$2:$C$3,MATCH(C64,Areas!$B$2:$B$3,0)),"")</f>
        <v>Base Building</v>
      </c>
    </row>
    <row r="65" customFormat="false" ht="15" hidden="false" customHeight="false" outlineLevel="0" collapsed="false">
      <c r="A65" s="0" t="s">
        <v>95</v>
      </c>
      <c r="B65" s="0" t="s">
        <v>84</v>
      </c>
      <c r="C65" s="0" t="s">
        <v>81</v>
      </c>
      <c r="D65" s="0" t="s">
        <v>70</v>
      </c>
      <c r="E65" s="0" t="n">
        <v>18.74</v>
      </c>
      <c r="F65" s="0" t="str">
        <f aca="false">IFERROR(INDEX('Materials Master'!$B$2:$B$20,MATCH(D65,'Materials Master'!$A$2:$A$20,0)),"")</f>
        <v>Liquids</v>
      </c>
      <c r="G65" s="0" t="str">
        <f aca="false">IFERROR(INDEX('Materials Master'!$C$2:$C$20,MATCH(D65,'Materials Master'!$A$2:$A$20,0)),"")</f>
        <v>Unacceptable</v>
      </c>
      <c r="H65" s="0" t="str">
        <f aca="false">IFERROR(INDEX('Materials Master'!$D$2:$D$20,MATCH(D65,'Materials Master'!$A$2:$A$20,0)),"")</f>
        <v>Unacceptable</v>
      </c>
      <c r="I65" s="0" t="str">
        <f aca="false">IFERROR(INDEX('Materials Master'!$E$2:$E$20,MATCH(D65,'Materials Master'!$A$2:$A$20,0)),"")</f>
        <v>No</v>
      </c>
      <c r="J65" s="0" t="str">
        <f aca="false">IFERROR(IF(B65="Trash",INDEX('Materials Master'!$F$2:$F$20,MATCH(D65,'Materials Master'!$A$2:$A$20,0)),IF(B65="GMPC Recycling",INDEX('Materials Master'!$G$2:$G$20,MATCH(D65,'Materials Master'!$A$2:$A$20,0)),IF(B65="Organics Recycling",INDEX('Materials Master'!$H$2:$H$20,MATCH(D65,'Materials Master'!$A$2:$A$20,0)),IF(B65="Cardboard Recycling",INDEX('Materials Master'!$I$2:$I$20,MATCH(D65,'Materials Master'!$A$2:$A$20,0)),IF(B65="Paper Recycling",INDEX('Materials Master'!$J$2:$J$20,MATCH(D65,'Materials Master'!$A$2:$A$20,0)),IF(B65="Terracycle",INDEX('Materials Master'!$K$2:$K$20,MATCH(D65,'Materials Master'!$A$2:$A$20,0)),"No")))))),"")</f>
        <v>No</v>
      </c>
      <c r="K65" s="0" t="str">
        <f aca="false">IFERROR(INDEX(Areas!$C$2:$C$3,MATCH(C65,Areas!$B$2:$B$3,0)),"")</f>
        <v>Base Building</v>
      </c>
    </row>
    <row r="66" customFormat="false" ht="15" hidden="false" customHeight="false" outlineLevel="0" collapsed="false">
      <c r="A66" s="0" t="s">
        <v>95</v>
      </c>
      <c r="B66" s="0" t="s">
        <v>84</v>
      </c>
      <c r="C66" s="0" t="s">
        <v>81</v>
      </c>
      <c r="D66" s="0" t="s">
        <v>72</v>
      </c>
      <c r="E66" s="0" t="n">
        <v>9.26</v>
      </c>
      <c r="F66" s="0" t="str">
        <f aca="false">IFERROR(INDEX('Materials Master'!$B$2:$B$20,MATCH(D66,'Materials Master'!$A$2:$A$20,0)),"")</f>
        <v>Residual Materials</v>
      </c>
      <c r="G66" s="0" t="str">
        <f aca="false">IFERROR(INDEX('Materials Master'!$C$2:$C$20,MATCH(D66,'Materials Master'!$A$2:$A$20,0)),"")</f>
        <v>Other</v>
      </c>
      <c r="H66" s="0" t="str">
        <f aca="false">IFERROR(INDEX('Materials Master'!$D$2:$D$20,MATCH(D66,'Materials Master'!$A$2:$A$20,0)),"")</f>
        <v>No</v>
      </c>
      <c r="I66" s="0" t="str">
        <f aca="false">IFERROR(INDEX('Materials Master'!$E$2:$E$20,MATCH(D66,'Materials Master'!$A$2:$A$20,0)),"")</f>
        <v>No</v>
      </c>
      <c r="J66" s="0" t="str">
        <f aca="false">IFERROR(IF(B66="Trash",INDEX('Materials Master'!$F$2:$F$20,MATCH(D66,'Materials Master'!$A$2:$A$20,0)),IF(B66="GMPC Recycling",INDEX('Materials Master'!$G$2:$G$20,MATCH(D66,'Materials Master'!$A$2:$A$20,0)),IF(B66="Organics Recycling",INDEX('Materials Master'!$H$2:$H$20,MATCH(D66,'Materials Master'!$A$2:$A$20,0)),IF(B66="Cardboard Recycling",INDEX('Materials Master'!$I$2:$I$20,MATCH(D66,'Materials Master'!$A$2:$A$20,0)),IF(B66="Paper Recycling",INDEX('Materials Master'!$J$2:$J$20,MATCH(D66,'Materials Master'!$A$2:$A$20,0)),IF(B66="Terracycle",INDEX('Materials Master'!$K$2:$K$20,MATCH(D66,'Materials Master'!$A$2:$A$20,0)),"No")))))),"")</f>
        <v>No</v>
      </c>
      <c r="K66" s="0" t="str">
        <f aca="false">IFERROR(INDEX(Areas!$C$2:$C$3,MATCH(C66,Areas!$B$2:$B$3,0)),"")</f>
        <v>Base Building</v>
      </c>
    </row>
    <row r="67" customFormat="false" ht="15" hidden="false" customHeight="false" outlineLevel="0" collapsed="false">
      <c r="A67" s="0" t="s">
        <v>95</v>
      </c>
      <c r="B67" s="0" t="s">
        <v>86</v>
      </c>
      <c r="C67" s="0" t="s">
        <v>81</v>
      </c>
      <c r="D67" s="0" t="s">
        <v>28</v>
      </c>
      <c r="E67" s="0" t="n">
        <v>84.6</v>
      </c>
      <c r="F67" s="0" t="str">
        <f aca="false">IFERROR(INDEX('Materials Master'!$B$2:$B$20,MATCH(D67,'Materials Master'!$A$2:$A$20,0)),"")</f>
        <v>Corrugated Cardboard</v>
      </c>
      <c r="G67" s="0" t="str">
        <f aca="false">IFERROR(INDEX('Materials Master'!$C$2:$C$20,MATCH(D67,'Materials Master'!$A$2:$A$20,0)),"")</f>
        <v>Fibers</v>
      </c>
      <c r="H67" s="0" t="str">
        <f aca="false">IFERROR(INDEX('Materials Master'!$D$2:$D$20,MATCH(D67,'Materials Master'!$A$2:$A$20,0)),"")</f>
        <v>Yes</v>
      </c>
      <c r="I67" s="0" t="str">
        <f aca="false">IFERROR(INDEX('Materials Master'!$E$2:$E$20,MATCH(D67,'Materials Master'!$A$2:$A$20,0)),"")</f>
        <v>Yes</v>
      </c>
      <c r="J67" s="0" t="str">
        <f aca="false">IFERROR(IF(B67="Trash",INDEX('Materials Master'!$F$2:$F$20,MATCH(D67,'Materials Master'!$A$2:$A$20,0)),IF(B67="GMPC Recycling",INDEX('Materials Master'!$G$2:$G$20,MATCH(D67,'Materials Master'!$A$2:$A$20,0)),IF(B67="Organics Recycling",INDEX('Materials Master'!$H$2:$H$20,MATCH(D67,'Materials Master'!$A$2:$A$20,0)),IF(B67="Cardboard Recycling",INDEX('Materials Master'!$I$2:$I$20,MATCH(D67,'Materials Master'!$A$2:$A$20,0)),IF(B67="Paper Recycling",INDEX('Materials Master'!$J$2:$J$20,MATCH(D67,'Materials Master'!$A$2:$A$20,0)),IF(B67="Terracycle",INDEX('Materials Master'!$K$2:$K$20,MATCH(D67,'Materials Master'!$A$2:$A$20,0)),"No")))))),"")</f>
        <v>Yes</v>
      </c>
      <c r="K67" s="0" t="str">
        <f aca="false">IFERROR(INDEX(Areas!$C$2:$C$3,MATCH(C67,Areas!$B$2:$B$3,0)),"")</f>
        <v>Base Building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5" hidden="false" customHeight="false" outlineLevel="0" collapsed="false">
      <c r="A1" s="0" t="s">
        <v>89</v>
      </c>
      <c r="B1" s="0" t="s">
        <v>90</v>
      </c>
      <c r="C1" s="0" t="s">
        <v>91</v>
      </c>
      <c r="D1" s="0" t="s">
        <v>96</v>
      </c>
      <c r="E1" s="0" t="s">
        <v>92</v>
      </c>
      <c r="F1" s="0" t="s">
        <v>94</v>
      </c>
    </row>
    <row r="2" customFormat="false" ht="15" hidden="false" customHeight="false" outlineLevel="0" collapsed="false">
      <c r="A2" s="0" t="s">
        <v>95</v>
      </c>
      <c r="B2" s="0" t="s">
        <v>83</v>
      </c>
      <c r="C2" s="0" t="s">
        <v>79</v>
      </c>
      <c r="D2" s="0" t="n">
        <v>1</v>
      </c>
      <c r="E2" s="0" t="n">
        <v>198.9</v>
      </c>
    </row>
    <row r="3" customFormat="false" ht="15" hidden="false" customHeight="false" outlineLevel="0" collapsed="false">
      <c r="A3" s="0" t="s">
        <v>95</v>
      </c>
      <c r="B3" s="0" t="s">
        <v>84</v>
      </c>
      <c r="C3" s="0" t="s">
        <v>79</v>
      </c>
      <c r="D3" s="0" t="n">
        <v>1</v>
      </c>
      <c r="E3" s="0" t="n">
        <v>17.79</v>
      </c>
    </row>
    <row r="4" customFormat="false" ht="15" hidden="false" customHeight="false" outlineLevel="0" collapsed="false">
      <c r="A4" s="0" t="s">
        <v>95</v>
      </c>
      <c r="B4" s="0" t="s">
        <v>85</v>
      </c>
      <c r="C4" s="0" t="s">
        <v>79</v>
      </c>
      <c r="D4" s="0" t="n">
        <v>1</v>
      </c>
      <c r="E4" s="0" t="n">
        <v>305.99</v>
      </c>
    </row>
    <row r="5" customFormat="false" ht="15" hidden="false" customHeight="false" outlineLevel="0" collapsed="false">
      <c r="A5" s="0" t="s">
        <v>95</v>
      </c>
      <c r="B5" s="0" t="s">
        <v>83</v>
      </c>
      <c r="C5" s="0" t="s">
        <v>81</v>
      </c>
      <c r="D5" s="0" t="n">
        <v>1</v>
      </c>
      <c r="E5" s="0" t="n">
        <v>507.98</v>
      </c>
    </row>
    <row r="6" customFormat="false" ht="15" hidden="false" customHeight="false" outlineLevel="0" collapsed="false">
      <c r="A6" s="0" t="s">
        <v>95</v>
      </c>
      <c r="B6" s="0" t="s">
        <v>84</v>
      </c>
      <c r="C6" s="0" t="s">
        <v>81</v>
      </c>
      <c r="D6" s="0" t="n">
        <v>1</v>
      </c>
      <c r="E6" s="0" t="n">
        <v>143.8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5" hidden="false" customHeight="false" outlineLevel="0" collapsed="false">
      <c r="A1" s="0" t="s">
        <v>91</v>
      </c>
      <c r="B1" s="0" t="s">
        <v>90</v>
      </c>
      <c r="C1" s="0" t="s">
        <v>17</v>
      </c>
      <c r="D1" s="0" t="s">
        <v>18</v>
      </c>
      <c r="E1" s="0" t="s">
        <v>19</v>
      </c>
      <c r="F1" s="0" t="s">
        <v>97</v>
      </c>
      <c r="G1" s="0" t="s">
        <v>98</v>
      </c>
      <c r="H1" s="0" t="s">
        <v>21</v>
      </c>
      <c r="I1" s="0" t="s">
        <v>77</v>
      </c>
      <c r="J1" s="0" t="s">
        <v>93</v>
      </c>
    </row>
    <row r="2" customFormat="false" ht="15" hidden="false" customHeight="false" outlineLevel="0" collapsed="false">
      <c r="A2" s="0" t="s">
        <v>79</v>
      </c>
      <c r="B2" s="0" t="s">
        <v>83</v>
      </c>
      <c r="C2" s="0" t="s">
        <v>28</v>
      </c>
      <c r="D2" s="0" t="str">
        <f aca="false">IFERROR(INDEX('Materials Master'!$B$2:$B$20,MATCH($C2,'Materials Master'!$A$2:$A$20,0)),"")</f>
        <v>Corrugated Cardboard</v>
      </c>
      <c r="E2" s="0" t="str">
        <f aca="false">IFERROR(INDEX('Materials Master'!$C$2:$C$20,MATCH($C2,'Materials Master'!$A$2:$A$20,0)),"")</f>
        <v>Fibers</v>
      </c>
      <c r="F2" s="0" t="n">
        <f aca="false">IF(SUMIFS(Fact_SortedWeights!$E$2:$E$67,Fact_SortedWeights!$C$2:$C$67,$A2,Fact_SortedWeights!$B$2:$B$67,$B2)=0,0,SUMIFS(Fact_SortedWeights!$E$2:$E$67,Fact_SortedWeights!$C$2:$C$67,$A2,Fact_SortedWeights!$B$2:$B$67,$B2,Fact_SortedWeights!$D$2:$D$67,$C2)/SUMIFS(Fact_SortedWeights!$E$2:$E$67,Fact_SortedWeights!$C$2:$C$67,$A2,Fact_SortedWeights!$B$2:$B$67,$B2)*(IF($B2="Cardboard Recycling",SUMIFS(Fact_SortedWeights!$E$2:$E$67,Fact_SortedWeights!$C$2:$C$67,$A2,Fact_SortedWeights!$B$2:$B$67,$B2),SUMIFS(Fact_PreSortWeights!$E$2:$E$6,Fact_PreSortWeights!$C$2:$C$6,$A2,Fact_PreSortWeights!$B$2:$B$6,$B2))))</f>
        <v>0</v>
      </c>
      <c r="G2" s="0" t="n">
        <f aca="false">IF(AND(IF($B2="Trash",INDEX('Materials Master'!$F$2:$F$20,MATCH($C2,'Materials Master'!$A$2:$A$20,0)),IF($B2="GMPC Recycling",INDEX('Materials Master'!$G$2:$G$20,MATCH($C2,'Materials Master'!$A$2:$A$20,0)),IF($B2="Organics Recycling",INDEX('Materials Master'!$H$2:$H$20,MATCH($C2,'Materials Master'!$A$2:$A$20,0)),IF($B2="Cardboard Recycling",INDEX('Materials Master'!$I$2:$I$20,MATCH($C2,'Materials Master'!$A$2:$A$20,0)),IF($B2="Paper Recycling",INDEX('Materials Master'!$J$2:$J$20,MATCH($C2,'Materials Master'!$A$2:$A$20,0)),IF($B2="Terracycle",INDEX('Materials Master'!$K$2:$K$20,MATCH($C2,'Materials Master'!$A$2:$A$20,0)),"No"))))))="Yes",INDEX('Materials Master'!$E$2:$E$20,MATCH($C2,'Materials Master'!$A$2:$A$20,0))="Yes",$B2&lt;&gt;"Trash"),1,0)</f>
        <v>0</v>
      </c>
      <c r="H2" s="0" t="str">
        <f aca="false">INDEX('Materials Master'!$E$2:$E$20,MATCH($C2,'Materials Master'!$A$2:$A$20,0))</f>
        <v>Yes</v>
      </c>
      <c r="I2" s="0" t="str">
        <f aca="false">IFERROR(INDEX(Areas!$C$2:$C$3,MATCH($A2,Areas!$B$2:$B$3,0)),"")</f>
        <v>Cafeteria</v>
      </c>
      <c r="J2" s="0" t="n">
        <f aca="false">IF(IF($B2="Trash",INDEX('Materials Master'!$F$2:$F$20,MATCH($C2,'Materials Master'!$A$2:$A$20,0)),IF($B2="GMPC Recycling",INDEX('Materials Master'!$G$2:$G$20,MATCH($C2,'Materials Master'!$A$2:$A$20,0)),IF($B2="Organics Recycling",INDEX('Materials Master'!$H$2:$H$20,MATCH($C2,'Materials Master'!$A$2:$A$20,0)),IF($B2="Cardboard Recycling",INDEX('Materials Master'!$I$2:$I$20,MATCH($C2,'Materials Master'!$A$2:$A$20,0)),IF($B2="Paper Recycling",INDEX('Materials Master'!$J$2:$J$20,MATCH($C2,'Materials Master'!$A$2:$A$20,0)),IF($B2="Terracycle",INDEX('Materials Master'!$K$2:$K$20,MATCH($C2,'Materials Master'!$A$2:$A$20,0)),"No"))))))="Yes",1,0)</f>
        <v>0</v>
      </c>
    </row>
    <row r="3" customFormat="false" ht="15" hidden="false" customHeight="false" outlineLevel="0" collapsed="false">
      <c r="A3" s="0" t="s">
        <v>79</v>
      </c>
      <c r="B3" s="0" t="s">
        <v>83</v>
      </c>
      <c r="C3" s="0" t="s">
        <v>33</v>
      </c>
      <c r="D3" s="0" t="str">
        <f aca="false">IFERROR(INDEX('Materials Master'!$B$2:$B$20,MATCH($C3,'Materials Master'!$A$2:$A$20,0)),"")</f>
        <v>Waxed Cardboard</v>
      </c>
      <c r="E3" s="0" t="str">
        <f aca="false">IFERROR(INDEX('Materials Master'!$C$2:$C$20,MATCH($C3,'Materials Master'!$A$2:$A$20,0)),"")</f>
        <v>Fibers</v>
      </c>
      <c r="F3" s="0" t="n">
        <f aca="false">IF(SUMIFS(Fact_SortedWeights!$E$2:$E$67,Fact_SortedWeights!$C$2:$C$67,$A3,Fact_SortedWeights!$B$2:$B$67,$B3)=0,0,SUMIFS(Fact_SortedWeights!$E$2:$E$67,Fact_SortedWeights!$C$2:$C$67,$A3,Fact_SortedWeights!$B$2:$B$67,$B3,Fact_SortedWeights!$D$2:$D$67,$C3)/SUMIFS(Fact_SortedWeights!$E$2:$E$67,Fact_SortedWeights!$C$2:$C$67,$A3,Fact_SortedWeights!$B$2:$B$67,$B3)*(IF($B3="Cardboard Recycling",SUMIFS(Fact_SortedWeights!$E$2:$E$67,Fact_SortedWeights!$C$2:$C$67,$A3,Fact_SortedWeights!$B$2:$B$67,$B3),SUMIFS(Fact_PreSortWeights!$E$2:$E$6,Fact_PreSortWeights!$C$2:$C$6,$A3,Fact_PreSortWeights!$B$2:$B$6,$B3))))</f>
        <v>0</v>
      </c>
      <c r="G3" s="0" t="n">
        <f aca="false">IF(AND(IF($B3="Trash",INDEX('Materials Master'!$F$2:$F$20,MATCH($C3,'Materials Master'!$A$2:$A$20,0)),IF($B3="GMPC Recycling",INDEX('Materials Master'!$G$2:$G$20,MATCH($C3,'Materials Master'!$A$2:$A$20,0)),IF($B3="Organics Recycling",INDEX('Materials Master'!$H$2:$H$20,MATCH($C3,'Materials Master'!$A$2:$A$20,0)),IF($B3="Cardboard Recycling",INDEX('Materials Master'!$I$2:$I$20,MATCH($C3,'Materials Master'!$A$2:$A$20,0)),IF($B3="Paper Recycling",INDEX('Materials Master'!$J$2:$J$20,MATCH($C3,'Materials Master'!$A$2:$A$20,0)),IF($B3="Terracycle",INDEX('Materials Master'!$K$2:$K$20,MATCH($C3,'Materials Master'!$A$2:$A$20,0)),"No"))))))="Yes",INDEX('Materials Master'!$E$2:$E$20,MATCH($C3,'Materials Master'!$A$2:$A$20,0))="Yes",$B3&lt;&gt;"Trash"),1,0)</f>
        <v>0</v>
      </c>
      <c r="H3" s="0" t="str">
        <f aca="false">INDEX('Materials Master'!$E$2:$E$20,MATCH($C3,'Materials Master'!$A$2:$A$20,0))</f>
        <v>No</v>
      </c>
      <c r="I3" s="0" t="str">
        <f aca="false">IFERROR(INDEX(Areas!$C$2:$C$3,MATCH($A3,Areas!$B$2:$B$3,0)),"")</f>
        <v>Cafeteria</v>
      </c>
      <c r="J3" s="0" t="n">
        <f aca="false">IF(IF($B3="Trash",INDEX('Materials Master'!$F$2:$F$20,MATCH($C3,'Materials Master'!$A$2:$A$20,0)),IF($B3="GMPC Recycling",INDEX('Materials Master'!$G$2:$G$20,MATCH($C3,'Materials Master'!$A$2:$A$20,0)),IF($B3="Organics Recycling",INDEX('Materials Master'!$H$2:$H$20,MATCH($C3,'Materials Master'!$A$2:$A$20,0)),IF($B3="Cardboard Recycling",INDEX('Materials Master'!$I$2:$I$20,MATCH($C3,'Materials Master'!$A$2:$A$20,0)),IF($B3="Paper Recycling",INDEX('Materials Master'!$J$2:$J$20,MATCH($C3,'Materials Master'!$A$2:$A$20,0)),IF($B3="Terracycle",INDEX('Materials Master'!$K$2:$K$20,MATCH($C3,'Materials Master'!$A$2:$A$20,0)),"No"))))))="Yes",1,0)</f>
        <v>1</v>
      </c>
    </row>
    <row r="4" customFormat="false" ht="15" hidden="false" customHeight="false" outlineLevel="0" collapsed="false">
      <c r="A4" s="0" t="s">
        <v>79</v>
      </c>
      <c r="B4" s="0" t="s">
        <v>83</v>
      </c>
      <c r="C4" s="0" t="s">
        <v>35</v>
      </c>
      <c r="D4" s="0" t="str">
        <f aca="false">IFERROR(INDEX('Materials Master'!$B$2:$B$20,MATCH($C4,'Materials Master'!$A$2:$A$20,0)),"")</f>
        <v>Mixed Paper</v>
      </c>
      <c r="E4" s="0" t="str">
        <f aca="false">IFERROR(INDEX('Materials Master'!$C$2:$C$20,MATCH($C4,'Materials Master'!$A$2:$A$20,0)),"")</f>
        <v>Fibers</v>
      </c>
      <c r="F4" s="0" t="n">
        <f aca="false">IF(SUMIFS(Fact_SortedWeights!$E$2:$E$67,Fact_SortedWeights!$C$2:$C$67,$A4,Fact_SortedWeights!$B$2:$B$67,$B4)=0,0,SUMIFS(Fact_SortedWeights!$E$2:$E$67,Fact_SortedWeights!$C$2:$C$67,$A4,Fact_SortedWeights!$B$2:$B$67,$B4,Fact_SortedWeights!$D$2:$D$67,$C4)/SUMIFS(Fact_SortedWeights!$E$2:$E$67,Fact_SortedWeights!$C$2:$C$67,$A4,Fact_SortedWeights!$B$2:$B$67,$B4)*(IF($B4="Cardboard Recycling",SUMIFS(Fact_SortedWeights!$E$2:$E$67,Fact_SortedWeights!$C$2:$C$67,$A4,Fact_SortedWeights!$B$2:$B$67,$B4),SUMIFS(Fact_PreSortWeights!$E$2:$E$6,Fact_PreSortWeights!$C$2:$C$6,$A4,Fact_PreSortWeights!$B$2:$B$6,$B4))))</f>
        <v>4.69</v>
      </c>
      <c r="G4" s="0" t="n">
        <f aca="false">IF(AND(IF($B4="Trash",INDEX('Materials Master'!$F$2:$F$20,MATCH($C4,'Materials Master'!$A$2:$A$20,0)),IF($B4="GMPC Recycling",INDEX('Materials Master'!$G$2:$G$20,MATCH($C4,'Materials Master'!$A$2:$A$20,0)),IF($B4="Organics Recycling",INDEX('Materials Master'!$H$2:$H$20,MATCH($C4,'Materials Master'!$A$2:$A$20,0)),IF($B4="Cardboard Recycling",INDEX('Materials Master'!$I$2:$I$20,MATCH($C4,'Materials Master'!$A$2:$A$20,0)),IF($B4="Paper Recycling",INDEX('Materials Master'!$J$2:$J$20,MATCH($C4,'Materials Master'!$A$2:$A$20,0)),IF($B4="Terracycle",INDEX('Materials Master'!$K$2:$K$20,MATCH($C4,'Materials Master'!$A$2:$A$20,0)),"No"))))))="Yes",INDEX('Materials Master'!$E$2:$E$20,MATCH($C4,'Materials Master'!$A$2:$A$20,0))="Yes",$B4&lt;&gt;"Trash"),1,0)</f>
        <v>0</v>
      </c>
      <c r="H4" s="0" t="str">
        <f aca="false">INDEX('Materials Master'!$E$2:$E$20,MATCH($C4,'Materials Master'!$A$2:$A$20,0))</f>
        <v>Yes</v>
      </c>
      <c r="I4" s="0" t="str">
        <f aca="false">IFERROR(INDEX(Areas!$C$2:$C$3,MATCH($A4,Areas!$B$2:$B$3,0)),"")</f>
        <v>Cafeteria</v>
      </c>
      <c r="J4" s="0" t="n">
        <f aca="false">IF(IF($B4="Trash",INDEX('Materials Master'!$F$2:$F$20,MATCH($C4,'Materials Master'!$A$2:$A$20,0)),IF($B4="GMPC Recycling",INDEX('Materials Master'!$G$2:$G$20,MATCH($C4,'Materials Master'!$A$2:$A$20,0)),IF($B4="Organics Recycling",INDEX('Materials Master'!$H$2:$H$20,MATCH($C4,'Materials Master'!$A$2:$A$20,0)),IF($B4="Cardboard Recycling",INDEX('Materials Master'!$I$2:$I$20,MATCH($C4,'Materials Master'!$A$2:$A$20,0)),IF($B4="Paper Recycling",INDEX('Materials Master'!$J$2:$J$20,MATCH($C4,'Materials Master'!$A$2:$A$20,0)),IF($B4="Terracycle",INDEX('Materials Master'!$K$2:$K$20,MATCH($C4,'Materials Master'!$A$2:$A$20,0)),"No"))))))="Yes",1,0)</f>
        <v>0</v>
      </c>
    </row>
    <row r="5" customFormat="false" ht="15" hidden="false" customHeight="false" outlineLevel="0" collapsed="false">
      <c r="A5" s="0" t="s">
        <v>79</v>
      </c>
      <c r="B5" s="0" t="s">
        <v>83</v>
      </c>
      <c r="C5" s="0" t="s">
        <v>37</v>
      </c>
      <c r="D5" s="0" t="str">
        <f aca="false">IFERROR(INDEX('Materials Master'!$B$2:$B$20,MATCH($C5,'Materials Master'!$A$2:$A$20,0)),"")</f>
        <v>Gable-top &amp; Aseptic Cartons</v>
      </c>
      <c r="E5" s="0" t="str">
        <f aca="false">IFERROR(INDEX('Materials Master'!$C$2:$C$20,MATCH($C5,'Materials Master'!$A$2:$A$20,0)),"")</f>
        <v>Fibers</v>
      </c>
      <c r="F5" s="0" t="n">
        <f aca="false">IF(SUMIFS(Fact_SortedWeights!$E$2:$E$67,Fact_SortedWeights!$C$2:$C$67,$A5,Fact_SortedWeights!$B$2:$B$67,$B5)=0,0,SUMIFS(Fact_SortedWeights!$E$2:$E$67,Fact_SortedWeights!$C$2:$C$67,$A5,Fact_SortedWeights!$B$2:$B$67,$B5,Fact_SortedWeights!$D$2:$D$67,$C5)/SUMIFS(Fact_SortedWeights!$E$2:$E$67,Fact_SortedWeights!$C$2:$C$67,$A5,Fact_SortedWeights!$B$2:$B$67,$B5)*(IF($B5="Cardboard Recycling",SUMIFS(Fact_SortedWeights!$E$2:$E$67,Fact_SortedWeights!$C$2:$C$67,$A5,Fact_SortedWeights!$B$2:$B$67,$B5),SUMIFS(Fact_PreSortWeights!$E$2:$E$6,Fact_PreSortWeights!$C$2:$C$6,$A5,Fact_PreSortWeights!$B$2:$B$6,$B5))))</f>
        <v>4.02</v>
      </c>
      <c r="G5" s="0" t="n">
        <f aca="false">IF(AND(IF($B5="Trash",INDEX('Materials Master'!$F$2:$F$20,MATCH($C5,'Materials Master'!$A$2:$A$20,0)),IF($B5="GMPC Recycling",INDEX('Materials Master'!$G$2:$G$20,MATCH($C5,'Materials Master'!$A$2:$A$20,0)),IF($B5="Organics Recycling",INDEX('Materials Master'!$H$2:$H$20,MATCH($C5,'Materials Master'!$A$2:$A$20,0)),IF($B5="Cardboard Recycling",INDEX('Materials Master'!$I$2:$I$20,MATCH($C5,'Materials Master'!$A$2:$A$20,0)),IF($B5="Paper Recycling",INDEX('Materials Master'!$J$2:$J$20,MATCH($C5,'Materials Master'!$A$2:$A$20,0)),IF($B5="Terracycle",INDEX('Materials Master'!$K$2:$K$20,MATCH($C5,'Materials Master'!$A$2:$A$20,0)),"No"))))))="Yes",INDEX('Materials Master'!$E$2:$E$20,MATCH($C5,'Materials Master'!$A$2:$A$20,0))="Yes",$B5&lt;&gt;"Trash"),1,0)</f>
        <v>0</v>
      </c>
      <c r="H5" s="0" t="str">
        <f aca="false">INDEX('Materials Master'!$E$2:$E$20,MATCH($C5,'Materials Master'!$A$2:$A$20,0))</f>
        <v>Yes</v>
      </c>
      <c r="I5" s="0" t="str">
        <f aca="false">IFERROR(INDEX(Areas!$C$2:$C$3,MATCH($A5,Areas!$B$2:$B$3,0)),"")</f>
        <v>Cafeteria</v>
      </c>
      <c r="J5" s="0" t="n">
        <f aca="false">IF(IF($B5="Trash",INDEX('Materials Master'!$F$2:$F$20,MATCH($C5,'Materials Master'!$A$2:$A$20,0)),IF($B5="GMPC Recycling",INDEX('Materials Master'!$G$2:$G$20,MATCH($C5,'Materials Master'!$A$2:$A$20,0)),IF($B5="Organics Recycling",INDEX('Materials Master'!$H$2:$H$20,MATCH($C5,'Materials Master'!$A$2:$A$20,0)),IF($B5="Cardboard Recycling",INDEX('Materials Master'!$I$2:$I$20,MATCH($C5,'Materials Master'!$A$2:$A$20,0)),IF($B5="Paper Recycling",INDEX('Materials Master'!$J$2:$J$20,MATCH($C5,'Materials Master'!$A$2:$A$20,0)),IF($B5="Terracycle",INDEX('Materials Master'!$K$2:$K$20,MATCH($C5,'Materials Master'!$A$2:$A$20,0)),"No"))))))="Yes",1,0)</f>
        <v>0</v>
      </c>
    </row>
    <row r="6" customFormat="false" ht="15" hidden="false" customHeight="false" outlineLevel="0" collapsed="false">
      <c r="A6" s="0" t="s">
        <v>79</v>
      </c>
      <c r="B6" s="0" t="s">
        <v>83</v>
      </c>
      <c r="C6" s="0" t="s">
        <v>39</v>
      </c>
      <c r="D6" s="0" t="str">
        <f aca="false">IFERROR(INDEX('Materials Master'!$B$2:$B$20,MATCH($C6,'Materials Master'!$A$2:$A$20,0)),"")</f>
        <v>Other Coated Paper Containers</v>
      </c>
      <c r="E6" s="0" t="str">
        <f aca="false">IFERROR(INDEX('Materials Master'!$C$2:$C$20,MATCH($C6,'Materials Master'!$A$2:$A$20,0)),"")</f>
        <v>Fibers</v>
      </c>
      <c r="F6" s="0" t="n">
        <f aca="false">IF(SUMIFS(Fact_SortedWeights!$E$2:$E$67,Fact_SortedWeights!$C$2:$C$67,$A6,Fact_SortedWeights!$B$2:$B$67,$B6)=0,0,SUMIFS(Fact_SortedWeights!$E$2:$E$67,Fact_SortedWeights!$C$2:$C$67,$A6,Fact_SortedWeights!$B$2:$B$67,$B6,Fact_SortedWeights!$D$2:$D$67,$C6)/SUMIFS(Fact_SortedWeights!$E$2:$E$67,Fact_SortedWeights!$C$2:$C$67,$A6,Fact_SortedWeights!$B$2:$B$67,$B6)*(IF($B6="Cardboard Recycling",SUMIFS(Fact_SortedWeights!$E$2:$E$67,Fact_SortedWeights!$C$2:$C$67,$A6,Fact_SortedWeights!$B$2:$B$67,$B6),SUMIFS(Fact_PreSortWeights!$E$2:$E$6,Fact_PreSortWeights!$C$2:$C$6,$A6,Fact_PreSortWeights!$B$2:$B$6,$B6))))</f>
        <v>1</v>
      </c>
      <c r="G6" s="0" t="n">
        <f aca="false">IF(AND(IF($B6="Trash",INDEX('Materials Master'!$F$2:$F$20,MATCH($C6,'Materials Master'!$A$2:$A$20,0)),IF($B6="GMPC Recycling",INDEX('Materials Master'!$G$2:$G$20,MATCH($C6,'Materials Master'!$A$2:$A$20,0)),IF($B6="Organics Recycling",INDEX('Materials Master'!$H$2:$H$20,MATCH($C6,'Materials Master'!$A$2:$A$20,0)),IF($B6="Cardboard Recycling",INDEX('Materials Master'!$I$2:$I$20,MATCH($C6,'Materials Master'!$A$2:$A$20,0)),IF($B6="Paper Recycling",INDEX('Materials Master'!$J$2:$J$20,MATCH($C6,'Materials Master'!$A$2:$A$20,0)),IF($B6="Terracycle",INDEX('Materials Master'!$K$2:$K$20,MATCH($C6,'Materials Master'!$A$2:$A$20,0)),"No"))))))="Yes",INDEX('Materials Master'!$E$2:$E$20,MATCH($C6,'Materials Master'!$A$2:$A$20,0))="Yes",$B6&lt;&gt;"Trash"),1,0)</f>
        <v>0</v>
      </c>
      <c r="H6" s="0" t="str">
        <f aca="false">INDEX('Materials Master'!$E$2:$E$20,MATCH($C6,'Materials Master'!$A$2:$A$20,0))</f>
        <v>No</v>
      </c>
      <c r="I6" s="0" t="str">
        <f aca="false">IFERROR(INDEX(Areas!$C$2:$C$3,MATCH($A6,Areas!$B$2:$B$3,0)),"")</f>
        <v>Cafeteria</v>
      </c>
      <c r="J6" s="0" t="n">
        <f aca="false">IF(IF($B6="Trash",INDEX('Materials Master'!$F$2:$F$20,MATCH($C6,'Materials Master'!$A$2:$A$20,0)),IF($B6="GMPC Recycling",INDEX('Materials Master'!$G$2:$G$20,MATCH($C6,'Materials Master'!$A$2:$A$20,0)),IF($B6="Organics Recycling",INDEX('Materials Master'!$H$2:$H$20,MATCH($C6,'Materials Master'!$A$2:$A$20,0)),IF($B6="Cardboard Recycling",INDEX('Materials Master'!$I$2:$I$20,MATCH($C6,'Materials Master'!$A$2:$A$20,0)),IF($B6="Paper Recycling",INDEX('Materials Master'!$J$2:$J$20,MATCH($C6,'Materials Master'!$A$2:$A$20,0)),IF($B6="Terracycle",INDEX('Materials Master'!$K$2:$K$20,MATCH($C6,'Materials Master'!$A$2:$A$20,0)),"No"))))))="Yes",1,0)</f>
        <v>1</v>
      </c>
    </row>
    <row r="7" customFormat="false" ht="15" hidden="false" customHeight="false" outlineLevel="0" collapsed="false">
      <c r="A7" s="0" t="s">
        <v>79</v>
      </c>
      <c r="B7" s="0" t="s">
        <v>83</v>
      </c>
      <c r="C7" s="0" t="s">
        <v>41</v>
      </c>
      <c r="D7" s="0" t="str">
        <f aca="false">IFERROR(INDEX('Materials Master'!$B$2:$B$20,MATCH($C7,'Materials Master'!$A$2:$A$20,0)),"")</f>
        <v>Glass Bottles &amp; Jars</v>
      </c>
      <c r="E7" s="0" t="str">
        <f aca="false">IFERROR(INDEX('Materials Master'!$C$2:$C$20,MATCH($C7,'Materials Master'!$A$2:$A$20,0)),"")</f>
        <v>Glass</v>
      </c>
      <c r="F7" s="0" t="n">
        <f aca="false">IF(SUMIFS(Fact_SortedWeights!$E$2:$E$67,Fact_SortedWeights!$C$2:$C$67,$A7,Fact_SortedWeights!$B$2:$B$67,$B7)=0,0,SUMIFS(Fact_SortedWeights!$E$2:$E$67,Fact_SortedWeights!$C$2:$C$67,$A7,Fact_SortedWeights!$B$2:$B$67,$B7,Fact_SortedWeights!$D$2:$D$67,$C7)/SUMIFS(Fact_SortedWeights!$E$2:$E$67,Fact_SortedWeights!$C$2:$C$67,$A7,Fact_SortedWeights!$B$2:$B$67,$B7)*(IF($B7="Cardboard Recycling",SUMIFS(Fact_SortedWeights!$E$2:$E$67,Fact_SortedWeights!$C$2:$C$67,$A7,Fact_SortedWeights!$B$2:$B$67,$B7),SUMIFS(Fact_PreSortWeights!$E$2:$E$6,Fact_PreSortWeights!$C$2:$C$6,$A7,Fact_PreSortWeights!$B$2:$B$6,$B7))))</f>
        <v>4.35</v>
      </c>
      <c r="G7" s="0" t="n">
        <f aca="false">IF(AND(IF($B7="Trash",INDEX('Materials Master'!$F$2:$F$20,MATCH($C7,'Materials Master'!$A$2:$A$20,0)),IF($B7="GMPC Recycling",INDEX('Materials Master'!$G$2:$G$20,MATCH($C7,'Materials Master'!$A$2:$A$20,0)),IF($B7="Organics Recycling",INDEX('Materials Master'!$H$2:$H$20,MATCH($C7,'Materials Master'!$A$2:$A$20,0)),IF($B7="Cardboard Recycling",INDEX('Materials Master'!$I$2:$I$20,MATCH($C7,'Materials Master'!$A$2:$A$20,0)),IF($B7="Paper Recycling",INDEX('Materials Master'!$J$2:$J$20,MATCH($C7,'Materials Master'!$A$2:$A$20,0)),IF($B7="Terracycle",INDEX('Materials Master'!$K$2:$K$20,MATCH($C7,'Materials Master'!$A$2:$A$20,0)),"No"))))))="Yes",INDEX('Materials Master'!$E$2:$E$20,MATCH($C7,'Materials Master'!$A$2:$A$20,0))="Yes",$B7&lt;&gt;"Trash"),1,0)</f>
        <v>0</v>
      </c>
      <c r="H7" s="0" t="str">
        <f aca="false">INDEX('Materials Master'!$E$2:$E$20,MATCH($C7,'Materials Master'!$A$2:$A$20,0))</f>
        <v>Yes</v>
      </c>
      <c r="I7" s="0" t="str">
        <f aca="false">IFERROR(INDEX(Areas!$C$2:$C$3,MATCH($A7,Areas!$B$2:$B$3,0)),"")</f>
        <v>Cafeteria</v>
      </c>
      <c r="J7" s="0" t="n">
        <f aca="false">IF(IF($B7="Trash",INDEX('Materials Master'!$F$2:$F$20,MATCH($C7,'Materials Master'!$A$2:$A$20,0)),IF($B7="GMPC Recycling",INDEX('Materials Master'!$G$2:$G$20,MATCH($C7,'Materials Master'!$A$2:$A$20,0)),IF($B7="Organics Recycling",INDEX('Materials Master'!$H$2:$H$20,MATCH($C7,'Materials Master'!$A$2:$A$20,0)),IF($B7="Cardboard Recycling",INDEX('Materials Master'!$I$2:$I$20,MATCH($C7,'Materials Master'!$A$2:$A$20,0)),IF($B7="Paper Recycling",INDEX('Materials Master'!$J$2:$J$20,MATCH($C7,'Materials Master'!$A$2:$A$20,0)),IF($B7="Terracycle",INDEX('Materials Master'!$K$2:$K$20,MATCH($C7,'Materials Master'!$A$2:$A$20,0)),"No"))))))="Yes",1,0)</f>
        <v>0</v>
      </c>
    </row>
    <row r="8" customFormat="false" ht="15" hidden="false" customHeight="false" outlineLevel="0" collapsed="false">
      <c r="A8" s="0" t="s">
        <v>79</v>
      </c>
      <c r="B8" s="0" t="s">
        <v>83</v>
      </c>
      <c r="C8" s="0" t="s">
        <v>44</v>
      </c>
      <c r="D8" s="0" t="str">
        <f aca="false">IFERROR(INDEX('Materials Master'!$B$2:$B$20,MATCH($C8,'Materials Master'!$A$2:$A$20,0)),"")</f>
        <v>Broken Glass</v>
      </c>
      <c r="E8" s="0" t="str">
        <f aca="false">IFERROR(INDEX('Materials Master'!$C$2:$C$20,MATCH($C8,'Materials Master'!$A$2:$A$20,0)),"")</f>
        <v>Glass</v>
      </c>
      <c r="F8" s="0" t="n">
        <f aca="false">IF(SUMIFS(Fact_SortedWeights!$E$2:$E$67,Fact_SortedWeights!$C$2:$C$67,$A8,Fact_SortedWeights!$B$2:$B$67,$B8)=0,0,SUMIFS(Fact_SortedWeights!$E$2:$E$67,Fact_SortedWeights!$C$2:$C$67,$A8,Fact_SortedWeights!$B$2:$B$67,$B8,Fact_SortedWeights!$D$2:$D$67,$C8)/SUMIFS(Fact_SortedWeights!$E$2:$E$67,Fact_SortedWeights!$C$2:$C$67,$A8,Fact_SortedWeights!$B$2:$B$67,$B8)*(IF($B8="Cardboard Recycling",SUMIFS(Fact_SortedWeights!$E$2:$E$67,Fact_SortedWeights!$C$2:$C$67,$A8,Fact_SortedWeights!$B$2:$B$67,$B8),SUMIFS(Fact_PreSortWeights!$E$2:$E$6,Fact_PreSortWeights!$C$2:$C$6,$A8,Fact_PreSortWeights!$B$2:$B$6,$B8))))</f>
        <v>0</v>
      </c>
      <c r="G8" s="0" t="n">
        <f aca="false">IF(AND(IF($B8="Trash",INDEX('Materials Master'!$F$2:$F$20,MATCH($C8,'Materials Master'!$A$2:$A$20,0)),IF($B8="GMPC Recycling",INDEX('Materials Master'!$G$2:$G$20,MATCH($C8,'Materials Master'!$A$2:$A$20,0)),IF($B8="Organics Recycling",INDEX('Materials Master'!$H$2:$H$20,MATCH($C8,'Materials Master'!$A$2:$A$20,0)),IF($B8="Cardboard Recycling",INDEX('Materials Master'!$I$2:$I$20,MATCH($C8,'Materials Master'!$A$2:$A$20,0)),IF($B8="Paper Recycling",INDEX('Materials Master'!$J$2:$J$20,MATCH($C8,'Materials Master'!$A$2:$A$20,0)),IF($B8="Terracycle",INDEX('Materials Master'!$K$2:$K$20,MATCH($C8,'Materials Master'!$A$2:$A$20,0)),"No"))))))="Yes",INDEX('Materials Master'!$E$2:$E$20,MATCH($C8,'Materials Master'!$A$2:$A$20,0))="Yes",$B8&lt;&gt;"Trash"),1,0)</f>
        <v>0</v>
      </c>
      <c r="H8" s="0" t="str">
        <f aca="false">INDEX('Materials Master'!$E$2:$E$20,MATCH($C8,'Materials Master'!$A$2:$A$20,0))</f>
        <v>No</v>
      </c>
      <c r="I8" s="0" t="str">
        <f aca="false">IFERROR(INDEX(Areas!$C$2:$C$3,MATCH($A8,Areas!$B$2:$B$3,0)),"")</f>
        <v>Cafeteria</v>
      </c>
      <c r="J8" s="0" t="n">
        <f aca="false">IF(IF($B8="Trash",INDEX('Materials Master'!$F$2:$F$20,MATCH($C8,'Materials Master'!$A$2:$A$20,0)),IF($B8="GMPC Recycling",INDEX('Materials Master'!$G$2:$G$20,MATCH($C8,'Materials Master'!$A$2:$A$20,0)),IF($B8="Organics Recycling",INDEX('Materials Master'!$H$2:$H$20,MATCH($C8,'Materials Master'!$A$2:$A$20,0)),IF($B8="Cardboard Recycling",INDEX('Materials Master'!$I$2:$I$20,MATCH($C8,'Materials Master'!$A$2:$A$20,0)),IF($B8="Paper Recycling",INDEX('Materials Master'!$J$2:$J$20,MATCH($C8,'Materials Master'!$A$2:$A$20,0)),IF($B8="Terracycle",INDEX('Materials Master'!$K$2:$K$20,MATCH($C8,'Materials Master'!$A$2:$A$20,0)),"No"))))))="Yes",1,0)</f>
        <v>1</v>
      </c>
    </row>
    <row r="9" customFormat="false" ht="15" hidden="false" customHeight="false" outlineLevel="0" collapsed="false">
      <c r="A9" s="0" t="s">
        <v>79</v>
      </c>
      <c r="B9" s="0" t="s">
        <v>83</v>
      </c>
      <c r="C9" s="0" t="s">
        <v>46</v>
      </c>
      <c r="D9" s="0" t="str">
        <f aca="false">IFERROR(INDEX('Materials Master'!$B$2:$B$20,MATCH($C9,'Materials Master'!$A$2:$A$20,0)),"")</f>
        <v>Aluminum &amp; Bi-metal Containers</v>
      </c>
      <c r="E9" s="0" t="str">
        <f aca="false">IFERROR(INDEX('Materials Master'!$C$2:$C$20,MATCH($C9,'Materials Master'!$A$2:$A$20,0)),"")</f>
        <v>Metals</v>
      </c>
      <c r="F9" s="0" t="n">
        <f aca="false">IF(SUMIFS(Fact_SortedWeights!$E$2:$E$67,Fact_SortedWeights!$C$2:$C$67,$A9,Fact_SortedWeights!$B$2:$B$67,$B9)=0,0,SUMIFS(Fact_SortedWeights!$E$2:$E$67,Fact_SortedWeights!$C$2:$C$67,$A9,Fact_SortedWeights!$B$2:$B$67,$B9,Fact_SortedWeights!$D$2:$D$67,$C9)/SUMIFS(Fact_SortedWeights!$E$2:$E$67,Fact_SortedWeights!$C$2:$C$67,$A9,Fact_SortedWeights!$B$2:$B$67,$B9)*(IF($B9="Cardboard Recycling",SUMIFS(Fact_SortedWeights!$E$2:$E$67,Fact_SortedWeights!$C$2:$C$67,$A9,Fact_SortedWeights!$B$2:$B$67,$B9),SUMIFS(Fact_PreSortWeights!$E$2:$E$6,Fact_PreSortWeights!$C$2:$C$6,$A9,Fact_PreSortWeights!$B$2:$B$6,$B9))))</f>
        <v>1</v>
      </c>
      <c r="G9" s="0" t="n">
        <f aca="false">IF(AND(IF($B9="Trash",INDEX('Materials Master'!$F$2:$F$20,MATCH($C9,'Materials Master'!$A$2:$A$20,0)),IF($B9="GMPC Recycling",INDEX('Materials Master'!$G$2:$G$20,MATCH($C9,'Materials Master'!$A$2:$A$20,0)),IF($B9="Organics Recycling",INDEX('Materials Master'!$H$2:$H$20,MATCH($C9,'Materials Master'!$A$2:$A$20,0)),IF($B9="Cardboard Recycling",INDEX('Materials Master'!$I$2:$I$20,MATCH($C9,'Materials Master'!$A$2:$A$20,0)),IF($B9="Paper Recycling",INDEX('Materials Master'!$J$2:$J$20,MATCH($C9,'Materials Master'!$A$2:$A$20,0)),IF($B9="Terracycle",INDEX('Materials Master'!$K$2:$K$20,MATCH($C9,'Materials Master'!$A$2:$A$20,0)),"No"))))))="Yes",INDEX('Materials Master'!$E$2:$E$20,MATCH($C9,'Materials Master'!$A$2:$A$20,0))="Yes",$B9&lt;&gt;"Trash"),1,0)</f>
        <v>0</v>
      </c>
      <c r="H9" s="0" t="str">
        <f aca="false">INDEX('Materials Master'!$E$2:$E$20,MATCH($C9,'Materials Master'!$A$2:$A$20,0))</f>
        <v>Yes</v>
      </c>
      <c r="I9" s="0" t="str">
        <f aca="false">IFERROR(INDEX(Areas!$C$2:$C$3,MATCH($A9,Areas!$B$2:$B$3,0)),"")</f>
        <v>Cafeteria</v>
      </c>
      <c r="J9" s="0" t="n">
        <f aca="false">IF(IF($B9="Trash",INDEX('Materials Master'!$F$2:$F$20,MATCH($C9,'Materials Master'!$A$2:$A$20,0)),IF($B9="GMPC Recycling",INDEX('Materials Master'!$G$2:$G$20,MATCH($C9,'Materials Master'!$A$2:$A$20,0)),IF($B9="Organics Recycling",INDEX('Materials Master'!$H$2:$H$20,MATCH($C9,'Materials Master'!$A$2:$A$20,0)),IF($B9="Cardboard Recycling",INDEX('Materials Master'!$I$2:$I$20,MATCH($C9,'Materials Master'!$A$2:$A$20,0)),IF($B9="Paper Recycling",INDEX('Materials Master'!$J$2:$J$20,MATCH($C9,'Materials Master'!$A$2:$A$20,0)),IF($B9="Terracycle",INDEX('Materials Master'!$K$2:$K$20,MATCH($C9,'Materials Master'!$A$2:$A$20,0)),"No"))))))="Yes",1,0)</f>
        <v>0</v>
      </c>
    </row>
    <row r="10" customFormat="false" ht="15" hidden="false" customHeight="false" outlineLevel="0" collapsed="false">
      <c r="A10" s="0" t="s">
        <v>79</v>
      </c>
      <c r="B10" s="0" t="s">
        <v>83</v>
      </c>
      <c r="C10" s="0" t="s">
        <v>49</v>
      </c>
      <c r="D10" s="0" t="str">
        <f aca="false">IFERROR(INDEX('Materials Master'!$B$2:$B$20,MATCH($C10,'Materials Master'!$A$2:$A$20,0)),"")</f>
        <v>Metal Hangers</v>
      </c>
      <c r="E10" s="0" t="str">
        <f aca="false">IFERROR(INDEX('Materials Master'!$C$2:$C$20,MATCH($C10,'Materials Master'!$A$2:$A$20,0)),"")</f>
        <v>Metals</v>
      </c>
      <c r="F10" s="0" t="n">
        <f aca="false">IF(SUMIFS(Fact_SortedWeights!$E$2:$E$67,Fact_SortedWeights!$C$2:$C$67,$A10,Fact_SortedWeights!$B$2:$B$67,$B10)=0,0,SUMIFS(Fact_SortedWeights!$E$2:$E$67,Fact_SortedWeights!$C$2:$C$67,$A10,Fact_SortedWeights!$B$2:$B$67,$B10,Fact_SortedWeights!$D$2:$D$67,$C10)/SUMIFS(Fact_SortedWeights!$E$2:$E$67,Fact_SortedWeights!$C$2:$C$67,$A10,Fact_SortedWeights!$B$2:$B$67,$B10)*(IF($B10="Cardboard Recycling",SUMIFS(Fact_SortedWeights!$E$2:$E$67,Fact_SortedWeights!$C$2:$C$67,$A10,Fact_SortedWeights!$B$2:$B$67,$B10),SUMIFS(Fact_PreSortWeights!$E$2:$E$6,Fact_PreSortWeights!$C$2:$C$6,$A10,Fact_PreSortWeights!$B$2:$B$6,$B10))))</f>
        <v>0</v>
      </c>
      <c r="G10" s="0" t="n">
        <f aca="false">IF(AND(IF($B10="Trash",INDEX('Materials Master'!$F$2:$F$20,MATCH($C10,'Materials Master'!$A$2:$A$20,0)),IF($B10="GMPC Recycling",INDEX('Materials Master'!$G$2:$G$20,MATCH($C10,'Materials Master'!$A$2:$A$20,0)),IF($B10="Organics Recycling",INDEX('Materials Master'!$H$2:$H$20,MATCH($C10,'Materials Master'!$A$2:$A$20,0)),IF($B10="Cardboard Recycling",INDEX('Materials Master'!$I$2:$I$20,MATCH($C10,'Materials Master'!$A$2:$A$20,0)),IF($B10="Paper Recycling",INDEX('Materials Master'!$J$2:$J$20,MATCH($C10,'Materials Master'!$A$2:$A$20,0)),IF($B10="Terracycle",INDEX('Materials Master'!$K$2:$K$20,MATCH($C10,'Materials Master'!$A$2:$A$20,0)),"No"))))))="Yes",INDEX('Materials Master'!$E$2:$E$20,MATCH($C10,'Materials Master'!$A$2:$A$20,0))="Yes",$B10&lt;&gt;"Trash"),1,0)</f>
        <v>0</v>
      </c>
      <c r="H10" s="0" t="str">
        <f aca="false">INDEX('Materials Master'!$E$2:$E$20,MATCH($C10,'Materials Master'!$A$2:$A$20,0))</f>
        <v>No</v>
      </c>
      <c r="I10" s="0" t="str">
        <f aca="false">IFERROR(INDEX(Areas!$C$2:$C$3,MATCH($A10,Areas!$B$2:$B$3,0)),"")</f>
        <v>Cafeteria</v>
      </c>
      <c r="J10" s="0" t="n">
        <f aca="false">IF(IF($B10="Trash",INDEX('Materials Master'!$F$2:$F$20,MATCH($C10,'Materials Master'!$A$2:$A$20,0)),IF($B10="GMPC Recycling",INDEX('Materials Master'!$G$2:$G$20,MATCH($C10,'Materials Master'!$A$2:$A$20,0)),IF($B10="Organics Recycling",INDEX('Materials Master'!$H$2:$H$20,MATCH($C10,'Materials Master'!$A$2:$A$20,0)),IF($B10="Cardboard Recycling",INDEX('Materials Master'!$I$2:$I$20,MATCH($C10,'Materials Master'!$A$2:$A$20,0)),IF($B10="Paper Recycling",INDEX('Materials Master'!$J$2:$J$20,MATCH($C10,'Materials Master'!$A$2:$A$20,0)),IF($B10="Terracycle",INDEX('Materials Master'!$K$2:$K$20,MATCH($C10,'Materials Master'!$A$2:$A$20,0)),"No"))))))="Yes",1,0)</f>
        <v>1</v>
      </c>
    </row>
    <row r="11" customFormat="false" ht="15" hidden="false" customHeight="false" outlineLevel="0" collapsed="false">
      <c r="A11" s="0" t="s">
        <v>79</v>
      </c>
      <c r="B11" s="0" t="s">
        <v>83</v>
      </c>
      <c r="C11" s="0" t="s">
        <v>51</v>
      </c>
      <c r="D11" s="0" t="str">
        <f aca="false">IFERROR(INDEX('Materials Master'!$B$2:$B$20,MATCH($C11,'Materials Master'!$A$2:$A$20,0)),"")</f>
        <v>Rigid Plastics (1-6)</v>
      </c>
      <c r="E11" s="0" t="str">
        <f aca="false">IFERROR(INDEX('Materials Master'!$C$2:$C$20,MATCH($C11,'Materials Master'!$A$2:$A$20,0)),"")</f>
        <v>Plastics</v>
      </c>
      <c r="F11" s="0" t="n">
        <f aca="false">IF(SUMIFS(Fact_SortedWeights!$E$2:$E$67,Fact_SortedWeights!$C$2:$C$67,$A11,Fact_SortedWeights!$B$2:$B$67,$B11)=0,0,SUMIFS(Fact_SortedWeights!$E$2:$E$67,Fact_SortedWeights!$C$2:$C$67,$A11,Fact_SortedWeights!$B$2:$B$67,$B11,Fact_SortedWeights!$D$2:$D$67,$C11)/SUMIFS(Fact_SortedWeights!$E$2:$E$67,Fact_SortedWeights!$C$2:$C$67,$A11,Fact_SortedWeights!$B$2:$B$67,$B11)*(IF($B11="Cardboard Recycling",SUMIFS(Fact_SortedWeights!$E$2:$E$67,Fact_SortedWeights!$C$2:$C$67,$A11,Fact_SortedWeights!$B$2:$B$67,$B11),SUMIFS(Fact_PreSortWeights!$E$2:$E$6,Fact_PreSortWeights!$C$2:$C$6,$A11,Fact_PreSortWeights!$B$2:$B$6,$B11))))</f>
        <v>21.1</v>
      </c>
      <c r="G11" s="0" t="n">
        <f aca="false">IF(AND(IF($B11="Trash",INDEX('Materials Master'!$F$2:$F$20,MATCH($C11,'Materials Master'!$A$2:$A$20,0)),IF($B11="GMPC Recycling",INDEX('Materials Master'!$G$2:$G$20,MATCH($C11,'Materials Master'!$A$2:$A$20,0)),IF($B11="Organics Recycling",INDEX('Materials Master'!$H$2:$H$20,MATCH($C11,'Materials Master'!$A$2:$A$20,0)),IF($B11="Cardboard Recycling",INDEX('Materials Master'!$I$2:$I$20,MATCH($C11,'Materials Master'!$A$2:$A$20,0)),IF($B11="Paper Recycling",INDEX('Materials Master'!$J$2:$J$20,MATCH($C11,'Materials Master'!$A$2:$A$20,0)),IF($B11="Terracycle",INDEX('Materials Master'!$K$2:$K$20,MATCH($C11,'Materials Master'!$A$2:$A$20,0)),"No"))))))="Yes",INDEX('Materials Master'!$E$2:$E$20,MATCH($C11,'Materials Master'!$A$2:$A$20,0))="Yes",$B11&lt;&gt;"Trash"),1,0)</f>
        <v>0</v>
      </c>
      <c r="H11" s="0" t="str">
        <f aca="false">INDEX('Materials Master'!$E$2:$E$20,MATCH($C11,'Materials Master'!$A$2:$A$20,0))</f>
        <v>Yes</v>
      </c>
      <c r="I11" s="0" t="str">
        <f aca="false">IFERROR(INDEX(Areas!$C$2:$C$3,MATCH($A11,Areas!$B$2:$B$3,0)),"")</f>
        <v>Cafeteria</v>
      </c>
      <c r="J11" s="0" t="n">
        <f aca="false">IF(IF($B11="Trash",INDEX('Materials Master'!$F$2:$F$20,MATCH($C11,'Materials Master'!$A$2:$A$20,0)),IF($B11="GMPC Recycling",INDEX('Materials Master'!$G$2:$G$20,MATCH($C11,'Materials Master'!$A$2:$A$20,0)),IF($B11="Organics Recycling",INDEX('Materials Master'!$H$2:$H$20,MATCH($C11,'Materials Master'!$A$2:$A$20,0)),IF($B11="Cardboard Recycling",INDEX('Materials Master'!$I$2:$I$20,MATCH($C11,'Materials Master'!$A$2:$A$20,0)),IF($B11="Paper Recycling",INDEX('Materials Master'!$J$2:$J$20,MATCH($C11,'Materials Master'!$A$2:$A$20,0)),IF($B11="Terracycle",INDEX('Materials Master'!$K$2:$K$20,MATCH($C11,'Materials Master'!$A$2:$A$20,0)),"No"))))))="Yes",1,0)</f>
        <v>0</v>
      </c>
    </row>
    <row r="12" customFormat="false" ht="15" hidden="false" customHeight="false" outlineLevel="0" collapsed="false">
      <c r="A12" s="0" t="s">
        <v>79</v>
      </c>
      <c r="B12" s="0" t="s">
        <v>83</v>
      </c>
      <c r="C12" s="0" t="s">
        <v>54</v>
      </c>
      <c r="D12" s="0" t="str">
        <f aca="false">IFERROR(INDEX('Materials Master'!$B$2:$B$20,MATCH($C12,'Materials Master'!$A$2:$A$20,0)),"")</f>
        <v>Soiled Rigid Plastics</v>
      </c>
      <c r="E12" s="0" t="str">
        <f aca="false">IFERROR(INDEX('Materials Master'!$C$2:$C$20,MATCH($C12,'Materials Master'!$A$2:$A$20,0)),"")</f>
        <v>Plastics</v>
      </c>
      <c r="F12" s="0" t="n">
        <f aca="false">IF(SUMIFS(Fact_SortedWeights!$E$2:$E$67,Fact_SortedWeights!$C$2:$C$67,$A12,Fact_SortedWeights!$B$2:$B$67,$B12)=0,0,SUMIFS(Fact_SortedWeights!$E$2:$E$67,Fact_SortedWeights!$C$2:$C$67,$A12,Fact_SortedWeights!$B$2:$B$67,$B12,Fact_SortedWeights!$D$2:$D$67,$C12)/SUMIFS(Fact_SortedWeights!$E$2:$E$67,Fact_SortedWeights!$C$2:$C$67,$A12,Fact_SortedWeights!$B$2:$B$67,$B12)*(IF($B12="Cardboard Recycling",SUMIFS(Fact_SortedWeights!$E$2:$E$67,Fact_SortedWeights!$C$2:$C$67,$A12,Fact_SortedWeights!$B$2:$B$67,$B12),SUMIFS(Fact_PreSortWeights!$E$2:$E$6,Fact_PreSortWeights!$C$2:$C$6,$A12,Fact_PreSortWeights!$B$2:$B$6,$B12))))</f>
        <v>0</v>
      </c>
      <c r="G12" s="0" t="n">
        <f aca="false">IF(AND(IF($B12="Trash",INDEX('Materials Master'!$F$2:$F$20,MATCH($C12,'Materials Master'!$A$2:$A$20,0)),IF($B12="GMPC Recycling",INDEX('Materials Master'!$G$2:$G$20,MATCH($C12,'Materials Master'!$A$2:$A$20,0)),IF($B12="Organics Recycling",INDEX('Materials Master'!$H$2:$H$20,MATCH($C12,'Materials Master'!$A$2:$A$20,0)),IF($B12="Cardboard Recycling",INDEX('Materials Master'!$I$2:$I$20,MATCH($C12,'Materials Master'!$A$2:$A$20,0)),IF($B12="Paper Recycling",INDEX('Materials Master'!$J$2:$J$20,MATCH($C12,'Materials Master'!$A$2:$A$20,0)),IF($B12="Terracycle",INDEX('Materials Master'!$K$2:$K$20,MATCH($C12,'Materials Master'!$A$2:$A$20,0)),"No"))))))="Yes",INDEX('Materials Master'!$E$2:$E$20,MATCH($C12,'Materials Master'!$A$2:$A$20,0))="Yes",$B12&lt;&gt;"Trash"),1,0)</f>
        <v>0</v>
      </c>
      <c r="H12" s="0" t="str">
        <f aca="false">INDEX('Materials Master'!$E$2:$E$20,MATCH($C12,'Materials Master'!$A$2:$A$20,0))</f>
        <v>No</v>
      </c>
      <c r="I12" s="0" t="str">
        <f aca="false">IFERROR(INDEX(Areas!$C$2:$C$3,MATCH($A12,Areas!$B$2:$B$3,0)),"")</f>
        <v>Cafeteria</v>
      </c>
      <c r="J12" s="0" t="n">
        <f aca="false">IF(IF($B12="Trash",INDEX('Materials Master'!$F$2:$F$20,MATCH($C12,'Materials Master'!$A$2:$A$20,0)),IF($B12="GMPC Recycling",INDEX('Materials Master'!$G$2:$G$20,MATCH($C12,'Materials Master'!$A$2:$A$20,0)),IF($B12="Organics Recycling",INDEX('Materials Master'!$H$2:$H$20,MATCH($C12,'Materials Master'!$A$2:$A$20,0)),IF($B12="Cardboard Recycling",INDEX('Materials Master'!$I$2:$I$20,MATCH($C12,'Materials Master'!$A$2:$A$20,0)),IF($B12="Paper Recycling",INDEX('Materials Master'!$J$2:$J$20,MATCH($C12,'Materials Master'!$A$2:$A$20,0)),IF($B12="Terracycle",INDEX('Materials Master'!$K$2:$K$20,MATCH($C12,'Materials Master'!$A$2:$A$20,0)),"No"))))))="Yes",1,0)</f>
        <v>1</v>
      </c>
    </row>
    <row r="13" customFormat="false" ht="15" hidden="false" customHeight="false" outlineLevel="0" collapsed="false">
      <c r="A13" s="0" t="s">
        <v>79</v>
      </c>
      <c r="B13" s="0" t="s">
        <v>83</v>
      </c>
      <c r="C13" s="0" t="s">
        <v>56</v>
      </c>
      <c r="D13" s="0" t="str">
        <f aca="false">IFERROR(INDEX('Materials Master'!$B$2:$B$20,MATCH($C13,'Materials Master'!$A$2:$A$20,0)),"")</f>
        <v>Film Plastics</v>
      </c>
      <c r="E13" s="0" t="str">
        <f aca="false">IFERROR(INDEX('Materials Master'!$C$2:$C$20,MATCH($C13,'Materials Master'!$A$2:$A$20,0)),"")</f>
        <v>Plastics</v>
      </c>
      <c r="F13" s="0" t="n">
        <f aca="false">IF(SUMIFS(Fact_SortedWeights!$E$2:$E$67,Fact_SortedWeights!$C$2:$C$67,$A13,Fact_SortedWeights!$B$2:$B$67,$B13)=0,0,SUMIFS(Fact_SortedWeights!$E$2:$E$67,Fact_SortedWeights!$C$2:$C$67,$A13,Fact_SortedWeights!$B$2:$B$67,$B13,Fact_SortedWeights!$D$2:$D$67,$C13)/SUMIFS(Fact_SortedWeights!$E$2:$E$67,Fact_SortedWeights!$C$2:$C$67,$A13,Fact_SortedWeights!$B$2:$B$67,$B13)*(IF($B13="Cardboard Recycling",SUMIFS(Fact_SortedWeights!$E$2:$E$67,Fact_SortedWeights!$C$2:$C$67,$A13,Fact_SortedWeights!$B$2:$B$67,$B13),SUMIFS(Fact_PreSortWeights!$E$2:$E$6,Fact_PreSortWeights!$C$2:$C$6,$A13,Fact_PreSortWeights!$B$2:$B$6,$B13))))</f>
        <v>0</v>
      </c>
      <c r="G13" s="0" t="n">
        <f aca="false">IF(AND(IF($B13="Trash",INDEX('Materials Master'!$F$2:$F$20,MATCH($C13,'Materials Master'!$A$2:$A$20,0)),IF($B13="GMPC Recycling",INDEX('Materials Master'!$G$2:$G$20,MATCH($C13,'Materials Master'!$A$2:$A$20,0)),IF($B13="Organics Recycling",INDEX('Materials Master'!$H$2:$H$20,MATCH($C13,'Materials Master'!$A$2:$A$20,0)),IF($B13="Cardboard Recycling",INDEX('Materials Master'!$I$2:$I$20,MATCH($C13,'Materials Master'!$A$2:$A$20,0)),IF($B13="Paper Recycling",INDEX('Materials Master'!$J$2:$J$20,MATCH($C13,'Materials Master'!$A$2:$A$20,0)),IF($B13="Terracycle",INDEX('Materials Master'!$K$2:$K$20,MATCH($C13,'Materials Master'!$A$2:$A$20,0)),"No"))))))="Yes",INDEX('Materials Master'!$E$2:$E$20,MATCH($C13,'Materials Master'!$A$2:$A$20,0))="Yes",$B13&lt;&gt;"Trash"),1,0)</f>
        <v>0</v>
      </c>
      <c r="H13" s="0" t="str">
        <f aca="false">INDEX('Materials Master'!$E$2:$E$20,MATCH($C13,'Materials Master'!$A$2:$A$20,0))</f>
        <v>No</v>
      </c>
      <c r="I13" s="0" t="str">
        <f aca="false">IFERROR(INDEX(Areas!$C$2:$C$3,MATCH($A13,Areas!$B$2:$B$3,0)),"")</f>
        <v>Cafeteria</v>
      </c>
      <c r="J13" s="0" t="n">
        <f aca="false">IF(IF($B13="Trash",INDEX('Materials Master'!$F$2:$F$20,MATCH($C13,'Materials Master'!$A$2:$A$20,0)),IF($B13="GMPC Recycling",INDEX('Materials Master'!$G$2:$G$20,MATCH($C13,'Materials Master'!$A$2:$A$20,0)),IF($B13="Organics Recycling",INDEX('Materials Master'!$H$2:$H$20,MATCH($C13,'Materials Master'!$A$2:$A$20,0)),IF($B13="Cardboard Recycling",INDEX('Materials Master'!$I$2:$I$20,MATCH($C13,'Materials Master'!$A$2:$A$20,0)),IF($B13="Paper Recycling",INDEX('Materials Master'!$J$2:$J$20,MATCH($C13,'Materials Master'!$A$2:$A$20,0)),IF($B13="Terracycle",INDEX('Materials Master'!$K$2:$K$20,MATCH($C13,'Materials Master'!$A$2:$A$20,0)),"No"))))))="Yes",1,0)</f>
        <v>1</v>
      </c>
    </row>
    <row r="14" customFormat="false" ht="15" hidden="false" customHeight="false" outlineLevel="0" collapsed="false">
      <c r="A14" s="0" t="s">
        <v>79</v>
      </c>
      <c r="B14" s="0" t="s">
        <v>83</v>
      </c>
      <c r="C14" s="0" t="s">
        <v>58</v>
      </c>
      <c r="D14" s="0" t="str">
        <f aca="false">IFERROR(INDEX('Materials Master'!$B$2:$B$20,MATCH($C14,'Materials Master'!$A$2:$A$20,0)),"")</f>
        <v>Waste Disposal Bags</v>
      </c>
      <c r="E14" s="0" t="str">
        <f aca="false">IFERROR(INDEX('Materials Master'!$C$2:$C$20,MATCH($C14,'Materials Master'!$A$2:$A$20,0)),"")</f>
        <v>Plastics</v>
      </c>
      <c r="F14" s="0" t="n">
        <f aca="false">IF(SUMIFS(Fact_SortedWeights!$E$2:$E$67,Fact_SortedWeights!$C$2:$C$67,$A14,Fact_SortedWeights!$B$2:$B$67,$B14)=0,0,SUMIFS(Fact_SortedWeights!$E$2:$E$67,Fact_SortedWeights!$C$2:$C$67,$A14,Fact_SortedWeights!$B$2:$B$67,$B14,Fact_SortedWeights!$D$2:$D$67,$C14)/SUMIFS(Fact_SortedWeights!$E$2:$E$67,Fact_SortedWeights!$C$2:$C$67,$A14,Fact_SortedWeights!$B$2:$B$67,$B14)*(IF($B14="Cardboard Recycling",SUMIFS(Fact_SortedWeights!$E$2:$E$67,Fact_SortedWeights!$C$2:$C$67,$A14,Fact_SortedWeights!$B$2:$B$67,$B14),SUMIFS(Fact_PreSortWeights!$E$2:$E$6,Fact_PreSortWeights!$C$2:$C$6,$A14,Fact_PreSortWeights!$B$2:$B$6,$B14))))</f>
        <v>8.71</v>
      </c>
      <c r="G14" s="0" t="n">
        <f aca="false">IF(AND(IF($B14="Trash",INDEX('Materials Master'!$F$2:$F$20,MATCH($C14,'Materials Master'!$A$2:$A$20,0)),IF($B14="GMPC Recycling",INDEX('Materials Master'!$G$2:$G$20,MATCH($C14,'Materials Master'!$A$2:$A$20,0)),IF($B14="Organics Recycling",INDEX('Materials Master'!$H$2:$H$20,MATCH($C14,'Materials Master'!$A$2:$A$20,0)),IF($B14="Cardboard Recycling",INDEX('Materials Master'!$I$2:$I$20,MATCH($C14,'Materials Master'!$A$2:$A$20,0)),IF($B14="Paper Recycling",INDEX('Materials Master'!$J$2:$J$20,MATCH($C14,'Materials Master'!$A$2:$A$20,0)),IF($B14="Terracycle",INDEX('Materials Master'!$K$2:$K$20,MATCH($C14,'Materials Master'!$A$2:$A$20,0)),"No"))))))="Yes",INDEX('Materials Master'!$E$2:$E$20,MATCH($C14,'Materials Master'!$A$2:$A$20,0))="Yes",$B14&lt;&gt;"Trash"),1,0)</f>
        <v>0</v>
      </c>
      <c r="H14" s="0" t="str">
        <f aca="false">INDEX('Materials Master'!$E$2:$E$20,MATCH($C14,'Materials Master'!$A$2:$A$20,0))</f>
        <v>No</v>
      </c>
      <c r="I14" s="0" t="str">
        <f aca="false">IFERROR(INDEX(Areas!$C$2:$C$3,MATCH($A14,Areas!$B$2:$B$3,0)),"")</f>
        <v>Cafeteria</v>
      </c>
      <c r="J14" s="0" t="n">
        <f aca="false">IF(IF($B14="Trash",INDEX('Materials Master'!$F$2:$F$20,MATCH($C14,'Materials Master'!$A$2:$A$20,0)),IF($B14="GMPC Recycling",INDEX('Materials Master'!$G$2:$G$20,MATCH($C14,'Materials Master'!$A$2:$A$20,0)),IF($B14="Organics Recycling",INDEX('Materials Master'!$H$2:$H$20,MATCH($C14,'Materials Master'!$A$2:$A$20,0)),IF($B14="Cardboard Recycling",INDEX('Materials Master'!$I$2:$I$20,MATCH($C14,'Materials Master'!$A$2:$A$20,0)),IF($B14="Paper Recycling",INDEX('Materials Master'!$J$2:$J$20,MATCH($C14,'Materials Master'!$A$2:$A$20,0)),IF($B14="Terracycle",INDEX('Materials Master'!$K$2:$K$20,MATCH($C14,'Materials Master'!$A$2:$A$20,0)),"No"))))))="Yes",1,0)</f>
        <v>1</v>
      </c>
    </row>
    <row r="15" customFormat="false" ht="15" hidden="false" customHeight="false" outlineLevel="0" collapsed="false">
      <c r="A15" s="0" t="s">
        <v>79</v>
      </c>
      <c r="B15" s="0" t="s">
        <v>83</v>
      </c>
      <c r="C15" s="0" t="s">
        <v>60</v>
      </c>
      <c r="D15" s="0" t="str">
        <f aca="false">IFERROR(INDEX('Materials Master'!$B$2:$B$20,MATCH($C15,'Materials Master'!$A$2:$A$20,0)),"")</f>
        <v>Food Waste</v>
      </c>
      <c r="E15" s="0" t="str">
        <f aca="false">IFERROR(INDEX('Materials Master'!$C$2:$C$20,MATCH($C15,'Materials Master'!$A$2:$A$20,0)),"")</f>
        <v>Organics</v>
      </c>
      <c r="F15" s="0" t="n">
        <f aca="false">IF(SUMIFS(Fact_SortedWeights!$E$2:$E$67,Fact_SortedWeights!$C$2:$C$67,$A15,Fact_SortedWeights!$B$2:$B$67,$B15)=0,0,SUMIFS(Fact_SortedWeights!$E$2:$E$67,Fact_SortedWeights!$C$2:$C$67,$A15,Fact_SortedWeights!$B$2:$B$67,$B15,Fact_SortedWeights!$D$2:$D$67,$C15)/SUMIFS(Fact_SortedWeights!$E$2:$E$67,Fact_SortedWeights!$C$2:$C$67,$A15,Fact_SortedWeights!$B$2:$B$67,$B15)*(IF($B15="Cardboard Recycling",SUMIFS(Fact_SortedWeights!$E$2:$E$67,Fact_SortedWeights!$C$2:$C$67,$A15,Fact_SortedWeights!$B$2:$B$67,$B15),SUMIFS(Fact_PreSortWeights!$E$2:$E$6,Fact_PreSortWeights!$C$2:$C$6,$A15,Fact_PreSortWeights!$B$2:$B$6,$B15))))</f>
        <v>79.02</v>
      </c>
      <c r="G15" s="0" t="n">
        <f aca="false">IF(AND(IF($B15="Trash",INDEX('Materials Master'!$F$2:$F$20,MATCH($C15,'Materials Master'!$A$2:$A$20,0)),IF($B15="GMPC Recycling",INDEX('Materials Master'!$G$2:$G$20,MATCH($C15,'Materials Master'!$A$2:$A$20,0)),IF($B15="Organics Recycling",INDEX('Materials Master'!$H$2:$H$20,MATCH($C15,'Materials Master'!$A$2:$A$20,0)),IF($B15="Cardboard Recycling",INDEX('Materials Master'!$I$2:$I$20,MATCH($C15,'Materials Master'!$A$2:$A$20,0)),IF($B15="Paper Recycling",INDEX('Materials Master'!$J$2:$J$20,MATCH($C15,'Materials Master'!$A$2:$A$20,0)),IF($B15="Terracycle",INDEX('Materials Master'!$K$2:$K$20,MATCH($C15,'Materials Master'!$A$2:$A$20,0)),"No"))))))="Yes",INDEX('Materials Master'!$E$2:$E$20,MATCH($C15,'Materials Master'!$A$2:$A$20,0))="Yes",$B15&lt;&gt;"Trash"),1,0)</f>
        <v>0</v>
      </c>
      <c r="H15" s="0" t="str">
        <f aca="false">INDEX('Materials Master'!$E$2:$E$20,MATCH($C15,'Materials Master'!$A$2:$A$20,0))</f>
        <v>Yes</v>
      </c>
      <c r="I15" s="0" t="str">
        <f aca="false">IFERROR(INDEX(Areas!$C$2:$C$3,MATCH($A15,Areas!$B$2:$B$3,0)),"")</f>
        <v>Cafeteria</v>
      </c>
      <c r="J15" s="0" t="n">
        <f aca="false">IF(IF($B15="Trash",INDEX('Materials Master'!$F$2:$F$20,MATCH($C15,'Materials Master'!$A$2:$A$20,0)),IF($B15="GMPC Recycling",INDEX('Materials Master'!$G$2:$G$20,MATCH($C15,'Materials Master'!$A$2:$A$20,0)),IF($B15="Organics Recycling",INDEX('Materials Master'!$H$2:$H$20,MATCH($C15,'Materials Master'!$A$2:$A$20,0)),IF($B15="Cardboard Recycling",INDEX('Materials Master'!$I$2:$I$20,MATCH($C15,'Materials Master'!$A$2:$A$20,0)),IF($B15="Paper Recycling",INDEX('Materials Master'!$J$2:$J$20,MATCH($C15,'Materials Master'!$A$2:$A$20,0)),IF($B15="Terracycle",INDEX('Materials Master'!$K$2:$K$20,MATCH($C15,'Materials Master'!$A$2:$A$20,0)),"No"))))))="Yes",1,0)</f>
        <v>0</v>
      </c>
    </row>
    <row r="16" customFormat="false" ht="15" hidden="false" customHeight="false" outlineLevel="0" collapsed="false">
      <c r="A16" s="0" t="s">
        <v>79</v>
      </c>
      <c r="B16" s="0" t="s">
        <v>83</v>
      </c>
      <c r="C16" s="0" t="s">
        <v>63</v>
      </c>
      <c r="D16" s="0" t="str">
        <f aca="false">IFERROR(INDEX('Materials Master'!$B$2:$B$20,MATCH($C16,'Materials Master'!$A$2:$A$20,0)),"")</f>
        <v>Paper Fibers and FSP</v>
      </c>
      <c r="E16" s="0" t="str">
        <f aca="false">IFERROR(INDEX('Materials Master'!$C$2:$C$20,MATCH($C16,'Materials Master'!$A$2:$A$20,0)),"")</f>
        <v>Organics</v>
      </c>
      <c r="F16" s="0" t="n">
        <f aca="false">IF(SUMIFS(Fact_SortedWeights!$E$2:$E$67,Fact_SortedWeights!$C$2:$C$67,$A16,Fact_SortedWeights!$B$2:$B$67,$B16)=0,0,SUMIFS(Fact_SortedWeights!$E$2:$E$67,Fact_SortedWeights!$C$2:$C$67,$A16,Fact_SortedWeights!$B$2:$B$67,$B16,Fact_SortedWeights!$D$2:$D$67,$C16)/SUMIFS(Fact_SortedWeights!$E$2:$E$67,Fact_SortedWeights!$C$2:$C$67,$A16,Fact_SortedWeights!$B$2:$B$67,$B16)*(IF($B16="Cardboard Recycling",SUMIFS(Fact_SortedWeights!$E$2:$E$67,Fact_SortedWeights!$C$2:$C$67,$A16,Fact_SortedWeights!$B$2:$B$67,$B16),SUMIFS(Fact_PreSortWeights!$E$2:$E$6,Fact_PreSortWeights!$C$2:$C$6,$A16,Fact_PreSortWeights!$B$2:$B$6,$B16))))</f>
        <v>20.09</v>
      </c>
      <c r="G16" s="0" t="n">
        <f aca="false">IF(AND(IF($B16="Trash",INDEX('Materials Master'!$F$2:$F$20,MATCH($C16,'Materials Master'!$A$2:$A$20,0)),IF($B16="GMPC Recycling",INDEX('Materials Master'!$G$2:$G$20,MATCH($C16,'Materials Master'!$A$2:$A$20,0)),IF($B16="Organics Recycling",INDEX('Materials Master'!$H$2:$H$20,MATCH($C16,'Materials Master'!$A$2:$A$20,0)),IF($B16="Cardboard Recycling",INDEX('Materials Master'!$I$2:$I$20,MATCH($C16,'Materials Master'!$A$2:$A$20,0)),IF($B16="Paper Recycling",INDEX('Materials Master'!$J$2:$J$20,MATCH($C16,'Materials Master'!$A$2:$A$20,0)),IF($B16="Terracycle",INDEX('Materials Master'!$K$2:$K$20,MATCH($C16,'Materials Master'!$A$2:$A$20,0)),"No"))))))="Yes",INDEX('Materials Master'!$E$2:$E$20,MATCH($C16,'Materials Master'!$A$2:$A$20,0))="Yes",$B16&lt;&gt;"Trash"),1,0)</f>
        <v>0</v>
      </c>
      <c r="H16" s="0" t="str">
        <f aca="false">INDEX('Materials Master'!$E$2:$E$20,MATCH($C16,'Materials Master'!$A$2:$A$20,0))</f>
        <v>No</v>
      </c>
      <c r="I16" s="0" t="str">
        <f aca="false">IFERROR(INDEX(Areas!$C$2:$C$3,MATCH($A16,Areas!$B$2:$B$3,0)),"")</f>
        <v>Cafeteria</v>
      </c>
      <c r="J16" s="0" t="n">
        <f aca="false">IF(IF($B16="Trash",INDEX('Materials Master'!$F$2:$F$20,MATCH($C16,'Materials Master'!$A$2:$A$20,0)),IF($B16="GMPC Recycling",INDEX('Materials Master'!$G$2:$G$20,MATCH($C16,'Materials Master'!$A$2:$A$20,0)),IF($B16="Organics Recycling",INDEX('Materials Master'!$H$2:$H$20,MATCH($C16,'Materials Master'!$A$2:$A$20,0)),IF($B16="Cardboard Recycling",INDEX('Materials Master'!$I$2:$I$20,MATCH($C16,'Materials Master'!$A$2:$A$20,0)),IF($B16="Paper Recycling",INDEX('Materials Master'!$J$2:$J$20,MATCH($C16,'Materials Master'!$A$2:$A$20,0)),IF($B16="Terracycle",INDEX('Materials Master'!$K$2:$K$20,MATCH($C16,'Materials Master'!$A$2:$A$20,0)),"No"))))))="Yes",1,0)</f>
        <v>1</v>
      </c>
    </row>
    <row r="17" customFormat="false" ht="15" hidden="false" customHeight="false" outlineLevel="0" collapsed="false">
      <c r="A17" s="0" t="s">
        <v>79</v>
      </c>
      <c r="B17" s="0" t="s">
        <v>83</v>
      </c>
      <c r="C17" s="0" t="s">
        <v>65</v>
      </c>
      <c r="D17" s="0" t="str">
        <f aca="false">IFERROR(INDEX('Materials Master'!$B$2:$B$20,MATCH($C17,'Materials Master'!$A$2:$A$20,0)),"")</f>
        <v>Certified Compostables</v>
      </c>
      <c r="E17" s="0" t="str">
        <f aca="false">IFERROR(INDEX('Materials Master'!$C$2:$C$20,MATCH($C17,'Materials Master'!$A$2:$A$20,0)),"")</f>
        <v>Organics</v>
      </c>
      <c r="F17" s="0" t="n">
        <f aca="false">IF(SUMIFS(Fact_SortedWeights!$E$2:$E$67,Fact_SortedWeights!$C$2:$C$67,$A17,Fact_SortedWeights!$B$2:$B$67,$B17)=0,0,SUMIFS(Fact_SortedWeights!$E$2:$E$67,Fact_SortedWeights!$C$2:$C$67,$A17,Fact_SortedWeights!$B$2:$B$67,$B17,Fact_SortedWeights!$D$2:$D$67,$C17)/SUMIFS(Fact_SortedWeights!$E$2:$E$67,Fact_SortedWeights!$C$2:$C$67,$A17,Fact_SortedWeights!$B$2:$B$67,$B17)*(IF($B17="Cardboard Recycling",SUMIFS(Fact_SortedWeights!$E$2:$E$67,Fact_SortedWeights!$C$2:$C$67,$A17,Fact_SortedWeights!$B$2:$B$67,$B17),SUMIFS(Fact_PreSortWeights!$E$2:$E$6,Fact_PreSortWeights!$C$2:$C$6,$A17,Fact_PreSortWeights!$B$2:$B$6,$B17))))</f>
        <v>15.74</v>
      </c>
      <c r="G17" s="0" t="n">
        <f aca="false">IF(AND(IF($B17="Trash",INDEX('Materials Master'!$F$2:$F$20,MATCH($C17,'Materials Master'!$A$2:$A$20,0)),IF($B17="GMPC Recycling",INDEX('Materials Master'!$G$2:$G$20,MATCH($C17,'Materials Master'!$A$2:$A$20,0)),IF($B17="Organics Recycling",INDEX('Materials Master'!$H$2:$H$20,MATCH($C17,'Materials Master'!$A$2:$A$20,0)),IF($B17="Cardboard Recycling",INDEX('Materials Master'!$I$2:$I$20,MATCH($C17,'Materials Master'!$A$2:$A$20,0)),IF($B17="Paper Recycling",INDEX('Materials Master'!$J$2:$J$20,MATCH($C17,'Materials Master'!$A$2:$A$20,0)),IF($B17="Terracycle",INDEX('Materials Master'!$K$2:$K$20,MATCH($C17,'Materials Master'!$A$2:$A$20,0)),"No"))))))="Yes",INDEX('Materials Master'!$E$2:$E$20,MATCH($C17,'Materials Master'!$A$2:$A$20,0))="Yes",$B17&lt;&gt;"Trash"),1,0)</f>
        <v>0</v>
      </c>
      <c r="H17" s="0" t="str">
        <f aca="false">INDEX('Materials Master'!$E$2:$E$20,MATCH($C17,'Materials Master'!$A$2:$A$20,0))</f>
        <v>No</v>
      </c>
      <c r="I17" s="0" t="str">
        <f aca="false">IFERROR(INDEX(Areas!$C$2:$C$3,MATCH($A17,Areas!$B$2:$B$3,0)),"")</f>
        <v>Cafeteria</v>
      </c>
      <c r="J17" s="0" t="n">
        <f aca="false">IF(IF($B17="Trash",INDEX('Materials Master'!$F$2:$F$20,MATCH($C17,'Materials Master'!$A$2:$A$20,0)),IF($B17="GMPC Recycling",INDEX('Materials Master'!$G$2:$G$20,MATCH($C17,'Materials Master'!$A$2:$A$20,0)),IF($B17="Organics Recycling",INDEX('Materials Master'!$H$2:$H$20,MATCH($C17,'Materials Master'!$A$2:$A$20,0)),IF($B17="Cardboard Recycling",INDEX('Materials Master'!$I$2:$I$20,MATCH($C17,'Materials Master'!$A$2:$A$20,0)),IF($B17="Paper Recycling",INDEX('Materials Master'!$J$2:$J$20,MATCH($C17,'Materials Master'!$A$2:$A$20,0)),IF($B17="Terracycle",INDEX('Materials Master'!$K$2:$K$20,MATCH($C17,'Materials Master'!$A$2:$A$20,0)),"No"))))))="Yes",1,0)</f>
        <v>1</v>
      </c>
    </row>
    <row r="18" customFormat="false" ht="15" hidden="false" customHeight="false" outlineLevel="0" collapsed="false">
      <c r="A18" s="0" t="s">
        <v>79</v>
      </c>
      <c r="B18" s="0" t="s">
        <v>83</v>
      </c>
      <c r="C18" s="0" t="s">
        <v>67</v>
      </c>
      <c r="D18" s="0" t="str">
        <f aca="false">IFERROR(INDEX('Materials Master'!$B$2:$B$20,MATCH($C18,'Materials Master'!$A$2:$A$20,0)),"")</f>
        <v>Textiles</v>
      </c>
      <c r="E18" s="0" t="str">
        <f aca="false">IFERROR(INDEX('Materials Master'!$C$2:$C$20,MATCH($C18,'Materials Master'!$A$2:$A$20,0)),"")</f>
        <v>Unacceptable</v>
      </c>
      <c r="F18" s="0" t="n">
        <f aca="false">IF(SUMIFS(Fact_SortedWeights!$E$2:$E$67,Fact_SortedWeights!$C$2:$C$67,$A18,Fact_SortedWeights!$B$2:$B$67,$B18)=0,0,SUMIFS(Fact_SortedWeights!$E$2:$E$67,Fact_SortedWeights!$C$2:$C$67,$A18,Fact_SortedWeights!$B$2:$B$67,$B18,Fact_SortedWeights!$D$2:$D$67,$C18)/SUMIFS(Fact_SortedWeights!$E$2:$E$67,Fact_SortedWeights!$C$2:$C$67,$A18,Fact_SortedWeights!$B$2:$B$67,$B18)*(IF($B18="Cardboard Recycling",SUMIFS(Fact_SortedWeights!$E$2:$E$67,Fact_SortedWeights!$C$2:$C$67,$A18,Fact_SortedWeights!$B$2:$B$67,$B18),SUMIFS(Fact_PreSortWeights!$E$2:$E$6,Fact_PreSortWeights!$C$2:$C$6,$A18,Fact_PreSortWeights!$B$2:$B$6,$B18))))</f>
        <v>0</v>
      </c>
      <c r="G18" s="0" t="n">
        <f aca="false">IF(AND(IF($B18="Trash",INDEX('Materials Master'!$F$2:$F$20,MATCH($C18,'Materials Master'!$A$2:$A$20,0)),IF($B18="GMPC Recycling",INDEX('Materials Master'!$G$2:$G$20,MATCH($C18,'Materials Master'!$A$2:$A$20,0)),IF($B18="Organics Recycling",INDEX('Materials Master'!$H$2:$H$20,MATCH($C18,'Materials Master'!$A$2:$A$20,0)),IF($B18="Cardboard Recycling",INDEX('Materials Master'!$I$2:$I$20,MATCH($C18,'Materials Master'!$A$2:$A$20,0)),IF($B18="Paper Recycling",INDEX('Materials Master'!$J$2:$J$20,MATCH($C18,'Materials Master'!$A$2:$A$20,0)),IF($B18="Terracycle",INDEX('Materials Master'!$K$2:$K$20,MATCH($C18,'Materials Master'!$A$2:$A$20,0)),"No"))))))="Yes",INDEX('Materials Master'!$E$2:$E$20,MATCH($C18,'Materials Master'!$A$2:$A$20,0))="Yes",$B18&lt;&gt;"Trash"),1,0)</f>
        <v>0</v>
      </c>
      <c r="H18" s="0" t="str">
        <f aca="false">INDEX('Materials Master'!$E$2:$E$20,MATCH($C18,'Materials Master'!$A$2:$A$20,0))</f>
        <v>No</v>
      </c>
      <c r="I18" s="0" t="str">
        <f aca="false">IFERROR(INDEX(Areas!$C$2:$C$3,MATCH($A18,Areas!$B$2:$B$3,0)),"")</f>
        <v>Cafeteria</v>
      </c>
      <c r="J18" s="0" t="n">
        <f aca="false">IF(IF($B18="Trash",INDEX('Materials Master'!$F$2:$F$20,MATCH($C18,'Materials Master'!$A$2:$A$20,0)),IF($B18="GMPC Recycling",INDEX('Materials Master'!$G$2:$G$20,MATCH($C18,'Materials Master'!$A$2:$A$20,0)),IF($B18="Organics Recycling",INDEX('Materials Master'!$H$2:$H$20,MATCH($C18,'Materials Master'!$A$2:$A$20,0)),IF($B18="Cardboard Recycling",INDEX('Materials Master'!$I$2:$I$20,MATCH($C18,'Materials Master'!$A$2:$A$20,0)),IF($B18="Paper Recycling",INDEX('Materials Master'!$J$2:$J$20,MATCH($C18,'Materials Master'!$A$2:$A$20,0)),IF($B18="Terracycle",INDEX('Materials Master'!$K$2:$K$20,MATCH($C18,'Materials Master'!$A$2:$A$20,0)),"No"))))))="Yes",1,0)</f>
        <v>1</v>
      </c>
    </row>
    <row r="19" customFormat="false" ht="15" hidden="false" customHeight="false" outlineLevel="0" collapsed="false">
      <c r="A19" s="0" t="s">
        <v>79</v>
      </c>
      <c r="B19" s="0" t="s">
        <v>83</v>
      </c>
      <c r="C19" s="0" t="s">
        <v>70</v>
      </c>
      <c r="D19" s="0" t="str">
        <f aca="false">IFERROR(INDEX('Materials Master'!$B$2:$B$20,MATCH($C19,'Materials Master'!$A$2:$A$20,0)),"")</f>
        <v>Liquids</v>
      </c>
      <c r="E19" s="0" t="str">
        <f aca="false">IFERROR(INDEX('Materials Master'!$C$2:$C$20,MATCH($C19,'Materials Master'!$A$2:$A$20,0)),"")</f>
        <v>Unacceptable</v>
      </c>
      <c r="F19" s="0" t="n">
        <f aca="false">IF(SUMIFS(Fact_SortedWeights!$E$2:$E$67,Fact_SortedWeights!$C$2:$C$67,$A19,Fact_SortedWeights!$B$2:$B$67,$B19)=0,0,SUMIFS(Fact_SortedWeights!$E$2:$E$67,Fact_SortedWeights!$C$2:$C$67,$A19,Fact_SortedWeights!$B$2:$B$67,$B19,Fact_SortedWeights!$D$2:$D$67,$C19)/SUMIFS(Fact_SortedWeights!$E$2:$E$67,Fact_SortedWeights!$C$2:$C$67,$A19,Fact_SortedWeights!$B$2:$B$67,$B19)*(IF($B19="Cardboard Recycling",SUMIFS(Fact_SortedWeights!$E$2:$E$67,Fact_SortedWeights!$C$2:$C$67,$A19,Fact_SortedWeights!$B$2:$B$67,$B19),SUMIFS(Fact_PreSortWeights!$E$2:$E$6,Fact_PreSortWeights!$C$2:$C$6,$A19,Fact_PreSortWeights!$B$2:$B$6,$B19))))</f>
        <v>3.35</v>
      </c>
      <c r="G19" s="0" t="n">
        <f aca="false">IF(AND(IF($B19="Trash",INDEX('Materials Master'!$F$2:$F$20,MATCH($C19,'Materials Master'!$A$2:$A$20,0)),IF($B19="GMPC Recycling",INDEX('Materials Master'!$G$2:$G$20,MATCH($C19,'Materials Master'!$A$2:$A$20,0)),IF($B19="Organics Recycling",INDEX('Materials Master'!$H$2:$H$20,MATCH($C19,'Materials Master'!$A$2:$A$20,0)),IF($B19="Cardboard Recycling",INDEX('Materials Master'!$I$2:$I$20,MATCH($C19,'Materials Master'!$A$2:$A$20,0)),IF($B19="Paper Recycling",INDEX('Materials Master'!$J$2:$J$20,MATCH($C19,'Materials Master'!$A$2:$A$20,0)),IF($B19="Terracycle",INDEX('Materials Master'!$K$2:$K$20,MATCH($C19,'Materials Master'!$A$2:$A$20,0)),"No"))))))="Yes",INDEX('Materials Master'!$E$2:$E$20,MATCH($C19,'Materials Master'!$A$2:$A$20,0))="Yes",$B19&lt;&gt;"Trash"),1,0)</f>
        <v>0</v>
      </c>
      <c r="H19" s="0" t="str">
        <f aca="false">INDEX('Materials Master'!$E$2:$E$20,MATCH($C19,'Materials Master'!$A$2:$A$20,0))</f>
        <v>No</v>
      </c>
      <c r="I19" s="0" t="str">
        <f aca="false">IFERROR(INDEX(Areas!$C$2:$C$3,MATCH($A19,Areas!$B$2:$B$3,0)),"")</f>
        <v>Cafeteria</v>
      </c>
      <c r="J19" s="0" t="n">
        <f aca="false">IF(IF($B19="Trash",INDEX('Materials Master'!$F$2:$F$20,MATCH($C19,'Materials Master'!$A$2:$A$20,0)),IF($B19="GMPC Recycling",INDEX('Materials Master'!$G$2:$G$20,MATCH($C19,'Materials Master'!$A$2:$A$20,0)),IF($B19="Organics Recycling",INDEX('Materials Master'!$H$2:$H$20,MATCH($C19,'Materials Master'!$A$2:$A$20,0)),IF($B19="Cardboard Recycling",INDEX('Materials Master'!$I$2:$I$20,MATCH($C19,'Materials Master'!$A$2:$A$20,0)),IF($B19="Paper Recycling",INDEX('Materials Master'!$J$2:$J$20,MATCH($C19,'Materials Master'!$A$2:$A$20,0)),IF($B19="Terracycle",INDEX('Materials Master'!$K$2:$K$20,MATCH($C19,'Materials Master'!$A$2:$A$20,0)),"No"))))))="Yes",1,0)</f>
        <v>1</v>
      </c>
    </row>
    <row r="20" customFormat="false" ht="15" hidden="false" customHeight="false" outlineLevel="0" collapsed="false">
      <c r="A20" s="0" t="s">
        <v>79</v>
      </c>
      <c r="B20" s="0" t="s">
        <v>83</v>
      </c>
      <c r="C20" s="0" t="s">
        <v>72</v>
      </c>
      <c r="D20" s="0" t="str">
        <f aca="false">IFERROR(INDEX('Materials Master'!$B$2:$B$20,MATCH($C20,'Materials Master'!$A$2:$A$20,0)),"")</f>
        <v>Residual Materials</v>
      </c>
      <c r="E20" s="0" t="str">
        <f aca="false">IFERROR(INDEX('Materials Master'!$C$2:$C$20,MATCH($C20,'Materials Master'!$A$2:$A$20,0)),"")</f>
        <v>Other</v>
      </c>
      <c r="F20" s="0" t="n">
        <f aca="false">IF(SUMIFS(Fact_SortedWeights!$E$2:$E$67,Fact_SortedWeights!$C$2:$C$67,$A20,Fact_SortedWeights!$B$2:$B$67,$B20)=0,0,SUMIFS(Fact_SortedWeights!$E$2:$E$67,Fact_SortedWeights!$C$2:$C$67,$A20,Fact_SortedWeights!$B$2:$B$67,$B20,Fact_SortedWeights!$D$2:$D$67,$C20)/SUMIFS(Fact_SortedWeights!$E$2:$E$67,Fact_SortedWeights!$C$2:$C$67,$A20,Fact_SortedWeights!$B$2:$B$67,$B20)*(IF($B20="Cardboard Recycling",SUMIFS(Fact_SortedWeights!$E$2:$E$67,Fact_SortedWeights!$C$2:$C$67,$A20,Fact_SortedWeights!$B$2:$B$67,$B20),SUMIFS(Fact_PreSortWeights!$E$2:$E$6,Fact_PreSortWeights!$C$2:$C$6,$A20,Fact_PreSortWeights!$B$2:$B$6,$B20))))</f>
        <v>35.83</v>
      </c>
      <c r="G20" s="0" t="n">
        <f aca="false">IF(AND(IF($B20="Trash",INDEX('Materials Master'!$F$2:$F$20,MATCH($C20,'Materials Master'!$A$2:$A$20,0)),IF($B20="GMPC Recycling",INDEX('Materials Master'!$G$2:$G$20,MATCH($C20,'Materials Master'!$A$2:$A$20,0)),IF($B20="Organics Recycling",INDEX('Materials Master'!$H$2:$H$20,MATCH($C20,'Materials Master'!$A$2:$A$20,0)),IF($B20="Cardboard Recycling",INDEX('Materials Master'!$I$2:$I$20,MATCH($C20,'Materials Master'!$A$2:$A$20,0)),IF($B20="Paper Recycling",INDEX('Materials Master'!$J$2:$J$20,MATCH($C20,'Materials Master'!$A$2:$A$20,0)),IF($B20="Terracycle",INDEX('Materials Master'!$K$2:$K$20,MATCH($C20,'Materials Master'!$A$2:$A$20,0)),"No"))))))="Yes",INDEX('Materials Master'!$E$2:$E$20,MATCH($C20,'Materials Master'!$A$2:$A$20,0))="Yes",$B20&lt;&gt;"Trash"),1,0)</f>
        <v>0</v>
      </c>
      <c r="H20" s="0" t="str">
        <f aca="false">INDEX('Materials Master'!$E$2:$E$20,MATCH($C20,'Materials Master'!$A$2:$A$20,0))</f>
        <v>No</v>
      </c>
      <c r="I20" s="0" t="str">
        <f aca="false">IFERROR(INDEX(Areas!$C$2:$C$3,MATCH($A20,Areas!$B$2:$B$3,0)),"")</f>
        <v>Cafeteria</v>
      </c>
      <c r="J20" s="0" t="n">
        <f aca="false">IF(IF($B20="Trash",INDEX('Materials Master'!$F$2:$F$20,MATCH($C20,'Materials Master'!$A$2:$A$20,0)),IF($B20="GMPC Recycling",INDEX('Materials Master'!$G$2:$G$20,MATCH($C20,'Materials Master'!$A$2:$A$20,0)),IF($B20="Organics Recycling",INDEX('Materials Master'!$H$2:$H$20,MATCH($C20,'Materials Master'!$A$2:$A$20,0)),IF($B20="Cardboard Recycling",INDEX('Materials Master'!$I$2:$I$20,MATCH($C20,'Materials Master'!$A$2:$A$20,0)),IF($B20="Paper Recycling",INDEX('Materials Master'!$J$2:$J$20,MATCH($C20,'Materials Master'!$A$2:$A$20,0)),IF($B20="Terracycle",INDEX('Materials Master'!$K$2:$K$20,MATCH($C20,'Materials Master'!$A$2:$A$20,0)),"No"))))))="Yes",1,0)</f>
        <v>1</v>
      </c>
    </row>
    <row r="21" customFormat="false" ht="15" hidden="false" customHeight="false" outlineLevel="0" collapsed="false">
      <c r="A21" s="0" t="s">
        <v>79</v>
      </c>
      <c r="B21" s="0" t="s">
        <v>84</v>
      </c>
      <c r="C21" s="0" t="s">
        <v>28</v>
      </c>
      <c r="D21" s="0" t="str">
        <f aca="false">IFERROR(INDEX('Materials Master'!$B$2:$B$20,MATCH($C21,'Materials Master'!$A$2:$A$20,0)),"")</f>
        <v>Corrugated Cardboard</v>
      </c>
      <c r="E21" s="0" t="str">
        <f aca="false">IFERROR(INDEX('Materials Master'!$C$2:$C$20,MATCH($C21,'Materials Master'!$A$2:$A$20,0)),"")</f>
        <v>Fibers</v>
      </c>
      <c r="F21" s="0" t="n">
        <f aca="false">IF(SUMIFS(Fact_SortedWeights!$E$2:$E$67,Fact_SortedWeights!$C$2:$C$67,$A21,Fact_SortedWeights!$B$2:$B$67,$B21)=0,0,SUMIFS(Fact_SortedWeights!$E$2:$E$67,Fact_SortedWeights!$C$2:$C$67,$A21,Fact_SortedWeights!$B$2:$B$67,$B21,Fact_SortedWeights!$D$2:$D$67,$C21)/SUMIFS(Fact_SortedWeights!$E$2:$E$67,Fact_SortedWeights!$C$2:$C$67,$A21,Fact_SortedWeights!$B$2:$B$67,$B21)*(IF($B21="Cardboard Recycling",SUMIFS(Fact_SortedWeights!$E$2:$E$67,Fact_SortedWeights!$C$2:$C$67,$A21,Fact_SortedWeights!$B$2:$B$67,$B21),SUMIFS(Fact_PreSortWeights!$E$2:$E$6,Fact_PreSortWeights!$C$2:$C$6,$A21,Fact_PreSortWeights!$B$2:$B$6,$B21))))</f>
        <v>0.85</v>
      </c>
      <c r="G21" s="0" t="n">
        <f aca="false">IF(AND(IF($B21="Trash",INDEX('Materials Master'!$F$2:$F$20,MATCH($C21,'Materials Master'!$A$2:$A$20,0)),IF($B21="GMPC Recycling",INDEX('Materials Master'!$G$2:$G$20,MATCH($C21,'Materials Master'!$A$2:$A$20,0)),IF($B21="Organics Recycling",INDEX('Materials Master'!$H$2:$H$20,MATCH($C21,'Materials Master'!$A$2:$A$20,0)),IF($B21="Cardboard Recycling",INDEX('Materials Master'!$I$2:$I$20,MATCH($C21,'Materials Master'!$A$2:$A$20,0)),IF($B21="Paper Recycling",INDEX('Materials Master'!$J$2:$J$20,MATCH($C21,'Materials Master'!$A$2:$A$20,0)),IF($B21="Terracycle",INDEX('Materials Master'!$K$2:$K$20,MATCH($C21,'Materials Master'!$A$2:$A$20,0)),"No"))))))="Yes",INDEX('Materials Master'!$E$2:$E$20,MATCH($C21,'Materials Master'!$A$2:$A$20,0))="Yes",$B21&lt;&gt;"Trash"),1,0)</f>
        <v>1</v>
      </c>
      <c r="H21" s="0" t="str">
        <f aca="false">INDEX('Materials Master'!$E$2:$E$20,MATCH($C21,'Materials Master'!$A$2:$A$20,0))</f>
        <v>Yes</v>
      </c>
      <c r="I21" s="0" t="str">
        <f aca="false">IFERROR(INDEX(Areas!$C$2:$C$3,MATCH($A21,Areas!$B$2:$B$3,0)),"")</f>
        <v>Cafeteria</v>
      </c>
      <c r="J21" s="0" t="n">
        <f aca="false">IF(IF($B21="Trash",INDEX('Materials Master'!$F$2:$F$20,MATCH($C21,'Materials Master'!$A$2:$A$20,0)),IF($B21="GMPC Recycling",INDEX('Materials Master'!$G$2:$G$20,MATCH($C21,'Materials Master'!$A$2:$A$20,0)),IF($B21="Organics Recycling",INDEX('Materials Master'!$H$2:$H$20,MATCH($C21,'Materials Master'!$A$2:$A$20,0)),IF($B21="Cardboard Recycling",INDEX('Materials Master'!$I$2:$I$20,MATCH($C21,'Materials Master'!$A$2:$A$20,0)),IF($B21="Paper Recycling",INDEX('Materials Master'!$J$2:$J$20,MATCH($C21,'Materials Master'!$A$2:$A$20,0)),IF($B21="Terracycle",INDEX('Materials Master'!$K$2:$K$20,MATCH($C21,'Materials Master'!$A$2:$A$20,0)),"No"))))))="Yes",1,0)</f>
        <v>1</v>
      </c>
    </row>
    <row r="22" customFormat="false" ht="15" hidden="false" customHeight="false" outlineLevel="0" collapsed="false">
      <c r="A22" s="0" t="s">
        <v>79</v>
      </c>
      <c r="B22" s="0" t="s">
        <v>84</v>
      </c>
      <c r="C22" s="0" t="s">
        <v>33</v>
      </c>
      <c r="D22" s="0" t="str">
        <f aca="false">IFERROR(INDEX('Materials Master'!$B$2:$B$20,MATCH($C22,'Materials Master'!$A$2:$A$20,0)),"")</f>
        <v>Waxed Cardboard</v>
      </c>
      <c r="E22" s="0" t="str">
        <f aca="false">IFERROR(INDEX('Materials Master'!$C$2:$C$20,MATCH($C22,'Materials Master'!$A$2:$A$20,0)),"")</f>
        <v>Fibers</v>
      </c>
      <c r="F22" s="0" t="n">
        <f aca="false">IF(SUMIFS(Fact_SortedWeights!$E$2:$E$67,Fact_SortedWeights!$C$2:$C$67,$A22,Fact_SortedWeights!$B$2:$B$67,$B22)=0,0,SUMIFS(Fact_SortedWeights!$E$2:$E$67,Fact_SortedWeights!$C$2:$C$67,$A22,Fact_SortedWeights!$B$2:$B$67,$B22,Fact_SortedWeights!$D$2:$D$67,$C22)/SUMIFS(Fact_SortedWeights!$E$2:$E$67,Fact_SortedWeights!$C$2:$C$67,$A22,Fact_SortedWeights!$B$2:$B$67,$B22)*(IF($B22="Cardboard Recycling",SUMIFS(Fact_SortedWeights!$E$2:$E$67,Fact_SortedWeights!$C$2:$C$67,$A22,Fact_SortedWeights!$B$2:$B$67,$B22),SUMIFS(Fact_PreSortWeights!$E$2:$E$6,Fact_PreSortWeights!$C$2:$C$6,$A22,Fact_PreSortWeights!$B$2:$B$6,$B22))))</f>
        <v>0</v>
      </c>
      <c r="G22" s="0" t="n">
        <f aca="false">IF(AND(IF($B22="Trash",INDEX('Materials Master'!$F$2:$F$20,MATCH($C22,'Materials Master'!$A$2:$A$20,0)),IF($B22="GMPC Recycling",INDEX('Materials Master'!$G$2:$G$20,MATCH($C22,'Materials Master'!$A$2:$A$20,0)),IF($B22="Organics Recycling",INDEX('Materials Master'!$H$2:$H$20,MATCH($C22,'Materials Master'!$A$2:$A$20,0)),IF($B22="Cardboard Recycling",INDEX('Materials Master'!$I$2:$I$20,MATCH($C22,'Materials Master'!$A$2:$A$20,0)),IF($B22="Paper Recycling",INDEX('Materials Master'!$J$2:$J$20,MATCH($C22,'Materials Master'!$A$2:$A$20,0)),IF($B22="Terracycle",INDEX('Materials Master'!$K$2:$K$20,MATCH($C22,'Materials Master'!$A$2:$A$20,0)),"No"))))))="Yes",INDEX('Materials Master'!$E$2:$E$20,MATCH($C22,'Materials Master'!$A$2:$A$20,0))="Yes",$B22&lt;&gt;"Trash"),1,0)</f>
        <v>0</v>
      </c>
      <c r="H22" s="0" t="str">
        <f aca="false">INDEX('Materials Master'!$E$2:$E$20,MATCH($C22,'Materials Master'!$A$2:$A$20,0))</f>
        <v>No</v>
      </c>
      <c r="I22" s="0" t="str">
        <f aca="false">IFERROR(INDEX(Areas!$C$2:$C$3,MATCH($A22,Areas!$B$2:$B$3,0)),"")</f>
        <v>Cafeteria</v>
      </c>
      <c r="J22" s="0" t="n">
        <f aca="false">IF(IF($B22="Trash",INDEX('Materials Master'!$F$2:$F$20,MATCH($C22,'Materials Master'!$A$2:$A$20,0)),IF($B22="GMPC Recycling",INDEX('Materials Master'!$G$2:$G$20,MATCH($C22,'Materials Master'!$A$2:$A$20,0)),IF($B22="Organics Recycling",INDEX('Materials Master'!$H$2:$H$20,MATCH($C22,'Materials Master'!$A$2:$A$20,0)),IF($B22="Cardboard Recycling",INDEX('Materials Master'!$I$2:$I$20,MATCH($C22,'Materials Master'!$A$2:$A$20,0)),IF($B22="Paper Recycling",INDEX('Materials Master'!$J$2:$J$20,MATCH($C22,'Materials Master'!$A$2:$A$20,0)),IF($B22="Terracycle",INDEX('Materials Master'!$K$2:$K$20,MATCH($C22,'Materials Master'!$A$2:$A$20,0)),"No"))))))="Yes",1,0)</f>
        <v>0</v>
      </c>
    </row>
    <row r="23" customFormat="false" ht="15" hidden="false" customHeight="false" outlineLevel="0" collapsed="false">
      <c r="A23" s="0" t="s">
        <v>79</v>
      </c>
      <c r="B23" s="0" t="s">
        <v>84</v>
      </c>
      <c r="C23" s="0" t="s">
        <v>35</v>
      </c>
      <c r="D23" s="0" t="str">
        <f aca="false">IFERROR(INDEX('Materials Master'!$B$2:$B$20,MATCH($C23,'Materials Master'!$A$2:$A$20,0)),"")</f>
        <v>Mixed Paper</v>
      </c>
      <c r="E23" s="0" t="str">
        <f aca="false">IFERROR(INDEX('Materials Master'!$C$2:$C$20,MATCH($C23,'Materials Master'!$A$2:$A$20,0)),"")</f>
        <v>Fibers</v>
      </c>
      <c r="F23" s="0" t="n">
        <f aca="false">IF(SUMIFS(Fact_SortedWeights!$E$2:$E$67,Fact_SortedWeights!$C$2:$C$67,$A23,Fact_SortedWeights!$B$2:$B$67,$B23)=0,0,SUMIFS(Fact_SortedWeights!$E$2:$E$67,Fact_SortedWeights!$C$2:$C$67,$A23,Fact_SortedWeights!$B$2:$B$67,$B23,Fact_SortedWeights!$D$2:$D$67,$C23)/SUMIFS(Fact_SortedWeights!$E$2:$E$67,Fact_SortedWeights!$C$2:$C$67,$A23,Fact_SortedWeights!$B$2:$B$67,$B23)*(IF($B23="Cardboard Recycling",SUMIFS(Fact_SortedWeights!$E$2:$E$67,Fact_SortedWeights!$C$2:$C$67,$A23,Fact_SortedWeights!$B$2:$B$67,$B23),SUMIFS(Fact_PreSortWeights!$E$2:$E$6,Fact_PreSortWeights!$C$2:$C$6,$A23,Fact_PreSortWeights!$B$2:$B$6,$B23))))</f>
        <v>0.53</v>
      </c>
      <c r="G23" s="0" t="n">
        <f aca="false">IF(AND(IF($B23="Trash",INDEX('Materials Master'!$F$2:$F$20,MATCH($C23,'Materials Master'!$A$2:$A$20,0)),IF($B23="GMPC Recycling",INDEX('Materials Master'!$G$2:$G$20,MATCH($C23,'Materials Master'!$A$2:$A$20,0)),IF($B23="Organics Recycling",INDEX('Materials Master'!$H$2:$H$20,MATCH($C23,'Materials Master'!$A$2:$A$20,0)),IF($B23="Cardboard Recycling",INDEX('Materials Master'!$I$2:$I$20,MATCH($C23,'Materials Master'!$A$2:$A$20,0)),IF($B23="Paper Recycling",INDEX('Materials Master'!$J$2:$J$20,MATCH($C23,'Materials Master'!$A$2:$A$20,0)),IF($B23="Terracycle",INDEX('Materials Master'!$K$2:$K$20,MATCH($C23,'Materials Master'!$A$2:$A$20,0)),"No"))))))="Yes",INDEX('Materials Master'!$E$2:$E$20,MATCH($C23,'Materials Master'!$A$2:$A$20,0))="Yes",$B23&lt;&gt;"Trash"),1,0)</f>
        <v>1</v>
      </c>
      <c r="H23" s="0" t="str">
        <f aca="false">INDEX('Materials Master'!$E$2:$E$20,MATCH($C23,'Materials Master'!$A$2:$A$20,0))</f>
        <v>Yes</v>
      </c>
      <c r="I23" s="0" t="str">
        <f aca="false">IFERROR(INDEX(Areas!$C$2:$C$3,MATCH($A23,Areas!$B$2:$B$3,0)),"")</f>
        <v>Cafeteria</v>
      </c>
      <c r="J23" s="0" t="n">
        <f aca="false">IF(IF($B23="Trash",INDEX('Materials Master'!$F$2:$F$20,MATCH($C23,'Materials Master'!$A$2:$A$20,0)),IF($B23="GMPC Recycling",INDEX('Materials Master'!$G$2:$G$20,MATCH($C23,'Materials Master'!$A$2:$A$20,0)),IF($B23="Organics Recycling",INDEX('Materials Master'!$H$2:$H$20,MATCH($C23,'Materials Master'!$A$2:$A$20,0)),IF($B23="Cardboard Recycling",INDEX('Materials Master'!$I$2:$I$20,MATCH($C23,'Materials Master'!$A$2:$A$20,0)),IF($B23="Paper Recycling",INDEX('Materials Master'!$J$2:$J$20,MATCH($C23,'Materials Master'!$A$2:$A$20,0)),IF($B23="Terracycle",INDEX('Materials Master'!$K$2:$K$20,MATCH($C23,'Materials Master'!$A$2:$A$20,0)),"No"))))))="Yes",1,0)</f>
        <v>1</v>
      </c>
    </row>
    <row r="24" customFormat="false" ht="15" hidden="false" customHeight="false" outlineLevel="0" collapsed="false">
      <c r="A24" s="0" t="s">
        <v>79</v>
      </c>
      <c r="B24" s="0" t="s">
        <v>84</v>
      </c>
      <c r="C24" s="0" t="s">
        <v>37</v>
      </c>
      <c r="D24" s="0" t="str">
        <f aca="false">IFERROR(INDEX('Materials Master'!$B$2:$B$20,MATCH($C24,'Materials Master'!$A$2:$A$20,0)),"")</f>
        <v>Gable-top &amp; Aseptic Cartons</v>
      </c>
      <c r="E24" s="0" t="str">
        <f aca="false">IFERROR(INDEX('Materials Master'!$C$2:$C$20,MATCH($C24,'Materials Master'!$A$2:$A$20,0)),"")</f>
        <v>Fibers</v>
      </c>
      <c r="F24" s="0" t="n">
        <f aca="false">IF(SUMIFS(Fact_SortedWeights!$E$2:$E$67,Fact_SortedWeights!$C$2:$C$67,$A24,Fact_SortedWeights!$B$2:$B$67,$B24)=0,0,SUMIFS(Fact_SortedWeights!$E$2:$E$67,Fact_SortedWeights!$C$2:$C$67,$A24,Fact_SortedWeights!$B$2:$B$67,$B24,Fact_SortedWeights!$D$2:$D$67,$C24)/SUMIFS(Fact_SortedWeights!$E$2:$E$67,Fact_SortedWeights!$C$2:$C$67,$A24,Fact_SortedWeights!$B$2:$B$67,$B24)*(IF($B24="Cardboard Recycling",SUMIFS(Fact_SortedWeights!$E$2:$E$67,Fact_SortedWeights!$C$2:$C$67,$A24,Fact_SortedWeights!$B$2:$B$67,$B24),SUMIFS(Fact_PreSortWeights!$E$2:$E$6,Fact_PreSortWeights!$C$2:$C$6,$A24,Fact_PreSortWeights!$B$2:$B$6,$B24))))</f>
        <v>0</v>
      </c>
      <c r="G24" s="0" t="n">
        <f aca="false">IF(AND(IF($B24="Trash",INDEX('Materials Master'!$F$2:$F$20,MATCH($C24,'Materials Master'!$A$2:$A$20,0)),IF($B24="GMPC Recycling",INDEX('Materials Master'!$G$2:$G$20,MATCH($C24,'Materials Master'!$A$2:$A$20,0)),IF($B24="Organics Recycling",INDEX('Materials Master'!$H$2:$H$20,MATCH($C24,'Materials Master'!$A$2:$A$20,0)),IF($B24="Cardboard Recycling",INDEX('Materials Master'!$I$2:$I$20,MATCH($C24,'Materials Master'!$A$2:$A$20,0)),IF($B24="Paper Recycling",INDEX('Materials Master'!$J$2:$J$20,MATCH($C24,'Materials Master'!$A$2:$A$20,0)),IF($B24="Terracycle",INDEX('Materials Master'!$K$2:$K$20,MATCH($C24,'Materials Master'!$A$2:$A$20,0)),"No"))))))="Yes",INDEX('Materials Master'!$E$2:$E$20,MATCH($C24,'Materials Master'!$A$2:$A$20,0))="Yes",$B24&lt;&gt;"Trash"),1,0)</f>
        <v>1</v>
      </c>
      <c r="H24" s="0" t="str">
        <f aca="false">INDEX('Materials Master'!$E$2:$E$20,MATCH($C24,'Materials Master'!$A$2:$A$20,0))</f>
        <v>Yes</v>
      </c>
      <c r="I24" s="0" t="str">
        <f aca="false">IFERROR(INDEX(Areas!$C$2:$C$3,MATCH($A24,Areas!$B$2:$B$3,0)),"")</f>
        <v>Cafeteria</v>
      </c>
      <c r="J24" s="0" t="n">
        <f aca="false">IF(IF($B24="Trash",INDEX('Materials Master'!$F$2:$F$20,MATCH($C24,'Materials Master'!$A$2:$A$20,0)),IF($B24="GMPC Recycling",INDEX('Materials Master'!$G$2:$G$20,MATCH($C24,'Materials Master'!$A$2:$A$20,0)),IF($B24="Organics Recycling",INDEX('Materials Master'!$H$2:$H$20,MATCH($C24,'Materials Master'!$A$2:$A$20,0)),IF($B24="Cardboard Recycling",INDEX('Materials Master'!$I$2:$I$20,MATCH($C24,'Materials Master'!$A$2:$A$20,0)),IF($B24="Paper Recycling",INDEX('Materials Master'!$J$2:$J$20,MATCH($C24,'Materials Master'!$A$2:$A$20,0)),IF($B24="Terracycle",INDEX('Materials Master'!$K$2:$K$20,MATCH($C24,'Materials Master'!$A$2:$A$20,0)),"No"))))))="Yes",1,0)</f>
        <v>1</v>
      </c>
    </row>
    <row r="25" customFormat="false" ht="15" hidden="false" customHeight="false" outlineLevel="0" collapsed="false">
      <c r="A25" s="0" t="s">
        <v>79</v>
      </c>
      <c r="B25" s="0" t="s">
        <v>84</v>
      </c>
      <c r="C25" s="0" t="s">
        <v>39</v>
      </c>
      <c r="D25" s="0" t="str">
        <f aca="false">IFERROR(INDEX('Materials Master'!$B$2:$B$20,MATCH($C25,'Materials Master'!$A$2:$A$20,0)),"")</f>
        <v>Other Coated Paper Containers</v>
      </c>
      <c r="E25" s="0" t="str">
        <f aca="false">IFERROR(INDEX('Materials Master'!$C$2:$C$20,MATCH($C25,'Materials Master'!$A$2:$A$20,0)),"")</f>
        <v>Fibers</v>
      </c>
      <c r="F25" s="0" t="n">
        <f aca="false">IF(SUMIFS(Fact_SortedWeights!$E$2:$E$67,Fact_SortedWeights!$C$2:$C$67,$A25,Fact_SortedWeights!$B$2:$B$67,$B25)=0,0,SUMIFS(Fact_SortedWeights!$E$2:$E$67,Fact_SortedWeights!$C$2:$C$67,$A25,Fact_SortedWeights!$B$2:$B$67,$B25,Fact_SortedWeights!$D$2:$D$67,$C25)/SUMIFS(Fact_SortedWeights!$E$2:$E$67,Fact_SortedWeights!$C$2:$C$67,$A25,Fact_SortedWeights!$B$2:$B$67,$B25)*(IF($B25="Cardboard Recycling",SUMIFS(Fact_SortedWeights!$E$2:$E$67,Fact_SortedWeights!$C$2:$C$67,$A25,Fact_SortedWeights!$B$2:$B$67,$B25),SUMIFS(Fact_PreSortWeights!$E$2:$E$6,Fact_PreSortWeights!$C$2:$C$6,$A25,Fact_PreSortWeights!$B$2:$B$6,$B25))))</f>
        <v>0.11</v>
      </c>
      <c r="G25" s="0" t="n">
        <f aca="false">IF(AND(IF($B25="Trash",INDEX('Materials Master'!$F$2:$F$20,MATCH($C25,'Materials Master'!$A$2:$A$20,0)),IF($B25="GMPC Recycling",INDEX('Materials Master'!$G$2:$G$20,MATCH($C25,'Materials Master'!$A$2:$A$20,0)),IF($B25="Organics Recycling",INDEX('Materials Master'!$H$2:$H$20,MATCH($C25,'Materials Master'!$A$2:$A$20,0)),IF($B25="Cardboard Recycling",INDEX('Materials Master'!$I$2:$I$20,MATCH($C25,'Materials Master'!$A$2:$A$20,0)),IF($B25="Paper Recycling",INDEX('Materials Master'!$J$2:$J$20,MATCH($C25,'Materials Master'!$A$2:$A$20,0)),IF($B25="Terracycle",INDEX('Materials Master'!$K$2:$K$20,MATCH($C25,'Materials Master'!$A$2:$A$20,0)),"No"))))))="Yes",INDEX('Materials Master'!$E$2:$E$20,MATCH($C25,'Materials Master'!$A$2:$A$20,0))="Yes",$B25&lt;&gt;"Trash"),1,0)</f>
        <v>0</v>
      </c>
      <c r="H25" s="0" t="str">
        <f aca="false">INDEX('Materials Master'!$E$2:$E$20,MATCH($C25,'Materials Master'!$A$2:$A$20,0))</f>
        <v>No</v>
      </c>
      <c r="I25" s="0" t="str">
        <f aca="false">IFERROR(INDEX(Areas!$C$2:$C$3,MATCH($A25,Areas!$B$2:$B$3,0)),"")</f>
        <v>Cafeteria</v>
      </c>
      <c r="J25" s="0" t="n">
        <f aca="false">IF(IF($B25="Trash",INDEX('Materials Master'!$F$2:$F$20,MATCH($C25,'Materials Master'!$A$2:$A$20,0)),IF($B25="GMPC Recycling",INDEX('Materials Master'!$G$2:$G$20,MATCH($C25,'Materials Master'!$A$2:$A$20,0)),IF($B25="Organics Recycling",INDEX('Materials Master'!$H$2:$H$20,MATCH($C25,'Materials Master'!$A$2:$A$20,0)),IF($B25="Cardboard Recycling",INDEX('Materials Master'!$I$2:$I$20,MATCH($C25,'Materials Master'!$A$2:$A$20,0)),IF($B25="Paper Recycling",INDEX('Materials Master'!$J$2:$J$20,MATCH($C25,'Materials Master'!$A$2:$A$20,0)),IF($B25="Terracycle",INDEX('Materials Master'!$K$2:$K$20,MATCH($C25,'Materials Master'!$A$2:$A$20,0)),"No"))))))="Yes",1,0)</f>
        <v>0</v>
      </c>
    </row>
    <row r="26" customFormat="false" ht="15" hidden="false" customHeight="false" outlineLevel="0" collapsed="false">
      <c r="A26" s="0" t="s">
        <v>79</v>
      </c>
      <c r="B26" s="0" t="s">
        <v>84</v>
      </c>
      <c r="C26" s="0" t="s">
        <v>41</v>
      </c>
      <c r="D26" s="0" t="str">
        <f aca="false">IFERROR(INDEX('Materials Master'!$B$2:$B$20,MATCH($C26,'Materials Master'!$A$2:$A$20,0)),"")</f>
        <v>Glass Bottles &amp; Jars</v>
      </c>
      <c r="E26" s="0" t="str">
        <f aca="false">IFERROR(INDEX('Materials Master'!$C$2:$C$20,MATCH($C26,'Materials Master'!$A$2:$A$20,0)),"")</f>
        <v>Glass</v>
      </c>
      <c r="F26" s="0" t="n">
        <f aca="false">IF(SUMIFS(Fact_SortedWeights!$E$2:$E$67,Fact_SortedWeights!$C$2:$C$67,$A26,Fact_SortedWeights!$B$2:$B$67,$B26)=0,0,SUMIFS(Fact_SortedWeights!$E$2:$E$67,Fact_SortedWeights!$C$2:$C$67,$A26,Fact_SortedWeights!$B$2:$B$67,$B26,Fact_SortedWeights!$D$2:$D$67,$C26)/SUMIFS(Fact_SortedWeights!$E$2:$E$67,Fact_SortedWeights!$C$2:$C$67,$A26,Fact_SortedWeights!$B$2:$B$67,$B26)*(IF($B26="Cardboard Recycling",SUMIFS(Fact_SortedWeights!$E$2:$E$67,Fact_SortedWeights!$C$2:$C$67,$A26,Fact_SortedWeights!$B$2:$B$67,$B26),SUMIFS(Fact_PreSortWeights!$E$2:$E$6,Fact_PreSortWeights!$C$2:$C$6,$A26,Fact_PreSortWeights!$B$2:$B$6,$B26))))</f>
        <v>0.43</v>
      </c>
      <c r="G26" s="0" t="n">
        <f aca="false">IF(AND(IF($B26="Trash",INDEX('Materials Master'!$F$2:$F$20,MATCH($C26,'Materials Master'!$A$2:$A$20,0)),IF($B26="GMPC Recycling",INDEX('Materials Master'!$G$2:$G$20,MATCH($C26,'Materials Master'!$A$2:$A$20,0)),IF($B26="Organics Recycling",INDEX('Materials Master'!$H$2:$H$20,MATCH($C26,'Materials Master'!$A$2:$A$20,0)),IF($B26="Cardboard Recycling",INDEX('Materials Master'!$I$2:$I$20,MATCH($C26,'Materials Master'!$A$2:$A$20,0)),IF($B26="Paper Recycling",INDEX('Materials Master'!$J$2:$J$20,MATCH($C26,'Materials Master'!$A$2:$A$20,0)),IF($B26="Terracycle",INDEX('Materials Master'!$K$2:$K$20,MATCH($C26,'Materials Master'!$A$2:$A$20,0)),"No"))))))="Yes",INDEX('Materials Master'!$E$2:$E$20,MATCH($C26,'Materials Master'!$A$2:$A$20,0))="Yes",$B26&lt;&gt;"Trash"),1,0)</f>
        <v>1</v>
      </c>
      <c r="H26" s="0" t="str">
        <f aca="false">INDEX('Materials Master'!$E$2:$E$20,MATCH($C26,'Materials Master'!$A$2:$A$20,0))</f>
        <v>Yes</v>
      </c>
      <c r="I26" s="0" t="str">
        <f aca="false">IFERROR(INDEX(Areas!$C$2:$C$3,MATCH($A26,Areas!$B$2:$B$3,0)),"")</f>
        <v>Cafeteria</v>
      </c>
      <c r="J26" s="0" t="n">
        <f aca="false">IF(IF($B26="Trash",INDEX('Materials Master'!$F$2:$F$20,MATCH($C26,'Materials Master'!$A$2:$A$20,0)),IF($B26="GMPC Recycling",INDEX('Materials Master'!$G$2:$G$20,MATCH($C26,'Materials Master'!$A$2:$A$20,0)),IF($B26="Organics Recycling",INDEX('Materials Master'!$H$2:$H$20,MATCH($C26,'Materials Master'!$A$2:$A$20,0)),IF($B26="Cardboard Recycling",INDEX('Materials Master'!$I$2:$I$20,MATCH($C26,'Materials Master'!$A$2:$A$20,0)),IF($B26="Paper Recycling",INDEX('Materials Master'!$J$2:$J$20,MATCH($C26,'Materials Master'!$A$2:$A$20,0)),IF($B26="Terracycle",INDEX('Materials Master'!$K$2:$K$20,MATCH($C26,'Materials Master'!$A$2:$A$20,0)),"No"))))))="Yes",1,0)</f>
        <v>1</v>
      </c>
    </row>
    <row r="27" customFormat="false" ht="15" hidden="false" customHeight="false" outlineLevel="0" collapsed="false">
      <c r="A27" s="0" t="s">
        <v>79</v>
      </c>
      <c r="B27" s="0" t="s">
        <v>84</v>
      </c>
      <c r="C27" s="0" t="s">
        <v>44</v>
      </c>
      <c r="D27" s="0" t="str">
        <f aca="false">IFERROR(INDEX('Materials Master'!$B$2:$B$20,MATCH($C27,'Materials Master'!$A$2:$A$20,0)),"")</f>
        <v>Broken Glass</v>
      </c>
      <c r="E27" s="0" t="str">
        <f aca="false">IFERROR(INDEX('Materials Master'!$C$2:$C$20,MATCH($C27,'Materials Master'!$A$2:$A$20,0)),"")</f>
        <v>Glass</v>
      </c>
      <c r="F27" s="0" t="n">
        <f aca="false">IF(SUMIFS(Fact_SortedWeights!$E$2:$E$67,Fact_SortedWeights!$C$2:$C$67,$A27,Fact_SortedWeights!$B$2:$B$67,$B27)=0,0,SUMIFS(Fact_SortedWeights!$E$2:$E$67,Fact_SortedWeights!$C$2:$C$67,$A27,Fact_SortedWeights!$B$2:$B$67,$B27,Fact_SortedWeights!$D$2:$D$67,$C27)/SUMIFS(Fact_SortedWeights!$E$2:$E$67,Fact_SortedWeights!$C$2:$C$67,$A27,Fact_SortedWeights!$B$2:$B$67,$B27)*(IF($B27="Cardboard Recycling",SUMIFS(Fact_SortedWeights!$E$2:$E$67,Fact_SortedWeights!$C$2:$C$67,$A27,Fact_SortedWeights!$B$2:$B$67,$B27),SUMIFS(Fact_PreSortWeights!$E$2:$E$6,Fact_PreSortWeights!$C$2:$C$6,$A27,Fact_PreSortWeights!$B$2:$B$6,$B27))))</f>
        <v>0</v>
      </c>
      <c r="G27" s="0" t="n">
        <f aca="false">IF(AND(IF($B27="Trash",INDEX('Materials Master'!$F$2:$F$20,MATCH($C27,'Materials Master'!$A$2:$A$20,0)),IF($B27="GMPC Recycling",INDEX('Materials Master'!$G$2:$G$20,MATCH($C27,'Materials Master'!$A$2:$A$20,0)),IF($B27="Organics Recycling",INDEX('Materials Master'!$H$2:$H$20,MATCH($C27,'Materials Master'!$A$2:$A$20,0)),IF($B27="Cardboard Recycling",INDEX('Materials Master'!$I$2:$I$20,MATCH($C27,'Materials Master'!$A$2:$A$20,0)),IF($B27="Paper Recycling",INDEX('Materials Master'!$J$2:$J$20,MATCH($C27,'Materials Master'!$A$2:$A$20,0)),IF($B27="Terracycle",INDEX('Materials Master'!$K$2:$K$20,MATCH($C27,'Materials Master'!$A$2:$A$20,0)),"No"))))))="Yes",INDEX('Materials Master'!$E$2:$E$20,MATCH($C27,'Materials Master'!$A$2:$A$20,0))="Yes",$B27&lt;&gt;"Trash"),1,0)</f>
        <v>0</v>
      </c>
      <c r="H27" s="0" t="str">
        <f aca="false">INDEX('Materials Master'!$E$2:$E$20,MATCH($C27,'Materials Master'!$A$2:$A$20,0))</f>
        <v>No</v>
      </c>
      <c r="I27" s="0" t="str">
        <f aca="false">IFERROR(INDEX(Areas!$C$2:$C$3,MATCH($A27,Areas!$B$2:$B$3,0)),"")</f>
        <v>Cafeteria</v>
      </c>
      <c r="J27" s="0" t="n">
        <f aca="false">IF(IF($B27="Trash",INDEX('Materials Master'!$F$2:$F$20,MATCH($C27,'Materials Master'!$A$2:$A$20,0)),IF($B27="GMPC Recycling",INDEX('Materials Master'!$G$2:$G$20,MATCH($C27,'Materials Master'!$A$2:$A$20,0)),IF($B27="Organics Recycling",INDEX('Materials Master'!$H$2:$H$20,MATCH($C27,'Materials Master'!$A$2:$A$20,0)),IF($B27="Cardboard Recycling",INDEX('Materials Master'!$I$2:$I$20,MATCH($C27,'Materials Master'!$A$2:$A$20,0)),IF($B27="Paper Recycling",INDEX('Materials Master'!$J$2:$J$20,MATCH($C27,'Materials Master'!$A$2:$A$20,0)),IF($B27="Terracycle",INDEX('Materials Master'!$K$2:$K$20,MATCH($C27,'Materials Master'!$A$2:$A$20,0)),"No"))))))="Yes",1,0)</f>
        <v>0</v>
      </c>
    </row>
    <row r="28" customFormat="false" ht="15" hidden="false" customHeight="false" outlineLevel="0" collapsed="false">
      <c r="A28" s="0" t="s">
        <v>79</v>
      </c>
      <c r="B28" s="0" t="s">
        <v>84</v>
      </c>
      <c r="C28" s="0" t="s">
        <v>46</v>
      </c>
      <c r="D28" s="0" t="str">
        <f aca="false">IFERROR(INDEX('Materials Master'!$B$2:$B$20,MATCH($C28,'Materials Master'!$A$2:$A$20,0)),"")</f>
        <v>Aluminum &amp; Bi-metal Containers</v>
      </c>
      <c r="E28" s="0" t="str">
        <f aca="false">IFERROR(INDEX('Materials Master'!$C$2:$C$20,MATCH($C28,'Materials Master'!$A$2:$A$20,0)),"")</f>
        <v>Metals</v>
      </c>
      <c r="F28" s="0" t="n">
        <f aca="false">IF(SUMIFS(Fact_SortedWeights!$E$2:$E$67,Fact_SortedWeights!$C$2:$C$67,$A28,Fact_SortedWeights!$B$2:$B$67,$B28)=0,0,SUMIFS(Fact_SortedWeights!$E$2:$E$67,Fact_SortedWeights!$C$2:$C$67,$A28,Fact_SortedWeights!$B$2:$B$67,$B28,Fact_SortedWeights!$D$2:$D$67,$C28)/SUMIFS(Fact_SortedWeights!$E$2:$E$67,Fact_SortedWeights!$C$2:$C$67,$A28,Fact_SortedWeights!$B$2:$B$67,$B28)*(IF($B28="Cardboard Recycling",SUMIFS(Fact_SortedWeights!$E$2:$E$67,Fact_SortedWeights!$C$2:$C$67,$A28,Fact_SortedWeights!$B$2:$B$67,$B28),SUMIFS(Fact_PreSortWeights!$E$2:$E$6,Fact_PreSortWeights!$C$2:$C$6,$A28,Fact_PreSortWeights!$B$2:$B$6,$B28))))</f>
        <v>0.21</v>
      </c>
      <c r="G28" s="0" t="n">
        <f aca="false">IF(AND(IF($B28="Trash",INDEX('Materials Master'!$F$2:$F$20,MATCH($C28,'Materials Master'!$A$2:$A$20,0)),IF($B28="GMPC Recycling",INDEX('Materials Master'!$G$2:$G$20,MATCH($C28,'Materials Master'!$A$2:$A$20,0)),IF($B28="Organics Recycling",INDEX('Materials Master'!$H$2:$H$20,MATCH($C28,'Materials Master'!$A$2:$A$20,0)),IF($B28="Cardboard Recycling",INDEX('Materials Master'!$I$2:$I$20,MATCH($C28,'Materials Master'!$A$2:$A$20,0)),IF($B28="Paper Recycling",INDEX('Materials Master'!$J$2:$J$20,MATCH($C28,'Materials Master'!$A$2:$A$20,0)),IF($B28="Terracycle",INDEX('Materials Master'!$K$2:$K$20,MATCH($C28,'Materials Master'!$A$2:$A$20,0)),"No"))))))="Yes",INDEX('Materials Master'!$E$2:$E$20,MATCH($C28,'Materials Master'!$A$2:$A$20,0))="Yes",$B28&lt;&gt;"Trash"),1,0)</f>
        <v>1</v>
      </c>
      <c r="H28" s="0" t="str">
        <f aca="false">INDEX('Materials Master'!$E$2:$E$20,MATCH($C28,'Materials Master'!$A$2:$A$20,0))</f>
        <v>Yes</v>
      </c>
      <c r="I28" s="0" t="str">
        <f aca="false">IFERROR(INDEX(Areas!$C$2:$C$3,MATCH($A28,Areas!$B$2:$B$3,0)),"")</f>
        <v>Cafeteria</v>
      </c>
      <c r="J28" s="0" t="n">
        <f aca="false">IF(IF($B28="Trash",INDEX('Materials Master'!$F$2:$F$20,MATCH($C28,'Materials Master'!$A$2:$A$20,0)),IF($B28="GMPC Recycling",INDEX('Materials Master'!$G$2:$G$20,MATCH($C28,'Materials Master'!$A$2:$A$20,0)),IF($B28="Organics Recycling",INDEX('Materials Master'!$H$2:$H$20,MATCH($C28,'Materials Master'!$A$2:$A$20,0)),IF($B28="Cardboard Recycling",INDEX('Materials Master'!$I$2:$I$20,MATCH($C28,'Materials Master'!$A$2:$A$20,0)),IF($B28="Paper Recycling",INDEX('Materials Master'!$J$2:$J$20,MATCH($C28,'Materials Master'!$A$2:$A$20,0)),IF($B28="Terracycle",INDEX('Materials Master'!$K$2:$K$20,MATCH($C28,'Materials Master'!$A$2:$A$20,0)),"No"))))))="Yes",1,0)</f>
        <v>1</v>
      </c>
    </row>
    <row r="29" customFormat="false" ht="15" hidden="false" customHeight="false" outlineLevel="0" collapsed="false">
      <c r="A29" s="0" t="s">
        <v>79</v>
      </c>
      <c r="B29" s="0" t="s">
        <v>84</v>
      </c>
      <c r="C29" s="0" t="s">
        <v>49</v>
      </c>
      <c r="D29" s="0" t="str">
        <f aca="false">IFERROR(INDEX('Materials Master'!$B$2:$B$20,MATCH($C29,'Materials Master'!$A$2:$A$20,0)),"")</f>
        <v>Metal Hangers</v>
      </c>
      <c r="E29" s="0" t="str">
        <f aca="false">IFERROR(INDEX('Materials Master'!$C$2:$C$20,MATCH($C29,'Materials Master'!$A$2:$A$20,0)),"")</f>
        <v>Metals</v>
      </c>
      <c r="F29" s="0" t="n">
        <f aca="false">IF(SUMIFS(Fact_SortedWeights!$E$2:$E$67,Fact_SortedWeights!$C$2:$C$67,$A29,Fact_SortedWeights!$B$2:$B$67,$B29)=0,0,SUMIFS(Fact_SortedWeights!$E$2:$E$67,Fact_SortedWeights!$C$2:$C$67,$A29,Fact_SortedWeights!$B$2:$B$67,$B29,Fact_SortedWeights!$D$2:$D$67,$C29)/SUMIFS(Fact_SortedWeights!$E$2:$E$67,Fact_SortedWeights!$C$2:$C$67,$A29,Fact_SortedWeights!$B$2:$B$67,$B29)*(IF($B29="Cardboard Recycling",SUMIFS(Fact_SortedWeights!$E$2:$E$67,Fact_SortedWeights!$C$2:$C$67,$A29,Fact_SortedWeights!$B$2:$B$67,$B29),SUMIFS(Fact_PreSortWeights!$E$2:$E$6,Fact_PreSortWeights!$C$2:$C$6,$A29,Fact_PreSortWeights!$B$2:$B$6,$B29))))</f>
        <v>2.98</v>
      </c>
      <c r="G29" s="0" t="n">
        <f aca="false">IF(AND(IF($B29="Trash",INDEX('Materials Master'!$F$2:$F$20,MATCH($C29,'Materials Master'!$A$2:$A$20,0)),IF($B29="GMPC Recycling",INDEX('Materials Master'!$G$2:$G$20,MATCH($C29,'Materials Master'!$A$2:$A$20,0)),IF($B29="Organics Recycling",INDEX('Materials Master'!$H$2:$H$20,MATCH($C29,'Materials Master'!$A$2:$A$20,0)),IF($B29="Cardboard Recycling",INDEX('Materials Master'!$I$2:$I$20,MATCH($C29,'Materials Master'!$A$2:$A$20,0)),IF($B29="Paper Recycling",INDEX('Materials Master'!$J$2:$J$20,MATCH($C29,'Materials Master'!$A$2:$A$20,0)),IF($B29="Terracycle",INDEX('Materials Master'!$K$2:$K$20,MATCH($C29,'Materials Master'!$A$2:$A$20,0)),"No"))))))="Yes",INDEX('Materials Master'!$E$2:$E$20,MATCH($C29,'Materials Master'!$A$2:$A$20,0))="Yes",$B29&lt;&gt;"Trash"),1,0)</f>
        <v>0</v>
      </c>
      <c r="H29" s="0" t="str">
        <f aca="false">INDEX('Materials Master'!$E$2:$E$20,MATCH($C29,'Materials Master'!$A$2:$A$20,0))</f>
        <v>No</v>
      </c>
      <c r="I29" s="0" t="str">
        <f aca="false">IFERROR(INDEX(Areas!$C$2:$C$3,MATCH($A29,Areas!$B$2:$B$3,0)),"")</f>
        <v>Cafeteria</v>
      </c>
      <c r="J29" s="0" t="n">
        <f aca="false">IF(IF($B29="Trash",INDEX('Materials Master'!$F$2:$F$20,MATCH($C29,'Materials Master'!$A$2:$A$20,0)),IF($B29="GMPC Recycling",INDEX('Materials Master'!$G$2:$G$20,MATCH($C29,'Materials Master'!$A$2:$A$20,0)),IF($B29="Organics Recycling",INDEX('Materials Master'!$H$2:$H$20,MATCH($C29,'Materials Master'!$A$2:$A$20,0)),IF($B29="Cardboard Recycling",INDEX('Materials Master'!$I$2:$I$20,MATCH($C29,'Materials Master'!$A$2:$A$20,0)),IF($B29="Paper Recycling",INDEX('Materials Master'!$J$2:$J$20,MATCH($C29,'Materials Master'!$A$2:$A$20,0)),IF($B29="Terracycle",INDEX('Materials Master'!$K$2:$K$20,MATCH($C29,'Materials Master'!$A$2:$A$20,0)),"No"))))))="Yes",1,0)</f>
        <v>0</v>
      </c>
    </row>
    <row r="30" customFormat="false" ht="15" hidden="false" customHeight="false" outlineLevel="0" collapsed="false">
      <c r="A30" s="0" t="s">
        <v>79</v>
      </c>
      <c r="B30" s="0" t="s">
        <v>84</v>
      </c>
      <c r="C30" s="0" t="s">
        <v>51</v>
      </c>
      <c r="D30" s="0" t="str">
        <f aca="false">IFERROR(INDEX('Materials Master'!$B$2:$B$20,MATCH($C30,'Materials Master'!$A$2:$A$20,0)),"")</f>
        <v>Rigid Plastics (1-6)</v>
      </c>
      <c r="E30" s="0" t="str">
        <f aca="false">IFERROR(INDEX('Materials Master'!$C$2:$C$20,MATCH($C30,'Materials Master'!$A$2:$A$20,0)),"")</f>
        <v>Plastics</v>
      </c>
      <c r="F30" s="0" t="n">
        <f aca="false">IF(SUMIFS(Fact_SortedWeights!$E$2:$E$67,Fact_SortedWeights!$C$2:$C$67,$A30,Fact_SortedWeights!$B$2:$B$67,$B30)=0,0,SUMIFS(Fact_SortedWeights!$E$2:$E$67,Fact_SortedWeights!$C$2:$C$67,$A30,Fact_SortedWeights!$B$2:$B$67,$B30,Fact_SortedWeights!$D$2:$D$67,$C30)/SUMIFS(Fact_SortedWeights!$E$2:$E$67,Fact_SortedWeights!$C$2:$C$67,$A30,Fact_SortedWeights!$B$2:$B$67,$B30)*(IF($B30="Cardboard Recycling",SUMIFS(Fact_SortedWeights!$E$2:$E$67,Fact_SortedWeights!$C$2:$C$67,$A30,Fact_SortedWeights!$B$2:$B$67,$B30),SUMIFS(Fact_PreSortWeights!$E$2:$E$6,Fact_PreSortWeights!$C$2:$C$6,$A30,Fact_PreSortWeights!$B$2:$B$6,$B30))))</f>
        <v>2.34</v>
      </c>
      <c r="G30" s="0" t="n">
        <f aca="false">IF(AND(IF($B30="Trash",INDEX('Materials Master'!$F$2:$F$20,MATCH($C30,'Materials Master'!$A$2:$A$20,0)),IF($B30="GMPC Recycling",INDEX('Materials Master'!$G$2:$G$20,MATCH($C30,'Materials Master'!$A$2:$A$20,0)),IF($B30="Organics Recycling",INDEX('Materials Master'!$H$2:$H$20,MATCH($C30,'Materials Master'!$A$2:$A$20,0)),IF($B30="Cardboard Recycling",INDEX('Materials Master'!$I$2:$I$20,MATCH($C30,'Materials Master'!$A$2:$A$20,0)),IF($B30="Paper Recycling",INDEX('Materials Master'!$J$2:$J$20,MATCH($C30,'Materials Master'!$A$2:$A$20,0)),IF($B30="Terracycle",INDEX('Materials Master'!$K$2:$K$20,MATCH($C30,'Materials Master'!$A$2:$A$20,0)),"No"))))))="Yes",INDEX('Materials Master'!$E$2:$E$20,MATCH($C30,'Materials Master'!$A$2:$A$20,0))="Yes",$B30&lt;&gt;"Trash"),1,0)</f>
        <v>1</v>
      </c>
      <c r="H30" s="0" t="str">
        <f aca="false">INDEX('Materials Master'!$E$2:$E$20,MATCH($C30,'Materials Master'!$A$2:$A$20,0))</f>
        <v>Yes</v>
      </c>
      <c r="I30" s="0" t="str">
        <f aca="false">IFERROR(INDEX(Areas!$C$2:$C$3,MATCH($A30,Areas!$B$2:$B$3,0)),"")</f>
        <v>Cafeteria</v>
      </c>
      <c r="J30" s="0" t="n">
        <f aca="false">IF(IF($B30="Trash",INDEX('Materials Master'!$F$2:$F$20,MATCH($C30,'Materials Master'!$A$2:$A$20,0)),IF($B30="GMPC Recycling",INDEX('Materials Master'!$G$2:$G$20,MATCH($C30,'Materials Master'!$A$2:$A$20,0)),IF($B30="Organics Recycling",INDEX('Materials Master'!$H$2:$H$20,MATCH($C30,'Materials Master'!$A$2:$A$20,0)),IF($B30="Cardboard Recycling",INDEX('Materials Master'!$I$2:$I$20,MATCH($C30,'Materials Master'!$A$2:$A$20,0)),IF($B30="Paper Recycling",INDEX('Materials Master'!$J$2:$J$20,MATCH($C30,'Materials Master'!$A$2:$A$20,0)),IF($B30="Terracycle",INDEX('Materials Master'!$K$2:$K$20,MATCH($C30,'Materials Master'!$A$2:$A$20,0)),"No"))))))="Yes",1,0)</f>
        <v>1</v>
      </c>
    </row>
    <row r="31" customFormat="false" ht="15" hidden="false" customHeight="false" outlineLevel="0" collapsed="false">
      <c r="A31" s="0" t="s">
        <v>79</v>
      </c>
      <c r="B31" s="0" t="s">
        <v>84</v>
      </c>
      <c r="C31" s="0" t="s">
        <v>54</v>
      </c>
      <c r="D31" s="0" t="str">
        <f aca="false">IFERROR(INDEX('Materials Master'!$B$2:$B$20,MATCH($C31,'Materials Master'!$A$2:$A$20,0)),"")</f>
        <v>Soiled Rigid Plastics</v>
      </c>
      <c r="E31" s="0" t="str">
        <f aca="false">IFERROR(INDEX('Materials Master'!$C$2:$C$20,MATCH($C31,'Materials Master'!$A$2:$A$20,0)),"")</f>
        <v>Plastics</v>
      </c>
      <c r="F31" s="0" t="n">
        <f aca="false">IF(SUMIFS(Fact_SortedWeights!$E$2:$E$67,Fact_SortedWeights!$C$2:$C$67,$A31,Fact_SortedWeights!$B$2:$B$67,$B31)=0,0,SUMIFS(Fact_SortedWeights!$E$2:$E$67,Fact_SortedWeights!$C$2:$C$67,$A31,Fact_SortedWeights!$B$2:$B$67,$B31,Fact_SortedWeights!$D$2:$D$67,$C31)/SUMIFS(Fact_SortedWeights!$E$2:$E$67,Fact_SortedWeights!$C$2:$C$67,$A31,Fact_SortedWeights!$B$2:$B$67,$B31)*(IF($B31="Cardboard Recycling",SUMIFS(Fact_SortedWeights!$E$2:$E$67,Fact_SortedWeights!$C$2:$C$67,$A31,Fact_SortedWeights!$B$2:$B$67,$B31),SUMIFS(Fact_PreSortWeights!$E$2:$E$6,Fact_PreSortWeights!$C$2:$C$6,$A31,Fact_PreSortWeights!$B$2:$B$6,$B31))))</f>
        <v>0.53</v>
      </c>
      <c r="G31" s="0" t="n">
        <f aca="false">IF(AND(IF($B31="Trash",INDEX('Materials Master'!$F$2:$F$20,MATCH($C31,'Materials Master'!$A$2:$A$20,0)),IF($B31="GMPC Recycling",INDEX('Materials Master'!$G$2:$G$20,MATCH($C31,'Materials Master'!$A$2:$A$20,0)),IF($B31="Organics Recycling",INDEX('Materials Master'!$H$2:$H$20,MATCH($C31,'Materials Master'!$A$2:$A$20,0)),IF($B31="Cardboard Recycling",INDEX('Materials Master'!$I$2:$I$20,MATCH($C31,'Materials Master'!$A$2:$A$20,0)),IF($B31="Paper Recycling",INDEX('Materials Master'!$J$2:$J$20,MATCH($C31,'Materials Master'!$A$2:$A$20,0)),IF($B31="Terracycle",INDEX('Materials Master'!$K$2:$K$20,MATCH($C31,'Materials Master'!$A$2:$A$20,0)),"No"))))))="Yes",INDEX('Materials Master'!$E$2:$E$20,MATCH($C31,'Materials Master'!$A$2:$A$20,0))="Yes",$B31&lt;&gt;"Trash"),1,0)</f>
        <v>0</v>
      </c>
      <c r="H31" s="0" t="str">
        <f aca="false">INDEX('Materials Master'!$E$2:$E$20,MATCH($C31,'Materials Master'!$A$2:$A$20,0))</f>
        <v>No</v>
      </c>
      <c r="I31" s="0" t="str">
        <f aca="false">IFERROR(INDEX(Areas!$C$2:$C$3,MATCH($A31,Areas!$B$2:$B$3,0)),"")</f>
        <v>Cafeteria</v>
      </c>
      <c r="J31" s="0" t="n">
        <f aca="false">IF(IF($B31="Trash",INDEX('Materials Master'!$F$2:$F$20,MATCH($C31,'Materials Master'!$A$2:$A$20,0)),IF($B31="GMPC Recycling",INDEX('Materials Master'!$G$2:$G$20,MATCH($C31,'Materials Master'!$A$2:$A$20,0)),IF($B31="Organics Recycling",INDEX('Materials Master'!$H$2:$H$20,MATCH($C31,'Materials Master'!$A$2:$A$20,0)),IF($B31="Cardboard Recycling",INDEX('Materials Master'!$I$2:$I$20,MATCH($C31,'Materials Master'!$A$2:$A$20,0)),IF($B31="Paper Recycling",INDEX('Materials Master'!$J$2:$J$20,MATCH($C31,'Materials Master'!$A$2:$A$20,0)),IF($B31="Terracycle",INDEX('Materials Master'!$K$2:$K$20,MATCH($C31,'Materials Master'!$A$2:$A$20,0)),"No"))))))="Yes",1,0)</f>
        <v>0</v>
      </c>
    </row>
    <row r="32" customFormat="false" ht="15" hidden="false" customHeight="false" outlineLevel="0" collapsed="false">
      <c r="A32" s="0" t="s">
        <v>79</v>
      </c>
      <c r="B32" s="0" t="s">
        <v>84</v>
      </c>
      <c r="C32" s="0" t="s">
        <v>56</v>
      </c>
      <c r="D32" s="0" t="str">
        <f aca="false">IFERROR(INDEX('Materials Master'!$B$2:$B$20,MATCH($C32,'Materials Master'!$A$2:$A$20,0)),"")</f>
        <v>Film Plastics</v>
      </c>
      <c r="E32" s="0" t="str">
        <f aca="false">IFERROR(INDEX('Materials Master'!$C$2:$C$20,MATCH($C32,'Materials Master'!$A$2:$A$20,0)),"")</f>
        <v>Plastics</v>
      </c>
      <c r="F32" s="0" t="n">
        <f aca="false">IF(SUMIFS(Fact_SortedWeights!$E$2:$E$67,Fact_SortedWeights!$C$2:$C$67,$A32,Fact_SortedWeights!$B$2:$B$67,$B32)=0,0,SUMIFS(Fact_SortedWeights!$E$2:$E$67,Fact_SortedWeights!$C$2:$C$67,$A32,Fact_SortedWeights!$B$2:$B$67,$B32,Fact_SortedWeights!$D$2:$D$67,$C32)/SUMIFS(Fact_SortedWeights!$E$2:$E$67,Fact_SortedWeights!$C$2:$C$67,$A32,Fact_SortedWeights!$B$2:$B$67,$B32)*(IF($B32="Cardboard Recycling",SUMIFS(Fact_SortedWeights!$E$2:$E$67,Fact_SortedWeights!$C$2:$C$67,$A32,Fact_SortedWeights!$B$2:$B$67,$B32),SUMIFS(Fact_PreSortWeights!$E$2:$E$6,Fact_PreSortWeights!$C$2:$C$6,$A32,Fact_PreSortWeights!$B$2:$B$6,$B32))))</f>
        <v>0.96</v>
      </c>
      <c r="G32" s="0" t="n">
        <f aca="false">IF(AND(IF($B32="Trash",INDEX('Materials Master'!$F$2:$F$20,MATCH($C32,'Materials Master'!$A$2:$A$20,0)),IF($B32="GMPC Recycling",INDEX('Materials Master'!$G$2:$G$20,MATCH($C32,'Materials Master'!$A$2:$A$20,0)),IF($B32="Organics Recycling",INDEX('Materials Master'!$H$2:$H$20,MATCH($C32,'Materials Master'!$A$2:$A$20,0)),IF($B32="Cardboard Recycling",INDEX('Materials Master'!$I$2:$I$20,MATCH($C32,'Materials Master'!$A$2:$A$20,0)),IF($B32="Paper Recycling",INDEX('Materials Master'!$J$2:$J$20,MATCH($C32,'Materials Master'!$A$2:$A$20,0)),IF($B32="Terracycle",INDEX('Materials Master'!$K$2:$K$20,MATCH($C32,'Materials Master'!$A$2:$A$20,0)),"No"))))))="Yes",INDEX('Materials Master'!$E$2:$E$20,MATCH($C32,'Materials Master'!$A$2:$A$20,0))="Yes",$B32&lt;&gt;"Trash"),1,0)</f>
        <v>0</v>
      </c>
      <c r="H32" s="0" t="str">
        <f aca="false">INDEX('Materials Master'!$E$2:$E$20,MATCH($C32,'Materials Master'!$A$2:$A$20,0))</f>
        <v>No</v>
      </c>
      <c r="I32" s="0" t="str">
        <f aca="false">IFERROR(INDEX(Areas!$C$2:$C$3,MATCH($A32,Areas!$B$2:$B$3,0)),"")</f>
        <v>Cafeteria</v>
      </c>
      <c r="J32" s="0" t="n">
        <f aca="false">IF(IF($B32="Trash",INDEX('Materials Master'!$F$2:$F$20,MATCH($C32,'Materials Master'!$A$2:$A$20,0)),IF($B32="GMPC Recycling",INDEX('Materials Master'!$G$2:$G$20,MATCH($C32,'Materials Master'!$A$2:$A$20,0)),IF($B32="Organics Recycling",INDEX('Materials Master'!$H$2:$H$20,MATCH($C32,'Materials Master'!$A$2:$A$20,0)),IF($B32="Cardboard Recycling",INDEX('Materials Master'!$I$2:$I$20,MATCH($C32,'Materials Master'!$A$2:$A$20,0)),IF($B32="Paper Recycling",INDEX('Materials Master'!$J$2:$J$20,MATCH($C32,'Materials Master'!$A$2:$A$20,0)),IF($B32="Terracycle",INDEX('Materials Master'!$K$2:$K$20,MATCH($C32,'Materials Master'!$A$2:$A$20,0)),"No"))))))="Yes",1,0)</f>
        <v>0</v>
      </c>
    </row>
    <row r="33" customFormat="false" ht="15" hidden="false" customHeight="false" outlineLevel="0" collapsed="false">
      <c r="A33" s="0" t="s">
        <v>79</v>
      </c>
      <c r="B33" s="0" t="s">
        <v>84</v>
      </c>
      <c r="C33" s="0" t="s">
        <v>58</v>
      </c>
      <c r="D33" s="0" t="str">
        <f aca="false">IFERROR(INDEX('Materials Master'!$B$2:$B$20,MATCH($C33,'Materials Master'!$A$2:$A$20,0)),"")</f>
        <v>Waste Disposal Bags</v>
      </c>
      <c r="E33" s="0" t="str">
        <f aca="false">IFERROR(INDEX('Materials Master'!$C$2:$C$20,MATCH($C33,'Materials Master'!$A$2:$A$20,0)),"")</f>
        <v>Plastics</v>
      </c>
      <c r="F33" s="0" t="n">
        <f aca="false">IF(SUMIFS(Fact_SortedWeights!$E$2:$E$67,Fact_SortedWeights!$C$2:$C$67,$A33,Fact_SortedWeights!$B$2:$B$67,$B33)=0,0,SUMIFS(Fact_SortedWeights!$E$2:$E$67,Fact_SortedWeights!$C$2:$C$67,$A33,Fact_SortedWeights!$B$2:$B$67,$B33,Fact_SortedWeights!$D$2:$D$67,$C33)/SUMIFS(Fact_SortedWeights!$E$2:$E$67,Fact_SortedWeights!$C$2:$C$67,$A33,Fact_SortedWeights!$B$2:$B$67,$B33)*(IF($B33="Cardboard Recycling",SUMIFS(Fact_SortedWeights!$E$2:$E$67,Fact_SortedWeights!$C$2:$C$67,$A33,Fact_SortedWeights!$B$2:$B$67,$B33),SUMIFS(Fact_PreSortWeights!$E$2:$E$6,Fact_PreSortWeights!$C$2:$C$6,$A33,Fact_PreSortWeights!$B$2:$B$6,$B33))))</f>
        <v>0.96</v>
      </c>
      <c r="G33" s="0" t="n">
        <f aca="false">IF(AND(IF($B33="Trash",INDEX('Materials Master'!$F$2:$F$20,MATCH($C33,'Materials Master'!$A$2:$A$20,0)),IF($B33="GMPC Recycling",INDEX('Materials Master'!$G$2:$G$20,MATCH($C33,'Materials Master'!$A$2:$A$20,0)),IF($B33="Organics Recycling",INDEX('Materials Master'!$H$2:$H$20,MATCH($C33,'Materials Master'!$A$2:$A$20,0)),IF($B33="Cardboard Recycling",INDEX('Materials Master'!$I$2:$I$20,MATCH($C33,'Materials Master'!$A$2:$A$20,0)),IF($B33="Paper Recycling",INDEX('Materials Master'!$J$2:$J$20,MATCH($C33,'Materials Master'!$A$2:$A$20,0)),IF($B33="Terracycle",INDEX('Materials Master'!$K$2:$K$20,MATCH($C33,'Materials Master'!$A$2:$A$20,0)),"No"))))))="Yes",INDEX('Materials Master'!$E$2:$E$20,MATCH($C33,'Materials Master'!$A$2:$A$20,0))="Yes",$B33&lt;&gt;"Trash"),1,0)</f>
        <v>0</v>
      </c>
      <c r="H33" s="0" t="str">
        <f aca="false">INDEX('Materials Master'!$E$2:$E$20,MATCH($C33,'Materials Master'!$A$2:$A$20,0))</f>
        <v>No</v>
      </c>
      <c r="I33" s="0" t="str">
        <f aca="false">IFERROR(INDEX(Areas!$C$2:$C$3,MATCH($A33,Areas!$B$2:$B$3,0)),"")</f>
        <v>Cafeteria</v>
      </c>
      <c r="J33" s="0" t="n">
        <f aca="false">IF(IF($B33="Trash",INDEX('Materials Master'!$F$2:$F$20,MATCH($C33,'Materials Master'!$A$2:$A$20,0)),IF($B33="GMPC Recycling",INDEX('Materials Master'!$G$2:$G$20,MATCH($C33,'Materials Master'!$A$2:$A$20,0)),IF($B33="Organics Recycling",INDEX('Materials Master'!$H$2:$H$20,MATCH($C33,'Materials Master'!$A$2:$A$20,0)),IF($B33="Cardboard Recycling",INDEX('Materials Master'!$I$2:$I$20,MATCH($C33,'Materials Master'!$A$2:$A$20,0)),IF($B33="Paper Recycling",INDEX('Materials Master'!$J$2:$J$20,MATCH($C33,'Materials Master'!$A$2:$A$20,0)),IF($B33="Terracycle",INDEX('Materials Master'!$K$2:$K$20,MATCH($C33,'Materials Master'!$A$2:$A$20,0)),"No"))))))="Yes",1,0)</f>
        <v>0</v>
      </c>
    </row>
    <row r="34" customFormat="false" ht="15" hidden="false" customHeight="false" outlineLevel="0" collapsed="false">
      <c r="A34" s="0" t="s">
        <v>79</v>
      </c>
      <c r="B34" s="0" t="s">
        <v>84</v>
      </c>
      <c r="C34" s="0" t="s">
        <v>60</v>
      </c>
      <c r="D34" s="0" t="str">
        <f aca="false">IFERROR(INDEX('Materials Master'!$B$2:$B$20,MATCH($C34,'Materials Master'!$A$2:$A$20,0)),"")</f>
        <v>Food Waste</v>
      </c>
      <c r="E34" s="0" t="str">
        <f aca="false">IFERROR(INDEX('Materials Master'!$C$2:$C$20,MATCH($C34,'Materials Master'!$A$2:$A$20,0)),"")</f>
        <v>Organics</v>
      </c>
      <c r="F34" s="0" t="n">
        <f aca="false">IF(SUMIFS(Fact_SortedWeights!$E$2:$E$67,Fact_SortedWeights!$C$2:$C$67,$A34,Fact_SortedWeights!$B$2:$B$67,$B34)=0,0,SUMIFS(Fact_SortedWeights!$E$2:$E$67,Fact_SortedWeights!$C$2:$C$67,$A34,Fact_SortedWeights!$B$2:$B$67,$B34,Fact_SortedWeights!$D$2:$D$67,$C34)/SUMIFS(Fact_SortedWeights!$E$2:$E$67,Fact_SortedWeights!$C$2:$C$67,$A34,Fact_SortedWeights!$B$2:$B$67,$B34)*(IF($B34="Cardboard Recycling",SUMIFS(Fact_SortedWeights!$E$2:$E$67,Fact_SortedWeights!$C$2:$C$67,$A34,Fact_SortedWeights!$B$2:$B$67,$B34),SUMIFS(Fact_PreSortWeights!$E$2:$E$6,Fact_PreSortWeights!$C$2:$C$6,$A34,Fact_PreSortWeights!$B$2:$B$6,$B34))))</f>
        <v>2.34</v>
      </c>
      <c r="G34" s="0" t="n">
        <f aca="false">IF(AND(IF($B34="Trash",INDEX('Materials Master'!$F$2:$F$20,MATCH($C34,'Materials Master'!$A$2:$A$20,0)),IF($B34="GMPC Recycling",INDEX('Materials Master'!$G$2:$G$20,MATCH($C34,'Materials Master'!$A$2:$A$20,0)),IF($B34="Organics Recycling",INDEX('Materials Master'!$H$2:$H$20,MATCH($C34,'Materials Master'!$A$2:$A$20,0)),IF($B34="Cardboard Recycling",INDEX('Materials Master'!$I$2:$I$20,MATCH($C34,'Materials Master'!$A$2:$A$20,0)),IF($B34="Paper Recycling",INDEX('Materials Master'!$J$2:$J$20,MATCH($C34,'Materials Master'!$A$2:$A$20,0)),IF($B34="Terracycle",INDEX('Materials Master'!$K$2:$K$20,MATCH($C34,'Materials Master'!$A$2:$A$20,0)),"No"))))))="Yes",INDEX('Materials Master'!$E$2:$E$20,MATCH($C34,'Materials Master'!$A$2:$A$20,0))="Yes",$B34&lt;&gt;"Trash"),1,0)</f>
        <v>0</v>
      </c>
      <c r="H34" s="0" t="str">
        <f aca="false">INDEX('Materials Master'!$E$2:$E$20,MATCH($C34,'Materials Master'!$A$2:$A$20,0))</f>
        <v>Yes</v>
      </c>
      <c r="I34" s="0" t="str">
        <f aca="false">IFERROR(INDEX(Areas!$C$2:$C$3,MATCH($A34,Areas!$B$2:$B$3,0)),"")</f>
        <v>Cafeteria</v>
      </c>
      <c r="J34" s="0" t="n">
        <f aca="false">IF(IF($B34="Trash",INDEX('Materials Master'!$F$2:$F$20,MATCH($C34,'Materials Master'!$A$2:$A$20,0)),IF($B34="GMPC Recycling",INDEX('Materials Master'!$G$2:$G$20,MATCH($C34,'Materials Master'!$A$2:$A$20,0)),IF($B34="Organics Recycling",INDEX('Materials Master'!$H$2:$H$20,MATCH($C34,'Materials Master'!$A$2:$A$20,0)),IF($B34="Cardboard Recycling",INDEX('Materials Master'!$I$2:$I$20,MATCH($C34,'Materials Master'!$A$2:$A$20,0)),IF($B34="Paper Recycling",INDEX('Materials Master'!$J$2:$J$20,MATCH($C34,'Materials Master'!$A$2:$A$20,0)),IF($B34="Terracycle",INDEX('Materials Master'!$K$2:$K$20,MATCH($C34,'Materials Master'!$A$2:$A$20,0)),"No"))))))="Yes",1,0)</f>
        <v>0</v>
      </c>
    </row>
    <row r="35" customFormat="false" ht="15" hidden="false" customHeight="false" outlineLevel="0" collapsed="false">
      <c r="A35" s="0" t="s">
        <v>79</v>
      </c>
      <c r="B35" s="0" t="s">
        <v>84</v>
      </c>
      <c r="C35" s="0" t="s">
        <v>63</v>
      </c>
      <c r="D35" s="0" t="str">
        <f aca="false">IFERROR(INDEX('Materials Master'!$B$2:$B$20,MATCH($C35,'Materials Master'!$A$2:$A$20,0)),"")</f>
        <v>Paper Fibers and FSP</v>
      </c>
      <c r="E35" s="0" t="str">
        <f aca="false">IFERROR(INDEX('Materials Master'!$C$2:$C$20,MATCH($C35,'Materials Master'!$A$2:$A$20,0)),"")</f>
        <v>Organics</v>
      </c>
      <c r="F35" s="0" t="n">
        <f aca="false">IF(SUMIFS(Fact_SortedWeights!$E$2:$E$67,Fact_SortedWeights!$C$2:$C$67,$A35,Fact_SortedWeights!$B$2:$B$67,$B35)=0,0,SUMIFS(Fact_SortedWeights!$E$2:$E$67,Fact_SortedWeights!$C$2:$C$67,$A35,Fact_SortedWeights!$B$2:$B$67,$B35,Fact_SortedWeights!$D$2:$D$67,$C35)/SUMIFS(Fact_SortedWeights!$E$2:$E$67,Fact_SortedWeights!$C$2:$C$67,$A35,Fact_SortedWeights!$B$2:$B$67,$B35)*(IF($B35="Cardboard Recycling",SUMIFS(Fact_SortedWeights!$E$2:$E$67,Fact_SortedWeights!$C$2:$C$67,$A35,Fact_SortedWeights!$B$2:$B$67,$B35),SUMIFS(Fact_PreSortWeights!$E$2:$E$6,Fact_PreSortWeights!$C$2:$C$6,$A35,Fact_PreSortWeights!$B$2:$B$6,$B35))))</f>
        <v>0.43</v>
      </c>
      <c r="G35" s="0" t="n">
        <f aca="false">IF(AND(IF($B35="Trash",INDEX('Materials Master'!$F$2:$F$20,MATCH($C35,'Materials Master'!$A$2:$A$20,0)),IF($B35="GMPC Recycling",INDEX('Materials Master'!$G$2:$G$20,MATCH($C35,'Materials Master'!$A$2:$A$20,0)),IF($B35="Organics Recycling",INDEX('Materials Master'!$H$2:$H$20,MATCH($C35,'Materials Master'!$A$2:$A$20,0)),IF($B35="Cardboard Recycling",INDEX('Materials Master'!$I$2:$I$20,MATCH($C35,'Materials Master'!$A$2:$A$20,0)),IF($B35="Paper Recycling",INDEX('Materials Master'!$J$2:$J$20,MATCH($C35,'Materials Master'!$A$2:$A$20,0)),IF($B35="Terracycle",INDEX('Materials Master'!$K$2:$K$20,MATCH($C35,'Materials Master'!$A$2:$A$20,0)),"No"))))))="Yes",INDEX('Materials Master'!$E$2:$E$20,MATCH($C35,'Materials Master'!$A$2:$A$20,0))="Yes",$B35&lt;&gt;"Trash"),1,0)</f>
        <v>0</v>
      </c>
      <c r="H35" s="0" t="str">
        <f aca="false">INDEX('Materials Master'!$E$2:$E$20,MATCH($C35,'Materials Master'!$A$2:$A$20,0))</f>
        <v>No</v>
      </c>
      <c r="I35" s="0" t="str">
        <f aca="false">IFERROR(INDEX(Areas!$C$2:$C$3,MATCH($A35,Areas!$B$2:$B$3,0)),"")</f>
        <v>Cafeteria</v>
      </c>
      <c r="J35" s="0" t="n">
        <f aca="false">IF(IF($B35="Trash",INDEX('Materials Master'!$F$2:$F$20,MATCH($C35,'Materials Master'!$A$2:$A$20,0)),IF($B35="GMPC Recycling",INDEX('Materials Master'!$G$2:$G$20,MATCH($C35,'Materials Master'!$A$2:$A$20,0)),IF($B35="Organics Recycling",INDEX('Materials Master'!$H$2:$H$20,MATCH($C35,'Materials Master'!$A$2:$A$20,0)),IF($B35="Cardboard Recycling",INDEX('Materials Master'!$I$2:$I$20,MATCH($C35,'Materials Master'!$A$2:$A$20,0)),IF($B35="Paper Recycling",INDEX('Materials Master'!$J$2:$J$20,MATCH($C35,'Materials Master'!$A$2:$A$20,0)),IF($B35="Terracycle",INDEX('Materials Master'!$K$2:$K$20,MATCH($C35,'Materials Master'!$A$2:$A$20,0)),"No"))))))="Yes",1,0)</f>
        <v>0</v>
      </c>
    </row>
    <row r="36" customFormat="false" ht="15" hidden="false" customHeight="false" outlineLevel="0" collapsed="false">
      <c r="A36" s="0" t="s">
        <v>79</v>
      </c>
      <c r="B36" s="0" t="s">
        <v>84</v>
      </c>
      <c r="C36" s="0" t="s">
        <v>65</v>
      </c>
      <c r="D36" s="0" t="str">
        <f aca="false">IFERROR(INDEX('Materials Master'!$B$2:$B$20,MATCH($C36,'Materials Master'!$A$2:$A$20,0)),"")</f>
        <v>Certified Compostables</v>
      </c>
      <c r="E36" s="0" t="str">
        <f aca="false">IFERROR(INDEX('Materials Master'!$C$2:$C$20,MATCH($C36,'Materials Master'!$A$2:$A$20,0)),"")</f>
        <v>Organics</v>
      </c>
      <c r="F36" s="0" t="n">
        <f aca="false">IF(SUMIFS(Fact_SortedWeights!$E$2:$E$67,Fact_SortedWeights!$C$2:$C$67,$A36,Fact_SortedWeights!$B$2:$B$67,$B36)=0,0,SUMIFS(Fact_SortedWeights!$E$2:$E$67,Fact_SortedWeights!$C$2:$C$67,$A36,Fact_SortedWeights!$B$2:$B$67,$B36,Fact_SortedWeights!$D$2:$D$67,$C36)/SUMIFS(Fact_SortedWeights!$E$2:$E$67,Fact_SortedWeights!$C$2:$C$67,$A36,Fact_SortedWeights!$B$2:$B$67,$B36)*(IF($B36="Cardboard Recycling",SUMIFS(Fact_SortedWeights!$E$2:$E$67,Fact_SortedWeights!$C$2:$C$67,$A36,Fact_SortedWeights!$B$2:$B$67,$B36),SUMIFS(Fact_PreSortWeights!$E$2:$E$6,Fact_PreSortWeights!$C$2:$C$6,$A36,Fact_PreSortWeights!$B$2:$B$6,$B36))))</f>
        <v>1.17</v>
      </c>
      <c r="G36" s="0" t="n">
        <f aca="false">IF(AND(IF($B36="Trash",INDEX('Materials Master'!$F$2:$F$20,MATCH($C36,'Materials Master'!$A$2:$A$20,0)),IF($B36="GMPC Recycling",INDEX('Materials Master'!$G$2:$G$20,MATCH($C36,'Materials Master'!$A$2:$A$20,0)),IF($B36="Organics Recycling",INDEX('Materials Master'!$H$2:$H$20,MATCH($C36,'Materials Master'!$A$2:$A$20,0)),IF($B36="Cardboard Recycling",INDEX('Materials Master'!$I$2:$I$20,MATCH($C36,'Materials Master'!$A$2:$A$20,0)),IF($B36="Paper Recycling",INDEX('Materials Master'!$J$2:$J$20,MATCH($C36,'Materials Master'!$A$2:$A$20,0)),IF($B36="Terracycle",INDEX('Materials Master'!$K$2:$K$20,MATCH($C36,'Materials Master'!$A$2:$A$20,0)),"No"))))))="Yes",INDEX('Materials Master'!$E$2:$E$20,MATCH($C36,'Materials Master'!$A$2:$A$20,0))="Yes",$B36&lt;&gt;"Trash"),1,0)</f>
        <v>0</v>
      </c>
      <c r="H36" s="0" t="str">
        <f aca="false">INDEX('Materials Master'!$E$2:$E$20,MATCH($C36,'Materials Master'!$A$2:$A$20,0))</f>
        <v>No</v>
      </c>
      <c r="I36" s="0" t="str">
        <f aca="false">IFERROR(INDEX(Areas!$C$2:$C$3,MATCH($A36,Areas!$B$2:$B$3,0)),"")</f>
        <v>Cafeteria</v>
      </c>
      <c r="J36" s="0" t="n">
        <f aca="false">IF(IF($B36="Trash",INDEX('Materials Master'!$F$2:$F$20,MATCH($C36,'Materials Master'!$A$2:$A$20,0)),IF($B36="GMPC Recycling",INDEX('Materials Master'!$G$2:$G$20,MATCH($C36,'Materials Master'!$A$2:$A$20,0)),IF($B36="Organics Recycling",INDEX('Materials Master'!$H$2:$H$20,MATCH($C36,'Materials Master'!$A$2:$A$20,0)),IF($B36="Cardboard Recycling",INDEX('Materials Master'!$I$2:$I$20,MATCH($C36,'Materials Master'!$A$2:$A$20,0)),IF($B36="Paper Recycling",INDEX('Materials Master'!$J$2:$J$20,MATCH($C36,'Materials Master'!$A$2:$A$20,0)),IF($B36="Terracycle",INDEX('Materials Master'!$K$2:$K$20,MATCH($C36,'Materials Master'!$A$2:$A$20,0)),"No"))))))="Yes",1,0)</f>
        <v>0</v>
      </c>
    </row>
    <row r="37" customFormat="false" ht="15" hidden="false" customHeight="false" outlineLevel="0" collapsed="false">
      <c r="A37" s="0" t="s">
        <v>79</v>
      </c>
      <c r="B37" s="0" t="s">
        <v>84</v>
      </c>
      <c r="C37" s="0" t="s">
        <v>67</v>
      </c>
      <c r="D37" s="0" t="str">
        <f aca="false">IFERROR(INDEX('Materials Master'!$B$2:$B$20,MATCH($C37,'Materials Master'!$A$2:$A$20,0)),"")</f>
        <v>Textiles</v>
      </c>
      <c r="E37" s="0" t="str">
        <f aca="false">IFERROR(INDEX('Materials Master'!$C$2:$C$20,MATCH($C37,'Materials Master'!$A$2:$A$20,0)),"")</f>
        <v>Unacceptable</v>
      </c>
      <c r="F37" s="0" t="n">
        <f aca="false">IF(SUMIFS(Fact_SortedWeights!$E$2:$E$67,Fact_SortedWeights!$C$2:$C$67,$A37,Fact_SortedWeights!$B$2:$B$67,$B37)=0,0,SUMIFS(Fact_SortedWeights!$E$2:$E$67,Fact_SortedWeights!$C$2:$C$67,$A37,Fact_SortedWeights!$B$2:$B$67,$B37,Fact_SortedWeights!$D$2:$D$67,$C37)/SUMIFS(Fact_SortedWeights!$E$2:$E$67,Fact_SortedWeights!$C$2:$C$67,$A37,Fact_SortedWeights!$B$2:$B$67,$B37)*(IF($B37="Cardboard Recycling",SUMIFS(Fact_SortedWeights!$E$2:$E$67,Fact_SortedWeights!$C$2:$C$67,$A37,Fact_SortedWeights!$B$2:$B$67,$B37),SUMIFS(Fact_PreSortWeights!$E$2:$E$6,Fact_PreSortWeights!$C$2:$C$6,$A37,Fact_PreSortWeights!$B$2:$B$6,$B37))))</f>
        <v>0</v>
      </c>
      <c r="G37" s="0" t="n">
        <f aca="false">IF(AND(IF($B37="Trash",INDEX('Materials Master'!$F$2:$F$20,MATCH($C37,'Materials Master'!$A$2:$A$20,0)),IF($B37="GMPC Recycling",INDEX('Materials Master'!$G$2:$G$20,MATCH($C37,'Materials Master'!$A$2:$A$20,0)),IF($B37="Organics Recycling",INDEX('Materials Master'!$H$2:$H$20,MATCH($C37,'Materials Master'!$A$2:$A$20,0)),IF($B37="Cardboard Recycling",INDEX('Materials Master'!$I$2:$I$20,MATCH($C37,'Materials Master'!$A$2:$A$20,0)),IF($B37="Paper Recycling",INDEX('Materials Master'!$J$2:$J$20,MATCH($C37,'Materials Master'!$A$2:$A$20,0)),IF($B37="Terracycle",INDEX('Materials Master'!$K$2:$K$20,MATCH($C37,'Materials Master'!$A$2:$A$20,0)),"No"))))))="Yes",INDEX('Materials Master'!$E$2:$E$20,MATCH($C37,'Materials Master'!$A$2:$A$20,0))="Yes",$B37&lt;&gt;"Trash"),1,0)</f>
        <v>0</v>
      </c>
      <c r="H37" s="0" t="str">
        <f aca="false">INDEX('Materials Master'!$E$2:$E$20,MATCH($C37,'Materials Master'!$A$2:$A$20,0))</f>
        <v>No</v>
      </c>
      <c r="I37" s="0" t="str">
        <f aca="false">IFERROR(INDEX(Areas!$C$2:$C$3,MATCH($A37,Areas!$B$2:$B$3,0)),"")</f>
        <v>Cafeteria</v>
      </c>
      <c r="J37" s="0" t="n">
        <f aca="false">IF(IF($B37="Trash",INDEX('Materials Master'!$F$2:$F$20,MATCH($C37,'Materials Master'!$A$2:$A$20,0)),IF($B37="GMPC Recycling",INDEX('Materials Master'!$G$2:$G$20,MATCH($C37,'Materials Master'!$A$2:$A$20,0)),IF($B37="Organics Recycling",INDEX('Materials Master'!$H$2:$H$20,MATCH($C37,'Materials Master'!$A$2:$A$20,0)),IF($B37="Cardboard Recycling",INDEX('Materials Master'!$I$2:$I$20,MATCH($C37,'Materials Master'!$A$2:$A$20,0)),IF($B37="Paper Recycling",INDEX('Materials Master'!$J$2:$J$20,MATCH($C37,'Materials Master'!$A$2:$A$20,0)),IF($B37="Terracycle",INDEX('Materials Master'!$K$2:$K$20,MATCH($C37,'Materials Master'!$A$2:$A$20,0)),"No"))))))="Yes",1,0)</f>
        <v>0</v>
      </c>
    </row>
    <row r="38" customFormat="false" ht="15" hidden="false" customHeight="false" outlineLevel="0" collapsed="false">
      <c r="A38" s="0" t="s">
        <v>79</v>
      </c>
      <c r="B38" s="0" t="s">
        <v>84</v>
      </c>
      <c r="C38" s="0" t="s">
        <v>70</v>
      </c>
      <c r="D38" s="0" t="str">
        <f aca="false">IFERROR(INDEX('Materials Master'!$B$2:$B$20,MATCH($C38,'Materials Master'!$A$2:$A$20,0)),"")</f>
        <v>Liquids</v>
      </c>
      <c r="E38" s="0" t="str">
        <f aca="false">IFERROR(INDEX('Materials Master'!$C$2:$C$20,MATCH($C38,'Materials Master'!$A$2:$A$20,0)),"")</f>
        <v>Unacceptable</v>
      </c>
      <c r="F38" s="0" t="n">
        <f aca="false">IF(SUMIFS(Fact_SortedWeights!$E$2:$E$67,Fact_SortedWeights!$C$2:$C$67,$A38,Fact_SortedWeights!$B$2:$B$67,$B38)=0,0,SUMIFS(Fact_SortedWeights!$E$2:$E$67,Fact_SortedWeights!$C$2:$C$67,$A38,Fact_SortedWeights!$B$2:$B$67,$B38,Fact_SortedWeights!$D$2:$D$67,$C38)/SUMIFS(Fact_SortedWeights!$E$2:$E$67,Fact_SortedWeights!$C$2:$C$67,$A38,Fact_SortedWeights!$B$2:$B$67,$B38)*(IF($B38="Cardboard Recycling",SUMIFS(Fact_SortedWeights!$E$2:$E$67,Fact_SortedWeights!$C$2:$C$67,$A38,Fact_SortedWeights!$B$2:$B$67,$B38),SUMIFS(Fact_PreSortWeights!$E$2:$E$6,Fact_PreSortWeights!$C$2:$C$6,$A38,Fact_PreSortWeights!$B$2:$B$6,$B38))))</f>
        <v>2.56</v>
      </c>
      <c r="G38" s="0" t="n">
        <f aca="false">IF(AND(IF($B38="Trash",INDEX('Materials Master'!$F$2:$F$20,MATCH($C38,'Materials Master'!$A$2:$A$20,0)),IF($B38="GMPC Recycling",INDEX('Materials Master'!$G$2:$G$20,MATCH($C38,'Materials Master'!$A$2:$A$20,0)),IF($B38="Organics Recycling",INDEX('Materials Master'!$H$2:$H$20,MATCH($C38,'Materials Master'!$A$2:$A$20,0)),IF($B38="Cardboard Recycling",INDEX('Materials Master'!$I$2:$I$20,MATCH($C38,'Materials Master'!$A$2:$A$20,0)),IF($B38="Paper Recycling",INDEX('Materials Master'!$J$2:$J$20,MATCH($C38,'Materials Master'!$A$2:$A$20,0)),IF($B38="Terracycle",INDEX('Materials Master'!$K$2:$K$20,MATCH($C38,'Materials Master'!$A$2:$A$20,0)),"No"))))))="Yes",INDEX('Materials Master'!$E$2:$E$20,MATCH($C38,'Materials Master'!$A$2:$A$20,0))="Yes",$B38&lt;&gt;"Trash"),1,0)</f>
        <v>0</v>
      </c>
      <c r="H38" s="0" t="str">
        <f aca="false">INDEX('Materials Master'!$E$2:$E$20,MATCH($C38,'Materials Master'!$A$2:$A$20,0))</f>
        <v>No</v>
      </c>
      <c r="I38" s="0" t="str">
        <f aca="false">IFERROR(INDEX(Areas!$C$2:$C$3,MATCH($A38,Areas!$B$2:$B$3,0)),"")</f>
        <v>Cafeteria</v>
      </c>
      <c r="J38" s="0" t="n">
        <f aca="false">IF(IF($B38="Trash",INDEX('Materials Master'!$F$2:$F$20,MATCH($C38,'Materials Master'!$A$2:$A$20,0)),IF($B38="GMPC Recycling",INDEX('Materials Master'!$G$2:$G$20,MATCH($C38,'Materials Master'!$A$2:$A$20,0)),IF($B38="Organics Recycling",INDEX('Materials Master'!$H$2:$H$20,MATCH($C38,'Materials Master'!$A$2:$A$20,0)),IF($B38="Cardboard Recycling",INDEX('Materials Master'!$I$2:$I$20,MATCH($C38,'Materials Master'!$A$2:$A$20,0)),IF($B38="Paper Recycling",INDEX('Materials Master'!$J$2:$J$20,MATCH($C38,'Materials Master'!$A$2:$A$20,0)),IF($B38="Terracycle",INDEX('Materials Master'!$K$2:$K$20,MATCH($C38,'Materials Master'!$A$2:$A$20,0)),"No"))))))="Yes",1,0)</f>
        <v>0</v>
      </c>
    </row>
    <row r="39" customFormat="false" ht="15" hidden="false" customHeight="false" outlineLevel="0" collapsed="false">
      <c r="A39" s="0" t="s">
        <v>79</v>
      </c>
      <c r="B39" s="0" t="s">
        <v>84</v>
      </c>
      <c r="C39" s="0" t="s">
        <v>72</v>
      </c>
      <c r="D39" s="0" t="str">
        <f aca="false">IFERROR(INDEX('Materials Master'!$B$2:$B$20,MATCH($C39,'Materials Master'!$A$2:$A$20,0)),"")</f>
        <v>Residual Materials</v>
      </c>
      <c r="E39" s="0" t="str">
        <f aca="false">IFERROR(INDEX('Materials Master'!$C$2:$C$20,MATCH($C39,'Materials Master'!$A$2:$A$20,0)),"")</f>
        <v>Other</v>
      </c>
      <c r="F39" s="0" t="n">
        <f aca="false">IF(SUMIFS(Fact_SortedWeights!$E$2:$E$67,Fact_SortedWeights!$C$2:$C$67,$A39,Fact_SortedWeights!$B$2:$B$67,$B39)=0,0,SUMIFS(Fact_SortedWeights!$E$2:$E$67,Fact_SortedWeights!$C$2:$C$67,$A39,Fact_SortedWeights!$B$2:$B$67,$B39,Fact_SortedWeights!$D$2:$D$67,$C39)/SUMIFS(Fact_SortedWeights!$E$2:$E$67,Fact_SortedWeights!$C$2:$C$67,$A39,Fact_SortedWeights!$B$2:$B$67,$B39)*(IF($B39="Cardboard Recycling",SUMIFS(Fact_SortedWeights!$E$2:$E$67,Fact_SortedWeights!$C$2:$C$67,$A39,Fact_SortedWeights!$B$2:$B$67,$B39),SUMIFS(Fact_PreSortWeights!$E$2:$E$6,Fact_PreSortWeights!$C$2:$C$6,$A39,Fact_PreSortWeights!$B$2:$B$6,$B39))))</f>
        <v>1.39</v>
      </c>
      <c r="G39" s="0" t="n">
        <f aca="false">IF(AND(IF($B39="Trash",INDEX('Materials Master'!$F$2:$F$20,MATCH($C39,'Materials Master'!$A$2:$A$20,0)),IF($B39="GMPC Recycling",INDEX('Materials Master'!$G$2:$G$20,MATCH($C39,'Materials Master'!$A$2:$A$20,0)),IF($B39="Organics Recycling",INDEX('Materials Master'!$H$2:$H$20,MATCH($C39,'Materials Master'!$A$2:$A$20,0)),IF($B39="Cardboard Recycling",INDEX('Materials Master'!$I$2:$I$20,MATCH($C39,'Materials Master'!$A$2:$A$20,0)),IF($B39="Paper Recycling",INDEX('Materials Master'!$J$2:$J$20,MATCH($C39,'Materials Master'!$A$2:$A$20,0)),IF($B39="Terracycle",INDEX('Materials Master'!$K$2:$K$20,MATCH($C39,'Materials Master'!$A$2:$A$20,0)),"No"))))))="Yes",INDEX('Materials Master'!$E$2:$E$20,MATCH($C39,'Materials Master'!$A$2:$A$20,0))="Yes",$B39&lt;&gt;"Trash"),1,0)</f>
        <v>0</v>
      </c>
      <c r="H39" s="0" t="str">
        <f aca="false">INDEX('Materials Master'!$E$2:$E$20,MATCH($C39,'Materials Master'!$A$2:$A$20,0))</f>
        <v>No</v>
      </c>
      <c r="I39" s="0" t="str">
        <f aca="false">IFERROR(INDEX(Areas!$C$2:$C$3,MATCH($A39,Areas!$B$2:$B$3,0)),"")</f>
        <v>Cafeteria</v>
      </c>
      <c r="J39" s="0" t="n">
        <f aca="false">IF(IF($B39="Trash",INDEX('Materials Master'!$F$2:$F$20,MATCH($C39,'Materials Master'!$A$2:$A$20,0)),IF($B39="GMPC Recycling",INDEX('Materials Master'!$G$2:$G$20,MATCH($C39,'Materials Master'!$A$2:$A$20,0)),IF($B39="Organics Recycling",INDEX('Materials Master'!$H$2:$H$20,MATCH($C39,'Materials Master'!$A$2:$A$20,0)),IF($B39="Cardboard Recycling",INDEX('Materials Master'!$I$2:$I$20,MATCH($C39,'Materials Master'!$A$2:$A$20,0)),IF($B39="Paper Recycling",INDEX('Materials Master'!$J$2:$J$20,MATCH($C39,'Materials Master'!$A$2:$A$20,0)),IF($B39="Terracycle",INDEX('Materials Master'!$K$2:$K$20,MATCH($C39,'Materials Master'!$A$2:$A$20,0)),"No"))))))="Yes",1,0)</f>
        <v>0</v>
      </c>
    </row>
    <row r="40" customFormat="false" ht="15" hidden="false" customHeight="false" outlineLevel="0" collapsed="false">
      <c r="A40" s="0" t="s">
        <v>79</v>
      </c>
      <c r="B40" s="0" t="s">
        <v>85</v>
      </c>
      <c r="C40" s="0" t="s">
        <v>28</v>
      </c>
      <c r="D40" s="0" t="str">
        <f aca="false">IFERROR(INDEX('Materials Master'!$B$2:$B$20,MATCH($C40,'Materials Master'!$A$2:$A$20,0)),"")</f>
        <v>Corrugated Cardboard</v>
      </c>
      <c r="E40" s="0" t="str">
        <f aca="false">IFERROR(INDEX('Materials Master'!$C$2:$C$20,MATCH($C40,'Materials Master'!$A$2:$A$20,0)),"")</f>
        <v>Fibers</v>
      </c>
      <c r="F40" s="0" t="n">
        <f aca="false">IF(SUMIFS(Fact_SortedWeights!$E$2:$E$67,Fact_SortedWeights!$C$2:$C$67,$A40,Fact_SortedWeights!$B$2:$B$67,$B40)=0,0,SUMIFS(Fact_SortedWeights!$E$2:$E$67,Fact_SortedWeights!$C$2:$C$67,$A40,Fact_SortedWeights!$B$2:$B$67,$B40,Fact_SortedWeights!$D$2:$D$67,$C40)/SUMIFS(Fact_SortedWeights!$E$2:$E$67,Fact_SortedWeights!$C$2:$C$67,$A40,Fact_SortedWeights!$B$2:$B$67,$B40)*(IF($B40="Cardboard Recycling",SUMIFS(Fact_SortedWeights!$E$2:$E$67,Fact_SortedWeights!$C$2:$C$67,$A40,Fact_SortedWeights!$B$2:$B$67,$B40),SUMIFS(Fact_PreSortWeights!$E$2:$E$6,Fact_PreSortWeights!$C$2:$C$6,$A40,Fact_PreSortWeights!$B$2:$B$6,$B40))))</f>
        <v>0</v>
      </c>
      <c r="G40" s="0" t="n">
        <f aca="false">IF(AND(IF($B40="Trash",INDEX('Materials Master'!$F$2:$F$20,MATCH($C40,'Materials Master'!$A$2:$A$20,0)),IF($B40="GMPC Recycling",INDEX('Materials Master'!$G$2:$G$20,MATCH($C40,'Materials Master'!$A$2:$A$20,0)),IF($B40="Organics Recycling",INDEX('Materials Master'!$H$2:$H$20,MATCH($C40,'Materials Master'!$A$2:$A$20,0)),IF($B40="Cardboard Recycling",INDEX('Materials Master'!$I$2:$I$20,MATCH($C40,'Materials Master'!$A$2:$A$20,0)),IF($B40="Paper Recycling",INDEX('Materials Master'!$J$2:$J$20,MATCH($C40,'Materials Master'!$A$2:$A$20,0)),IF($B40="Terracycle",INDEX('Materials Master'!$K$2:$K$20,MATCH($C40,'Materials Master'!$A$2:$A$20,0)),"No"))))))="Yes",INDEX('Materials Master'!$E$2:$E$20,MATCH($C40,'Materials Master'!$A$2:$A$20,0))="Yes",$B40&lt;&gt;"Trash"),1,0)</f>
        <v>0</v>
      </c>
      <c r="H40" s="0" t="str">
        <f aca="false">INDEX('Materials Master'!$E$2:$E$20,MATCH($C40,'Materials Master'!$A$2:$A$20,0))</f>
        <v>Yes</v>
      </c>
      <c r="I40" s="0" t="str">
        <f aca="false">IFERROR(INDEX(Areas!$C$2:$C$3,MATCH($A40,Areas!$B$2:$B$3,0)),"")</f>
        <v>Cafeteria</v>
      </c>
      <c r="J40" s="0" t="n">
        <f aca="false">IF(IF($B40="Trash",INDEX('Materials Master'!$F$2:$F$20,MATCH($C40,'Materials Master'!$A$2:$A$20,0)),IF($B40="GMPC Recycling",INDEX('Materials Master'!$G$2:$G$20,MATCH($C40,'Materials Master'!$A$2:$A$20,0)),IF($B40="Organics Recycling",INDEX('Materials Master'!$H$2:$H$20,MATCH($C40,'Materials Master'!$A$2:$A$20,0)),IF($B40="Cardboard Recycling",INDEX('Materials Master'!$I$2:$I$20,MATCH($C40,'Materials Master'!$A$2:$A$20,0)),IF($B40="Paper Recycling",INDEX('Materials Master'!$J$2:$J$20,MATCH($C40,'Materials Master'!$A$2:$A$20,0)),IF($B40="Terracycle",INDEX('Materials Master'!$K$2:$K$20,MATCH($C40,'Materials Master'!$A$2:$A$20,0)),"No"))))))="Yes",1,0)</f>
        <v>0</v>
      </c>
    </row>
    <row r="41" customFormat="false" ht="15" hidden="false" customHeight="false" outlineLevel="0" collapsed="false">
      <c r="A41" s="0" t="s">
        <v>79</v>
      </c>
      <c r="B41" s="0" t="s">
        <v>85</v>
      </c>
      <c r="C41" s="0" t="s">
        <v>33</v>
      </c>
      <c r="D41" s="0" t="str">
        <f aca="false">IFERROR(INDEX('Materials Master'!$B$2:$B$20,MATCH($C41,'Materials Master'!$A$2:$A$20,0)),"")</f>
        <v>Waxed Cardboard</v>
      </c>
      <c r="E41" s="0" t="str">
        <f aca="false">IFERROR(INDEX('Materials Master'!$C$2:$C$20,MATCH($C41,'Materials Master'!$A$2:$A$20,0)),"")</f>
        <v>Fibers</v>
      </c>
      <c r="F41" s="0" t="n">
        <f aca="false">IF(SUMIFS(Fact_SortedWeights!$E$2:$E$67,Fact_SortedWeights!$C$2:$C$67,$A41,Fact_SortedWeights!$B$2:$B$67,$B41)=0,0,SUMIFS(Fact_SortedWeights!$E$2:$E$67,Fact_SortedWeights!$C$2:$C$67,$A41,Fact_SortedWeights!$B$2:$B$67,$B41,Fact_SortedWeights!$D$2:$D$67,$C41)/SUMIFS(Fact_SortedWeights!$E$2:$E$67,Fact_SortedWeights!$C$2:$C$67,$A41,Fact_SortedWeights!$B$2:$B$67,$B41)*(IF($B41="Cardboard Recycling",SUMIFS(Fact_SortedWeights!$E$2:$E$67,Fact_SortedWeights!$C$2:$C$67,$A41,Fact_SortedWeights!$B$2:$B$67,$B41),SUMIFS(Fact_PreSortWeights!$E$2:$E$6,Fact_PreSortWeights!$C$2:$C$6,$A41,Fact_PreSortWeights!$B$2:$B$6,$B41))))</f>
        <v>0</v>
      </c>
      <c r="G41" s="0" t="n">
        <f aca="false">IF(AND(IF($B41="Trash",INDEX('Materials Master'!$F$2:$F$20,MATCH($C41,'Materials Master'!$A$2:$A$20,0)),IF($B41="GMPC Recycling",INDEX('Materials Master'!$G$2:$G$20,MATCH($C41,'Materials Master'!$A$2:$A$20,0)),IF($B41="Organics Recycling",INDEX('Materials Master'!$H$2:$H$20,MATCH($C41,'Materials Master'!$A$2:$A$20,0)),IF($B41="Cardboard Recycling",INDEX('Materials Master'!$I$2:$I$20,MATCH($C41,'Materials Master'!$A$2:$A$20,0)),IF($B41="Paper Recycling",INDEX('Materials Master'!$J$2:$J$20,MATCH($C41,'Materials Master'!$A$2:$A$20,0)),IF($B41="Terracycle",INDEX('Materials Master'!$K$2:$K$20,MATCH($C41,'Materials Master'!$A$2:$A$20,0)),"No"))))))="Yes",INDEX('Materials Master'!$E$2:$E$20,MATCH($C41,'Materials Master'!$A$2:$A$20,0))="Yes",$B41&lt;&gt;"Trash"),1,0)</f>
        <v>0</v>
      </c>
      <c r="H41" s="0" t="str">
        <f aca="false">INDEX('Materials Master'!$E$2:$E$20,MATCH($C41,'Materials Master'!$A$2:$A$20,0))</f>
        <v>No</v>
      </c>
      <c r="I41" s="0" t="str">
        <f aca="false">IFERROR(INDEX(Areas!$C$2:$C$3,MATCH($A41,Areas!$B$2:$B$3,0)),"")</f>
        <v>Cafeteria</v>
      </c>
      <c r="J41" s="0" t="n">
        <f aca="false">IF(IF($B41="Trash",INDEX('Materials Master'!$F$2:$F$20,MATCH($C41,'Materials Master'!$A$2:$A$20,0)),IF($B41="GMPC Recycling",INDEX('Materials Master'!$G$2:$G$20,MATCH($C41,'Materials Master'!$A$2:$A$20,0)),IF($B41="Organics Recycling",INDEX('Materials Master'!$H$2:$H$20,MATCH($C41,'Materials Master'!$A$2:$A$20,0)),IF($B41="Cardboard Recycling",INDEX('Materials Master'!$I$2:$I$20,MATCH($C41,'Materials Master'!$A$2:$A$20,0)),IF($B41="Paper Recycling",INDEX('Materials Master'!$J$2:$J$20,MATCH($C41,'Materials Master'!$A$2:$A$20,0)),IF($B41="Terracycle",INDEX('Materials Master'!$K$2:$K$20,MATCH($C41,'Materials Master'!$A$2:$A$20,0)),"No"))))))="Yes",1,0)</f>
        <v>0</v>
      </c>
    </row>
    <row r="42" customFormat="false" ht="15" hidden="false" customHeight="false" outlineLevel="0" collapsed="false">
      <c r="A42" s="0" t="s">
        <v>79</v>
      </c>
      <c r="B42" s="0" t="s">
        <v>85</v>
      </c>
      <c r="C42" s="0" t="s">
        <v>35</v>
      </c>
      <c r="D42" s="0" t="str">
        <f aca="false">IFERROR(INDEX('Materials Master'!$B$2:$B$20,MATCH($C42,'Materials Master'!$A$2:$A$20,0)),"")</f>
        <v>Mixed Paper</v>
      </c>
      <c r="E42" s="0" t="str">
        <f aca="false">IFERROR(INDEX('Materials Master'!$C$2:$C$20,MATCH($C42,'Materials Master'!$A$2:$A$20,0)),"")</f>
        <v>Fibers</v>
      </c>
      <c r="F42" s="0" t="n">
        <f aca="false">IF(SUMIFS(Fact_SortedWeights!$E$2:$E$67,Fact_SortedWeights!$C$2:$C$67,$A42,Fact_SortedWeights!$B$2:$B$67,$B42)=0,0,SUMIFS(Fact_SortedWeights!$E$2:$E$67,Fact_SortedWeights!$C$2:$C$67,$A42,Fact_SortedWeights!$B$2:$B$67,$B42,Fact_SortedWeights!$D$2:$D$67,$C42)/SUMIFS(Fact_SortedWeights!$E$2:$E$67,Fact_SortedWeights!$C$2:$C$67,$A42,Fact_SortedWeights!$B$2:$B$67,$B42)*(IF($B42="Cardboard Recycling",SUMIFS(Fact_SortedWeights!$E$2:$E$67,Fact_SortedWeights!$C$2:$C$67,$A42,Fact_SortedWeights!$B$2:$B$67,$B42),SUMIFS(Fact_PreSortWeights!$E$2:$E$6,Fact_PreSortWeights!$C$2:$C$6,$A42,Fact_PreSortWeights!$B$2:$B$6,$B42))))</f>
        <v>1.58</v>
      </c>
      <c r="G42" s="0" t="n">
        <f aca="false">IF(AND(IF($B42="Trash",INDEX('Materials Master'!$F$2:$F$20,MATCH($C42,'Materials Master'!$A$2:$A$20,0)),IF($B42="GMPC Recycling",INDEX('Materials Master'!$G$2:$G$20,MATCH($C42,'Materials Master'!$A$2:$A$20,0)),IF($B42="Organics Recycling",INDEX('Materials Master'!$H$2:$H$20,MATCH($C42,'Materials Master'!$A$2:$A$20,0)),IF($B42="Cardboard Recycling",INDEX('Materials Master'!$I$2:$I$20,MATCH($C42,'Materials Master'!$A$2:$A$20,0)),IF($B42="Paper Recycling",INDEX('Materials Master'!$J$2:$J$20,MATCH($C42,'Materials Master'!$A$2:$A$20,0)),IF($B42="Terracycle",INDEX('Materials Master'!$K$2:$K$20,MATCH($C42,'Materials Master'!$A$2:$A$20,0)),"No"))))))="Yes",INDEX('Materials Master'!$E$2:$E$20,MATCH($C42,'Materials Master'!$A$2:$A$20,0))="Yes",$B42&lt;&gt;"Trash"),1,0)</f>
        <v>1</v>
      </c>
      <c r="H42" s="0" t="str">
        <f aca="false">INDEX('Materials Master'!$E$2:$E$20,MATCH($C42,'Materials Master'!$A$2:$A$20,0))</f>
        <v>Yes</v>
      </c>
      <c r="I42" s="0" t="str">
        <f aca="false">IFERROR(INDEX(Areas!$C$2:$C$3,MATCH($A42,Areas!$B$2:$B$3,0)),"")</f>
        <v>Cafeteria</v>
      </c>
      <c r="J42" s="0" t="n">
        <f aca="false">IF(IF($B42="Trash",INDEX('Materials Master'!$F$2:$F$20,MATCH($C42,'Materials Master'!$A$2:$A$20,0)),IF($B42="GMPC Recycling",INDEX('Materials Master'!$G$2:$G$20,MATCH($C42,'Materials Master'!$A$2:$A$20,0)),IF($B42="Organics Recycling",INDEX('Materials Master'!$H$2:$H$20,MATCH($C42,'Materials Master'!$A$2:$A$20,0)),IF($B42="Cardboard Recycling",INDEX('Materials Master'!$I$2:$I$20,MATCH($C42,'Materials Master'!$A$2:$A$20,0)),IF($B42="Paper Recycling",INDEX('Materials Master'!$J$2:$J$20,MATCH($C42,'Materials Master'!$A$2:$A$20,0)),IF($B42="Terracycle",INDEX('Materials Master'!$K$2:$K$20,MATCH($C42,'Materials Master'!$A$2:$A$20,0)),"No"))))))="Yes",1,0)</f>
        <v>1</v>
      </c>
    </row>
    <row r="43" customFormat="false" ht="15" hidden="false" customHeight="false" outlineLevel="0" collapsed="false">
      <c r="A43" s="0" t="s">
        <v>79</v>
      </c>
      <c r="B43" s="0" t="s">
        <v>85</v>
      </c>
      <c r="C43" s="0" t="s">
        <v>37</v>
      </c>
      <c r="D43" s="0" t="str">
        <f aca="false">IFERROR(INDEX('Materials Master'!$B$2:$B$20,MATCH($C43,'Materials Master'!$A$2:$A$20,0)),"")</f>
        <v>Gable-top &amp; Aseptic Cartons</v>
      </c>
      <c r="E43" s="0" t="str">
        <f aca="false">IFERROR(INDEX('Materials Master'!$C$2:$C$20,MATCH($C43,'Materials Master'!$A$2:$A$20,0)),"")</f>
        <v>Fibers</v>
      </c>
      <c r="F43" s="0" t="n">
        <f aca="false">IF(SUMIFS(Fact_SortedWeights!$E$2:$E$67,Fact_SortedWeights!$C$2:$C$67,$A43,Fact_SortedWeights!$B$2:$B$67,$B43)=0,0,SUMIFS(Fact_SortedWeights!$E$2:$E$67,Fact_SortedWeights!$C$2:$C$67,$A43,Fact_SortedWeights!$B$2:$B$67,$B43,Fact_SortedWeights!$D$2:$D$67,$C43)/SUMIFS(Fact_SortedWeights!$E$2:$E$67,Fact_SortedWeights!$C$2:$C$67,$A43,Fact_SortedWeights!$B$2:$B$67,$B43)*(IF($B43="Cardboard Recycling",SUMIFS(Fact_SortedWeights!$E$2:$E$67,Fact_SortedWeights!$C$2:$C$67,$A43,Fact_SortedWeights!$B$2:$B$67,$B43),SUMIFS(Fact_PreSortWeights!$E$2:$E$6,Fact_PreSortWeights!$C$2:$C$6,$A43,Fact_PreSortWeights!$B$2:$B$6,$B43))))</f>
        <v>0</v>
      </c>
      <c r="G43" s="0" t="n">
        <f aca="false">IF(AND(IF($B43="Trash",INDEX('Materials Master'!$F$2:$F$20,MATCH($C43,'Materials Master'!$A$2:$A$20,0)),IF($B43="GMPC Recycling",INDEX('Materials Master'!$G$2:$G$20,MATCH($C43,'Materials Master'!$A$2:$A$20,0)),IF($B43="Organics Recycling",INDEX('Materials Master'!$H$2:$H$20,MATCH($C43,'Materials Master'!$A$2:$A$20,0)),IF($B43="Cardboard Recycling",INDEX('Materials Master'!$I$2:$I$20,MATCH($C43,'Materials Master'!$A$2:$A$20,0)),IF($B43="Paper Recycling",INDEX('Materials Master'!$J$2:$J$20,MATCH($C43,'Materials Master'!$A$2:$A$20,0)),IF($B43="Terracycle",INDEX('Materials Master'!$K$2:$K$20,MATCH($C43,'Materials Master'!$A$2:$A$20,0)),"No"))))))="Yes",INDEX('Materials Master'!$E$2:$E$20,MATCH($C43,'Materials Master'!$A$2:$A$20,0))="Yes",$B43&lt;&gt;"Trash"),1,0)</f>
        <v>0</v>
      </c>
      <c r="H43" s="0" t="str">
        <f aca="false">INDEX('Materials Master'!$E$2:$E$20,MATCH($C43,'Materials Master'!$A$2:$A$20,0))</f>
        <v>Yes</v>
      </c>
      <c r="I43" s="0" t="str">
        <f aca="false">IFERROR(INDEX(Areas!$C$2:$C$3,MATCH($A43,Areas!$B$2:$B$3,0)),"")</f>
        <v>Cafeteria</v>
      </c>
      <c r="J43" s="0" t="n">
        <f aca="false">IF(IF($B43="Trash",INDEX('Materials Master'!$F$2:$F$20,MATCH($C43,'Materials Master'!$A$2:$A$20,0)),IF($B43="GMPC Recycling",INDEX('Materials Master'!$G$2:$G$20,MATCH($C43,'Materials Master'!$A$2:$A$20,0)),IF($B43="Organics Recycling",INDEX('Materials Master'!$H$2:$H$20,MATCH($C43,'Materials Master'!$A$2:$A$20,0)),IF($B43="Cardboard Recycling",INDEX('Materials Master'!$I$2:$I$20,MATCH($C43,'Materials Master'!$A$2:$A$20,0)),IF($B43="Paper Recycling",INDEX('Materials Master'!$J$2:$J$20,MATCH($C43,'Materials Master'!$A$2:$A$20,0)),IF($B43="Terracycle",INDEX('Materials Master'!$K$2:$K$20,MATCH($C43,'Materials Master'!$A$2:$A$20,0)),"No"))))))="Yes",1,0)</f>
        <v>0</v>
      </c>
    </row>
    <row r="44" customFormat="false" ht="15" hidden="false" customHeight="false" outlineLevel="0" collapsed="false">
      <c r="A44" s="0" t="s">
        <v>79</v>
      </c>
      <c r="B44" s="0" t="s">
        <v>85</v>
      </c>
      <c r="C44" s="0" t="s">
        <v>39</v>
      </c>
      <c r="D44" s="0" t="str">
        <f aca="false">IFERROR(INDEX('Materials Master'!$B$2:$B$20,MATCH($C44,'Materials Master'!$A$2:$A$20,0)),"")</f>
        <v>Other Coated Paper Containers</v>
      </c>
      <c r="E44" s="0" t="str">
        <f aca="false">IFERROR(INDEX('Materials Master'!$C$2:$C$20,MATCH($C44,'Materials Master'!$A$2:$A$20,0)),"")</f>
        <v>Fibers</v>
      </c>
      <c r="F44" s="0" t="n">
        <f aca="false">IF(SUMIFS(Fact_SortedWeights!$E$2:$E$67,Fact_SortedWeights!$C$2:$C$67,$A44,Fact_SortedWeights!$B$2:$B$67,$B44)=0,0,SUMIFS(Fact_SortedWeights!$E$2:$E$67,Fact_SortedWeights!$C$2:$C$67,$A44,Fact_SortedWeights!$B$2:$B$67,$B44,Fact_SortedWeights!$D$2:$D$67,$C44)/SUMIFS(Fact_SortedWeights!$E$2:$E$67,Fact_SortedWeights!$C$2:$C$67,$A44,Fact_SortedWeights!$B$2:$B$67,$B44)*(IF($B44="Cardboard Recycling",SUMIFS(Fact_SortedWeights!$E$2:$E$67,Fact_SortedWeights!$C$2:$C$67,$A44,Fact_SortedWeights!$B$2:$B$67,$B44),SUMIFS(Fact_PreSortWeights!$E$2:$E$6,Fact_PreSortWeights!$C$2:$C$6,$A44,Fact_PreSortWeights!$B$2:$B$6,$B44))))</f>
        <v>0.06</v>
      </c>
      <c r="G44" s="0" t="n">
        <f aca="false">IF(AND(IF($B44="Trash",INDEX('Materials Master'!$F$2:$F$20,MATCH($C44,'Materials Master'!$A$2:$A$20,0)),IF($B44="GMPC Recycling",INDEX('Materials Master'!$G$2:$G$20,MATCH($C44,'Materials Master'!$A$2:$A$20,0)),IF($B44="Organics Recycling",INDEX('Materials Master'!$H$2:$H$20,MATCH($C44,'Materials Master'!$A$2:$A$20,0)),IF($B44="Cardboard Recycling",INDEX('Materials Master'!$I$2:$I$20,MATCH($C44,'Materials Master'!$A$2:$A$20,0)),IF($B44="Paper Recycling",INDEX('Materials Master'!$J$2:$J$20,MATCH($C44,'Materials Master'!$A$2:$A$20,0)),IF($B44="Terracycle",INDEX('Materials Master'!$K$2:$K$20,MATCH($C44,'Materials Master'!$A$2:$A$20,0)),"No"))))))="Yes",INDEX('Materials Master'!$E$2:$E$20,MATCH($C44,'Materials Master'!$A$2:$A$20,0))="Yes",$B44&lt;&gt;"Trash"),1,0)</f>
        <v>0</v>
      </c>
      <c r="H44" s="0" t="str">
        <f aca="false">INDEX('Materials Master'!$E$2:$E$20,MATCH($C44,'Materials Master'!$A$2:$A$20,0))</f>
        <v>No</v>
      </c>
      <c r="I44" s="0" t="str">
        <f aca="false">IFERROR(INDEX(Areas!$C$2:$C$3,MATCH($A44,Areas!$B$2:$B$3,0)),"")</f>
        <v>Cafeteria</v>
      </c>
      <c r="J44" s="0" t="n">
        <f aca="false">IF(IF($B44="Trash",INDEX('Materials Master'!$F$2:$F$20,MATCH($C44,'Materials Master'!$A$2:$A$20,0)),IF($B44="GMPC Recycling",INDEX('Materials Master'!$G$2:$G$20,MATCH($C44,'Materials Master'!$A$2:$A$20,0)),IF($B44="Organics Recycling",INDEX('Materials Master'!$H$2:$H$20,MATCH($C44,'Materials Master'!$A$2:$A$20,0)),IF($B44="Cardboard Recycling",INDEX('Materials Master'!$I$2:$I$20,MATCH($C44,'Materials Master'!$A$2:$A$20,0)),IF($B44="Paper Recycling",INDEX('Materials Master'!$J$2:$J$20,MATCH($C44,'Materials Master'!$A$2:$A$20,0)),IF($B44="Terracycle",INDEX('Materials Master'!$K$2:$K$20,MATCH($C44,'Materials Master'!$A$2:$A$20,0)),"No"))))))="Yes",1,0)</f>
        <v>0</v>
      </c>
    </row>
    <row r="45" customFormat="false" ht="15" hidden="false" customHeight="false" outlineLevel="0" collapsed="false">
      <c r="A45" s="0" t="s">
        <v>79</v>
      </c>
      <c r="B45" s="0" t="s">
        <v>85</v>
      </c>
      <c r="C45" s="0" t="s">
        <v>41</v>
      </c>
      <c r="D45" s="0" t="str">
        <f aca="false">IFERROR(INDEX('Materials Master'!$B$2:$B$20,MATCH($C45,'Materials Master'!$A$2:$A$20,0)),"")</f>
        <v>Glass Bottles &amp; Jars</v>
      </c>
      <c r="E45" s="0" t="str">
        <f aca="false">IFERROR(INDEX('Materials Master'!$C$2:$C$20,MATCH($C45,'Materials Master'!$A$2:$A$20,0)),"")</f>
        <v>Glass</v>
      </c>
      <c r="F45" s="0" t="n">
        <f aca="false">IF(SUMIFS(Fact_SortedWeights!$E$2:$E$67,Fact_SortedWeights!$C$2:$C$67,$A45,Fact_SortedWeights!$B$2:$B$67,$B45)=0,0,SUMIFS(Fact_SortedWeights!$E$2:$E$67,Fact_SortedWeights!$C$2:$C$67,$A45,Fact_SortedWeights!$B$2:$B$67,$B45,Fact_SortedWeights!$D$2:$D$67,$C45)/SUMIFS(Fact_SortedWeights!$E$2:$E$67,Fact_SortedWeights!$C$2:$C$67,$A45,Fact_SortedWeights!$B$2:$B$67,$B45)*(IF($B45="Cardboard Recycling",SUMIFS(Fact_SortedWeights!$E$2:$E$67,Fact_SortedWeights!$C$2:$C$67,$A45,Fact_SortedWeights!$B$2:$B$67,$B45),SUMIFS(Fact_PreSortWeights!$E$2:$E$6,Fact_PreSortWeights!$C$2:$C$6,$A45,Fact_PreSortWeights!$B$2:$B$6,$B45))))</f>
        <v>0</v>
      </c>
      <c r="G45" s="0" t="n">
        <f aca="false">IF(AND(IF($B45="Trash",INDEX('Materials Master'!$F$2:$F$20,MATCH($C45,'Materials Master'!$A$2:$A$20,0)),IF($B45="GMPC Recycling",INDEX('Materials Master'!$G$2:$G$20,MATCH($C45,'Materials Master'!$A$2:$A$20,0)),IF($B45="Organics Recycling",INDEX('Materials Master'!$H$2:$H$20,MATCH($C45,'Materials Master'!$A$2:$A$20,0)),IF($B45="Cardboard Recycling",INDEX('Materials Master'!$I$2:$I$20,MATCH($C45,'Materials Master'!$A$2:$A$20,0)),IF($B45="Paper Recycling",INDEX('Materials Master'!$J$2:$J$20,MATCH($C45,'Materials Master'!$A$2:$A$20,0)),IF($B45="Terracycle",INDEX('Materials Master'!$K$2:$K$20,MATCH($C45,'Materials Master'!$A$2:$A$20,0)),"No"))))))="Yes",INDEX('Materials Master'!$E$2:$E$20,MATCH($C45,'Materials Master'!$A$2:$A$20,0))="Yes",$B45&lt;&gt;"Trash"),1,0)</f>
        <v>0</v>
      </c>
      <c r="H45" s="0" t="str">
        <f aca="false">INDEX('Materials Master'!$E$2:$E$20,MATCH($C45,'Materials Master'!$A$2:$A$20,0))</f>
        <v>Yes</v>
      </c>
      <c r="I45" s="0" t="str">
        <f aca="false">IFERROR(INDEX(Areas!$C$2:$C$3,MATCH($A45,Areas!$B$2:$B$3,0)),"")</f>
        <v>Cafeteria</v>
      </c>
      <c r="J45" s="0" t="n">
        <f aca="false">IF(IF($B45="Trash",INDEX('Materials Master'!$F$2:$F$20,MATCH($C45,'Materials Master'!$A$2:$A$20,0)),IF($B45="GMPC Recycling",INDEX('Materials Master'!$G$2:$G$20,MATCH($C45,'Materials Master'!$A$2:$A$20,0)),IF($B45="Organics Recycling",INDEX('Materials Master'!$H$2:$H$20,MATCH($C45,'Materials Master'!$A$2:$A$20,0)),IF($B45="Cardboard Recycling",INDEX('Materials Master'!$I$2:$I$20,MATCH($C45,'Materials Master'!$A$2:$A$20,0)),IF($B45="Paper Recycling",INDEX('Materials Master'!$J$2:$J$20,MATCH($C45,'Materials Master'!$A$2:$A$20,0)),IF($B45="Terracycle",INDEX('Materials Master'!$K$2:$K$20,MATCH($C45,'Materials Master'!$A$2:$A$20,0)),"No"))))))="Yes",1,0)</f>
        <v>0</v>
      </c>
    </row>
    <row r="46" customFormat="false" ht="15" hidden="false" customHeight="false" outlineLevel="0" collapsed="false">
      <c r="A46" s="0" t="s">
        <v>79</v>
      </c>
      <c r="B46" s="0" t="s">
        <v>85</v>
      </c>
      <c r="C46" s="0" t="s">
        <v>44</v>
      </c>
      <c r="D46" s="0" t="str">
        <f aca="false">IFERROR(INDEX('Materials Master'!$B$2:$B$20,MATCH($C46,'Materials Master'!$A$2:$A$20,0)),"")</f>
        <v>Broken Glass</v>
      </c>
      <c r="E46" s="0" t="str">
        <f aca="false">IFERROR(INDEX('Materials Master'!$C$2:$C$20,MATCH($C46,'Materials Master'!$A$2:$A$20,0)),"")</f>
        <v>Glass</v>
      </c>
      <c r="F46" s="0" t="n">
        <f aca="false">IF(SUMIFS(Fact_SortedWeights!$E$2:$E$67,Fact_SortedWeights!$C$2:$C$67,$A46,Fact_SortedWeights!$B$2:$B$67,$B46)=0,0,SUMIFS(Fact_SortedWeights!$E$2:$E$67,Fact_SortedWeights!$C$2:$C$67,$A46,Fact_SortedWeights!$B$2:$B$67,$B46,Fact_SortedWeights!$D$2:$D$67,$C46)/SUMIFS(Fact_SortedWeights!$E$2:$E$67,Fact_SortedWeights!$C$2:$C$67,$A46,Fact_SortedWeights!$B$2:$B$67,$B46)*(IF($B46="Cardboard Recycling",SUMIFS(Fact_SortedWeights!$E$2:$E$67,Fact_SortedWeights!$C$2:$C$67,$A46,Fact_SortedWeights!$B$2:$B$67,$B46),SUMIFS(Fact_PreSortWeights!$E$2:$E$6,Fact_PreSortWeights!$C$2:$C$6,$A46,Fact_PreSortWeights!$B$2:$B$6,$B46))))</f>
        <v>0</v>
      </c>
      <c r="G46" s="0" t="n">
        <f aca="false">IF(AND(IF($B46="Trash",INDEX('Materials Master'!$F$2:$F$20,MATCH($C46,'Materials Master'!$A$2:$A$20,0)),IF($B46="GMPC Recycling",INDEX('Materials Master'!$G$2:$G$20,MATCH($C46,'Materials Master'!$A$2:$A$20,0)),IF($B46="Organics Recycling",INDEX('Materials Master'!$H$2:$H$20,MATCH($C46,'Materials Master'!$A$2:$A$20,0)),IF($B46="Cardboard Recycling",INDEX('Materials Master'!$I$2:$I$20,MATCH($C46,'Materials Master'!$A$2:$A$20,0)),IF($B46="Paper Recycling",INDEX('Materials Master'!$J$2:$J$20,MATCH($C46,'Materials Master'!$A$2:$A$20,0)),IF($B46="Terracycle",INDEX('Materials Master'!$K$2:$K$20,MATCH($C46,'Materials Master'!$A$2:$A$20,0)),"No"))))))="Yes",INDEX('Materials Master'!$E$2:$E$20,MATCH($C46,'Materials Master'!$A$2:$A$20,0))="Yes",$B46&lt;&gt;"Trash"),1,0)</f>
        <v>0</v>
      </c>
      <c r="H46" s="0" t="str">
        <f aca="false">INDEX('Materials Master'!$E$2:$E$20,MATCH($C46,'Materials Master'!$A$2:$A$20,0))</f>
        <v>No</v>
      </c>
      <c r="I46" s="0" t="str">
        <f aca="false">IFERROR(INDEX(Areas!$C$2:$C$3,MATCH($A46,Areas!$B$2:$B$3,0)),"")</f>
        <v>Cafeteria</v>
      </c>
      <c r="J46" s="0" t="n">
        <f aca="false">IF(IF($B46="Trash",INDEX('Materials Master'!$F$2:$F$20,MATCH($C46,'Materials Master'!$A$2:$A$20,0)),IF($B46="GMPC Recycling",INDEX('Materials Master'!$G$2:$G$20,MATCH($C46,'Materials Master'!$A$2:$A$20,0)),IF($B46="Organics Recycling",INDEX('Materials Master'!$H$2:$H$20,MATCH($C46,'Materials Master'!$A$2:$A$20,0)),IF($B46="Cardboard Recycling",INDEX('Materials Master'!$I$2:$I$20,MATCH($C46,'Materials Master'!$A$2:$A$20,0)),IF($B46="Paper Recycling",INDEX('Materials Master'!$J$2:$J$20,MATCH($C46,'Materials Master'!$A$2:$A$20,0)),IF($B46="Terracycle",INDEX('Materials Master'!$K$2:$K$20,MATCH($C46,'Materials Master'!$A$2:$A$20,0)),"No"))))))="Yes",1,0)</f>
        <v>0</v>
      </c>
    </row>
    <row r="47" customFormat="false" ht="15" hidden="false" customHeight="false" outlineLevel="0" collapsed="false">
      <c r="A47" s="0" t="s">
        <v>79</v>
      </c>
      <c r="B47" s="0" t="s">
        <v>85</v>
      </c>
      <c r="C47" s="0" t="s">
        <v>46</v>
      </c>
      <c r="D47" s="0" t="str">
        <f aca="false">IFERROR(INDEX('Materials Master'!$B$2:$B$20,MATCH($C47,'Materials Master'!$A$2:$A$20,0)),"")</f>
        <v>Aluminum &amp; Bi-metal Containers</v>
      </c>
      <c r="E47" s="0" t="str">
        <f aca="false">IFERROR(INDEX('Materials Master'!$C$2:$C$20,MATCH($C47,'Materials Master'!$A$2:$A$20,0)),"")</f>
        <v>Metals</v>
      </c>
      <c r="F47" s="0" t="n">
        <f aca="false">IF(SUMIFS(Fact_SortedWeights!$E$2:$E$67,Fact_SortedWeights!$C$2:$C$67,$A47,Fact_SortedWeights!$B$2:$B$67,$B47)=0,0,SUMIFS(Fact_SortedWeights!$E$2:$E$67,Fact_SortedWeights!$C$2:$C$67,$A47,Fact_SortedWeights!$B$2:$B$67,$B47,Fact_SortedWeights!$D$2:$D$67,$C47)/SUMIFS(Fact_SortedWeights!$E$2:$E$67,Fact_SortedWeights!$C$2:$C$67,$A47,Fact_SortedWeights!$B$2:$B$67,$B47)*(IF($B47="Cardboard Recycling",SUMIFS(Fact_SortedWeights!$E$2:$E$67,Fact_SortedWeights!$C$2:$C$67,$A47,Fact_SortedWeights!$B$2:$B$67,$B47),SUMIFS(Fact_PreSortWeights!$E$2:$E$6,Fact_PreSortWeights!$C$2:$C$6,$A47,Fact_PreSortWeights!$B$2:$B$6,$B47))))</f>
        <v>0.11</v>
      </c>
      <c r="G47" s="0" t="n">
        <f aca="false">IF(AND(IF($B47="Trash",INDEX('Materials Master'!$F$2:$F$20,MATCH($C47,'Materials Master'!$A$2:$A$20,0)),IF($B47="GMPC Recycling",INDEX('Materials Master'!$G$2:$G$20,MATCH($C47,'Materials Master'!$A$2:$A$20,0)),IF($B47="Organics Recycling",INDEX('Materials Master'!$H$2:$H$20,MATCH($C47,'Materials Master'!$A$2:$A$20,0)),IF($B47="Cardboard Recycling",INDEX('Materials Master'!$I$2:$I$20,MATCH($C47,'Materials Master'!$A$2:$A$20,0)),IF($B47="Paper Recycling",INDEX('Materials Master'!$J$2:$J$20,MATCH($C47,'Materials Master'!$A$2:$A$20,0)),IF($B47="Terracycle",INDEX('Materials Master'!$K$2:$K$20,MATCH($C47,'Materials Master'!$A$2:$A$20,0)),"No"))))))="Yes",INDEX('Materials Master'!$E$2:$E$20,MATCH($C47,'Materials Master'!$A$2:$A$20,0))="Yes",$B47&lt;&gt;"Trash"),1,0)</f>
        <v>0</v>
      </c>
      <c r="H47" s="0" t="str">
        <f aca="false">INDEX('Materials Master'!$E$2:$E$20,MATCH($C47,'Materials Master'!$A$2:$A$20,0))</f>
        <v>Yes</v>
      </c>
      <c r="I47" s="0" t="str">
        <f aca="false">IFERROR(INDEX(Areas!$C$2:$C$3,MATCH($A47,Areas!$B$2:$B$3,0)),"")</f>
        <v>Cafeteria</v>
      </c>
      <c r="J47" s="0" t="n">
        <f aca="false">IF(IF($B47="Trash",INDEX('Materials Master'!$F$2:$F$20,MATCH($C47,'Materials Master'!$A$2:$A$20,0)),IF($B47="GMPC Recycling",INDEX('Materials Master'!$G$2:$G$20,MATCH($C47,'Materials Master'!$A$2:$A$20,0)),IF($B47="Organics Recycling",INDEX('Materials Master'!$H$2:$H$20,MATCH($C47,'Materials Master'!$A$2:$A$20,0)),IF($B47="Cardboard Recycling",INDEX('Materials Master'!$I$2:$I$20,MATCH($C47,'Materials Master'!$A$2:$A$20,0)),IF($B47="Paper Recycling",INDEX('Materials Master'!$J$2:$J$20,MATCH($C47,'Materials Master'!$A$2:$A$20,0)),IF($B47="Terracycle",INDEX('Materials Master'!$K$2:$K$20,MATCH($C47,'Materials Master'!$A$2:$A$20,0)),"No"))))))="Yes",1,0)</f>
        <v>0</v>
      </c>
    </row>
    <row r="48" customFormat="false" ht="15" hidden="false" customHeight="false" outlineLevel="0" collapsed="false">
      <c r="A48" s="0" t="s">
        <v>79</v>
      </c>
      <c r="B48" s="0" t="s">
        <v>85</v>
      </c>
      <c r="C48" s="0" t="s">
        <v>49</v>
      </c>
      <c r="D48" s="0" t="str">
        <f aca="false">IFERROR(INDEX('Materials Master'!$B$2:$B$20,MATCH($C48,'Materials Master'!$A$2:$A$20,0)),"")</f>
        <v>Metal Hangers</v>
      </c>
      <c r="E48" s="0" t="str">
        <f aca="false">IFERROR(INDEX('Materials Master'!$C$2:$C$20,MATCH($C48,'Materials Master'!$A$2:$A$20,0)),"")</f>
        <v>Metals</v>
      </c>
      <c r="F48" s="0" t="n">
        <f aca="false">IF(SUMIFS(Fact_SortedWeights!$E$2:$E$67,Fact_SortedWeights!$C$2:$C$67,$A48,Fact_SortedWeights!$B$2:$B$67,$B48)=0,0,SUMIFS(Fact_SortedWeights!$E$2:$E$67,Fact_SortedWeights!$C$2:$C$67,$A48,Fact_SortedWeights!$B$2:$B$67,$B48,Fact_SortedWeights!$D$2:$D$67,$C48)/SUMIFS(Fact_SortedWeights!$E$2:$E$67,Fact_SortedWeights!$C$2:$C$67,$A48,Fact_SortedWeights!$B$2:$B$67,$B48)*(IF($B48="Cardboard Recycling",SUMIFS(Fact_SortedWeights!$E$2:$E$67,Fact_SortedWeights!$C$2:$C$67,$A48,Fact_SortedWeights!$B$2:$B$67,$B48),SUMIFS(Fact_PreSortWeights!$E$2:$E$6,Fact_PreSortWeights!$C$2:$C$6,$A48,Fact_PreSortWeights!$B$2:$B$6,$B48))))</f>
        <v>0</v>
      </c>
      <c r="G48" s="0" t="n">
        <f aca="false">IF(AND(IF($B48="Trash",INDEX('Materials Master'!$F$2:$F$20,MATCH($C48,'Materials Master'!$A$2:$A$20,0)),IF($B48="GMPC Recycling",INDEX('Materials Master'!$G$2:$G$20,MATCH($C48,'Materials Master'!$A$2:$A$20,0)),IF($B48="Organics Recycling",INDEX('Materials Master'!$H$2:$H$20,MATCH($C48,'Materials Master'!$A$2:$A$20,0)),IF($B48="Cardboard Recycling",INDEX('Materials Master'!$I$2:$I$20,MATCH($C48,'Materials Master'!$A$2:$A$20,0)),IF($B48="Paper Recycling",INDEX('Materials Master'!$J$2:$J$20,MATCH($C48,'Materials Master'!$A$2:$A$20,0)),IF($B48="Terracycle",INDEX('Materials Master'!$K$2:$K$20,MATCH($C48,'Materials Master'!$A$2:$A$20,0)),"No"))))))="Yes",INDEX('Materials Master'!$E$2:$E$20,MATCH($C48,'Materials Master'!$A$2:$A$20,0))="Yes",$B48&lt;&gt;"Trash"),1,0)</f>
        <v>0</v>
      </c>
      <c r="H48" s="0" t="str">
        <f aca="false">INDEX('Materials Master'!$E$2:$E$20,MATCH($C48,'Materials Master'!$A$2:$A$20,0))</f>
        <v>No</v>
      </c>
      <c r="I48" s="0" t="str">
        <f aca="false">IFERROR(INDEX(Areas!$C$2:$C$3,MATCH($A48,Areas!$B$2:$B$3,0)),"")</f>
        <v>Cafeteria</v>
      </c>
      <c r="J48" s="0" t="n">
        <f aca="false">IF(IF($B48="Trash",INDEX('Materials Master'!$F$2:$F$20,MATCH($C48,'Materials Master'!$A$2:$A$20,0)),IF($B48="GMPC Recycling",INDEX('Materials Master'!$G$2:$G$20,MATCH($C48,'Materials Master'!$A$2:$A$20,0)),IF($B48="Organics Recycling",INDEX('Materials Master'!$H$2:$H$20,MATCH($C48,'Materials Master'!$A$2:$A$20,0)),IF($B48="Cardboard Recycling",INDEX('Materials Master'!$I$2:$I$20,MATCH($C48,'Materials Master'!$A$2:$A$20,0)),IF($B48="Paper Recycling",INDEX('Materials Master'!$J$2:$J$20,MATCH($C48,'Materials Master'!$A$2:$A$20,0)),IF($B48="Terracycle",INDEX('Materials Master'!$K$2:$K$20,MATCH($C48,'Materials Master'!$A$2:$A$20,0)),"No"))))))="Yes",1,0)</f>
        <v>0</v>
      </c>
    </row>
    <row r="49" customFormat="false" ht="15" hidden="false" customHeight="false" outlineLevel="0" collapsed="false">
      <c r="A49" s="0" t="s">
        <v>79</v>
      </c>
      <c r="B49" s="0" t="s">
        <v>85</v>
      </c>
      <c r="C49" s="0" t="s">
        <v>51</v>
      </c>
      <c r="D49" s="0" t="str">
        <f aca="false">IFERROR(INDEX('Materials Master'!$B$2:$B$20,MATCH($C49,'Materials Master'!$A$2:$A$20,0)),"")</f>
        <v>Rigid Plastics (1-6)</v>
      </c>
      <c r="E49" s="0" t="str">
        <f aca="false">IFERROR(INDEX('Materials Master'!$C$2:$C$20,MATCH($C49,'Materials Master'!$A$2:$A$20,0)),"")</f>
        <v>Plastics</v>
      </c>
      <c r="F49" s="0" t="n">
        <f aca="false">IF(SUMIFS(Fact_SortedWeights!$E$2:$E$67,Fact_SortedWeights!$C$2:$C$67,$A49,Fact_SortedWeights!$B$2:$B$67,$B49)=0,0,SUMIFS(Fact_SortedWeights!$E$2:$E$67,Fact_SortedWeights!$C$2:$C$67,$A49,Fact_SortedWeights!$B$2:$B$67,$B49,Fact_SortedWeights!$D$2:$D$67,$C49)/SUMIFS(Fact_SortedWeights!$E$2:$E$67,Fact_SortedWeights!$C$2:$C$67,$A49,Fact_SortedWeights!$B$2:$B$67,$B49)*(IF($B49="Cardboard Recycling",SUMIFS(Fact_SortedWeights!$E$2:$E$67,Fact_SortedWeights!$C$2:$C$67,$A49,Fact_SortedWeights!$B$2:$B$67,$B49),SUMIFS(Fact_PreSortWeights!$E$2:$E$6,Fact_PreSortWeights!$C$2:$C$6,$A49,Fact_PreSortWeights!$B$2:$B$6,$B49))))</f>
        <v>1.58</v>
      </c>
      <c r="G49" s="0" t="n">
        <f aca="false">IF(AND(IF($B49="Trash",INDEX('Materials Master'!$F$2:$F$20,MATCH($C49,'Materials Master'!$A$2:$A$20,0)),IF($B49="GMPC Recycling",INDEX('Materials Master'!$G$2:$G$20,MATCH($C49,'Materials Master'!$A$2:$A$20,0)),IF($B49="Organics Recycling",INDEX('Materials Master'!$H$2:$H$20,MATCH($C49,'Materials Master'!$A$2:$A$20,0)),IF($B49="Cardboard Recycling",INDEX('Materials Master'!$I$2:$I$20,MATCH($C49,'Materials Master'!$A$2:$A$20,0)),IF($B49="Paper Recycling",INDEX('Materials Master'!$J$2:$J$20,MATCH($C49,'Materials Master'!$A$2:$A$20,0)),IF($B49="Terracycle",INDEX('Materials Master'!$K$2:$K$20,MATCH($C49,'Materials Master'!$A$2:$A$20,0)),"No"))))))="Yes",INDEX('Materials Master'!$E$2:$E$20,MATCH($C49,'Materials Master'!$A$2:$A$20,0))="Yes",$B49&lt;&gt;"Trash"),1,0)</f>
        <v>0</v>
      </c>
      <c r="H49" s="0" t="str">
        <f aca="false">INDEX('Materials Master'!$E$2:$E$20,MATCH($C49,'Materials Master'!$A$2:$A$20,0))</f>
        <v>Yes</v>
      </c>
      <c r="I49" s="0" t="str">
        <f aca="false">IFERROR(INDEX(Areas!$C$2:$C$3,MATCH($A49,Areas!$B$2:$B$3,0)),"")</f>
        <v>Cafeteria</v>
      </c>
      <c r="J49" s="0" t="n">
        <f aca="false">IF(IF($B49="Trash",INDEX('Materials Master'!$F$2:$F$20,MATCH($C49,'Materials Master'!$A$2:$A$20,0)),IF($B49="GMPC Recycling",INDEX('Materials Master'!$G$2:$G$20,MATCH($C49,'Materials Master'!$A$2:$A$20,0)),IF($B49="Organics Recycling",INDEX('Materials Master'!$H$2:$H$20,MATCH($C49,'Materials Master'!$A$2:$A$20,0)),IF($B49="Cardboard Recycling",INDEX('Materials Master'!$I$2:$I$20,MATCH($C49,'Materials Master'!$A$2:$A$20,0)),IF($B49="Paper Recycling",INDEX('Materials Master'!$J$2:$J$20,MATCH($C49,'Materials Master'!$A$2:$A$20,0)),IF($B49="Terracycle",INDEX('Materials Master'!$K$2:$K$20,MATCH($C49,'Materials Master'!$A$2:$A$20,0)),"No"))))))="Yes",1,0)</f>
        <v>0</v>
      </c>
    </row>
    <row r="50" customFormat="false" ht="15" hidden="false" customHeight="false" outlineLevel="0" collapsed="false">
      <c r="A50" s="0" t="s">
        <v>79</v>
      </c>
      <c r="B50" s="0" t="s">
        <v>85</v>
      </c>
      <c r="C50" s="0" t="s">
        <v>54</v>
      </c>
      <c r="D50" s="0" t="str">
        <f aca="false">IFERROR(INDEX('Materials Master'!$B$2:$B$20,MATCH($C50,'Materials Master'!$A$2:$A$20,0)),"")</f>
        <v>Soiled Rigid Plastics</v>
      </c>
      <c r="E50" s="0" t="str">
        <f aca="false">IFERROR(INDEX('Materials Master'!$C$2:$C$20,MATCH($C50,'Materials Master'!$A$2:$A$20,0)),"")</f>
        <v>Plastics</v>
      </c>
      <c r="F50" s="0" t="n">
        <f aca="false">IF(SUMIFS(Fact_SortedWeights!$E$2:$E$67,Fact_SortedWeights!$C$2:$C$67,$A50,Fact_SortedWeights!$B$2:$B$67,$B50)=0,0,SUMIFS(Fact_SortedWeights!$E$2:$E$67,Fact_SortedWeights!$C$2:$C$67,$A50,Fact_SortedWeights!$B$2:$B$67,$B50,Fact_SortedWeights!$D$2:$D$67,$C50)/SUMIFS(Fact_SortedWeights!$E$2:$E$67,Fact_SortedWeights!$C$2:$C$67,$A50,Fact_SortedWeights!$B$2:$B$67,$B50)*(IF($B50="Cardboard Recycling",SUMIFS(Fact_SortedWeights!$E$2:$E$67,Fact_SortedWeights!$C$2:$C$67,$A50,Fact_SortedWeights!$B$2:$B$67,$B50),SUMIFS(Fact_PreSortWeights!$E$2:$E$6,Fact_PreSortWeights!$C$2:$C$6,$A50,Fact_PreSortWeights!$B$2:$B$6,$B50))))</f>
        <v>0</v>
      </c>
      <c r="G50" s="0" t="n">
        <f aca="false">IF(AND(IF($B50="Trash",INDEX('Materials Master'!$F$2:$F$20,MATCH($C50,'Materials Master'!$A$2:$A$20,0)),IF($B50="GMPC Recycling",INDEX('Materials Master'!$G$2:$G$20,MATCH($C50,'Materials Master'!$A$2:$A$20,0)),IF($B50="Organics Recycling",INDEX('Materials Master'!$H$2:$H$20,MATCH($C50,'Materials Master'!$A$2:$A$20,0)),IF($B50="Cardboard Recycling",INDEX('Materials Master'!$I$2:$I$20,MATCH($C50,'Materials Master'!$A$2:$A$20,0)),IF($B50="Paper Recycling",INDEX('Materials Master'!$J$2:$J$20,MATCH($C50,'Materials Master'!$A$2:$A$20,0)),IF($B50="Terracycle",INDEX('Materials Master'!$K$2:$K$20,MATCH($C50,'Materials Master'!$A$2:$A$20,0)),"No"))))))="Yes",INDEX('Materials Master'!$E$2:$E$20,MATCH($C50,'Materials Master'!$A$2:$A$20,0))="Yes",$B50&lt;&gt;"Trash"),1,0)</f>
        <v>0</v>
      </c>
      <c r="H50" s="0" t="str">
        <f aca="false">INDEX('Materials Master'!$E$2:$E$20,MATCH($C50,'Materials Master'!$A$2:$A$20,0))</f>
        <v>No</v>
      </c>
      <c r="I50" s="0" t="str">
        <f aca="false">IFERROR(INDEX(Areas!$C$2:$C$3,MATCH($A50,Areas!$B$2:$B$3,0)),"")</f>
        <v>Cafeteria</v>
      </c>
      <c r="J50" s="0" t="n">
        <f aca="false">IF(IF($B50="Trash",INDEX('Materials Master'!$F$2:$F$20,MATCH($C50,'Materials Master'!$A$2:$A$20,0)),IF($B50="GMPC Recycling",INDEX('Materials Master'!$G$2:$G$20,MATCH($C50,'Materials Master'!$A$2:$A$20,0)),IF($B50="Organics Recycling",INDEX('Materials Master'!$H$2:$H$20,MATCH($C50,'Materials Master'!$A$2:$A$20,0)),IF($B50="Cardboard Recycling",INDEX('Materials Master'!$I$2:$I$20,MATCH($C50,'Materials Master'!$A$2:$A$20,0)),IF($B50="Paper Recycling",INDEX('Materials Master'!$J$2:$J$20,MATCH($C50,'Materials Master'!$A$2:$A$20,0)),IF($B50="Terracycle",INDEX('Materials Master'!$K$2:$K$20,MATCH($C50,'Materials Master'!$A$2:$A$20,0)),"No"))))))="Yes",1,0)</f>
        <v>0</v>
      </c>
    </row>
    <row r="51" customFormat="false" ht="15" hidden="false" customHeight="false" outlineLevel="0" collapsed="false">
      <c r="A51" s="0" t="s">
        <v>79</v>
      </c>
      <c r="B51" s="0" t="s">
        <v>85</v>
      </c>
      <c r="C51" s="0" t="s">
        <v>56</v>
      </c>
      <c r="D51" s="0" t="str">
        <f aca="false">IFERROR(INDEX('Materials Master'!$B$2:$B$20,MATCH($C51,'Materials Master'!$A$2:$A$20,0)),"")</f>
        <v>Film Plastics</v>
      </c>
      <c r="E51" s="0" t="str">
        <f aca="false">IFERROR(INDEX('Materials Master'!$C$2:$C$20,MATCH($C51,'Materials Master'!$A$2:$A$20,0)),"")</f>
        <v>Plastics</v>
      </c>
      <c r="F51" s="0" t="n">
        <f aca="false">IF(SUMIFS(Fact_SortedWeights!$E$2:$E$67,Fact_SortedWeights!$C$2:$C$67,$A51,Fact_SortedWeights!$B$2:$B$67,$B51)=0,0,SUMIFS(Fact_SortedWeights!$E$2:$E$67,Fact_SortedWeights!$C$2:$C$67,$A51,Fact_SortedWeights!$B$2:$B$67,$B51,Fact_SortedWeights!$D$2:$D$67,$C51)/SUMIFS(Fact_SortedWeights!$E$2:$E$67,Fact_SortedWeights!$C$2:$C$67,$A51,Fact_SortedWeights!$B$2:$B$67,$B51)*(IF($B51="Cardboard Recycling",SUMIFS(Fact_SortedWeights!$E$2:$E$67,Fact_SortedWeights!$C$2:$C$67,$A51,Fact_SortedWeights!$B$2:$B$67,$B51),SUMIFS(Fact_PreSortWeights!$E$2:$E$6,Fact_PreSortWeights!$C$2:$C$6,$A51,Fact_PreSortWeights!$B$2:$B$6,$B51))))</f>
        <v>0</v>
      </c>
      <c r="G51" s="0" t="n">
        <f aca="false">IF(AND(IF($B51="Trash",INDEX('Materials Master'!$F$2:$F$20,MATCH($C51,'Materials Master'!$A$2:$A$20,0)),IF($B51="GMPC Recycling",INDEX('Materials Master'!$G$2:$G$20,MATCH($C51,'Materials Master'!$A$2:$A$20,0)),IF($B51="Organics Recycling",INDEX('Materials Master'!$H$2:$H$20,MATCH($C51,'Materials Master'!$A$2:$A$20,0)),IF($B51="Cardboard Recycling",INDEX('Materials Master'!$I$2:$I$20,MATCH($C51,'Materials Master'!$A$2:$A$20,0)),IF($B51="Paper Recycling",INDEX('Materials Master'!$J$2:$J$20,MATCH($C51,'Materials Master'!$A$2:$A$20,0)),IF($B51="Terracycle",INDEX('Materials Master'!$K$2:$K$20,MATCH($C51,'Materials Master'!$A$2:$A$20,0)),"No"))))))="Yes",INDEX('Materials Master'!$E$2:$E$20,MATCH($C51,'Materials Master'!$A$2:$A$20,0))="Yes",$B51&lt;&gt;"Trash"),1,0)</f>
        <v>0</v>
      </c>
      <c r="H51" s="0" t="str">
        <f aca="false">INDEX('Materials Master'!$E$2:$E$20,MATCH($C51,'Materials Master'!$A$2:$A$20,0))</f>
        <v>No</v>
      </c>
      <c r="I51" s="0" t="str">
        <f aca="false">IFERROR(INDEX(Areas!$C$2:$C$3,MATCH($A51,Areas!$B$2:$B$3,0)),"")</f>
        <v>Cafeteria</v>
      </c>
      <c r="J51" s="0" t="n">
        <f aca="false">IF(IF($B51="Trash",INDEX('Materials Master'!$F$2:$F$20,MATCH($C51,'Materials Master'!$A$2:$A$20,0)),IF($B51="GMPC Recycling",INDEX('Materials Master'!$G$2:$G$20,MATCH($C51,'Materials Master'!$A$2:$A$20,0)),IF($B51="Organics Recycling",INDEX('Materials Master'!$H$2:$H$20,MATCH($C51,'Materials Master'!$A$2:$A$20,0)),IF($B51="Cardboard Recycling",INDEX('Materials Master'!$I$2:$I$20,MATCH($C51,'Materials Master'!$A$2:$A$20,0)),IF($B51="Paper Recycling",INDEX('Materials Master'!$J$2:$J$20,MATCH($C51,'Materials Master'!$A$2:$A$20,0)),IF($B51="Terracycle",INDEX('Materials Master'!$K$2:$K$20,MATCH($C51,'Materials Master'!$A$2:$A$20,0)),"No"))))))="Yes",1,0)</f>
        <v>0</v>
      </c>
    </row>
    <row r="52" customFormat="false" ht="15" hidden="false" customHeight="false" outlineLevel="0" collapsed="false">
      <c r="A52" s="0" t="s">
        <v>79</v>
      </c>
      <c r="B52" s="0" t="s">
        <v>85</v>
      </c>
      <c r="C52" s="0" t="s">
        <v>58</v>
      </c>
      <c r="D52" s="0" t="str">
        <f aca="false">IFERROR(INDEX('Materials Master'!$B$2:$B$20,MATCH($C52,'Materials Master'!$A$2:$A$20,0)),"")</f>
        <v>Waste Disposal Bags</v>
      </c>
      <c r="E52" s="0" t="str">
        <f aca="false">IFERROR(INDEX('Materials Master'!$C$2:$C$20,MATCH($C52,'Materials Master'!$A$2:$A$20,0)),"")</f>
        <v>Plastics</v>
      </c>
      <c r="F52" s="0" t="n">
        <f aca="false">IF(SUMIFS(Fact_SortedWeights!$E$2:$E$67,Fact_SortedWeights!$C$2:$C$67,$A52,Fact_SortedWeights!$B$2:$B$67,$B52)=0,0,SUMIFS(Fact_SortedWeights!$E$2:$E$67,Fact_SortedWeights!$C$2:$C$67,$A52,Fact_SortedWeights!$B$2:$B$67,$B52,Fact_SortedWeights!$D$2:$D$67,$C52)/SUMIFS(Fact_SortedWeights!$E$2:$E$67,Fact_SortedWeights!$C$2:$C$67,$A52,Fact_SortedWeights!$B$2:$B$67,$B52)*(IF($B52="Cardboard Recycling",SUMIFS(Fact_SortedWeights!$E$2:$E$67,Fact_SortedWeights!$C$2:$C$67,$A52,Fact_SortedWeights!$B$2:$B$67,$B52),SUMIFS(Fact_PreSortWeights!$E$2:$E$6,Fact_PreSortWeights!$C$2:$C$6,$A52,Fact_PreSortWeights!$B$2:$B$6,$B52))))</f>
        <v>0</v>
      </c>
      <c r="G52" s="0" t="n">
        <f aca="false">IF(AND(IF($B52="Trash",INDEX('Materials Master'!$F$2:$F$20,MATCH($C52,'Materials Master'!$A$2:$A$20,0)),IF($B52="GMPC Recycling",INDEX('Materials Master'!$G$2:$G$20,MATCH($C52,'Materials Master'!$A$2:$A$20,0)),IF($B52="Organics Recycling",INDEX('Materials Master'!$H$2:$H$20,MATCH($C52,'Materials Master'!$A$2:$A$20,0)),IF($B52="Cardboard Recycling",INDEX('Materials Master'!$I$2:$I$20,MATCH($C52,'Materials Master'!$A$2:$A$20,0)),IF($B52="Paper Recycling",INDEX('Materials Master'!$J$2:$J$20,MATCH($C52,'Materials Master'!$A$2:$A$20,0)),IF($B52="Terracycle",INDEX('Materials Master'!$K$2:$K$20,MATCH($C52,'Materials Master'!$A$2:$A$20,0)),"No"))))))="Yes",INDEX('Materials Master'!$E$2:$E$20,MATCH($C52,'Materials Master'!$A$2:$A$20,0))="Yes",$B52&lt;&gt;"Trash"),1,0)</f>
        <v>0</v>
      </c>
      <c r="H52" s="0" t="str">
        <f aca="false">INDEX('Materials Master'!$E$2:$E$20,MATCH($C52,'Materials Master'!$A$2:$A$20,0))</f>
        <v>No</v>
      </c>
      <c r="I52" s="0" t="str">
        <f aca="false">IFERROR(INDEX(Areas!$C$2:$C$3,MATCH($A52,Areas!$B$2:$B$3,0)),"")</f>
        <v>Cafeteria</v>
      </c>
      <c r="J52" s="0" t="n">
        <f aca="false">IF(IF($B52="Trash",INDEX('Materials Master'!$F$2:$F$20,MATCH($C52,'Materials Master'!$A$2:$A$20,0)),IF($B52="GMPC Recycling",INDEX('Materials Master'!$G$2:$G$20,MATCH($C52,'Materials Master'!$A$2:$A$20,0)),IF($B52="Organics Recycling",INDEX('Materials Master'!$H$2:$H$20,MATCH($C52,'Materials Master'!$A$2:$A$20,0)),IF($B52="Cardboard Recycling",INDEX('Materials Master'!$I$2:$I$20,MATCH($C52,'Materials Master'!$A$2:$A$20,0)),IF($B52="Paper Recycling",INDEX('Materials Master'!$J$2:$J$20,MATCH($C52,'Materials Master'!$A$2:$A$20,0)),IF($B52="Terracycle",INDEX('Materials Master'!$K$2:$K$20,MATCH($C52,'Materials Master'!$A$2:$A$20,0)),"No"))))))="Yes",1,0)</f>
        <v>0</v>
      </c>
    </row>
    <row r="53" customFormat="false" ht="15" hidden="false" customHeight="false" outlineLevel="0" collapsed="false">
      <c r="A53" s="0" t="s">
        <v>79</v>
      </c>
      <c r="B53" s="0" t="s">
        <v>85</v>
      </c>
      <c r="C53" s="0" t="s">
        <v>60</v>
      </c>
      <c r="D53" s="0" t="str">
        <f aca="false">IFERROR(INDEX('Materials Master'!$B$2:$B$20,MATCH($C53,'Materials Master'!$A$2:$A$20,0)),"")</f>
        <v>Food Waste</v>
      </c>
      <c r="E53" s="0" t="str">
        <f aca="false">IFERROR(INDEX('Materials Master'!$C$2:$C$20,MATCH($C53,'Materials Master'!$A$2:$A$20,0)),"")</f>
        <v>Organics</v>
      </c>
      <c r="F53" s="0" t="n">
        <f aca="false">IF(SUMIFS(Fact_SortedWeights!$E$2:$E$67,Fact_SortedWeights!$C$2:$C$67,$A53,Fact_SortedWeights!$B$2:$B$67,$B53)=0,0,SUMIFS(Fact_SortedWeights!$E$2:$E$67,Fact_SortedWeights!$C$2:$C$67,$A53,Fact_SortedWeights!$B$2:$B$67,$B53,Fact_SortedWeights!$D$2:$D$67,$C53)/SUMIFS(Fact_SortedWeights!$E$2:$E$67,Fact_SortedWeights!$C$2:$C$67,$A53,Fact_SortedWeights!$B$2:$B$67,$B53)*(IF($B53="Cardboard Recycling",SUMIFS(Fact_SortedWeights!$E$2:$E$67,Fact_SortedWeights!$C$2:$C$67,$A53,Fact_SortedWeights!$B$2:$B$67,$B53),SUMIFS(Fact_PreSortWeights!$E$2:$E$6,Fact_PreSortWeights!$C$2:$C$6,$A53,Fact_PreSortWeights!$B$2:$B$6,$B53))))</f>
        <v>301.99</v>
      </c>
      <c r="G53" s="0" t="n">
        <f aca="false">IF(AND(IF($B53="Trash",INDEX('Materials Master'!$F$2:$F$20,MATCH($C53,'Materials Master'!$A$2:$A$20,0)),IF($B53="GMPC Recycling",INDEX('Materials Master'!$G$2:$G$20,MATCH($C53,'Materials Master'!$A$2:$A$20,0)),IF($B53="Organics Recycling",INDEX('Materials Master'!$H$2:$H$20,MATCH($C53,'Materials Master'!$A$2:$A$20,0)),IF($B53="Cardboard Recycling",INDEX('Materials Master'!$I$2:$I$20,MATCH($C53,'Materials Master'!$A$2:$A$20,0)),IF($B53="Paper Recycling",INDEX('Materials Master'!$J$2:$J$20,MATCH($C53,'Materials Master'!$A$2:$A$20,0)),IF($B53="Terracycle",INDEX('Materials Master'!$K$2:$K$20,MATCH($C53,'Materials Master'!$A$2:$A$20,0)),"No"))))))="Yes",INDEX('Materials Master'!$E$2:$E$20,MATCH($C53,'Materials Master'!$A$2:$A$20,0))="Yes",$B53&lt;&gt;"Trash"),1,0)</f>
        <v>1</v>
      </c>
      <c r="H53" s="0" t="str">
        <f aca="false">INDEX('Materials Master'!$E$2:$E$20,MATCH($C53,'Materials Master'!$A$2:$A$20,0))</f>
        <v>Yes</v>
      </c>
      <c r="I53" s="0" t="str">
        <f aca="false">IFERROR(INDEX(Areas!$C$2:$C$3,MATCH($A53,Areas!$B$2:$B$3,0)),"")</f>
        <v>Cafeteria</v>
      </c>
      <c r="J53" s="0" t="n">
        <f aca="false">IF(IF($B53="Trash",INDEX('Materials Master'!$F$2:$F$20,MATCH($C53,'Materials Master'!$A$2:$A$20,0)),IF($B53="GMPC Recycling",INDEX('Materials Master'!$G$2:$G$20,MATCH($C53,'Materials Master'!$A$2:$A$20,0)),IF($B53="Organics Recycling",INDEX('Materials Master'!$H$2:$H$20,MATCH($C53,'Materials Master'!$A$2:$A$20,0)),IF($B53="Cardboard Recycling",INDEX('Materials Master'!$I$2:$I$20,MATCH($C53,'Materials Master'!$A$2:$A$20,0)),IF($B53="Paper Recycling",INDEX('Materials Master'!$J$2:$J$20,MATCH($C53,'Materials Master'!$A$2:$A$20,0)),IF($B53="Terracycle",INDEX('Materials Master'!$K$2:$K$20,MATCH($C53,'Materials Master'!$A$2:$A$20,0)),"No"))))))="Yes",1,0)</f>
        <v>1</v>
      </c>
    </row>
    <row r="54" customFormat="false" ht="15" hidden="false" customHeight="false" outlineLevel="0" collapsed="false">
      <c r="A54" s="0" t="s">
        <v>79</v>
      </c>
      <c r="B54" s="0" t="s">
        <v>85</v>
      </c>
      <c r="C54" s="0" t="s">
        <v>63</v>
      </c>
      <c r="D54" s="0" t="str">
        <f aca="false">IFERROR(INDEX('Materials Master'!$B$2:$B$20,MATCH($C54,'Materials Master'!$A$2:$A$20,0)),"")</f>
        <v>Paper Fibers and FSP</v>
      </c>
      <c r="E54" s="0" t="str">
        <f aca="false">IFERROR(INDEX('Materials Master'!$C$2:$C$20,MATCH($C54,'Materials Master'!$A$2:$A$20,0)),"")</f>
        <v>Organics</v>
      </c>
      <c r="F54" s="0" t="n">
        <f aca="false">IF(SUMIFS(Fact_SortedWeights!$E$2:$E$67,Fact_SortedWeights!$C$2:$C$67,$A54,Fact_SortedWeights!$B$2:$B$67,$B54)=0,0,SUMIFS(Fact_SortedWeights!$E$2:$E$67,Fact_SortedWeights!$C$2:$C$67,$A54,Fact_SortedWeights!$B$2:$B$67,$B54,Fact_SortedWeights!$D$2:$D$67,$C54)/SUMIFS(Fact_SortedWeights!$E$2:$E$67,Fact_SortedWeights!$C$2:$C$67,$A54,Fact_SortedWeights!$B$2:$B$67,$B54)*(IF($B54="Cardboard Recycling",SUMIFS(Fact_SortedWeights!$E$2:$E$67,Fact_SortedWeights!$C$2:$C$67,$A54,Fact_SortedWeights!$B$2:$B$67,$B54),SUMIFS(Fact_PreSortWeights!$E$2:$E$6,Fact_PreSortWeights!$C$2:$C$6,$A54,Fact_PreSortWeights!$B$2:$B$6,$B54))))</f>
        <v>0.11</v>
      </c>
      <c r="G54" s="0" t="n">
        <f aca="false">IF(AND(IF($B54="Trash",INDEX('Materials Master'!$F$2:$F$20,MATCH($C54,'Materials Master'!$A$2:$A$20,0)),IF($B54="GMPC Recycling",INDEX('Materials Master'!$G$2:$G$20,MATCH($C54,'Materials Master'!$A$2:$A$20,0)),IF($B54="Organics Recycling",INDEX('Materials Master'!$H$2:$H$20,MATCH($C54,'Materials Master'!$A$2:$A$20,0)),IF($B54="Cardboard Recycling",INDEX('Materials Master'!$I$2:$I$20,MATCH($C54,'Materials Master'!$A$2:$A$20,0)),IF($B54="Paper Recycling",INDEX('Materials Master'!$J$2:$J$20,MATCH($C54,'Materials Master'!$A$2:$A$20,0)),IF($B54="Terracycle",INDEX('Materials Master'!$K$2:$K$20,MATCH($C54,'Materials Master'!$A$2:$A$20,0)),"No"))))))="Yes",INDEX('Materials Master'!$E$2:$E$20,MATCH($C54,'Materials Master'!$A$2:$A$20,0))="Yes",$B54&lt;&gt;"Trash"),1,0)</f>
        <v>0</v>
      </c>
      <c r="H54" s="0" t="str">
        <f aca="false">INDEX('Materials Master'!$E$2:$E$20,MATCH($C54,'Materials Master'!$A$2:$A$20,0))</f>
        <v>No</v>
      </c>
      <c r="I54" s="0" t="str">
        <f aca="false">IFERROR(INDEX(Areas!$C$2:$C$3,MATCH($A54,Areas!$B$2:$B$3,0)),"")</f>
        <v>Cafeteria</v>
      </c>
      <c r="J54" s="0" t="n">
        <f aca="false">IF(IF($B54="Trash",INDEX('Materials Master'!$F$2:$F$20,MATCH($C54,'Materials Master'!$A$2:$A$20,0)),IF($B54="GMPC Recycling",INDEX('Materials Master'!$G$2:$G$20,MATCH($C54,'Materials Master'!$A$2:$A$20,0)),IF($B54="Organics Recycling",INDEX('Materials Master'!$H$2:$H$20,MATCH($C54,'Materials Master'!$A$2:$A$20,0)),IF($B54="Cardboard Recycling",INDEX('Materials Master'!$I$2:$I$20,MATCH($C54,'Materials Master'!$A$2:$A$20,0)),IF($B54="Paper Recycling",INDEX('Materials Master'!$J$2:$J$20,MATCH($C54,'Materials Master'!$A$2:$A$20,0)),IF($B54="Terracycle",INDEX('Materials Master'!$K$2:$K$20,MATCH($C54,'Materials Master'!$A$2:$A$20,0)),"No"))))))="Yes",1,0)</f>
        <v>0</v>
      </c>
    </row>
    <row r="55" customFormat="false" ht="15" hidden="false" customHeight="false" outlineLevel="0" collapsed="false">
      <c r="A55" s="0" t="s">
        <v>79</v>
      </c>
      <c r="B55" s="0" t="s">
        <v>85</v>
      </c>
      <c r="C55" s="0" t="s">
        <v>65</v>
      </c>
      <c r="D55" s="0" t="str">
        <f aca="false">IFERROR(INDEX('Materials Master'!$B$2:$B$20,MATCH($C55,'Materials Master'!$A$2:$A$20,0)),"")</f>
        <v>Certified Compostables</v>
      </c>
      <c r="E55" s="0" t="str">
        <f aca="false">IFERROR(INDEX('Materials Master'!$C$2:$C$20,MATCH($C55,'Materials Master'!$A$2:$A$20,0)),"")</f>
        <v>Organics</v>
      </c>
      <c r="F55" s="0" t="n">
        <f aca="false">IF(SUMIFS(Fact_SortedWeights!$E$2:$E$67,Fact_SortedWeights!$C$2:$C$67,$A55,Fact_SortedWeights!$B$2:$B$67,$B55)=0,0,SUMIFS(Fact_SortedWeights!$E$2:$E$67,Fact_SortedWeights!$C$2:$C$67,$A55,Fact_SortedWeights!$B$2:$B$67,$B55,Fact_SortedWeights!$D$2:$D$67,$C55)/SUMIFS(Fact_SortedWeights!$E$2:$E$67,Fact_SortedWeights!$C$2:$C$67,$A55,Fact_SortedWeights!$B$2:$B$67,$B55)*(IF($B55="Cardboard Recycling",SUMIFS(Fact_SortedWeights!$E$2:$E$67,Fact_SortedWeights!$C$2:$C$67,$A55,Fact_SortedWeights!$B$2:$B$67,$B55),SUMIFS(Fact_PreSortWeights!$E$2:$E$6,Fact_PreSortWeights!$C$2:$C$6,$A55,Fact_PreSortWeights!$B$2:$B$6,$B55))))</f>
        <v>0.11</v>
      </c>
      <c r="G55" s="0" t="n">
        <f aca="false">IF(AND(IF($B55="Trash",INDEX('Materials Master'!$F$2:$F$20,MATCH($C55,'Materials Master'!$A$2:$A$20,0)),IF($B55="GMPC Recycling",INDEX('Materials Master'!$G$2:$G$20,MATCH($C55,'Materials Master'!$A$2:$A$20,0)),IF($B55="Organics Recycling",INDEX('Materials Master'!$H$2:$H$20,MATCH($C55,'Materials Master'!$A$2:$A$20,0)),IF($B55="Cardboard Recycling",INDEX('Materials Master'!$I$2:$I$20,MATCH($C55,'Materials Master'!$A$2:$A$20,0)),IF($B55="Paper Recycling",INDEX('Materials Master'!$J$2:$J$20,MATCH($C55,'Materials Master'!$A$2:$A$20,0)),IF($B55="Terracycle",INDEX('Materials Master'!$K$2:$K$20,MATCH($C55,'Materials Master'!$A$2:$A$20,0)),"No"))))))="Yes",INDEX('Materials Master'!$E$2:$E$20,MATCH($C55,'Materials Master'!$A$2:$A$20,0))="Yes",$B55&lt;&gt;"Trash"),1,0)</f>
        <v>0</v>
      </c>
      <c r="H55" s="0" t="str">
        <f aca="false">INDEX('Materials Master'!$E$2:$E$20,MATCH($C55,'Materials Master'!$A$2:$A$20,0))</f>
        <v>No</v>
      </c>
      <c r="I55" s="0" t="str">
        <f aca="false">IFERROR(INDEX(Areas!$C$2:$C$3,MATCH($A55,Areas!$B$2:$B$3,0)),"")</f>
        <v>Cafeteria</v>
      </c>
      <c r="J55" s="0" t="n">
        <f aca="false">IF(IF($B55="Trash",INDEX('Materials Master'!$F$2:$F$20,MATCH($C55,'Materials Master'!$A$2:$A$20,0)),IF($B55="GMPC Recycling",INDEX('Materials Master'!$G$2:$G$20,MATCH($C55,'Materials Master'!$A$2:$A$20,0)),IF($B55="Organics Recycling",INDEX('Materials Master'!$H$2:$H$20,MATCH($C55,'Materials Master'!$A$2:$A$20,0)),IF($B55="Cardboard Recycling",INDEX('Materials Master'!$I$2:$I$20,MATCH($C55,'Materials Master'!$A$2:$A$20,0)),IF($B55="Paper Recycling",INDEX('Materials Master'!$J$2:$J$20,MATCH($C55,'Materials Master'!$A$2:$A$20,0)),IF($B55="Terracycle",INDEX('Materials Master'!$K$2:$K$20,MATCH($C55,'Materials Master'!$A$2:$A$20,0)),"No"))))))="Yes",1,0)</f>
        <v>0</v>
      </c>
    </row>
    <row r="56" customFormat="false" ht="15" hidden="false" customHeight="false" outlineLevel="0" collapsed="false">
      <c r="A56" s="0" t="s">
        <v>79</v>
      </c>
      <c r="B56" s="0" t="s">
        <v>85</v>
      </c>
      <c r="C56" s="0" t="s">
        <v>67</v>
      </c>
      <c r="D56" s="0" t="str">
        <f aca="false">IFERROR(INDEX('Materials Master'!$B$2:$B$20,MATCH($C56,'Materials Master'!$A$2:$A$20,0)),"")</f>
        <v>Textiles</v>
      </c>
      <c r="E56" s="0" t="str">
        <f aca="false">IFERROR(INDEX('Materials Master'!$C$2:$C$20,MATCH($C56,'Materials Master'!$A$2:$A$20,0)),"")</f>
        <v>Unacceptable</v>
      </c>
      <c r="F56" s="0" t="n">
        <f aca="false">IF(SUMIFS(Fact_SortedWeights!$E$2:$E$67,Fact_SortedWeights!$C$2:$C$67,$A56,Fact_SortedWeights!$B$2:$B$67,$B56)=0,0,SUMIFS(Fact_SortedWeights!$E$2:$E$67,Fact_SortedWeights!$C$2:$C$67,$A56,Fact_SortedWeights!$B$2:$B$67,$B56,Fact_SortedWeights!$D$2:$D$67,$C56)/SUMIFS(Fact_SortedWeights!$E$2:$E$67,Fact_SortedWeights!$C$2:$C$67,$A56,Fact_SortedWeights!$B$2:$B$67,$B56)*(IF($B56="Cardboard Recycling",SUMIFS(Fact_SortedWeights!$E$2:$E$67,Fact_SortedWeights!$C$2:$C$67,$A56,Fact_SortedWeights!$B$2:$B$67,$B56),SUMIFS(Fact_PreSortWeights!$E$2:$E$6,Fact_PreSortWeights!$C$2:$C$6,$A56,Fact_PreSortWeights!$B$2:$B$6,$B56))))</f>
        <v>0</v>
      </c>
      <c r="G56" s="0" t="n">
        <f aca="false">IF(AND(IF($B56="Trash",INDEX('Materials Master'!$F$2:$F$20,MATCH($C56,'Materials Master'!$A$2:$A$20,0)),IF($B56="GMPC Recycling",INDEX('Materials Master'!$G$2:$G$20,MATCH($C56,'Materials Master'!$A$2:$A$20,0)),IF($B56="Organics Recycling",INDEX('Materials Master'!$H$2:$H$20,MATCH($C56,'Materials Master'!$A$2:$A$20,0)),IF($B56="Cardboard Recycling",INDEX('Materials Master'!$I$2:$I$20,MATCH($C56,'Materials Master'!$A$2:$A$20,0)),IF($B56="Paper Recycling",INDEX('Materials Master'!$J$2:$J$20,MATCH($C56,'Materials Master'!$A$2:$A$20,0)),IF($B56="Terracycle",INDEX('Materials Master'!$K$2:$K$20,MATCH($C56,'Materials Master'!$A$2:$A$20,0)),"No"))))))="Yes",INDEX('Materials Master'!$E$2:$E$20,MATCH($C56,'Materials Master'!$A$2:$A$20,0))="Yes",$B56&lt;&gt;"Trash"),1,0)</f>
        <v>0</v>
      </c>
      <c r="H56" s="0" t="str">
        <f aca="false">INDEX('Materials Master'!$E$2:$E$20,MATCH($C56,'Materials Master'!$A$2:$A$20,0))</f>
        <v>No</v>
      </c>
      <c r="I56" s="0" t="str">
        <f aca="false">IFERROR(INDEX(Areas!$C$2:$C$3,MATCH($A56,Areas!$B$2:$B$3,0)),"")</f>
        <v>Cafeteria</v>
      </c>
      <c r="J56" s="0" t="n">
        <f aca="false">IF(IF($B56="Trash",INDEX('Materials Master'!$F$2:$F$20,MATCH($C56,'Materials Master'!$A$2:$A$20,0)),IF($B56="GMPC Recycling",INDEX('Materials Master'!$G$2:$G$20,MATCH($C56,'Materials Master'!$A$2:$A$20,0)),IF($B56="Organics Recycling",INDEX('Materials Master'!$H$2:$H$20,MATCH($C56,'Materials Master'!$A$2:$A$20,0)),IF($B56="Cardboard Recycling",INDEX('Materials Master'!$I$2:$I$20,MATCH($C56,'Materials Master'!$A$2:$A$20,0)),IF($B56="Paper Recycling",INDEX('Materials Master'!$J$2:$J$20,MATCH($C56,'Materials Master'!$A$2:$A$20,0)),IF($B56="Terracycle",INDEX('Materials Master'!$K$2:$K$20,MATCH($C56,'Materials Master'!$A$2:$A$20,0)),"No"))))))="Yes",1,0)</f>
        <v>0</v>
      </c>
    </row>
    <row r="57" customFormat="false" ht="15" hidden="false" customHeight="false" outlineLevel="0" collapsed="false">
      <c r="A57" s="0" t="s">
        <v>79</v>
      </c>
      <c r="B57" s="0" t="s">
        <v>85</v>
      </c>
      <c r="C57" s="0" t="s">
        <v>70</v>
      </c>
      <c r="D57" s="0" t="str">
        <f aca="false">IFERROR(INDEX('Materials Master'!$B$2:$B$20,MATCH($C57,'Materials Master'!$A$2:$A$20,0)),"")</f>
        <v>Liquids</v>
      </c>
      <c r="E57" s="0" t="str">
        <f aca="false">IFERROR(INDEX('Materials Master'!$C$2:$C$20,MATCH($C57,'Materials Master'!$A$2:$A$20,0)),"")</f>
        <v>Unacceptable</v>
      </c>
      <c r="F57" s="0" t="n">
        <f aca="false">IF(SUMIFS(Fact_SortedWeights!$E$2:$E$67,Fact_SortedWeights!$C$2:$C$67,$A57,Fact_SortedWeights!$B$2:$B$67,$B57)=0,0,SUMIFS(Fact_SortedWeights!$E$2:$E$67,Fact_SortedWeights!$C$2:$C$67,$A57,Fact_SortedWeights!$B$2:$B$67,$B57,Fact_SortedWeights!$D$2:$D$67,$C57)/SUMIFS(Fact_SortedWeights!$E$2:$E$67,Fact_SortedWeights!$C$2:$C$67,$A57,Fact_SortedWeights!$B$2:$B$67,$B57)*(IF($B57="Cardboard Recycling",SUMIFS(Fact_SortedWeights!$E$2:$E$67,Fact_SortedWeights!$C$2:$C$67,$A57,Fact_SortedWeights!$B$2:$B$67,$B57),SUMIFS(Fact_PreSortWeights!$E$2:$E$6,Fact_PreSortWeights!$C$2:$C$6,$A57,Fact_PreSortWeights!$B$2:$B$6,$B57))))</f>
        <v>0</v>
      </c>
      <c r="G57" s="0" t="n">
        <f aca="false">IF(AND(IF($B57="Trash",INDEX('Materials Master'!$F$2:$F$20,MATCH($C57,'Materials Master'!$A$2:$A$20,0)),IF($B57="GMPC Recycling",INDEX('Materials Master'!$G$2:$G$20,MATCH($C57,'Materials Master'!$A$2:$A$20,0)),IF($B57="Organics Recycling",INDEX('Materials Master'!$H$2:$H$20,MATCH($C57,'Materials Master'!$A$2:$A$20,0)),IF($B57="Cardboard Recycling",INDEX('Materials Master'!$I$2:$I$20,MATCH($C57,'Materials Master'!$A$2:$A$20,0)),IF($B57="Paper Recycling",INDEX('Materials Master'!$J$2:$J$20,MATCH($C57,'Materials Master'!$A$2:$A$20,0)),IF($B57="Terracycle",INDEX('Materials Master'!$K$2:$K$20,MATCH($C57,'Materials Master'!$A$2:$A$20,0)),"No"))))))="Yes",INDEX('Materials Master'!$E$2:$E$20,MATCH($C57,'Materials Master'!$A$2:$A$20,0))="Yes",$B57&lt;&gt;"Trash"),1,0)</f>
        <v>0</v>
      </c>
      <c r="H57" s="0" t="str">
        <f aca="false">INDEX('Materials Master'!$E$2:$E$20,MATCH($C57,'Materials Master'!$A$2:$A$20,0))</f>
        <v>No</v>
      </c>
      <c r="I57" s="0" t="str">
        <f aca="false">IFERROR(INDEX(Areas!$C$2:$C$3,MATCH($A57,Areas!$B$2:$B$3,0)),"")</f>
        <v>Cafeteria</v>
      </c>
      <c r="J57" s="0" t="n">
        <f aca="false">IF(IF($B57="Trash",INDEX('Materials Master'!$F$2:$F$20,MATCH($C57,'Materials Master'!$A$2:$A$20,0)),IF($B57="GMPC Recycling",INDEX('Materials Master'!$G$2:$G$20,MATCH($C57,'Materials Master'!$A$2:$A$20,0)),IF($B57="Organics Recycling",INDEX('Materials Master'!$H$2:$H$20,MATCH($C57,'Materials Master'!$A$2:$A$20,0)),IF($B57="Cardboard Recycling",INDEX('Materials Master'!$I$2:$I$20,MATCH($C57,'Materials Master'!$A$2:$A$20,0)),IF($B57="Paper Recycling",INDEX('Materials Master'!$J$2:$J$20,MATCH($C57,'Materials Master'!$A$2:$A$20,0)),IF($B57="Terracycle",INDEX('Materials Master'!$K$2:$K$20,MATCH($C57,'Materials Master'!$A$2:$A$20,0)),"No"))))))="Yes",1,0)</f>
        <v>0</v>
      </c>
    </row>
    <row r="58" customFormat="false" ht="15" hidden="false" customHeight="false" outlineLevel="0" collapsed="false">
      <c r="A58" s="0" t="s">
        <v>79</v>
      </c>
      <c r="B58" s="0" t="s">
        <v>85</v>
      </c>
      <c r="C58" s="0" t="s">
        <v>72</v>
      </c>
      <c r="D58" s="0" t="str">
        <f aca="false">IFERROR(INDEX('Materials Master'!$B$2:$B$20,MATCH($C58,'Materials Master'!$A$2:$A$20,0)),"")</f>
        <v>Residual Materials</v>
      </c>
      <c r="E58" s="0" t="str">
        <f aca="false">IFERROR(INDEX('Materials Master'!$C$2:$C$20,MATCH($C58,'Materials Master'!$A$2:$A$20,0)),"")</f>
        <v>Other</v>
      </c>
      <c r="F58" s="0" t="n">
        <f aca="false">IF(SUMIFS(Fact_SortedWeights!$E$2:$E$67,Fact_SortedWeights!$C$2:$C$67,$A58,Fact_SortedWeights!$B$2:$B$67,$B58)=0,0,SUMIFS(Fact_SortedWeights!$E$2:$E$67,Fact_SortedWeights!$C$2:$C$67,$A58,Fact_SortedWeights!$B$2:$B$67,$B58,Fact_SortedWeights!$D$2:$D$67,$C58)/SUMIFS(Fact_SortedWeights!$E$2:$E$67,Fact_SortedWeights!$C$2:$C$67,$A58,Fact_SortedWeights!$B$2:$B$67,$B58)*(IF($B58="Cardboard Recycling",SUMIFS(Fact_SortedWeights!$E$2:$E$67,Fact_SortedWeights!$C$2:$C$67,$A58,Fact_SortedWeights!$B$2:$B$67,$B58),SUMIFS(Fact_PreSortWeights!$E$2:$E$6,Fact_PreSortWeights!$C$2:$C$6,$A58,Fact_PreSortWeights!$B$2:$B$6,$B58))))</f>
        <v>0.45</v>
      </c>
      <c r="G58" s="0" t="n">
        <f aca="false">IF(AND(IF($B58="Trash",INDEX('Materials Master'!$F$2:$F$20,MATCH($C58,'Materials Master'!$A$2:$A$20,0)),IF($B58="GMPC Recycling",INDEX('Materials Master'!$G$2:$G$20,MATCH($C58,'Materials Master'!$A$2:$A$20,0)),IF($B58="Organics Recycling",INDEX('Materials Master'!$H$2:$H$20,MATCH($C58,'Materials Master'!$A$2:$A$20,0)),IF($B58="Cardboard Recycling",INDEX('Materials Master'!$I$2:$I$20,MATCH($C58,'Materials Master'!$A$2:$A$20,0)),IF($B58="Paper Recycling",INDEX('Materials Master'!$J$2:$J$20,MATCH($C58,'Materials Master'!$A$2:$A$20,0)),IF($B58="Terracycle",INDEX('Materials Master'!$K$2:$K$20,MATCH($C58,'Materials Master'!$A$2:$A$20,0)),"No"))))))="Yes",INDEX('Materials Master'!$E$2:$E$20,MATCH($C58,'Materials Master'!$A$2:$A$20,0))="Yes",$B58&lt;&gt;"Trash"),1,0)</f>
        <v>0</v>
      </c>
      <c r="H58" s="0" t="str">
        <f aca="false">INDEX('Materials Master'!$E$2:$E$20,MATCH($C58,'Materials Master'!$A$2:$A$20,0))</f>
        <v>No</v>
      </c>
      <c r="I58" s="0" t="str">
        <f aca="false">IFERROR(INDEX(Areas!$C$2:$C$3,MATCH($A58,Areas!$B$2:$B$3,0)),"")</f>
        <v>Cafeteria</v>
      </c>
      <c r="J58" s="0" t="n">
        <f aca="false">IF(IF($B58="Trash",INDEX('Materials Master'!$F$2:$F$20,MATCH($C58,'Materials Master'!$A$2:$A$20,0)),IF($B58="GMPC Recycling",INDEX('Materials Master'!$G$2:$G$20,MATCH($C58,'Materials Master'!$A$2:$A$20,0)),IF($B58="Organics Recycling",INDEX('Materials Master'!$H$2:$H$20,MATCH($C58,'Materials Master'!$A$2:$A$20,0)),IF($B58="Cardboard Recycling",INDEX('Materials Master'!$I$2:$I$20,MATCH($C58,'Materials Master'!$A$2:$A$20,0)),IF($B58="Paper Recycling",INDEX('Materials Master'!$J$2:$J$20,MATCH($C58,'Materials Master'!$A$2:$A$20,0)),IF($B58="Terracycle",INDEX('Materials Master'!$K$2:$K$20,MATCH($C58,'Materials Master'!$A$2:$A$20,0)),"No"))))))="Yes",1,0)</f>
        <v>0</v>
      </c>
    </row>
    <row r="59" customFormat="false" ht="15" hidden="false" customHeight="false" outlineLevel="0" collapsed="false">
      <c r="A59" s="0" t="s">
        <v>79</v>
      </c>
      <c r="B59" s="0" t="s">
        <v>86</v>
      </c>
      <c r="C59" s="0" t="s">
        <v>28</v>
      </c>
      <c r="D59" s="0" t="str">
        <f aca="false">IFERROR(INDEX('Materials Master'!$B$2:$B$20,MATCH($C59,'Materials Master'!$A$2:$A$20,0)),"")</f>
        <v>Corrugated Cardboard</v>
      </c>
      <c r="E59" s="0" t="str">
        <f aca="false">IFERROR(INDEX('Materials Master'!$C$2:$C$20,MATCH($C59,'Materials Master'!$A$2:$A$20,0)),"")</f>
        <v>Fibers</v>
      </c>
      <c r="F59" s="0" t="n">
        <f aca="false">IF(SUMIFS(Fact_SortedWeights!$E$2:$E$67,Fact_SortedWeights!$C$2:$C$67,$A59,Fact_SortedWeights!$B$2:$B$67,$B59)=0,0,SUMIFS(Fact_SortedWeights!$E$2:$E$67,Fact_SortedWeights!$C$2:$C$67,$A59,Fact_SortedWeights!$B$2:$B$67,$B59,Fact_SortedWeights!$D$2:$D$67,$C59)/SUMIFS(Fact_SortedWeights!$E$2:$E$67,Fact_SortedWeights!$C$2:$C$67,$A59,Fact_SortedWeights!$B$2:$B$67,$B59)*(IF($B59="Cardboard Recycling",SUMIFS(Fact_SortedWeights!$E$2:$E$67,Fact_SortedWeights!$C$2:$C$67,$A59,Fact_SortedWeights!$B$2:$B$67,$B59),SUMIFS(Fact_PreSortWeights!$E$2:$E$6,Fact_PreSortWeights!$C$2:$C$6,$A59,Fact_PreSortWeights!$B$2:$B$6,$B59))))</f>
        <v>82.14</v>
      </c>
      <c r="G59" s="0" t="n">
        <f aca="false">IF(AND(IF($B59="Trash",INDEX('Materials Master'!$F$2:$F$20,MATCH($C59,'Materials Master'!$A$2:$A$20,0)),IF($B59="GMPC Recycling",INDEX('Materials Master'!$G$2:$G$20,MATCH($C59,'Materials Master'!$A$2:$A$20,0)),IF($B59="Organics Recycling",INDEX('Materials Master'!$H$2:$H$20,MATCH($C59,'Materials Master'!$A$2:$A$20,0)),IF($B59="Cardboard Recycling",INDEX('Materials Master'!$I$2:$I$20,MATCH($C59,'Materials Master'!$A$2:$A$20,0)),IF($B59="Paper Recycling",INDEX('Materials Master'!$J$2:$J$20,MATCH($C59,'Materials Master'!$A$2:$A$20,0)),IF($B59="Terracycle",INDEX('Materials Master'!$K$2:$K$20,MATCH($C59,'Materials Master'!$A$2:$A$20,0)),"No"))))))="Yes",INDEX('Materials Master'!$E$2:$E$20,MATCH($C59,'Materials Master'!$A$2:$A$20,0))="Yes",$B59&lt;&gt;"Trash"),1,0)</f>
        <v>1</v>
      </c>
      <c r="H59" s="0" t="str">
        <f aca="false">INDEX('Materials Master'!$E$2:$E$20,MATCH($C59,'Materials Master'!$A$2:$A$20,0))</f>
        <v>Yes</v>
      </c>
      <c r="I59" s="0" t="str">
        <f aca="false">IFERROR(INDEX(Areas!$C$2:$C$3,MATCH($A59,Areas!$B$2:$B$3,0)),"")</f>
        <v>Cafeteria</v>
      </c>
      <c r="J59" s="0" t="n">
        <f aca="false">IF(IF($B59="Trash",INDEX('Materials Master'!$F$2:$F$20,MATCH($C59,'Materials Master'!$A$2:$A$20,0)),IF($B59="GMPC Recycling",INDEX('Materials Master'!$G$2:$G$20,MATCH($C59,'Materials Master'!$A$2:$A$20,0)),IF($B59="Organics Recycling",INDEX('Materials Master'!$H$2:$H$20,MATCH($C59,'Materials Master'!$A$2:$A$20,0)),IF($B59="Cardboard Recycling",INDEX('Materials Master'!$I$2:$I$20,MATCH($C59,'Materials Master'!$A$2:$A$20,0)),IF($B59="Paper Recycling",INDEX('Materials Master'!$J$2:$J$20,MATCH($C59,'Materials Master'!$A$2:$A$20,0)),IF($B59="Terracycle",INDEX('Materials Master'!$K$2:$K$20,MATCH($C59,'Materials Master'!$A$2:$A$20,0)),"No"))))))="Yes",1,0)</f>
        <v>1</v>
      </c>
    </row>
    <row r="60" customFormat="false" ht="15" hidden="false" customHeight="false" outlineLevel="0" collapsed="false">
      <c r="A60" s="0" t="s">
        <v>79</v>
      </c>
      <c r="B60" s="0" t="s">
        <v>86</v>
      </c>
      <c r="C60" s="0" t="s">
        <v>33</v>
      </c>
      <c r="D60" s="0" t="str">
        <f aca="false">IFERROR(INDEX('Materials Master'!$B$2:$B$20,MATCH($C60,'Materials Master'!$A$2:$A$20,0)),"")</f>
        <v>Waxed Cardboard</v>
      </c>
      <c r="E60" s="0" t="str">
        <f aca="false">IFERROR(INDEX('Materials Master'!$C$2:$C$20,MATCH($C60,'Materials Master'!$A$2:$A$20,0)),"")</f>
        <v>Fibers</v>
      </c>
      <c r="F60" s="0" t="n">
        <f aca="false">IF(SUMIFS(Fact_SortedWeights!$E$2:$E$67,Fact_SortedWeights!$C$2:$C$67,$A60,Fact_SortedWeights!$B$2:$B$67,$B60)=0,0,SUMIFS(Fact_SortedWeights!$E$2:$E$67,Fact_SortedWeights!$C$2:$C$67,$A60,Fact_SortedWeights!$B$2:$B$67,$B60,Fact_SortedWeights!$D$2:$D$67,$C60)/SUMIFS(Fact_SortedWeights!$E$2:$E$67,Fact_SortedWeights!$C$2:$C$67,$A60,Fact_SortedWeights!$B$2:$B$67,$B60)*(IF($B60="Cardboard Recycling",SUMIFS(Fact_SortedWeights!$E$2:$E$67,Fact_SortedWeights!$C$2:$C$67,$A60,Fact_SortedWeights!$B$2:$B$67,$B60),SUMIFS(Fact_PreSortWeights!$E$2:$E$6,Fact_PreSortWeights!$C$2:$C$6,$A60,Fact_PreSortWeights!$B$2:$B$6,$B60))))</f>
        <v>5.26</v>
      </c>
      <c r="G60" s="0" t="n">
        <f aca="false">IF(AND(IF($B60="Trash",INDEX('Materials Master'!$F$2:$F$20,MATCH($C60,'Materials Master'!$A$2:$A$20,0)),IF($B60="GMPC Recycling",INDEX('Materials Master'!$G$2:$G$20,MATCH($C60,'Materials Master'!$A$2:$A$20,0)),IF($B60="Organics Recycling",INDEX('Materials Master'!$H$2:$H$20,MATCH($C60,'Materials Master'!$A$2:$A$20,0)),IF($B60="Cardboard Recycling",INDEX('Materials Master'!$I$2:$I$20,MATCH($C60,'Materials Master'!$A$2:$A$20,0)),IF($B60="Paper Recycling",INDEX('Materials Master'!$J$2:$J$20,MATCH($C60,'Materials Master'!$A$2:$A$20,0)),IF($B60="Terracycle",INDEX('Materials Master'!$K$2:$K$20,MATCH($C60,'Materials Master'!$A$2:$A$20,0)),"No"))))))="Yes",INDEX('Materials Master'!$E$2:$E$20,MATCH($C60,'Materials Master'!$A$2:$A$20,0))="Yes",$B60&lt;&gt;"Trash"),1,0)</f>
        <v>0</v>
      </c>
      <c r="H60" s="0" t="str">
        <f aca="false">INDEX('Materials Master'!$E$2:$E$20,MATCH($C60,'Materials Master'!$A$2:$A$20,0))</f>
        <v>No</v>
      </c>
      <c r="I60" s="0" t="str">
        <f aca="false">IFERROR(INDEX(Areas!$C$2:$C$3,MATCH($A60,Areas!$B$2:$B$3,0)),"")</f>
        <v>Cafeteria</v>
      </c>
      <c r="J60" s="0" t="n">
        <f aca="false">IF(IF($B60="Trash",INDEX('Materials Master'!$F$2:$F$20,MATCH($C60,'Materials Master'!$A$2:$A$20,0)),IF($B60="GMPC Recycling",INDEX('Materials Master'!$G$2:$G$20,MATCH($C60,'Materials Master'!$A$2:$A$20,0)),IF($B60="Organics Recycling",INDEX('Materials Master'!$H$2:$H$20,MATCH($C60,'Materials Master'!$A$2:$A$20,0)),IF($B60="Cardboard Recycling",INDEX('Materials Master'!$I$2:$I$20,MATCH($C60,'Materials Master'!$A$2:$A$20,0)),IF($B60="Paper Recycling",INDEX('Materials Master'!$J$2:$J$20,MATCH($C60,'Materials Master'!$A$2:$A$20,0)),IF($B60="Terracycle",INDEX('Materials Master'!$K$2:$K$20,MATCH($C60,'Materials Master'!$A$2:$A$20,0)),"No"))))))="Yes",1,0)</f>
        <v>0</v>
      </c>
    </row>
    <row r="61" customFormat="false" ht="15" hidden="false" customHeight="false" outlineLevel="0" collapsed="false">
      <c r="A61" s="0" t="s">
        <v>79</v>
      </c>
      <c r="B61" s="0" t="s">
        <v>86</v>
      </c>
      <c r="C61" s="0" t="s">
        <v>35</v>
      </c>
      <c r="D61" s="0" t="str">
        <f aca="false">IFERROR(INDEX('Materials Master'!$B$2:$B$20,MATCH($C61,'Materials Master'!$A$2:$A$20,0)),"")</f>
        <v>Mixed Paper</v>
      </c>
      <c r="E61" s="0" t="str">
        <f aca="false">IFERROR(INDEX('Materials Master'!$C$2:$C$20,MATCH($C61,'Materials Master'!$A$2:$A$20,0)),"")</f>
        <v>Fibers</v>
      </c>
      <c r="F61" s="0" t="n">
        <f aca="false">IF(SUMIFS(Fact_SortedWeights!$E$2:$E$67,Fact_SortedWeights!$C$2:$C$67,$A61,Fact_SortedWeights!$B$2:$B$67,$B61)=0,0,SUMIFS(Fact_SortedWeights!$E$2:$E$67,Fact_SortedWeights!$C$2:$C$67,$A61,Fact_SortedWeights!$B$2:$B$67,$B61,Fact_SortedWeights!$D$2:$D$67,$C61)/SUMIFS(Fact_SortedWeights!$E$2:$E$67,Fact_SortedWeights!$C$2:$C$67,$A61,Fact_SortedWeights!$B$2:$B$67,$B61)*(IF($B61="Cardboard Recycling",SUMIFS(Fact_SortedWeights!$E$2:$E$67,Fact_SortedWeights!$C$2:$C$67,$A61,Fact_SortedWeights!$B$2:$B$67,$B61),SUMIFS(Fact_PreSortWeights!$E$2:$E$6,Fact_PreSortWeights!$C$2:$C$6,$A61,Fact_PreSortWeights!$B$2:$B$6,$B61))))</f>
        <v>0</v>
      </c>
      <c r="G61" s="0" t="n">
        <f aca="false">IF(AND(IF($B61="Trash",INDEX('Materials Master'!$F$2:$F$20,MATCH($C61,'Materials Master'!$A$2:$A$20,0)),IF($B61="GMPC Recycling",INDEX('Materials Master'!$G$2:$G$20,MATCH($C61,'Materials Master'!$A$2:$A$20,0)),IF($B61="Organics Recycling",INDEX('Materials Master'!$H$2:$H$20,MATCH($C61,'Materials Master'!$A$2:$A$20,0)),IF($B61="Cardboard Recycling",INDEX('Materials Master'!$I$2:$I$20,MATCH($C61,'Materials Master'!$A$2:$A$20,0)),IF($B61="Paper Recycling",INDEX('Materials Master'!$J$2:$J$20,MATCH($C61,'Materials Master'!$A$2:$A$20,0)),IF($B61="Terracycle",INDEX('Materials Master'!$K$2:$K$20,MATCH($C61,'Materials Master'!$A$2:$A$20,0)),"No"))))))="Yes",INDEX('Materials Master'!$E$2:$E$20,MATCH($C61,'Materials Master'!$A$2:$A$20,0))="Yes",$B61&lt;&gt;"Trash"),1,0)</f>
        <v>0</v>
      </c>
      <c r="H61" s="0" t="str">
        <f aca="false">INDEX('Materials Master'!$E$2:$E$20,MATCH($C61,'Materials Master'!$A$2:$A$20,0))</f>
        <v>Yes</v>
      </c>
      <c r="I61" s="0" t="str">
        <f aca="false">IFERROR(INDEX(Areas!$C$2:$C$3,MATCH($A61,Areas!$B$2:$B$3,0)),"")</f>
        <v>Cafeteria</v>
      </c>
      <c r="J61" s="0" t="n">
        <f aca="false">IF(IF($B61="Trash",INDEX('Materials Master'!$F$2:$F$20,MATCH($C61,'Materials Master'!$A$2:$A$20,0)),IF($B61="GMPC Recycling",INDEX('Materials Master'!$G$2:$G$20,MATCH($C61,'Materials Master'!$A$2:$A$20,0)),IF($B61="Organics Recycling",INDEX('Materials Master'!$H$2:$H$20,MATCH($C61,'Materials Master'!$A$2:$A$20,0)),IF($B61="Cardboard Recycling",INDEX('Materials Master'!$I$2:$I$20,MATCH($C61,'Materials Master'!$A$2:$A$20,0)),IF($B61="Paper Recycling",INDEX('Materials Master'!$J$2:$J$20,MATCH($C61,'Materials Master'!$A$2:$A$20,0)),IF($B61="Terracycle",INDEX('Materials Master'!$K$2:$K$20,MATCH($C61,'Materials Master'!$A$2:$A$20,0)),"No"))))))="Yes",1,0)</f>
        <v>0</v>
      </c>
    </row>
    <row r="62" customFormat="false" ht="15" hidden="false" customHeight="false" outlineLevel="0" collapsed="false">
      <c r="A62" s="0" t="s">
        <v>79</v>
      </c>
      <c r="B62" s="0" t="s">
        <v>86</v>
      </c>
      <c r="C62" s="0" t="s">
        <v>37</v>
      </c>
      <c r="D62" s="0" t="str">
        <f aca="false">IFERROR(INDEX('Materials Master'!$B$2:$B$20,MATCH($C62,'Materials Master'!$A$2:$A$20,0)),"")</f>
        <v>Gable-top &amp; Aseptic Cartons</v>
      </c>
      <c r="E62" s="0" t="str">
        <f aca="false">IFERROR(INDEX('Materials Master'!$C$2:$C$20,MATCH($C62,'Materials Master'!$A$2:$A$20,0)),"")</f>
        <v>Fibers</v>
      </c>
      <c r="F62" s="0" t="n">
        <f aca="false">IF(SUMIFS(Fact_SortedWeights!$E$2:$E$67,Fact_SortedWeights!$C$2:$C$67,$A62,Fact_SortedWeights!$B$2:$B$67,$B62)=0,0,SUMIFS(Fact_SortedWeights!$E$2:$E$67,Fact_SortedWeights!$C$2:$C$67,$A62,Fact_SortedWeights!$B$2:$B$67,$B62,Fact_SortedWeights!$D$2:$D$67,$C62)/SUMIFS(Fact_SortedWeights!$E$2:$E$67,Fact_SortedWeights!$C$2:$C$67,$A62,Fact_SortedWeights!$B$2:$B$67,$B62)*(IF($B62="Cardboard Recycling",SUMIFS(Fact_SortedWeights!$E$2:$E$67,Fact_SortedWeights!$C$2:$C$67,$A62,Fact_SortedWeights!$B$2:$B$67,$B62),SUMIFS(Fact_PreSortWeights!$E$2:$E$6,Fact_PreSortWeights!$C$2:$C$6,$A62,Fact_PreSortWeights!$B$2:$B$6,$B62))))</f>
        <v>0</v>
      </c>
      <c r="G62" s="0" t="n">
        <f aca="false">IF(AND(IF($B62="Trash",INDEX('Materials Master'!$F$2:$F$20,MATCH($C62,'Materials Master'!$A$2:$A$20,0)),IF($B62="GMPC Recycling",INDEX('Materials Master'!$G$2:$G$20,MATCH($C62,'Materials Master'!$A$2:$A$20,0)),IF($B62="Organics Recycling",INDEX('Materials Master'!$H$2:$H$20,MATCH($C62,'Materials Master'!$A$2:$A$20,0)),IF($B62="Cardboard Recycling",INDEX('Materials Master'!$I$2:$I$20,MATCH($C62,'Materials Master'!$A$2:$A$20,0)),IF($B62="Paper Recycling",INDEX('Materials Master'!$J$2:$J$20,MATCH($C62,'Materials Master'!$A$2:$A$20,0)),IF($B62="Terracycle",INDEX('Materials Master'!$K$2:$K$20,MATCH($C62,'Materials Master'!$A$2:$A$20,0)),"No"))))))="Yes",INDEX('Materials Master'!$E$2:$E$20,MATCH($C62,'Materials Master'!$A$2:$A$20,0))="Yes",$B62&lt;&gt;"Trash"),1,0)</f>
        <v>0</v>
      </c>
      <c r="H62" s="0" t="str">
        <f aca="false">INDEX('Materials Master'!$E$2:$E$20,MATCH($C62,'Materials Master'!$A$2:$A$20,0))</f>
        <v>Yes</v>
      </c>
      <c r="I62" s="0" t="str">
        <f aca="false">IFERROR(INDEX(Areas!$C$2:$C$3,MATCH($A62,Areas!$B$2:$B$3,0)),"")</f>
        <v>Cafeteria</v>
      </c>
      <c r="J62" s="0" t="n">
        <f aca="false">IF(IF($B62="Trash",INDEX('Materials Master'!$F$2:$F$20,MATCH($C62,'Materials Master'!$A$2:$A$20,0)),IF($B62="GMPC Recycling",INDEX('Materials Master'!$G$2:$G$20,MATCH($C62,'Materials Master'!$A$2:$A$20,0)),IF($B62="Organics Recycling",INDEX('Materials Master'!$H$2:$H$20,MATCH($C62,'Materials Master'!$A$2:$A$20,0)),IF($B62="Cardboard Recycling",INDEX('Materials Master'!$I$2:$I$20,MATCH($C62,'Materials Master'!$A$2:$A$20,0)),IF($B62="Paper Recycling",INDEX('Materials Master'!$J$2:$J$20,MATCH($C62,'Materials Master'!$A$2:$A$20,0)),IF($B62="Terracycle",INDEX('Materials Master'!$K$2:$K$20,MATCH($C62,'Materials Master'!$A$2:$A$20,0)),"No"))))))="Yes",1,0)</f>
        <v>0</v>
      </c>
    </row>
    <row r="63" customFormat="false" ht="15" hidden="false" customHeight="false" outlineLevel="0" collapsed="false">
      <c r="A63" s="0" t="s">
        <v>79</v>
      </c>
      <c r="B63" s="0" t="s">
        <v>86</v>
      </c>
      <c r="C63" s="0" t="s">
        <v>39</v>
      </c>
      <c r="D63" s="0" t="str">
        <f aca="false">IFERROR(INDEX('Materials Master'!$B$2:$B$20,MATCH($C63,'Materials Master'!$A$2:$A$20,0)),"")</f>
        <v>Other Coated Paper Containers</v>
      </c>
      <c r="E63" s="0" t="str">
        <f aca="false">IFERROR(INDEX('Materials Master'!$C$2:$C$20,MATCH($C63,'Materials Master'!$A$2:$A$20,0)),"")</f>
        <v>Fibers</v>
      </c>
      <c r="F63" s="0" t="n">
        <f aca="false">IF(SUMIFS(Fact_SortedWeights!$E$2:$E$67,Fact_SortedWeights!$C$2:$C$67,$A63,Fact_SortedWeights!$B$2:$B$67,$B63)=0,0,SUMIFS(Fact_SortedWeights!$E$2:$E$67,Fact_SortedWeights!$C$2:$C$67,$A63,Fact_SortedWeights!$B$2:$B$67,$B63,Fact_SortedWeights!$D$2:$D$67,$C63)/SUMIFS(Fact_SortedWeights!$E$2:$E$67,Fact_SortedWeights!$C$2:$C$67,$A63,Fact_SortedWeights!$B$2:$B$67,$B63)*(IF($B63="Cardboard Recycling",SUMIFS(Fact_SortedWeights!$E$2:$E$67,Fact_SortedWeights!$C$2:$C$67,$A63,Fact_SortedWeights!$B$2:$B$67,$B63),SUMIFS(Fact_PreSortWeights!$E$2:$E$6,Fact_PreSortWeights!$C$2:$C$6,$A63,Fact_PreSortWeights!$B$2:$B$6,$B63))))</f>
        <v>0</v>
      </c>
      <c r="G63" s="0" t="n">
        <f aca="false">IF(AND(IF($B63="Trash",INDEX('Materials Master'!$F$2:$F$20,MATCH($C63,'Materials Master'!$A$2:$A$20,0)),IF($B63="GMPC Recycling",INDEX('Materials Master'!$G$2:$G$20,MATCH($C63,'Materials Master'!$A$2:$A$20,0)),IF($B63="Organics Recycling",INDEX('Materials Master'!$H$2:$H$20,MATCH($C63,'Materials Master'!$A$2:$A$20,0)),IF($B63="Cardboard Recycling",INDEX('Materials Master'!$I$2:$I$20,MATCH($C63,'Materials Master'!$A$2:$A$20,0)),IF($B63="Paper Recycling",INDEX('Materials Master'!$J$2:$J$20,MATCH($C63,'Materials Master'!$A$2:$A$20,0)),IF($B63="Terracycle",INDEX('Materials Master'!$K$2:$K$20,MATCH($C63,'Materials Master'!$A$2:$A$20,0)),"No"))))))="Yes",INDEX('Materials Master'!$E$2:$E$20,MATCH($C63,'Materials Master'!$A$2:$A$20,0))="Yes",$B63&lt;&gt;"Trash"),1,0)</f>
        <v>0</v>
      </c>
      <c r="H63" s="0" t="str">
        <f aca="false">INDEX('Materials Master'!$E$2:$E$20,MATCH($C63,'Materials Master'!$A$2:$A$20,0))</f>
        <v>No</v>
      </c>
      <c r="I63" s="0" t="str">
        <f aca="false">IFERROR(INDEX(Areas!$C$2:$C$3,MATCH($A63,Areas!$B$2:$B$3,0)),"")</f>
        <v>Cafeteria</v>
      </c>
      <c r="J63" s="0" t="n">
        <f aca="false">IF(IF($B63="Trash",INDEX('Materials Master'!$F$2:$F$20,MATCH($C63,'Materials Master'!$A$2:$A$20,0)),IF($B63="GMPC Recycling",INDEX('Materials Master'!$G$2:$G$20,MATCH($C63,'Materials Master'!$A$2:$A$20,0)),IF($B63="Organics Recycling",INDEX('Materials Master'!$H$2:$H$20,MATCH($C63,'Materials Master'!$A$2:$A$20,0)),IF($B63="Cardboard Recycling",INDEX('Materials Master'!$I$2:$I$20,MATCH($C63,'Materials Master'!$A$2:$A$20,0)),IF($B63="Paper Recycling",INDEX('Materials Master'!$J$2:$J$20,MATCH($C63,'Materials Master'!$A$2:$A$20,0)),IF($B63="Terracycle",INDEX('Materials Master'!$K$2:$K$20,MATCH($C63,'Materials Master'!$A$2:$A$20,0)),"No"))))))="Yes",1,0)</f>
        <v>0</v>
      </c>
    </row>
    <row r="64" customFormat="false" ht="15" hidden="false" customHeight="false" outlineLevel="0" collapsed="false">
      <c r="A64" s="0" t="s">
        <v>79</v>
      </c>
      <c r="B64" s="0" t="s">
        <v>86</v>
      </c>
      <c r="C64" s="0" t="s">
        <v>41</v>
      </c>
      <c r="D64" s="0" t="str">
        <f aca="false">IFERROR(INDEX('Materials Master'!$B$2:$B$20,MATCH($C64,'Materials Master'!$A$2:$A$20,0)),"")</f>
        <v>Glass Bottles &amp; Jars</v>
      </c>
      <c r="E64" s="0" t="str">
        <f aca="false">IFERROR(INDEX('Materials Master'!$C$2:$C$20,MATCH($C64,'Materials Master'!$A$2:$A$20,0)),"")</f>
        <v>Glass</v>
      </c>
      <c r="F64" s="0" t="n">
        <f aca="false">IF(SUMIFS(Fact_SortedWeights!$E$2:$E$67,Fact_SortedWeights!$C$2:$C$67,$A64,Fact_SortedWeights!$B$2:$B$67,$B64)=0,0,SUMIFS(Fact_SortedWeights!$E$2:$E$67,Fact_SortedWeights!$C$2:$C$67,$A64,Fact_SortedWeights!$B$2:$B$67,$B64,Fact_SortedWeights!$D$2:$D$67,$C64)/SUMIFS(Fact_SortedWeights!$E$2:$E$67,Fact_SortedWeights!$C$2:$C$67,$A64,Fact_SortedWeights!$B$2:$B$67,$B64)*(IF($B64="Cardboard Recycling",SUMIFS(Fact_SortedWeights!$E$2:$E$67,Fact_SortedWeights!$C$2:$C$67,$A64,Fact_SortedWeights!$B$2:$B$67,$B64),SUMIFS(Fact_PreSortWeights!$E$2:$E$6,Fact_PreSortWeights!$C$2:$C$6,$A64,Fact_PreSortWeights!$B$2:$B$6,$B64))))</f>
        <v>0</v>
      </c>
      <c r="G64" s="0" t="n">
        <f aca="false">IF(AND(IF($B64="Trash",INDEX('Materials Master'!$F$2:$F$20,MATCH($C64,'Materials Master'!$A$2:$A$20,0)),IF($B64="GMPC Recycling",INDEX('Materials Master'!$G$2:$G$20,MATCH($C64,'Materials Master'!$A$2:$A$20,0)),IF($B64="Organics Recycling",INDEX('Materials Master'!$H$2:$H$20,MATCH($C64,'Materials Master'!$A$2:$A$20,0)),IF($B64="Cardboard Recycling",INDEX('Materials Master'!$I$2:$I$20,MATCH($C64,'Materials Master'!$A$2:$A$20,0)),IF($B64="Paper Recycling",INDEX('Materials Master'!$J$2:$J$20,MATCH($C64,'Materials Master'!$A$2:$A$20,0)),IF($B64="Terracycle",INDEX('Materials Master'!$K$2:$K$20,MATCH($C64,'Materials Master'!$A$2:$A$20,0)),"No"))))))="Yes",INDEX('Materials Master'!$E$2:$E$20,MATCH($C64,'Materials Master'!$A$2:$A$20,0))="Yes",$B64&lt;&gt;"Trash"),1,0)</f>
        <v>0</v>
      </c>
      <c r="H64" s="0" t="str">
        <f aca="false">INDEX('Materials Master'!$E$2:$E$20,MATCH($C64,'Materials Master'!$A$2:$A$20,0))</f>
        <v>Yes</v>
      </c>
      <c r="I64" s="0" t="str">
        <f aca="false">IFERROR(INDEX(Areas!$C$2:$C$3,MATCH($A64,Areas!$B$2:$B$3,0)),"")</f>
        <v>Cafeteria</v>
      </c>
      <c r="J64" s="0" t="n">
        <f aca="false">IF(IF($B64="Trash",INDEX('Materials Master'!$F$2:$F$20,MATCH($C64,'Materials Master'!$A$2:$A$20,0)),IF($B64="GMPC Recycling",INDEX('Materials Master'!$G$2:$G$20,MATCH($C64,'Materials Master'!$A$2:$A$20,0)),IF($B64="Organics Recycling",INDEX('Materials Master'!$H$2:$H$20,MATCH($C64,'Materials Master'!$A$2:$A$20,0)),IF($B64="Cardboard Recycling",INDEX('Materials Master'!$I$2:$I$20,MATCH($C64,'Materials Master'!$A$2:$A$20,0)),IF($B64="Paper Recycling",INDEX('Materials Master'!$J$2:$J$20,MATCH($C64,'Materials Master'!$A$2:$A$20,0)),IF($B64="Terracycle",INDEX('Materials Master'!$K$2:$K$20,MATCH($C64,'Materials Master'!$A$2:$A$20,0)),"No"))))))="Yes",1,0)</f>
        <v>0</v>
      </c>
    </row>
    <row r="65" customFormat="false" ht="15" hidden="false" customHeight="false" outlineLevel="0" collapsed="false">
      <c r="A65" s="0" t="s">
        <v>79</v>
      </c>
      <c r="B65" s="0" t="s">
        <v>86</v>
      </c>
      <c r="C65" s="0" t="s">
        <v>44</v>
      </c>
      <c r="D65" s="0" t="str">
        <f aca="false">IFERROR(INDEX('Materials Master'!$B$2:$B$20,MATCH($C65,'Materials Master'!$A$2:$A$20,0)),"")</f>
        <v>Broken Glass</v>
      </c>
      <c r="E65" s="0" t="str">
        <f aca="false">IFERROR(INDEX('Materials Master'!$C$2:$C$20,MATCH($C65,'Materials Master'!$A$2:$A$20,0)),"")</f>
        <v>Glass</v>
      </c>
      <c r="F65" s="0" t="n">
        <f aca="false">IF(SUMIFS(Fact_SortedWeights!$E$2:$E$67,Fact_SortedWeights!$C$2:$C$67,$A65,Fact_SortedWeights!$B$2:$B$67,$B65)=0,0,SUMIFS(Fact_SortedWeights!$E$2:$E$67,Fact_SortedWeights!$C$2:$C$67,$A65,Fact_SortedWeights!$B$2:$B$67,$B65,Fact_SortedWeights!$D$2:$D$67,$C65)/SUMIFS(Fact_SortedWeights!$E$2:$E$67,Fact_SortedWeights!$C$2:$C$67,$A65,Fact_SortedWeights!$B$2:$B$67,$B65)*(IF($B65="Cardboard Recycling",SUMIFS(Fact_SortedWeights!$E$2:$E$67,Fact_SortedWeights!$C$2:$C$67,$A65,Fact_SortedWeights!$B$2:$B$67,$B65),SUMIFS(Fact_PreSortWeights!$E$2:$E$6,Fact_PreSortWeights!$C$2:$C$6,$A65,Fact_PreSortWeights!$B$2:$B$6,$B65))))</f>
        <v>0</v>
      </c>
      <c r="G65" s="0" t="n">
        <f aca="false">IF(AND(IF($B65="Trash",INDEX('Materials Master'!$F$2:$F$20,MATCH($C65,'Materials Master'!$A$2:$A$20,0)),IF($B65="GMPC Recycling",INDEX('Materials Master'!$G$2:$G$20,MATCH($C65,'Materials Master'!$A$2:$A$20,0)),IF($B65="Organics Recycling",INDEX('Materials Master'!$H$2:$H$20,MATCH($C65,'Materials Master'!$A$2:$A$20,0)),IF($B65="Cardboard Recycling",INDEX('Materials Master'!$I$2:$I$20,MATCH($C65,'Materials Master'!$A$2:$A$20,0)),IF($B65="Paper Recycling",INDEX('Materials Master'!$J$2:$J$20,MATCH($C65,'Materials Master'!$A$2:$A$20,0)),IF($B65="Terracycle",INDEX('Materials Master'!$K$2:$K$20,MATCH($C65,'Materials Master'!$A$2:$A$20,0)),"No"))))))="Yes",INDEX('Materials Master'!$E$2:$E$20,MATCH($C65,'Materials Master'!$A$2:$A$20,0))="Yes",$B65&lt;&gt;"Trash"),1,0)</f>
        <v>0</v>
      </c>
      <c r="H65" s="0" t="str">
        <f aca="false">INDEX('Materials Master'!$E$2:$E$20,MATCH($C65,'Materials Master'!$A$2:$A$20,0))</f>
        <v>No</v>
      </c>
      <c r="I65" s="0" t="str">
        <f aca="false">IFERROR(INDEX(Areas!$C$2:$C$3,MATCH($A65,Areas!$B$2:$B$3,0)),"")</f>
        <v>Cafeteria</v>
      </c>
      <c r="J65" s="0" t="n">
        <f aca="false">IF(IF($B65="Trash",INDEX('Materials Master'!$F$2:$F$20,MATCH($C65,'Materials Master'!$A$2:$A$20,0)),IF($B65="GMPC Recycling",INDEX('Materials Master'!$G$2:$G$20,MATCH($C65,'Materials Master'!$A$2:$A$20,0)),IF($B65="Organics Recycling",INDEX('Materials Master'!$H$2:$H$20,MATCH($C65,'Materials Master'!$A$2:$A$20,0)),IF($B65="Cardboard Recycling",INDEX('Materials Master'!$I$2:$I$20,MATCH($C65,'Materials Master'!$A$2:$A$20,0)),IF($B65="Paper Recycling",INDEX('Materials Master'!$J$2:$J$20,MATCH($C65,'Materials Master'!$A$2:$A$20,0)),IF($B65="Terracycle",INDEX('Materials Master'!$K$2:$K$20,MATCH($C65,'Materials Master'!$A$2:$A$20,0)),"No"))))))="Yes",1,0)</f>
        <v>0</v>
      </c>
    </row>
    <row r="66" customFormat="false" ht="15" hidden="false" customHeight="false" outlineLevel="0" collapsed="false">
      <c r="A66" s="0" t="s">
        <v>79</v>
      </c>
      <c r="B66" s="0" t="s">
        <v>86</v>
      </c>
      <c r="C66" s="0" t="s">
        <v>46</v>
      </c>
      <c r="D66" s="0" t="str">
        <f aca="false">IFERROR(INDEX('Materials Master'!$B$2:$B$20,MATCH($C66,'Materials Master'!$A$2:$A$20,0)),"")</f>
        <v>Aluminum &amp; Bi-metal Containers</v>
      </c>
      <c r="E66" s="0" t="str">
        <f aca="false">IFERROR(INDEX('Materials Master'!$C$2:$C$20,MATCH($C66,'Materials Master'!$A$2:$A$20,0)),"")</f>
        <v>Metals</v>
      </c>
      <c r="F66" s="0" t="n">
        <f aca="false">IF(SUMIFS(Fact_SortedWeights!$E$2:$E$67,Fact_SortedWeights!$C$2:$C$67,$A66,Fact_SortedWeights!$B$2:$B$67,$B66)=0,0,SUMIFS(Fact_SortedWeights!$E$2:$E$67,Fact_SortedWeights!$C$2:$C$67,$A66,Fact_SortedWeights!$B$2:$B$67,$B66,Fact_SortedWeights!$D$2:$D$67,$C66)/SUMIFS(Fact_SortedWeights!$E$2:$E$67,Fact_SortedWeights!$C$2:$C$67,$A66,Fact_SortedWeights!$B$2:$B$67,$B66)*(IF($B66="Cardboard Recycling",SUMIFS(Fact_SortedWeights!$E$2:$E$67,Fact_SortedWeights!$C$2:$C$67,$A66,Fact_SortedWeights!$B$2:$B$67,$B66),SUMIFS(Fact_PreSortWeights!$E$2:$E$6,Fact_PreSortWeights!$C$2:$C$6,$A66,Fact_PreSortWeights!$B$2:$B$6,$B66))))</f>
        <v>0</v>
      </c>
      <c r="G66" s="0" t="n">
        <f aca="false">IF(AND(IF($B66="Trash",INDEX('Materials Master'!$F$2:$F$20,MATCH($C66,'Materials Master'!$A$2:$A$20,0)),IF($B66="GMPC Recycling",INDEX('Materials Master'!$G$2:$G$20,MATCH($C66,'Materials Master'!$A$2:$A$20,0)),IF($B66="Organics Recycling",INDEX('Materials Master'!$H$2:$H$20,MATCH($C66,'Materials Master'!$A$2:$A$20,0)),IF($B66="Cardboard Recycling",INDEX('Materials Master'!$I$2:$I$20,MATCH($C66,'Materials Master'!$A$2:$A$20,0)),IF($B66="Paper Recycling",INDEX('Materials Master'!$J$2:$J$20,MATCH($C66,'Materials Master'!$A$2:$A$20,0)),IF($B66="Terracycle",INDEX('Materials Master'!$K$2:$K$20,MATCH($C66,'Materials Master'!$A$2:$A$20,0)),"No"))))))="Yes",INDEX('Materials Master'!$E$2:$E$20,MATCH($C66,'Materials Master'!$A$2:$A$20,0))="Yes",$B66&lt;&gt;"Trash"),1,0)</f>
        <v>0</v>
      </c>
      <c r="H66" s="0" t="str">
        <f aca="false">INDEX('Materials Master'!$E$2:$E$20,MATCH($C66,'Materials Master'!$A$2:$A$20,0))</f>
        <v>Yes</v>
      </c>
      <c r="I66" s="0" t="str">
        <f aca="false">IFERROR(INDEX(Areas!$C$2:$C$3,MATCH($A66,Areas!$B$2:$B$3,0)),"")</f>
        <v>Cafeteria</v>
      </c>
      <c r="J66" s="0" t="n">
        <f aca="false">IF(IF($B66="Trash",INDEX('Materials Master'!$F$2:$F$20,MATCH($C66,'Materials Master'!$A$2:$A$20,0)),IF($B66="GMPC Recycling",INDEX('Materials Master'!$G$2:$G$20,MATCH($C66,'Materials Master'!$A$2:$A$20,0)),IF($B66="Organics Recycling",INDEX('Materials Master'!$H$2:$H$20,MATCH($C66,'Materials Master'!$A$2:$A$20,0)),IF($B66="Cardboard Recycling",INDEX('Materials Master'!$I$2:$I$20,MATCH($C66,'Materials Master'!$A$2:$A$20,0)),IF($B66="Paper Recycling",INDEX('Materials Master'!$J$2:$J$20,MATCH($C66,'Materials Master'!$A$2:$A$20,0)),IF($B66="Terracycle",INDEX('Materials Master'!$K$2:$K$20,MATCH($C66,'Materials Master'!$A$2:$A$20,0)),"No"))))))="Yes",1,0)</f>
        <v>0</v>
      </c>
    </row>
    <row r="67" customFormat="false" ht="15" hidden="false" customHeight="false" outlineLevel="0" collapsed="false">
      <c r="A67" s="0" t="s">
        <v>79</v>
      </c>
      <c r="B67" s="0" t="s">
        <v>86</v>
      </c>
      <c r="C67" s="0" t="s">
        <v>49</v>
      </c>
      <c r="D67" s="0" t="str">
        <f aca="false">IFERROR(INDEX('Materials Master'!$B$2:$B$20,MATCH($C67,'Materials Master'!$A$2:$A$20,0)),"")</f>
        <v>Metal Hangers</v>
      </c>
      <c r="E67" s="0" t="str">
        <f aca="false">IFERROR(INDEX('Materials Master'!$C$2:$C$20,MATCH($C67,'Materials Master'!$A$2:$A$20,0)),"")</f>
        <v>Metals</v>
      </c>
      <c r="F67" s="0" t="n">
        <f aca="false">IF(SUMIFS(Fact_SortedWeights!$E$2:$E$67,Fact_SortedWeights!$C$2:$C$67,$A67,Fact_SortedWeights!$B$2:$B$67,$B67)=0,0,SUMIFS(Fact_SortedWeights!$E$2:$E$67,Fact_SortedWeights!$C$2:$C$67,$A67,Fact_SortedWeights!$B$2:$B$67,$B67,Fact_SortedWeights!$D$2:$D$67,$C67)/SUMIFS(Fact_SortedWeights!$E$2:$E$67,Fact_SortedWeights!$C$2:$C$67,$A67,Fact_SortedWeights!$B$2:$B$67,$B67)*(IF($B67="Cardboard Recycling",SUMIFS(Fact_SortedWeights!$E$2:$E$67,Fact_SortedWeights!$C$2:$C$67,$A67,Fact_SortedWeights!$B$2:$B$67,$B67),SUMIFS(Fact_PreSortWeights!$E$2:$E$6,Fact_PreSortWeights!$C$2:$C$6,$A67,Fact_PreSortWeights!$B$2:$B$6,$B67))))</f>
        <v>0</v>
      </c>
      <c r="G67" s="0" t="n">
        <f aca="false">IF(AND(IF($B67="Trash",INDEX('Materials Master'!$F$2:$F$20,MATCH($C67,'Materials Master'!$A$2:$A$20,0)),IF($B67="GMPC Recycling",INDEX('Materials Master'!$G$2:$G$20,MATCH($C67,'Materials Master'!$A$2:$A$20,0)),IF($B67="Organics Recycling",INDEX('Materials Master'!$H$2:$H$20,MATCH($C67,'Materials Master'!$A$2:$A$20,0)),IF($B67="Cardboard Recycling",INDEX('Materials Master'!$I$2:$I$20,MATCH($C67,'Materials Master'!$A$2:$A$20,0)),IF($B67="Paper Recycling",INDEX('Materials Master'!$J$2:$J$20,MATCH($C67,'Materials Master'!$A$2:$A$20,0)),IF($B67="Terracycle",INDEX('Materials Master'!$K$2:$K$20,MATCH($C67,'Materials Master'!$A$2:$A$20,0)),"No"))))))="Yes",INDEX('Materials Master'!$E$2:$E$20,MATCH($C67,'Materials Master'!$A$2:$A$20,0))="Yes",$B67&lt;&gt;"Trash"),1,0)</f>
        <v>0</v>
      </c>
      <c r="H67" s="0" t="str">
        <f aca="false">INDEX('Materials Master'!$E$2:$E$20,MATCH($C67,'Materials Master'!$A$2:$A$20,0))</f>
        <v>No</v>
      </c>
      <c r="I67" s="0" t="str">
        <f aca="false">IFERROR(INDEX(Areas!$C$2:$C$3,MATCH($A67,Areas!$B$2:$B$3,0)),"")</f>
        <v>Cafeteria</v>
      </c>
      <c r="J67" s="0" t="n">
        <f aca="false">IF(IF($B67="Trash",INDEX('Materials Master'!$F$2:$F$20,MATCH($C67,'Materials Master'!$A$2:$A$20,0)),IF($B67="GMPC Recycling",INDEX('Materials Master'!$G$2:$G$20,MATCH($C67,'Materials Master'!$A$2:$A$20,0)),IF($B67="Organics Recycling",INDEX('Materials Master'!$H$2:$H$20,MATCH($C67,'Materials Master'!$A$2:$A$20,0)),IF($B67="Cardboard Recycling",INDEX('Materials Master'!$I$2:$I$20,MATCH($C67,'Materials Master'!$A$2:$A$20,0)),IF($B67="Paper Recycling",INDEX('Materials Master'!$J$2:$J$20,MATCH($C67,'Materials Master'!$A$2:$A$20,0)),IF($B67="Terracycle",INDEX('Materials Master'!$K$2:$K$20,MATCH($C67,'Materials Master'!$A$2:$A$20,0)),"No"))))))="Yes",1,0)</f>
        <v>0</v>
      </c>
    </row>
    <row r="68" customFormat="false" ht="15" hidden="false" customHeight="false" outlineLevel="0" collapsed="false">
      <c r="A68" s="0" t="s">
        <v>79</v>
      </c>
      <c r="B68" s="0" t="s">
        <v>86</v>
      </c>
      <c r="C68" s="0" t="s">
        <v>51</v>
      </c>
      <c r="D68" s="0" t="str">
        <f aca="false">IFERROR(INDEX('Materials Master'!$B$2:$B$20,MATCH($C68,'Materials Master'!$A$2:$A$20,0)),"")</f>
        <v>Rigid Plastics (1-6)</v>
      </c>
      <c r="E68" s="0" t="str">
        <f aca="false">IFERROR(INDEX('Materials Master'!$C$2:$C$20,MATCH($C68,'Materials Master'!$A$2:$A$20,0)),"")</f>
        <v>Plastics</v>
      </c>
      <c r="F68" s="0" t="n">
        <f aca="false">IF(SUMIFS(Fact_SortedWeights!$E$2:$E$67,Fact_SortedWeights!$C$2:$C$67,$A68,Fact_SortedWeights!$B$2:$B$67,$B68)=0,0,SUMIFS(Fact_SortedWeights!$E$2:$E$67,Fact_SortedWeights!$C$2:$C$67,$A68,Fact_SortedWeights!$B$2:$B$67,$B68,Fact_SortedWeights!$D$2:$D$67,$C68)/SUMIFS(Fact_SortedWeights!$E$2:$E$67,Fact_SortedWeights!$C$2:$C$67,$A68,Fact_SortedWeights!$B$2:$B$67,$B68)*(IF($B68="Cardboard Recycling",SUMIFS(Fact_SortedWeights!$E$2:$E$67,Fact_SortedWeights!$C$2:$C$67,$A68,Fact_SortedWeights!$B$2:$B$67,$B68),SUMIFS(Fact_PreSortWeights!$E$2:$E$6,Fact_PreSortWeights!$C$2:$C$6,$A68,Fact_PreSortWeights!$B$2:$B$6,$B68))))</f>
        <v>0</v>
      </c>
      <c r="G68" s="0" t="n">
        <f aca="false">IF(AND(IF($B68="Trash",INDEX('Materials Master'!$F$2:$F$20,MATCH($C68,'Materials Master'!$A$2:$A$20,0)),IF($B68="GMPC Recycling",INDEX('Materials Master'!$G$2:$G$20,MATCH($C68,'Materials Master'!$A$2:$A$20,0)),IF($B68="Organics Recycling",INDEX('Materials Master'!$H$2:$H$20,MATCH($C68,'Materials Master'!$A$2:$A$20,0)),IF($B68="Cardboard Recycling",INDEX('Materials Master'!$I$2:$I$20,MATCH($C68,'Materials Master'!$A$2:$A$20,0)),IF($B68="Paper Recycling",INDEX('Materials Master'!$J$2:$J$20,MATCH($C68,'Materials Master'!$A$2:$A$20,0)),IF($B68="Terracycle",INDEX('Materials Master'!$K$2:$K$20,MATCH($C68,'Materials Master'!$A$2:$A$20,0)),"No"))))))="Yes",INDEX('Materials Master'!$E$2:$E$20,MATCH($C68,'Materials Master'!$A$2:$A$20,0))="Yes",$B68&lt;&gt;"Trash"),1,0)</f>
        <v>0</v>
      </c>
      <c r="H68" s="0" t="str">
        <f aca="false">INDEX('Materials Master'!$E$2:$E$20,MATCH($C68,'Materials Master'!$A$2:$A$20,0))</f>
        <v>Yes</v>
      </c>
      <c r="I68" s="0" t="str">
        <f aca="false">IFERROR(INDEX(Areas!$C$2:$C$3,MATCH($A68,Areas!$B$2:$B$3,0)),"")</f>
        <v>Cafeteria</v>
      </c>
      <c r="J68" s="0" t="n">
        <f aca="false">IF(IF($B68="Trash",INDEX('Materials Master'!$F$2:$F$20,MATCH($C68,'Materials Master'!$A$2:$A$20,0)),IF($B68="GMPC Recycling",INDEX('Materials Master'!$G$2:$G$20,MATCH($C68,'Materials Master'!$A$2:$A$20,0)),IF($B68="Organics Recycling",INDEX('Materials Master'!$H$2:$H$20,MATCH($C68,'Materials Master'!$A$2:$A$20,0)),IF($B68="Cardboard Recycling",INDEX('Materials Master'!$I$2:$I$20,MATCH($C68,'Materials Master'!$A$2:$A$20,0)),IF($B68="Paper Recycling",INDEX('Materials Master'!$J$2:$J$20,MATCH($C68,'Materials Master'!$A$2:$A$20,0)),IF($B68="Terracycle",INDEX('Materials Master'!$K$2:$K$20,MATCH($C68,'Materials Master'!$A$2:$A$20,0)),"No"))))))="Yes",1,0)</f>
        <v>0</v>
      </c>
    </row>
    <row r="69" customFormat="false" ht="15" hidden="false" customHeight="false" outlineLevel="0" collapsed="false">
      <c r="A69" s="0" t="s">
        <v>79</v>
      </c>
      <c r="B69" s="0" t="s">
        <v>86</v>
      </c>
      <c r="C69" s="0" t="s">
        <v>54</v>
      </c>
      <c r="D69" s="0" t="str">
        <f aca="false">IFERROR(INDEX('Materials Master'!$B$2:$B$20,MATCH($C69,'Materials Master'!$A$2:$A$20,0)),"")</f>
        <v>Soiled Rigid Plastics</v>
      </c>
      <c r="E69" s="0" t="str">
        <f aca="false">IFERROR(INDEX('Materials Master'!$C$2:$C$20,MATCH($C69,'Materials Master'!$A$2:$A$20,0)),"")</f>
        <v>Plastics</v>
      </c>
      <c r="F69" s="0" t="n">
        <f aca="false">IF(SUMIFS(Fact_SortedWeights!$E$2:$E$67,Fact_SortedWeights!$C$2:$C$67,$A69,Fact_SortedWeights!$B$2:$B$67,$B69)=0,0,SUMIFS(Fact_SortedWeights!$E$2:$E$67,Fact_SortedWeights!$C$2:$C$67,$A69,Fact_SortedWeights!$B$2:$B$67,$B69,Fact_SortedWeights!$D$2:$D$67,$C69)/SUMIFS(Fact_SortedWeights!$E$2:$E$67,Fact_SortedWeights!$C$2:$C$67,$A69,Fact_SortedWeights!$B$2:$B$67,$B69)*(IF($B69="Cardboard Recycling",SUMIFS(Fact_SortedWeights!$E$2:$E$67,Fact_SortedWeights!$C$2:$C$67,$A69,Fact_SortedWeights!$B$2:$B$67,$B69),SUMIFS(Fact_PreSortWeights!$E$2:$E$6,Fact_PreSortWeights!$C$2:$C$6,$A69,Fact_PreSortWeights!$B$2:$B$6,$B69))))</f>
        <v>0</v>
      </c>
      <c r="G69" s="0" t="n">
        <f aca="false">IF(AND(IF($B69="Trash",INDEX('Materials Master'!$F$2:$F$20,MATCH($C69,'Materials Master'!$A$2:$A$20,0)),IF($B69="GMPC Recycling",INDEX('Materials Master'!$G$2:$G$20,MATCH($C69,'Materials Master'!$A$2:$A$20,0)),IF($B69="Organics Recycling",INDEX('Materials Master'!$H$2:$H$20,MATCH($C69,'Materials Master'!$A$2:$A$20,0)),IF($B69="Cardboard Recycling",INDEX('Materials Master'!$I$2:$I$20,MATCH($C69,'Materials Master'!$A$2:$A$20,0)),IF($B69="Paper Recycling",INDEX('Materials Master'!$J$2:$J$20,MATCH($C69,'Materials Master'!$A$2:$A$20,0)),IF($B69="Terracycle",INDEX('Materials Master'!$K$2:$K$20,MATCH($C69,'Materials Master'!$A$2:$A$20,0)),"No"))))))="Yes",INDEX('Materials Master'!$E$2:$E$20,MATCH($C69,'Materials Master'!$A$2:$A$20,0))="Yes",$B69&lt;&gt;"Trash"),1,0)</f>
        <v>0</v>
      </c>
      <c r="H69" s="0" t="str">
        <f aca="false">INDEX('Materials Master'!$E$2:$E$20,MATCH($C69,'Materials Master'!$A$2:$A$20,0))</f>
        <v>No</v>
      </c>
      <c r="I69" s="0" t="str">
        <f aca="false">IFERROR(INDEX(Areas!$C$2:$C$3,MATCH($A69,Areas!$B$2:$B$3,0)),"")</f>
        <v>Cafeteria</v>
      </c>
      <c r="J69" s="0" t="n">
        <f aca="false">IF(IF($B69="Trash",INDEX('Materials Master'!$F$2:$F$20,MATCH($C69,'Materials Master'!$A$2:$A$20,0)),IF($B69="GMPC Recycling",INDEX('Materials Master'!$G$2:$G$20,MATCH($C69,'Materials Master'!$A$2:$A$20,0)),IF($B69="Organics Recycling",INDEX('Materials Master'!$H$2:$H$20,MATCH($C69,'Materials Master'!$A$2:$A$20,0)),IF($B69="Cardboard Recycling",INDEX('Materials Master'!$I$2:$I$20,MATCH($C69,'Materials Master'!$A$2:$A$20,0)),IF($B69="Paper Recycling",INDEX('Materials Master'!$J$2:$J$20,MATCH($C69,'Materials Master'!$A$2:$A$20,0)),IF($B69="Terracycle",INDEX('Materials Master'!$K$2:$K$20,MATCH($C69,'Materials Master'!$A$2:$A$20,0)),"No"))))))="Yes",1,0)</f>
        <v>0</v>
      </c>
    </row>
    <row r="70" customFormat="false" ht="15" hidden="false" customHeight="false" outlineLevel="0" collapsed="false">
      <c r="A70" s="0" t="s">
        <v>79</v>
      </c>
      <c r="B70" s="0" t="s">
        <v>86</v>
      </c>
      <c r="C70" s="0" t="s">
        <v>56</v>
      </c>
      <c r="D70" s="0" t="str">
        <f aca="false">IFERROR(INDEX('Materials Master'!$B$2:$B$20,MATCH($C70,'Materials Master'!$A$2:$A$20,0)),"")</f>
        <v>Film Plastics</v>
      </c>
      <c r="E70" s="0" t="str">
        <f aca="false">IFERROR(INDEX('Materials Master'!$C$2:$C$20,MATCH($C70,'Materials Master'!$A$2:$A$20,0)),"")</f>
        <v>Plastics</v>
      </c>
      <c r="F70" s="0" t="n">
        <f aca="false">IF(SUMIFS(Fact_SortedWeights!$E$2:$E$67,Fact_SortedWeights!$C$2:$C$67,$A70,Fact_SortedWeights!$B$2:$B$67,$B70)=0,0,SUMIFS(Fact_SortedWeights!$E$2:$E$67,Fact_SortedWeights!$C$2:$C$67,$A70,Fact_SortedWeights!$B$2:$B$67,$B70,Fact_SortedWeights!$D$2:$D$67,$C70)/SUMIFS(Fact_SortedWeights!$E$2:$E$67,Fact_SortedWeights!$C$2:$C$67,$A70,Fact_SortedWeights!$B$2:$B$67,$B70)*(IF($B70="Cardboard Recycling",SUMIFS(Fact_SortedWeights!$E$2:$E$67,Fact_SortedWeights!$C$2:$C$67,$A70,Fact_SortedWeights!$B$2:$B$67,$B70),SUMIFS(Fact_PreSortWeights!$E$2:$E$6,Fact_PreSortWeights!$C$2:$C$6,$A70,Fact_PreSortWeights!$B$2:$B$6,$B70))))</f>
        <v>0</v>
      </c>
      <c r="G70" s="0" t="n">
        <f aca="false">IF(AND(IF($B70="Trash",INDEX('Materials Master'!$F$2:$F$20,MATCH($C70,'Materials Master'!$A$2:$A$20,0)),IF($B70="GMPC Recycling",INDEX('Materials Master'!$G$2:$G$20,MATCH($C70,'Materials Master'!$A$2:$A$20,0)),IF($B70="Organics Recycling",INDEX('Materials Master'!$H$2:$H$20,MATCH($C70,'Materials Master'!$A$2:$A$20,0)),IF($B70="Cardboard Recycling",INDEX('Materials Master'!$I$2:$I$20,MATCH($C70,'Materials Master'!$A$2:$A$20,0)),IF($B70="Paper Recycling",INDEX('Materials Master'!$J$2:$J$20,MATCH($C70,'Materials Master'!$A$2:$A$20,0)),IF($B70="Terracycle",INDEX('Materials Master'!$K$2:$K$20,MATCH($C70,'Materials Master'!$A$2:$A$20,0)),"No"))))))="Yes",INDEX('Materials Master'!$E$2:$E$20,MATCH($C70,'Materials Master'!$A$2:$A$20,0))="Yes",$B70&lt;&gt;"Trash"),1,0)</f>
        <v>0</v>
      </c>
      <c r="H70" s="0" t="str">
        <f aca="false">INDEX('Materials Master'!$E$2:$E$20,MATCH($C70,'Materials Master'!$A$2:$A$20,0))</f>
        <v>No</v>
      </c>
      <c r="I70" s="0" t="str">
        <f aca="false">IFERROR(INDEX(Areas!$C$2:$C$3,MATCH($A70,Areas!$B$2:$B$3,0)),"")</f>
        <v>Cafeteria</v>
      </c>
      <c r="J70" s="0" t="n">
        <f aca="false">IF(IF($B70="Trash",INDEX('Materials Master'!$F$2:$F$20,MATCH($C70,'Materials Master'!$A$2:$A$20,0)),IF($B70="GMPC Recycling",INDEX('Materials Master'!$G$2:$G$20,MATCH($C70,'Materials Master'!$A$2:$A$20,0)),IF($B70="Organics Recycling",INDEX('Materials Master'!$H$2:$H$20,MATCH($C70,'Materials Master'!$A$2:$A$20,0)),IF($B70="Cardboard Recycling",INDEX('Materials Master'!$I$2:$I$20,MATCH($C70,'Materials Master'!$A$2:$A$20,0)),IF($B70="Paper Recycling",INDEX('Materials Master'!$J$2:$J$20,MATCH($C70,'Materials Master'!$A$2:$A$20,0)),IF($B70="Terracycle",INDEX('Materials Master'!$K$2:$K$20,MATCH($C70,'Materials Master'!$A$2:$A$20,0)),"No"))))))="Yes",1,0)</f>
        <v>0</v>
      </c>
    </row>
    <row r="71" customFormat="false" ht="15" hidden="false" customHeight="false" outlineLevel="0" collapsed="false">
      <c r="A71" s="0" t="s">
        <v>79</v>
      </c>
      <c r="B71" s="0" t="s">
        <v>86</v>
      </c>
      <c r="C71" s="0" t="s">
        <v>58</v>
      </c>
      <c r="D71" s="0" t="str">
        <f aca="false">IFERROR(INDEX('Materials Master'!$B$2:$B$20,MATCH($C71,'Materials Master'!$A$2:$A$20,0)),"")</f>
        <v>Waste Disposal Bags</v>
      </c>
      <c r="E71" s="0" t="str">
        <f aca="false">IFERROR(INDEX('Materials Master'!$C$2:$C$20,MATCH($C71,'Materials Master'!$A$2:$A$20,0)),"")</f>
        <v>Plastics</v>
      </c>
      <c r="F71" s="0" t="n">
        <f aca="false">IF(SUMIFS(Fact_SortedWeights!$E$2:$E$67,Fact_SortedWeights!$C$2:$C$67,$A71,Fact_SortedWeights!$B$2:$B$67,$B71)=0,0,SUMIFS(Fact_SortedWeights!$E$2:$E$67,Fact_SortedWeights!$C$2:$C$67,$A71,Fact_SortedWeights!$B$2:$B$67,$B71,Fact_SortedWeights!$D$2:$D$67,$C71)/SUMIFS(Fact_SortedWeights!$E$2:$E$67,Fact_SortedWeights!$C$2:$C$67,$A71,Fact_SortedWeights!$B$2:$B$67,$B71)*(IF($B71="Cardboard Recycling",SUMIFS(Fact_SortedWeights!$E$2:$E$67,Fact_SortedWeights!$C$2:$C$67,$A71,Fact_SortedWeights!$B$2:$B$67,$B71),SUMIFS(Fact_PreSortWeights!$E$2:$E$6,Fact_PreSortWeights!$C$2:$C$6,$A71,Fact_PreSortWeights!$B$2:$B$6,$B71))))</f>
        <v>0</v>
      </c>
      <c r="G71" s="0" t="n">
        <f aca="false">IF(AND(IF($B71="Trash",INDEX('Materials Master'!$F$2:$F$20,MATCH($C71,'Materials Master'!$A$2:$A$20,0)),IF($B71="GMPC Recycling",INDEX('Materials Master'!$G$2:$G$20,MATCH($C71,'Materials Master'!$A$2:$A$20,0)),IF($B71="Organics Recycling",INDEX('Materials Master'!$H$2:$H$20,MATCH($C71,'Materials Master'!$A$2:$A$20,0)),IF($B71="Cardboard Recycling",INDEX('Materials Master'!$I$2:$I$20,MATCH($C71,'Materials Master'!$A$2:$A$20,0)),IF($B71="Paper Recycling",INDEX('Materials Master'!$J$2:$J$20,MATCH($C71,'Materials Master'!$A$2:$A$20,0)),IF($B71="Terracycle",INDEX('Materials Master'!$K$2:$K$20,MATCH($C71,'Materials Master'!$A$2:$A$20,0)),"No"))))))="Yes",INDEX('Materials Master'!$E$2:$E$20,MATCH($C71,'Materials Master'!$A$2:$A$20,0))="Yes",$B71&lt;&gt;"Trash"),1,0)</f>
        <v>0</v>
      </c>
      <c r="H71" s="0" t="str">
        <f aca="false">INDEX('Materials Master'!$E$2:$E$20,MATCH($C71,'Materials Master'!$A$2:$A$20,0))</f>
        <v>No</v>
      </c>
      <c r="I71" s="0" t="str">
        <f aca="false">IFERROR(INDEX(Areas!$C$2:$C$3,MATCH($A71,Areas!$B$2:$B$3,0)),"")</f>
        <v>Cafeteria</v>
      </c>
      <c r="J71" s="0" t="n">
        <f aca="false">IF(IF($B71="Trash",INDEX('Materials Master'!$F$2:$F$20,MATCH($C71,'Materials Master'!$A$2:$A$20,0)),IF($B71="GMPC Recycling",INDEX('Materials Master'!$G$2:$G$20,MATCH($C71,'Materials Master'!$A$2:$A$20,0)),IF($B71="Organics Recycling",INDEX('Materials Master'!$H$2:$H$20,MATCH($C71,'Materials Master'!$A$2:$A$20,0)),IF($B71="Cardboard Recycling",INDEX('Materials Master'!$I$2:$I$20,MATCH($C71,'Materials Master'!$A$2:$A$20,0)),IF($B71="Paper Recycling",INDEX('Materials Master'!$J$2:$J$20,MATCH($C71,'Materials Master'!$A$2:$A$20,0)),IF($B71="Terracycle",INDEX('Materials Master'!$K$2:$K$20,MATCH($C71,'Materials Master'!$A$2:$A$20,0)),"No"))))))="Yes",1,0)</f>
        <v>0</v>
      </c>
    </row>
    <row r="72" customFormat="false" ht="15" hidden="false" customHeight="false" outlineLevel="0" collapsed="false">
      <c r="A72" s="0" t="s">
        <v>79</v>
      </c>
      <c r="B72" s="0" t="s">
        <v>86</v>
      </c>
      <c r="C72" s="0" t="s">
        <v>60</v>
      </c>
      <c r="D72" s="0" t="str">
        <f aca="false">IFERROR(INDEX('Materials Master'!$B$2:$B$20,MATCH($C72,'Materials Master'!$A$2:$A$20,0)),"")</f>
        <v>Food Waste</v>
      </c>
      <c r="E72" s="0" t="str">
        <f aca="false">IFERROR(INDEX('Materials Master'!$C$2:$C$20,MATCH($C72,'Materials Master'!$A$2:$A$20,0)),"")</f>
        <v>Organics</v>
      </c>
      <c r="F72" s="0" t="n">
        <f aca="false">IF(SUMIFS(Fact_SortedWeights!$E$2:$E$67,Fact_SortedWeights!$C$2:$C$67,$A72,Fact_SortedWeights!$B$2:$B$67,$B72)=0,0,SUMIFS(Fact_SortedWeights!$E$2:$E$67,Fact_SortedWeights!$C$2:$C$67,$A72,Fact_SortedWeights!$B$2:$B$67,$B72,Fact_SortedWeights!$D$2:$D$67,$C72)/SUMIFS(Fact_SortedWeights!$E$2:$E$67,Fact_SortedWeights!$C$2:$C$67,$A72,Fact_SortedWeights!$B$2:$B$67,$B72)*(IF($B72="Cardboard Recycling",SUMIFS(Fact_SortedWeights!$E$2:$E$67,Fact_SortedWeights!$C$2:$C$67,$A72,Fact_SortedWeights!$B$2:$B$67,$B72),SUMIFS(Fact_PreSortWeights!$E$2:$E$6,Fact_PreSortWeights!$C$2:$C$6,$A72,Fact_PreSortWeights!$B$2:$B$6,$B72))))</f>
        <v>0</v>
      </c>
      <c r="G72" s="0" t="n">
        <f aca="false">IF(AND(IF($B72="Trash",INDEX('Materials Master'!$F$2:$F$20,MATCH($C72,'Materials Master'!$A$2:$A$20,0)),IF($B72="GMPC Recycling",INDEX('Materials Master'!$G$2:$G$20,MATCH($C72,'Materials Master'!$A$2:$A$20,0)),IF($B72="Organics Recycling",INDEX('Materials Master'!$H$2:$H$20,MATCH($C72,'Materials Master'!$A$2:$A$20,0)),IF($B72="Cardboard Recycling",INDEX('Materials Master'!$I$2:$I$20,MATCH($C72,'Materials Master'!$A$2:$A$20,0)),IF($B72="Paper Recycling",INDEX('Materials Master'!$J$2:$J$20,MATCH($C72,'Materials Master'!$A$2:$A$20,0)),IF($B72="Terracycle",INDEX('Materials Master'!$K$2:$K$20,MATCH($C72,'Materials Master'!$A$2:$A$20,0)),"No"))))))="Yes",INDEX('Materials Master'!$E$2:$E$20,MATCH($C72,'Materials Master'!$A$2:$A$20,0))="Yes",$B72&lt;&gt;"Trash"),1,0)</f>
        <v>0</v>
      </c>
      <c r="H72" s="0" t="str">
        <f aca="false">INDEX('Materials Master'!$E$2:$E$20,MATCH($C72,'Materials Master'!$A$2:$A$20,0))</f>
        <v>Yes</v>
      </c>
      <c r="I72" s="0" t="str">
        <f aca="false">IFERROR(INDEX(Areas!$C$2:$C$3,MATCH($A72,Areas!$B$2:$B$3,0)),"")</f>
        <v>Cafeteria</v>
      </c>
      <c r="J72" s="0" t="n">
        <f aca="false">IF(IF($B72="Trash",INDEX('Materials Master'!$F$2:$F$20,MATCH($C72,'Materials Master'!$A$2:$A$20,0)),IF($B72="GMPC Recycling",INDEX('Materials Master'!$G$2:$G$20,MATCH($C72,'Materials Master'!$A$2:$A$20,0)),IF($B72="Organics Recycling",INDEX('Materials Master'!$H$2:$H$20,MATCH($C72,'Materials Master'!$A$2:$A$20,0)),IF($B72="Cardboard Recycling",INDEX('Materials Master'!$I$2:$I$20,MATCH($C72,'Materials Master'!$A$2:$A$20,0)),IF($B72="Paper Recycling",INDEX('Materials Master'!$J$2:$J$20,MATCH($C72,'Materials Master'!$A$2:$A$20,0)),IF($B72="Terracycle",INDEX('Materials Master'!$K$2:$K$20,MATCH($C72,'Materials Master'!$A$2:$A$20,0)),"No"))))))="Yes",1,0)</f>
        <v>0</v>
      </c>
    </row>
    <row r="73" customFormat="false" ht="15" hidden="false" customHeight="false" outlineLevel="0" collapsed="false">
      <c r="A73" s="0" t="s">
        <v>79</v>
      </c>
      <c r="B73" s="0" t="s">
        <v>86</v>
      </c>
      <c r="C73" s="0" t="s">
        <v>63</v>
      </c>
      <c r="D73" s="0" t="str">
        <f aca="false">IFERROR(INDEX('Materials Master'!$B$2:$B$20,MATCH($C73,'Materials Master'!$A$2:$A$20,0)),"")</f>
        <v>Paper Fibers and FSP</v>
      </c>
      <c r="E73" s="0" t="str">
        <f aca="false">IFERROR(INDEX('Materials Master'!$C$2:$C$20,MATCH($C73,'Materials Master'!$A$2:$A$20,0)),"")</f>
        <v>Organics</v>
      </c>
      <c r="F73" s="0" t="n">
        <f aca="false">IF(SUMIFS(Fact_SortedWeights!$E$2:$E$67,Fact_SortedWeights!$C$2:$C$67,$A73,Fact_SortedWeights!$B$2:$B$67,$B73)=0,0,SUMIFS(Fact_SortedWeights!$E$2:$E$67,Fact_SortedWeights!$C$2:$C$67,$A73,Fact_SortedWeights!$B$2:$B$67,$B73,Fact_SortedWeights!$D$2:$D$67,$C73)/SUMIFS(Fact_SortedWeights!$E$2:$E$67,Fact_SortedWeights!$C$2:$C$67,$A73,Fact_SortedWeights!$B$2:$B$67,$B73)*(IF($B73="Cardboard Recycling",SUMIFS(Fact_SortedWeights!$E$2:$E$67,Fact_SortedWeights!$C$2:$C$67,$A73,Fact_SortedWeights!$B$2:$B$67,$B73),SUMIFS(Fact_PreSortWeights!$E$2:$E$6,Fact_PreSortWeights!$C$2:$C$6,$A73,Fact_PreSortWeights!$B$2:$B$6,$B73))))</f>
        <v>0</v>
      </c>
      <c r="G73" s="0" t="n">
        <f aca="false">IF(AND(IF($B73="Trash",INDEX('Materials Master'!$F$2:$F$20,MATCH($C73,'Materials Master'!$A$2:$A$20,0)),IF($B73="GMPC Recycling",INDEX('Materials Master'!$G$2:$G$20,MATCH($C73,'Materials Master'!$A$2:$A$20,0)),IF($B73="Organics Recycling",INDEX('Materials Master'!$H$2:$H$20,MATCH($C73,'Materials Master'!$A$2:$A$20,0)),IF($B73="Cardboard Recycling",INDEX('Materials Master'!$I$2:$I$20,MATCH($C73,'Materials Master'!$A$2:$A$20,0)),IF($B73="Paper Recycling",INDEX('Materials Master'!$J$2:$J$20,MATCH($C73,'Materials Master'!$A$2:$A$20,0)),IF($B73="Terracycle",INDEX('Materials Master'!$K$2:$K$20,MATCH($C73,'Materials Master'!$A$2:$A$20,0)),"No"))))))="Yes",INDEX('Materials Master'!$E$2:$E$20,MATCH($C73,'Materials Master'!$A$2:$A$20,0))="Yes",$B73&lt;&gt;"Trash"),1,0)</f>
        <v>0</v>
      </c>
      <c r="H73" s="0" t="str">
        <f aca="false">INDEX('Materials Master'!$E$2:$E$20,MATCH($C73,'Materials Master'!$A$2:$A$20,0))</f>
        <v>No</v>
      </c>
      <c r="I73" s="0" t="str">
        <f aca="false">IFERROR(INDEX(Areas!$C$2:$C$3,MATCH($A73,Areas!$B$2:$B$3,0)),"")</f>
        <v>Cafeteria</v>
      </c>
      <c r="J73" s="0" t="n">
        <f aca="false">IF(IF($B73="Trash",INDEX('Materials Master'!$F$2:$F$20,MATCH($C73,'Materials Master'!$A$2:$A$20,0)),IF($B73="GMPC Recycling",INDEX('Materials Master'!$G$2:$G$20,MATCH($C73,'Materials Master'!$A$2:$A$20,0)),IF($B73="Organics Recycling",INDEX('Materials Master'!$H$2:$H$20,MATCH($C73,'Materials Master'!$A$2:$A$20,0)),IF($B73="Cardboard Recycling",INDEX('Materials Master'!$I$2:$I$20,MATCH($C73,'Materials Master'!$A$2:$A$20,0)),IF($B73="Paper Recycling",INDEX('Materials Master'!$J$2:$J$20,MATCH($C73,'Materials Master'!$A$2:$A$20,0)),IF($B73="Terracycle",INDEX('Materials Master'!$K$2:$K$20,MATCH($C73,'Materials Master'!$A$2:$A$20,0)),"No"))))))="Yes",1,0)</f>
        <v>0</v>
      </c>
    </row>
    <row r="74" customFormat="false" ht="15" hidden="false" customHeight="false" outlineLevel="0" collapsed="false">
      <c r="A74" s="0" t="s">
        <v>79</v>
      </c>
      <c r="B74" s="0" t="s">
        <v>86</v>
      </c>
      <c r="C74" s="0" t="s">
        <v>65</v>
      </c>
      <c r="D74" s="0" t="str">
        <f aca="false">IFERROR(INDEX('Materials Master'!$B$2:$B$20,MATCH($C74,'Materials Master'!$A$2:$A$20,0)),"")</f>
        <v>Certified Compostables</v>
      </c>
      <c r="E74" s="0" t="str">
        <f aca="false">IFERROR(INDEX('Materials Master'!$C$2:$C$20,MATCH($C74,'Materials Master'!$A$2:$A$20,0)),"")</f>
        <v>Organics</v>
      </c>
      <c r="F74" s="0" t="n">
        <f aca="false">IF(SUMIFS(Fact_SortedWeights!$E$2:$E$67,Fact_SortedWeights!$C$2:$C$67,$A74,Fact_SortedWeights!$B$2:$B$67,$B74)=0,0,SUMIFS(Fact_SortedWeights!$E$2:$E$67,Fact_SortedWeights!$C$2:$C$67,$A74,Fact_SortedWeights!$B$2:$B$67,$B74,Fact_SortedWeights!$D$2:$D$67,$C74)/SUMIFS(Fact_SortedWeights!$E$2:$E$67,Fact_SortedWeights!$C$2:$C$67,$A74,Fact_SortedWeights!$B$2:$B$67,$B74)*(IF($B74="Cardboard Recycling",SUMIFS(Fact_SortedWeights!$E$2:$E$67,Fact_SortedWeights!$C$2:$C$67,$A74,Fact_SortedWeights!$B$2:$B$67,$B74),SUMIFS(Fact_PreSortWeights!$E$2:$E$6,Fact_PreSortWeights!$C$2:$C$6,$A74,Fact_PreSortWeights!$B$2:$B$6,$B74))))</f>
        <v>0</v>
      </c>
      <c r="G74" s="0" t="n">
        <f aca="false">IF(AND(IF($B74="Trash",INDEX('Materials Master'!$F$2:$F$20,MATCH($C74,'Materials Master'!$A$2:$A$20,0)),IF($B74="GMPC Recycling",INDEX('Materials Master'!$G$2:$G$20,MATCH($C74,'Materials Master'!$A$2:$A$20,0)),IF($B74="Organics Recycling",INDEX('Materials Master'!$H$2:$H$20,MATCH($C74,'Materials Master'!$A$2:$A$20,0)),IF($B74="Cardboard Recycling",INDEX('Materials Master'!$I$2:$I$20,MATCH($C74,'Materials Master'!$A$2:$A$20,0)),IF($B74="Paper Recycling",INDEX('Materials Master'!$J$2:$J$20,MATCH($C74,'Materials Master'!$A$2:$A$20,0)),IF($B74="Terracycle",INDEX('Materials Master'!$K$2:$K$20,MATCH($C74,'Materials Master'!$A$2:$A$20,0)),"No"))))))="Yes",INDEX('Materials Master'!$E$2:$E$20,MATCH($C74,'Materials Master'!$A$2:$A$20,0))="Yes",$B74&lt;&gt;"Trash"),1,0)</f>
        <v>0</v>
      </c>
      <c r="H74" s="0" t="str">
        <f aca="false">INDEX('Materials Master'!$E$2:$E$20,MATCH($C74,'Materials Master'!$A$2:$A$20,0))</f>
        <v>No</v>
      </c>
      <c r="I74" s="0" t="str">
        <f aca="false">IFERROR(INDEX(Areas!$C$2:$C$3,MATCH($A74,Areas!$B$2:$B$3,0)),"")</f>
        <v>Cafeteria</v>
      </c>
      <c r="J74" s="0" t="n">
        <f aca="false">IF(IF($B74="Trash",INDEX('Materials Master'!$F$2:$F$20,MATCH($C74,'Materials Master'!$A$2:$A$20,0)),IF($B74="GMPC Recycling",INDEX('Materials Master'!$G$2:$G$20,MATCH($C74,'Materials Master'!$A$2:$A$20,0)),IF($B74="Organics Recycling",INDEX('Materials Master'!$H$2:$H$20,MATCH($C74,'Materials Master'!$A$2:$A$20,0)),IF($B74="Cardboard Recycling",INDEX('Materials Master'!$I$2:$I$20,MATCH($C74,'Materials Master'!$A$2:$A$20,0)),IF($B74="Paper Recycling",INDEX('Materials Master'!$J$2:$J$20,MATCH($C74,'Materials Master'!$A$2:$A$20,0)),IF($B74="Terracycle",INDEX('Materials Master'!$K$2:$K$20,MATCH($C74,'Materials Master'!$A$2:$A$20,0)),"No"))))))="Yes",1,0)</f>
        <v>0</v>
      </c>
    </row>
    <row r="75" customFormat="false" ht="15" hidden="false" customHeight="false" outlineLevel="0" collapsed="false">
      <c r="A75" s="0" t="s">
        <v>79</v>
      </c>
      <c r="B75" s="0" t="s">
        <v>86</v>
      </c>
      <c r="C75" s="0" t="s">
        <v>67</v>
      </c>
      <c r="D75" s="0" t="str">
        <f aca="false">IFERROR(INDEX('Materials Master'!$B$2:$B$20,MATCH($C75,'Materials Master'!$A$2:$A$20,0)),"")</f>
        <v>Textiles</v>
      </c>
      <c r="E75" s="0" t="str">
        <f aca="false">IFERROR(INDEX('Materials Master'!$C$2:$C$20,MATCH($C75,'Materials Master'!$A$2:$A$20,0)),"")</f>
        <v>Unacceptable</v>
      </c>
      <c r="F75" s="0" t="n">
        <f aca="false">IF(SUMIFS(Fact_SortedWeights!$E$2:$E$67,Fact_SortedWeights!$C$2:$C$67,$A75,Fact_SortedWeights!$B$2:$B$67,$B75)=0,0,SUMIFS(Fact_SortedWeights!$E$2:$E$67,Fact_SortedWeights!$C$2:$C$67,$A75,Fact_SortedWeights!$B$2:$B$67,$B75,Fact_SortedWeights!$D$2:$D$67,$C75)/SUMIFS(Fact_SortedWeights!$E$2:$E$67,Fact_SortedWeights!$C$2:$C$67,$A75,Fact_SortedWeights!$B$2:$B$67,$B75)*(IF($B75="Cardboard Recycling",SUMIFS(Fact_SortedWeights!$E$2:$E$67,Fact_SortedWeights!$C$2:$C$67,$A75,Fact_SortedWeights!$B$2:$B$67,$B75),SUMIFS(Fact_PreSortWeights!$E$2:$E$6,Fact_PreSortWeights!$C$2:$C$6,$A75,Fact_PreSortWeights!$B$2:$B$6,$B75))))</f>
        <v>0</v>
      </c>
      <c r="G75" s="0" t="n">
        <f aca="false">IF(AND(IF($B75="Trash",INDEX('Materials Master'!$F$2:$F$20,MATCH($C75,'Materials Master'!$A$2:$A$20,0)),IF($B75="GMPC Recycling",INDEX('Materials Master'!$G$2:$G$20,MATCH($C75,'Materials Master'!$A$2:$A$20,0)),IF($B75="Organics Recycling",INDEX('Materials Master'!$H$2:$H$20,MATCH($C75,'Materials Master'!$A$2:$A$20,0)),IF($B75="Cardboard Recycling",INDEX('Materials Master'!$I$2:$I$20,MATCH($C75,'Materials Master'!$A$2:$A$20,0)),IF($B75="Paper Recycling",INDEX('Materials Master'!$J$2:$J$20,MATCH($C75,'Materials Master'!$A$2:$A$20,0)),IF($B75="Terracycle",INDEX('Materials Master'!$K$2:$K$20,MATCH($C75,'Materials Master'!$A$2:$A$20,0)),"No"))))))="Yes",INDEX('Materials Master'!$E$2:$E$20,MATCH($C75,'Materials Master'!$A$2:$A$20,0))="Yes",$B75&lt;&gt;"Trash"),1,0)</f>
        <v>0</v>
      </c>
      <c r="H75" s="0" t="str">
        <f aca="false">INDEX('Materials Master'!$E$2:$E$20,MATCH($C75,'Materials Master'!$A$2:$A$20,0))</f>
        <v>No</v>
      </c>
      <c r="I75" s="0" t="str">
        <f aca="false">IFERROR(INDEX(Areas!$C$2:$C$3,MATCH($A75,Areas!$B$2:$B$3,0)),"")</f>
        <v>Cafeteria</v>
      </c>
      <c r="J75" s="0" t="n">
        <f aca="false">IF(IF($B75="Trash",INDEX('Materials Master'!$F$2:$F$20,MATCH($C75,'Materials Master'!$A$2:$A$20,0)),IF($B75="GMPC Recycling",INDEX('Materials Master'!$G$2:$G$20,MATCH($C75,'Materials Master'!$A$2:$A$20,0)),IF($B75="Organics Recycling",INDEX('Materials Master'!$H$2:$H$20,MATCH($C75,'Materials Master'!$A$2:$A$20,0)),IF($B75="Cardboard Recycling",INDEX('Materials Master'!$I$2:$I$20,MATCH($C75,'Materials Master'!$A$2:$A$20,0)),IF($B75="Paper Recycling",INDEX('Materials Master'!$J$2:$J$20,MATCH($C75,'Materials Master'!$A$2:$A$20,0)),IF($B75="Terracycle",INDEX('Materials Master'!$K$2:$K$20,MATCH($C75,'Materials Master'!$A$2:$A$20,0)),"No"))))))="Yes",1,0)</f>
        <v>0</v>
      </c>
    </row>
    <row r="76" customFormat="false" ht="15" hidden="false" customHeight="false" outlineLevel="0" collapsed="false">
      <c r="A76" s="0" t="s">
        <v>79</v>
      </c>
      <c r="B76" s="0" t="s">
        <v>86</v>
      </c>
      <c r="C76" s="0" t="s">
        <v>70</v>
      </c>
      <c r="D76" s="0" t="str">
        <f aca="false">IFERROR(INDEX('Materials Master'!$B$2:$B$20,MATCH($C76,'Materials Master'!$A$2:$A$20,0)),"")</f>
        <v>Liquids</v>
      </c>
      <c r="E76" s="0" t="str">
        <f aca="false">IFERROR(INDEX('Materials Master'!$C$2:$C$20,MATCH($C76,'Materials Master'!$A$2:$A$20,0)),"")</f>
        <v>Unacceptable</v>
      </c>
      <c r="F76" s="0" t="n">
        <f aca="false">IF(SUMIFS(Fact_SortedWeights!$E$2:$E$67,Fact_SortedWeights!$C$2:$C$67,$A76,Fact_SortedWeights!$B$2:$B$67,$B76)=0,0,SUMIFS(Fact_SortedWeights!$E$2:$E$67,Fact_SortedWeights!$C$2:$C$67,$A76,Fact_SortedWeights!$B$2:$B$67,$B76,Fact_SortedWeights!$D$2:$D$67,$C76)/SUMIFS(Fact_SortedWeights!$E$2:$E$67,Fact_SortedWeights!$C$2:$C$67,$A76,Fact_SortedWeights!$B$2:$B$67,$B76)*(IF($B76="Cardboard Recycling",SUMIFS(Fact_SortedWeights!$E$2:$E$67,Fact_SortedWeights!$C$2:$C$67,$A76,Fact_SortedWeights!$B$2:$B$67,$B76),SUMIFS(Fact_PreSortWeights!$E$2:$E$6,Fact_PreSortWeights!$C$2:$C$6,$A76,Fact_PreSortWeights!$B$2:$B$6,$B76))))</f>
        <v>0</v>
      </c>
      <c r="G76" s="0" t="n">
        <f aca="false">IF(AND(IF($B76="Trash",INDEX('Materials Master'!$F$2:$F$20,MATCH($C76,'Materials Master'!$A$2:$A$20,0)),IF($B76="GMPC Recycling",INDEX('Materials Master'!$G$2:$G$20,MATCH($C76,'Materials Master'!$A$2:$A$20,0)),IF($B76="Organics Recycling",INDEX('Materials Master'!$H$2:$H$20,MATCH($C76,'Materials Master'!$A$2:$A$20,0)),IF($B76="Cardboard Recycling",INDEX('Materials Master'!$I$2:$I$20,MATCH($C76,'Materials Master'!$A$2:$A$20,0)),IF($B76="Paper Recycling",INDEX('Materials Master'!$J$2:$J$20,MATCH($C76,'Materials Master'!$A$2:$A$20,0)),IF($B76="Terracycle",INDEX('Materials Master'!$K$2:$K$20,MATCH($C76,'Materials Master'!$A$2:$A$20,0)),"No"))))))="Yes",INDEX('Materials Master'!$E$2:$E$20,MATCH($C76,'Materials Master'!$A$2:$A$20,0))="Yes",$B76&lt;&gt;"Trash"),1,0)</f>
        <v>0</v>
      </c>
      <c r="H76" s="0" t="str">
        <f aca="false">INDEX('Materials Master'!$E$2:$E$20,MATCH($C76,'Materials Master'!$A$2:$A$20,0))</f>
        <v>No</v>
      </c>
      <c r="I76" s="0" t="str">
        <f aca="false">IFERROR(INDEX(Areas!$C$2:$C$3,MATCH($A76,Areas!$B$2:$B$3,0)),"")</f>
        <v>Cafeteria</v>
      </c>
      <c r="J76" s="0" t="n">
        <f aca="false">IF(IF($B76="Trash",INDEX('Materials Master'!$F$2:$F$20,MATCH($C76,'Materials Master'!$A$2:$A$20,0)),IF($B76="GMPC Recycling",INDEX('Materials Master'!$G$2:$G$20,MATCH($C76,'Materials Master'!$A$2:$A$20,0)),IF($B76="Organics Recycling",INDEX('Materials Master'!$H$2:$H$20,MATCH($C76,'Materials Master'!$A$2:$A$20,0)),IF($B76="Cardboard Recycling",INDEX('Materials Master'!$I$2:$I$20,MATCH($C76,'Materials Master'!$A$2:$A$20,0)),IF($B76="Paper Recycling",INDEX('Materials Master'!$J$2:$J$20,MATCH($C76,'Materials Master'!$A$2:$A$20,0)),IF($B76="Terracycle",INDEX('Materials Master'!$K$2:$K$20,MATCH($C76,'Materials Master'!$A$2:$A$20,0)),"No"))))))="Yes",1,0)</f>
        <v>0</v>
      </c>
    </row>
    <row r="77" customFormat="false" ht="15" hidden="false" customHeight="false" outlineLevel="0" collapsed="false">
      <c r="A77" s="0" t="s">
        <v>79</v>
      </c>
      <c r="B77" s="0" t="s">
        <v>86</v>
      </c>
      <c r="C77" s="0" t="s">
        <v>72</v>
      </c>
      <c r="D77" s="0" t="str">
        <f aca="false">IFERROR(INDEX('Materials Master'!$B$2:$B$20,MATCH($C77,'Materials Master'!$A$2:$A$20,0)),"")</f>
        <v>Residual Materials</v>
      </c>
      <c r="E77" s="0" t="str">
        <f aca="false">IFERROR(INDEX('Materials Master'!$C$2:$C$20,MATCH($C77,'Materials Master'!$A$2:$A$20,0)),"")</f>
        <v>Other</v>
      </c>
      <c r="F77" s="0" t="n">
        <f aca="false">IF(SUMIFS(Fact_SortedWeights!$E$2:$E$67,Fact_SortedWeights!$C$2:$C$67,$A77,Fact_SortedWeights!$B$2:$B$67,$B77)=0,0,SUMIFS(Fact_SortedWeights!$E$2:$E$67,Fact_SortedWeights!$C$2:$C$67,$A77,Fact_SortedWeights!$B$2:$B$67,$B77,Fact_SortedWeights!$D$2:$D$67,$C77)/SUMIFS(Fact_SortedWeights!$E$2:$E$67,Fact_SortedWeights!$C$2:$C$67,$A77,Fact_SortedWeights!$B$2:$B$67,$B77)*(IF($B77="Cardboard Recycling",SUMIFS(Fact_SortedWeights!$E$2:$E$67,Fact_SortedWeights!$C$2:$C$67,$A77,Fact_SortedWeights!$B$2:$B$67,$B77),SUMIFS(Fact_PreSortWeights!$E$2:$E$6,Fact_PreSortWeights!$C$2:$C$6,$A77,Fact_PreSortWeights!$B$2:$B$6,$B77))))</f>
        <v>0</v>
      </c>
      <c r="G77" s="0" t="n">
        <f aca="false">IF(AND(IF($B77="Trash",INDEX('Materials Master'!$F$2:$F$20,MATCH($C77,'Materials Master'!$A$2:$A$20,0)),IF($B77="GMPC Recycling",INDEX('Materials Master'!$G$2:$G$20,MATCH($C77,'Materials Master'!$A$2:$A$20,0)),IF($B77="Organics Recycling",INDEX('Materials Master'!$H$2:$H$20,MATCH($C77,'Materials Master'!$A$2:$A$20,0)),IF($B77="Cardboard Recycling",INDEX('Materials Master'!$I$2:$I$20,MATCH($C77,'Materials Master'!$A$2:$A$20,0)),IF($B77="Paper Recycling",INDEX('Materials Master'!$J$2:$J$20,MATCH($C77,'Materials Master'!$A$2:$A$20,0)),IF($B77="Terracycle",INDEX('Materials Master'!$K$2:$K$20,MATCH($C77,'Materials Master'!$A$2:$A$20,0)),"No"))))))="Yes",INDEX('Materials Master'!$E$2:$E$20,MATCH($C77,'Materials Master'!$A$2:$A$20,0))="Yes",$B77&lt;&gt;"Trash"),1,0)</f>
        <v>0</v>
      </c>
      <c r="H77" s="0" t="str">
        <f aca="false">INDEX('Materials Master'!$E$2:$E$20,MATCH($C77,'Materials Master'!$A$2:$A$20,0))</f>
        <v>No</v>
      </c>
      <c r="I77" s="0" t="str">
        <f aca="false">IFERROR(INDEX(Areas!$C$2:$C$3,MATCH($A77,Areas!$B$2:$B$3,0)),"")</f>
        <v>Cafeteria</v>
      </c>
      <c r="J77" s="0" t="n">
        <f aca="false">IF(IF($B77="Trash",INDEX('Materials Master'!$F$2:$F$20,MATCH($C77,'Materials Master'!$A$2:$A$20,0)),IF($B77="GMPC Recycling",INDEX('Materials Master'!$G$2:$G$20,MATCH($C77,'Materials Master'!$A$2:$A$20,0)),IF($B77="Organics Recycling",INDEX('Materials Master'!$H$2:$H$20,MATCH($C77,'Materials Master'!$A$2:$A$20,0)),IF($B77="Cardboard Recycling",INDEX('Materials Master'!$I$2:$I$20,MATCH($C77,'Materials Master'!$A$2:$A$20,0)),IF($B77="Paper Recycling",INDEX('Materials Master'!$J$2:$J$20,MATCH($C77,'Materials Master'!$A$2:$A$20,0)),IF($B77="Terracycle",INDEX('Materials Master'!$K$2:$K$20,MATCH($C77,'Materials Master'!$A$2:$A$20,0)),"No"))))))="Yes",1,0)</f>
        <v>0</v>
      </c>
    </row>
    <row r="78" customFormat="false" ht="15" hidden="false" customHeight="false" outlineLevel="0" collapsed="false">
      <c r="A78" s="0" t="s">
        <v>79</v>
      </c>
      <c r="B78" s="0" t="s">
        <v>87</v>
      </c>
      <c r="C78" s="0" t="s">
        <v>28</v>
      </c>
      <c r="D78" s="0" t="str">
        <f aca="false">IFERROR(INDEX('Materials Master'!$B$2:$B$20,MATCH($C78,'Materials Master'!$A$2:$A$20,0)),"")</f>
        <v>Corrugated Cardboard</v>
      </c>
      <c r="E78" s="0" t="str">
        <f aca="false">IFERROR(INDEX('Materials Master'!$C$2:$C$20,MATCH($C78,'Materials Master'!$A$2:$A$20,0)),"")</f>
        <v>Fibers</v>
      </c>
      <c r="F78" s="0" t="n">
        <f aca="false">IF(SUMIFS(Fact_SortedWeights!$E$2:$E$67,Fact_SortedWeights!$C$2:$C$67,$A78,Fact_SortedWeights!$B$2:$B$67,$B78)=0,0,SUMIFS(Fact_SortedWeights!$E$2:$E$67,Fact_SortedWeights!$C$2:$C$67,$A78,Fact_SortedWeights!$B$2:$B$67,$B78,Fact_SortedWeights!$D$2:$D$67,$C78)/SUMIFS(Fact_SortedWeights!$E$2:$E$67,Fact_SortedWeights!$C$2:$C$67,$A78,Fact_SortedWeights!$B$2:$B$67,$B78)*(IF($B78="Cardboard Recycling",SUMIFS(Fact_SortedWeights!$E$2:$E$67,Fact_SortedWeights!$C$2:$C$67,$A78,Fact_SortedWeights!$B$2:$B$67,$B78),SUMIFS(Fact_PreSortWeights!$E$2:$E$6,Fact_PreSortWeights!$C$2:$C$6,$A78,Fact_PreSortWeights!$B$2:$B$6,$B78))))</f>
        <v>0</v>
      </c>
      <c r="G78" s="0" t="n">
        <f aca="false">IF(AND(IF($B78="Trash",INDEX('Materials Master'!$F$2:$F$20,MATCH($C78,'Materials Master'!$A$2:$A$20,0)),IF($B78="GMPC Recycling",INDEX('Materials Master'!$G$2:$G$20,MATCH($C78,'Materials Master'!$A$2:$A$20,0)),IF($B78="Organics Recycling",INDEX('Materials Master'!$H$2:$H$20,MATCH($C78,'Materials Master'!$A$2:$A$20,0)),IF($B78="Cardboard Recycling",INDEX('Materials Master'!$I$2:$I$20,MATCH($C78,'Materials Master'!$A$2:$A$20,0)),IF($B78="Paper Recycling",INDEX('Materials Master'!$J$2:$J$20,MATCH($C78,'Materials Master'!$A$2:$A$20,0)),IF($B78="Terracycle",INDEX('Materials Master'!$K$2:$K$20,MATCH($C78,'Materials Master'!$A$2:$A$20,0)),"No"))))))="Yes",INDEX('Materials Master'!$E$2:$E$20,MATCH($C78,'Materials Master'!$A$2:$A$20,0))="Yes",$B78&lt;&gt;"Trash"),1,0)</f>
        <v>0</v>
      </c>
      <c r="H78" s="0" t="str">
        <f aca="false">INDEX('Materials Master'!$E$2:$E$20,MATCH($C78,'Materials Master'!$A$2:$A$20,0))</f>
        <v>Yes</v>
      </c>
      <c r="I78" s="0" t="str">
        <f aca="false">IFERROR(INDEX(Areas!$C$2:$C$3,MATCH($A78,Areas!$B$2:$B$3,0)),"")</f>
        <v>Cafeteria</v>
      </c>
      <c r="J78" s="0" t="n">
        <f aca="false">IF(IF($B78="Trash",INDEX('Materials Master'!$F$2:$F$20,MATCH($C78,'Materials Master'!$A$2:$A$20,0)),IF($B78="GMPC Recycling",INDEX('Materials Master'!$G$2:$G$20,MATCH($C78,'Materials Master'!$A$2:$A$20,0)),IF($B78="Organics Recycling",INDEX('Materials Master'!$H$2:$H$20,MATCH($C78,'Materials Master'!$A$2:$A$20,0)),IF($B78="Cardboard Recycling",INDEX('Materials Master'!$I$2:$I$20,MATCH($C78,'Materials Master'!$A$2:$A$20,0)),IF($B78="Paper Recycling",INDEX('Materials Master'!$J$2:$J$20,MATCH($C78,'Materials Master'!$A$2:$A$20,0)),IF($B78="Terracycle",INDEX('Materials Master'!$K$2:$K$20,MATCH($C78,'Materials Master'!$A$2:$A$20,0)),"No"))))))="Yes",1,0)</f>
        <v>0</v>
      </c>
    </row>
    <row r="79" customFormat="false" ht="15" hidden="false" customHeight="false" outlineLevel="0" collapsed="false">
      <c r="A79" s="0" t="s">
        <v>79</v>
      </c>
      <c r="B79" s="0" t="s">
        <v>87</v>
      </c>
      <c r="C79" s="0" t="s">
        <v>33</v>
      </c>
      <c r="D79" s="0" t="str">
        <f aca="false">IFERROR(INDEX('Materials Master'!$B$2:$B$20,MATCH($C79,'Materials Master'!$A$2:$A$20,0)),"")</f>
        <v>Waxed Cardboard</v>
      </c>
      <c r="E79" s="0" t="str">
        <f aca="false">IFERROR(INDEX('Materials Master'!$C$2:$C$20,MATCH($C79,'Materials Master'!$A$2:$A$20,0)),"")</f>
        <v>Fibers</v>
      </c>
      <c r="F79" s="0" t="n">
        <f aca="false">IF(SUMIFS(Fact_SortedWeights!$E$2:$E$67,Fact_SortedWeights!$C$2:$C$67,$A79,Fact_SortedWeights!$B$2:$B$67,$B79)=0,0,SUMIFS(Fact_SortedWeights!$E$2:$E$67,Fact_SortedWeights!$C$2:$C$67,$A79,Fact_SortedWeights!$B$2:$B$67,$B79,Fact_SortedWeights!$D$2:$D$67,$C79)/SUMIFS(Fact_SortedWeights!$E$2:$E$67,Fact_SortedWeights!$C$2:$C$67,$A79,Fact_SortedWeights!$B$2:$B$67,$B79)*(IF($B79="Cardboard Recycling",SUMIFS(Fact_SortedWeights!$E$2:$E$67,Fact_SortedWeights!$C$2:$C$67,$A79,Fact_SortedWeights!$B$2:$B$67,$B79),SUMIFS(Fact_PreSortWeights!$E$2:$E$6,Fact_PreSortWeights!$C$2:$C$6,$A79,Fact_PreSortWeights!$B$2:$B$6,$B79))))</f>
        <v>0</v>
      </c>
      <c r="G79" s="0" t="n">
        <f aca="false">IF(AND(IF($B79="Trash",INDEX('Materials Master'!$F$2:$F$20,MATCH($C79,'Materials Master'!$A$2:$A$20,0)),IF($B79="GMPC Recycling",INDEX('Materials Master'!$G$2:$G$20,MATCH($C79,'Materials Master'!$A$2:$A$20,0)),IF($B79="Organics Recycling",INDEX('Materials Master'!$H$2:$H$20,MATCH($C79,'Materials Master'!$A$2:$A$20,0)),IF($B79="Cardboard Recycling",INDEX('Materials Master'!$I$2:$I$20,MATCH($C79,'Materials Master'!$A$2:$A$20,0)),IF($B79="Paper Recycling",INDEX('Materials Master'!$J$2:$J$20,MATCH($C79,'Materials Master'!$A$2:$A$20,0)),IF($B79="Terracycle",INDEX('Materials Master'!$K$2:$K$20,MATCH($C79,'Materials Master'!$A$2:$A$20,0)),"No"))))))="Yes",INDEX('Materials Master'!$E$2:$E$20,MATCH($C79,'Materials Master'!$A$2:$A$20,0))="Yes",$B79&lt;&gt;"Trash"),1,0)</f>
        <v>0</v>
      </c>
      <c r="H79" s="0" t="str">
        <f aca="false">INDEX('Materials Master'!$E$2:$E$20,MATCH($C79,'Materials Master'!$A$2:$A$20,0))</f>
        <v>No</v>
      </c>
      <c r="I79" s="0" t="str">
        <f aca="false">IFERROR(INDEX(Areas!$C$2:$C$3,MATCH($A79,Areas!$B$2:$B$3,0)),"")</f>
        <v>Cafeteria</v>
      </c>
      <c r="J79" s="0" t="n">
        <f aca="false">IF(IF($B79="Trash",INDEX('Materials Master'!$F$2:$F$20,MATCH($C79,'Materials Master'!$A$2:$A$20,0)),IF($B79="GMPC Recycling",INDEX('Materials Master'!$G$2:$G$20,MATCH($C79,'Materials Master'!$A$2:$A$20,0)),IF($B79="Organics Recycling",INDEX('Materials Master'!$H$2:$H$20,MATCH($C79,'Materials Master'!$A$2:$A$20,0)),IF($B79="Cardboard Recycling",INDEX('Materials Master'!$I$2:$I$20,MATCH($C79,'Materials Master'!$A$2:$A$20,0)),IF($B79="Paper Recycling",INDEX('Materials Master'!$J$2:$J$20,MATCH($C79,'Materials Master'!$A$2:$A$20,0)),IF($B79="Terracycle",INDEX('Materials Master'!$K$2:$K$20,MATCH($C79,'Materials Master'!$A$2:$A$20,0)),"No"))))))="Yes",1,0)</f>
        <v>0</v>
      </c>
    </row>
    <row r="80" customFormat="false" ht="15" hidden="false" customHeight="false" outlineLevel="0" collapsed="false">
      <c r="A80" s="0" t="s">
        <v>79</v>
      </c>
      <c r="B80" s="0" t="s">
        <v>87</v>
      </c>
      <c r="C80" s="0" t="s">
        <v>35</v>
      </c>
      <c r="D80" s="0" t="str">
        <f aca="false">IFERROR(INDEX('Materials Master'!$B$2:$B$20,MATCH($C80,'Materials Master'!$A$2:$A$20,0)),"")</f>
        <v>Mixed Paper</v>
      </c>
      <c r="E80" s="0" t="str">
        <f aca="false">IFERROR(INDEX('Materials Master'!$C$2:$C$20,MATCH($C80,'Materials Master'!$A$2:$A$20,0)),"")</f>
        <v>Fibers</v>
      </c>
      <c r="F80" s="0" t="n">
        <f aca="false">IF(SUMIFS(Fact_SortedWeights!$E$2:$E$67,Fact_SortedWeights!$C$2:$C$67,$A80,Fact_SortedWeights!$B$2:$B$67,$B80)=0,0,SUMIFS(Fact_SortedWeights!$E$2:$E$67,Fact_SortedWeights!$C$2:$C$67,$A80,Fact_SortedWeights!$B$2:$B$67,$B80,Fact_SortedWeights!$D$2:$D$67,$C80)/SUMIFS(Fact_SortedWeights!$E$2:$E$67,Fact_SortedWeights!$C$2:$C$67,$A80,Fact_SortedWeights!$B$2:$B$67,$B80)*(IF($B80="Cardboard Recycling",SUMIFS(Fact_SortedWeights!$E$2:$E$67,Fact_SortedWeights!$C$2:$C$67,$A80,Fact_SortedWeights!$B$2:$B$67,$B80),SUMIFS(Fact_PreSortWeights!$E$2:$E$6,Fact_PreSortWeights!$C$2:$C$6,$A80,Fact_PreSortWeights!$B$2:$B$6,$B80))))</f>
        <v>0</v>
      </c>
      <c r="G80" s="0" t="n">
        <f aca="false">IF(AND(IF($B80="Trash",INDEX('Materials Master'!$F$2:$F$20,MATCH($C80,'Materials Master'!$A$2:$A$20,0)),IF($B80="GMPC Recycling",INDEX('Materials Master'!$G$2:$G$20,MATCH($C80,'Materials Master'!$A$2:$A$20,0)),IF($B80="Organics Recycling",INDEX('Materials Master'!$H$2:$H$20,MATCH($C80,'Materials Master'!$A$2:$A$20,0)),IF($B80="Cardboard Recycling",INDEX('Materials Master'!$I$2:$I$20,MATCH($C80,'Materials Master'!$A$2:$A$20,0)),IF($B80="Paper Recycling",INDEX('Materials Master'!$J$2:$J$20,MATCH($C80,'Materials Master'!$A$2:$A$20,0)),IF($B80="Terracycle",INDEX('Materials Master'!$K$2:$K$20,MATCH($C80,'Materials Master'!$A$2:$A$20,0)),"No"))))))="Yes",INDEX('Materials Master'!$E$2:$E$20,MATCH($C80,'Materials Master'!$A$2:$A$20,0))="Yes",$B80&lt;&gt;"Trash"),1,0)</f>
        <v>0</v>
      </c>
      <c r="H80" s="0" t="str">
        <f aca="false">INDEX('Materials Master'!$E$2:$E$20,MATCH($C80,'Materials Master'!$A$2:$A$20,0))</f>
        <v>Yes</v>
      </c>
      <c r="I80" s="0" t="str">
        <f aca="false">IFERROR(INDEX(Areas!$C$2:$C$3,MATCH($A80,Areas!$B$2:$B$3,0)),"")</f>
        <v>Cafeteria</v>
      </c>
      <c r="J80" s="0" t="n">
        <f aca="false">IF(IF($B80="Trash",INDEX('Materials Master'!$F$2:$F$20,MATCH($C80,'Materials Master'!$A$2:$A$20,0)),IF($B80="GMPC Recycling",INDEX('Materials Master'!$G$2:$G$20,MATCH($C80,'Materials Master'!$A$2:$A$20,0)),IF($B80="Organics Recycling",INDEX('Materials Master'!$H$2:$H$20,MATCH($C80,'Materials Master'!$A$2:$A$20,0)),IF($B80="Cardboard Recycling",INDEX('Materials Master'!$I$2:$I$20,MATCH($C80,'Materials Master'!$A$2:$A$20,0)),IF($B80="Paper Recycling",INDEX('Materials Master'!$J$2:$J$20,MATCH($C80,'Materials Master'!$A$2:$A$20,0)),IF($B80="Terracycle",INDEX('Materials Master'!$K$2:$K$20,MATCH($C80,'Materials Master'!$A$2:$A$20,0)),"No"))))))="Yes",1,0)</f>
        <v>0</v>
      </c>
    </row>
    <row r="81" customFormat="false" ht="15" hidden="false" customHeight="false" outlineLevel="0" collapsed="false">
      <c r="A81" s="0" t="s">
        <v>79</v>
      </c>
      <c r="B81" s="0" t="s">
        <v>87</v>
      </c>
      <c r="C81" s="0" t="s">
        <v>37</v>
      </c>
      <c r="D81" s="0" t="str">
        <f aca="false">IFERROR(INDEX('Materials Master'!$B$2:$B$20,MATCH($C81,'Materials Master'!$A$2:$A$20,0)),"")</f>
        <v>Gable-top &amp; Aseptic Cartons</v>
      </c>
      <c r="E81" s="0" t="str">
        <f aca="false">IFERROR(INDEX('Materials Master'!$C$2:$C$20,MATCH($C81,'Materials Master'!$A$2:$A$20,0)),"")</f>
        <v>Fibers</v>
      </c>
      <c r="F81" s="0" t="n">
        <f aca="false">IF(SUMIFS(Fact_SortedWeights!$E$2:$E$67,Fact_SortedWeights!$C$2:$C$67,$A81,Fact_SortedWeights!$B$2:$B$67,$B81)=0,0,SUMIFS(Fact_SortedWeights!$E$2:$E$67,Fact_SortedWeights!$C$2:$C$67,$A81,Fact_SortedWeights!$B$2:$B$67,$B81,Fact_SortedWeights!$D$2:$D$67,$C81)/SUMIFS(Fact_SortedWeights!$E$2:$E$67,Fact_SortedWeights!$C$2:$C$67,$A81,Fact_SortedWeights!$B$2:$B$67,$B81)*(IF($B81="Cardboard Recycling",SUMIFS(Fact_SortedWeights!$E$2:$E$67,Fact_SortedWeights!$C$2:$C$67,$A81,Fact_SortedWeights!$B$2:$B$67,$B81),SUMIFS(Fact_PreSortWeights!$E$2:$E$6,Fact_PreSortWeights!$C$2:$C$6,$A81,Fact_PreSortWeights!$B$2:$B$6,$B81))))</f>
        <v>0</v>
      </c>
      <c r="G81" s="0" t="n">
        <f aca="false">IF(AND(IF($B81="Trash",INDEX('Materials Master'!$F$2:$F$20,MATCH($C81,'Materials Master'!$A$2:$A$20,0)),IF($B81="GMPC Recycling",INDEX('Materials Master'!$G$2:$G$20,MATCH($C81,'Materials Master'!$A$2:$A$20,0)),IF($B81="Organics Recycling",INDEX('Materials Master'!$H$2:$H$20,MATCH($C81,'Materials Master'!$A$2:$A$20,0)),IF($B81="Cardboard Recycling",INDEX('Materials Master'!$I$2:$I$20,MATCH($C81,'Materials Master'!$A$2:$A$20,0)),IF($B81="Paper Recycling",INDEX('Materials Master'!$J$2:$J$20,MATCH($C81,'Materials Master'!$A$2:$A$20,0)),IF($B81="Terracycle",INDEX('Materials Master'!$K$2:$K$20,MATCH($C81,'Materials Master'!$A$2:$A$20,0)),"No"))))))="Yes",INDEX('Materials Master'!$E$2:$E$20,MATCH($C81,'Materials Master'!$A$2:$A$20,0))="Yes",$B81&lt;&gt;"Trash"),1,0)</f>
        <v>0</v>
      </c>
      <c r="H81" s="0" t="str">
        <f aca="false">INDEX('Materials Master'!$E$2:$E$20,MATCH($C81,'Materials Master'!$A$2:$A$20,0))</f>
        <v>Yes</v>
      </c>
      <c r="I81" s="0" t="str">
        <f aca="false">IFERROR(INDEX(Areas!$C$2:$C$3,MATCH($A81,Areas!$B$2:$B$3,0)),"")</f>
        <v>Cafeteria</v>
      </c>
      <c r="J81" s="0" t="n">
        <f aca="false">IF(IF($B81="Trash",INDEX('Materials Master'!$F$2:$F$20,MATCH($C81,'Materials Master'!$A$2:$A$20,0)),IF($B81="GMPC Recycling",INDEX('Materials Master'!$G$2:$G$20,MATCH($C81,'Materials Master'!$A$2:$A$20,0)),IF($B81="Organics Recycling",INDEX('Materials Master'!$H$2:$H$20,MATCH($C81,'Materials Master'!$A$2:$A$20,0)),IF($B81="Cardboard Recycling",INDEX('Materials Master'!$I$2:$I$20,MATCH($C81,'Materials Master'!$A$2:$A$20,0)),IF($B81="Paper Recycling",INDEX('Materials Master'!$J$2:$J$20,MATCH($C81,'Materials Master'!$A$2:$A$20,0)),IF($B81="Terracycle",INDEX('Materials Master'!$K$2:$K$20,MATCH($C81,'Materials Master'!$A$2:$A$20,0)),"No"))))))="Yes",1,0)</f>
        <v>0</v>
      </c>
    </row>
    <row r="82" customFormat="false" ht="15" hidden="false" customHeight="false" outlineLevel="0" collapsed="false">
      <c r="A82" s="0" t="s">
        <v>79</v>
      </c>
      <c r="B82" s="0" t="s">
        <v>87</v>
      </c>
      <c r="C82" s="0" t="s">
        <v>39</v>
      </c>
      <c r="D82" s="0" t="str">
        <f aca="false">IFERROR(INDEX('Materials Master'!$B$2:$B$20,MATCH($C82,'Materials Master'!$A$2:$A$20,0)),"")</f>
        <v>Other Coated Paper Containers</v>
      </c>
      <c r="E82" s="0" t="str">
        <f aca="false">IFERROR(INDEX('Materials Master'!$C$2:$C$20,MATCH($C82,'Materials Master'!$A$2:$A$20,0)),"")</f>
        <v>Fibers</v>
      </c>
      <c r="F82" s="0" t="n">
        <f aca="false">IF(SUMIFS(Fact_SortedWeights!$E$2:$E$67,Fact_SortedWeights!$C$2:$C$67,$A82,Fact_SortedWeights!$B$2:$B$67,$B82)=0,0,SUMIFS(Fact_SortedWeights!$E$2:$E$67,Fact_SortedWeights!$C$2:$C$67,$A82,Fact_SortedWeights!$B$2:$B$67,$B82,Fact_SortedWeights!$D$2:$D$67,$C82)/SUMIFS(Fact_SortedWeights!$E$2:$E$67,Fact_SortedWeights!$C$2:$C$67,$A82,Fact_SortedWeights!$B$2:$B$67,$B82)*(IF($B82="Cardboard Recycling",SUMIFS(Fact_SortedWeights!$E$2:$E$67,Fact_SortedWeights!$C$2:$C$67,$A82,Fact_SortedWeights!$B$2:$B$67,$B82),SUMIFS(Fact_PreSortWeights!$E$2:$E$6,Fact_PreSortWeights!$C$2:$C$6,$A82,Fact_PreSortWeights!$B$2:$B$6,$B82))))</f>
        <v>0</v>
      </c>
      <c r="G82" s="0" t="n">
        <f aca="false">IF(AND(IF($B82="Trash",INDEX('Materials Master'!$F$2:$F$20,MATCH($C82,'Materials Master'!$A$2:$A$20,0)),IF($B82="GMPC Recycling",INDEX('Materials Master'!$G$2:$G$20,MATCH($C82,'Materials Master'!$A$2:$A$20,0)),IF($B82="Organics Recycling",INDEX('Materials Master'!$H$2:$H$20,MATCH($C82,'Materials Master'!$A$2:$A$20,0)),IF($B82="Cardboard Recycling",INDEX('Materials Master'!$I$2:$I$20,MATCH($C82,'Materials Master'!$A$2:$A$20,0)),IF($B82="Paper Recycling",INDEX('Materials Master'!$J$2:$J$20,MATCH($C82,'Materials Master'!$A$2:$A$20,0)),IF($B82="Terracycle",INDEX('Materials Master'!$K$2:$K$20,MATCH($C82,'Materials Master'!$A$2:$A$20,0)),"No"))))))="Yes",INDEX('Materials Master'!$E$2:$E$20,MATCH($C82,'Materials Master'!$A$2:$A$20,0))="Yes",$B82&lt;&gt;"Trash"),1,0)</f>
        <v>0</v>
      </c>
      <c r="H82" s="0" t="str">
        <f aca="false">INDEX('Materials Master'!$E$2:$E$20,MATCH($C82,'Materials Master'!$A$2:$A$20,0))</f>
        <v>No</v>
      </c>
      <c r="I82" s="0" t="str">
        <f aca="false">IFERROR(INDEX(Areas!$C$2:$C$3,MATCH($A82,Areas!$B$2:$B$3,0)),"")</f>
        <v>Cafeteria</v>
      </c>
      <c r="J82" s="0" t="n">
        <f aca="false">IF(IF($B82="Trash",INDEX('Materials Master'!$F$2:$F$20,MATCH($C82,'Materials Master'!$A$2:$A$20,0)),IF($B82="GMPC Recycling",INDEX('Materials Master'!$G$2:$G$20,MATCH($C82,'Materials Master'!$A$2:$A$20,0)),IF($B82="Organics Recycling",INDEX('Materials Master'!$H$2:$H$20,MATCH($C82,'Materials Master'!$A$2:$A$20,0)),IF($B82="Cardboard Recycling",INDEX('Materials Master'!$I$2:$I$20,MATCH($C82,'Materials Master'!$A$2:$A$20,0)),IF($B82="Paper Recycling",INDEX('Materials Master'!$J$2:$J$20,MATCH($C82,'Materials Master'!$A$2:$A$20,0)),IF($B82="Terracycle",INDEX('Materials Master'!$K$2:$K$20,MATCH($C82,'Materials Master'!$A$2:$A$20,0)),"No"))))))="Yes",1,0)</f>
        <v>0</v>
      </c>
    </row>
    <row r="83" customFormat="false" ht="15" hidden="false" customHeight="false" outlineLevel="0" collapsed="false">
      <c r="A83" s="0" t="s">
        <v>79</v>
      </c>
      <c r="B83" s="0" t="s">
        <v>87</v>
      </c>
      <c r="C83" s="0" t="s">
        <v>41</v>
      </c>
      <c r="D83" s="0" t="str">
        <f aca="false">IFERROR(INDEX('Materials Master'!$B$2:$B$20,MATCH($C83,'Materials Master'!$A$2:$A$20,0)),"")</f>
        <v>Glass Bottles &amp; Jars</v>
      </c>
      <c r="E83" s="0" t="str">
        <f aca="false">IFERROR(INDEX('Materials Master'!$C$2:$C$20,MATCH($C83,'Materials Master'!$A$2:$A$20,0)),"")</f>
        <v>Glass</v>
      </c>
      <c r="F83" s="0" t="n">
        <f aca="false">IF(SUMIFS(Fact_SortedWeights!$E$2:$E$67,Fact_SortedWeights!$C$2:$C$67,$A83,Fact_SortedWeights!$B$2:$B$67,$B83)=0,0,SUMIFS(Fact_SortedWeights!$E$2:$E$67,Fact_SortedWeights!$C$2:$C$67,$A83,Fact_SortedWeights!$B$2:$B$67,$B83,Fact_SortedWeights!$D$2:$D$67,$C83)/SUMIFS(Fact_SortedWeights!$E$2:$E$67,Fact_SortedWeights!$C$2:$C$67,$A83,Fact_SortedWeights!$B$2:$B$67,$B83)*(IF($B83="Cardboard Recycling",SUMIFS(Fact_SortedWeights!$E$2:$E$67,Fact_SortedWeights!$C$2:$C$67,$A83,Fact_SortedWeights!$B$2:$B$67,$B83),SUMIFS(Fact_PreSortWeights!$E$2:$E$6,Fact_PreSortWeights!$C$2:$C$6,$A83,Fact_PreSortWeights!$B$2:$B$6,$B83))))</f>
        <v>0</v>
      </c>
      <c r="G83" s="0" t="n">
        <f aca="false">IF(AND(IF($B83="Trash",INDEX('Materials Master'!$F$2:$F$20,MATCH($C83,'Materials Master'!$A$2:$A$20,0)),IF($B83="GMPC Recycling",INDEX('Materials Master'!$G$2:$G$20,MATCH($C83,'Materials Master'!$A$2:$A$20,0)),IF($B83="Organics Recycling",INDEX('Materials Master'!$H$2:$H$20,MATCH($C83,'Materials Master'!$A$2:$A$20,0)),IF($B83="Cardboard Recycling",INDEX('Materials Master'!$I$2:$I$20,MATCH($C83,'Materials Master'!$A$2:$A$20,0)),IF($B83="Paper Recycling",INDEX('Materials Master'!$J$2:$J$20,MATCH($C83,'Materials Master'!$A$2:$A$20,0)),IF($B83="Terracycle",INDEX('Materials Master'!$K$2:$K$20,MATCH($C83,'Materials Master'!$A$2:$A$20,0)),"No"))))))="Yes",INDEX('Materials Master'!$E$2:$E$20,MATCH($C83,'Materials Master'!$A$2:$A$20,0))="Yes",$B83&lt;&gt;"Trash"),1,0)</f>
        <v>0</v>
      </c>
      <c r="H83" s="0" t="str">
        <f aca="false">INDEX('Materials Master'!$E$2:$E$20,MATCH($C83,'Materials Master'!$A$2:$A$20,0))</f>
        <v>Yes</v>
      </c>
      <c r="I83" s="0" t="str">
        <f aca="false">IFERROR(INDEX(Areas!$C$2:$C$3,MATCH($A83,Areas!$B$2:$B$3,0)),"")</f>
        <v>Cafeteria</v>
      </c>
      <c r="J83" s="0" t="n">
        <f aca="false">IF(IF($B83="Trash",INDEX('Materials Master'!$F$2:$F$20,MATCH($C83,'Materials Master'!$A$2:$A$20,0)),IF($B83="GMPC Recycling",INDEX('Materials Master'!$G$2:$G$20,MATCH($C83,'Materials Master'!$A$2:$A$20,0)),IF($B83="Organics Recycling",INDEX('Materials Master'!$H$2:$H$20,MATCH($C83,'Materials Master'!$A$2:$A$20,0)),IF($B83="Cardboard Recycling",INDEX('Materials Master'!$I$2:$I$20,MATCH($C83,'Materials Master'!$A$2:$A$20,0)),IF($B83="Paper Recycling",INDEX('Materials Master'!$J$2:$J$20,MATCH($C83,'Materials Master'!$A$2:$A$20,0)),IF($B83="Terracycle",INDEX('Materials Master'!$K$2:$K$20,MATCH($C83,'Materials Master'!$A$2:$A$20,0)),"No"))))))="Yes",1,0)</f>
        <v>0</v>
      </c>
    </row>
    <row r="84" customFormat="false" ht="15" hidden="false" customHeight="false" outlineLevel="0" collapsed="false">
      <c r="A84" s="0" t="s">
        <v>79</v>
      </c>
      <c r="B84" s="0" t="s">
        <v>87</v>
      </c>
      <c r="C84" s="0" t="s">
        <v>44</v>
      </c>
      <c r="D84" s="0" t="str">
        <f aca="false">IFERROR(INDEX('Materials Master'!$B$2:$B$20,MATCH($C84,'Materials Master'!$A$2:$A$20,0)),"")</f>
        <v>Broken Glass</v>
      </c>
      <c r="E84" s="0" t="str">
        <f aca="false">IFERROR(INDEX('Materials Master'!$C$2:$C$20,MATCH($C84,'Materials Master'!$A$2:$A$20,0)),"")</f>
        <v>Glass</v>
      </c>
      <c r="F84" s="0" t="n">
        <f aca="false">IF(SUMIFS(Fact_SortedWeights!$E$2:$E$67,Fact_SortedWeights!$C$2:$C$67,$A84,Fact_SortedWeights!$B$2:$B$67,$B84)=0,0,SUMIFS(Fact_SortedWeights!$E$2:$E$67,Fact_SortedWeights!$C$2:$C$67,$A84,Fact_SortedWeights!$B$2:$B$67,$B84,Fact_SortedWeights!$D$2:$D$67,$C84)/SUMIFS(Fact_SortedWeights!$E$2:$E$67,Fact_SortedWeights!$C$2:$C$67,$A84,Fact_SortedWeights!$B$2:$B$67,$B84)*(IF($B84="Cardboard Recycling",SUMIFS(Fact_SortedWeights!$E$2:$E$67,Fact_SortedWeights!$C$2:$C$67,$A84,Fact_SortedWeights!$B$2:$B$67,$B84),SUMIFS(Fact_PreSortWeights!$E$2:$E$6,Fact_PreSortWeights!$C$2:$C$6,$A84,Fact_PreSortWeights!$B$2:$B$6,$B84))))</f>
        <v>0</v>
      </c>
      <c r="G84" s="0" t="n">
        <f aca="false">IF(AND(IF($B84="Trash",INDEX('Materials Master'!$F$2:$F$20,MATCH($C84,'Materials Master'!$A$2:$A$20,0)),IF($B84="GMPC Recycling",INDEX('Materials Master'!$G$2:$G$20,MATCH($C84,'Materials Master'!$A$2:$A$20,0)),IF($B84="Organics Recycling",INDEX('Materials Master'!$H$2:$H$20,MATCH($C84,'Materials Master'!$A$2:$A$20,0)),IF($B84="Cardboard Recycling",INDEX('Materials Master'!$I$2:$I$20,MATCH($C84,'Materials Master'!$A$2:$A$20,0)),IF($B84="Paper Recycling",INDEX('Materials Master'!$J$2:$J$20,MATCH($C84,'Materials Master'!$A$2:$A$20,0)),IF($B84="Terracycle",INDEX('Materials Master'!$K$2:$K$20,MATCH($C84,'Materials Master'!$A$2:$A$20,0)),"No"))))))="Yes",INDEX('Materials Master'!$E$2:$E$20,MATCH($C84,'Materials Master'!$A$2:$A$20,0))="Yes",$B84&lt;&gt;"Trash"),1,0)</f>
        <v>0</v>
      </c>
      <c r="H84" s="0" t="str">
        <f aca="false">INDEX('Materials Master'!$E$2:$E$20,MATCH($C84,'Materials Master'!$A$2:$A$20,0))</f>
        <v>No</v>
      </c>
      <c r="I84" s="0" t="str">
        <f aca="false">IFERROR(INDEX(Areas!$C$2:$C$3,MATCH($A84,Areas!$B$2:$B$3,0)),"")</f>
        <v>Cafeteria</v>
      </c>
      <c r="J84" s="0" t="n">
        <f aca="false">IF(IF($B84="Trash",INDEX('Materials Master'!$F$2:$F$20,MATCH($C84,'Materials Master'!$A$2:$A$20,0)),IF($B84="GMPC Recycling",INDEX('Materials Master'!$G$2:$G$20,MATCH($C84,'Materials Master'!$A$2:$A$20,0)),IF($B84="Organics Recycling",INDEX('Materials Master'!$H$2:$H$20,MATCH($C84,'Materials Master'!$A$2:$A$20,0)),IF($B84="Cardboard Recycling",INDEX('Materials Master'!$I$2:$I$20,MATCH($C84,'Materials Master'!$A$2:$A$20,0)),IF($B84="Paper Recycling",INDEX('Materials Master'!$J$2:$J$20,MATCH($C84,'Materials Master'!$A$2:$A$20,0)),IF($B84="Terracycle",INDEX('Materials Master'!$K$2:$K$20,MATCH($C84,'Materials Master'!$A$2:$A$20,0)),"No"))))))="Yes",1,0)</f>
        <v>0</v>
      </c>
    </row>
    <row r="85" customFormat="false" ht="15" hidden="false" customHeight="false" outlineLevel="0" collapsed="false">
      <c r="A85" s="0" t="s">
        <v>79</v>
      </c>
      <c r="B85" s="0" t="s">
        <v>87</v>
      </c>
      <c r="C85" s="0" t="s">
        <v>46</v>
      </c>
      <c r="D85" s="0" t="str">
        <f aca="false">IFERROR(INDEX('Materials Master'!$B$2:$B$20,MATCH($C85,'Materials Master'!$A$2:$A$20,0)),"")</f>
        <v>Aluminum &amp; Bi-metal Containers</v>
      </c>
      <c r="E85" s="0" t="str">
        <f aca="false">IFERROR(INDEX('Materials Master'!$C$2:$C$20,MATCH($C85,'Materials Master'!$A$2:$A$20,0)),"")</f>
        <v>Metals</v>
      </c>
      <c r="F85" s="0" t="n">
        <f aca="false">IF(SUMIFS(Fact_SortedWeights!$E$2:$E$67,Fact_SortedWeights!$C$2:$C$67,$A85,Fact_SortedWeights!$B$2:$B$67,$B85)=0,0,SUMIFS(Fact_SortedWeights!$E$2:$E$67,Fact_SortedWeights!$C$2:$C$67,$A85,Fact_SortedWeights!$B$2:$B$67,$B85,Fact_SortedWeights!$D$2:$D$67,$C85)/SUMIFS(Fact_SortedWeights!$E$2:$E$67,Fact_SortedWeights!$C$2:$C$67,$A85,Fact_SortedWeights!$B$2:$B$67,$B85)*(IF($B85="Cardboard Recycling",SUMIFS(Fact_SortedWeights!$E$2:$E$67,Fact_SortedWeights!$C$2:$C$67,$A85,Fact_SortedWeights!$B$2:$B$67,$B85),SUMIFS(Fact_PreSortWeights!$E$2:$E$6,Fact_PreSortWeights!$C$2:$C$6,$A85,Fact_PreSortWeights!$B$2:$B$6,$B85))))</f>
        <v>0</v>
      </c>
      <c r="G85" s="0" t="n">
        <f aca="false">IF(AND(IF($B85="Trash",INDEX('Materials Master'!$F$2:$F$20,MATCH($C85,'Materials Master'!$A$2:$A$20,0)),IF($B85="GMPC Recycling",INDEX('Materials Master'!$G$2:$G$20,MATCH($C85,'Materials Master'!$A$2:$A$20,0)),IF($B85="Organics Recycling",INDEX('Materials Master'!$H$2:$H$20,MATCH($C85,'Materials Master'!$A$2:$A$20,0)),IF($B85="Cardboard Recycling",INDEX('Materials Master'!$I$2:$I$20,MATCH($C85,'Materials Master'!$A$2:$A$20,0)),IF($B85="Paper Recycling",INDEX('Materials Master'!$J$2:$J$20,MATCH($C85,'Materials Master'!$A$2:$A$20,0)),IF($B85="Terracycle",INDEX('Materials Master'!$K$2:$K$20,MATCH($C85,'Materials Master'!$A$2:$A$20,0)),"No"))))))="Yes",INDEX('Materials Master'!$E$2:$E$20,MATCH($C85,'Materials Master'!$A$2:$A$20,0))="Yes",$B85&lt;&gt;"Trash"),1,0)</f>
        <v>0</v>
      </c>
      <c r="H85" s="0" t="str">
        <f aca="false">INDEX('Materials Master'!$E$2:$E$20,MATCH($C85,'Materials Master'!$A$2:$A$20,0))</f>
        <v>Yes</v>
      </c>
      <c r="I85" s="0" t="str">
        <f aca="false">IFERROR(INDEX(Areas!$C$2:$C$3,MATCH($A85,Areas!$B$2:$B$3,0)),"")</f>
        <v>Cafeteria</v>
      </c>
      <c r="J85" s="0" t="n">
        <f aca="false">IF(IF($B85="Trash",INDEX('Materials Master'!$F$2:$F$20,MATCH($C85,'Materials Master'!$A$2:$A$20,0)),IF($B85="GMPC Recycling",INDEX('Materials Master'!$G$2:$G$20,MATCH($C85,'Materials Master'!$A$2:$A$20,0)),IF($B85="Organics Recycling",INDEX('Materials Master'!$H$2:$H$20,MATCH($C85,'Materials Master'!$A$2:$A$20,0)),IF($B85="Cardboard Recycling",INDEX('Materials Master'!$I$2:$I$20,MATCH($C85,'Materials Master'!$A$2:$A$20,0)),IF($B85="Paper Recycling",INDEX('Materials Master'!$J$2:$J$20,MATCH($C85,'Materials Master'!$A$2:$A$20,0)),IF($B85="Terracycle",INDEX('Materials Master'!$K$2:$K$20,MATCH($C85,'Materials Master'!$A$2:$A$20,0)),"No"))))))="Yes",1,0)</f>
        <v>0</v>
      </c>
    </row>
    <row r="86" customFormat="false" ht="15" hidden="false" customHeight="false" outlineLevel="0" collapsed="false">
      <c r="A86" s="0" t="s">
        <v>79</v>
      </c>
      <c r="B86" s="0" t="s">
        <v>87</v>
      </c>
      <c r="C86" s="0" t="s">
        <v>49</v>
      </c>
      <c r="D86" s="0" t="str">
        <f aca="false">IFERROR(INDEX('Materials Master'!$B$2:$B$20,MATCH($C86,'Materials Master'!$A$2:$A$20,0)),"")</f>
        <v>Metal Hangers</v>
      </c>
      <c r="E86" s="0" t="str">
        <f aca="false">IFERROR(INDEX('Materials Master'!$C$2:$C$20,MATCH($C86,'Materials Master'!$A$2:$A$20,0)),"")</f>
        <v>Metals</v>
      </c>
      <c r="F86" s="0" t="n">
        <f aca="false">IF(SUMIFS(Fact_SortedWeights!$E$2:$E$67,Fact_SortedWeights!$C$2:$C$67,$A86,Fact_SortedWeights!$B$2:$B$67,$B86)=0,0,SUMIFS(Fact_SortedWeights!$E$2:$E$67,Fact_SortedWeights!$C$2:$C$67,$A86,Fact_SortedWeights!$B$2:$B$67,$B86,Fact_SortedWeights!$D$2:$D$67,$C86)/SUMIFS(Fact_SortedWeights!$E$2:$E$67,Fact_SortedWeights!$C$2:$C$67,$A86,Fact_SortedWeights!$B$2:$B$67,$B86)*(IF($B86="Cardboard Recycling",SUMIFS(Fact_SortedWeights!$E$2:$E$67,Fact_SortedWeights!$C$2:$C$67,$A86,Fact_SortedWeights!$B$2:$B$67,$B86),SUMIFS(Fact_PreSortWeights!$E$2:$E$6,Fact_PreSortWeights!$C$2:$C$6,$A86,Fact_PreSortWeights!$B$2:$B$6,$B86))))</f>
        <v>0</v>
      </c>
      <c r="G86" s="0" t="n">
        <f aca="false">IF(AND(IF($B86="Trash",INDEX('Materials Master'!$F$2:$F$20,MATCH($C86,'Materials Master'!$A$2:$A$20,0)),IF($B86="GMPC Recycling",INDEX('Materials Master'!$G$2:$G$20,MATCH($C86,'Materials Master'!$A$2:$A$20,0)),IF($B86="Organics Recycling",INDEX('Materials Master'!$H$2:$H$20,MATCH($C86,'Materials Master'!$A$2:$A$20,0)),IF($B86="Cardboard Recycling",INDEX('Materials Master'!$I$2:$I$20,MATCH($C86,'Materials Master'!$A$2:$A$20,0)),IF($B86="Paper Recycling",INDEX('Materials Master'!$J$2:$J$20,MATCH($C86,'Materials Master'!$A$2:$A$20,0)),IF($B86="Terracycle",INDEX('Materials Master'!$K$2:$K$20,MATCH($C86,'Materials Master'!$A$2:$A$20,0)),"No"))))))="Yes",INDEX('Materials Master'!$E$2:$E$20,MATCH($C86,'Materials Master'!$A$2:$A$20,0))="Yes",$B86&lt;&gt;"Trash"),1,0)</f>
        <v>0</v>
      </c>
      <c r="H86" s="0" t="str">
        <f aca="false">INDEX('Materials Master'!$E$2:$E$20,MATCH($C86,'Materials Master'!$A$2:$A$20,0))</f>
        <v>No</v>
      </c>
      <c r="I86" s="0" t="str">
        <f aca="false">IFERROR(INDEX(Areas!$C$2:$C$3,MATCH($A86,Areas!$B$2:$B$3,0)),"")</f>
        <v>Cafeteria</v>
      </c>
      <c r="J86" s="0" t="n">
        <f aca="false">IF(IF($B86="Trash",INDEX('Materials Master'!$F$2:$F$20,MATCH($C86,'Materials Master'!$A$2:$A$20,0)),IF($B86="GMPC Recycling",INDEX('Materials Master'!$G$2:$G$20,MATCH($C86,'Materials Master'!$A$2:$A$20,0)),IF($B86="Organics Recycling",INDEX('Materials Master'!$H$2:$H$20,MATCH($C86,'Materials Master'!$A$2:$A$20,0)),IF($B86="Cardboard Recycling",INDEX('Materials Master'!$I$2:$I$20,MATCH($C86,'Materials Master'!$A$2:$A$20,0)),IF($B86="Paper Recycling",INDEX('Materials Master'!$J$2:$J$20,MATCH($C86,'Materials Master'!$A$2:$A$20,0)),IF($B86="Terracycle",INDEX('Materials Master'!$K$2:$K$20,MATCH($C86,'Materials Master'!$A$2:$A$20,0)),"No"))))))="Yes",1,0)</f>
        <v>0</v>
      </c>
    </row>
    <row r="87" customFormat="false" ht="15" hidden="false" customHeight="false" outlineLevel="0" collapsed="false">
      <c r="A87" s="0" t="s">
        <v>79</v>
      </c>
      <c r="B87" s="0" t="s">
        <v>87</v>
      </c>
      <c r="C87" s="0" t="s">
        <v>51</v>
      </c>
      <c r="D87" s="0" t="str">
        <f aca="false">IFERROR(INDEX('Materials Master'!$B$2:$B$20,MATCH($C87,'Materials Master'!$A$2:$A$20,0)),"")</f>
        <v>Rigid Plastics (1-6)</v>
      </c>
      <c r="E87" s="0" t="str">
        <f aca="false">IFERROR(INDEX('Materials Master'!$C$2:$C$20,MATCH($C87,'Materials Master'!$A$2:$A$20,0)),"")</f>
        <v>Plastics</v>
      </c>
      <c r="F87" s="0" t="n">
        <f aca="false">IF(SUMIFS(Fact_SortedWeights!$E$2:$E$67,Fact_SortedWeights!$C$2:$C$67,$A87,Fact_SortedWeights!$B$2:$B$67,$B87)=0,0,SUMIFS(Fact_SortedWeights!$E$2:$E$67,Fact_SortedWeights!$C$2:$C$67,$A87,Fact_SortedWeights!$B$2:$B$67,$B87,Fact_SortedWeights!$D$2:$D$67,$C87)/SUMIFS(Fact_SortedWeights!$E$2:$E$67,Fact_SortedWeights!$C$2:$C$67,$A87,Fact_SortedWeights!$B$2:$B$67,$B87)*(IF($B87="Cardboard Recycling",SUMIFS(Fact_SortedWeights!$E$2:$E$67,Fact_SortedWeights!$C$2:$C$67,$A87,Fact_SortedWeights!$B$2:$B$67,$B87),SUMIFS(Fact_PreSortWeights!$E$2:$E$6,Fact_PreSortWeights!$C$2:$C$6,$A87,Fact_PreSortWeights!$B$2:$B$6,$B87))))</f>
        <v>0</v>
      </c>
      <c r="G87" s="0" t="n">
        <f aca="false">IF(AND(IF($B87="Trash",INDEX('Materials Master'!$F$2:$F$20,MATCH($C87,'Materials Master'!$A$2:$A$20,0)),IF($B87="GMPC Recycling",INDEX('Materials Master'!$G$2:$G$20,MATCH($C87,'Materials Master'!$A$2:$A$20,0)),IF($B87="Organics Recycling",INDEX('Materials Master'!$H$2:$H$20,MATCH($C87,'Materials Master'!$A$2:$A$20,0)),IF($B87="Cardboard Recycling",INDEX('Materials Master'!$I$2:$I$20,MATCH($C87,'Materials Master'!$A$2:$A$20,0)),IF($B87="Paper Recycling",INDEX('Materials Master'!$J$2:$J$20,MATCH($C87,'Materials Master'!$A$2:$A$20,0)),IF($B87="Terracycle",INDEX('Materials Master'!$K$2:$K$20,MATCH($C87,'Materials Master'!$A$2:$A$20,0)),"No"))))))="Yes",INDEX('Materials Master'!$E$2:$E$20,MATCH($C87,'Materials Master'!$A$2:$A$20,0))="Yes",$B87&lt;&gt;"Trash"),1,0)</f>
        <v>0</v>
      </c>
      <c r="H87" s="0" t="str">
        <f aca="false">INDEX('Materials Master'!$E$2:$E$20,MATCH($C87,'Materials Master'!$A$2:$A$20,0))</f>
        <v>Yes</v>
      </c>
      <c r="I87" s="0" t="str">
        <f aca="false">IFERROR(INDEX(Areas!$C$2:$C$3,MATCH($A87,Areas!$B$2:$B$3,0)),"")</f>
        <v>Cafeteria</v>
      </c>
      <c r="J87" s="0" t="n">
        <f aca="false">IF(IF($B87="Trash",INDEX('Materials Master'!$F$2:$F$20,MATCH($C87,'Materials Master'!$A$2:$A$20,0)),IF($B87="GMPC Recycling",INDEX('Materials Master'!$G$2:$G$20,MATCH($C87,'Materials Master'!$A$2:$A$20,0)),IF($B87="Organics Recycling",INDEX('Materials Master'!$H$2:$H$20,MATCH($C87,'Materials Master'!$A$2:$A$20,0)),IF($B87="Cardboard Recycling",INDEX('Materials Master'!$I$2:$I$20,MATCH($C87,'Materials Master'!$A$2:$A$20,0)),IF($B87="Paper Recycling",INDEX('Materials Master'!$J$2:$J$20,MATCH($C87,'Materials Master'!$A$2:$A$20,0)),IF($B87="Terracycle",INDEX('Materials Master'!$K$2:$K$20,MATCH($C87,'Materials Master'!$A$2:$A$20,0)),"No"))))))="Yes",1,0)</f>
        <v>0</v>
      </c>
    </row>
    <row r="88" customFormat="false" ht="15" hidden="false" customHeight="false" outlineLevel="0" collapsed="false">
      <c r="A88" s="0" t="s">
        <v>79</v>
      </c>
      <c r="B88" s="0" t="s">
        <v>87</v>
      </c>
      <c r="C88" s="0" t="s">
        <v>54</v>
      </c>
      <c r="D88" s="0" t="str">
        <f aca="false">IFERROR(INDEX('Materials Master'!$B$2:$B$20,MATCH($C88,'Materials Master'!$A$2:$A$20,0)),"")</f>
        <v>Soiled Rigid Plastics</v>
      </c>
      <c r="E88" s="0" t="str">
        <f aca="false">IFERROR(INDEX('Materials Master'!$C$2:$C$20,MATCH($C88,'Materials Master'!$A$2:$A$20,0)),"")</f>
        <v>Plastics</v>
      </c>
      <c r="F88" s="0" t="n">
        <f aca="false">IF(SUMIFS(Fact_SortedWeights!$E$2:$E$67,Fact_SortedWeights!$C$2:$C$67,$A88,Fact_SortedWeights!$B$2:$B$67,$B88)=0,0,SUMIFS(Fact_SortedWeights!$E$2:$E$67,Fact_SortedWeights!$C$2:$C$67,$A88,Fact_SortedWeights!$B$2:$B$67,$B88,Fact_SortedWeights!$D$2:$D$67,$C88)/SUMIFS(Fact_SortedWeights!$E$2:$E$67,Fact_SortedWeights!$C$2:$C$67,$A88,Fact_SortedWeights!$B$2:$B$67,$B88)*(IF($B88="Cardboard Recycling",SUMIFS(Fact_SortedWeights!$E$2:$E$67,Fact_SortedWeights!$C$2:$C$67,$A88,Fact_SortedWeights!$B$2:$B$67,$B88),SUMIFS(Fact_PreSortWeights!$E$2:$E$6,Fact_PreSortWeights!$C$2:$C$6,$A88,Fact_PreSortWeights!$B$2:$B$6,$B88))))</f>
        <v>0</v>
      </c>
      <c r="G88" s="0" t="n">
        <f aca="false">IF(AND(IF($B88="Trash",INDEX('Materials Master'!$F$2:$F$20,MATCH($C88,'Materials Master'!$A$2:$A$20,0)),IF($B88="GMPC Recycling",INDEX('Materials Master'!$G$2:$G$20,MATCH($C88,'Materials Master'!$A$2:$A$20,0)),IF($B88="Organics Recycling",INDEX('Materials Master'!$H$2:$H$20,MATCH($C88,'Materials Master'!$A$2:$A$20,0)),IF($B88="Cardboard Recycling",INDEX('Materials Master'!$I$2:$I$20,MATCH($C88,'Materials Master'!$A$2:$A$20,0)),IF($B88="Paper Recycling",INDEX('Materials Master'!$J$2:$J$20,MATCH($C88,'Materials Master'!$A$2:$A$20,0)),IF($B88="Terracycle",INDEX('Materials Master'!$K$2:$K$20,MATCH($C88,'Materials Master'!$A$2:$A$20,0)),"No"))))))="Yes",INDEX('Materials Master'!$E$2:$E$20,MATCH($C88,'Materials Master'!$A$2:$A$20,0))="Yes",$B88&lt;&gt;"Trash"),1,0)</f>
        <v>0</v>
      </c>
      <c r="H88" s="0" t="str">
        <f aca="false">INDEX('Materials Master'!$E$2:$E$20,MATCH($C88,'Materials Master'!$A$2:$A$20,0))</f>
        <v>No</v>
      </c>
      <c r="I88" s="0" t="str">
        <f aca="false">IFERROR(INDEX(Areas!$C$2:$C$3,MATCH($A88,Areas!$B$2:$B$3,0)),"")</f>
        <v>Cafeteria</v>
      </c>
      <c r="J88" s="0" t="n">
        <f aca="false">IF(IF($B88="Trash",INDEX('Materials Master'!$F$2:$F$20,MATCH($C88,'Materials Master'!$A$2:$A$20,0)),IF($B88="GMPC Recycling",INDEX('Materials Master'!$G$2:$G$20,MATCH($C88,'Materials Master'!$A$2:$A$20,0)),IF($B88="Organics Recycling",INDEX('Materials Master'!$H$2:$H$20,MATCH($C88,'Materials Master'!$A$2:$A$20,0)),IF($B88="Cardboard Recycling",INDEX('Materials Master'!$I$2:$I$20,MATCH($C88,'Materials Master'!$A$2:$A$20,0)),IF($B88="Paper Recycling",INDEX('Materials Master'!$J$2:$J$20,MATCH($C88,'Materials Master'!$A$2:$A$20,0)),IF($B88="Terracycle",INDEX('Materials Master'!$K$2:$K$20,MATCH($C88,'Materials Master'!$A$2:$A$20,0)),"No"))))))="Yes",1,0)</f>
        <v>0</v>
      </c>
    </row>
    <row r="89" customFormat="false" ht="15" hidden="false" customHeight="false" outlineLevel="0" collapsed="false">
      <c r="A89" s="0" t="s">
        <v>79</v>
      </c>
      <c r="B89" s="0" t="s">
        <v>87</v>
      </c>
      <c r="C89" s="0" t="s">
        <v>56</v>
      </c>
      <c r="D89" s="0" t="str">
        <f aca="false">IFERROR(INDEX('Materials Master'!$B$2:$B$20,MATCH($C89,'Materials Master'!$A$2:$A$20,0)),"")</f>
        <v>Film Plastics</v>
      </c>
      <c r="E89" s="0" t="str">
        <f aca="false">IFERROR(INDEX('Materials Master'!$C$2:$C$20,MATCH($C89,'Materials Master'!$A$2:$A$20,0)),"")</f>
        <v>Plastics</v>
      </c>
      <c r="F89" s="0" t="n">
        <f aca="false">IF(SUMIFS(Fact_SortedWeights!$E$2:$E$67,Fact_SortedWeights!$C$2:$C$67,$A89,Fact_SortedWeights!$B$2:$B$67,$B89)=0,0,SUMIFS(Fact_SortedWeights!$E$2:$E$67,Fact_SortedWeights!$C$2:$C$67,$A89,Fact_SortedWeights!$B$2:$B$67,$B89,Fact_SortedWeights!$D$2:$D$67,$C89)/SUMIFS(Fact_SortedWeights!$E$2:$E$67,Fact_SortedWeights!$C$2:$C$67,$A89,Fact_SortedWeights!$B$2:$B$67,$B89)*(IF($B89="Cardboard Recycling",SUMIFS(Fact_SortedWeights!$E$2:$E$67,Fact_SortedWeights!$C$2:$C$67,$A89,Fact_SortedWeights!$B$2:$B$67,$B89),SUMIFS(Fact_PreSortWeights!$E$2:$E$6,Fact_PreSortWeights!$C$2:$C$6,$A89,Fact_PreSortWeights!$B$2:$B$6,$B89))))</f>
        <v>0</v>
      </c>
      <c r="G89" s="0" t="n">
        <f aca="false">IF(AND(IF($B89="Trash",INDEX('Materials Master'!$F$2:$F$20,MATCH($C89,'Materials Master'!$A$2:$A$20,0)),IF($B89="GMPC Recycling",INDEX('Materials Master'!$G$2:$G$20,MATCH($C89,'Materials Master'!$A$2:$A$20,0)),IF($B89="Organics Recycling",INDEX('Materials Master'!$H$2:$H$20,MATCH($C89,'Materials Master'!$A$2:$A$20,0)),IF($B89="Cardboard Recycling",INDEX('Materials Master'!$I$2:$I$20,MATCH($C89,'Materials Master'!$A$2:$A$20,0)),IF($B89="Paper Recycling",INDEX('Materials Master'!$J$2:$J$20,MATCH($C89,'Materials Master'!$A$2:$A$20,0)),IF($B89="Terracycle",INDEX('Materials Master'!$K$2:$K$20,MATCH($C89,'Materials Master'!$A$2:$A$20,0)),"No"))))))="Yes",INDEX('Materials Master'!$E$2:$E$20,MATCH($C89,'Materials Master'!$A$2:$A$20,0))="Yes",$B89&lt;&gt;"Trash"),1,0)</f>
        <v>0</v>
      </c>
      <c r="H89" s="0" t="str">
        <f aca="false">INDEX('Materials Master'!$E$2:$E$20,MATCH($C89,'Materials Master'!$A$2:$A$20,0))</f>
        <v>No</v>
      </c>
      <c r="I89" s="0" t="str">
        <f aca="false">IFERROR(INDEX(Areas!$C$2:$C$3,MATCH($A89,Areas!$B$2:$B$3,0)),"")</f>
        <v>Cafeteria</v>
      </c>
      <c r="J89" s="0" t="n">
        <f aca="false">IF(IF($B89="Trash",INDEX('Materials Master'!$F$2:$F$20,MATCH($C89,'Materials Master'!$A$2:$A$20,0)),IF($B89="GMPC Recycling",INDEX('Materials Master'!$G$2:$G$20,MATCH($C89,'Materials Master'!$A$2:$A$20,0)),IF($B89="Organics Recycling",INDEX('Materials Master'!$H$2:$H$20,MATCH($C89,'Materials Master'!$A$2:$A$20,0)),IF($B89="Cardboard Recycling",INDEX('Materials Master'!$I$2:$I$20,MATCH($C89,'Materials Master'!$A$2:$A$20,0)),IF($B89="Paper Recycling",INDEX('Materials Master'!$J$2:$J$20,MATCH($C89,'Materials Master'!$A$2:$A$20,0)),IF($B89="Terracycle",INDEX('Materials Master'!$K$2:$K$20,MATCH($C89,'Materials Master'!$A$2:$A$20,0)),"No"))))))="Yes",1,0)</f>
        <v>0</v>
      </c>
    </row>
    <row r="90" customFormat="false" ht="15" hidden="false" customHeight="false" outlineLevel="0" collapsed="false">
      <c r="A90" s="0" t="s">
        <v>79</v>
      </c>
      <c r="B90" s="0" t="s">
        <v>87</v>
      </c>
      <c r="C90" s="0" t="s">
        <v>58</v>
      </c>
      <c r="D90" s="0" t="str">
        <f aca="false">IFERROR(INDEX('Materials Master'!$B$2:$B$20,MATCH($C90,'Materials Master'!$A$2:$A$20,0)),"")</f>
        <v>Waste Disposal Bags</v>
      </c>
      <c r="E90" s="0" t="str">
        <f aca="false">IFERROR(INDEX('Materials Master'!$C$2:$C$20,MATCH($C90,'Materials Master'!$A$2:$A$20,0)),"")</f>
        <v>Plastics</v>
      </c>
      <c r="F90" s="0" t="n">
        <f aca="false">IF(SUMIFS(Fact_SortedWeights!$E$2:$E$67,Fact_SortedWeights!$C$2:$C$67,$A90,Fact_SortedWeights!$B$2:$B$67,$B90)=0,0,SUMIFS(Fact_SortedWeights!$E$2:$E$67,Fact_SortedWeights!$C$2:$C$67,$A90,Fact_SortedWeights!$B$2:$B$67,$B90,Fact_SortedWeights!$D$2:$D$67,$C90)/SUMIFS(Fact_SortedWeights!$E$2:$E$67,Fact_SortedWeights!$C$2:$C$67,$A90,Fact_SortedWeights!$B$2:$B$67,$B90)*(IF($B90="Cardboard Recycling",SUMIFS(Fact_SortedWeights!$E$2:$E$67,Fact_SortedWeights!$C$2:$C$67,$A90,Fact_SortedWeights!$B$2:$B$67,$B90),SUMIFS(Fact_PreSortWeights!$E$2:$E$6,Fact_PreSortWeights!$C$2:$C$6,$A90,Fact_PreSortWeights!$B$2:$B$6,$B90))))</f>
        <v>0</v>
      </c>
      <c r="G90" s="0" t="n">
        <f aca="false">IF(AND(IF($B90="Trash",INDEX('Materials Master'!$F$2:$F$20,MATCH($C90,'Materials Master'!$A$2:$A$20,0)),IF($B90="GMPC Recycling",INDEX('Materials Master'!$G$2:$G$20,MATCH($C90,'Materials Master'!$A$2:$A$20,0)),IF($B90="Organics Recycling",INDEX('Materials Master'!$H$2:$H$20,MATCH($C90,'Materials Master'!$A$2:$A$20,0)),IF($B90="Cardboard Recycling",INDEX('Materials Master'!$I$2:$I$20,MATCH($C90,'Materials Master'!$A$2:$A$20,0)),IF($B90="Paper Recycling",INDEX('Materials Master'!$J$2:$J$20,MATCH($C90,'Materials Master'!$A$2:$A$20,0)),IF($B90="Terracycle",INDEX('Materials Master'!$K$2:$K$20,MATCH($C90,'Materials Master'!$A$2:$A$20,0)),"No"))))))="Yes",INDEX('Materials Master'!$E$2:$E$20,MATCH($C90,'Materials Master'!$A$2:$A$20,0))="Yes",$B90&lt;&gt;"Trash"),1,0)</f>
        <v>0</v>
      </c>
      <c r="H90" s="0" t="str">
        <f aca="false">INDEX('Materials Master'!$E$2:$E$20,MATCH($C90,'Materials Master'!$A$2:$A$20,0))</f>
        <v>No</v>
      </c>
      <c r="I90" s="0" t="str">
        <f aca="false">IFERROR(INDEX(Areas!$C$2:$C$3,MATCH($A90,Areas!$B$2:$B$3,0)),"")</f>
        <v>Cafeteria</v>
      </c>
      <c r="J90" s="0" t="n">
        <f aca="false">IF(IF($B90="Trash",INDEX('Materials Master'!$F$2:$F$20,MATCH($C90,'Materials Master'!$A$2:$A$20,0)),IF($B90="GMPC Recycling",INDEX('Materials Master'!$G$2:$G$20,MATCH($C90,'Materials Master'!$A$2:$A$20,0)),IF($B90="Organics Recycling",INDEX('Materials Master'!$H$2:$H$20,MATCH($C90,'Materials Master'!$A$2:$A$20,0)),IF($B90="Cardboard Recycling",INDEX('Materials Master'!$I$2:$I$20,MATCH($C90,'Materials Master'!$A$2:$A$20,0)),IF($B90="Paper Recycling",INDEX('Materials Master'!$J$2:$J$20,MATCH($C90,'Materials Master'!$A$2:$A$20,0)),IF($B90="Terracycle",INDEX('Materials Master'!$K$2:$K$20,MATCH($C90,'Materials Master'!$A$2:$A$20,0)),"No"))))))="Yes",1,0)</f>
        <v>0</v>
      </c>
    </row>
    <row r="91" customFormat="false" ht="15" hidden="false" customHeight="false" outlineLevel="0" collapsed="false">
      <c r="A91" s="0" t="s">
        <v>79</v>
      </c>
      <c r="B91" s="0" t="s">
        <v>87</v>
      </c>
      <c r="C91" s="0" t="s">
        <v>60</v>
      </c>
      <c r="D91" s="0" t="str">
        <f aca="false">IFERROR(INDEX('Materials Master'!$B$2:$B$20,MATCH($C91,'Materials Master'!$A$2:$A$20,0)),"")</f>
        <v>Food Waste</v>
      </c>
      <c r="E91" s="0" t="str">
        <f aca="false">IFERROR(INDEX('Materials Master'!$C$2:$C$20,MATCH($C91,'Materials Master'!$A$2:$A$20,0)),"")</f>
        <v>Organics</v>
      </c>
      <c r="F91" s="0" t="n">
        <f aca="false">IF(SUMIFS(Fact_SortedWeights!$E$2:$E$67,Fact_SortedWeights!$C$2:$C$67,$A91,Fact_SortedWeights!$B$2:$B$67,$B91)=0,0,SUMIFS(Fact_SortedWeights!$E$2:$E$67,Fact_SortedWeights!$C$2:$C$67,$A91,Fact_SortedWeights!$B$2:$B$67,$B91,Fact_SortedWeights!$D$2:$D$67,$C91)/SUMIFS(Fact_SortedWeights!$E$2:$E$67,Fact_SortedWeights!$C$2:$C$67,$A91,Fact_SortedWeights!$B$2:$B$67,$B91)*(IF($B91="Cardboard Recycling",SUMIFS(Fact_SortedWeights!$E$2:$E$67,Fact_SortedWeights!$C$2:$C$67,$A91,Fact_SortedWeights!$B$2:$B$67,$B91),SUMIFS(Fact_PreSortWeights!$E$2:$E$6,Fact_PreSortWeights!$C$2:$C$6,$A91,Fact_PreSortWeights!$B$2:$B$6,$B91))))</f>
        <v>0</v>
      </c>
      <c r="G91" s="0" t="n">
        <f aca="false">IF(AND(IF($B91="Trash",INDEX('Materials Master'!$F$2:$F$20,MATCH($C91,'Materials Master'!$A$2:$A$20,0)),IF($B91="GMPC Recycling",INDEX('Materials Master'!$G$2:$G$20,MATCH($C91,'Materials Master'!$A$2:$A$20,0)),IF($B91="Organics Recycling",INDEX('Materials Master'!$H$2:$H$20,MATCH($C91,'Materials Master'!$A$2:$A$20,0)),IF($B91="Cardboard Recycling",INDEX('Materials Master'!$I$2:$I$20,MATCH($C91,'Materials Master'!$A$2:$A$20,0)),IF($B91="Paper Recycling",INDEX('Materials Master'!$J$2:$J$20,MATCH($C91,'Materials Master'!$A$2:$A$20,0)),IF($B91="Terracycle",INDEX('Materials Master'!$K$2:$K$20,MATCH($C91,'Materials Master'!$A$2:$A$20,0)),"No"))))))="Yes",INDEX('Materials Master'!$E$2:$E$20,MATCH($C91,'Materials Master'!$A$2:$A$20,0))="Yes",$B91&lt;&gt;"Trash"),1,0)</f>
        <v>0</v>
      </c>
      <c r="H91" s="0" t="str">
        <f aca="false">INDEX('Materials Master'!$E$2:$E$20,MATCH($C91,'Materials Master'!$A$2:$A$20,0))</f>
        <v>Yes</v>
      </c>
      <c r="I91" s="0" t="str">
        <f aca="false">IFERROR(INDEX(Areas!$C$2:$C$3,MATCH($A91,Areas!$B$2:$B$3,0)),"")</f>
        <v>Cafeteria</v>
      </c>
      <c r="J91" s="0" t="n">
        <f aca="false">IF(IF($B91="Trash",INDEX('Materials Master'!$F$2:$F$20,MATCH($C91,'Materials Master'!$A$2:$A$20,0)),IF($B91="GMPC Recycling",INDEX('Materials Master'!$G$2:$G$20,MATCH($C91,'Materials Master'!$A$2:$A$20,0)),IF($B91="Organics Recycling",INDEX('Materials Master'!$H$2:$H$20,MATCH($C91,'Materials Master'!$A$2:$A$20,0)),IF($B91="Cardboard Recycling",INDEX('Materials Master'!$I$2:$I$20,MATCH($C91,'Materials Master'!$A$2:$A$20,0)),IF($B91="Paper Recycling",INDEX('Materials Master'!$J$2:$J$20,MATCH($C91,'Materials Master'!$A$2:$A$20,0)),IF($B91="Terracycle",INDEX('Materials Master'!$K$2:$K$20,MATCH($C91,'Materials Master'!$A$2:$A$20,0)),"No"))))))="Yes",1,0)</f>
        <v>0</v>
      </c>
    </row>
    <row r="92" customFormat="false" ht="15" hidden="false" customHeight="false" outlineLevel="0" collapsed="false">
      <c r="A92" s="0" t="s">
        <v>79</v>
      </c>
      <c r="B92" s="0" t="s">
        <v>87</v>
      </c>
      <c r="C92" s="0" t="s">
        <v>63</v>
      </c>
      <c r="D92" s="0" t="str">
        <f aca="false">IFERROR(INDEX('Materials Master'!$B$2:$B$20,MATCH($C92,'Materials Master'!$A$2:$A$20,0)),"")</f>
        <v>Paper Fibers and FSP</v>
      </c>
      <c r="E92" s="0" t="str">
        <f aca="false">IFERROR(INDEX('Materials Master'!$C$2:$C$20,MATCH($C92,'Materials Master'!$A$2:$A$20,0)),"")</f>
        <v>Organics</v>
      </c>
      <c r="F92" s="0" t="n">
        <f aca="false">IF(SUMIFS(Fact_SortedWeights!$E$2:$E$67,Fact_SortedWeights!$C$2:$C$67,$A92,Fact_SortedWeights!$B$2:$B$67,$B92)=0,0,SUMIFS(Fact_SortedWeights!$E$2:$E$67,Fact_SortedWeights!$C$2:$C$67,$A92,Fact_SortedWeights!$B$2:$B$67,$B92,Fact_SortedWeights!$D$2:$D$67,$C92)/SUMIFS(Fact_SortedWeights!$E$2:$E$67,Fact_SortedWeights!$C$2:$C$67,$A92,Fact_SortedWeights!$B$2:$B$67,$B92)*(IF($B92="Cardboard Recycling",SUMIFS(Fact_SortedWeights!$E$2:$E$67,Fact_SortedWeights!$C$2:$C$67,$A92,Fact_SortedWeights!$B$2:$B$67,$B92),SUMIFS(Fact_PreSortWeights!$E$2:$E$6,Fact_PreSortWeights!$C$2:$C$6,$A92,Fact_PreSortWeights!$B$2:$B$6,$B92))))</f>
        <v>0</v>
      </c>
      <c r="G92" s="0" t="n">
        <f aca="false">IF(AND(IF($B92="Trash",INDEX('Materials Master'!$F$2:$F$20,MATCH($C92,'Materials Master'!$A$2:$A$20,0)),IF($B92="GMPC Recycling",INDEX('Materials Master'!$G$2:$G$20,MATCH($C92,'Materials Master'!$A$2:$A$20,0)),IF($B92="Organics Recycling",INDEX('Materials Master'!$H$2:$H$20,MATCH($C92,'Materials Master'!$A$2:$A$20,0)),IF($B92="Cardboard Recycling",INDEX('Materials Master'!$I$2:$I$20,MATCH($C92,'Materials Master'!$A$2:$A$20,0)),IF($B92="Paper Recycling",INDEX('Materials Master'!$J$2:$J$20,MATCH($C92,'Materials Master'!$A$2:$A$20,0)),IF($B92="Terracycle",INDEX('Materials Master'!$K$2:$K$20,MATCH($C92,'Materials Master'!$A$2:$A$20,0)),"No"))))))="Yes",INDEX('Materials Master'!$E$2:$E$20,MATCH($C92,'Materials Master'!$A$2:$A$20,0))="Yes",$B92&lt;&gt;"Trash"),1,0)</f>
        <v>0</v>
      </c>
      <c r="H92" s="0" t="str">
        <f aca="false">INDEX('Materials Master'!$E$2:$E$20,MATCH($C92,'Materials Master'!$A$2:$A$20,0))</f>
        <v>No</v>
      </c>
      <c r="I92" s="0" t="str">
        <f aca="false">IFERROR(INDEX(Areas!$C$2:$C$3,MATCH($A92,Areas!$B$2:$B$3,0)),"")</f>
        <v>Cafeteria</v>
      </c>
      <c r="J92" s="0" t="n">
        <f aca="false">IF(IF($B92="Trash",INDEX('Materials Master'!$F$2:$F$20,MATCH($C92,'Materials Master'!$A$2:$A$20,0)),IF($B92="GMPC Recycling",INDEX('Materials Master'!$G$2:$G$20,MATCH($C92,'Materials Master'!$A$2:$A$20,0)),IF($B92="Organics Recycling",INDEX('Materials Master'!$H$2:$H$20,MATCH($C92,'Materials Master'!$A$2:$A$20,0)),IF($B92="Cardboard Recycling",INDEX('Materials Master'!$I$2:$I$20,MATCH($C92,'Materials Master'!$A$2:$A$20,0)),IF($B92="Paper Recycling",INDEX('Materials Master'!$J$2:$J$20,MATCH($C92,'Materials Master'!$A$2:$A$20,0)),IF($B92="Terracycle",INDEX('Materials Master'!$K$2:$K$20,MATCH($C92,'Materials Master'!$A$2:$A$20,0)),"No"))))))="Yes",1,0)</f>
        <v>0</v>
      </c>
    </row>
    <row r="93" customFormat="false" ht="15" hidden="false" customHeight="false" outlineLevel="0" collapsed="false">
      <c r="A93" s="0" t="s">
        <v>79</v>
      </c>
      <c r="B93" s="0" t="s">
        <v>87</v>
      </c>
      <c r="C93" s="0" t="s">
        <v>65</v>
      </c>
      <c r="D93" s="0" t="str">
        <f aca="false">IFERROR(INDEX('Materials Master'!$B$2:$B$20,MATCH($C93,'Materials Master'!$A$2:$A$20,0)),"")</f>
        <v>Certified Compostables</v>
      </c>
      <c r="E93" s="0" t="str">
        <f aca="false">IFERROR(INDEX('Materials Master'!$C$2:$C$20,MATCH($C93,'Materials Master'!$A$2:$A$20,0)),"")</f>
        <v>Organics</v>
      </c>
      <c r="F93" s="0" t="n">
        <f aca="false">IF(SUMIFS(Fact_SortedWeights!$E$2:$E$67,Fact_SortedWeights!$C$2:$C$67,$A93,Fact_SortedWeights!$B$2:$B$67,$B93)=0,0,SUMIFS(Fact_SortedWeights!$E$2:$E$67,Fact_SortedWeights!$C$2:$C$67,$A93,Fact_SortedWeights!$B$2:$B$67,$B93,Fact_SortedWeights!$D$2:$D$67,$C93)/SUMIFS(Fact_SortedWeights!$E$2:$E$67,Fact_SortedWeights!$C$2:$C$67,$A93,Fact_SortedWeights!$B$2:$B$67,$B93)*(IF($B93="Cardboard Recycling",SUMIFS(Fact_SortedWeights!$E$2:$E$67,Fact_SortedWeights!$C$2:$C$67,$A93,Fact_SortedWeights!$B$2:$B$67,$B93),SUMIFS(Fact_PreSortWeights!$E$2:$E$6,Fact_PreSortWeights!$C$2:$C$6,$A93,Fact_PreSortWeights!$B$2:$B$6,$B93))))</f>
        <v>0</v>
      </c>
      <c r="G93" s="0" t="n">
        <f aca="false">IF(AND(IF($B93="Trash",INDEX('Materials Master'!$F$2:$F$20,MATCH($C93,'Materials Master'!$A$2:$A$20,0)),IF($B93="GMPC Recycling",INDEX('Materials Master'!$G$2:$G$20,MATCH($C93,'Materials Master'!$A$2:$A$20,0)),IF($B93="Organics Recycling",INDEX('Materials Master'!$H$2:$H$20,MATCH($C93,'Materials Master'!$A$2:$A$20,0)),IF($B93="Cardboard Recycling",INDEX('Materials Master'!$I$2:$I$20,MATCH($C93,'Materials Master'!$A$2:$A$20,0)),IF($B93="Paper Recycling",INDEX('Materials Master'!$J$2:$J$20,MATCH($C93,'Materials Master'!$A$2:$A$20,0)),IF($B93="Terracycle",INDEX('Materials Master'!$K$2:$K$20,MATCH($C93,'Materials Master'!$A$2:$A$20,0)),"No"))))))="Yes",INDEX('Materials Master'!$E$2:$E$20,MATCH($C93,'Materials Master'!$A$2:$A$20,0))="Yes",$B93&lt;&gt;"Trash"),1,0)</f>
        <v>0</v>
      </c>
      <c r="H93" s="0" t="str">
        <f aca="false">INDEX('Materials Master'!$E$2:$E$20,MATCH($C93,'Materials Master'!$A$2:$A$20,0))</f>
        <v>No</v>
      </c>
      <c r="I93" s="0" t="str">
        <f aca="false">IFERROR(INDEX(Areas!$C$2:$C$3,MATCH($A93,Areas!$B$2:$B$3,0)),"")</f>
        <v>Cafeteria</v>
      </c>
      <c r="J93" s="0" t="n">
        <f aca="false">IF(IF($B93="Trash",INDEX('Materials Master'!$F$2:$F$20,MATCH($C93,'Materials Master'!$A$2:$A$20,0)),IF($B93="GMPC Recycling",INDEX('Materials Master'!$G$2:$G$20,MATCH($C93,'Materials Master'!$A$2:$A$20,0)),IF($B93="Organics Recycling",INDEX('Materials Master'!$H$2:$H$20,MATCH($C93,'Materials Master'!$A$2:$A$20,0)),IF($B93="Cardboard Recycling",INDEX('Materials Master'!$I$2:$I$20,MATCH($C93,'Materials Master'!$A$2:$A$20,0)),IF($B93="Paper Recycling",INDEX('Materials Master'!$J$2:$J$20,MATCH($C93,'Materials Master'!$A$2:$A$20,0)),IF($B93="Terracycle",INDEX('Materials Master'!$K$2:$K$20,MATCH($C93,'Materials Master'!$A$2:$A$20,0)),"No"))))))="Yes",1,0)</f>
        <v>0</v>
      </c>
    </row>
    <row r="94" customFormat="false" ht="15" hidden="false" customHeight="false" outlineLevel="0" collapsed="false">
      <c r="A94" s="0" t="s">
        <v>79</v>
      </c>
      <c r="B94" s="0" t="s">
        <v>87</v>
      </c>
      <c r="C94" s="0" t="s">
        <v>67</v>
      </c>
      <c r="D94" s="0" t="str">
        <f aca="false">IFERROR(INDEX('Materials Master'!$B$2:$B$20,MATCH($C94,'Materials Master'!$A$2:$A$20,0)),"")</f>
        <v>Textiles</v>
      </c>
      <c r="E94" s="0" t="str">
        <f aca="false">IFERROR(INDEX('Materials Master'!$C$2:$C$20,MATCH($C94,'Materials Master'!$A$2:$A$20,0)),"")</f>
        <v>Unacceptable</v>
      </c>
      <c r="F94" s="0" t="n">
        <f aca="false">IF(SUMIFS(Fact_SortedWeights!$E$2:$E$67,Fact_SortedWeights!$C$2:$C$67,$A94,Fact_SortedWeights!$B$2:$B$67,$B94)=0,0,SUMIFS(Fact_SortedWeights!$E$2:$E$67,Fact_SortedWeights!$C$2:$C$67,$A94,Fact_SortedWeights!$B$2:$B$67,$B94,Fact_SortedWeights!$D$2:$D$67,$C94)/SUMIFS(Fact_SortedWeights!$E$2:$E$67,Fact_SortedWeights!$C$2:$C$67,$A94,Fact_SortedWeights!$B$2:$B$67,$B94)*(IF($B94="Cardboard Recycling",SUMIFS(Fact_SortedWeights!$E$2:$E$67,Fact_SortedWeights!$C$2:$C$67,$A94,Fact_SortedWeights!$B$2:$B$67,$B94),SUMIFS(Fact_PreSortWeights!$E$2:$E$6,Fact_PreSortWeights!$C$2:$C$6,$A94,Fact_PreSortWeights!$B$2:$B$6,$B94))))</f>
        <v>0</v>
      </c>
      <c r="G94" s="0" t="n">
        <f aca="false">IF(AND(IF($B94="Trash",INDEX('Materials Master'!$F$2:$F$20,MATCH($C94,'Materials Master'!$A$2:$A$20,0)),IF($B94="GMPC Recycling",INDEX('Materials Master'!$G$2:$G$20,MATCH($C94,'Materials Master'!$A$2:$A$20,0)),IF($B94="Organics Recycling",INDEX('Materials Master'!$H$2:$H$20,MATCH($C94,'Materials Master'!$A$2:$A$20,0)),IF($B94="Cardboard Recycling",INDEX('Materials Master'!$I$2:$I$20,MATCH($C94,'Materials Master'!$A$2:$A$20,0)),IF($B94="Paper Recycling",INDEX('Materials Master'!$J$2:$J$20,MATCH($C94,'Materials Master'!$A$2:$A$20,0)),IF($B94="Terracycle",INDEX('Materials Master'!$K$2:$K$20,MATCH($C94,'Materials Master'!$A$2:$A$20,0)),"No"))))))="Yes",INDEX('Materials Master'!$E$2:$E$20,MATCH($C94,'Materials Master'!$A$2:$A$20,0))="Yes",$B94&lt;&gt;"Trash"),1,0)</f>
        <v>0</v>
      </c>
      <c r="H94" s="0" t="str">
        <f aca="false">INDEX('Materials Master'!$E$2:$E$20,MATCH($C94,'Materials Master'!$A$2:$A$20,0))</f>
        <v>No</v>
      </c>
      <c r="I94" s="0" t="str">
        <f aca="false">IFERROR(INDEX(Areas!$C$2:$C$3,MATCH($A94,Areas!$B$2:$B$3,0)),"")</f>
        <v>Cafeteria</v>
      </c>
      <c r="J94" s="0" t="n">
        <f aca="false">IF(IF($B94="Trash",INDEX('Materials Master'!$F$2:$F$20,MATCH($C94,'Materials Master'!$A$2:$A$20,0)),IF($B94="GMPC Recycling",INDEX('Materials Master'!$G$2:$G$20,MATCH($C94,'Materials Master'!$A$2:$A$20,0)),IF($B94="Organics Recycling",INDEX('Materials Master'!$H$2:$H$20,MATCH($C94,'Materials Master'!$A$2:$A$20,0)),IF($B94="Cardboard Recycling",INDEX('Materials Master'!$I$2:$I$20,MATCH($C94,'Materials Master'!$A$2:$A$20,0)),IF($B94="Paper Recycling",INDEX('Materials Master'!$J$2:$J$20,MATCH($C94,'Materials Master'!$A$2:$A$20,0)),IF($B94="Terracycle",INDEX('Materials Master'!$K$2:$K$20,MATCH($C94,'Materials Master'!$A$2:$A$20,0)),"No"))))))="Yes",1,0)</f>
        <v>0</v>
      </c>
    </row>
    <row r="95" customFormat="false" ht="15" hidden="false" customHeight="false" outlineLevel="0" collapsed="false">
      <c r="A95" s="0" t="s">
        <v>79</v>
      </c>
      <c r="B95" s="0" t="s">
        <v>87</v>
      </c>
      <c r="C95" s="0" t="s">
        <v>70</v>
      </c>
      <c r="D95" s="0" t="str">
        <f aca="false">IFERROR(INDEX('Materials Master'!$B$2:$B$20,MATCH($C95,'Materials Master'!$A$2:$A$20,0)),"")</f>
        <v>Liquids</v>
      </c>
      <c r="E95" s="0" t="str">
        <f aca="false">IFERROR(INDEX('Materials Master'!$C$2:$C$20,MATCH($C95,'Materials Master'!$A$2:$A$20,0)),"")</f>
        <v>Unacceptable</v>
      </c>
      <c r="F95" s="0" t="n">
        <f aca="false">IF(SUMIFS(Fact_SortedWeights!$E$2:$E$67,Fact_SortedWeights!$C$2:$C$67,$A95,Fact_SortedWeights!$B$2:$B$67,$B95)=0,0,SUMIFS(Fact_SortedWeights!$E$2:$E$67,Fact_SortedWeights!$C$2:$C$67,$A95,Fact_SortedWeights!$B$2:$B$67,$B95,Fact_SortedWeights!$D$2:$D$67,$C95)/SUMIFS(Fact_SortedWeights!$E$2:$E$67,Fact_SortedWeights!$C$2:$C$67,$A95,Fact_SortedWeights!$B$2:$B$67,$B95)*(IF($B95="Cardboard Recycling",SUMIFS(Fact_SortedWeights!$E$2:$E$67,Fact_SortedWeights!$C$2:$C$67,$A95,Fact_SortedWeights!$B$2:$B$67,$B95),SUMIFS(Fact_PreSortWeights!$E$2:$E$6,Fact_PreSortWeights!$C$2:$C$6,$A95,Fact_PreSortWeights!$B$2:$B$6,$B95))))</f>
        <v>0</v>
      </c>
      <c r="G95" s="0" t="n">
        <f aca="false">IF(AND(IF($B95="Trash",INDEX('Materials Master'!$F$2:$F$20,MATCH($C95,'Materials Master'!$A$2:$A$20,0)),IF($B95="GMPC Recycling",INDEX('Materials Master'!$G$2:$G$20,MATCH($C95,'Materials Master'!$A$2:$A$20,0)),IF($B95="Organics Recycling",INDEX('Materials Master'!$H$2:$H$20,MATCH($C95,'Materials Master'!$A$2:$A$20,0)),IF($B95="Cardboard Recycling",INDEX('Materials Master'!$I$2:$I$20,MATCH($C95,'Materials Master'!$A$2:$A$20,0)),IF($B95="Paper Recycling",INDEX('Materials Master'!$J$2:$J$20,MATCH($C95,'Materials Master'!$A$2:$A$20,0)),IF($B95="Terracycle",INDEX('Materials Master'!$K$2:$K$20,MATCH($C95,'Materials Master'!$A$2:$A$20,0)),"No"))))))="Yes",INDEX('Materials Master'!$E$2:$E$20,MATCH($C95,'Materials Master'!$A$2:$A$20,0))="Yes",$B95&lt;&gt;"Trash"),1,0)</f>
        <v>0</v>
      </c>
      <c r="H95" s="0" t="str">
        <f aca="false">INDEX('Materials Master'!$E$2:$E$20,MATCH($C95,'Materials Master'!$A$2:$A$20,0))</f>
        <v>No</v>
      </c>
      <c r="I95" s="0" t="str">
        <f aca="false">IFERROR(INDEX(Areas!$C$2:$C$3,MATCH($A95,Areas!$B$2:$B$3,0)),"")</f>
        <v>Cafeteria</v>
      </c>
      <c r="J95" s="0" t="n">
        <f aca="false">IF(IF($B95="Trash",INDEX('Materials Master'!$F$2:$F$20,MATCH($C95,'Materials Master'!$A$2:$A$20,0)),IF($B95="GMPC Recycling",INDEX('Materials Master'!$G$2:$G$20,MATCH($C95,'Materials Master'!$A$2:$A$20,0)),IF($B95="Organics Recycling",INDEX('Materials Master'!$H$2:$H$20,MATCH($C95,'Materials Master'!$A$2:$A$20,0)),IF($B95="Cardboard Recycling",INDEX('Materials Master'!$I$2:$I$20,MATCH($C95,'Materials Master'!$A$2:$A$20,0)),IF($B95="Paper Recycling",INDEX('Materials Master'!$J$2:$J$20,MATCH($C95,'Materials Master'!$A$2:$A$20,0)),IF($B95="Terracycle",INDEX('Materials Master'!$K$2:$K$20,MATCH($C95,'Materials Master'!$A$2:$A$20,0)),"No"))))))="Yes",1,0)</f>
        <v>0</v>
      </c>
    </row>
    <row r="96" customFormat="false" ht="15" hidden="false" customHeight="false" outlineLevel="0" collapsed="false">
      <c r="A96" s="0" t="s">
        <v>79</v>
      </c>
      <c r="B96" s="0" t="s">
        <v>87</v>
      </c>
      <c r="C96" s="0" t="s">
        <v>72</v>
      </c>
      <c r="D96" s="0" t="str">
        <f aca="false">IFERROR(INDEX('Materials Master'!$B$2:$B$20,MATCH($C96,'Materials Master'!$A$2:$A$20,0)),"")</f>
        <v>Residual Materials</v>
      </c>
      <c r="E96" s="0" t="str">
        <f aca="false">IFERROR(INDEX('Materials Master'!$C$2:$C$20,MATCH($C96,'Materials Master'!$A$2:$A$20,0)),"")</f>
        <v>Other</v>
      </c>
      <c r="F96" s="0" t="n">
        <f aca="false">IF(SUMIFS(Fact_SortedWeights!$E$2:$E$67,Fact_SortedWeights!$C$2:$C$67,$A96,Fact_SortedWeights!$B$2:$B$67,$B96)=0,0,SUMIFS(Fact_SortedWeights!$E$2:$E$67,Fact_SortedWeights!$C$2:$C$67,$A96,Fact_SortedWeights!$B$2:$B$67,$B96,Fact_SortedWeights!$D$2:$D$67,$C96)/SUMIFS(Fact_SortedWeights!$E$2:$E$67,Fact_SortedWeights!$C$2:$C$67,$A96,Fact_SortedWeights!$B$2:$B$67,$B96)*(IF($B96="Cardboard Recycling",SUMIFS(Fact_SortedWeights!$E$2:$E$67,Fact_SortedWeights!$C$2:$C$67,$A96,Fact_SortedWeights!$B$2:$B$67,$B96),SUMIFS(Fact_PreSortWeights!$E$2:$E$6,Fact_PreSortWeights!$C$2:$C$6,$A96,Fact_PreSortWeights!$B$2:$B$6,$B96))))</f>
        <v>0</v>
      </c>
      <c r="G96" s="0" t="n">
        <f aca="false">IF(AND(IF($B96="Trash",INDEX('Materials Master'!$F$2:$F$20,MATCH($C96,'Materials Master'!$A$2:$A$20,0)),IF($B96="GMPC Recycling",INDEX('Materials Master'!$G$2:$G$20,MATCH($C96,'Materials Master'!$A$2:$A$20,0)),IF($B96="Organics Recycling",INDEX('Materials Master'!$H$2:$H$20,MATCH($C96,'Materials Master'!$A$2:$A$20,0)),IF($B96="Cardboard Recycling",INDEX('Materials Master'!$I$2:$I$20,MATCH($C96,'Materials Master'!$A$2:$A$20,0)),IF($B96="Paper Recycling",INDEX('Materials Master'!$J$2:$J$20,MATCH($C96,'Materials Master'!$A$2:$A$20,0)),IF($B96="Terracycle",INDEX('Materials Master'!$K$2:$K$20,MATCH($C96,'Materials Master'!$A$2:$A$20,0)),"No"))))))="Yes",INDEX('Materials Master'!$E$2:$E$20,MATCH($C96,'Materials Master'!$A$2:$A$20,0))="Yes",$B96&lt;&gt;"Trash"),1,0)</f>
        <v>0</v>
      </c>
      <c r="H96" s="0" t="str">
        <f aca="false">INDEX('Materials Master'!$E$2:$E$20,MATCH($C96,'Materials Master'!$A$2:$A$20,0))</f>
        <v>No</v>
      </c>
      <c r="I96" s="0" t="str">
        <f aca="false">IFERROR(INDEX(Areas!$C$2:$C$3,MATCH($A96,Areas!$B$2:$B$3,0)),"")</f>
        <v>Cafeteria</v>
      </c>
      <c r="J96" s="0" t="n">
        <f aca="false">IF(IF($B96="Trash",INDEX('Materials Master'!$F$2:$F$20,MATCH($C96,'Materials Master'!$A$2:$A$20,0)),IF($B96="GMPC Recycling",INDEX('Materials Master'!$G$2:$G$20,MATCH($C96,'Materials Master'!$A$2:$A$20,0)),IF($B96="Organics Recycling",INDEX('Materials Master'!$H$2:$H$20,MATCH($C96,'Materials Master'!$A$2:$A$20,0)),IF($B96="Cardboard Recycling",INDEX('Materials Master'!$I$2:$I$20,MATCH($C96,'Materials Master'!$A$2:$A$20,0)),IF($B96="Paper Recycling",INDEX('Materials Master'!$J$2:$J$20,MATCH($C96,'Materials Master'!$A$2:$A$20,0)),IF($B96="Terracycle",INDEX('Materials Master'!$K$2:$K$20,MATCH($C96,'Materials Master'!$A$2:$A$20,0)),"No"))))))="Yes",1,0)</f>
        <v>0</v>
      </c>
    </row>
    <row r="97" customFormat="false" ht="15" hidden="false" customHeight="false" outlineLevel="0" collapsed="false">
      <c r="A97" s="0" t="s">
        <v>79</v>
      </c>
      <c r="B97" s="0" t="s">
        <v>88</v>
      </c>
      <c r="C97" s="0" t="s">
        <v>28</v>
      </c>
      <c r="D97" s="0" t="str">
        <f aca="false">IFERROR(INDEX('Materials Master'!$B$2:$B$20,MATCH($C97,'Materials Master'!$A$2:$A$20,0)),"")</f>
        <v>Corrugated Cardboard</v>
      </c>
      <c r="E97" s="0" t="str">
        <f aca="false">IFERROR(INDEX('Materials Master'!$C$2:$C$20,MATCH($C97,'Materials Master'!$A$2:$A$20,0)),"")</f>
        <v>Fibers</v>
      </c>
      <c r="F97" s="0" t="n">
        <f aca="false">IF(SUMIFS(Fact_SortedWeights!$E$2:$E$67,Fact_SortedWeights!$C$2:$C$67,$A97,Fact_SortedWeights!$B$2:$B$67,$B97)=0,0,SUMIFS(Fact_SortedWeights!$E$2:$E$67,Fact_SortedWeights!$C$2:$C$67,$A97,Fact_SortedWeights!$B$2:$B$67,$B97,Fact_SortedWeights!$D$2:$D$67,$C97)/SUMIFS(Fact_SortedWeights!$E$2:$E$67,Fact_SortedWeights!$C$2:$C$67,$A97,Fact_SortedWeights!$B$2:$B$67,$B97)*(IF($B97="Cardboard Recycling",SUMIFS(Fact_SortedWeights!$E$2:$E$67,Fact_SortedWeights!$C$2:$C$67,$A97,Fact_SortedWeights!$B$2:$B$67,$B97),SUMIFS(Fact_PreSortWeights!$E$2:$E$6,Fact_PreSortWeights!$C$2:$C$6,$A97,Fact_PreSortWeights!$B$2:$B$6,$B97))))</f>
        <v>0</v>
      </c>
      <c r="G97" s="0" t="n">
        <f aca="false">IF(AND(IF($B97="Trash",INDEX('Materials Master'!$F$2:$F$20,MATCH($C97,'Materials Master'!$A$2:$A$20,0)),IF($B97="GMPC Recycling",INDEX('Materials Master'!$G$2:$G$20,MATCH($C97,'Materials Master'!$A$2:$A$20,0)),IF($B97="Organics Recycling",INDEX('Materials Master'!$H$2:$H$20,MATCH($C97,'Materials Master'!$A$2:$A$20,0)),IF($B97="Cardboard Recycling",INDEX('Materials Master'!$I$2:$I$20,MATCH($C97,'Materials Master'!$A$2:$A$20,0)),IF($B97="Paper Recycling",INDEX('Materials Master'!$J$2:$J$20,MATCH($C97,'Materials Master'!$A$2:$A$20,0)),IF($B97="Terracycle",INDEX('Materials Master'!$K$2:$K$20,MATCH($C97,'Materials Master'!$A$2:$A$20,0)),"No"))))))="Yes",INDEX('Materials Master'!$E$2:$E$20,MATCH($C97,'Materials Master'!$A$2:$A$20,0))="Yes",$B97&lt;&gt;"Trash"),1,0)</f>
        <v>0</v>
      </c>
      <c r="H97" s="0" t="str">
        <f aca="false">INDEX('Materials Master'!$E$2:$E$20,MATCH($C97,'Materials Master'!$A$2:$A$20,0))</f>
        <v>Yes</v>
      </c>
      <c r="I97" s="0" t="str">
        <f aca="false">IFERROR(INDEX(Areas!$C$2:$C$3,MATCH($A97,Areas!$B$2:$B$3,0)),"")</f>
        <v>Cafeteria</v>
      </c>
      <c r="J97" s="0" t="n">
        <f aca="false">IF(IF($B97="Trash",INDEX('Materials Master'!$F$2:$F$20,MATCH($C97,'Materials Master'!$A$2:$A$20,0)),IF($B97="GMPC Recycling",INDEX('Materials Master'!$G$2:$G$20,MATCH($C97,'Materials Master'!$A$2:$A$20,0)),IF($B97="Organics Recycling",INDEX('Materials Master'!$H$2:$H$20,MATCH($C97,'Materials Master'!$A$2:$A$20,0)),IF($B97="Cardboard Recycling",INDEX('Materials Master'!$I$2:$I$20,MATCH($C97,'Materials Master'!$A$2:$A$20,0)),IF($B97="Paper Recycling",INDEX('Materials Master'!$J$2:$J$20,MATCH($C97,'Materials Master'!$A$2:$A$20,0)),IF($B97="Terracycle",INDEX('Materials Master'!$K$2:$K$20,MATCH($C97,'Materials Master'!$A$2:$A$20,0)),"No"))))))="Yes",1,0)</f>
        <v>0</v>
      </c>
    </row>
    <row r="98" customFormat="false" ht="15" hidden="false" customHeight="false" outlineLevel="0" collapsed="false">
      <c r="A98" s="0" t="s">
        <v>79</v>
      </c>
      <c r="B98" s="0" t="s">
        <v>88</v>
      </c>
      <c r="C98" s="0" t="s">
        <v>33</v>
      </c>
      <c r="D98" s="0" t="str">
        <f aca="false">IFERROR(INDEX('Materials Master'!$B$2:$B$20,MATCH($C98,'Materials Master'!$A$2:$A$20,0)),"")</f>
        <v>Waxed Cardboard</v>
      </c>
      <c r="E98" s="0" t="str">
        <f aca="false">IFERROR(INDEX('Materials Master'!$C$2:$C$20,MATCH($C98,'Materials Master'!$A$2:$A$20,0)),"")</f>
        <v>Fibers</v>
      </c>
      <c r="F98" s="0" t="n">
        <f aca="false">IF(SUMIFS(Fact_SortedWeights!$E$2:$E$67,Fact_SortedWeights!$C$2:$C$67,$A98,Fact_SortedWeights!$B$2:$B$67,$B98)=0,0,SUMIFS(Fact_SortedWeights!$E$2:$E$67,Fact_SortedWeights!$C$2:$C$67,$A98,Fact_SortedWeights!$B$2:$B$67,$B98,Fact_SortedWeights!$D$2:$D$67,$C98)/SUMIFS(Fact_SortedWeights!$E$2:$E$67,Fact_SortedWeights!$C$2:$C$67,$A98,Fact_SortedWeights!$B$2:$B$67,$B98)*(IF($B98="Cardboard Recycling",SUMIFS(Fact_SortedWeights!$E$2:$E$67,Fact_SortedWeights!$C$2:$C$67,$A98,Fact_SortedWeights!$B$2:$B$67,$B98),SUMIFS(Fact_PreSortWeights!$E$2:$E$6,Fact_PreSortWeights!$C$2:$C$6,$A98,Fact_PreSortWeights!$B$2:$B$6,$B98))))</f>
        <v>0</v>
      </c>
      <c r="G98" s="0" t="n">
        <f aca="false">IF(AND(IF($B98="Trash",INDEX('Materials Master'!$F$2:$F$20,MATCH($C98,'Materials Master'!$A$2:$A$20,0)),IF($B98="GMPC Recycling",INDEX('Materials Master'!$G$2:$G$20,MATCH($C98,'Materials Master'!$A$2:$A$20,0)),IF($B98="Organics Recycling",INDEX('Materials Master'!$H$2:$H$20,MATCH($C98,'Materials Master'!$A$2:$A$20,0)),IF($B98="Cardboard Recycling",INDEX('Materials Master'!$I$2:$I$20,MATCH($C98,'Materials Master'!$A$2:$A$20,0)),IF($B98="Paper Recycling",INDEX('Materials Master'!$J$2:$J$20,MATCH($C98,'Materials Master'!$A$2:$A$20,0)),IF($B98="Terracycle",INDEX('Materials Master'!$K$2:$K$20,MATCH($C98,'Materials Master'!$A$2:$A$20,0)),"No"))))))="Yes",INDEX('Materials Master'!$E$2:$E$20,MATCH($C98,'Materials Master'!$A$2:$A$20,0))="Yes",$B98&lt;&gt;"Trash"),1,0)</f>
        <v>0</v>
      </c>
      <c r="H98" s="0" t="str">
        <f aca="false">INDEX('Materials Master'!$E$2:$E$20,MATCH($C98,'Materials Master'!$A$2:$A$20,0))</f>
        <v>No</v>
      </c>
      <c r="I98" s="0" t="str">
        <f aca="false">IFERROR(INDEX(Areas!$C$2:$C$3,MATCH($A98,Areas!$B$2:$B$3,0)),"")</f>
        <v>Cafeteria</v>
      </c>
      <c r="J98" s="0" t="n">
        <f aca="false">IF(IF($B98="Trash",INDEX('Materials Master'!$F$2:$F$20,MATCH($C98,'Materials Master'!$A$2:$A$20,0)),IF($B98="GMPC Recycling",INDEX('Materials Master'!$G$2:$G$20,MATCH($C98,'Materials Master'!$A$2:$A$20,0)),IF($B98="Organics Recycling",INDEX('Materials Master'!$H$2:$H$20,MATCH($C98,'Materials Master'!$A$2:$A$20,0)),IF($B98="Cardboard Recycling",INDEX('Materials Master'!$I$2:$I$20,MATCH($C98,'Materials Master'!$A$2:$A$20,0)),IF($B98="Paper Recycling",INDEX('Materials Master'!$J$2:$J$20,MATCH($C98,'Materials Master'!$A$2:$A$20,0)),IF($B98="Terracycle",INDEX('Materials Master'!$K$2:$K$20,MATCH($C98,'Materials Master'!$A$2:$A$20,0)),"No"))))))="Yes",1,0)</f>
        <v>0</v>
      </c>
    </row>
    <row r="99" customFormat="false" ht="15" hidden="false" customHeight="false" outlineLevel="0" collapsed="false">
      <c r="A99" s="0" t="s">
        <v>79</v>
      </c>
      <c r="B99" s="0" t="s">
        <v>88</v>
      </c>
      <c r="C99" s="0" t="s">
        <v>35</v>
      </c>
      <c r="D99" s="0" t="str">
        <f aca="false">IFERROR(INDEX('Materials Master'!$B$2:$B$20,MATCH($C99,'Materials Master'!$A$2:$A$20,0)),"")</f>
        <v>Mixed Paper</v>
      </c>
      <c r="E99" s="0" t="str">
        <f aca="false">IFERROR(INDEX('Materials Master'!$C$2:$C$20,MATCH($C99,'Materials Master'!$A$2:$A$20,0)),"")</f>
        <v>Fibers</v>
      </c>
      <c r="F99" s="0" t="n">
        <f aca="false">IF(SUMIFS(Fact_SortedWeights!$E$2:$E$67,Fact_SortedWeights!$C$2:$C$67,$A99,Fact_SortedWeights!$B$2:$B$67,$B99)=0,0,SUMIFS(Fact_SortedWeights!$E$2:$E$67,Fact_SortedWeights!$C$2:$C$67,$A99,Fact_SortedWeights!$B$2:$B$67,$B99,Fact_SortedWeights!$D$2:$D$67,$C99)/SUMIFS(Fact_SortedWeights!$E$2:$E$67,Fact_SortedWeights!$C$2:$C$67,$A99,Fact_SortedWeights!$B$2:$B$67,$B99)*(IF($B99="Cardboard Recycling",SUMIFS(Fact_SortedWeights!$E$2:$E$67,Fact_SortedWeights!$C$2:$C$67,$A99,Fact_SortedWeights!$B$2:$B$67,$B99),SUMIFS(Fact_PreSortWeights!$E$2:$E$6,Fact_PreSortWeights!$C$2:$C$6,$A99,Fact_PreSortWeights!$B$2:$B$6,$B99))))</f>
        <v>0</v>
      </c>
      <c r="G99" s="0" t="n">
        <f aca="false">IF(AND(IF($B99="Trash",INDEX('Materials Master'!$F$2:$F$20,MATCH($C99,'Materials Master'!$A$2:$A$20,0)),IF($B99="GMPC Recycling",INDEX('Materials Master'!$G$2:$G$20,MATCH($C99,'Materials Master'!$A$2:$A$20,0)),IF($B99="Organics Recycling",INDEX('Materials Master'!$H$2:$H$20,MATCH($C99,'Materials Master'!$A$2:$A$20,0)),IF($B99="Cardboard Recycling",INDEX('Materials Master'!$I$2:$I$20,MATCH($C99,'Materials Master'!$A$2:$A$20,0)),IF($B99="Paper Recycling",INDEX('Materials Master'!$J$2:$J$20,MATCH($C99,'Materials Master'!$A$2:$A$20,0)),IF($B99="Terracycle",INDEX('Materials Master'!$K$2:$K$20,MATCH($C99,'Materials Master'!$A$2:$A$20,0)),"No"))))))="Yes",INDEX('Materials Master'!$E$2:$E$20,MATCH($C99,'Materials Master'!$A$2:$A$20,0))="Yes",$B99&lt;&gt;"Trash"),1,0)</f>
        <v>0</v>
      </c>
      <c r="H99" s="0" t="str">
        <f aca="false">INDEX('Materials Master'!$E$2:$E$20,MATCH($C99,'Materials Master'!$A$2:$A$20,0))</f>
        <v>Yes</v>
      </c>
      <c r="I99" s="0" t="str">
        <f aca="false">IFERROR(INDEX(Areas!$C$2:$C$3,MATCH($A99,Areas!$B$2:$B$3,0)),"")</f>
        <v>Cafeteria</v>
      </c>
      <c r="J99" s="0" t="n">
        <f aca="false">IF(IF($B99="Trash",INDEX('Materials Master'!$F$2:$F$20,MATCH($C99,'Materials Master'!$A$2:$A$20,0)),IF($B99="GMPC Recycling",INDEX('Materials Master'!$G$2:$G$20,MATCH($C99,'Materials Master'!$A$2:$A$20,0)),IF($B99="Organics Recycling",INDEX('Materials Master'!$H$2:$H$20,MATCH($C99,'Materials Master'!$A$2:$A$20,0)),IF($B99="Cardboard Recycling",INDEX('Materials Master'!$I$2:$I$20,MATCH($C99,'Materials Master'!$A$2:$A$20,0)),IF($B99="Paper Recycling",INDEX('Materials Master'!$J$2:$J$20,MATCH($C99,'Materials Master'!$A$2:$A$20,0)),IF($B99="Terracycle",INDEX('Materials Master'!$K$2:$K$20,MATCH($C99,'Materials Master'!$A$2:$A$20,0)),"No"))))))="Yes",1,0)</f>
        <v>0</v>
      </c>
    </row>
    <row r="100" customFormat="false" ht="15" hidden="false" customHeight="false" outlineLevel="0" collapsed="false">
      <c r="A100" s="0" t="s">
        <v>79</v>
      </c>
      <c r="B100" s="0" t="s">
        <v>88</v>
      </c>
      <c r="C100" s="0" t="s">
        <v>37</v>
      </c>
      <c r="D100" s="0" t="str">
        <f aca="false">IFERROR(INDEX('Materials Master'!$B$2:$B$20,MATCH($C100,'Materials Master'!$A$2:$A$20,0)),"")</f>
        <v>Gable-top &amp; Aseptic Cartons</v>
      </c>
      <c r="E100" s="0" t="str">
        <f aca="false">IFERROR(INDEX('Materials Master'!$C$2:$C$20,MATCH($C100,'Materials Master'!$A$2:$A$20,0)),"")</f>
        <v>Fibers</v>
      </c>
      <c r="F100" s="0" t="n">
        <f aca="false">IF(SUMIFS(Fact_SortedWeights!$E$2:$E$67,Fact_SortedWeights!$C$2:$C$67,$A100,Fact_SortedWeights!$B$2:$B$67,$B100)=0,0,SUMIFS(Fact_SortedWeights!$E$2:$E$67,Fact_SortedWeights!$C$2:$C$67,$A100,Fact_SortedWeights!$B$2:$B$67,$B100,Fact_SortedWeights!$D$2:$D$67,$C100)/SUMIFS(Fact_SortedWeights!$E$2:$E$67,Fact_SortedWeights!$C$2:$C$67,$A100,Fact_SortedWeights!$B$2:$B$67,$B100)*(IF($B100="Cardboard Recycling",SUMIFS(Fact_SortedWeights!$E$2:$E$67,Fact_SortedWeights!$C$2:$C$67,$A100,Fact_SortedWeights!$B$2:$B$67,$B100),SUMIFS(Fact_PreSortWeights!$E$2:$E$6,Fact_PreSortWeights!$C$2:$C$6,$A100,Fact_PreSortWeights!$B$2:$B$6,$B100))))</f>
        <v>0</v>
      </c>
      <c r="G100" s="0" t="n">
        <f aca="false">IF(AND(IF($B100="Trash",INDEX('Materials Master'!$F$2:$F$20,MATCH($C100,'Materials Master'!$A$2:$A$20,0)),IF($B100="GMPC Recycling",INDEX('Materials Master'!$G$2:$G$20,MATCH($C100,'Materials Master'!$A$2:$A$20,0)),IF($B100="Organics Recycling",INDEX('Materials Master'!$H$2:$H$20,MATCH($C100,'Materials Master'!$A$2:$A$20,0)),IF($B100="Cardboard Recycling",INDEX('Materials Master'!$I$2:$I$20,MATCH($C100,'Materials Master'!$A$2:$A$20,0)),IF($B100="Paper Recycling",INDEX('Materials Master'!$J$2:$J$20,MATCH($C100,'Materials Master'!$A$2:$A$20,0)),IF($B100="Terracycle",INDEX('Materials Master'!$K$2:$K$20,MATCH($C100,'Materials Master'!$A$2:$A$20,0)),"No"))))))="Yes",INDEX('Materials Master'!$E$2:$E$20,MATCH($C100,'Materials Master'!$A$2:$A$20,0))="Yes",$B100&lt;&gt;"Trash"),1,0)</f>
        <v>0</v>
      </c>
      <c r="H100" s="0" t="str">
        <f aca="false">INDEX('Materials Master'!$E$2:$E$20,MATCH($C100,'Materials Master'!$A$2:$A$20,0))</f>
        <v>Yes</v>
      </c>
      <c r="I100" s="0" t="str">
        <f aca="false">IFERROR(INDEX(Areas!$C$2:$C$3,MATCH($A100,Areas!$B$2:$B$3,0)),"")</f>
        <v>Cafeteria</v>
      </c>
      <c r="J100" s="0" t="n">
        <f aca="false">IF(IF($B100="Trash",INDEX('Materials Master'!$F$2:$F$20,MATCH($C100,'Materials Master'!$A$2:$A$20,0)),IF($B100="GMPC Recycling",INDEX('Materials Master'!$G$2:$G$20,MATCH($C100,'Materials Master'!$A$2:$A$20,0)),IF($B100="Organics Recycling",INDEX('Materials Master'!$H$2:$H$20,MATCH($C100,'Materials Master'!$A$2:$A$20,0)),IF($B100="Cardboard Recycling",INDEX('Materials Master'!$I$2:$I$20,MATCH($C100,'Materials Master'!$A$2:$A$20,0)),IF($B100="Paper Recycling",INDEX('Materials Master'!$J$2:$J$20,MATCH($C100,'Materials Master'!$A$2:$A$20,0)),IF($B100="Terracycle",INDEX('Materials Master'!$K$2:$K$20,MATCH($C100,'Materials Master'!$A$2:$A$20,0)),"No"))))))="Yes",1,0)</f>
        <v>0</v>
      </c>
    </row>
    <row r="101" customFormat="false" ht="15" hidden="false" customHeight="false" outlineLevel="0" collapsed="false">
      <c r="A101" s="0" t="s">
        <v>79</v>
      </c>
      <c r="B101" s="0" t="s">
        <v>88</v>
      </c>
      <c r="C101" s="0" t="s">
        <v>39</v>
      </c>
      <c r="D101" s="0" t="str">
        <f aca="false">IFERROR(INDEX('Materials Master'!$B$2:$B$20,MATCH($C101,'Materials Master'!$A$2:$A$20,0)),"")</f>
        <v>Other Coated Paper Containers</v>
      </c>
      <c r="E101" s="0" t="str">
        <f aca="false">IFERROR(INDEX('Materials Master'!$C$2:$C$20,MATCH($C101,'Materials Master'!$A$2:$A$20,0)),"")</f>
        <v>Fibers</v>
      </c>
      <c r="F101" s="0" t="n">
        <f aca="false">IF(SUMIFS(Fact_SortedWeights!$E$2:$E$67,Fact_SortedWeights!$C$2:$C$67,$A101,Fact_SortedWeights!$B$2:$B$67,$B101)=0,0,SUMIFS(Fact_SortedWeights!$E$2:$E$67,Fact_SortedWeights!$C$2:$C$67,$A101,Fact_SortedWeights!$B$2:$B$67,$B101,Fact_SortedWeights!$D$2:$D$67,$C101)/SUMIFS(Fact_SortedWeights!$E$2:$E$67,Fact_SortedWeights!$C$2:$C$67,$A101,Fact_SortedWeights!$B$2:$B$67,$B101)*(IF($B101="Cardboard Recycling",SUMIFS(Fact_SortedWeights!$E$2:$E$67,Fact_SortedWeights!$C$2:$C$67,$A101,Fact_SortedWeights!$B$2:$B$67,$B101),SUMIFS(Fact_PreSortWeights!$E$2:$E$6,Fact_PreSortWeights!$C$2:$C$6,$A101,Fact_PreSortWeights!$B$2:$B$6,$B101))))</f>
        <v>0</v>
      </c>
      <c r="G101" s="0" t="n">
        <f aca="false">IF(AND(IF($B101="Trash",INDEX('Materials Master'!$F$2:$F$20,MATCH($C101,'Materials Master'!$A$2:$A$20,0)),IF($B101="GMPC Recycling",INDEX('Materials Master'!$G$2:$G$20,MATCH($C101,'Materials Master'!$A$2:$A$20,0)),IF($B101="Organics Recycling",INDEX('Materials Master'!$H$2:$H$20,MATCH($C101,'Materials Master'!$A$2:$A$20,0)),IF($B101="Cardboard Recycling",INDEX('Materials Master'!$I$2:$I$20,MATCH($C101,'Materials Master'!$A$2:$A$20,0)),IF($B101="Paper Recycling",INDEX('Materials Master'!$J$2:$J$20,MATCH($C101,'Materials Master'!$A$2:$A$20,0)),IF($B101="Terracycle",INDEX('Materials Master'!$K$2:$K$20,MATCH($C101,'Materials Master'!$A$2:$A$20,0)),"No"))))))="Yes",INDEX('Materials Master'!$E$2:$E$20,MATCH($C101,'Materials Master'!$A$2:$A$20,0))="Yes",$B101&lt;&gt;"Trash"),1,0)</f>
        <v>0</v>
      </c>
      <c r="H101" s="0" t="str">
        <f aca="false">INDEX('Materials Master'!$E$2:$E$20,MATCH($C101,'Materials Master'!$A$2:$A$20,0))</f>
        <v>No</v>
      </c>
      <c r="I101" s="0" t="str">
        <f aca="false">IFERROR(INDEX(Areas!$C$2:$C$3,MATCH($A101,Areas!$B$2:$B$3,0)),"")</f>
        <v>Cafeteria</v>
      </c>
      <c r="J101" s="0" t="n">
        <f aca="false">IF(IF($B101="Trash",INDEX('Materials Master'!$F$2:$F$20,MATCH($C101,'Materials Master'!$A$2:$A$20,0)),IF($B101="GMPC Recycling",INDEX('Materials Master'!$G$2:$G$20,MATCH($C101,'Materials Master'!$A$2:$A$20,0)),IF($B101="Organics Recycling",INDEX('Materials Master'!$H$2:$H$20,MATCH($C101,'Materials Master'!$A$2:$A$20,0)),IF($B101="Cardboard Recycling",INDEX('Materials Master'!$I$2:$I$20,MATCH($C101,'Materials Master'!$A$2:$A$20,0)),IF($B101="Paper Recycling",INDEX('Materials Master'!$J$2:$J$20,MATCH($C101,'Materials Master'!$A$2:$A$20,0)),IF($B101="Terracycle",INDEX('Materials Master'!$K$2:$K$20,MATCH($C101,'Materials Master'!$A$2:$A$20,0)),"No"))))))="Yes",1,0)</f>
        <v>0</v>
      </c>
    </row>
    <row r="102" customFormat="false" ht="15" hidden="false" customHeight="false" outlineLevel="0" collapsed="false">
      <c r="A102" s="0" t="s">
        <v>79</v>
      </c>
      <c r="B102" s="0" t="s">
        <v>88</v>
      </c>
      <c r="C102" s="0" t="s">
        <v>41</v>
      </c>
      <c r="D102" s="0" t="str">
        <f aca="false">IFERROR(INDEX('Materials Master'!$B$2:$B$20,MATCH($C102,'Materials Master'!$A$2:$A$20,0)),"")</f>
        <v>Glass Bottles &amp; Jars</v>
      </c>
      <c r="E102" s="0" t="str">
        <f aca="false">IFERROR(INDEX('Materials Master'!$C$2:$C$20,MATCH($C102,'Materials Master'!$A$2:$A$20,0)),"")</f>
        <v>Glass</v>
      </c>
      <c r="F102" s="0" t="n">
        <f aca="false">IF(SUMIFS(Fact_SortedWeights!$E$2:$E$67,Fact_SortedWeights!$C$2:$C$67,$A102,Fact_SortedWeights!$B$2:$B$67,$B102)=0,0,SUMIFS(Fact_SortedWeights!$E$2:$E$67,Fact_SortedWeights!$C$2:$C$67,$A102,Fact_SortedWeights!$B$2:$B$67,$B102,Fact_SortedWeights!$D$2:$D$67,$C102)/SUMIFS(Fact_SortedWeights!$E$2:$E$67,Fact_SortedWeights!$C$2:$C$67,$A102,Fact_SortedWeights!$B$2:$B$67,$B102)*(IF($B102="Cardboard Recycling",SUMIFS(Fact_SortedWeights!$E$2:$E$67,Fact_SortedWeights!$C$2:$C$67,$A102,Fact_SortedWeights!$B$2:$B$67,$B102),SUMIFS(Fact_PreSortWeights!$E$2:$E$6,Fact_PreSortWeights!$C$2:$C$6,$A102,Fact_PreSortWeights!$B$2:$B$6,$B102))))</f>
        <v>0</v>
      </c>
      <c r="G102" s="0" t="n">
        <f aca="false">IF(AND(IF($B102="Trash",INDEX('Materials Master'!$F$2:$F$20,MATCH($C102,'Materials Master'!$A$2:$A$20,0)),IF($B102="GMPC Recycling",INDEX('Materials Master'!$G$2:$G$20,MATCH($C102,'Materials Master'!$A$2:$A$20,0)),IF($B102="Organics Recycling",INDEX('Materials Master'!$H$2:$H$20,MATCH($C102,'Materials Master'!$A$2:$A$20,0)),IF($B102="Cardboard Recycling",INDEX('Materials Master'!$I$2:$I$20,MATCH($C102,'Materials Master'!$A$2:$A$20,0)),IF($B102="Paper Recycling",INDEX('Materials Master'!$J$2:$J$20,MATCH($C102,'Materials Master'!$A$2:$A$20,0)),IF($B102="Terracycle",INDEX('Materials Master'!$K$2:$K$20,MATCH($C102,'Materials Master'!$A$2:$A$20,0)),"No"))))))="Yes",INDEX('Materials Master'!$E$2:$E$20,MATCH($C102,'Materials Master'!$A$2:$A$20,0))="Yes",$B102&lt;&gt;"Trash"),1,0)</f>
        <v>0</v>
      </c>
      <c r="H102" s="0" t="str">
        <f aca="false">INDEX('Materials Master'!$E$2:$E$20,MATCH($C102,'Materials Master'!$A$2:$A$20,0))</f>
        <v>Yes</v>
      </c>
      <c r="I102" s="0" t="str">
        <f aca="false">IFERROR(INDEX(Areas!$C$2:$C$3,MATCH($A102,Areas!$B$2:$B$3,0)),"")</f>
        <v>Cafeteria</v>
      </c>
      <c r="J102" s="0" t="n">
        <f aca="false">IF(IF($B102="Trash",INDEX('Materials Master'!$F$2:$F$20,MATCH($C102,'Materials Master'!$A$2:$A$20,0)),IF($B102="GMPC Recycling",INDEX('Materials Master'!$G$2:$G$20,MATCH($C102,'Materials Master'!$A$2:$A$20,0)),IF($B102="Organics Recycling",INDEX('Materials Master'!$H$2:$H$20,MATCH($C102,'Materials Master'!$A$2:$A$20,0)),IF($B102="Cardboard Recycling",INDEX('Materials Master'!$I$2:$I$20,MATCH($C102,'Materials Master'!$A$2:$A$20,0)),IF($B102="Paper Recycling",INDEX('Materials Master'!$J$2:$J$20,MATCH($C102,'Materials Master'!$A$2:$A$20,0)),IF($B102="Terracycle",INDEX('Materials Master'!$K$2:$K$20,MATCH($C102,'Materials Master'!$A$2:$A$20,0)),"No"))))))="Yes",1,0)</f>
        <v>0</v>
      </c>
    </row>
    <row r="103" customFormat="false" ht="15" hidden="false" customHeight="false" outlineLevel="0" collapsed="false">
      <c r="A103" s="0" t="s">
        <v>79</v>
      </c>
      <c r="B103" s="0" t="s">
        <v>88</v>
      </c>
      <c r="C103" s="0" t="s">
        <v>44</v>
      </c>
      <c r="D103" s="0" t="str">
        <f aca="false">IFERROR(INDEX('Materials Master'!$B$2:$B$20,MATCH($C103,'Materials Master'!$A$2:$A$20,0)),"")</f>
        <v>Broken Glass</v>
      </c>
      <c r="E103" s="0" t="str">
        <f aca="false">IFERROR(INDEX('Materials Master'!$C$2:$C$20,MATCH($C103,'Materials Master'!$A$2:$A$20,0)),"")</f>
        <v>Glass</v>
      </c>
      <c r="F103" s="0" t="n">
        <f aca="false">IF(SUMIFS(Fact_SortedWeights!$E$2:$E$67,Fact_SortedWeights!$C$2:$C$67,$A103,Fact_SortedWeights!$B$2:$B$67,$B103)=0,0,SUMIFS(Fact_SortedWeights!$E$2:$E$67,Fact_SortedWeights!$C$2:$C$67,$A103,Fact_SortedWeights!$B$2:$B$67,$B103,Fact_SortedWeights!$D$2:$D$67,$C103)/SUMIFS(Fact_SortedWeights!$E$2:$E$67,Fact_SortedWeights!$C$2:$C$67,$A103,Fact_SortedWeights!$B$2:$B$67,$B103)*(IF($B103="Cardboard Recycling",SUMIFS(Fact_SortedWeights!$E$2:$E$67,Fact_SortedWeights!$C$2:$C$67,$A103,Fact_SortedWeights!$B$2:$B$67,$B103),SUMIFS(Fact_PreSortWeights!$E$2:$E$6,Fact_PreSortWeights!$C$2:$C$6,$A103,Fact_PreSortWeights!$B$2:$B$6,$B103))))</f>
        <v>0</v>
      </c>
      <c r="G103" s="0" t="n">
        <f aca="false">IF(AND(IF($B103="Trash",INDEX('Materials Master'!$F$2:$F$20,MATCH($C103,'Materials Master'!$A$2:$A$20,0)),IF($B103="GMPC Recycling",INDEX('Materials Master'!$G$2:$G$20,MATCH($C103,'Materials Master'!$A$2:$A$20,0)),IF($B103="Organics Recycling",INDEX('Materials Master'!$H$2:$H$20,MATCH($C103,'Materials Master'!$A$2:$A$20,0)),IF($B103="Cardboard Recycling",INDEX('Materials Master'!$I$2:$I$20,MATCH($C103,'Materials Master'!$A$2:$A$20,0)),IF($B103="Paper Recycling",INDEX('Materials Master'!$J$2:$J$20,MATCH($C103,'Materials Master'!$A$2:$A$20,0)),IF($B103="Terracycle",INDEX('Materials Master'!$K$2:$K$20,MATCH($C103,'Materials Master'!$A$2:$A$20,0)),"No"))))))="Yes",INDEX('Materials Master'!$E$2:$E$20,MATCH($C103,'Materials Master'!$A$2:$A$20,0))="Yes",$B103&lt;&gt;"Trash"),1,0)</f>
        <v>0</v>
      </c>
      <c r="H103" s="0" t="str">
        <f aca="false">INDEX('Materials Master'!$E$2:$E$20,MATCH($C103,'Materials Master'!$A$2:$A$20,0))</f>
        <v>No</v>
      </c>
      <c r="I103" s="0" t="str">
        <f aca="false">IFERROR(INDEX(Areas!$C$2:$C$3,MATCH($A103,Areas!$B$2:$B$3,0)),"")</f>
        <v>Cafeteria</v>
      </c>
      <c r="J103" s="0" t="n">
        <f aca="false">IF(IF($B103="Trash",INDEX('Materials Master'!$F$2:$F$20,MATCH($C103,'Materials Master'!$A$2:$A$20,0)),IF($B103="GMPC Recycling",INDEX('Materials Master'!$G$2:$G$20,MATCH($C103,'Materials Master'!$A$2:$A$20,0)),IF($B103="Organics Recycling",INDEX('Materials Master'!$H$2:$H$20,MATCH($C103,'Materials Master'!$A$2:$A$20,0)),IF($B103="Cardboard Recycling",INDEX('Materials Master'!$I$2:$I$20,MATCH($C103,'Materials Master'!$A$2:$A$20,0)),IF($B103="Paper Recycling",INDEX('Materials Master'!$J$2:$J$20,MATCH($C103,'Materials Master'!$A$2:$A$20,0)),IF($B103="Terracycle",INDEX('Materials Master'!$K$2:$K$20,MATCH($C103,'Materials Master'!$A$2:$A$20,0)),"No"))))))="Yes",1,0)</f>
        <v>0</v>
      </c>
    </row>
    <row r="104" customFormat="false" ht="15" hidden="false" customHeight="false" outlineLevel="0" collapsed="false">
      <c r="A104" s="0" t="s">
        <v>79</v>
      </c>
      <c r="B104" s="0" t="s">
        <v>88</v>
      </c>
      <c r="C104" s="0" t="s">
        <v>46</v>
      </c>
      <c r="D104" s="0" t="str">
        <f aca="false">IFERROR(INDEX('Materials Master'!$B$2:$B$20,MATCH($C104,'Materials Master'!$A$2:$A$20,0)),"")</f>
        <v>Aluminum &amp; Bi-metal Containers</v>
      </c>
      <c r="E104" s="0" t="str">
        <f aca="false">IFERROR(INDEX('Materials Master'!$C$2:$C$20,MATCH($C104,'Materials Master'!$A$2:$A$20,0)),"")</f>
        <v>Metals</v>
      </c>
      <c r="F104" s="0" t="n">
        <f aca="false">IF(SUMIFS(Fact_SortedWeights!$E$2:$E$67,Fact_SortedWeights!$C$2:$C$67,$A104,Fact_SortedWeights!$B$2:$B$67,$B104)=0,0,SUMIFS(Fact_SortedWeights!$E$2:$E$67,Fact_SortedWeights!$C$2:$C$67,$A104,Fact_SortedWeights!$B$2:$B$67,$B104,Fact_SortedWeights!$D$2:$D$67,$C104)/SUMIFS(Fact_SortedWeights!$E$2:$E$67,Fact_SortedWeights!$C$2:$C$67,$A104,Fact_SortedWeights!$B$2:$B$67,$B104)*(IF($B104="Cardboard Recycling",SUMIFS(Fact_SortedWeights!$E$2:$E$67,Fact_SortedWeights!$C$2:$C$67,$A104,Fact_SortedWeights!$B$2:$B$67,$B104),SUMIFS(Fact_PreSortWeights!$E$2:$E$6,Fact_PreSortWeights!$C$2:$C$6,$A104,Fact_PreSortWeights!$B$2:$B$6,$B104))))</f>
        <v>0</v>
      </c>
      <c r="G104" s="0" t="n">
        <f aca="false">IF(AND(IF($B104="Trash",INDEX('Materials Master'!$F$2:$F$20,MATCH($C104,'Materials Master'!$A$2:$A$20,0)),IF($B104="GMPC Recycling",INDEX('Materials Master'!$G$2:$G$20,MATCH($C104,'Materials Master'!$A$2:$A$20,0)),IF($B104="Organics Recycling",INDEX('Materials Master'!$H$2:$H$20,MATCH($C104,'Materials Master'!$A$2:$A$20,0)),IF($B104="Cardboard Recycling",INDEX('Materials Master'!$I$2:$I$20,MATCH($C104,'Materials Master'!$A$2:$A$20,0)),IF($B104="Paper Recycling",INDEX('Materials Master'!$J$2:$J$20,MATCH($C104,'Materials Master'!$A$2:$A$20,0)),IF($B104="Terracycle",INDEX('Materials Master'!$K$2:$K$20,MATCH($C104,'Materials Master'!$A$2:$A$20,0)),"No"))))))="Yes",INDEX('Materials Master'!$E$2:$E$20,MATCH($C104,'Materials Master'!$A$2:$A$20,0))="Yes",$B104&lt;&gt;"Trash"),1,0)</f>
        <v>0</v>
      </c>
      <c r="H104" s="0" t="str">
        <f aca="false">INDEX('Materials Master'!$E$2:$E$20,MATCH($C104,'Materials Master'!$A$2:$A$20,0))</f>
        <v>Yes</v>
      </c>
      <c r="I104" s="0" t="str">
        <f aca="false">IFERROR(INDEX(Areas!$C$2:$C$3,MATCH($A104,Areas!$B$2:$B$3,0)),"")</f>
        <v>Cafeteria</v>
      </c>
      <c r="J104" s="0" t="n">
        <f aca="false">IF(IF($B104="Trash",INDEX('Materials Master'!$F$2:$F$20,MATCH($C104,'Materials Master'!$A$2:$A$20,0)),IF($B104="GMPC Recycling",INDEX('Materials Master'!$G$2:$G$20,MATCH($C104,'Materials Master'!$A$2:$A$20,0)),IF($B104="Organics Recycling",INDEX('Materials Master'!$H$2:$H$20,MATCH($C104,'Materials Master'!$A$2:$A$20,0)),IF($B104="Cardboard Recycling",INDEX('Materials Master'!$I$2:$I$20,MATCH($C104,'Materials Master'!$A$2:$A$20,0)),IF($B104="Paper Recycling",INDEX('Materials Master'!$J$2:$J$20,MATCH($C104,'Materials Master'!$A$2:$A$20,0)),IF($B104="Terracycle",INDEX('Materials Master'!$K$2:$K$20,MATCH($C104,'Materials Master'!$A$2:$A$20,0)),"No"))))))="Yes",1,0)</f>
        <v>0</v>
      </c>
    </row>
    <row r="105" customFormat="false" ht="15" hidden="false" customHeight="false" outlineLevel="0" collapsed="false">
      <c r="A105" s="0" t="s">
        <v>79</v>
      </c>
      <c r="B105" s="0" t="s">
        <v>88</v>
      </c>
      <c r="C105" s="0" t="s">
        <v>49</v>
      </c>
      <c r="D105" s="0" t="str">
        <f aca="false">IFERROR(INDEX('Materials Master'!$B$2:$B$20,MATCH($C105,'Materials Master'!$A$2:$A$20,0)),"")</f>
        <v>Metal Hangers</v>
      </c>
      <c r="E105" s="0" t="str">
        <f aca="false">IFERROR(INDEX('Materials Master'!$C$2:$C$20,MATCH($C105,'Materials Master'!$A$2:$A$20,0)),"")</f>
        <v>Metals</v>
      </c>
      <c r="F105" s="0" t="n">
        <f aca="false">IF(SUMIFS(Fact_SortedWeights!$E$2:$E$67,Fact_SortedWeights!$C$2:$C$67,$A105,Fact_SortedWeights!$B$2:$B$67,$B105)=0,0,SUMIFS(Fact_SortedWeights!$E$2:$E$67,Fact_SortedWeights!$C$2:$C$67,$A105,Fact_SortedWeights!$B$2:$B$67,$B105,Fact_SortedWeights!$D$2:$D$67,$C105)/SUMIFS(Fact_SortedWeights!$E$2:$E$67,Fact_SortedWeights!$C$2:$C$67,$A105,Fact_SortedWeights!$B$2:$B$67,$B105)*(IF($B105="Cardboard Recycling",SUMIFS(Fact_SortedWeights!$E$2:$E$67,Fact_SortedWeights!$C$2:$C$67,$A105,Fact_SortedWeights!$B$2:$B$67,$B105),SUMIFS(Fact_PreSortWeights!$E$2:$E$6,Fact_PreSortWeights!$C$2:$C$6,$A105,Fact_PreSortWeights!$B$2:$B$6,$B105))))</f>
        <v>0</v>
      </c>
      <c r="G105" s="0" t="n">
        <f aca="false">IF(AND(IF($B105="Trash",INDEX('Materials Master'!$F$2:$F$20,MATCH($C105,'Materials Master'!$A$2:$A$20,0)),IF($B105="GMPC Recycling",INDEX('Materials Master'!$G$2:$G$20,MATCH($C105,'Materials Master'!$A$2:$A$20,0)),IF($B105="Organics Recycling",INDEX('Materials Master'!$H$2:$H$20,MATCH($C105,'Materials Master'!$A$2:$A$20,0)),IF($B105="Cardboard Recycling",INDEX('Materials Master'!$I$2:$I$20,MATCH($C105,'Materials Master'!$A$2:$A$20,0)),IF($B105="Paper Recycling",INDEX('Materials Master'!$J$2:$J$20,MATCH($C105,'Materials Master'!$A$2:$A$20,0)),IF($B105="Terracycle",INDEX('Materials Master'!$K$2:$K$20,MATCH($C105,'Materials Master'!$A$2:$A$20,0)),"No"))))))="Yes",INDEX('Materials Master'!$E$2:$E$20,MATCH($C105,'Materials Master'!$A$2:$A$20,0))="Yes",$B105&lt;&gt;"Trash"),1,0)</f>
        <v>0</v>
      </c>
      <c r="H105" s="0" t="str">
        <f aca="false">INDEX('Materials Master'!$E$2:$E$20,MATCH($C105,'Materials Master'!$A$2:$A$20,0))</f>
        <v>No</v>
      </c>
      <c r="I105" s="0" t="str">
        <f aca="false">IFERROR(INDEX(Areas!$C$2:$C$3,MATCH($A105,Areas!$B$2:$B$3,0)),"")</f>
        <v>Cafeteria</v>
      </c>
      <c r="J105" s="0" t="n">
        <f aca="false">IF(IF($B105="Trash",INDEX('Materials Master'!$F$2:$F$20,MATCH($C105,'Materials Master'!$A$2:$A$20,0)),IF($B105="GMPC Recycling",INDEX('Materials Master'!$G$2:$G$20,MATCH($C105,'Materials Master'!$A$2:$A$20,0)),IF($B105="Organics Recycling",INDEX('Materials Master'!$H$2:$H$20,MATCH($C105,'Materials Master'!$A$2:$A$20,0)),IF($B105="Cardboard Recycling",INDEX('Materials Master'!$I$2:$I$20,MATCH($C105,'Materials Master'!$A$2:$A$20,0)),IF($B105="Paper Recycling",INDEX('Materials Master'!$J$2:$J$20,MATCH($C105,'Materials Master'!$A$2:$A$20,0)),IF($B105="Terracycle",INDEX('Materials Master'!$K$2:$K$20,MATCH($C105,'Materials Master'!$A$2:$A$20,0)),"No"))))))="Yes",1,0)</f>
        <v>0</v>
      </c>
    </row>
    <row r="106" customFormat="false" ht="15" hidden="false" customHeight="false" outlineLevel="0" collapsed="false">
      <c r="A106" s="0" t="s">
        <v>79</v>
      </c>
      <c r="B106" s="0" t="s">
        <v>88</v>
      </c>
      <c r="C106" s="0" t="s">
        <v>51</v>
      </c>
      <c r="D106" s="0" t="str">
        <f aca="false">IFERROR(INDEX('Materials Master'!$B$2:$B$20,MATCH($C106,'Materials Master'!$A$2:$A$20,0)),"")</f>
        <v>Rigid Plastics (1-6)</v>
      </c>
      <c r="E106" s="0" t="str">
        <f aca="false">IFERROR(INDEX('Materials Master'!$C$2:$C$20,MATCH($C106,'Materials Master'!$A$2:$A$20,0)),"")</f>
        <v>Plastics</v>
      </c>
      <c r="F106" s="0" t="n">
        <f aca="false">IF(SUMIFS(Fact_SortedWeights!$E$2:$E$67,Fact_SortedWeights!$C$2:$C$67,$A106,Fact_SortedWeights!$B$2:$B$67,$B106)=0,0,SUMIFS(Fact_SortedWeights!$E$2:$E$67,Fact_SortedWeights!$C$2:$C$67,$A106,Fact_SortedWeights!$B$2:$B$67,$B106,Fact_SortedWeights!$D$2:$D$67,$C106)/SUMIFS(Fact_SortedWeights!$E$2:$E$67,Fact_SortedWeights!$C$2:$C$67,$A106,Fact_SortedWeights!$B$2:$B$67,$B106)*(IF($B106="Cardboard Recycling",SUMIFS(Fact_SortedWeights!$E$2:$E$67,Fact_SortedWeights!$C$2:$C$67,$A106,Fact_SortedWeights!$B$2:$B$67,$B106),SUMIFS(Fact_PreSortWeights!$E$2:$E$6,Fact_PreSortWeights!$C$2:$C$6,$A106,Fact_PreSortWeights!$B$2:$B$6,$B106))))</f>
        <v>0</v>
      </c>
      <c r="G106" s="0" t="n">
        <f aca="false">IF(AND(IF($B106="Trash",INDEX('Materials Master'!$F$2:$F$20,MATCH($C106,'Materials Master'!$A$2:$A$20,0)),IF($B106="GMPC Recycling",INDEX('Materials Master'!$G$2:$G$20,MATCH($C106,'Materials Master'!$A$2:$A$20,0)),IF($B106="Organics Recycling",INDEX('Materials Master'!$H$2:$H$20,MATCH($C106,'Materials Master'!$A$2:$A$20,0)),IF($B106="Cardboard Recycling",INDEX('Materials Master'!$I$2:$I$20,MATCH($C106,'Materials Master'!$A$2:$A$20,0)),IF($B106="Paper Recycling",INDEX('Materials Master'!$J$2:$J$20,MATCH($C106,'Materials Master'!$A$2:$A$20,0)),IF($B106="Terracycle",INDEX('Materials Master'!$K$2:$K$20,MATCH($C106,'Materials Master'!$A$2:$A$20,0)),"No"))))))="Yes",INDEX('Materials Master'!$E$2:$E$20,MATCH($C106,'Materials Master'!$A$2:$A$20,0))="Yes",$B106&lt;&gt;"Trash"),1,0)</f>
        <v>0</v>
      </c>
      <c r="H106" s="0" t="str">
        <f aca="false">INDEX('Materials Master'!$E$2:$E$20,MATCH($C106,'Materials Master'!$A$2:$A$20,0))</f>
        <v>Yes</v>
      </c>
      <c r="I106" s="0" t="str">
        <f aca="false">IFERROR(INDEX(Areas!$C$2:$C$3,MATCH($A106,Areas!$B$2:$B$3,0)),"")</f>
        <v>Cafeteria</v>
      </c>
      <c r="J106" s="0" t="n">
        <f aca="false">IF(IF($B106="Trash",INDEX('Materials Master'!$F$2:$F$20,MATCH($C106,'Materials Master'!$A$2:$A$20,0)),IF($B106="GMPC Recycling",INDEX('Materials Master'!$G$2:$G$20,MATCH($C106,'Materials Master'!$A$2:$A$20,0)),IF($B106="Organics Recycling",INDEX('Materials Master'!$H$2:$H$20,MATCH($C106,'Materials Master'!$A$2:$A$20,0)),IF($B106="Cardboard Recycling",INDEX('Materials Master'!$I$2:$I$20,MATCH($C106,'Materials Master'!$A$2:$A$20,0)),IF($B106="Paper Recycling",INDEX('Materials Master'!$J$2:$J$20,MATCH($C106,'Materials Master'!$A$2:$A$20,0)),IF($B106="Terracycle",INDEX('Materials Master'!$K$2:$K$20,MATCH($C106,'Materials Master'!$A$2:$A$20,0)),"No"))))))="Yes",1,0)</f>
        <v>0</v>
      </c>
    </row>
    <row r="107" customFormat="false" ht="15" hidden="false" customHeight="false" outlineLevel="0" collapsed="false">
      <c r="A107" s="0" t="s">
        <v>79</v>
      </c>
      <c r="B107" s="0" t="s">
        <v>88</v>
      </c>
      <c r="C107" s="0" t="s">
        <v>54</v>
      </c>
      <c r="D107" s="0" t="str">
        <f aca="false">IFERROR(INDEX('Materials Master'!$B$2:$B$20,MATCH($C107,'Materials Master'!$A$2:$A$20,0)),"")</f>
        <v>Soiled Rigid Plastics</v>
      </c>
      <c r="E107" s="0" t="str">
        <f aca="false">IFERROR(INDEX('Materials Master'!$C$2:$C$20,MATCH($C107,'Materials Master'!$A$2:$A$20,0)),"")</f>
        <v>Plastics</v>
      </c>
      <c r="F107" s="0" t="n">
        <f aca="false">IF(SUMIFS(Fact_SortedWeights!$E$2:$E$67,Fact_SortedWeights!$C$2:$C$67,$A107,Fact_SortedWeights!$B$2:$B$67,$B107)=0,0,SUMIFS(Fact_SortedWeights!$E$2:$E$67,Fact_SortedWeights!$C$2:$C$67,$A107,Fact_SortedWeights!$B$2:$B$67,$B107,Fact_SortedWeights!$D$2:$D$67,$C107)/SUMIFS(Fact_SortedWeights!$E$2:$E$67,Fact_SortedWeights!$C$2:$C$67,$A107,Fact_SortedWeights!$B$2:$B$67,$B107)*(IF($B107="Cardboard Recycling",SUMIFS(Fact_SortedWeights!$E$2:$E$67,Fact_SortedWeights!$C$2:$C$67,$A107,Fact_SortedWeights!$B$2:$B$67,$B107),SUMIFS(Fact_PreSortWeights!$E$2:$E$6,Fact_PreSortWeights!$C$2:$C$6,$A107,Fact_PreSortWeights!$B$2:$B$6,$B107))))</f>
        <v>0</v>
      </c>
      <c r="G107" s="0" t="n">
        <f aca="false">IF(AND(IF($B107="Trash",INDEX('Materials Master'!$F$2:$F$20,MATCH($C107,'Materials Master'!$A$2:$A$20,0)),IF($B107="GMPC Recycling",INDEX('Materials Master'!$G$2:$G$20,MATCH($C107,'Materials Master'!$A$2:$A$20,0)),IF($B107="Organics Recycling",INDEX('Materials Master'!$H$2:$H$20,MATCH($C107,'Materials Master'!$A$2:$A$20,0)),IF($B107="Cardboard Recycling",INDEX('Materials Master'!$I$2:$I$20,MATCH($C107,'Materials Master'!$A$2:$A$20,0)),IF($B107="Paper Recycling",INDEX('Materials Master'!$J$2:$J$20,MATCH($C107,'Materials Master'!$A$2:$A$20,0)),IF($B107="Terracycle",INDEX('Materials Master'!$K$2:$K$20,MATCH($C107,'Materials Master'!$A$2:$A$20,0)),"No"))))))="Yes",INDEX('Materials Master'!$E$2:$E$20,MATCH($C107,'Materials Master'!$A$2:$A$20,0))="Yes",$B107&lt;&gt;"Trash"),1,0)</f>
        <v>0</v>
      </c>
      <c r="H107" s="0" t="str">
        <f aca="false">INDEX('Materials Master'!$E$2:$E$20,MATCH($C107,'Materials Master'!$A$2:$A$20,0))</f>
        <v>No</v>
      </c>
      <c r="I107" s="0" t="str">
        <f aca="false">IFERROR(INDEX(Areas!$C$2:$C$3,MATCH($A107,Areas!$B$2:$B$3,0)),"")</f>
        <v>Cafeteria</v>
      </c>
      <c r="J107" s="0" t="n">
        <f aca="false">IF(IF($B107="Trash",INDEX('Materials Master'!$F$2:$F$20,MATCH($C107,'Materials Master'!$A$2:$A$20,0)),IF($B107="GMPC Recycling",INDEX('Materials Master'!$G$2:$G$20,MATCH($C107,'Materials Master'!$A$2:$A$20,0)),IF($B107="Organics Recycling",INDEX('Materials Master'!$H$2:$H$20,MATCH($C107,'Materials Master'!$A$2:$A$20,0)),IF($B107="Cardboard Recycling",INDEX('Materials Master'!$I$2:$I$20,MATCH($C107,'Materials Master'!$A$2:$A$20,0)),IF($B107="Paper Recycling",INDEX('Materials Master'!$J$2:$J$20,MATCH($C107,'Materials Master'!$A$2:$A$20,0)),IF($B107="Terracycle",INDEX('Materials Master'!$K$2:$K$20,MATCH($C107,'Materials Master'!$A$2:$A$20,0)),"No"))))))="Yes",1,0)</f>
        <v>0</v>
      </c>
    </row>
    <row r="108" customFormat="false" ht="15" hidden="false" customHeight="false" outlineLevel="0" collapsed="false">
      <c r="A108" s="0" t="s">
        <v>79</v>
      </c>
      <c r="B108" s="0" t="s">
        <v>88</v>
      </c>
      <c r="C108" s="0" t="s">
        <v>56</v>
      </c>
      <c r="D108" s="0" t="str">
        <f aca="false">IFERROR(INDEX('Materials Master'!$B$2:$B$20,MATCH($C108,'Materials Master'!$A$2:$A$20,0)),"")</f>
        <v>Film Plastics</v>
      </c>
      <c r="E108" s="0" t="str">
        <f aca="false">IFERROR(INDEX('Materials Master'!$C$2:$C$20,MATCH($C108,'Materials Master'!$A$2:$A$20,0)),"")</f>
        <v>Plastics</v>
      </c>
      <c r="F108" s="0" t="n">
        <f aca="false">IF(SUMIFS(Fact_SortedWeights!$E$2:$E$67,Fact_SortedWeights!$C$2:$C$67,$A108,Fact_SortedWeights!$B$2:$B$67,$B108)=0,0,SUMIFS(Fact_SortedWeights!$E$2:$E$67,Fact_SortedWeights!$C$2:$C$67,$A108,Fact_SortedWeights!$B$2:$B$67,$B108,Fact_SortedWeights!$D$2:$D$67,$C108)/SUMIFS(Fact_SortedWeights!$E$2:$E$67,Fact_SortedWeights!$C$2:$C$67,$A108,Fact_SortedWeights!$B$2:$B$67,$B108)*(IF($B108="Cardboard Recycling",SUMIFS(Fact_SortedWeights!$E$2:$E$67,Fact_SortedWeights!$C$2:$C$67,$A108,Fact_SortedWeights!$B$2:$B$67,$B108),SUMIFS(Fact_PreSortWeights!$E$2:$E$6,Fact_PreSortWeights!$C$2:$C$6,$A108,Fact_PreSortWeights!$B$2:$B$6,$B108))))</f>
        <v>0</v>
      </c>
      <c r="G108" s="0" t="n">
        <f aca="false">IF(AND(IF($B108="Trash",INDEX('Materials Master'!$F$2:$F$20,MATCH($C108,'Materials Master'!$A$2:$A$20,0)),IF($B108="GMPC Recycling",INDEX('Materials Master'!$G$2:$G$20,MATCH($C108,'Materials Master'!$A$2:$A$20,0)),IF($B108="Organics Recycling",INDEX('Materials Master'!$H$2:$H$20,MATCH($C108,'Materials Master'!$A$2:$A$20,0)),IF($B108="Cardboard Recycling",INDEX('Materials Master'!$I$2:$I$20,MATCH($C108,'Materials Master'!$A$2:$A$20,0)),IF($B108="Paper Recycling",INDEX('Materials Master'!$J$2:$J$20,MATCH($C108,'Materials Master'!$A$2:$A$20,0)),IF($B108="Terracycle",INDEX('Materials Master'!$K$2:$K$20,MATCH($C108,'Materials Master'!$A$2:$A$20,0)),"No"))))))="Yes",INDEX('Materials Master'!$E$2:$E$20,MATCH($C108,'Materials Master'!$A$2:$A$20,0))="Yes",$B108&lt;&gt;"Trash"),1,0)</f>
        <v>0</v>
      </c>
      <c r="H108" s="0" t="str">
        <f aca="false">INDEX('Materials Master'!$E$2:$E$20,MATCH($C108,'Materials Master'!$A$2:$A$20,0))</f>
        <v>No</v>
      </c>
      <c r="I108" s="0" t="str">
        <f aca="false">IFERROR(INDEX(Areas!$C$2:$C$3,MATCH($A108,Areas!$B$2:$B$3,0)),"")</f>
        <v>Cafeteria</v>
      </c>
      <c r="J108" s="0" t="n">
        <f aca="false">IF(IF($B108="Trash",INDEX('Materials Master'!$F$2:$F$20,MATCH($C108,'Materials Master'!$A$2:$A$20,0)),IF($B108="GMPC Recycling",INDEX('Materials Master'!$G$2:$G$20,MATCH($C108,'Materials Master'!$A$2:$A$20,0)),IF($B108="Organics Recycling",INDEX('Materials Master'!$H$2:$H$20,MATCH($C108,'Materials Master'!$A$2:$A$20,0)),IF($B108="Cardboard Recycling",INDEX('Materials Master'!$I$2:$I$20,MATCH($C108,'Materials Master'!$A$2:$A$20,0)),IF($B108="Paper Recycling",INDEX('Materials Master'!$J$2:$J$20,MATCH($C108,'Materials Master'!$A$2:$A$20,0)),IF($B108="Terracycle",INDEX('Materials Master'!$K$2:$K$20,MATCH($C108,'Materials Master'!$A$2:$A$20,0)),"No"))))))="Yes",1,0)</f>
        <v>0</v>
      </c>
    </row>
    <row r="109" customFormat="false" ht="15" hidden="false" customHeight="false" outlineLevel="0" collapsed="false">
      <c r="A109" s="0" t="s">
        <v>79</v>
      </c>
      <c r="B109" s="0" t="s">
        <v>88</v>
      </c>
      <c r="C109" s="0" t="s">
        <v>58</v>
      </c>
      <c r="D109" s="0" t="str">
        <f aca="false">IFERROR(INDEX('Materials Master'!$B$2:$B$20,MATCH($C109,'Materials Master'!$A$2:$A$20,0)),"")</f>
        <v>Waste Disposal Bags</v>
      </c>
      <c r="E109" s="0" t="str">
        <f aca="false">IFERROR(INDEX('Materials Master'!$C$2:$C$20,MATCH($C109,'Materials Master'!$A$2:$A$20,0)),"")</f>
        <v>Plastics</v>
      </c>
      <c r="F109" s="0" t="n">
        <f aca="false">IF(SUMIFS(Fact_SortedWeights!$E$2:$E$67,Fact_SortedWeights!$C$2:$C$67,$A109,Fact_SortedWeights!$B$2:$B$67,$B109)=0,0,SUMIFS(Fact_SortedWeights!$E$2:$E$67,Fact_SortedWeights!$C$2:$C$67,$A109,Fact_SortedWeights!$B$2:$B$67,$B109,Fact_SortedWeights!$D$2:$D$67,$C109)/SUMIFS(Fact_SortedWeights!$E$2:$E$67,Fact_SortedWeights!$C$2:$C$67,$A109,Fact_SortedWeights!$B$2:$B$67,$B109)*(IF($B109="Cardboard Recycling",SUMIFS(Fact_SortedWeights!$E$2:$E$67,Fact_SortedWeights!$C$2:$C$67,$A109,Fact_SortedWeights!$B$2:$B$67,$B109),SUMIFS(Fact_PreSortWeights!$E$2:$E$6,Fact_PreSortWeights!$C$2:$C$6,$A109,Fact_PreSortWeights!$B$2:$B$6,$B109))))</f>
        <v>0</v>
      </c>
      <c r="G109" s="0" t="n">
        <f aca="false">IF(AND(IF($B109="Trash",INDEX('Materials Master'!$F$2:$F$20,MATCH($C109,'Materials Master'!$A$2:$A$20,0)),IF($B109="GMPC Recycling",INDEX('Materials Master'!$G$2:$G$20,MATCH($C109,'Materials Master'!$A$2:$A$20,0)),IF($B109="Organics Recycling",INDEX('Materials Master'!$H$2:$H$20,MATCH($C109,'Materials Master'!$A$2:$A$20,0)),IF($B109="Cardboard Recycling",INDEX('Materials Master'!$I$2:$I$20,MATCH($C109,'Materials Master'!$A$2:$A$20,0)),IF($B109="Paper Recycling",INDEX('Materials Master'!$J$2:$J$20,MATCH($C109,'Materials Master'!$A$2:$A$20,0)),IF($B109="Terracycle",INDEX('Materials Master'!$K$2:$K$20,MATCH($C109,'Materials Master'!$A$2:$A$20,0)),"No"))))))="Yes",INDEX('Materials Master'!$E$2:$E$20,MATCH($C109,'Materials Master'!$A$2:$A$20,0))="Yes",$B109&lt;&gt;"Trash"),1,0)</f>
        <v>0</v>
      </c>
      <c r="H109" s="0" t="str">
        <f aca="false">INDEX('Materials Master'!$E$2:$E$20,MATCH($C109,'Materials Master'!$A$2:$A$20,0))</f>
        <v>No</v>
      </c>
      <c r="I109" s="0" t="str">
        <f aca="false">IFERROR(INDEX(Areas!$C$2:$C$3,MATCH($A109,Areas!$B$2:$B$3,0)),"")</f>
        <v>Cafeteria</v>
      </c>
      <c r="J109" s="0" t="n">
        <f aca="false">IF(IF($B109="Trash",INDEX('Materials Master'!$F$2:$F$20,MATCH($C109,'Materials Master'!$A$2:$A$20,0)),IF($B109="GMPC Recycling",INDEX('Materials Master'!$G$2:$G$20,MATCH($C109,'Materials Master'!$A$2:$A$20,0)),IF($B109="Organics Recycling",INDEX('Materials Master'!$H$2:$H$20,MATCH($C109,'Materials Master'!$A$2:$A$20,0)),IF($B109="Cardboard Recycling",INDEX('Materials Master'!$I$2:$I$20,MATCH($C109,'Materials Master'!$A$2:$A$20,0)),IF($B109="Paper Recycling",INDEX('Materials Master'!$J$2:$J$20,MATCH($C109,'Materials Master'!$A$2:$A$20,0)),IF($B109="Terracycle",INDEX('Materials Master'!$K$2:$K$20,MATCH($C109,'Materials Master'!$A$2:$A$20,0)),"No"))))))="Yes",1,0)</f>
        <v>0</v>
      </c>
    </row>
    <row r="110" customFormat="false" ht="15" hidden="false" customHeight="false" outlineLevel="0" collapsed="false">
      <c r="A110" s="0" t="s">
        <v>79</v>
      </c>
      <c r="B110" s="0" t="s">
        <v>88</v>
      </c>
      <c r="C110" s="0" t="s">
        <v>60</v>
      </c>
      <c r="D110" s="0" t="str">
        <f aca="false">IFERROR(INDEX('Materials Master'!$B$2:$B$20,MATCH($C110,'Materials Master'!$A$2:$A$20,0)),"")</f>
        <v>Food Waste</v>
      </c>
      <c r="E110" s="0" t="str">
        <f aca="false">IFERROR(INDEX('Materials Master'!$C$2:$C$20,MATCH($C110,'Materials Master'!$A$2:$A$20,0)),"")</f>
        <v>Organics</v>
      </c>
      <c r="F110" s="0" t="n">
        <f aca="false">IF(SUMIFS(Fact_SortedWeights!$E$2:$E$67,Fact_SortedWeights!$C$2:$C$67,$A110,Fact_SortedWeights!$B$2:$B$67,$B110)=0,0,SUMIFS(Fact_SortedWeights!$E$2:$E$67,Fact_SortedWeights!$C$2:$C$67,$A110,Fact_SortedWeights!$B$2:$B$67,$B110,Fact_SortedWeights!$D$2:$D$67,$C110)/SUMIFS(Fact_SortedWeights!$E$2:$E$67,Fact_SortedWeights!$C$2:$C$67,$A110,Fact_SortedWeights!$B$2:$B$67,$B110)*(IF($B110="Cardboard Recycling",SUMIFS(Fact_SortedWeights!$E$2:$E$67,Fact_SortedWeights!$C$2:$C$67,$A110,Fact_SortedWeights!$B$2:$B$67,$B110),SUMIFS(Fact_PreSortWeights!$E$2:$E$6,Fact_PreSortWeights!$C$2:$C$6,$A110,Fact_PreSortWeights!$B$2:$B$6,$B110))))</f>
        <v>0</v>
      </c>
      <c r="G110" s="0" t="n">
        <f aca="false">IF(AND(IF($B110="Trash",INDEX('Materials Master'!$F$2:$F$20,MATCH($C110,'Materials Master'!$A$2:$A$20,0)),IF($B110="GMPC Recycling",INDEX('Materials Master'!$G$2:$G$20,MATCH($C110,'Materials Master'!$A$2:$A$20,0)),IF($B110="Organics Recycling",INDEX('Materials Master'!$H$2:$H$20,MATCH($C110,'Materials Master'!$A$2:$A$20,0)),IF($B110="Cardboard Recycling",INDEX('Materials Master'!$I$2:$I$20,MATCH($C110,'Materials Master'!$A$2:$A$20,0)),IF($B110="Paper Recycling",INDEX('Materials Master'!$J$2:$J$20,MATCH($C110,'Materials Master'!$A$2:$A$20,0)),IF($B110="Terracycle",INDEX('Materials Master'!$K$2:$K$20,MATCH($C110,'Materials Master'!$A$2:$A$20,0)),"No"))))))="Yes",INDEX('Materials Master'!$E$2:$E$20,MATCH($C110,'Materials Master'!$A$2:$A$20,0))="Yes",$B110&lt;&gt;"Trash"),1,0)</f>
        <v>0</v>
      </c>
      <c r="H110" s="0" t="str">
        <f aca="false">INDEX('Materials Master'!$E$2:$E$20,MATCH($C110,'Materials Master'!$A$2:$A$20,0))</f>
        <v>Yes</v>
      </c>
      <c r="I110" s="0" t="str">
        <f aca="false">IFERROR(INDEX(Areas!$C$2:$C$3,MATCH($A110,Areas!$B$2:$B$3,0)),"")</f>
        <v>Cafeteria</v>
      </c>
      <c r="J110" s="0" t="n">
        <f aca="false">IF(IF($B110="Trash",INDEX('Materials Master'!$F$2:$F$20,MATCH($C110,'Materials Master'!$A$2:$A$20,0)),IF($B110="GMPC Recycling",INDEX('Materials Master'!$G$2:$G$20,MATCH($C110,'Materials Master'!$A$2:$A$20,0)),IF($B110="Organics Recycling",INDEX('Materials Master'!$H$2:$H$20,MATCH($C110,'Materials Master'!$A$2:$A$20,0)),IF($B110="Cardboard Recycling",INDEX('Materials Master'!$I$2:$I$20,MATCH($C110,'Materials Master'!$A$2:$A$20,0)),IF($B110="Paper Recycling",INDEX('Materials Master'!$J$2:$J$20,MATCH($C110,'Materials Master'!$A$2:$A$20,0)),IF($B110="Terracycle",INDEX('Materials Master'!$K$2:$K$20,MATCH($C110,'Materials Master'!$A$2:$A$20,0)),"No"))))))="Yes",1,0)</f>
        <v>0</v>
      </c>
    </row>
    <row r="111" customFormat="false" ht="15" hidden="false" customHeight="false" outlineLevel="0" collapsed="false">
      <c r="A111" s="0" t="s">
        <v>79</v>
      </c>
      <c r="B111" s="0" t="s">
        <v>88</v>
      </c>
      <c r="C111" s="0" t="s">
        <v>63</v>
      </c>
      <c r="D111" s="0" t="str">
        <f aca="false">IFERROR(INDEX('Materials Master'!$B$2:$B$20,MATCH($C111,'Materials Master'!$A$2:$A$20,0)),"")</f>
        <v>Paper Fibers and FSP</v>
      </c>
      <c r="E111" s="0" t="str">
        <f aca="false">IFERROR(INDEX('Materials Master'!$C$2:$C$20,MATCH($C111,'Materials Master'!$A$2:$A$20,0)),"")</f>
        <v>Organics</v>
      </c>
      <c r="F111" s="0" t="n">
        <f aca="false">IF(SUMIFS(Fact_SortedWeights!$E$2:$E$67,Fact_SortedWeights!$C$2:$C$67,$A111,Fact_SortedWeights!$B$2:$B$67,$B111)=0,0,SUMIFS(Fact_SortedWeights!$E$2:$E$67,Fact_SortedWeights!$C$2:$C$67,$A111,Fact_SortedWeights!$B$2:$B$67,$B111,Fact_SortedWeights!$D$2:$D$67,$C111)/SUMIFS(Fact_SortedWeights!$E$2:$E$67,Fact_SortedWeights!$C$2:$C$67,$A111,Fact_SortedWeights!$B$2:$B$67,$B111)*(IF($B111="Cardboard Recycling",SUMIFS(Fact_SortedWeights!$E$2:$E$67,Fact_SortedWeights!$C$2:$C$67,$A111,Fact_SortedWeights!$B$2:$B$67,$B111),SUMIFS(Fact_PreSortWeights!$E$2:$E$6,Fact_PreSortWeights!$C$2:$C$6,$A111,Fact_PreSortWeights!$B$2:$B$6,$B111))))</f>
        <v>0</v>
      </c>
      <c r="G111" s="0" t="n">
        <f aca="false">IF(AND(IF($B111="Trash",INDEX('Materials Master'!$F$2:$F$20,MATCH($C111,'Materials Master'!$A$2:$A$20,0)),IF($B111="GMPC Recycling",INDEX('Materials Master'!$G$2:$G$20,MATCH($C111,'Materials Master'!$A$2:$A$20,0)),IF($B111="Organics Recycling",INDEX('Materials Master'!$H$2:$H$20,MATCH($C111,'Materials Master'!$A$2:$A$20,0)),IF($B111="Cardboard Recycling",INDEX('Materials Master'!$I$2:$I$20,MATCH($C111,'Materials Master'!$A$2:$A$20,0)),IF($B111="Paper Recycling",INDEX('Materials Master'!$J$2:$J$20,MATCH($C111,'Materials Master'!$A$2:$A$20,0)),IF($B111="Terracycle",INDEX('Materials Master'!$K$2:$K$20,MATCH($C111,'Materials Master'!$A$2:$A$20,0)),"No"))))))="Yes",INDEX('Materials Master'!$E$2:$E$20,MATCH($C111,'Materials Master'!$A$2:$A$20,0))="Yes",$B111&lt;&gt;"Trash"),1,0)</f>
        <v>0</v>
      </c>
      <c r="H111" s="0" t="str">
        <f aca="false">INDEX('Materials Master'!$E$2:$E$20,MATCH($C111,'Materials Master'!$A$2:$A$20,0))</f>
        <v>No</v>
      </c>
      <c r="I111" s="0" t="str">
        <f aca="false">IFERROR(INDEX(Areas!$C$2:$C$3,MATCH($A111,Areas!$B$2:$B$3,0)),"")</f>
        <v>Cafeteria</v>
      </c>
      <c r="J111" s="0" t="n">
        <f aca="false">IF(IF($B111="Trash",INDEX('Materials Master'!$F$2:$F$20,MATCH($C111,'Materials Master'!$A$2:$A$20,0)),IF($B111="GMPC Recycling",INDEX('Materials Master'!$G$2:$G$20,MATCH($C111,'Materials Master'!$A$2:$A$20,0)),IF($B111="Organics Recycling",INDEX('Materials Master'!$H$2:$H$20,MATCH($C111,'Materials Master'!$A$2:$A$20,0)),IF($B111="Cardboard Recycling",INDEX('Materials Master'!$I$2:$I$20,MATCH($C111,'Materials Master'!$A$2:$A$20,0)),IF($B111="Paper Recycling",INDEX('Materials Master'!$J$2:$J$20,MATCH($C111,'Materials Master'!$A$2:$A$20,0)),IF($B111="Terracycle",INDEX('Materials Master'!$K$2:$K$20,MATCH($C111,'Materials Master'!$A$2:$A$20,0)),"No"))))))="Yes",1,0)</f>
        <v>0</v>
      </c>
    </row>
    <row r="112" customFormat="false" ht="15" hidden="false" customHeight="false" outlineLevel="0" collapsed="false">
      <c r="A112" s="0" t="s">
        <v>79</v>
      </c>
      <c r="B112" s="0" t="s">
        <v>88</v>
      </c>
      <c r="C112" s="0" t="s">
        <v>65</v>
      </c>
      <c r="D112" s="0" t="str">
        <f aca="false">IFERROR(INDEX('Materials Master'!$B$2:$B$20,MATCH($C112,'Materials Master'!$A$2:$A$20,0)),"")</f>
        <v>Certified Compostables</v>
      </c>
      <c r="E112" s="0" t="str">
        <f aca="false">IFERROR(INDEX('Materials Master'!$C$2:$C$20,MATCH($C112,'Materials Master'!$A$2:$A$20,0)),"")</f>
        <v>Organics</v>
      </c>
      <c r="F112" s="0" t="n">
        <f aca="false">IF(SUMIFS(Fact_SortedWeights!$E$2:$E$67,Fact_SortedWeights!$C$2:$C$67,$A112,Fact_SortedWeights!$B$2:$B$67,$B112)=0,0,SUMIFS(Fact_SortedWeights!$E$2:$E$67,Fact_SortedWeights!$C$2:$C$67,$A112,Fact_SortedWeights!$B$2:$B$67,$B112,Fact_SortedWeights!$D$2:$D$67,$C112)/SUMIFS(Fact_SortedWeights!$E$2:$E$67,Fact_SortedWeights!$C$2:$C$67,$A112,Fact_SortedWeights!$B$2:$B$67,$B112)*(IF($B112="Cardboard Recycling",SUMIFS(Fact_SortedWeights!$E$2:$E$67,Fact_SortedWeights!$C$2:$C$67,$A112,Fact_SortedWeights!$B$2:$B$67,$B112),SUMIFS(Fact_PreSortWeights!$E$2:$E$6,Fact_PreSortWeights!$C$2:$C$6,$A112,Fact_PreSortWeights!$B$2:$B$6,$B112))))</f>
        <v>0</v>
      </c>
      <c r="G112" s="0" t="n">
        <f aca="false">IF(AND(IF($B112="Trash",INDEX('Materials Master'!$F$2:$F$20,MATCH($C112,'Materials Master'!$A$2:$A$20,0)),IF($B112="GMPC Recycling",INDEX('Materials Master'!$G$2:$G$20,MATCH($C112,'Materials Master'!$A$2:$A$20,0)),IF($B112="Organics Recycling",INDEX('Materials Master'!$H$2:$H$20,MATCH($C112,'Materials Master'!$A$2:$A$20,0)),IF($B112="Cardboard Recycling",INDEX('Materials Master'!$I$2:$I$20,MATCH($C112,'Materials Master'!$A$2:$A$20,0)),IF($B112="Paper Recycling",INDEX('Materials Master'!$J$2:$J$20,MATCH($C112,'Materials Master'!$A$2:$A$20,0)),IF($B112="Terracycle",INDEX('Materials Master'!$K$2:$K$20,MATCH($C112,'Materials Master'!$A$2:$A$20,0)),"No"))))))="Yes",INDEX('Materials Master'!$E$2:$E$20,MATCH($C112,'Materials Master'!$A$2:$A$20,0))="Yes",$B112&lt;&gt;"Trash"),1,0)</f>
        <v>0</v>
      </c>
      <c r="H112" s="0" t="str">
        <f aca="false">INDEX('Materials Master'!$E$2:$E$20,MATCH($C112,'Materials Master'!$A$2:$A$20,0))</f>
        <v>No</v>
      </c>
      <c r="I112" s="0" t="str">
        <f aca="false">IFERROR(INDEX(Areas!$C$2:$C$3,MATCH($A112,Areas!$B$2:$B$3,0)),"")</f>
        <v>Cafeteria</v>
      </c>
      <c r="J112" s="0" t="n">
        <f aca="false">IF(IF($B112="Trash",INDEX('Materials Master'!$F$2:$F$20,MATCH($C112,'Materials Master'!$A$2:$A$20,0)),IF($B112="GMPC Recycling",INDEX('Materials Master'!$G$2:$G$20,MATCH($C112,'Materials Master'!$A$2:$A$20,0)),IF($B112="Organics Recycling",INDEX('Materials Master'!$H$2:$H$20,MATCH($C112,'Materials Master'!$A$2:$A$20,0)),IF($B112="Cardboard Recycling",INDEX('Materials Master'!$I$2:$I$20,MATCH($C112,'Materials Master'!$A$2:$A$20,0)),IF($B112="Paper Recycling",INDEX('Materials Master'!$J$2:$J$20,MATCH($C112,'Materials Master'!$A$2:$A$20,0)),IF($B112="Terracycle",INDEX('Materials Master'!$K$2:$K$20,MATCH($C112,'Materials Master'!$A$2:$A$20,0)),"No"))))))="Yes",1,0)</f>
        <v>0</v>
      </c>
    </row>
    <row r="113" customFormat="false" ht="15" hidden="false" customHeight="false" outlineLevel="0" collapsed="false">
      <c r="A113" s="0" t="s">
        <v>79</v>
      </c>
      <c r="B113" s="0" t="s">
        <v>88</v>
      </c>
      <c r="C113" s="0" t="s">
        <v>67</v>
      </c>
      <c r="D113" s="0" t="str">
        <f aca="false">IFERROR(INDEX('Materials Master'!$B$2:$B$20,MATCH($C113,'Materials Master'!$A$2:$A$20,0)),"")</f>
        <v>Textiles</v>
      </c>
      <c r="E113" s="0" t="str">
        <f aca="false">IFERROR(INDEX('Materials Master'!$C$2:$C$20,MATCH($C113,'Materials Master'!$A$2:$A$20,0)),"")</f>
        <v>Unacceptable</v>
      </c>
      <c r="F113" s="0" t="n">
        <f aca="false">IF(SUMIFS(Fact_SortedWeights!$E$2:$E$67,Fact_SortedWeights!$C$2:$C$67,$A113,Fact_SortedWeights!$B$2:$B$67,$B113)=0,0,SUMIFS(Fact_SortedWeights!$E$2:$E$67,Fact_SortedWeights!$C$2:$C$67,$A113,Fact_SortedWeights!$B$2:$B$67,$B113,Fact_SortedWeights!$D$2:$D$67,$C113)/SUMIFS(Fact_SortedWeights!$E$2:$E$67,Fact_SortedWeights!$C$2:$C$67,$A113,Fact_SortedWeights!$B$2:$B$67,$B113)*(IF($B113="Cardboard Recycling",SUMIFS(Fact_SortedWeights!$E$2:$E$67,Fact_SortedWeights!$C$2:$C$67,$A113,Fact_SortedWeights!$B$2:$B$67,$B113),SUMIFS(Fact_PreSortWeights!$E$2:$E$6,Fact_PreSortWeights!$C$2:$C$6,$A113,Fact_PreSortWeights!$B$2:$B$6,$B113))))</f>
        <v>0</v>
      </c>
      <c r="G113" s="0" t="n">
        <f aca="false">IF(AND(IF($B113="Trash",INDEX('Materials Master'!$F$2:$F$20,MATCH($C113,'Materials Master'!$A$2:$A$20,0)),IF($B113="GMPC Recycling",INDEX('Materials Master'!$G$2:$G$20,MATCH($C113,'Materials Master'!$A$2:$A$20,0)),IF($B113="Organics Recycling",INDEX('Materials Master'!$H$2:$H$20,MATCH($C113,'Materials Master'!$A$2:$A$20,0)),IF($B113="Cardboard Recycling",INDEX('Materials Master'!$I$2:$I$20,MATCH($C113,'Materials Master'!$A$2:$A$20,0)),IF($B113="Paper Recycling",INDEX('Materials Master'!$J$2:$J$20,MATCH($C113,'Materials Master'!$A$2:$A$20,0)),IF($B113="Terracycle",INDEX('Materials Master'!$K$2:$K$20,MATCH($C113,'Materials Master'!$A$2:$A$20,0)),"No"))))))="Yes",INDEX('Materials Master'!$E$2:$E$20,MATCH($C113,'Materials Master'!$A$2:$A$20,0))="Yes",$B113&lt;&gt;"Trash"),1,0)</f>
        <v>0</v>
      </c>
      <c r="H113" s="0" t="str">
        <f aca="false">INDEX('Materials Master'!$E$2:$E$20,MATCH($C113,'Materials Master'!$A$2:$A$20,0))</f>
        <v>No</v>
      </c>
      <c r="I113" s="0" t="str">
        <f aca="false">IFERROR(INDEX(Areas!$C$2:$C$3,MATCH($A113,Areas!$B$2:$B$3,0)),"")</f>
        <v>Cafeteria</v>
      </c>
      <c r="J113" s="0" t="n">
        <f aca="false">IF(IF($B113="Trash",INDEX('Materials Master'!$F$2:$F$20,MATCH($C113,'Materials Master'!$A$2:$A$20,0)),IF($B113="GMPC Recycling",INDEX('Materials Master'!$G$2:$G$20,MATCH($C113,'Materials Master'!$A$2:$A$20,0)),IF($B113="Organics Recycling",INDEX('Materials Master'!$H$2:$H$20,MATCH($C113,'Materials Master'!$A$2:$A$20,0)),IF($B113="Cardboard Recycling",INDEX('Materials Master'!$I$2:$I$20,MATCH($C113,'Materials Master'!$A$2:$A$20,0)),IF($B113="Paper Recycling",INDEX('Materials Master'!$J$2:$J$20,MATCH($C113,'Materials Master'!$A$2:$A$20,0)),IF($B113="Terracycle",INDEX('Materials Master'!$K$2:$K$20,MATCH($C113,'Materials Master'!$A$2:$A$20,0)),"No"))))))="Yes",1,0)</f>
        <v>0</v>
      </c>
    </row>
    <row r="114" customFormat="false" ht="15" hidden="false" customHeight="false" outlineLevel="0" collapsed="false">
      <c r="A114" s="0" t="s">
        <v>79</v>
      </c>
      <c r="B114" s="0" t="s">
        <v>88</v>
      </c>
      <c r="C114" s="0" t="s">
        <v>70</v>
      </c>
      <c r="D114" s="0" t="str">
        <f aca="false">IFERROR(INDEX('Materials Master'!$B$2:$B$20,MATCH($C114,'Materials Master'!$A$2:$A$20,0)),"")</f>
        <v>Liquids</v>
      </c>
      <c r="E114" s="0" t="str">
        <f aca="false">IFERROR(INDEX('Materials Master'!$C$2:$C$20,MATCH($C114,'Materials Master'!$A$2:$A$20,0)),"")</f>
        <v>Unacceptable</v>
      </c>
      <c r="F114" s="0" t="n">
        <f aca="false">IF(SUMIFS(Fact_SortedWeights!$E$2:$E$67,Fact_SortedWeights!$C$2:$C$67,$A114,Fact_SortedWeights!$B$2:$B$67,$B114)=0,0,SUMIFS(Fact_SortedWeights!$E$2:$E$67,Fact_SortedWeights!$C$2:$C$67,$A114,Fact_SortedWeights!$B$2:$B$67,$B114,Fact_SortedWeights!$D$2:$D$67,$C114)/SUMIFS(Fact_SortedWeights!$E$2:$E$67,Fact_SortedWeights!$C$2:$C$67,$A114,Fact_SortedWeights!$B$2:$B$67,$B114)*(IF($B114="Cardboard Recycling",SUMIFS(Fact_SortedWeights!$E$2:$E$67,Fact_SortedWeights!$C$2:$C$67,$A114,Fact_SortedWeights!$B$2:$B$67,$B114),SUMIFS(Fact_PreSortWeights!$E$2:$E$6,Fact_PreSortWeights!$C$2:$C$6,$A114,Fact_PreSortWeights!$B$2:$B$6,$B114))))</f>
        <v>0</v>
      </c>
      <c r="G114" s="0" t="n">
        <f aca="false">IF(AND(IF($B114="Trash",INDEX('Materials Master'!$F$2:$F$20,MATCH($C114,'Materials Master'!$A$2:$A$20,0)),IF($B114="GMPC Recycling",INDEX('Materials Master'!$G$2:$G$20,MATCH($C114,'Materials Master'!$A$2:$A$20,0)),IF($B114="Organics Recycling",INDEX('Materials Master'!$H$2:$H$20,MATCH($C114,'Materials Master'!$A$2:$A$20,0)),IF($B114="Cardboard Recycling",INDEX('Materials Master'!$I$2:$I$20,MATCH($C114,'Materials Master'!$A$2:$A$20,0)),IF($B114="Paper Recycling",INDEX('Materials Master'!$J$2:$J$20,MATCH($C114,'Materials Master'!$A$2:$A$20,0)),IF($B114="Terracycle",INDEX('Materials Master'!$K$2:$K$20,MATCH($C114,'Materials Master'!$A$2:$A$20,0)),"No"))))))="Yes",INDEX('Materials Master'!$E$2:$E$20,MATCH($C114,'Materials Master'!$A$2:$A$20,0))="Yes",$B114&lt;&gt;"Trash"),1,0)</f>
        <v>0</v>
      </c>
      <c r="H114" s="0" t="str">
        <f aca="false">INDEX('Materials Master'!$E$2:$E$20,MATCH($C114,'Materials Master'!$A$2:$A$20,0))</f>
        <v>No</v>
      </c>
      <c r="I114" s="0" t="str">
        <f aca="false">IFERROR(INDEX(Areas!$C$2:$C$3,MATCH($A114,Areas!$B$2:$B$3,0)),"")</f>
        <v>Cafeteria</v>
      </c>
      <c r="J114" s="0" t="n">
        <f aca="false">IF(IF($B114="Trash",INDEX('Materials Master'!$F$2:$F$20,MATCH($C114,'Materials Master'!$A$2:$A$20,0)),IF($B114="GMPC Recycling",INDEX('Materials Master'!$G$2:$G$20,MATCH($C114,'Materials Master'!$A$2:$A$20,0)),IF($B114="Organics Recycling",INDEX('Materials Master'!$H$2:$H$20,MATCH($C114,'Materials Master'!$A$2:$A$20,0)),IF($B114="Cardboard Recycling",INDEX('Materials Master'!$I$2:$I$20,MATCH($C114,'Materials Master'!$A$2:$A$20,0)),IF($B114="Paper Recycling",INDEX('Materials Master'!$J$2:$J$20,MATCH($C114,'Materials Master'!$A$2:$A$20,0)),IF($B114="Terracycle",INDEX('Materials Master'!$K$2:$K$20,MATCH($C114,'Materials Master'!$A$2:$A$20,0)),"No"))))))="Yes",1,0)</f>
        <v>0</v>
      </c>
    </row>
    <row r="115" customFormat="false" ht="15" hidden="false" customHeight="false" outlineLevel="0" collapsed="false">
      <c r="A115" s="0" t="s">
        <v>79</v>
      </c>
      <c r="B115" s="0" t="s">
        <v>88</v>
      </c>
      <c r="C115" s="0" t="s">
        <v>72</v>
      </c>
      <c r="D115" s="0" t="str">
        <f aca="false">IFERROR(INDEX('Materials Master'!$B$2:$B$20,MATCH($C115,'Materials Master'!$A$2:$A$20,0)),"")</f>
        <v>Residual Materials</v>
      </c>
      <c r="E115" s="0" t="str">
        <f aca="false">IFERROR(INDEX('Materials Master'!$C$2:$C$20,MATCH($C115,'Materials Master'!$A$2:$A$20,0)),"")</f>
        <v>Other</v>
      </c>
      <c r="F115" s="0" t="n">
        <f aca="false">IF(SUMIFS(Fact_SortedWeights!$E$2:$E$67,Fact_SortedWeights!$C$2:$C$67,$A115,Fact_SortedWeights!$B$2:$B$67,$B115)=0,0,SUMIFS(Fact_SortedWeights!$E$2:$E$67,Fact_SortedWeights!$C$2:$C$67,$A115,Fact_SortedWeights!$B$2:$B$67,$B115,Fact_SortedWeights!$D$2:$D$67,$C115)/SUMIFS(Fact_SortedWeights!$E$2:$E$67,Fact_SortedWeights!$C$2:$C$67,$A115,Fact_SortedWeights!$B$2:$B$67,$B115)*(IF($B115="Cardboard Recycling",SUMIFS(Fact_SortedWeights!$E$2:$E$67,Fact_SortedWeights!$C$2:$C$67,$A115,Fact_SortedWeights!$B$2:$B$67,$B115),SUMIFS(Fact_PreSortWeights!$E$2:$E$6,Fact_PreSortWeights!$C$2:$C$6,$A115,Fact_PreSortWeights!$B$2:$B$6,$B115))))</f>
        <v>0</v>
      </c>
      <c r="G115" s="0" t="n">
        <f aca="false">IF(AND(IF($B115="Trash",INDEX('Materials Master'!$F$2:$F$20,MATCH($C115,'Materials Master'!$A$2:$A$20,0)),IF($B115="GMPC Recycling",INDEX('Materials Master'!$G$2:$G$20,MATCH($C115,'Materials Master'!$A$2:$A$20,0)),IF($B115="Organics Recycling",INDEX('Materials Master'!$H$2:$H$20,MATCH($C115,'Materials Master'!$A$2:$A$20,0)),IF($B115="Cardboard Recycling",INDEX('Materials Master'!$I$2:$I$20,MATCH($C115,'Materials Master'!$A$2:$A$20,0)),IF($B115="Paper Recycling",INDEX('Materials Master'!$J$2:$J$20,MATCH($C115,'Materials Master'!$A$2:$A$20,0)),IF($B115="Terracycle",INDEX('Materials Master'!$K$2:$K$20,MATCH($C115,'Materials Master'!$A$2:$A$20,0)),"No"))))))="Yes",INDEX('Materials Master'!$E$2:$E$20,MATCH($C115,'Materials Master'!$A$2:$A$20,0))="Yes",$B115&lt;&gt;"Trash"),1,0)</f>
        <v>0</v>
      </c>
      <c r="H115" s="0" t="str">
        <f aca="false">INDEX('Materials Master'!$E$2:$E$20,MATCH($C115,'Materials Master'!$A$2:$A$20,0))</f>
        <v>No</v>
      </c>
      <c r="I115" s="0" t="str">
        <f aca="false">IFERROR(INDEX(Areas!$C$2:$C$3,MATCH($A115,Areas!$B$2:$B$3,0)),"")</f>
        <v>Cafeteria</v>
      </c>
      <c r="J115" s="0" t="n">
        <f aca="false">IF(IF($B115="Trash",INDEX('Materials Master'!$F$2:$F$20,MATCH($C115,'Materials Master'!$A$2:$A$20,0)),IF($B115="GMPC Recycling",INDEX('Materials Master'!$G$2:$G$20,MATCH($C115,'Materials Master'!$A$2:$A$20,0)),IF($B115="Organics Recycling",INDEX('Materials Master'!$H$2:$H$20,MATCH($C115,'Materials Master'!$A$2:$A$20,0)),IF($B115="Cardboard Recycling",INDEX('Materials Master'!$I$2:$I$20,MATCH($C115,'Materials Master'!$A$2:$A$20,0)),IF($B115="Paper Recycling",INDEX('Materials Master'!$J$2:$J$20,MATCH($C115,'Materials Master'!$A$2:$A$20,0)),IF($B115="Terracycle",INDEX('Materials Master'!$K$2:$K$20,MATCH($C115,'Materials Master'!$A$2:$A$20,0)),"No"))))))="Yes",1,0)</f>
        <v>0</v>
      </c>
    </row>
    <row r="116" customFormat="false" ht="15" hidden="false" customHeight="false" outlineLevel="0" collapsed="false">
      <c r="A116" s="0" t="s">
        <v>81</v>
      </c>
      <c r="B116" s="0" t="s">
        <v>83</v>
      </c>
      <c r="C116" s="0" t="s">
        <v>28</v>
      </c>
      <c r="D116" s="0" t="str">
        <f aca="false">IFERROR(INDEX('Materials Master'!$B$2:$B$20,MATCH($C116,'Materials Master'!$A$2:$A$20,0)),"")</f>
        <v>Corrugated Cardboard</v>
      </c>
      <c r="E116" s="0" t="str">
        <f aca="false">IFERROR(INDEX('Materials Master'!$C$2:$C$20,MATCH($C116,'Materials Master'!$A$2:$A$20,0)),"")</f>
        <v>Fibers</v>
      </c>
      <c r="F116" s="0" t="n">
        <f aca="false">IF(SUMIFS(Fact_SortedWeights!$E$2:$E$67,Fact_SortedWeights!$C$2:$C$67,$A116,Fact_SortedWeights!$B$2:$B$67,$B116)=0,0,SUMIFS(Fact_SortedWeights!$E$2:$E$67,Fact_SortedWeights!$C$2:$C$67,$A116,Fact_SortedWeights!$B$2:$B$67,$B116,Fact_SortedWeights!$D$2:$D$67,$C116)/SUMIFS(Fact_SortedWeights!$E$2:$E$67,Fact_SortedWeights!$C$2:$C$67,$A116,Fact_SortedWeights!$B$2:$B$67,$B116)*(IF($B116="Cardboard Recycling",SUMIFS(Fact_SortedWeights!$E$2:$E$67,Fact_SortedWeights!$C$2:$C$67,$A116,Fact_SortedWeights!$B$2:$B$67,$B116),SUMIFS(Fact_PreSortWeights!$E$2:$E$6,Fact_PreSortWeights!$C$2:$C$6,$A116,Fact_PreSortWeights!$B$2:$B$6,$B116))))</f>
        <v>0</v>
      </c>
      <c r="G116" s="0" t="n">
        <f aca="false">IF(AND(IF($B116="Trash",INDEX('Materials Master'!$F$2:$F$20,MATCH($C116,'Materials Master'!$A$2:$A$20,0)),IF($B116="GMPC Recycling",INDEX('Materials Master'!$G$2:$G$20,MATCH($C116,'Materials Master'!$A$2:$A$20,0)),IF($B116="Organics Recycling",INDEX('Materials Master'!$H$2:$H$20,MATCH($C116,'Materials Master'!$A$2:$A$20,0)),IF($B116="Cardboard Recycling",INDEX('Materials Master'!$I$2:$I$20,MATCH($C116,'Materials Master'!$A$2:$A$20,0)),IF($B116="Paper Recycling",INDEX('Materials Master'!$J$2:$J$20,MATCH($C116,'Materials Master'!$A$2:$A$20,0)),IF($B116="Terracycle",INDEX('Materials Master'!$K$2:$K$20,MATCH($C116,'Materials Master'!$A$2:$A$20,0)),"No"))))))="Yes",INDEX('Materials Master'!$E$2:$E$20,MATCH($C116,'Materials Master'!$A$2:$A$20,0))="Yes",$B116&lt;&gt;"Trash"),1,0)</f>
        <v>0</v>
      </c>
      <c r="H116" s="0" t="str">
        <f aca="false">INDEX('Materials Master'!$E$2:$E$20,MATCH($C116,'Materials Master'!$A$2:$A$20,0))</f>
        <v>Yes</v>
      </c>
      <c r="I116" s="0" t="str">
        <f aca="false">IFERROR(INDEX(Areas!$C$2:$C$3,MATCH($A116,Areas!$B$2:$B$3,0)),"")</f>
        <v>Base Building</v>
      </c>
      <c r="J116" s="0" t="n">
        <f aca="false">IF(IF($B116="Trash",INDEX('Materials Master'!$F$2:$F$20,MATCH($C116,'Materials Master'!$A$2:$A$20,0)),IF($B116="GMPC Recycling",INDEX('Materials Master'!$G$2:$G$20,MATCH($C116,'Materials Master'!$A$2:$A$20,0)),IF($B116="Organics Recycling",INDEX('Materials Master'!$H$2:$H$20,MATCH($C116,'Materials Master'!$A$2:$A$20,0)),IF($B116="Cardboard Recycling",INDEX('Materials Master'!$I$2:$I$20,MATCH($C116,'Materials Master'!$A$2:$A$20,0)),IF($B116="Paper Recycling",INDEX('Materials Master'!$J$2:$J$20,MATCH($C116,'Materials Master'!$A$2:$A$20,0)),IF($B116="Terracycle",INDEX('Materials Master'!$K$2:$K$20,MATCH($C116,'Materials Master'!$A$2:$A$20,0)),"No"))))))="Yes",1,0)</f>
        <v>0</v>
      </c>
    </row>
    <row r="117" customFormat="false" ht="15" hidden="false" customHeight="false" outlineLevel="0" collapsed="false">
      <c r="A117" s="0" t="s">
        <v>81</v>
      </c>
      <c r="B117" s="0" t="s">
        <v>83</v>
      </c>
      <c r="C117" s="0" t="s">
        <v>33</v>
      </c>
      <c r="D117" s="0" t="str">
        <f aca="false">IFERROR(INDEX('Materials Master'!$B$2:$B$20,MATCH($C117,'Materials Master'!$A$2:$A$20,0)),"")</f>
        <v>Waxed Cardboard</v>
      </c>
      <c r="E117" s="0" t="str">
        <f aca="false">IFERROR(INDEX('Materials Master'!$C$2:$C$20,MATCH($C117,'Materials Master'!$A$2:$A$20,0)),"")</f>
        <v>Fibers</v>
      </c>
      <c r="F117" s="0" t="n">
        <f aca="false">IF(SUMIFS(Fact_SortedWeights!$E$2:$E$67,Fact_SortedWeights!$C$2:$C$67,$A117,Fact_SortedWeights!$B$2:$B$67,$B117)=0,0,SUMIFS(Fact_SortedWeights!$E$2:$E$67,Fact_SortedWeights!$C$2:$C$67,$A117,Fact_SortedWeights!$B$2:$B$67,$B117,Fact_SortedWeights!$D$2:$D$67,$C117)/SUMIFS(Fact_SortedWeights!$E$2:$E$67,Fact_SortedWeights!$C$2:$C$67,$A117,Fact_SortedWeights!$B$2:$B$67,$B117)*(IF($B117="Cardboard Recycling",SUMIFS(Fact_SortedWeights!$E$2:$E$67,Fact_SortedWeights!$C$2:$C$67,$A117,Fact_SortedWeights!$B$2:$B$67,$B117),SUMIFS(Fact_PreSortWeights!$E$2:$E$6,Fact_PreSortWeights!$C$2:$C$6,$A117,Fact_PreSortWeights!$B$2:$B$6,$B117))))</f>
        <v>0</v>
      </c>
      <c r="G117" s="0" t="n">
        <f aca="false">IF(AND(IF($B117="Trash",INDEX('Materials Master'!$F$2:$F$20,MATCH($C117,'Materials Master'!$A$2:$A$20,0)),IF($B117="GMPC Recycling",INDEX('Materials Master'!$G$2:$G$20,MATCH($C117,'Materials Master'!$A$2:$A$20,0)),IF($B117="Organics Recycling",INDEX('Materials Master'!$H$2:$H$20,MATCH($C117,'Materials Master'!$A$2:$A$20,0)),IF($B117="Cardboard Recycling",INDEX('Materials Master'!$I$2:$I$20,MATCH($C117,'Materials Master'!$A$2:$A$20,0)),IF($B117="Paper Recycling",INDEX('Materials Master'!$J$2:$J$20,MATCH($C117,'Materials Master'!$A$2:$A$20,0)),IF($B117="Terracycle",INDEX('Materials Master'!$K$2:$K$20,MATCH($C117,'Materials Master'!$A$2:$A$20,0)),"No"))))))="Yes",INDEX('Materials Master'!$E$2:$E$20,MATCH($C117,'Materials Master'!$A$2:$A$20,0))="Yes",$B117&lt;&gt;"Trash"),1,0)</f>
        <v>0</v>
      </c>
      <c r="H117" s="0" t="str">
        <f aca="false">INDEX('Materials Master'!$E$2:$E$20,MATCH($C117,'Materials Master'!$A$2:$A$20,0))</f>
        <v>No</v>
      </c>
      <c r="I117" s="0" t="str">
        <f aca="false">IFERROR(INDEX(Areas!$C$2:$C$3,MATCH($A117,Areas!$B$2:$B$3,0)),"")</f>
        <v>Base Building</v>
      </c>
      <c r="J117" s="0" t="n">
        <f aca="false">IF(IF($B117="Trash",INDEX('Materials Master'!$F$2:$F$20,MATCH($C117,'Materials Master'!$A$2:$A$20,0)),IF($B117="GMPC Recycling",INDEX('Materials Master'!$G$2:$G$20,MATCH($C117,'Materials Master'!$A$2:$A$20,0)),IF($B117="Organics Recycling",INDEX('Materials Master'!$H$2:$H$20,MATCH($C117,'Materials Master'!$A$2:$A$20,0)),IF($B117="Cardboard Recycling",INDEX('Materials Master'!$I$2:$I$20,MATCH($C117,'Materials Master'!$A$2:$A$20,0)),IF($B117="Paper Recycling",INDEX('Materials Master'!$J$2:$J$20,MATCH($C117,'Materials Master'!$A$2:$A$20,0)),IF($B117="Terracycle",INDEX('Materials Master'!$K$2:$K$20,MATCH($C117,'Materials Master'!$A$2:$A$20,0)),"No"))))))="Yes",1,0)</f>
        <v>1</v>
      </c>
    </row>
    <row r="118" customFormat="false" ht="15" hidden="false" customHeight="false" outlineLevel="0" collapsed="false">
      <c r="A118" s="0" t="s">
        <v>81</v>
      </c>
      <c r="B118" s="0" t="s">
        <v>83</v>
      </c>
      <c r="C118" s="0" t="s">
        <v>35</v>
      </c>
      <c r="D118" s="0" t="str">
        <f aca="false">IFERROR(INDEX('Materials Master'!$B$2:$B$20,MATCH($C118,'Materials Master'!$A$2:$A$20,0)),"")</f>
        <v>Mixed Paper</v>
      </c>
      <c r="E118" s="0" t="str">
        <f aca="false">IFERROR(INDEX('Materials Master'!$C$2:$C$20,MATCH($C118,'Materials Master'!$A$2:$A$20,0)),"")</f>
        <v>Fibers</v>
      </c>
      <c r="F118" s="0" t="n">
        <f aca="false">IF(SUMIFS(Fact_SortedWeights!$E$2:$E$67,Fact_SortedWeights!$C$2:$C$67,$A118,Fact_SortedWeights!$B$2:$B$67,$B118)=0,0,SUMIFS(Fact_SortedWeights!$E$2:$E$67,Fact_SortedWeights!$C$2:$C$67,$A118,Fact_SortedWeights!$B$2:$B$67,$B118,Fact_SortedWeights!$D$2:$D$67,$C118)/SUMIFS(Fact_SortedWeights!$E$2:$E$67,Fact_SortedWeights!$C$2:$C$67,$A118,Fact_SortedWeights!$B$2:$B$67,$B118)*(IF($B118="Cardboard Recycling",SUMIFS(Fact_SortedWeights!$E$2:$E$67,Fact_SortedWeights!$C$2:$C$67,$A118,Fact_SortedWeights!$B$2:$B$67,$B118),SUMIFS(Fact_PreSortWeights!$E$2:$E$6,Fact_PreSortWeights!$C$2:$C$6,$A118,Fact_PreSortWeights!$B$2:$B$6,$B118))))</f>
        <v>30.31</v>
      </c>
      <c r="G118" s="0" t="n">
        <f aca="false">IF(AND(IF($B118="Trash",INDEX('Materials Master'!$F$2:$F$20,MATCH($C118,'Materials Master'!$A$2:$A$20,0)),IF($B118="GMPC Recycling",INDEX('Materials Master'!$G$2:$G$20,MATCH($C118,'Materials Master'!$A$2:$A$20,0)),IF($B118="Organics Recycling",INDEX('Materials Master'!$H$2:$H$20,MATCH($C118,'Materials Master'!$A$2:$A$20,0)),IF($B118="Cardboard Recycling",INDEX('Materials Master'!$I$2:$I$20,MATCH($C118,'Materials Master'!$A$2:$A$20,0)),IF($B118="Paper Recycling",INDEX('Materials Master'!$J$2:$J$20,MATCH($C118,'Materials Master'!$A$2:$A$20,0)),IF($B118="Terracycle",INDEX('Materials Master'!$K$2:$K$20,MATCH($C118,'Materials Master'!$A$2:$A$20,0)),"No"))))))="Yes",INDEX('Materials Master'!$E$2:$E$20,MATCH($C118,'Materials Master'!$A$2:$A$20,0))="Yes",$B118&lt;&gt;"Trash"),1,0)</f>
        <v>0</v>
      </c>
      <c r="H118" s="0" t="str">
        <f aca="false">INDEX('Materials Master'!$E$2:$E$20,MATCH($C118,'Materials Master'!$A$2:$A$20,0))</f>
        <v>Yes</v>
      </c>
      <c r="I118" s="0" t="str">
        <f aca="false">IFERROR(INDEX(Areas!$C$2:$C$3,MATCH($A118,Areas!$B$2:$B$3,0)),"")</f>
        <v>Base Building</v>
      </c>
      <c r="J118" s="0" t="n">
        <f aca="false">IF(IF($B118="Trash",INDEX('Materials Master'!$F$2:$F$20,MATCH($C118,'Materials Master'!$A$2:$A$20,0)),IF($B118="GMPC Recycling",INDEX('Materials Master'!$G$2:$G$20,MATCH($C118,'Materials Master'!$A$2:$A$20,0)),IF($B118="Organics Recycling",INDEX('Materials Master'!$H$2:$H$20,MATCH($C118,'Materials Master'!$A$2:$A$20,0)),IF($B118="Cardboard Recycling",INDEX('Materials Master'!$I$2:$I$20,MATCH($C118,'Materials Master'!$A$2:$A$20,0)),IF($B118="Paper Recycling",INDEX('Materials Master'!$J$2:$J$20,MATCH($C118,'Materials Master'!$A$2:$A$20,0)),IF($B118="Terracycle",INDEX('Materials Master'!$K$2:$K$20,MATCH($C118,'Materials Master'!$A$2:$A$20,0)),"No"))))))="Yes",1,0)</f>
        <v>0</v>
      </c>
    </row>
    <row r="119" customFormat="false" ht="15" hidden="false" customHeight="false" outlineLevel="0" collapsed="false">
      <c r="A119" s="0" t="s">
        <v>81</v>
      </c>
      <c r="B119" s="0" t="s">
        <v>83</v>
      </c>
      <c r="C119" s="0" t="s">
        <v>37</v>
      </c>
      <c r="D119" s="0" t="str">
        <f aca="false">IFERROR(INDEX('Materials Master'!$B$2:$B$20,MATCH($C119,'Materials Master'!$A$2:$A$20,0)),"")</f>
        <v>Gable-top &amp; Aseptic Cartons</v>
      </c>
      <c r="E119" s="0" t="str">
        <f aca="false">IFERROR(INDEX('Materials Master'!$C$2:$C$20,MATCH($C119,'Materials Master'!$A$2:$A$20,0)),"")</f>
        <v>Fibers</v>
      </c>
      <c r="F119" s="0" t="n">
        <f aca="false">IF(SUMIFS(Fact_SortedWeights!$E$2:$E$67,Fact_SortedWeights!$C$2:$C$67,$A119,Fact_SortedWeights!$B$2:$B$67,$B119)=0,0,SUMIFS(Fact_SortedWeights!$E$2:$E$67,Fact_SortedWeights!$C$2:$C$67,$A119,Fact_SortedWeights!$B$2:$B$67,$B119,Fact_SortedWeights!$D$2:$D$67,$C119)/SUMIFS(Fact_SortedWeights!$E$2:$E$67,Fact_SortedWeights!$C$2:$C$67,$A119,Fact_SortedWeights!$B$2:$B$67,$B119)*(IF($B119="Cardboard Recycling",SUMIFS(Fact_SortedWeights!$E$2:$E$67,Fact_SortedWeights!$C$2:$C$67,$A119,Fact_SortedWeights!$B$2:$B$67,$B119),SUMIFS(Fact_PreSortWeights!$E$2:$E$6,Fact_PreSortWeights!$C$2:$C$6,$A119,Fact_PreSortWeights!$B$2:$B$6,$B119))))</f>
        <v>0</v>
      </c>
      <c r="G119" s="0" t="n">
        <f aca="false">IF(AND(IF($B119="Trash",INDEX('Materials Master'!$F$2:$F$20,MATCH($C119,'Materials Master'!$A$2:$A$20,0)),IF($B119="GMPC Recycling",INDEX('Materials Master'!$G$2:$G$20,MATCH($C119,'Materials Master'!$A$2:$A$20,0)),IF($B119="Organics Recycling",INDEX('Materials Master'!$H$2:$H$20,MATCH($C119,'Materials Master'!$A$2:$A$20,0)),IF($B119="Cardboard Recycling",INDEX('Materials Master'!$I$2:$I$20,MATCH($C119,'Materials Master'!$A$2:$A$20,0)),IF($B119="Paper Recycling",INDEX('Materials Master'!$J$2:$J$20,MATCH($C119,'Materials Master'!$A$2:$A$20,0)),IF($B119="Terracycle",INDEX('Materials Master'!$K$2:$K$20,MATCH($C119,'Materials Master'!$A$2:$A$20,0)),"No"))))))="Yes",INDEX('Materials Master'!$E$2:$E$20,MATCH($C119,'Materials Master'!$A$2:$A$20,0))="Yes",$B119&lt;&gt;"Trash"),1,0)</f>
        <v>0</v>
      </c>
      <c r="H119" s="0" t="str">
        <f aca="false">INDEX('Materials Master'!$E$2:$E$20,MATCH($C119,'Materials Master'!$A$2:$A$20,0))</f>
        <v>Yes</v>
      </c>
      <c r="I119" s="0" t="str">
        <f aca="false">IFERROR(INDEX(Areas!$C$2:$C$3,MATCH($A119,Areas!$B$2:$B$3,0)),"")</f>
        <v>Base Building</v>
      </c>
      <c r="J119" s="0" t="n">
        <f aca="false">IF(IF($B119="Trash",INDEX('Materials Master'!$F$2:$F$20,MATCH($C119,'Materials Master'!$A$2:$A$20,0)),IF($B119="GMPC Recycling",INDEX('Materials Master'!$G$2:$G$20,MATCH($C119,'Materials Master'!$A$2:$A$20,0)),IF($B119="Organics Recycling",INDEX('Materials Master'!$H$2:$H$20,MATCH($C119,'Materials Master'!$A$2:$A$20,0)),IF($B119="Cardboard Recycling",INDEX('Materials Master'!$I$2:$I$20,MATCH($C119,'Materials Master'!$A$2:$A$20,0)),IF($B119="Paper Recycling",INDEX('Materials Master'!$J$2:$J$20,MATCH($C119,'Materials Master'!$A$2:$A$20,0)),IF($B119="Terracycle",INDEX('Materials Master'!$K$2:$K$20,MATCH($C119,'Materials Master'!$A$2:$A$20,0)),"No"))))))="Yes",1,0)</f>
        <v>0</v>
      </c>
    </row>
    <row r="120" customFormat="false" ht="15" hidden="false" customHeight="false" outlineLevel="0" collapsed="false">
      <c r="A120" s="0" t="s">
        <v>81</v>
      </c>
      <c r="B120" s="0" t="s">
        <v>83</v>
      </c>
      <c r="C120" s="0" t="s">
        <v>39</v>
      </c>
      <c r="D120" s="0" t="str">
        <f aca="false">IFERROR(INDEX('Materials Master'!$B$2:$B$20,MATCH($C120,'Materials Master'!$A$2:$A$20,0)),"")</f>
        <v>Other Coated Paper Containers</v>
      </c>
      <c r="E120" s="0" t="str">
        <f aca="false">IFERROR(INDEX('Materials Master'!$C$2:$C$20,MATCH($C120,'Materials Master'!$A$2:$A$20,0)),"")</f>
        <v>Fibers</v>
      </c>
      <c r="F120" s="0" t="n">
        <f aca="false">IF(SUMIFS(Fact_SortedWeights!$E$2:$E$67,Fact_SortedWeights!$C$2:$C$67,$A120,Fact_SortedWeights!$B$2:$B$67,$B120)=0,0,SUMIFS(Fact_SortedWeights!$E$2:$E$67,Fact_SortedWeights!$C$2:$C$67,$A120,Fact_SortedWeights!$B$2:$B$67,$B120,Fact_SortedWeights!$D$2:$D$67,$C120)/SUMIFS(Fact_SortedWeights!$E$2:$E$67,Fact_SortedWeights!$C$2:$C$67,$A120,Fact_SortedWeights!$B$2:$B$67,$B120)*(IF($B120="Cardboard Recycling",SUMIFS(Fact_SortedWeights!$E$2:$E$67,Fact_SortedWeights!$C$2:$C$67,$A120,Fact_SortedWeights!$B$2:$B$67,$B120),SUMIFS(Fact_PreSortWeights!$E$2:$E$6,Fact_PreSortWeights!$C$2:$C$6,$A120,Fact_PreSortWeights!$B$2:$B$6,$B120))))</f>
        <v>32.39</v>
      </c>
      <c r="G120" s="0" t="n">
        <f aca="false">IF(AND(IF($B120="Trash",INDEX('Materials Master'!$F$2:$F$20,MATCH($C120,'Materials Master'!$A$2:$A$20,0)),IF($B120="GMPC Recycling",INDEX('Materials Master'!$G$2:$G$20,MATCH($C120,'Materials Master'!$A$2:$A$20,0)),IF($B120="Organics Recycling",INDEX('Materials Master'!$H$2:$H$20,MATCH($C120,'Materials Master'!$A$2:$A$20,0)),IF($B120="Cardboard Recycling",INDEX('Materials Master'!$I$2:$I$20,MATCH($C120,'Materials Master'!$A$2:$A$20,0)),IF($B120="Paper Recycling",INDEX('Materials Master'!$J$2:$J$20,MATCH($C120,'Materials Master'!$A$2:$A$20,0)),IF($B120="Terracycle",INDEX('Materials Master'!$K$2:$K$20,MATCH($C120,'Materials Master'!$A$2:$A$20,0)),"No"))))))="Yes",INDEX('Materials Master'!$E$2:$E$20,MATCH($C120,'Materials Master'!$A$2:$A$20,0))="Yes",$B120&lt;&gt;"Trash"),1,0)</f>
        <v>0</v>
      </c>
      <c r="H120" s="0" t="str">
        <f aca="false">INDEX('Materials Master'!$E$2:$E$20,MATCH($C120,'Materials Master'!$A$2:$A$20,0))</f>
        <v>No</v>
      </c>
      <c r="I120" s="0" t="str">
        <f aca="false">IFERROR(INDEX(Areas!$C$2:$C$3,MATCH($A120,Areas!$B$2:$B$3,0)),"")</f>
        <v>Base Building</v>
      </c>
      <c r="J120" s="0" t="n">
        <f aca="false">IF(IF($B120="Trash",INDEX('Materials Master'!$F$2:$F$20,MATCH($C120,'Materials Master'!$A$2:$A$20,0)),IF($B120="GMPC Recycling",INDEX('Materials Master'!$G$2:$G$20,MATCH($C120,'Materials Master'!$A$2:$A$20,0)),IF($B120="Organics Recycling",INDEX('Materials Master'!$H$2:$H$20,MATCH($C120,'Materials Master'!$A$2:$A$20,0)),IF($B120="Cardboard Recycling",INDEX('Materials Master'!$I$2:$I$20,MATCH($C120,'Materials Master'!$A$2:$A$20,0)),IF($B120="Paper Recycling",INDEX('Materials Master'!$J$2:$J$20,MATCH($C120,'Materials Master'!$A$2:$A$20,0)),IF($B120="Terracycle",INDEX('Materials Master'!$K$2:$K$20,MATCH($C120,'Materials Master'!$A$2:$A$20,0)),"No"))))))="Yes",1,0)</f>
        <v>1</v>
      </c>
    </row>
    <row r="121" customFormat="false" ht="15" hidden="false" customHeight="false" outlineLevel="0" collapsed="false">
      <c r="A121" s="0" t="s">
        <v>81</v>
      </c>
      <c r="B121" s="0" t="s">
        <v>83</v>
      </c>
      <c r="C121" s="0" t="s">
        <v>41</v>
      </c>
      <c r="D121" s="0" t="str">
        <f aca="false">IFERROR(INDEX('Materials Master'!$B$2:$B$20,MATCH($C121,'Materials Master'!$A$2:$A$20,0)),"")</f>
        <v>Glass Bottles &amp; Jars</v>
      </c>
      <c r="E121" s="0" t="str">
        <f aca="false">IFERROR(INDEX('Materials Master'!$C$2:$C$20,MATCH($C121,'Materials Master'!$A$2:$A$20,0)),"")</f>
        <v>Glass</v>
      </c>
      <c r="F121" s="0" t="n">
        <f aca="false">IF(SUMIFS(Fact_SortedWeights!$E$2:$E$67,Fact_SortedWeights!$C$2:$C$67,$A121,Fact_SortedWeights!$B$2:$B$67,$B121)=0,0,SUMIFS(Fact_SortedWeights!$E$2:$E$67,Fact_SortedWeights!$C$2:$C$67,$A121,Fact_SortedWeights!$B$2:$B$67,$B121,Fact_SortedWeights!$D$2:$D$67,$C121)/SUMIFS(Fact_SortedWeights!$E$2:$E$67,Fact_SortedWeights!$C$2:$C$67,$A121,Fact_SortedWeights!$B$2:$B$67,$B121)*(IF($B121="Cardboard Recycling",SUMIFS(Fact_SortedWeights!$E$2:$E$67,Fact_SortedWeights!$C$2:$C$67,$A121,Fact_SortedWeights!$B$2:$B$67,$B121),SUMIFS(Fact_PreSortWeights!$E$2:$E$6,Fact_PreSortWeights!$C$2:$C$6,$A121,Fact_PreSortWeights!$B$2:$B$6,$B121))))</f>
        <v>12.87</v>
      </c>
      <c r="G121" s="0" t="n">
        <f aca="false">IF(AND(IF($B121="Trash",INDEX('Materials Master'!$F$2:$F$20,MATCH($C121,'Materials Master'!$A$2:$A$20,0)),IF($B121="GMPC Recycling",INDEX('Materials Master'!$G$2:$G$20,MATCH($C121,'Materials Master'!$A$2:$A$20,0)),IF($B121="Organics Recycling",INDEX('Materials Master'!$H$2:$H$20,MATCH($C121,'Materials Master'!$A$2:$A$20,0)),IF($B121="Cardboard Recycling",INDEX('Materials Master'!$I$2:$I$20,MATCH($C121,'Materials Master'!$A$2:$A$20,0)),IF($B121="Paper Recycling",INDEX('Materials Master'!$J$2:$J$20,MATCH($C121,'Materials Master'!$A$2:$A$20,0)),IF($B121="Terracycle",INDEX('Materials Master'!$K$2:$K$20,MATCH($C121,'Materials Master'!$A$2:$A$20,0)),"No"))))))="Yes",INDEX('Materials Master'!$E$2:$E$20,MATCH($C121,'Materials Master'!$A$2:$A$20,0))="Yes",$B121&lt;&gt;"Trash"),1,0)</f>
        <v>0</v>
      </c>
      <c r="H121" s="0" t="str">
        <f aca="false">INDEX('Materials Master'!$E$2:$E$20,MATCH($C121,'Materials Master'!$A$2:$A$20,0))</f>
        <v>Yes</v>
      </c>
      <c r="I121" s="0" t="str">
        <f aca="false">IFERROR(INDEX(Areas!$C$2:$C$3,MATCH($A121,Areas!$B$2:$B$3,0)),"")</f>
        <v>Base Building</v>
      </c>
      <c r="J121" s="0" t="n">
        <f aca="false">IF(IF($B121="Trash",INDEX('Materials Master'!$F$2:$F$20,MATCH($C121,'Materials Master'!$A$2:$A$20,0)),IF($B121="GMPC Recycling",INDEX('Materials Master'!$G$2:$G$20,MATCH($C121,'Materials Master'!$A$2:$A$20,0)),IF($B121="Organics Recycling",INDEX('Materials Master'!$H$2:$H$20,MATCH($C121,'Materials Master'!$A$2:$A$20,0)),IF($B121="Cardboard Recycling",INDEX('Materials Master'!$I$2:$I$20,MATCH($C121,'Materials Master'!$A$2:$A$20,0)),IF($B121="Paper Recycling",INDEX('Materials Master'!$J$2:$J$20,MATCH($C121,'Materials Master'!$A$2:$A$20,0)),IF($B121="Terracycle",INDEX('Materials Master'!$K$2:$K$20,MATCH($C121,'Materials Master'!$A$2:$A$20,0)),"No"))))))="Yes",1,0)</f>
        <v>0</v>
      </c>
    </row>
    <row r="122" customFormat="false" ht="15" hidden="false" customHeight="false" outlineLevel="0" collapsed="false">
      <c r="A122" s="0" t="s">
        <v>81</v>
      </c>
      <c r="B122" s="0" t="s">
        <v>83</v>
      </c>
      <c r="C122" s="0" t="s">
        <v>44</v>
      </c>
      <c r="D122" s="0" t="str">
        <f aca="false">IFERROR(INDEX('Materials Master'!$B$2:$B$20,MATCH($C122,'Materials Master'!$A$2:$A$20,0)),"")</f>
        <v>Broken Glass</v>
      </c>
      <c r="E122" s="0" t="str">
        <f aca="false">IFERROR(INDEX('Materials Master'!$C$2:$C$20,MATCH($C122,'Materials Master'!$A$2:$A$20,0)),"")</f>
        <v>Glass</v>
      </c>
      <c r="F122" s="0" t="n">
        <f aca="false">IF(SUMIFS(Fact_SortedWeights!$E$2:$E$67,Fact_SortedWeights!$C$2:$C$67,$A122,Fact_SortedWeights!$B$2:$B$67,$B122)=0,0,SUMIFS(Fact_SortedWeights!$E$2:$E$67,Fact_SortedWeights!$C$2:$C$67,$A122,Fact_SortedWeights!$B$2:$B$67,$B122,Fact_SortedWeights!$D$2:$D$67,$C122)/SUMIFS(Fact_SortedWeights!$E$2:$E$67,Fact_SortedWeights!$C$2:$C$67,$A122,Fact_SortedWeights!$B$2:$B$67,$B122)*(IF($B122="Cardboard Recycling",SUMIFS(Fact_SortedWeights!$E$2:$E$67,Fact_SortedWeights!$C$2:$C$67,$A122,Fact_SortedWeights!$B$2:$B$67,$B122),SUMIFS(Fact_PreSortWeights!$E$2:$E$6,Fact_PreSortWeights!$C$2:$C$6,$A122,Fact_PreSortWeights!$B$2:$B$6,$B122))))</f>
        <v>39.04</v>
      </c>
      <c r="G122" s="0" t="n">
        <f aca="false">IF(AND(IF($B122="Trash",INDEX('Materials Master'!$F$2:$F$20,MATCH($C122,'Materials Master'!$A$2:$A$20,0)),IF($B122="GMPC Recycling",INDEX('Materials Master'!$G$2:$G$20,MATCH($C122,'Materials Master'!$A$2:$A$20,0)),IF($B122="Organics Recycling",INDEX('Materials Master'!$H$2:$H$20,MATCH($C122,'Materials Master'!$A$2:$A$20,0)),IF($B122="Cardboard Recycling",INDEX('Materials Master'!$I$2:$I$20,MATCH($C122,'Materials Master'!$A$2:$A$20,0)),IF($B122="Paper Recycling",INDEX('Materials Master'!$J$2:$J$20,MATCH($C122,'Materials Master'!$A$2:$A$20,0)),IF($B122="Terracycle",INDEX('Materials Master'!$K$2:$K$20,MATCH($C122,'Materials Master'!$A$2:$A$20,0)),"No"))))))="Yes",INDEX('Materials Master'!$E$2:$E$20,MATCH($C122,'Materials Master'!$A$2:$A$20,0))="Yes",$B122&lt;&gt;"Trash"),1,0)</f>
        <v>0</v>
      </c>
      <c r="H122" s="0" t="str">
        <f aca="false">INDEX('Materials Master'!$E$2:$E$20,MATCH($C122,'Materials Master'!$A$2:$A$20,0))</f>
        <v>No</v>
      </c>
      <c r="I122" s="0" t="str">
        <f aca="false">IFERROR(INDEX(Areas!$C$2:$C$3,MATCH($A122,Areas!$B$2:$B$3,0)),"")</f>
        <v>Base Building</v>
      </c>
      <c r="J122" s="0" t="n">
        <f aca="false">IF(IF($B122="Trash",INDEX('Materials Master'!$F$2:$F$20,MATCH($C122,'Materials Master'!$A$2:$A$20,0)),IF($B122="GMPC Recycling",INDEX('Materials Master'!$G$2:$G$20,MATCH($C122,'Materials Master'!$A$2:$A$20,0)),IF($B122="Organics Recycling",INDEX('Materials Master'!$H$2:$H$20,MATCH($C122,'Materials Master'!$A$2:$A$20,0)),IF($B122="Cardboard Recycling",INDEX('Materials Master'!$I$2:$I$20,MATCH($C122,'Materials Master'!$A$2:$A$20,0)),IF($B122="Paper Recycling",INDEX('Materials Master'!$J$2:$J$20,MATCH($C122,'Materials Master'!$A$2:$A$20,0)),IF($B122="Terracycle",INDEX('Materials Master'!$K$2:$K$20,MATCH($C122,'Materials Master'!$A$2:$A$20,0)),"No"))))))="Yes",1,0)</f>
        <v>1</v>
      </c>
    </row>
    <row r="123" customFormat="false" ht="15" hidden="false" customHeight="false" outlineLevel="0" collapsed="false">
      <c r="A123" s="0" t="s">
        <v>81</v>
      </c>
      <c r="B123" s="0" t="s">
        <v>83</v>
      </c>
      <c r="C123" s="0" t="s">
        <v>46</v>
      </c>
      <c r="D123" s="0" t="str">
        <f aca="false">IFERROR(INDEX('Materials Master'!$B$2:$B$20,MATCH($C123,'Materials Master'!$A$2:$A$20,0)),"")</f>
        <v>Aluminum &amp; Bi-metal Containers</v>
      </c>
      <c r="E123" s="0" t="str">
        <f aca="false">IFERROR(INDEX('Materials Master'!$C$2:$C$20,MATCH($C123,'Materials Master'!$A$2:$A$20,0)),"")</f>
        <v>Metals</v>
      </c>
      <c r="F123" s="0" t="n">
        <f aca="false">IF(SUMIFS(Fact_SortedWeights!$E$2:$E$67,Fact_SortedWeights!$C$2:$C$67,$A123,Fact_SortedWeights!$B$2:$B$67,$B123)=0,0,SUMIFS(Fact_SortedWeights!$E$2:$E$67,Fact_SortedWeights!$C$2:$C$67,$A123,Fact_SortedWeights!$B$2:$B$67,$B123,Fact_SortedWeights!$D$2:$D$67,$C123)/SUMIFS(Fact_SortedWeights!$E$2:$E$67,Fact_SortedWeights!$C$2:$C$67,$A123,Fact_SortedWeights!$B$2:$B$67,$B123)*(IF($B123="Cardboard Recycling",SUMIFS(Fact_SortedWeights!$E$2:$E$67,Fact_SortedWeights!$C$2:$C$67,$A123,Fact_SortedWeights!$B$2:$B$67,$B123),SUMIFS(Fact_PreSortWeights!$E$2:$E$6,Fact_PreSortWeights!$C$2:$C$6,$A123,Fact_PreSortWeights!$B$2:$B$6,$B123))))</f>
        <v>19.93</v>
      </c>
      <c r="G123" s="0" t="n">
        <f aca="false">IF(AND(IF($B123="Trash",INDEX('Materials Master'!$F$2:$F$20,MATCH($C123,'Materials Master'!$A$2:$A$20,0)),IF($B123="GMPC Recycling",INDEX('Materials Master'!$G$2:$G$20,MATCH($C123,'Materials Master'!$A$2:$A$20,0)),IF($B123="Organics Recycling",INDEX('Materials Master'!$H$2:$H$20,MATCH($C123,'Materials Master'!$A$2:$A$20,0)),IF($B123="Cardboard Recycling",INDEX('Materials Master'!$I$2:$I$20,MATCH($C123,'Materials Master'!$A$2:$A$20,0)),IF($B123="Paper Recycling",INDEX('Materials Master'!$J$2:$J$20,MATCH($C123,'Materials Master'!$A$2:$A$20,0)),IF($B123="Terracycle",INDEX('Materials Master'!$K$2:$K$20,MATCH($C123,'Materials Master'!$A$2:$A$20,0)),"No"))))))="Yes",INDEX('Materials Master'!$E$2:$E$20,MATCH($C123,'Materials Master'!$A$2:$A$20,0))="Yes",$B123&lt;&gt;"Trash"),1,0)</f>
        <v>0</v>
      </c>
      <c r="H123" s="0" t="str">
        <f aca="false">INDEX('Materials Master'!$E$2:$E$20,MATCH($C123,'Materials Master'!$A$2:$A$20,0))</f>
        <v>Yes</v>
      </c>
      <c r="I123" s="0" t="str">
        <f aca="false">IFERROR(INDEX(Areas!$C$2:$C$3,MATCH($A123,Areas!$B$2:$B$3,0)),"")</f>
        <v>Base Building</v>
      </c>
      <c r="J123" s="0" t="n">
        <f aca="false">IF(IF($B123="Trash",INDEX('Materials Master'!$F$2:$F$20,MATCH($C123,'Materials Master'!$A$2:$A$20,0)),IF($B123="GMPC Recycling",INDEX('Materials Master'!$G$2:$G$20,MATCH($C123,'Materials Master'!$A$2:$A$20,0)),IF($B123="Organics Recycling",INDEX('Materials Master'!$H$2:$H$20,MATCH($C123,'Materials Master'!$A$2:$A$20,0)),IF($B123="Cardboard Recycling",INDEX('Materials Master'!$I$2:$I$20,MATCH($C123,'Materials Master'!$A$2:$A$20,0)),IF($B123="Paper Recycling",INDEX('Materials Master'!$J$2:$J$20,MATCH($C123,'Materials Master'!$A$2:$A$20,0)),IF($B123="Terracycle",INDEX('Materials Master'!$K$2:$K$20,MATCH($C123,'Materials Master'!$A$2:$A$20,0)),"No"))))))="Yes",1,0)</f>
        <v>0</v>
      </c>
    </row>
    <row r="124" customFormat="false" ht="15" hidden="false" customHeight="false" outlineLevel="0" collapsed="false">
      <c r="A124" s="0" t="s">
        <v>81</v>
      </c>
      <c r="B124" s="0" t="s">
        <v>83</v>
      </c>
      <c r="C124" s="0" t="s">
        <v>49</v>
      </c>
      <c r="D124" s="0" t="str">
        <f aca="false">IFERROR(INDEX('Materials Master'!$B$2:$B$20,MATCH($C124,'Materials Master'!$A$2:$A$20,0)),"")</f>
        <v>Metal Hangers</v>
      </c>
      <c r="E124" s="0" t="str">
        <f aca="false">IFERROR(INDEX('Materials Master'!$C$2:$C$20,MATCH($C124,'Materials Master'!$A$2:$A$20,0)),"")</f>
        <v>Metals</v>
      </c>
      <c r="F124" s="0" t="n">
        <f aca="false">IF(SUMIFS(Fact_SortedWeights!$E$2:$E$67,Fact_SortedWeights!$C$2:$C$67,$A124,Fact_SortedWeights!$B$2:$B$67,$B124)=0,0,SUMIFS(Fact_SortedWeights!$E$2:$E$67,Fact_SortedWeights!$C$2:$C$67,$A124,Fact_SortedWeights!$B$2:$B$67,$B124,Fact_SortedWeights!$D$2:$D$67,$C124)/SUMIFS(Fact_SortedWeights!$E$2:$E$67,Fact_SortedWeights!$C$2:$C$67,$A124,Fact_SortedWeights!$B$2:$B$67,$B124)*(IF($B124="Cardboard Recycling",SUMIFS(Fact_SortedWeights!$E$2:$E$67,Fact_SortedWeights!$C$2:$C$67,$A124,Fact_SortedWeights!$B$2:$B$67,$B124),SUMIFS(Fact_PreSortWeights!$E$2:$E$6,Fact_PreSortWeights!$C$2:$C$6,$A124,Fact_PreSortWeights!$B$2:$B$6,$B124))))</f>
        <v>0</v>
      </c>
      <c r="G124" s="0" t="n">
        <f aca="false">IF(AND(IF($B124="Trash",INDEX('Materials Master'!$F$2:$F$20,MATCH($C124,'Materials Master'!$A$2:$A$20,0)),IF($B124="GMPC Recycling",INDEX('Materials Master'!$G$2:$G$20,MATCH($C124,'Materials Master'!$A$2:$A$20,0)),IF($B124="Organics Recycling",INDEX('Materials Master'!$H$2:$H$20,MATCH($C124,'Materials Master'!$A$2:$A$20,0)),IF($B124="Cardboard Recycling",INDEX('Materials Master'!$I$2:$I$20,MATCH($C124,'Materials Master'!$A$2:$A$20,0)),IF($B124="Paper Recycling",INDEX('Materials Master'!$J$2:$J$20,MATCH($C124,'Materials Master'!$A$2:$A$20,0)),IF($B124="Terracycle",INDEX('Materials Master'!$K$2:$K$20,MATCH($C124,'Materials Master'!$A$2:$A$20,0)),"No"))))))="Yes",INDEX('Materials Master'!$E$2:$E$20,MATCH($C124,'Materials Master'!$A$2:$A$20,0))="Yes",$B124&lt;&gt;"Trash"),1,0)</f>
        <v>0</v>
      </c>
      <c r="H124" s="0" t="str">
        <f aca="false">INDEX('Materials Master'!$E$2:$E$20,MATCH($C124,'Materials Master'!$A$2:$A$20,0))</f>
        <v>No</v>
      </c>
      <c r="I124" s="0" t="str">
        <f aca="false">IFERROR(INDEX(Areas!$C$2:$C$3,MATCH($A124,Areas!$B$2:$B$3,0)),"")</f>
        <v>Base Building</v>
      </c>
      <c r="J124" s="0" t="n">
        <f aca="false">IF(IF($B124="Trash",INDEX('Materials Master'!$F$2:$F$20,MATCH($C124,'Materials Master'!$A$2:$A$20,0)),IF($B124="GMPC Recycling",INDEX('Materials Master'!$G$2:$G$20,MATCH($C124,'Materials Master'!$A$2:$A$20,0)),IF($B124="Organics Recycling",INDEX('Materials Master'!$H$2:$H$20,MATCH($C124,'Materials Master'!$A$2:$A$20,0)),IF($B124="Cardboard Recycling",INDEX('Materials Master'!$I$2:$I$20,MATCH($C124,'Materials Master'!$A$2:$A$20,0)),IF($B124="Paper Recycling",INDEX('Materials Master'!$J$2:$J$20,MATCH($C124,'Materials Master'!$A$2:$A$20,0)),IF($B124="Terracycle",INDEX('Materials Master'!$K$2:$K$20,MATCH($C124,'Materials Master'!$A$2:$A$20,0)),"No"))))))="Yes",1,0)</f>
        <v>1</v>
      </c>
    </row>
    <row r="125" customFormat="false" ht="15" hidden="false" customHeight="false" outlineLevel="0" collapsed="false">
      <c r="A125" s="0" t="s">
        <v>81</v>
      </c>
      <c r="B125" s="0" t="s">
        <v>83</v>
      </c>
      <c r="C125" s="0" t="s">
        <v>51</v>
      </c>
      <c r="D125" s="0" t="str">
        <f aca="false">IFERROR(INDEX('Materials Master'!$B$2:$B$20,MATCH($C125,'Materials Master'!$A$2:$A$20,0)),"")</f>
        <v>Rigid Plastics (1-6)</v>
      </c>
      <c r="E125" s="0" t="str">
        <f aca="false">IFERROR(INDEX('Materials Master'!$C$2:$C$20,MATCH($C125,'Materials Master'!$A$2:$A$20,0)),"")</f>
        <v>Plastics</v>
      </c>
      <c r="F125" s="0" t="n">
        <f aca="false">IF(SUMIFS(Fact_SortedWeights!$E$2:$E$67,Fact_SortedWeights!$C$2:$C$67,$A125,Fact_SortedWeights!$B$2:$B$67,$B125)=0,0,SUMIFS(Fact_SortedWeights!$E$2:$E$67,Fact_SortedWeights!$C$2:$C$67,$A125,Fact_SortedWeights!$B$2:$B$67,$B125,Fact_SortedWeights!$D$2:$D$67,$C125)/SUMIFS(Fact_SortedWeights!$E$2:$E$67,Fact_SortedWeights!$C$2:$C$67,$A125,Fact_SortedWeights!$B$2:$B$67,$B125)*(IF($B125="Cardboard Recycling",SUMIFS(Fact_SortedWeights!$E$2:$E$67,Fact_SortedWeights!$C$2:$C$67,$A125,Fact_SortedWeights!$B$2:$B$67,$B125),SUMIFS(Fact_PreSortWeights!$E$2:$E$6,Fact_PreSortWeights!$C$2:$C$6,$A125,Fact_PreSortWeights!$B$2:$B$6,$B125))))</f>
        <v>59.38</v>
      </c>
      <c r="G125" s="0" t="n">
        <f aca="false">IF(AND(IF($B125="Trash",INDEX('Materials Master'!$F$2:$F$20,MATCH($C125,'Materials Master'!$A$2:$A$20,0)),IF($B125="GMPC Recycling",INDEX('Materials Master'!$G$2:$G$20,MATCH($C125,'Materials Master'!$A$2:$A$20,0)),IF($B125="Organics Recycling",INDEX('Materials Master'!$H$2:$H$20,MATCH($C125,'Materials Master'!$A$2:$A$20,0)),IF($B125="Cardboard Recycling",INDEX('Materials Master'!$I$2:$I$20,MATCH($C125,'Materials Master'!$A$2:$A$20,0)),IF($B125="Paper Recycling",INDEX('Materials Master'!$J$2:$J$20,MATCH($C125,'Materials Master'!$A$2:$A$20,0)),IF($B125="Terracycle",INDEX('Materials Master'!$K$2:$K$20,MATCH($C125,'Materials Master'!$A$2:$A$20,0)),"No"))))))="Yes",INDEX('Materials Master'!$E$2:$E$20,MATCH($C125,'Materials Master'!$A$2:$A$20,0))="Yes",$B125&lt;&gt;"Trash"),1,0)</f>
        <v>0</v>
      </c>
      <c r="H125" s="0" t="str">
        <f aca="false">INDEX('Materials Master'!$E$2:$E$20,MATCH($C125,'Materials Master'!$A$2:$A$20,0))</f>
        <v>Yes</v>
      </c>
      <c r="I125" s="0" t="str">
        <f aca="false">IFERROR(INDEX(Areas!$C$2:$C$3,MATCH($A125,Areas!$B$2:$B$3,0)),"")</f>
        <v>Base Building</v>
      </c>
      <c r="J125" s="0" t="n">
        <f aca="false">IF(IF($B125="Trash",INDEX('Materials Master'!$F$2:$F$20,MATCH($C125,'Materials Master'!$A$2:$A$20,0)),IF($B125="GMPC Recycling",INDEX('Materials Master'!$G$2:$G$20,MATCH($C125,'Materials Master'!$A$2:$A$20,0)),IF($B125="Organics Recycling",INDEX('Materials Master'!$H$2:$H$20,MATCH($C125,'Materials Master'!$A$2:$A$20,0)),IF($B125="Cardboard Recycling",INDEX('Materials Master'!$I$2:$I$20,MATCH($C125,'Materials Master'!$A$2:$A$20,0)),IF($B125="Paper Recycling",INDEX('Materials Master'!$J$2:$J$20,MATCH($C125,'Materials Master'!$A$2:$A$20,0)),IF($B125="Terracycle",INDEX('Materials Master'!$K$2:$K$20,MATCH($C125,'Materials Master'!$A$2:$A$20,0)),"No"))))))="Yes",1,0)</f>
        <v>0</v>
      </c>
    </row>
    <row r="126" customFormat="false" ht="15" hidden="false" customHeight="false" outlineLevel="0" collapsed="false">
      <c r="A126" s="0" t="s">
        <v>81</v>
      </c>
      <c r="B126" s="0" t="s">
        <v>83</v>
      </c>
      <c r="C126" s="0" t="s">
        <v>54</v>
      </c>
      <c r="D126" s="0" t="str">
        <f aca="false">IFERROR(INDEX('Materials Master'!$B$2:$B$20,MATCH($C126,'Materials Master'!$A$2:$A$20,0)),"")</f>
        <v>Soiled Rigid Plastics</v>
      </c>
      <c r="E126" s="0" t="str">
        <f aca="false">IFERROR(INDEX('Materials Master'!$C$2:$C$20,MATCH($C126,'Materials Master'!$A$2:$A$20,0)),"")</f>
        <v>Plastics</v>
      </c>
      <c r="F126" s="0" t="n">
        <f aca="false">IF(SUMIFS(Fact_SortedWeights!$E$2:$E$67,Fact_SortedWeights!$C$2:$C$67,$A126,Fact_SortedWeights!$B$2:$B$67,$B126)=0,0,SUMIFS(Fact_SortedWeights!$E$2:$E$67,Fact_SortedWeights!$C$2:$C$67,$A126,Fact_SortedWeights!$B$2:$B$67,$B126,Fact_SortedWeights!$D$2:$D$67,$C126)/SUMIFS(Fact_SortedWeights!$E$2:$E$67,Fact_SortedWeights!$C$2:$C$67,$A126,Fact_SortedWeights!$B$2:$B$67,$B126)*(IF($B126="Cardboard Recycling",SUMIFS(Fact_SortedWeights!$E$2:$E$67,Fact_SortedWeights!$C$2:$C$67,$A126,Fact_SortedWeights!$B$2:$B$67,$B126),SUMIFS(Fact_PreSortWeights!$E$2:$E$6,Fact_PreSortWeights!$C$2:$C$6,$A126,Fact_PreSortWeights!$B$2:$B$6,$B126))))</f>
        <v>0</v>
      </c>
      <c r="G126" s="0" t="n">
        <f aca="false">IF(AND(IF($B126="Trash",INDEX('Materials Master'!$F$2:$F$20,MATCH($C126,'Materials Master'!$A$2:$A$20,0)),IF($B126="GMPC Recycling",INDEX('Materials Master'!$G$2:$G$20,MATCH($C126,'Materials Master'!$A$2:$A$20,0)),IF($B126="Organics Recycling",INDEX('Materials Master'!$H$2:$H$20,MATCH($C126,'Materials Master'!$A$2:$A$20,0)),IF($B126="Cardboard Recycling",INDEX('Materials Master'!$I$2:$I$20,MATCH($C126,'Materials Master'!$A$2:$A$20,0)),IF($B126="Paper Recycling",INDEX('Materials Master'!$J$2:$J$20,MATCH($C126,'Materials Master'!$A$2:$A$20,0)),IF($B126="Terracycle",INDEX('Materials Master'!$K$2:$K$20,MATCH($C126,'Materials Master'!$A$2:$A$20,0)),"No"))))))="Yes",INDEX('Materials Master'!$E$2:$E$20,MATCH($C126,'Materials Master'!$A$2:$A$20,0))="Yes",$B126&lt;&gt;"Trash"),1,0)</f>
        <v>0</v>
      </c>
      <c r="H126" s="0" t="str">
        <f aca="false">INDEX('Materials Master'!$E$2:$E$20,MATCH($C126,'Materials Master'!$A$2:$A$20,0))</f>
        <v>No</v>
      </c>
      <c r="I126" s="0" t="str">
        <f aca="false">IFERROR(INDEX(Areas!$C$2:$C$3,MATCH($A126,Areas!$B$2:$B$3,0)),"")</f>
        <v>Base Building</v>
      </c>
      <c r="J126" s="0" t="n">
        <f aca="false">IF(IF($B126="Trash",INDEX('Materials Master'!$F$2:$F$20,MATCH($C126,'Materials Master'!$A$2:$A$20,0)),IF($B126="GMPC Recycling",INDEX('Materials Master'!$G$2:$G$20,MATCH($C126,'Materials Master'!$A$2:$A$20,0)),IF($B126="Organics Recycling",INDEX('Materials Master'!$H$2:$H$20,MATCH($C126,'Materials Master'!$A$2:$A$20,0)),IF($B126="Cardboard Recycling",INDEX('Materials Master'!$I$2:$I$20,MATCH($C126,'Materials Master'!$A$2:$A$20,0)),IF($B126="Paper Recycling",INDEX('Materials Master'!$J$2:$J$20,MATCH($C126,'Materials Master'!$A$2:$A$20,0)),IF($B126="Terracycle",INDEX('Materials Master'!$K$2:$K$20,MATCH($C126,'Materials Master'!$A$2:$A$20,0)),"No"))))))="Yes",1,0)</f>
        <v>1</v>
      </c>
    </row>
    <row r="127" customFormat="false" ht="15" hidden="false" customHeight="false" outlineLevel="0" collapsed="false">
      <c r="A127" s="0" t="s">
        <v>81</v>
      </c>
      <c r="B127" s="0" t="s">
        <v>83</v>
      </c>
      <c r="C127" s="0" t="s">
        <v>56</v>
      </c>
      <c r="D127" s="0" t="str">
        <f aca="false">IFERROR(INDEX('Materials Master'!$B$2:$B$20,MATCH($C127,'Materials Master'!$A$2:$A$20,0)),"")</f>
        <v>Film Plastics</v>
      </c>
      <c r="E127" s="0" t="str">
        <f aca="false">IFERROR(INDEX('Materials Master'!$C$2:$C$20,MATCH($C127,'Materials Master'!$A$2:$A$20,0)),"")</f>
        <v>Plastics</v>
      </c>
      <c r="F127" s="0" t="n">
        <f aca="false">IF(SUMIFS(Fact_SortedWeights!$E$2:$E$67,Fact_SortedWeights!$C$2:$C$67,$A127,Fact_SortedWeights!$B$2:$B$67,$B127)=0,0,SUMIFS(Fact_SortedWeights!$E$2:$E$67,Fact_SortedWeights!$C$2:$C$67,$A127,Fact_SortedWeights!$B$2:$B$67,$B127,Fact_SortedWeights!$D$2:$D$67,$C127)/SUMIFS(Fact_SortedWeights!$E$2:$E$67,Fact_SortedWeights!$C$2:$C$67,$A127,Fact_SortedWeights!$B$2:$B$67,$B127)*(IF($B127="Cardboard Recycling",SUMIFS(Fact_SortedWeights!$E$2:$E$67,Fact_SortedWeights!$C$2:$C$67,$A127,Fact_SortedWeights!$B$2:$B$67,$B127),SUMIFS(Fact_PreSortWeights!$E$2:$E$6,Fact_PreSortWeights!$C$2:$C$6,$A127,Fact_PreSortWeights!$B$2:$B$6,$B127))))</f>
        <v>5.4</v>
      </c>
      <c r="G127" s="0" t="n">
        <f aca="false">IF(AND(IF($B127="Trash",INDEX('Materials Master'!$F$2:$F$20,MATCH($C127,'Materials Master'!$A$2:$A$20,0)),IF($B127="GMPC Recycling",INDEX('Materials Master'!$G$2:$G$20,MATCH($C127,'Materials Master'!$A$2:$A$20,0)),IF($B127="Organics Recycling",INDEX('Materials Master'!$H$2:$H$20,MATCH($C127,'Materials Master'!$A$2:$A$20,0)),IF($B127="Cardboard Recycling",INDEX('Materials Master'!$I$2:$I$20,MATCH($C127,'Materials Master'!$A$2:$A$20,0)),IF($B127="Paper Recycling",INDEX('Materials Master'!$J$2:$J$20,MATCH($C127,'Materials Master'!$A$2:$A$20,0)),IF($B127="Terracycle",INDEX('Materials Master'!$K$2:$K$20,MATCH($C127,'Materials Master'!$A$2:$A$20,0)),"No"))))))="Yes",INDEX('Materials Master'!$E$2:$E$20,MATCH($C127,'Materials Master'!$A$2:$A$20,0))="Yes",$B127&lt;&gt;"Trash"),1,0)</f>
        <v>0</v>
      </c>
      <c r="H127" s="0" t="str">
        <f aca="false">INDEX('Materials Master'!$E$2:$E$20,MATCH($C127,'Materials Master'!$A$2:$A$20,0))</f>
        <v>No</v>
      </c>
      <c r="I127" s="0" t="str">
        <f aca="false">IFERROR(INDEX(Areas!$C$2:$C$3,MATCH($A127,Areas!$B$2:$B$3,0)),"")</f>
        <v>Base Building</v>
      </c>
      <c r="J127" s="0" t="n">
        <f aca="false">IF(IF($B127="Trash",INDEX('Materials Master'!$F$2:$F$20,MATCH($C127,'Materials Master'!$A$2:$A$20,0)),IF($B127="GMPC Recycling",INDEX('Materials Master'!$G$2:$G$20,MATCH($C127,'Materials Master'!$A$2:$A$20,0)),IF($B127="Organics Recycling",INDEX('Materials Master'!$H$2:$H$20,MATCH($C127,'Materials Master'!$A$2:$A$20,0)),IF($B127="Cardboard Recycling",INDEX('Materials Master'!$I$2:$I$20,MATCH($C127,'Materials Master'!$A$2:$A$20,0)),IF($B127="Paper Recycling",INDEX('Materials Master'!$J$2:$J$20,MATCH($C127,'Materials Master'!$A$2:$A$20,0)),IF($B127="Terracycle",INDEX('Materials Master'!$K$2:$K$20,MATCH($C127,'Materials Master'!$A$2:$A$20,0)),"No"))))))="Yes",1,0)</f>
        <v>1</v>
      </c>
    </row>
    <row r="128" customFormat="false" ht="15" hidden="false" customHeight="false" outlineLevel="0" collapsed="false">
      <c r="A128" s="0" t="s">
        <v>81</v>
      </c>
      <c r="B128" s="0" t="s">
        <v>83</v>
      </c>
      <c r="C128" s="0" t="s">
        <v>58</v>
      </c>
      <c r="D128" s="0" t="str">
        <f aca="false">IFERROR(INDEX('Materials Master'!$B$2:$B$20,MATCH($C128,'Materials Master'!$A$2:$A$20,0)),"")</f>
        <v>Waste Disposal Bags</v>
      </c>
      <c r="E128" s="0" t="str">
        <f aca="false">IFERROR(INDEX('Materials Master'!$C$2:$C$20,MATCH($C128,'Materials Master'!$A$2:$A$20,0)),"")</f>
        <v>Plastics</v>
      </c>
      <c r="F128" s="0" t="n">
        <f aca="false">IF(SUMIFS(Fact_SortedWeights!$E$2:$E$67,Fact_SortedWeights!$C$2:$C$67,$A128,Fact_SortedWeights!$B$2:$B$67,$B128)=0,0,SUMIFS(Fact_SortedWeights!$E$2:$E$67,Fact_SortedWeights!$C$2:$C$67,$A128,Fact_SortedWeights!$B$2:$B$67,$B128,Fact_SortedWeights!$D$2:$D$67,$C128)/SUMIFS(Fact_SortedWeights!$E$2:$E$67,Fact_SortedWeights!$C$2:$C$67,$A128,Fact_SortedWeights!$B$2:$B$67,$B128)*(IF($B128="Cardboard Recycling",SUMIFS(Fact_SortedWeights!$E$2:$E$67,Fact_SortedWeights!$C$2:$C$67,$A128,Fact_SortedWeights!$B$2:$B$67,$B128),SUMIFS(Fact_PreSortWeights!$E$2:$E$6,Fact_PreSortWeights!$C$2:$C$6,$A128,Fact_PreSortWeights!$B$2:$B$6,$B128))))</f>
        <v>45.68</v>
      </c>
      <c r="G128" s="0" t="n">
        <f aca="false">IF(AND(IF($B128="Trash",INDEX('Materials Master'!$F$2:$F$20,MATCH($C128,'Materials Master'!$A$2:$A$20,0)),IF($B128="GMPC Recycling",INDEX('Materials Master'!$G$2:$G$20,MATCH($C128,'Materials Master'!$A$2:$A$20,0)),IF($B128="Organics Recycling",INDEX('Materials Master'!$H$2:$H$20,MATCH($C128,'Materials Master'!$A$2:$A$20,0)),IF($B128="Cardboard Recycling",INDEX('Materials Master'!$I$2:$I$20,MATCH($C128,'Materials Master'!$A$2:$A$20,0)),IF($B128="Paper Recycling",INDEX('Materials Master'!$J$2:$J$20,MATCH($C128,'Materials Master'!$A$2:$A$20,0)),IF($B128="Terracycle",INDEX('Materials Master'!$K$2:$K$20,MATCH($C128,'Materials Master'!$A$2:$A$20,0)),"No"))))))="Yes",INDEX('Materials Master'!$E$2:$E$20,MATCH($C128,'Materials Master'!$A$2:$A$20,0))="Yes",$B128&lt;&gt;"Trash"),1,0)</f>
        <v>0</v>
      </c>
      <c r="H128" s="0" t="str">
        <f aca="false">INDEX('Materials Master'!$E$2:$E$20,MATCH($C128,'Materials Master'!$A$2:$A$20,0))</f>
        <v>No</v>
      </c>
      <c r="I128" s="0" t="str">
        <f aca="false">IFERROR(INDEX(Areas!$C$2:$C$3,MATCH($A128,Areas!$B$2:$B$3,0)),"")</f>
        <v>Base Building</v>
      </c>
      <c r="J128" s="0" t="n">
        <f aca="false">IF(IF($B128="Trash",INDEX('Materials Master'!$F$2:$F$20,MATCH($C128,'Materials Master'!$A$2:$A$20,0)),IF($B128="GMPC Recycling",INDEX('Materials Master'!$G$2:$G$20,MATCH($C128,'Materials Master'!$A$2:$A$20,0)),IF($B128="Organics Recycling",INDEX('Materials Master'!$H$2:$H$20,MATCH($C128,'Materials Master'!$A$2:$A$20,0)),IF($B128="Cardboard Recycling",INDEX('Materials Master'!$I$2:$I$20,MATCH($C128,'Materials Master'!$A$2:$A$20,0)),IF($B128="Paper Recycling",INDEX('Materials Master'!$J$2:$J$20,MATCH($C128,'Materials Master'!$A$2:$A$20,0)),IF($B128="Terracycle",INDEX('Materials Master'!$K$2:$K$20,MATCH($C128,'Materials Master'!$A$2:$A$20,0)),"No"))))))="Yes",1,0)</f>
        <v>1</v>
      </c>
    </row>
    <row r="129" customFormat="false" ht="15" hidden="false" customHeight="false" outlineLevel="0" collapsed="false">
      <c r="A129" s="0" t="s">
        <v>81</v>
      </c>
      <c r="B129" s="0" t="s">
        <v>83</v>
      </c>
      <c r="C129" s="0" t="s">
        <v>60</v>
      </c>
      <c r="D129" s="0" t="str">
        <f aca="false">IFERROR(INDEX('Materials Master'!$B$2:$B$20,MATCH($C129,'Materials Master'!$A$2:$A$20,0)),"")</f>
        <v>Food Waste</v>
      </c>
      <c r="E129" s="0" t="str">
        <f aca="false">IFERROR(INDEX('Materials Master'!$C$2:$C$20,MATCH($C129,'Materials Master'!$A$2:$A$20,0)),"")</f>
        <v>Organics</v>
      </c>
      <c r="F129" s="0" t="n">
        <f aca="false">IF(SUMIFS(Fact_SortedWeights!$E$2:$E$67,Fact_SortedWeights!$C$2:$C$67,$A129,Fact_SortedWeights!$B$2:$B$67,$B129)=0,0,SUMIFS(Fact_SortedWeights!$E$2:$E$67,Fact_SortedWeights!$C$2:$C$67,$A129,Fact_SortedWeights!$B$2:$B$67,$B129,Fact_SortedWeights!$D$2:$D$67,$C129)/SUMIFS(Fact_SortedWeights!$E$2:$E$67,Fact_SortedWeights!$C$2:$C$67,$A129,Fact_SortedWeights!$B$2:$B$67,$B129)*(IF($B129="Cardboard Recycling",SUMIFS(Fact_SortedWeights!$E$2:$E$67,Fact_SortedWeights!$C$2:$C$67,$A129,Fact_SortedWeights!$B$2:$B$67,$B129),SUMIFS(Fact_PreSortWeights!$E$2:$E$6,Fact_PreSortWeights!$C$2:$C$6,$A129,Fact_PreSortWeights!$B$2:$B$6,$B129))))</f>
        <v>100.91</v>
      </c>
      <c r="G129" s="0" t="n">
        <f aca="false">IF(AND(IF($B129="Trash",INDEX('Materials Master'!$F$2:$F$20,MATCH($C129,'Materials Master'!$A$2:$A$20,0)),IF($B129="GMPC Recycling",INDEX('Materials Master'!$G$2:$G$20,MATCH($C129,'Materials Master'!$A$2:$A$20,0)),IF($B129="Organics Recycling",INDEX('Materials Master'!$H$2:$H$20,MATCH($C129,'Materials Master'!$A$2:$A$20,0)),IF($B129="Cardboard Recycling",INDEX('Materials Master'!$I$2:$I$20,MATCH($C129,'Materials Master'!$A$2:$A$20,0)),IF($B129="Paper Recycling",INDEX('Materials Master'!$J$2:$J$20,MATCH($C129,'Materials Master'!$A$2:$A$20,0)),IF($B129="Terracycle",INDEX('Materials Master'!$K$2:$K$20,MATCH($C129,'Materials Master'!$A$2:$A$20,0)),"No"))))))="Yes",INDEX('Materials Master'!$E$2:$E$20,MATCH($C129,'Materials Master'!$A$2:$A$20,0))="Yes",$B129&lt;&gt;"Trash"),1,0)</f>
        <v>0</v>
      </c>
      <c r="H129" s="0" t="str">
        <f aca="false">INDEX('Materials Master'!$E$2:$E$20,MATCH($C129,'Materials Master'!$A$2:$A$20,0))</f>
        <v>Yes</v>
      </c>
      <c r="I129" s="0" t="str">
        <f aca="false">IFERROR(INDEX(Areas!$C$2:$C$3,MATCH($A129,Areas!$B$2:$B$3,0)),"")</f>
        <v>Base Building</v>
      </c>
      <c r="J129" s="0" t="n">
        <f aca="false">IF(IF($B129="Trash",INDEX('Materials Master'!$F$2:$F$20,MATCH($C129,'Materials Master'!$A$2:$A$20,0)),IF($B129="GMPC Recycling",INDEX('Materials Master'!$G$2:$G$20,MATCH($C129,'Materials Master'!$A$2:$A$20,0)),IF($B129="Organics Recycling",INDEX('Materials Master'!$H$2:$H$20,MATCH($C129,'Materials Master'!$A$2:$A$20,0)),IF($B129="Cardboard Recycling",INDEX('Materials Master'!$I$2:$I$20,MATCH($C129,'Materials Master'!$A$2:$A$20,0)),IF($B129="Paper Recycling",INDEX('Materials Master'!$J$2:$J$20,MATCH($C129,'Materials Master'!$A$2:$A$20,0)),IF($B129="Terracycle",INDEX('Materials Master'!$K$2:$K$20,MATCH($C129,'Materials Master'!$A$2:$A$20,0)),"No"))))))="Yes",1,0)</f>
        <v>0</v>
      </c>
    </row>
    <row r="130" customFormat="false" ht="15" hidden="false" customHeight="false" outlineLevel="0" collapsed="false">
      <c r="A130" s="0" t="s">
        <v>81</v>
      </c>
      <c r="B130" s="0" t="s">
        <v>83</v>
      </c>
      <c r="C130" s="0" t="s">
        <v>63</v>
      </c>
      <c r="D130" s="0" t="str">
        <f aca="false">IFERROR(INDEX('Materials Master'!$B$2:$B$20,MATCH($C130,'Materials Master'!$A$2:$A$20,0)),"")</f>
        <v>Paper Fibers and FSP</v>
      </c>
      <c r="E130" s="0" t="str">
        <f aca="false">IFERROR(INDEX('Materials Master'!$C$2:$C$20,MATCH($C130,'Materials Master'!$A$2:$A$20,0)),"")</f>
        <v>Organics</v>
      </c>
      <c r="F130" s="0" t="n">
        <f aca="false">IF(SUMIFS(Fact_SortedWeights!$E$2:$E$67,Fact_SortedWeights!$C$2:$C$67,$A130,Fact_SortedWeights!$B$2:$B$67,$B130)=0,0,SUMIFS(Fact_SortedWeights!$E$2:$E$67,Fact_SortedWeights!$C$2:$C$67,$A130,Fact_SortedWeights!$B$2:$B$67,$B130,Fact_SortedWeights!$D$2:$D$67,$C130)/SUMIFS(Fact_SortedWeights!$E$2:$E$67,Fact_SortedWeights!$C$2:$C$67,$A130,Fact_SortedWeights!$B$2:$B$67,$B130)*(IF($B130="Cardboard Recycling",SUMIFS(Fact_SortedWeights!$E$2:$E$67,Fact_SortedWeights!$C$2:$C$67,$A130,Fact_SortedWeights!$B$2:$B$67,$B130),SUMIFS(Fact_PreSortWeights!$E$2:$E$6,Fact_PreSortWeights!$C$2:$C$6,$A130,Fact_PreSortWeights!$B$2:$B$6,$B130))))</f>
        <v>83.59</v>
      </c>
      <c r="G130" s="0" t="n">
        <f aca="false">IF(AND(IF($B130="Trash",INDEX('Materials Master'!$F$2:$F$20,MATCH($C130,'Materials Master'!$A$2:$A$20,0)),IF($B130="GMPC Recycling",INDEX('Materials Master'!$G$2:$G$20,MATCH($C130,'Materials Master'!$A$2:$A$20,0)),IF($B130="Organics Recycling",INDEX('Materials Master'!$H$2:$H$20,MATCH($C130,'Materials Master'!$A$2:$A$20,0)),IF($B130="Cardboard Recycling",INDEX('Materials Master'!$I$2:$I$20,MATCH($C130,'Materials Master'!$A$2:$A$20,0)),IF($B130="Paper Recycling",INDEX('Materials Master'!$J$2:$J$20,MATCH($C130,'Materials Master'!$A$2:$A$20,0)),IF($B130="Terracycle",INDEX('Materials Master'!$K$2:$K$20,MATCH($C130,'Materials Master'!$A$2:$A$20,0)),"No"))))))="Yes",INDEX('Materials Master'!$E$2:$E$20,MATCH($C130,'Materials Master'!$A$2:$A$20,0))="Yes",$B130&lt;&gt;"Trash"),1,0)</f>
        <v>0</v>
      </c>
      <c r="H130" s="0" t="str">
        <f aca="false">INDEX('Materials Master'!$E$2:$E$20,MATCH($C130,'Materials Master'!$A$2:$A$20,0))</f>
        <v>No</v>
      </c>
      <c r="I130" s="0" t="str">
        <f aca="false">IFERROR(INDEX(Areas!$C$2:$C$3,MATCH($A130,Areas!$B$2:$B$3,0)),"")</f>
        <v>Base Building</v>
      </c>
      <c r="J130" s="0" t="n">
        <f aca="false">IF(IF($B130="Trash",INDEX('Materials Master'!$F$2:$F$20,MATCH($C130,'Materials Master'!$A$2:$A$20,0)),IF($B130="GMPC Recycling",INDEX('Materials Master'!$G$2:$G$20,MATCH($C130,'Materials Master'!$A$2:$A$20,0)),IF($B130="Organics Recycling",INDEX('Materials Master'!$H$2:$H$20,MATCH($C130,'Materials Master'!$A$2:$A$20,0)),IF($B130="Cardboard Recycling",INDEX('Materials Master'!$I$2:$I$20,MATCH($C130,'Materials Master'!$A$2:$A$20,0)),IF($B130="Paper Recycling",INDEX('Materials Master'!$J$2:$J$20,MATCH($C130,'Materials Master'!$A$2:$A$20,0)),IF($B130="Terracycle",INDEX('Materials Master'!$K$2:$K$20,MATCH($C130,'Materials Master'!$A$2:$A$20,0)),"No"))))))="Yes",1,0)</f>
        <v>1</v>
      </c>
    </row>
    <row r="131" customFormat="false" ht="15" hidden="false" customHeight="false" outlineLevel="0" collapsed="false">
      <c r="A131" s="0" t="s">
        <v>81</v>
      </c>
      <c r="B131" s="0" t="s">
        <v>83</v>
      </c>
      <c r="C131" s="0" t="s">
        <v>65</v>
      </c>
      <c r="D131" s="0" t="str">
        <f aca="false">IFERROR(INDEX('Materials Master'!$B$2:$B$20,MATCH($C131,'Materials Master'!$A$2:$A$20,0)),"")</f>
        <v>Certified Compostables</v>
      </c>
      <c r="E131" s="0" t="str">
        <f aca="false">IFERROR(INDEX('Materials Master'!$C$2:$C$20,MATCH($C131,'Materials Master'!$A$2:$A$20,0)),"")</f>
        <v>Organics</v>
      </c>
      <c r="F131" s="0" t="n">
        <f aca="false">IF(SUMIFS(Fact_SortedWeights!$E$2:$E$67,Fact_SortedWeights!$C$2:$C$67,$A131,Fact_SortedWeights!$B$2:$B$67,$B131)=0,0,SUMIFS(Fact_SortedWeights!$E$2:$E$67,Fact_SortedWeights!$C$2:$C$67,$A131,Fact_SortedWeights!$B$2:$B$67,$B131,Fact_SortedWeights!$D$2:$D$67,$C131)/SUMIFS(Fact_SortedWeights!$E$2:$E$67,Fact_SortedWeights!$C$2:$C$67,$A131,Fact_SortedWeights!$B$2:$B$67,$B131)*(IF($B131="Cardboard Recycling",SUMIFS(Fact_SortedWeights!$E$2:$E$67,Fact_SortedWeights!$C$2:$C$67,$A131,Fact_SortedWeights!$B$2:$B$67,$B131),SUMIFS(Fact_PreSortWeights!$E$2:$E$6,Fact_PreSortWeights!$C$2:$C$6,$A131,Fact_PreSortWeights!$B$2:$B$6,$B131))))</f>
        <v>0</v>
      </c>
      <c r="G131" s="0" t="n">
        <f aca="false">IF(AND(IF($B131="Trash",INDEX('Materials Master'!$F$2:$F$20,MATCH($C131,'Materials Master'!$A$2:$A$20,0)),IF($B131="GMPC Recycling",INDEX('Materials Master'!$G$2:$G$20,MATCH($C131,'Materials Master'!$A$2:$A$20,0)),IF($B131="Organics Recycling",INDEX('Materials Master'!$H$2:$H$20,MATCH($C131,'Materials Master'!$A$2:$A$20,0)),IF($B131="Cardboard Recycling",INDEX('Materials Master'!$I$2:$I$20,MATCH($C131,'Materials Master'!$A$2:$A$20,0)),IF($B131="Paper Recycling",INDEX('Materials Master'!$J$2:$J$20,MATCH($C131,'Materials Master'!$A$2:$A$20,0)),IF($B131="Terracycle",INDEX('Materials Master'!$K$2:$K$20,MATCH($C131,'Materials Master'!$A$2:$A$20,0)),"No"))))))="Yes",INDEX('Materials Master'!$E$2:$E$20,MATCH($C131,'Materials Master'!$A$2:$A$20,0))="Yes",$B131&lt;&gt;"Trash"),1,0)</f>
        <v>0</v>
      </c>
      <c r="H131" s="0" t="str">
        <f aca="false">INDEX('Materials Master'!$E$2:$E$20,MATCH($C131,'Materials Master'!$A$2:$A$20,0))</f>
        <v>No</v>
      </c>
      <c r="I131" s="0" t="str">
        <f aca="false">IFERROR(INDEX(Areas!$C$2:$C$3,MATCH($A131,Areas!$B$2:$B$3,0)),"")</f>
        <v>Base Building</v>
      </c>
      <c r="J131" s="0" t="n">
        <f aca="false">IF(IF($B131="Trash",INDEX('Materials Master'!$F$2:$F$20,MATCH($C131,'Materials Master'!$A$2:$A$20,0)),IF($B131="GMPC Recycling",INDEX('Materials Master'!$G$2:$G$20,MATCH($C131,'Materials Master'!$A$2:$A$20,0)),IF($B131="Organics Recycling",INDEX('Materials Master'!$H$2:$H$20,MATCH($C131,'Materials Master'!$A$2:$A$20,0)),IF($B131="Cardboard Recycling",INDEX('Materials Master'!$I$2:$I$20,MATCH($C131,'Materials Master'!$A$2:$A$20,0)),IF($B131="Paper Recycling",INDEX('Materials Master'!$J$2:$J$20,MATCH($C131,'Materials Master'!$A$2:$A$20,0)),IF($B131="Terracycle",INDEX('Materials Master'!$K$2:$K$20,MATCH($C131,'Materials Master'!$A$2:$A$20,0)),"No"))))))="Yes",1,0)</f>
        <v>1</v>
      </c>
    </row>
    <row r="132" customFormat="false" ht="15" hidden="false" customHeight="false" outlineLevel="0" collapsed="false">
      <c r="A132" s="0" t="s">
        <v>81</v>
      </c>
      <c r="B132" s="0" t="s">
        <v>83</v>
      </c>
      <c r="C132" s="0" t="s">
        <v>67</v>
      </c>
      <c r="D132" s="0" t="str">
        <f aca="false">IFERROR(INDEX('Materials Master'!$B$2:$B$20,MATCH($C132,'Materials Master'!$A$2:$A$20,0)),"")</f>
        <v>Textiles</v>
      </c>
      <c r="E132" s="0" t="str">
        <f aca="false">IFERROR(INDEX('Materials Master'!$C$2:$C$20,MATCH($C132,'Materials Master'!$A$2:$A$20,0)),"")</f>
        <v>Unacceptable</v>
      </c>
      <c r="F132" s="0" t="n">
        <f aca="false">IF(SUMIFS(Fact_SortedWeights!$E$2:$E$67,Fact_SortedWeights!$C$2:$C$67,$A132,Fact_SortedWeights!$B$2:$B$67,$B132)=0,0,SUMIFS(Fact_SortedWeights!$E$2:$E$67,Fact_SortedWeights!$C$2:$C$67,$A132,Fact_SortedWeights!$B$2:$B$67,$B132,Fact_SortedWeights!$D$2:$D$67,$C132)/SUMIFS(Fact_SortedWeights!$E$2:$E$67,Fact_SortedWeights!$C$2:$C$67,$A132,Fact_SortedWeights!$B$2:$B$67,$B132)*(IF($B132="Cardboard Recycling",SUMIFS(Fact_SortedWeights!$E$2:$E$67,Fact_SortedWeights!$C$2:$C$67,$A132,Fact_SortedWeights!$B$2:$B$67,$B132),SUMIFS(Fact_PreSortWeights!$E$2:$E$6,Fact_PreSortWeights!$C$2:$C$6,$A132,Fact_PreSortWeights!$B$2:$B$6,$B132))))</f>
        <v>4.15</v>
      </c>
      <c r="G132" s="0" t="n">
        <f aca="false">IF(AND(IF($B132="Trash",INDEX('Materials Master'!$F$2:$F$20,MATCH($C132,'Materials Master'!$A$2:$A$20,0)),IF($B132="GMPC Recycling",INDEX('Materials Master'!$G$2:$G$20,MATCH($C132,'Materials Master'!$A$2:$A$20,0)),IF($B132="Organics Recycling",INDEX('Materials Master'!$H$2:$H$20,MATCH($C132,'Materials Master'!$A$2:$A$20,0)),IF($B132="Cardboard Recycling",INDEX('Materials Master'!$I$2:$I$20,MATCH($C132,'Materials Master'!$A$2:$A$20,0)),IF($B132="Paper Recycling",INDEX('Materials Master'!$J$2:$J$20,MATCH($C132,'Materials Master'!$A$2:$A$20,0)),IF($B132="Terracycle",INDEX('Materials Master'!$K$2:$K$20,MATCH($C132,'Materials Master'!$A$2:$A$20,0)),"No"))))))="Yes",INDEX('Materials Master'!$E$2:$E$20,MATCH($C132,'Materials Master'!$A$2:$A$20,0))="Yes",$B132&lt;&gt;"Trash"),1,0)</f>
        <v>0</v>
      </c>
      <c r="H132" s="0" t="str">
        <f aca="false">INDEX('Materials Master'!$E$2:$E$20,MATCH($C132,'Materials Master'!$A$2:$A$20,0))</f>
        <v>No</v>
      </c>
      <c r="I132" s="0" t="str">
        <f aca="false">IFERROR(INDEX(Areas!$C$2:$C$3,MATCH($A132,Areas!$B$2:$B$3,0)),"")</f>
        <v>Base Building</v>
      </c>
      <c r="J132" s="0" t="n">
        <f aca="false">IF(IF($B132="Trash",INDEX('Materials Master'!$F$2:$F$20,MATCH($C132,'Materials Master'!$A$2:$A$20,0)),IF($B132="GMPC Recycling",INDEX('Materials Master'!$G$2:$G$20,MATCH($C132,'Materials Master'!$A$2:$A$20,0)),IF($B132="Organics Recycling",INDEX('Materials Master'!$H$2:$H$20,MATCH($C132,'Materials Master'!$A$2:$A$20,0)),IF($B132="Cardboard Recycling",INDEX('Materials Master'!$I$2:$I$20,MATCH($C132,'Materials Master'!$A$2:$A$20,0)),IF($B132="Paper Recycling",INDEX('Materials Master'!$J$2:$J$20,MATCH($C132,'Materials Master'!$A$2:$A$20,0)),IF($B132="Terracycle",INDEX('Materials Master'!$K$2:$K$20,MATCH($C132,'Materials Master'!$A$2:$A$20,0)),"No"))))))="Yes",1,0)</f>
        <v>1</v>
      </c>
    </row>
    <row r="133" customFormat="false" ht="15" hidden="false" customHeight="false" outlineLevel="0" collapsed="false">
      <c r="A133" s="0" t="s">
        <v>81</v>
      </c>
      <c r="B133" s="0" t="s">
        <v>83</v>
      </c>
      <c r="C133" s="0" t="s">
        <v>70</v>
      </c>
      <c r="D133" s="0" t="str">
        <f aca="false">IFERROR(INDEX('Materials Master'!$B$2:$B$20,MATCH($C133,'Materials Master'!$A$2:$A$20,0)),"")</f>
        <v>Liquids</v>
      </c>
      <c r="E133" s="0" t="str">
        <f aca="false">IFERROR(INDEX('Materials Master'!$C$2:$C$20,MATCH($C133,'Materials Master'!$A$2:$A$20,0)),"")</f>
        <v>Unacceptable</v>
      </c>
      <c r="F133" s="0" t="n">
        <f aca="false">IF(SUMIFS(Fact_SortedWeights!$E$2:$E$67,Fact_SortedWeights!$C$2:$C$67,$A133,Fact_SortedWeights!$B$2:$B$67,$B133)=0,0,SUMIFS(Fact_SortedWeights!$E$2:$E$67,Fact_SortedWeights!$C$2:$C$67,$A133,Fact_SortedWeights!$B$2:$B$67,$B133,Fact_SortedWeights!$D$2:$D$67,$C133)/SUMIFS(Fact_SortedWeights!$E$2:$E$67,Fact_SortedWeights!$C$2:$C$67,$A133,Fact_SortedWeights!$B$2:$B$67,$B133)*(IF($B133="Cardboard Recycling",SUMIFS(Fact_SortedWeights!$E$2:$E$67,Fact_SortedWeights!$C$2:$C$67,$A133,Fact_SortedWeights!$B$2:$B$67,$B133),SUMIFS(Fact_PreSortWeights!$E$2:$E$6,Fact_PreSortWeights!$C$2:$C$6,$A133,Fact_PreSortWeights!$B$2:$B$6,$B133))))</f>
        <v>21.59</v>
      </c>
      <c r="G133" s="0" t="n">
        <f aca="false">IF(AND(IF($B133="Trash",INDEX('Materials Master'!$F$2:$F$20,MATCH($C133,'Materials Master'!$A$2:$A$20,0)),IF($B133="GMPC Recycling",INDEX('Materials Master'!$G$2:$G$20,MATCH($C133,'Materials Master'!$A$2:$A$20,0)),IF($B133="Organics Recycling",INDEX('Materials Master'!$H$2:$H$20,MATCH($C133,'Materials Master'!$A$2:$A$20,0)),IF($B133="Cardboard Recycling",INDEX('Materials Master'!$I$2:$I$20,MATCH($C133,'Materials Master'!$A$2:$A$20,0)),IF($B133="Paper Recycling",INDEX('Materials Master'!$J$2:$J$20,MATCH($C133,'Materials Master'!$A$2:$A$20,0)),IF($B133="Terracycle",INDEX('Materials Master'!$K$2:$K$20,MATCH($C133,'Materials Master'!$A$2:$A$20,0)),"No"))))))="Yes",INDEX('Materials Master'!$E$2:$E$20,MATCH($C133,'Materials Master'!$A$2:$A$20,0))="Yes",$B133&lt;&gt;"Trash"),1,0)</f>
        <v>0</v>
      </c>
      <c r="H133" s="0" t="str">
        <f aca="false">INDEX('Materials Master'!$E$2:$E$20,MATCH($C133,'Materials Master'!$A$2:$A$20,0))</f>
        <v>No</v>
      </c>
      <c r="I133" s="0" t="str">
        <f aca="false">IFERROR(INDEX(Areas!$C$2:$C$3,MATCH($A133,Areas!$B$2:$B$3,0)),"")</f>
        <v>Base Building</v>
      </c>
      <c r="J133" s="0" t="n">
        <f aca="false">IF(IF($B133="Trash",INDEX('Materials Master'!$F$2:$F$20,MATCH($C133,'Materials Master'!$A$2:$A$20,0)),IF($B133="GMPC Recycling",INDEX('Materials Master'!$G$2:$G$20,MATCH($C133,'Materials Master'!$A$2:$A$20,0)),IF($B133="Organics Recycling",INDEX('Materials Master'!$H$2:$H$20,MATCH($C133,'Materials Master'!$A$2:$A$20,0)),IF($B133="Cardboard Recycling",INDEX('Materials Master'!$I$2:$I$20,MATCH($C133,'Materials Master'!$A$2:$A$20,0)),IF($B133="Paper Recycling",INDEX('Materials Master'!$J$2:$J$20,MATCH($C133,'Materials Master'!$A$2:$A$20,0)),IF($B133="Terracycle",INDEX('Materials Master'!$K$2:$K$20,MATCH($C133,'Materials Master'!$A$2:$A$20,0)),"No"))))))="Yes",1,0)</f>
        <v>1</v>
      </c>
    </row>
    <row r="134" customFormat="false" ht="15" hidden="false" customHeight="false" outlineLevel="0" collapsed="false">
      <c r="A134" s="0" t="s">
        <v>81</v>
      </c>
      <c r="B134" s="0" t="s">
        <v>83</v>
      </c>
      <c r="C134" s="0" t="s">
        <v>72</v>
      </c>
      <c r="D134" s="0" t="str">
        <f aca="false">IFERROR(INDEX('Materials Master'!$B$2:$B$20,MATCH($C134,'Materials Master'!$A$2:$A$20,0)),"")</f>
        <v>Residual Materials</v>
      </c>
      <c r="E134" s="0" t="str">
        <f aca="false">IFERROR(INDEX('Materials Master'!$C$2:$C$20,MATCH($C134,'Materials Master'!$A$2:$A$20,0)),"")</f>
        <v>Other</v>
      </c>
      <c r="F134" s="0" t="n">
        <f aca="false">IF(SUMIFS(Fact_SortedWeights!$E$2:$E$67,Fact_SortedWeights!$C$2:$C$67,$A134,Fact_SortedWeights!$B$2:$B$67,$B134)=0,0,SUMIFS(Fact_SortedWeights!$E$2:$E$67,Fact_SortedWeights!$C$2:$C$67,$A134,Fact_SortedWeights!$B$2:$B$67,$B134,Fact_SortedWeights!$D$2:$D$67,$C134)/SUMIFS(Fact_SortedWeights!$E$2:$E$67,Fact_SortedWeights!$C$2:$C$67,$A134,Fact_SortedWeights!$B$2:$B$67,$B134)*(IF($B134="Cardboard Recycling",SUMIFS(Fact_SortedWeights!$E$2:$E$67,Fact_SortedWeights!$C$2:$C$67,$A134,Fact_SortedWeights!$B$2:$B$67,$B134),SUMIFS(Fact_PreSortWeights!$E$2:$E$6,Fact_PreSortWeights!$C$2:$C$6,$A134,Fact_PreSortWeights!$B$2:$B$6,$B134))))</f>
        <v>52.74</v>
      </c>
      <c r="G134" s="0" t="n">
        <f aca="false">IF(AND(IF($B134="Trash",INDEX('Materials Master'!$F$2:$F$20,MATCH($C134,'Materials Master'!$A$2:$A$20,0)),IF($B134="GMPC Recycling",INDEX('Materials Master'!$G$2:$G$20,MATCH($C134,'Materials Master'!$A$2:$A$20,0)),IF($B134="Organics Recycling",INDEX('Materials Master'!$H$2:$H$20,MATCH($C134,'Materials Master'!$A$2:$A$20,0)),IF($B134="Cardboard Recycling",INDEX('Materials Master'!$I$2:$I$20,MATCH($C134,'Materials Master'!$A$2:$A$20,0)),IF($B134="Paper Recycling",INDEX('Materials Master'!$J$2:$J$20,MATCH($C134,'Materials Master'!$A$2:$A$20,0)),IF($B134="Terracycle",INDEX('Materials Master'!$K$2:$K$20,MATCH($C134,'Materials Master'!$A$2:$A$20,0)),"No"))))))="Yes",INDEX('Materials Master'!$E$2:$E$20,MATCH($C134,'Materials Master'!$A$2:$A$20,0))="Yes",$B134&lt;&gt;"Trash"),1,0)</f>
        <v>0</v>
      </c>
      <c r="H134" s="0" t="str">
        <f aca="false">INDEX('Materials Master'!$E$2:$E$20,MATCH($C134,'Materials Master'!$A$2:$A$20,0))</f>
        <v>No</v>
      </c>
      <c r="I134" s="0" t="str">
        <f aca="false">IFERROR(INDEX(Areas!$C$2:$C$3,MATCH($A134,Areas!$B$2:$B$3,0)),"")</f>
        <v>Base Building</v>
      </c>
      <c r="J134" s="0" t="n">
        <f aca="false">IF(IF($B134="Trash",INDEX('Materials Master'!$F$2:$F$20,MATCH($C134,'Materials Master'!$A$2:$A$20,0)),IF($B134="GMPC Recycling",INDEX('Materials Master'!$G$2:$G$20,MATCH($C134,'Materials Master'!$A$2:$A$20,0)),IF($B134="Organics Recycling",INDEX('Materials Master'!$H$2:$H$20,MATCH($C134,'Materials Master'!$A$2:$A$20,0)),IF($B134="Cardboard Recycling",INDEX('Materials Master'!$I$2:$I$20,MATCH($C134,'Materials Master'!$A$2:$A$20,0)),IF($B134="Paper Recycling",INDEX('Materials Master'!$J$2:$J$20,MATCH($C134,'Materials Master'!$A$2:$A$20,0)),IF($B134="Terracycle",INDEX('Materials Master'!$K$2:$K$20,MATCH($C134,'Materials Master'!$A$2:$A$20,0)),"No"))))))="Yes",1,0)</f>
        <v>1</v>
      </c>
    </row>
    <row r="135" customFormat="false" ht="15" hidden="false" customHeight="false" outlineLevel="0" collapsed="false">
      <c r="A135" s="0" t="s">
        <v>81</v>
      </c>
      <c r="B135" s="0" t="s">
        <v>84</v>
      </c>
      <c r="C135" s="0" t="s">
        <v>28</v>
      </c>
      <c r="D135" s="0" t="str">
        <f aca="false">IFERROR(INDEX('Materials Master'!$B$2:$B$20,MATCH($C135,'Materials Master'!$A$2:$A$20,0)),"")</f>
        <v>Corrugated Cardboard</v>
      </c>
      <c r="E135" s="0" t="str">
        <f aca="false">IFERROR(INDEX('Materials Master'!$C$2:$C$20,MATCH($C135,'Materials Master'!$A$2:$A$20,0)),"")</f>
        <v>Fibers</v>
      </c>
      <c r="F135" s="0" t="n">
        <f aca="false">IF(SUMIFS(Fact_SortedWeights!$E$2:$E$67,Fact_SortedWeights!$C$2:$C$67,$A135,Fact_SortedWeights!$B$2:$B$67,$B135)=0,0,SUMIFS(Fact_SortedWeights!$E$2:$E$67,Fact_SortedWeights!$C$2:$C$67,$A135,Fact_SortedWeights!$B$2:$B$67,$B135,Fact_SortedWeights!$D$2:$D$67,$C135)/SUMIFS(Fact_SortedWeights!$E$2:$E$67,Fact_SortedWeights!$C$2:$C$67,$A135,Fact_SortedWeights!$B$2:$B$67,$B135)*(IF($B135="Cardboard Recycling",SUMIFS(Fact_SortedWeights!$E$2:$E$67,Fact_SortedWeights!$C$2:$C$67,$A135,Fact_SortedWeights!$B$2:$B$67,$B135),SUMIFS(Fact_PreSortWeights!$E$2:$E$6,Fact_PreSortWeights!$C$2:$C$6,$A135,Fact_PreSortWeights!$B$2:$B$6,$B135))))</f>
        <v>7</v>
      </c>
      <c r="G135" s="0" t="n">
        <f aca="false">IF(AND(IF($B135="Trash",INDEX('Materials Master'!$F$2:$F$20,MATCH($C135,'Materials Master'!$A$2:$A$20,0)),IF($B135="GMPC Recycling",INDEX('Materials Master'!$G$2:$G$20,MATCH($C135,'Materials Master'!$A$2:$A$20,0)),IF($B135="Organics Recycling",INDEX('Materials Master'!$H$2:$H$20,MATCH($C135,'Materials Master'!$A$2:$A$20,0)),IF($B135="Cardboard Recycling",INDEX('Materials Master'!$I$2:$I$20,MATCH($C135,'Materials Master'!$A$2:$A$20,0)),IF($B135="Paper Recycling",INDEX('Materials Master'!$J$2:$J$20,MATCH($C135,'Materials Master'!$A$2:$A$20,0)),IF($B135="Terracycle",INDEX('Materials Master'!$K$2:$K$20,MATCH($C135,'Materials Master'!$A$2:$A$20,0)),"No"))))))="Yes",INDEX('Materials Master'!$E$2:$E$20,MATCH($C135,'Materials Master'!$A$2:$A$20,0))="Yes",$B135&lt;&gt;"Trash"),1,0)</f>
        <v>1</v>
      </c>
      <c r="H135" s="0" t="str">
        <f aca="false">INDEX('Materials Master'!$E$2:$E$20,MATCH($C135,'Materials Master'!$A$2:$A$20,0))</f>
        <v>Yes</v>
      </c>
      <c r="I135" s="0" t="str">
        <f aca="false">IFERROR(INDEX(Areas!$C$2:$C$3,MATCH($A135,Areas!$B$2:$B$3,0)),"")</f>
        <v>Base Building</v>
      </c>
      <c r="J135" s="0" t="n">
        <f aca="false">IF(IF($B135="Trash",INDEX('Materials Master'!$F$2:$F$20,MATCH($C135,'Materials Master'!$A$2:$A$20,0)),IF($B135="GMPC Recycling",INDEX('Materials Master'!$G$2:$G$20,MATCH($C135,'Materials Master'!$A$2:$A$20,0)),IF($B135="Organics Recycling",INDEX('Materials Master'!$H$2:$H$20,MATCH($C135,'Materials Master'!$A$2:$A$20,0)),IF($B135="Cardboard Recycling",INDEX('Materials Master'!$I$2:$I$20,MATCH($C135,'Materials Master'!$A$2:$A$20,0)),IF($B135="Paper Recycling",INDEX('Materials Master'!$J$2:$J$20,MATCH($C135,'Materials Master'!$A$2:$A$20,0)),IF($B135="Terracycle",INDEX('Materials Master'!$K$2:$K$20,MATCH($C135,'Materials Master'!$A$2:$A$20,0)),"No"))))))="Yes",1,0)</f>
        <v>1</v>
      </c>
    </row>
    <row r="136" customFormat="false" ht="15" hidden="false" customHeight="false" outlineLevel="0" collapsed="false">
      <c r="A136" s="0" t="s">
        <v>81</v>
      </c>
      <c r="B136" s="0" t="s">
        <v>84</v>
      </c>
      <c r="C136" s="0" t="s">
        <v>33</v>
      </c>
      <c r="D136" s="0" t="str">
        <f aca="false">IFERROR(INDEX('Materials Master'!$B$2:$B$20,MATCH($C136,'Materials Master'!$A$2:$A$20,0)),"")</f>
        <v>Waxed Cardboard</v>
      </c>
      <c r="E136" s="0" t="str">
        <f aca="false">IFERROR(INDEX('Materials Master'!$C$2:$C$20,MATCH($C136,'Materials Master'!$A$2:$A$20,0)),"")</f>
        <v>Fibers</v>
      </c>
      <c r="F136" s="0" t="n">
        <f aca="false">IF(SUMIFS(Fact_SortedWeights!$E$2:$E$67,Fact_SortedWeights!$C$2:$C$67,$A136,Fact_SortedWeights!$B$2:$B$67,$B136)=0,0,SUMIFS(Fact_SortedWeights!$E$2:$E$67,Fact_SortedWeights!$C$2:$C$67,$A136,Fact_SortedWeights!$B$2:$B$67,$B136,Fact_SortedWeights!$D$2:$D$67,$C136)/SUMIFS(Fact_SortedWeights!$E$2:$E$67,Fact_SortedWeights!$C$2:$C$67,$A136,Fact_SortedWeights!$B$2:$B$67,$B136)*(IF($B136="Cardboard Recycling",SUMIFS(Fact_SortedWeights!$E$2:$E$67,Fact_SortedWeights!$C$2:$C$67,$A136,Fact_SortedWeights!$B$2:$B$67,$B136),SUMIFS(Fact_PreSortWeights!$E$2:$E$6,Fact_PreSortWeights!$C$2:$C$6,$A136,Fact_PreSortWeights!$B$2:$B$6,$B136))))</f>
        <v>0</v>
      </c>
      <c r="G136" s="0" t="n">
        <f aca="false">IF(AND(IF($B136="Trash",INDEX('Materials Master'!$F$2:$F$20,MATCH($C136,'Materials Master'!$A$2:$A$20,0)),IF($B136="GMPC Recycling",INDEX('Materials Master'!$G$2:$G$20,MATCH($C136,'Materials Master'!$A$2:$A$20,0)),IF($B136="Organics Recycling",INDEX('Materials Master'!$H$2:$H$20,MATCH($C136,'Materials Master'!$A$2:$A$20,0)),IF($B136="Cardboard Recycling",INDEX('Materials Master'!$I$2:$I$20,MATCH($C136,'Materials Master'!$A$2:$A$20,0)),IF($B136="Paper Recycling",INDEX('Materials Master'!$J$2:$J$20,MATCH($C136,'Materials Master'!$A$2:$A$20,0)),IF($B136="Terracycle",INDEX('Materials Master'!$K$2:$K$20,MATCH($C136,'Materials Master'!$A$2:$A$20,0)),"No"))))))="Yes",INDEX('Materials Master'!$E$2:$E$20,MATCH($C136,'Materials Master'!$A$2:$A$20,0))="Yes",$B136&lt;&gt;"Trash"),1,0)</f>
        <v>0</v>
      </c>
      <c r="H136" s="0" t="str">
        <f aca="false">INDEX('Materials Master'!$E$2:$E$20,MATCH($C136,'Materials Master'!$A$2:$A$20,0))</f>
        <v>No</v>
      </c>
      <c r="I136" s="0" t="str">
        <f aca="false">IFERROR(INDEX(Areas!$C$2:$C$3,MATCH($A136,Areas!$B$2:$B$3,0)),"")</f>
        <v>Base Building</v>
      </c>
      <c r="J136" s="0" t="n">
        <f aca="false">IF(IF($B136="Trash",INDEX('Materials Master'!$F$2:$F$20,MATCH($C136,'Materials Master'!$A$2:$A$20,0)),IF($B136="GMPC Recycling",INDEX('Materials Master'!$G$2:$G$20,MATCH($C136,'Materials Master'!$A$2:$A$20,0)),IF($B136="Organics Recycling",INDEX('Materials Master'!$H$2:$H$20,MATCH($C136,'Materials Master'!$A$2:$A$20,0)),IF($B136="Cardboard Recycling",INDEX('Materials Master'!$I$2:$I$20,MATCH($C136,'Materials Master'!$A$2:$A$20,0)),IF($B136="Paper Recycling",INDEX('Materials Master'!$J$2:$J$20,MATCH($C136,'Materials Master'!$A$2:$A$20,0)),IF($B136="Terracycle",INDEX('Materials Master'!$K$2:$K$20,MATCH($C136,'Materials Master'!$A$2:$A$20,0)),"No"))))))="Yes",1,0)</f>
        <v>0</v>
      </c>
    </row>
    <row r="137" customFormat="false" ht="15" hidden="false" customHeight="false" outlineLevel="0" collapsed="false">
      <c r="A137" s="0" t="s">
        <v>81</v>
      </c>
      <c r="B137" s="0" t="s">
        <v>84</v>
      </c>
      <c r="C137" s="0" t="s">
        <v>35</v>
      </c>
      <c r="D137" s="0" t="str">
        <f aca="false">IFERROR(INDEX('Materials Master'!$B$2:$B$20,MATCH($C137,'Materials Master'!$A$2:$A$20,0)),"")</f>
        <v>Mixed Paper</v>
      </c>
      <c r="E137" s="0" t="str">
        <f aca="false">IFERROR(INDEX('Materials Master'!$C$2:$C$20,MATCH($C137,'Materials Master'!$A$2:$A$20,0)),"")</f>
        <v>Fibers</v>
      </c>
      <c r="F137" s="0" t="n">
        <f aca="false">IF(SUMIFS(Fact_SortedWeights!$E$2:$E$67,Fact_SortedWeights!$C$2:$C$67,$A137,Fact_SortedWeights!$B$2:$B$67,$B137)=0,0,SUMIFS(Fact_SortedWeights!$E$2:$E$67,Fact_SortedWeights!$C$2:$C$67,$A137,Fact_SortedWeights!$B$2:$B$67,$B137,Fact_SortedWeights!$D$2:$D$67,$C137)/SUMIFS(Fact_SortedWeights!$E$2:$E$67,Fact_SortedWeights!$C$2:$C$67,$A137,Fact_SortedWeights!$B$2:$B$67,$B137)*(IF($B137="Cardboard Recycling",SUMIFS(Fact_SortedWeights!$E$2:$E$67,Fact_SortedWeights!$C$2:$C$67,$A137,Fact_SortedWeights!$B$2:$B$67,$B137),SUMIFS(Fact_PreSortWeights!$E$2:$E$6,Fact_PreSortWeights!$C$2:$C$6,$A137,Fact_PreSortWeights!$B$2:$B$6,$B137))))</f>
        <v>18.03</v>
      </c>
      <c r="G137" s="0" t="n">
        <f aca="false">IF(AND(IF($B137="Trash",INDEX('Materials Master'!$F$2:$F$20,MATCH($C137,'Materials Master'!$A$2:$A$20,0)),IF($B137="GMPC Recycling",INDEX('Materials Master'!$G$2:$G$20,MATCH($C137,'Materials Master'!$A$2:$A$20,0)),IF($B137="Organics Recycling",INDEX('Materials Master'!$H$2:$H$20,MATCH($C137,'Materials Master'!$A$2:$A$20,0)),IF($B137="Cardboard Recycling",INDEX('Materials Master'!$I$2:$I$20,MATCH($C137,'Materials Master'!$A$2:$A$20,0)),IF($B137="Paper Recycling",INDEX('Materials Master'!$J$2:$J$20,MATCH($C137,'Materials Master'!$A$2:$A$20,0)),IF($B137="Terracycle",INDEX('Materials Master'!$K$2:$K$20,MATCH($C137,'Materials Master'!$A$2:$A$20,0)),"No"))))))="Yes",INDEX('Materials Master'!$E$2:$E$20,MATCH($C137,'Materials Master'!$A$2:$A$20,0))="Yes",$B137&lt;&gt;"Trash"),1,0)</f>
        <v>1</v>
      </c>
      <c r="H137" s="0" t="str">
        <f aca="false">INDEX('Materials Master'!$E$2:$E$20,MATCH($C137,'Materials Master'!$A$2:$A$20,0))</f>
        <v>Yes</v>
      </c>
      <c r="I137" s="0" t="str">
        <f aca="false">IFERROR(INDEX(Areas!$C$2:$C$3,MATCH($A137,Areas!$B$2:$B$3,0)),"")</f>
        <v>Base Building</v>
      </c>
      <c r="J137" s="0" t="n">
        <f aca="false">IF(IF($B137="Trash",INDEX('Materials Master'!$F$2:$F$20,MATCH($C137,'Materials Master'!$A$2:$A$20,0)),IF($B137="GMPC Recycling",INDEX('Materials Master'!$G$2:$G$20,MATCH($C137,'Materials Master'!$A$2:$A$20,0)),IF($B137="Organics Recycling",INDEX('Materials Master'!$H$2:$H$20,MATCH($C137,'Materials Master'!$A$2:$A$20,0)),IF($B137="Cardboard Recycling",INDEX('Materials Master'!$I$2:$I$20,MATCH($C137,'Materials Master'!$A$2:$A$20,0)),IF($B137="Paper Recycling",INDEX('Materials Master'!$J$2:$J$20,MATCH($C137,'Materials Master'!$A$2:$A$20,0)),IF($B137="Terracycle",INDEX('Materials Master'!$K$2:$K$20,MATCH($C137,'Materials Master'!$A$2:$A$20,0)),"No"))))))="Yes",1,0)</f>
        <v>1</v>
      </c>
    </row>
    <row r="138" customFormat="false" ht="15" hidden="false" customHeight="false" outlineLevel="0" collapsed="false">
      <c r="A138" s="0" t="s">
        <v>81</v>
      </c>
      <c r="B138" s="0" t="s">
        <v>84</v>
      </c>
      <c r="C138" s="0" t="s">
        <v>37</v>
      </c>
      <c r="D138" s="0" t="str">
        <f aca="false">IFERROR(INDEX('Materials Master'!$B$2:$B$20,MATCH($C138,'Materials Master'!$A$2:$A$20,0)),"")</f>
        <v>Gable-top &amp; Aseptic Cartons</v>
      </c>
      <c r="E138" s="0" t="str">
        <f aca="false">IFERROR(INDEX('Materials Master'!$C$2:$C$20,MATCH($C138,'Materials Master'!$A$2:$A$20,0)),"")</f>
        <v>Fibers</v>
      </c>
      <c r="F138" s="0" t="n">
        <f aca="false">IF(SUMIFS(Fact_SortedWeights!$E$2:$E$67,Fact_SortedWeights!$C$2:$C$67,$A138,Fact_SortedWeights!$B$2:$B$67,$B138)=0,0,SUMIFS(Fact_SortedWeights!$E$2:$E$67,Fact_SortedWeights!$C$2:$C$67,$A138,Fact_SortedWeights!$B$2:$B$67,$B138,Fact_SortedWeights!$D$2:$D$67,$C138)/SUMIFS(Fact_SortedWeights!$E$2:$E$67,Fact_SortedWeights!$C$2:$C$67,$A138,Fact_SortedWeights!$B$2:$B$67,$B138)*(IF($B138="Cardboard Recycling",SUMIFS(Fact_SortedWeights!$E$2:$E$67,Fact_SortedWeights!$C$2:$C$67,$A138,Fact_SortedWeights!$B$2:$B$67,$B138),SUMIFS(Fact_PreSortWeights!$E$2:$E$6,Fact_PreSortWeights!$C$2:$C$6,$A138,Fact_PreSortWeights!$B$2:$B$6,$B138))))</f>
        <v>0.9</v>
      </c>
      <c r="G138" s="0" t="n">
        <f aca="false">IF(AND(IF($B138="Trash",INDEX('Materials Master'!$F$2:$F$20,MATCH($C138,'Materials Master'!$A$2:$A$20,0)),IF($B138="GMPC Recycling",INDEX('Materials Master'!$G$2:$G$20,MATCH($C138,'Materials Master'!$A$2:$A$20,0)),IF($B138="Organics Recycling",INDEX('Materials Master'!$H$2:$H$20,MATCH($C138,'Materials Master'!$A$2:$A$20,0)),IF($B138="Cardboard Recycling",INDEX('Materials Master'!$I$2:$I$20,MATCH($C138,'Materials Master'!$A$2:$A$20,0)),IF($B138="Paper Recycling",INDEX('Materials Master'!$J$2:$J$20,MATCH($C138,'Materials Master'!$A$2:$A$20,0)),IF($B138="Terracycle",INDEX('Materials Master'!$K$2:$K$20,MATCH($C138,'Materials Master'!$A$2:$A$20,0)),"No"))))))="Yes",INDEX('Materials Master'!$E$2:$E$20,MATCH($C138,'Materials Master'!$A$2:$A$20,0))="Yes",$B138&lt;&gt;"Trash"),1,0)</f>
        <v>1</v>
      </c>
      <c r="H138" s="0" t="str">
        <f aca="false">INDEX('Materials Master'!$E$2:$E$20,MATCH($C138,'Materials Master'!$A$2:$A$20,0))</f>
        <v>Yes</v>
      </c>
      <c r="I138" s="0" t="str">
        <f aca="false">IFERROR(INDEX(Areas!$C$2:$C$3,MATCH($A138,Areas!$B$2:$B$3,0)),"")</f>
        <v>Base Building</v>
      </c>
      <c r="J138" s="0" t="n">
        <f aca="false">IF(IF($B138="Trash",INDEX('Materials Master'!$F$2:$F$20,MATCH($C138,'Materials Master'!$A$2:$A$20,0)),IF($B138="GMPC Recycling",INDEX('Materials Master'!$G$2:$G$20,MATCH($C138,'Materials Master'!$A$2:$A$20,0)),IF($B138="Organics Recycling",INDEX('Materials Master'!$H$2:$H$20,MATCH($C138,'Materials Master'!$A$2:$A$20,0)),IF($B138="Cardboard Recycling",INDEX('Materials Master'!$I$2:$I$20,MATCH($C138,'Materials Master'!$A$2:$A$20,0)),IF($B138="Paper Recycling",INDEX('Materials Master'!$J$2:$J$20,MATCH($C138,'Materials Master'!$A$2:$A$20,0)),IF($B138="Terracycle",INDEX('Materials Master'!$K$2:$K$20,MATCH($C138,'Materials Master'!$A$2:$A$20,0)),"No"))))))="Yes",1,0)</f>
        <v>1</v>
      </c>
    </row>
    <row r="139" customFormat="false" ht="15" hidden="false" customHeight="false" outlineLevel="0" collapsed="false">
      <c r="A139" s="0" t="s">
        <v>81</v>
      </c>
      <c r="B139" s="0" t="s">
        <v>84</v>
      </c>
      <c r="C139" s="0" t="s">
        <v>39</v>
      </c>
      <c r="D139" s="0" t="str">
        <f aca="false">IFERROR(INDEX('Materials Master'!$B$2:$B$20,MATCH($C139,'Materials Master'!$A$2:$A$20,0)),"")</f>
        <v>Other Coated Paper Containers</v>
      </c>
      <c r="E139" s="0" t="str">
        <f aca="false">IFERROR(INDEX('Materials Master'!$C$2:$C$20,MATCH($C139,'Materials Master'!$A$2:$A$20,0)),"")</f>
        <v>Fibers</v>
      </c>
      <c r="F139" s="0" t="n">
        <f aca="false">IF(SUMIFS(Fact_SortedWeights!$E$2:$E$67,Fact_SortedWeights!$C$2:$C$67,$A139,Fact_SortedWeights!$B$2:$B$67,$B139)=0,0,SUMIFS(Fact_SortedWeights!$E$2:$E$67,Fact_SortedWeights!$C$2:$C$67,$A139,Fact_SortedWeights!$B$2:$B$67,$B139,Fact_SortedWeights!$D$2:$D$67,$C139)/SUMIFS(Fact_SortedWeights!$E$2:$E$67,Fact_SortedWeights!$C$2:$C$67,$A139,Fact_SortedWeights!$B$2:$B$67,$B139)*(IF($B139="Cardboard Recycling",SUMIFS(Fact_SortedWeights!$E$2:$E$67,Fact_SortedWeights!$C$2:$C$67,$A139,Fact_SortedWeights!$B$2:$B$67,$B139),SUMIFS(Fact_PreSortWeights!$E$2:$E$6,Fact_PreSortWeights!$C$2:$C$6,$A139,Fact_PreSortWeights!$B$2:$B$6,$B139))))</f>
        <v>4.52</v>
      </c>
      <c r="G139" s="0" t="n">
        <f aca="false">IF(AND(IF($B139="Trash",INDEX('Materials Master'!$F$2:$F$20,MATCH($C139,'Materials Master'!$A$2:$A$20,0)),IF($B139="GMPC Recycling",INDEX('Materials Master'!$G$2:$G$20,MATCH($C139,'Materials Master'!$A$2:$A$20,0)),IF($B139="Organics Recycling",INDEX('Materials Master'!$H$2:$H$20,MATCH($C139,'Materials Master'!$A$2:$A$20,0)),IF($B139="Cardboard Recycling",INDEX('Materials Master'!$I$2:$I$20,MATCH($C139,'Materials Master'!$A$2:$A$20,0)),IF($B139="Paper Recycling",INDEX('Materials Master'!$J$2:$J$20,MATCH($C139,'Materials Master'!$A$2:$A$20,0)),IF($B139="Terracycle",INDEX('Materials Master'!$K$2:$K$20,MATCH($C139,'Materials Master'!$A$2:$A$20,0)),"No"))))))="Yes",INDEX('Materials Master'!$E$2:$E$20,MATCH($C139,'Materials Master'!$A$2:$A$20,0))="Yes",$B139&lt;&gt;"Trash"),1,0)</f>
        <v>0</v>
      </c>
      <c r="H139" s="0" t="str">
        <f aca="false">INDEX('Materials Master'!$E$2:$E$20,MATCH($C139,'Materials Master'!$A$2:$A$20,0))</f>
        <v>No</v>
      </c>
      <c r="I139" s="0" t="str">
        <f aca="false">IFERROR(INDEX(Areas!$C$2:$C$3,MATCH($A139,Areas!$B$2:$B$3,0)),"")</f>
        <v>Base Building</v>
      </c>
      <c r="J139" s="0" t="n">
        <f aca="false">IF(IF($B139="Trash",INDEX('Materials Master'!$F$2:$F$20,MATCH($C139,'Materials Master'!$A$2:$A$20,0)),IF($B139="GMPC Recycling",INDEX('Materials Master'!$G$2:$G$20,MATCH($C139,'Materials Master'!$A$2:$A$20,0)),IF($B139="Organics Recycling",INDEX('Materials Master'!$H$2:$H$20,MATCH($C139,'Materials Master'!$A$2:$A$20,0)),IF($B139="Cardboard Recycling",INDEX('Materials Master'!$I$2:$I$20,MATCH($C139,'Materials Master'!$A$2:$A$20,0)),IF($B139="Paper Recycling",INDEX('Materials Master'!$J$2:$J$20,MATCH($C139,'Materials Master'!$A$2:$A$20,0)),IF($B139="Terracycle",INDEX('Materials Master'!$K$2:$K$20,MATCH($C139,'Materials Master'!$A$2:$A$20,0)),"No"))))))="Yes",1,0)</f>
        <v>0</v>
      </c>
    </row>
    <row r="140" customFormat="false" ht="15" hidden="false" customHeight="false" outlineLevel="0" collapsed="false">
      <c r="A140" s="0" t="s">
        <v>81</v>
      </c>
      <c r="B140" s="0" t="s">
        <v>84</v>
      </c>
      <c r="C140" s="0" t="s">
        <v>41</v>
      </c>
      <c r="D140" s="0" t="str">
        <f aca="false">IFERROR(INDEX('Materials Master'!$B$2:$B$20,MATCH($C140,'Materials Master'!$A$2:$A$20,0)),"")</f>
        <v>Glass Bottles &amp; Jars</v>
      </c>
      <c r="E140" s="0" t="str">
        <f aca="false">IFERROR(INDEX('Materials Master'!$C$2:$C$20,MATCH($C140,'Materials Master'!$A$2:$A$20,0)),"")</f>
        <v>Glass</v>
      </c>
      <c r="F140" s="0" t="n">
        <f aca="false">IF(SUMIFS(Fact_SortedWeights!$E$2:$E$67,Fact_SortedWeights!$C$2:$C$67,$A140,Fact_SortedWeights!$B$2:$B$67,$B140)=0,0,SUMIFS(Fact_SortedWeights!$E$2:$E$67,Fact_SortedWeights!$C$2:$C$67,$A140,Fact_SortedWeights!$B$2:$B$67,$B140,Fact_SortedWeights!$D$2:$D$67,$C140)/SUMIFS(Fact_SortedWeights!$E$2:$E$67,Fact_SortedWeights!$C$2:$C$67,$A140,Fact_SortedWeights!$B$2:$B$67,$B140)*(IF($B140="Cardboard Recycling",SUMIFS(Fact_SortedWeights!$E$2:$E$67,Fact_SortedWeights!$C$2:$C$67,$A140,Fact_SortedWeights!$B$2:$B$67,$B140),SUMIFS(Fact_PreSortWeights!$E$2:$E$6,Fact_PreSortWeights!$C$2:$C$6,$A140,Fact_PreSortWeights!$B$2:$B$6,$B140))))</f>
        <v>20.32</v>
      </c>
      <c r="G140" s="0" t="n">
        <f aca="false">IF(AND(IF($B140="Trash",INDEX('Materials Master'!$F$2:$F$20,MATCH($C140,'Materials Master'!$A$2:$A$20,0)),IF($B140="GMPC Recycling",INDEX('Materials Master'!$G$2:$G$20,MATCH($C140,'Materials Master'!$A$2:$A$20,0)),IF($B140="Organics Recycling",INDEX('Materials Master'!$H$2:$H$20,MATCH($C140,'Materials Master'!$A$2:$A$20,0)),IF($B140="Cardboard Recycling",INDEX('Materials Master'!$I$2:$I$20,MATCH($C140,'Materials Master'!$A$2:$A$20,0)),IF($B140="Paper Recycling",INDEX('Materials Master'!$J$2:$J$20,MATCH($C140,'Materials Master'!$A$2:$A$20,0)),IF($B140="Terracycle",INDEX('Materials Master'!$K$2:$K$20,MATCH($C140,'Materials Master'!$A$2:$A$20,0)),"No"))))))="Yes",INDEX('Materials Master'!$E$2:$E$20,MATCH($C140,'Materials Master'!$A$2:$A$20,0))="Yes",$B140&lt;&gt;"Trash"),1,0)</f>
        <v>1</v>
      </c>
      <c r="H140" s="0" t="str">
        <f aca="false">INDEX('Materials Master'!$E$2:$E$20,MATCH($C140,'Materials Master'!$A$2:$A$20,0))</f>
        <v>Yes</v>
      </c>
      <c r="I140" s="0" t="str">
        <f aca="false">IFERROR(INDEX(Areas!$C$2:$C$3,MATCH($A140,Areas!$B$2:$B$3,0)),"")</f>
        <v>Base Building</v>
      </c>
      <c r="J140" s="0" t="n">
        <f aca="false">IF(IF($B140="Trash",INDEX('Materials Master'!$F$2:$F$20,MATCH($C140,'Materials Master'!$A$2:$A$20,0)),IF($B140="GMPC Recycling",INDEX('Materials Master'!$G$2:$G$20,MATCH($C140,'Materials Master'!$A$2:$A$20,0)),IF($B140="Organics Recycling",INDEX('Materials Master'!$H$2:$H$20,MATCH($C140,'Materials Master'!$A$2:$A$20,0)),IF($B140="Cardboard Recycling",INDEX('Materials Master'!$I$2:$I$20,MATCH($C140,'Materials Master'!$A$2:$A$20,0)),IF($B140="Paper Recycling",INDEX('Materials Master'!$J$2:$J$20,MATCH($C140,'Materials Master'!$A$2:$A$20,0)),IF($B140="Terracycle",INDEX('Materials Master'!$K$2:$K$20,MATCH($C140,'Materials Master'!$A$2:$A$20,0)),"No"))))))="Yes",1,0)</f>
        <v>1</v>
      </c>
    </row>
    <row r="141" customFormat="false" ht="15" hidden="false" customHeight="false" outlineLevel="0" collapsed="false">
      <c r="A141" s="0" t="s">
        <v>81</v>
      </c>
      <c r="B141" s="0" t="s">
        <v>84</v>
      </c>
      <c r="C141" s="0" t="s">
        <v>44</v>
      </c>
      <c r="D141" s="0" t="str">
        <f aca="false">IFERROR(INDEX('Materials Master'!$B$2:$B$20,MATCH($C141,'Materials Master'!$A$2:$A$20,0)),"")</f>
        <v>Broken Glass</v>
      </c>
      <c r="E141" s="0" t="str">
        <f aca="false">IFERROR(INDEX('Materials Master'!$C$2:$C$20,MATCH($C141,'Materials Master'!$A$2:$A$20,0)),"")</f>
        <v>Glass</v>
      </c>
      <c r="F141" s="0" t="n">
        <f aca="false">IF(SUMIFS(Fact_SortedWeights!$E$2:$E$67,Fact_SortedWeights!$C$2:$C$67,$A141,Fact_SortedWeights!$B$2:$B$67,$B141)=0,0,SUMIFS(Fact_SortedWeights!$E$2:$E$67,Fact_SortedWeights!$C$2:$C$67,$A141,Fact_SortedWeights!$B$2:$B$67,$B141,Fact_SortedWeights!$D$2:$D$67,$C141)/SUMIFS(Fact_SortedWeights!$E$2:$E$67,Fact_SortedWeights!$C$2:$C$67,$A141,Fact_SortedWeights!$B$2:$B$67,$B141)*(IF($B141="Cardboard Recycling",SUMIFS(Fact_SortedWeights!$E$2:$E$67,Fact_SortedWeights!$C$2:$C$67,$A141,Fact_SortedWeights!$B$2:$B$67,$B141),SUMIFS(Fact_PreSortWeights!$E$2:$E$6,Fact_PreSortWeights!$C$2:$C$6,$A141,Fact_PreSortWeights!$B$2:$B$6,$B141))))</f>
        <v>0</v>
      </c>
      <c r="G141" s="0" t="n">
        <f aca="false">IF(AND(IF($B141="Trash",INDEX('Materials Master'!$F$2:$F$20,MATCH($C141,'Materials Master'!$A$2:$A$20,0)),IF($B141="GMPC Recycling",INDEX('Materials Master'!$G$2:$G$20,MATCH($C141,'Materials Master'!$A$2:$A$20,0)),IF($B141="Organics Recycling",INDEX('Materials Master'!$H$2:$H$20,MATCH($C141,'Materials Master'!$A$2:$A$20,0)),IF($B141="Cardboard Recycling",INDEX('Materials Master'!$I$2:$I$20,MATCH($C141,'Materials Master'!$A$2:$A$20,0)),IF($B141="Paper Recycling",INDEX('Materials Master'!$J$2:$J$20,MATCH($C141,'Materials Master'!$A$2:$A$20,0)),IF($B141="Terracycle",INDEX('Materials Master'!$K$2:$K$20,MATCH($C141,'Materials Master'!$A$2:$A$20,0)),"No"))))))="Yes",INDEX('Materials Master'!$E$2:$E$20,MATCH($C141,'Materials Master'!$A$2:$A$20,0))="Yes",$B141&lt;&gt;"Trash"),1,0)</f>
        <v>0</v>
      </c>
      <c r="H141" s="0" t="str">
        <f aca="false">INDEX('Materials Master'!$E$2:$E$20,MATCH($C141,'Materials Master'!$A$2:$A$20,0))</f>
        <v>No</v>
      </c>
      <c r="I141" s="0" t="str">
        <f aca="false">IFERROR(INDEX(Areas!$C$2:$C$3,MATCH($A141,Areas!$B$2:$B$3,0)),"")</f>
        <v>Base Building</v>
      </c>
      <c r="J141" s="0" t="n">
        <f aca="false">IF(IF($B141="Trash",INDEX('Materials Master'!$F$2:$F$20,MATCH($C141,'Materials Master'!$A$2:$A$20,0)),IF($B141="GMPC Recycling",INDEX('Materials Master'!$G$2:$G$20,MATCH($C141,'Materials Master'!$A$2:$A$20,0)),IF($B141="Organics Recycling",INDEX('Materials Master'!$H$2:$H$20,MATCH($C141,'Materials Master'!$A$2:$A$20,0)),IF($B141="Cardboard Recycling",INDEX('Materials Master'!$I$2:$I$20,MATCH($C141,'Materials Master'!$A$2:$A$20,0)),IF($B141="Paper Recycling",INDEX('Materials Master'!$J$2:$J$20,MATCH($C141,'Materials Master'!$A$2:$A$20,0)),IF($B141="Terracycle",INDEX('Materials Master'!$K$2:$K$20,MATCH($C141,'Materials Master'!$A$2:$A$20,0)),"No"))))))="Yes",1,0)</f>
        <v>0</v>
      </c>
    </row>
    <row r="142" customFormat="false" ht="15" hidden="false" customHeight="false" outlineLevel="0" collapsed="false">
      <c r="A142" s="0" t="s">
        <v>81</v>
      </c>
      <c r="B142" s="0" t="s">
        <v>84</v>
      </c>
      <c r="C142" s="0" t="s">
        <v>46</v>
      </c>
      <c r="D142" s="0" t="str">
        <f aca="false">IFERROR(INDEX('Materials Master'!$B$2:$B$20,MATCH($C142,'Materials Master'!$A$2:$A$20,0)),"")</f>
        <v>Aluminum &amp; Bi-metal Containers</v>
      </c>
      <c r="E142" s="0" t="str">
        <f aca="false">IFERROR(INDEX('Materials Master'!$C$2:$C$20,MATCH($C142,'Materials Master'!$A$2:$A$20,0)),"")</f>
        <v>Metals</v>
      </c>
      <c r="F142" s="0" t="n">
        <f aca="false">IF(SUMIFS(Fact_SortedWeights!$E$2:$E$67,Fact_SortedWeights!$C$2:$C$67,$A142,Fact_SortedWeights!$B$2:$B$67,$B142)=0,0,SUMIFS(Fact_SortedWeights!$E$2:$E$67,Fact_SortedWeights!$C$2:$C$67,$A142,Fact_SortedWeights!$B$2:$B$67,$B142,Fact_SortedWeights!$D$2:$D$67,$C142)/SUMIFS(Fact_SortedWeights!$E$2:$E$67,Fact_SortedWeights!$C$2:$C$67,$A142,Fact_SortedWeights!$B$2:$B$67,$B142)*(IF($B142="Cardboard Recycling",SUMIFS(Fact_SortedWeights!$E$2:$E$67,Fact_SortedWeights!$C$2:$C$67,$A142,Fact_SortedWeights!$B$2:$B$67,$B142),SUMIFS(Fact_PreSortWeights!$E$2:$E$6,Fact_PreSortWeights!$C$2:$C$6,$A142,Fact_PreSortWeights!$B$2:$B$6,$B142))))</f>
        <v>7.23</v>
      </c>
      <c r="G142" s="0" t="n">
        <f aca="false">IF(AND(IF($B142="Trash",INDEX('Materials Master'!$F$2:$F$20,MATCH($C142,'Materials Master'!$A$2:$A$20,0)),IF($B142="GMPC Recycling",INDEX('Materials Master'!$G$2:$G$20,MATCH($C142,'Materials Master'!$A$2:$A$20,0)),IF($B142="Organics Recycling",INDEX('Materials Master'!$H$2:$H$20,MATCH($C142,'Materials Master'!$A$2:$A$20,0)),IF($B142="Cardboard Recycling",INDEX('Materials Master'!$I$2:$I$20,MATCH($C142,'Materials Master'!$A$2:$A$20,0)),IF($B142="Paper Recycling",INDEX('Materials Master'!$J$2:$J$20,MATCH($C142,'Materials Master'!$A$2:$A$20,0)),IF($B142="Terracycle",INDEX('Materials Master'!$K$2:$K$20,MATCH($C142,'Materials Master'!$A$2:$A$20,0)),"No"))))))="Yes",INDEX('Materials Master'!$E$2:$E$20,MATCH($C142,'Materials Master'!$A$2:$A$20,0))="Yes",$B142&lt;&gt;"Trash"),1,0)</f>
        <v>1</v>
      </c>
      <c r="H142" s="0" t="str">
        <f aca="false">INDEX('Materials Master'!$E$2:$E$20,MATCH($C142,'Materials Master'!$A$2:$A$20,0))</f>
        <v>Yes</v>
      </c>
      <c r="I142" s="0" t="str">
        <f aca="false">IFERROR(INDEX(Areas!$C$2:$C$3,MATCH($A142,Areas!$B$2:$B$3,0)),"")</f>
        <v>Base Building</v>
      </c>
      <c r="J142" s="0" t="n">
        <f aca="false">IF(IF($B142="Trash",INDEX('Materials Master'!$F$2:$F$20,MATCH($C142,'Materials Master'!$A$2:$A$20,0)),IF($B142="GMPC Recycling",INDEX('Materials Master'!$G$2:$G$20,MATCH($C142,'Materials Master'!$A$2:$A$20,0)),IF($B142="Organics Recycling",INDEX('Materials Master'!$H$2:$H$20,MATCH($C142,'Materials Master'!$A$2:$A$20,0)),IF($B142="Cardboard Recycling",INDEX('Materials Master'!$I$2:$I$20,MATCH($C142,'Materials Master'!$A$2:$A$20,0)),IF($B142="Paper Recycling",INDEX('Materials Master'!$J$2:$J$20,MATCH($C142,'Materials Master'!$A$2:$A$20,0)),IF($B142="Terracycle",INDEX('Materials Master'!$K$2:$K$20,MATCH($C142,'Materials Master'!$A$2:$A$20,0)),"No"))))))="Yes",1,0)</f>
        <v>1</v>
      </c>
    </row>
    <row r="143" customFormat="false" ht="15" hidden="false" customHeight="false" outlineLevel="0" collapsed="false">
      <c r="A143" s="0" t="s">
        <v>81</v>
      </c>
      <c r="B143" s="0" t="s">
        <v>84</v>
      </c>
      <c r="C143" s="0" t="s">
        <v>49</v>
      </c>
      <c r="D143" s="0" t="str">
        <f aca="false">IFERROR(INDEX('Materials Master'!$B$2:$B$20,MATCH($C143,'Materials Master'!$A$2:$A$20,0)),"")</f>
        <v>Metal Hangers</v>
      </c>
      <c r="E143" s="0" t="str">
        <f aca="false">IFERROR(INDEX('Materials Master'!$C$2:$C$20,MATCH($C143,'Materials Master'!$A$2:$A$20,0)),"")</f>
        <v>Metals</v>
      </c>
      <c r="F143" s="0" t="n">
        <f aca="false">IF(SUMIFS(Fact_SortedWeights!$E$2:$E$67,Fact_SortedWeights!$C$2:$C$67,$A143,Fact_SortedWeights!$B$2:$B$67,$B143)=0,0,SUMIFS(Fact_SortedWeights!$E$2:$E$67,Fact_SortedWeights!$C$2:$C$67,$A143,Fact_SortedWeights!$B$2:$B$67,$B143,Fact_SortedWeights!$D$2:$D$67,$C143)/SUMIFS(Fact_SortedWeights!$E$2:$E$67,Fact_SortedWeights!$C$2:$C$67,$A143,Fact_SortedWeights!$B$2:$B$67,$B143)*(IF($B143="Cardboard Recycling",SUMIFS(Fact_SortedWeights!$E$2:$E$67,Fact_SortedWeights!$C$2:$C$67,$A143,Fact_SortedWeights!$B$2:$B$67,$B143),SUMIFS(Fact_PreSortWeights!$E$2:$E$6,Fact_PreSortWeights!$C$2:$C$6,$A143,Fact_PreSortWeights!$B$2:$B$6,$B143))))</f>
        <v>0</v>
      </c>
      <c r="G143" s="0" t="n">
        <f aca="false">IF(AND(IF($B143="Trash",INDEX('Materials Master'!$F$2:$F$20,MATCH($C143,'Materials Master'!$A$2:$A$20,0)),IF($B143="GMPC Recycling",INDEX('Materials Master'!$G$2:$G$20,MATCH($C143,'Materials Master'!$A$2:$A$20,0)),IF($B143="Organics Recycling",INDEX('Materials Master'!$H$2:$H$20,MATCH($C143,'Materials Master'!$A$2:$A$20,0)),IF($B143="Cardboard Recycling",INDEX('Materials Master'!$I$2:$I$20,MATCH($C143,'Materials Master'!$A$2:$A$20,0)),IF($B143="Paper Recycling",INDEX('Materials Master'!$J$2:$J$20,MATCH($C143,'Materials Master'!$A$2:$A$20,0)),IF($B143="Terracycle",INDEX('Materials Master'!$K$2:$K$20,MATCH($C143,'Materials Master'!$A$2:$A$20,0)),"No"))))))="Yes",INDEX('Materials Master'!$E$2:$E$20,MATCH($C143,'Materials Master'!$A$2:$A$20,0))="Yes",$B143&lt;&gt;"Trash"),1,0)</f>
        <v>0</v>
      </c>
      <c r="H143" s="0" t="str">
        <f aca="false">INDEX('Materials Master'!$E$2:$E$20,MATCH($C143,'Materials Master'!$A$2:$A$20,0))</f>
        <v>No</v>
      </c>
      <c r="I143" s="0" t="str">
        <f aca="false">IFERROR(INDEX(Areas!$C$2:$C$3,MATCH($A143,Areas!$B$2:$B$3,0)),"")</f>
        <v>Base Building</v>
      </c>
      <c r="J143" s="0" t="n">
        <f aca="false">IF(IF($B143="Trash",INDEX('Materials Master'!$F$2:$F$20,MATCH($C143,'Materials Master'!$A$2:$A$20,0)),IF($B143="GMPC Recycling",INDEX('Materials Master'!$G$2:$G$20,MATCH($C143,'Materials Master'!$A$2:$A$20,0)),IF($B143="Organics Recycling",INDEX('Materials Master'!$H$2:$H$20,MATCH($C143,'Materials Master'!$A$2:$A$20,0)),IF($B143="Cardboard Recycling",INDEX('Materials Master'!$I$2:$I$20,MATCH($C143,'Materials Master'!$A$2:$A$20,0)),IF($B143="Paper Recycling",INDEX('Materials Master'!$J$2:$J$20,MATCH($C143,'Materials Master'!$A$2:$A$20,0)),IF($B143="Terracycle",INDEX('Materials Master'!$K$2:$K$20,MATCH($C143,'Materials Master'!$A$2:$A$20,0)),"No"))))))="Yes",1,0)</f>
        <v>0</v>
      </c>
    </row>
    <row r="144" customFormat="false" ht="15" hidden="false" customHeight="false" outlineLevel="0" collapsed="false">
      <c r="A144" s="0" t="s">
        <v>81</v>
      </c>
      <c r="B144" s="0" t="s">
        <v>84</v>
      </c>
      <c r="C144" s="0" t="s">
        <v>51</v>
      </c>
      <c r="D144" s="0" t="str">
        <f aca="false">IFERROR(INDEX('Materials Master'!$B$2:$B$20,MATCH($C144,'Materials Master'!$A$2:$A$20,0)),"")</f>
        <v>Rigid Plastics (1-6)</v>
      </c>
      <c r="E144" s="0" t="str">
        <f aca="false">IFERROR(INDEX('Materials Master'!$C$2:$C$20,MATCH($C144,'Materials Master'!$A$2:$A$20,0)),"")</f>
        <v>Plastics</v>
      </c>
      <c r="F144" s="0" t="n">
        <f aca="false">IF(SUMIFS(Fact_SortedWeights!$E$2:$E$67,Fact_SortedWeights!$C$2:$C$67,$A144,Fact_SortedWeights!$B$2:$B$67,$B144)=0,0,SUMIFS(Fact_SortedWeights!$E$2:$E$67,Fact_SortedWeights!$C$2:$C$67,$A144,Fact_SortedWeights!$B$2:$B$67,$B144,Fact_SortedWeights!$D$2:$D$67,$C144)/SUMIFS(Fact_SortedWeights!$E$2:$E$67,Fact_SortedWeights!$C$2:$C$67,$A144,Fact_SortedWeights!$B$2:$B$67,$B144)*(IF($B144="Cardboard Recycling",SUMIFS(Fact_SortedWeights!$E$2:$E$67,Fact_SortedWeights!$C$2:$C$67,$A144,Fact_SortedWeights!$B$2:$B$67,$B144),SUMIFS(Fact_PreSortWeights!$E$2:$E$6,Fact_PreSortWeights!$C$2:$C$6,$A144,Fact_PreSortWeights!$B$2:$B$6,$B144))))</f>
        <v>18.06</v>
      </c>
      <c r="G144" s="0" t="n">
        <f aca="false">IF(AND(IF($B144="Trash",INDEX('Materials Master'!$F$2:$F$20,MATCH($C144,'Materials Master'!$A$2:$A$20,0)),IF($B144="GMPC Recycling",INDEX('Materials Master'!$G$2:$G$20,MATCH($C144,'Materials Master'!$A$2:$A$20,0)),IF($B144="Organics Recycling",INDEX('Materials Master'!$H$2:$H$20,MATCH($C144,'Materials Master'!$A$2:$A$20,0)),IF($B144="Cardboard Recycling",INDEX('Materials Master'!$I$2:$I$20,MATCH($C144,'Materials Master'!$A$2:$A$20,0)),IF($B144="Paper Recycling",INDEX('Materials Master'!$J$2:$J$20,MATCH($C144,'Materials Master'!$A$2:$A$20,0)),IF($B144="Terracycle",INDEX('Materials Master'!$K$2:$K$20,MATCH($C144,'Materials Master'!$A$2:$A$20,0)),"No"))))))="Yes",INDEX('Materials Master'!$E$2:$E$20,MATCH($C144,'Materials Master'!$A$2:$A$20,0))="Yes",$B144&lt;&gt;"Trash"),1,0)</f>
        <v>1</v>
      </c>
      <c r="H144" s="0" t="str">
        <f aca="false">INDEX('Materials Master'!$E$2:$E$20,MATCH($C144,'Materials Master'!$A$2:$A$20,0))</f>
        <v>Yes</v>
      </c>
      <c r="I144" s="0" t="str">
        <f aca="false">IFERROR(INDEX(Areas!$C$2:$C$3,MATCH($A144,Areas!$B$2:$B$3,0)),"")</f>
        <v>Base Building</v>
      </c>
      <c r="J144" s="0" t="n">
        <f aca="false">IF(IF($B144="Trash",INDEX('Materials Master'!$F$2:$F$20,MATCH($C144,'Materials Master'!$A$2:$A$20,0)),IF($B144="GMPC Recycling",INDEX('Materials Master'!$G$2:$G$20,MATCH($C144,'Materials Master'!$A$2:$A$20,0)),IF($B144="Organics Recycling",INDEX('Materials Master'!$H$2:$H$20,MATCH($C144,'Materials Master'!$A$2:$A$20,0)),IF($B144="Cardboard Recycling",INDEX('Materials Master'!$I$2:$I$20,MATCH($C144,'Materials Master'!$A$2:$A$20,0)),IF($B144="Paper Recycling",INDEX('Materials Master'!$J$2:$J$20,MATCH($C144,'Materials Master'!$A$2:$A$20,0)),IF($B144="Terracycle",INDEX('Materials Master'!$K$2:$K$20,MATCH($C144,'Materials Master'!$A$2:$A$20,0)),"No"))))))="Yes",1,0)</f>
        <v>1</v>
      </c>
    </row>
    <row r="145" customFormat="false" ht="15" hidden="false" customHeight="false" outlineLevel="0" collapsed="false">
      <c r="A145" s="0" t="s">
        <v>81</v>
      </c>
      <c r="B145" s="0" t="s">
        <v>84</v>
      </c>
      <c r="C145" s="0" t="s">
        <v>54</v>
      </c>
      <c r="D145" s="0" t="str">
        <f aca="false">IFERROR(INDEX('Materials Master'!$B$2:$B$20,MATCH($C145,'Materials Master'!$A$2:$A$20,0)),"")</f>
        <v>Soiled Rigid Plastics</v>
      </c>
      <c r="E145" s="0" t="str">
        <f aca="false">IFERROR(INDEX('Materials Master'!$C$2:$C$20,MATCH($C145,'Materials Master'!$A$2:$A$20,0)),"")</f>
        <v>Plastics</v>
      </c>
      <c r="F145" s="0" t="n">
        <f aca="false">IF(SUMIFS(Fact_SortedWeights!$E$2:$E$67,Fact_SortedWeights!$C$2:$C$67,$A145,Fact_SortedWeights!$B$2:$B$67,$B145)=0,0,SUMIFS(Fact_SortedWeights!$E$2:$E$67,Fact_SortedWeights!$C$2:$C$67,$A145,Fact_SortedWeights!$B$2:$B$67,$B145,Fact_SortedWeights!$D$2:$D$67,$C145)/SUMIFS(Fact_SortedWeights!$E$2:$E$67,Fact_SortedWeights!$C$2:$C$67,$A145,Fact_SortedWeights!$B$2:$B$67,$B145)*(IF($B145="Cardboard Recycling",SUMIFS(Fact_SortedWeights!$E$2:$E$67,Fact_SortedWeights!$C$2:$C$67,$A145,Fact_SortedWeights!$B$2:$B$67,$B145),SUMIFS(Fact_PreSortWeights!$E$2:$E$6,Fact_PreSortWeights!$C$2:$C$6,$A145,Fact_PreSortWeights!$B$2:$B$6,$B145))))</f>
        <v>9.48</v>
      </c>
      <c r="G145" s="0" t="n">
        <f aca="false">IF(AND(IF($B145="Trash",INDEX('Materials Master'!$F$2:$F$20,MATCH($C145,'Materials Master'!$A$2:$A$20,0)),IF($B145="GMPC Recycling",INDEX('Materials Master'!$G$2:$G$20,MATCH($C145,'Materials Master'!$A$2:$A$20,0)),IF($B145="Organics Recycling",INDEX('Materials Master'!$H$2:$H$20,MATCH($C145,'Materials Master'!$A$2:$A$20,0)),IF($B145="Cardboard Recycling",INDEX('Materials Master'!$I$2:$I$20,MATCH($C145,'Materials Master'!$A$2:$A$20,0)),IF($B145="Paper Recycling",INDEX('Materials Master'!$J$2:$J$20,MATCH($C145,'Materials Master'!$A$2:$A$20,0)),IF($B145="Terracycle",INDEX('Materials Master'!$K$2:$K$20,MATCH($C145,'Materials Master'!$A$2:$A$20,0)),"No"))))))="Yes",INDEX('Materials Master'!$E$2:$E$20,MATCH($C145,'Materials Master'!$A$2:$A$20,0))="Yes",$B145&lt;&gt;"Trash"),1,0)</f>
        <v>0</v>
      </c>
      <c r="H145" s="0" t="str">
        <f aca="false">INDEX('Materials Master'!$E$2:$E$20,MATCH($C145,'Materials Master'!$A$2:$A$20,0))</f>
        <v>No</v>
      </c>
      <c r="I145" s="0" t="str">
        <f aca="false">IFERROR(INDEX(Areas!$C$2:$C$3,MATCH($A145,Areas!$B$2:$B$3,0)),"")</f>
        <v>Base Building</v>
      </c>
      <c r="J145" s="0" t="n">
        <f aca="false">IF(IF($B145="Trash",INDEX('Materials Master'!$F$2:$F$20,MATCH($C145,'Materials Master'!$A$2:$A$20,0)),IF($B145="GMPC Recycling",INDEX('Materials Master'!$G$2:$G$20,MATCH($C145,'Materials Master'!$A$2:$A$20,0)),IF($B145="Organics Recycling",INDEX('Materials Master'!$H$2:$H$20,MATCH($C145,'Materials Master'!$A$2:$A$20,0)),IF($B145="Cardboard Recycling",INDEX('Materials Master'!$I$2:$I$20,MATCH($C145,'Materials Master'!$A$2:$A$20,0)),IF($B145="Paper Recycling",INDEX('Materials Master'!$J$2:$J$20,MATCH($C145,'Materials Master'!$A$2:$A$20,0)),IF($B145="Terracycle",INDEX('Materials Master'!$K$2:$K$20,MATCH($C145,'Materials Master'!$A$2:$A$20,0)),"No"))))))="Yes",1,0)</f>
        <v>0</v>
      </c>
    </row>
    <row r="146" customFormat="false" ht="15" hidden="false" customHeight="false" outlineLevel="0" collapsed="false">
      <c r="A146" s="0" t="s">
        <v>81</v>
      </c>
      <c r="B146" s="0" t="s">
        <v>84</v>
      </c>
      <c r="C146" s="0" t="s">
        <v>56</v>
      </c>
      <c r="D146" s="0" t="str">
        <f aca="false">IFERROR(INDEX('Materials Master'!$B$2:$B$20,MATCH($C146,'Materials Master'!$A$2:$A$20,0)),"")</f>
        <v>Film Plastics</v>
      </c>
      <c r="E146" s="0" t="str">
        <f aca="false">IFERROR(INDEX('Materials Master'!$C$2:$C$20,MATCH($C146,'Materials Master'!$A$2:$A$20,0)),"")</f>
        <v>Plastics</v>
      </c>
      <c r="F146" s="0" t="n">
        <f aca="false">IF(SUMIFS(Fact_SortedWeights!$E$2:$E$67,Fact_SortedWeights!$C$2:$C$67,$A146,Fact_SortedWeights!$B$2:$B$67,$B146)=0,0,SUMIFS(Fact_SortedWeights!$E$2:$E$67,Fact_SortedWeights!$C$2:$C$67,$A146,Fact_SortedWeights!$B$2:$B$67,$B146,Fact_SortedWeights!$D$2:$D$67,$C146)/SUMIFS(Fact_SortedWeights!$E$2:$E$67,Fact_SortedWeights!$C$2:$C$67,$A146,Fact_SortedWeights!$B$2:$B$67,$B146)*(IF($B146="Cardboard Recycling",SUMIFS(Fact_SortedWeights!$E$2:$E$67,Fact_SortedWeights!$C$2:$C$67,$A146,Fact_SortedWeights!$B$2:$B$67,$B146),SUMIFS(Fact_PreSortWeights!$E$2:$E$6,Fact_PreSortWeights!$C$2:$C$6,$A146,Fact_PreSortWeights!$B$2:$B$6,$B146))))</f>
        <v>0.9</v>
      </c>
      <c r="G146" s="0" t="n">
        <f aca="false">IF(AND(IF($B146="Trash",INDEX('Materials Master'!$F$2:$F$20,MATCH($C146,'Materials Master'!$A$2:$A$20,0)),IF($B146="GMPC Recycling",INDEX('Materials Master'!$G$2:$G$20,MATCH($C146,'Materials Master'!$A$2:$A$20,0)),IF($B146="Organics Recycling",INDEX('Materials Master'!$H$2:$H$20,MATCH($C146,'Materials Master'!$A$2:$A$20,0)),IF($B146="Cardboard Recycling",INDEX('Materials Master'!$I$2:$I$20,MATCH($C146,'Materials Master'!$A$2:$A$20,0)),IF($B146="Paper Recycling",INDEX('Materials Master'!$J$2:$J$20,MATCH($C146,'Materials Master'!$A$2:$A$20,0)),IF($B146="Terracycle",INDEX('Materials Master'!$K$2:$K$20,MATCH($C146,'Materials Master'!$A$2:$A$20,0)),"No"))))))="Yes",INDEX('Materials Master'!$E$2:$E$20,MATCH($C146,'Materials Master'!$A$2:$A$20,0))="Yes",$B146&lt;&gt;"Trash"),1,0)</f>
        <v>0</v>
      </c>
      <c r="H146" s="0" t="str">
        <f aca="false">INDEX('Materials Master'!$E$2:$E$20,MATCH($C146,'Materials Master'!$A$2:$A$20,0))</f>
        <v>No</v>
      </c>
      <c r="I146" s="0" t="str">
        <f aca="false">IFERROR(INDEX(Areas!$C$2:$C$3,MATCH($A146,Areas!$B$2:$B$3,0)),"")</f>
        <v>Base Building</v>
      </c>
      <c r="J146" s="0" t="n">
        <f aca="false">IF(IF($B146="Trash",INDEX('Materials Master'!$F$2:$F$20,MATCH($C146,'Materials Master'!$A$2:$A$20,0)),IF($B146="GMPC Recycling",INDEX('Materials Master'!$G$2:$G$20,MATCH($C146,'Materials Master'!$A$2:$A$20,0)),IF($B146="Organics Recycling",INDEX('Materials Master'!$H$2:$H$20,MATCH($C146,'Materials Master'!$A$2:$A$20,0)),IF($B146="Cardboard Recycling",INDEX('Materials Master'!$I$2:$I$20,MATCH($C146,'Materials Master'!$A$2:$A$20,0)),IF($B146="Paper Recycling",INDEX('Materials Master'!$J$2:$J$20,MATCH($C146,'Materials Master'!$A$2:$A$20,0)),IF($B146="Terracycle",INDEX('Materials Master'!$K$2:$K$20,MATCH($C146,'Materials Master'!$A$2:$A$20,0)),"No"))))))="Yes",1,0)</f>
        <v>0</v>
      </c>
    </row>
    <row r="147" customFormat="false" ht="15" hidden="false" customHeight="false" outlineLevel="0" collapsed="false">
      <c r="A147" s="0" t="s">
        <v>81</v>
      </c>
      <c r="B147" s="0" t="s">
        <v>84</v>
      </c>
      <c r="C147" s="0" t="s">
        <v>58</v>
      </c>
      <c r="D147" s="0" t="str">
        <f aca="false">IFERROR(INDEX('Materials Master'!$B$2:$B$20,MATCH($C147,'Materials Master'!$A$2:$A$20,0)),"")</f>
        <v>Waste Disposal Bags</v>
      </c>
      <c r="E147" s="0" t="str">
        <f aca="false">IFERROR(INDEX('Materials Master'!$C$2:$C$20,MATCH($C147,'Materials Master'!$A$2:$A$20,0)),"")</f>
        <v>Plastics</v>
      </c>
      <c r="F147" s="0" t="n">
        <f aca="false">IF(SUMIFS(Fact_SortedWeights!$E$2:$E$67,Fact_SortedWeights!$C$2:$C$67,$A147,Fact_SortedWeights!$B$2:$B$67,$B147)=0,0,SUMIFS(Fact_SortedWeights!$E$2:$E$67,Fact_SortedWeights!$C$2:$C$67,$A147,Fact_SortedWeights!$B$2:$B$67,$B147,Fact_SortedWeights!$D$2:$D$67,$C147)/SUMIFS(Fact_SortedWeights!$E$2:$E$67,Fact_SortedWeights!$C$2:$C$67,$A147,Fact_SortedWeights!$B$2:$B$67,$B147)*(IF($B147="Cardboard Recycling",SUMIFS(Fact_SortedWeights!$E$2:$E$67,Fact_SortedWeights!$C$2:$C$67,$A147,Fact_SortedWeights!$B$2:$B$67,$B147),SUMIFS(Fact_PreSortWeights!$E$2:$E$6,Fact_PreSortWeights!$C$2:$C$6,$A147,Fact_PreSortWeights!$B$2:$B$6,$B147))))</f>
        <v>10.84</v>
      </c>
      <c r="G147" s="0" t="n">
        <f aca="false">IF(AND(IF($B147="Trash",INDEX('Materials Master'!$F$2:$F$20,MATCH($C147,'Materials Master'!$A$2:$A$20,0)),IF($B147="GMPC Recycling",INDEX('Materials Master'!$G$2:$G$20,MATCH($C147,'Materials Master'!$A$2:$A$20,0)),IF($B147="Organics Recycling",INDEX('Materials Master'!$H$2:$H$20,MATCH($C147,'Materials Master'!$A$2:$A$20,0)),IF($B147="Cardboard Recycling",INDEX('Materials Master'!$I$2:$I$20,MATCH($C147,'Materials Master'!$A$2:$A$20,0)),IF($B147="Paper Recycling",INDEX('Materials Master'!$J$2:$J$20,MATCH($C147,'Materials Master'!$A$2:$A$20,0)),IF($B147="Terracycle",INDEX('Materials Master'!$K$2:$K$20,MATCH($C147,'Materials Master'!$A$2:$A$20,0)),"No"))))))="Yes",INDEX('Materials Master'!$E$2:$E$20,MATCH($C147,'Materials Master'!$A$2:$A$20,0))="Yes",$B147&lt;&gt;"Trash"),1,0)</f>
        <v>0</v>
      </c>
      <c r="H147" s="0" t="str">
        <f aca="false">INDEX('Materials Master'!$E$2:$E$20,MATCH($C147,'Materials Master'!$A$2:$A$20,0))</f>
        <v>No</v>
      </c>
      <c r="I147" s="0" t="str">
        <f aca="false">IFERROR(INDEX(Areas!$C$2:$C$3,MATCH($A147,Areas!$B$2:$B$3,0)),"")</f>
        <v>Base Building</v>
      </c>
      <c r="J147" s="0" t="n">
        <f aca="false">IF(IF($B147="Trash",INDEX('Materials Master'!$F$2:$F$20,MATCH($C147,'Materials Master'!$A$2:$A$20,0)),IF($B147="GMPC Recycling",INDEX('Materials Master'!$G$2:$G$20,MATCH($C147,'Materials Master'!$A$2:$A$20,0)),IF($B147="Organics Recycling",INDEX('Materials Master'!$H$2:$H$20,MATCH($C147,'Materials Master'!$A$2:$A$20,0)),IF($B147="Cardboard Recycling",INDEX('Materials Master'!$I$2:$I$20,MATCH($C147,'Materials Master'!$A$2:$A$20,0)),IF($B147="Paper Recycling",INDEX('Materials Master'!$J$2:$J$20,MATCH($C147,'Materials Master'!$A$2:$A$20,0)),IF($B147="Terracycle",INDEX('Materials Master'!$K$2:$K$20,MATCH($C147,'Materials Master'!$A$2:$A$20,0)),"No"))))))="Yes",1,0)</f>
        <v>0</v>
      </c>
    </row>
    <row r="148" customFormat="false" ht="15" hidden="false" customHeight="false" outlineLevel="0" collapsed="false">
      <c r="A148" s="0" t="s">
        <v>81</v>
      </c>
      <c r="B148" s="0" t="s">
        <v>84</v>
      </c>
      <c r="C148" s="0" t="s">
        <v>60</v>
      </c>
      <c r="D148" s="0" t="str">
        <f aca="false">IFERROR(INDEX('Materials Master'!$B$2:$B$20,MATCH($C148,'Materials Master'!$A$2:$A$20,0)),"")</f>
        <v>Food Waste</v>
      </c>
      <c r="E148" s="0" t="str">
        <f aca="false">IFERROR(INDEX('Materials Master'!$C$2:$C$20,MATCH($C148,'Materials Master'!$A$2:$A$20,0)),"")</f>
        <v>Organics</v>
      </c>
      <c r="F148" s="0" t="n">
        <f aca="false">IF(SUMIFS(Fact_SortedWeights!$E$2:$E$67,Fact_SortedWeights!$C$2:$C$67,$A148,Fact_SortedWeights!$B$2:$B$67,$B148)=0,0,SUMIFS(Fact_SortedWeights!$E$2:$E$67,Fact_SortedWeights!$C$2:$C$67,$A148,Fact_SortedWeights!$B$2:$B$67,$B148,Fact_SortedWeights!$D$2:$D$67,$C148)/SUMIFS(Fact_SortedWeights!$E$2:$E$67,Fact_SortedWeights!$C$2:$C$67,$A148,Fact_SortedWeights!$B$2:$B$67,$B148)*(IF($B148="Cardboard Recycling",SUMIFS(Fact_SortedWeights!$E$2:$E$67,Fact_SortedWeights!$C$2:$C$67,$A148,Fact_SortedWeights!$B$2:$B$67,$B148),SUMIFS(Fact_PreSortWeights!$E$2:$E$6,Fact_PreSortWeights!$C$2:$C$6,$A148,Fact_PreSortWeights!$B$2:$B$6,$B148))))</f>
        <v>9.48</v>
      </c>
      <c r="G148" s="0" t="n">
        <f aca="false">IF(AND(IF($B148="Trash",INDEX('Materials Master'!$F$2:$F$20,MATCH($C148,'Materials Master'!$A$2:$A$20,0)),IF($B148="GMPC Recycling",INDEX('Materials Master'!$G$2:$G$20,MATCH($C148,'Materials Master'!$A$2:$A$20,0)),IF($B148="Organics Recycling",INDEX('Materials Master'!$H$2:$H$20,MATCH($C148,'Materials Master'!$A$2:$A$20,0)),IF($B148="Cardboard Recycling",INDEX('Materials Master'!$I$2:$I$20,MATCH($C148,'Materials Master'!$A$2:$A$20,0)),IF($B148="Paper Recycling",INDEX('Materials Master'!$J$2:$J$20,MATCH($C148,'Materials Master'!$A$2:$A$20,0)),IF($B148="Terracycle",INDEX('Materials Master'!$K$2:$K$20,MATCH($C148,'Materials Master'!$A$2:$A$20,0)),"No"))))))="Yes",INDEX('Materials Master'!$E$2:$E$20,MATCH($C148,'Materials Master'!$A$2:$A$20,0))="Yes",$B148&lt;&gt;"Trash"),1,0)</f>
        <v>0</v>
      </c>
      <c r="H148" s="0" t="str">
        <f aca="false">INDEX('Materials Master'!$E$2:$E$20,MATCH($C148,'Materials Master'!$A$2:$A$20,0))</f>
        <v>Yes</v>
      </c>
      <c r="I148" s="0" t="str">
        <f aca="false">IFERROR(INDEX(Areas!$C$2:$C$3,MATCH($A148,Areas!$B$2:$B$3,0)),"")</f>
        <v>Base Building</v>
      </c>
      <c r="J148" s="0" t="n">
        <f aca="false">IF(IF($B148="Trash",INDEX('Materials Master'!$F$2:$F$20,MATCH($C148,'Materials Master'!$A$2:$A$20,0)),IF($B148="GMPC Recycling",INDEX('Materials Master'!$G$2:$G$20,MATCH($C148,'Materials Master'!$A$2:$A$20,0)),IF($B148="Organics Recycling",INDEX('Materials Master'!$H$2:$H$20,MATCH($C148,'Materials Master'!$A$2:$A$20,0)),IF($B148="Cardboard Recycling",INDEX('Materials Master'!$I$2:$I$20,MATCH($C148,'Materials Master'!$A$2:$A$20,0)),IF($B148="Paper Recycling",INDEX('Materials Master'!$J$2:$J$20,MATCH($C148,'Materials Master'!$A$2:$A$20,0)),IF($B148="Terracycle",INDEX('Materials Master'!$K$2:$K$20,MATCH($C148,'Materials Master'!$A$2:$A$20,0)),"No"))))))="Yes",1,0)</f>
        <v>0</v>
      </c>
    </row>
    <row r="149" customFormat="false" ht="15" hidden="false" customHeight="false" outlineLevel="0" collapsed="false">
      <c r="A149" s="0" t="s">
        <v>81</v>
      </c>
      <c r="B149" s="0" t="s">
        <v>84</v>
      </c>
      <c r="C149" s="0" t="s">
        <v>63</v>
      </c>
      <c r="D149" s="0" t="str">
        <f aca="false">IFERROR(INDEX('Materials Master'!$B$2:$B$20,MATCH($C149,'Materials Master'!$A$2:$A$20,0)),"")</f>
        <v>Paper Fibers and FSP</v>
      </c>
      <c r="E149" s="0" t="str">
        <f aca="false">IFERROR(INDEX('Materials Master'!$C$2:$C$20,MATCH($C149,'Materials Master'!$A$2:$A$20,0)),"")</f>
        <v>Organics</v>
      </c>
      <c r="F149" s="0" t="n">
        <f aca="false">IF(SUMIFS(Fact_SortedWeights!$E$2:$E$67,Fact_SortedWeights!$C$2:$C$67,$A149,Fact_SortedWeights!$B$2:$B$67,$B149)=0,0,SUMIFS(Fact_SortedWeights!$E$2:$E$67,Fact_SortedWeights!$C$2:$C$67,$A149,Fact_SortedWeights!$B$2:$B$67,$B149,Fact_SortedWeights!$D$2:$D$67,$C149)/SUMIFS(Fact_SortedWeights!$E$2:$E$67,Fact_SortedWeights!$C$2:$C$67,$A149,Fact_SortedWeights!$B$2:$B$67,$B149)*(IF($B149="Cardboard Recycling",SUMIFS(Fact_SortedWeights!$E$2:$E$67,Fact_SortedWeights!$C$2:$C$67,$A149,Fact_SortedWeights!$B$2:$B$67,$B149),SUMIFS(Fact_PreSortWeights!$E$2:$E$6,Fact_PreSortWeights!$C$2:$C$6,$A149,Fact_PreSortWeights!$B$2:$B$6,$B149))))</f>
        <v>6.1</v>
      </c>
      <c r="G149" s="0" t="n">
        <f aca="false">IF(AND(IF($B149="Trash",INDEX('Materials Master'!$F$2:$F$20,MATCH($C149,'Materials Master'!$A$2:$A$20,0)),IF($B149="GMPC Recycling",INDEX('Materials Master'!$G$2:$G$20,MATCH($C149,'Materials Master'!$A$2:$A$20,0)),IF($B149="Organics Recycling",INDEX('Materials Master'!$H$2:$H$20,MATCH($C149,'Materials Master'!$A$2:$A$20,0)),IF($B149="Cardboard Recycling",INDEX('Materials Master'!$I$2:$I$20,MATCH($C149,'Materials Master'!$A$2:$A$20,0)),IF($B149="Paper Recycling",INDEX('Materials Master'!$J$2:$J$20,MATCH($C149,'Materials Master'!$A$2:$A$20,0)),IF($B149="Terracycle",INDEX('Materials Master'!$K$2:$K$20,MATCH($C149,'Materials Master'!$A$2:$A$20,0)),"No"))))))="Yes",INDEX('Materials Master'!$E$2:$E$20,MATCH($C149,'Materials Master'!$A$2:$A$20,0))="Yes",$B149&lt;&gt;"Trash"),1,0)</f>
        <v>0</v>
      </c>
      <c r="H149" s="0" t="str">
        <f aca="false">INDEX('Materials Master'!$E$2:$E$20,MATCH($C149,'Materials Master'!$A$2:$A$20,0))</f>
        <v>No</v>
      </c>
      <c r="I149" s="0" t="str">
        <f aca="false">IFERROR(INDEX(Areas!$C$2:$C$3,MATCH($A149,Areas!$B$2:$B$3,0)),"")</f>
        <v>Base Building</v>
      </c>
      <c r="J149" s="0" t="n">
        <f aca="false">IF(IF($B149="Trash",INDEX('Materials Master'!$F$2:$F$20,MATCH($C149,'Materials Master'!$A$2:$A$20,0)),IF($B149="GMPC Recycling",INDEX('Materials Master'!$G$2:$G$20,MATCH($C149,'Materials Master'!$A$2:$A$20,0)),IF($B149="Organics Recycling",INDEX('Materials Master'!$H$2:$H$20,MATCH($C149,'Materials Master'!$A$2:$A$20,0)),IF($B149="Cardboard Recycling",INDEX('Materials Master'!$I$2:$I$20,MATCH($C149,'Materials Master'!$A$2:$A$20,0)),IF($B149="Paper Recycling",INDEX('Materials Master'!$J$2:$J$20,MATCH($C149,'Materials Master'!$A$2:$A$20,0)),IF($B149="Terracycle",INDEX('Materials Master'!$K$2:$K$20,MATCH($C149,'Materials Master'!$A$2:$A$20,0)),"No"))))))="Yes",1,0)</f>
        <v>0</v>
      </c>
    </row>
    <row r="150" customFormat="false" ht="15" hidden="false" customHeight="false" outlineLevel="0" collapsed="false">
      <c r="A150" s="0" t="s">
        <v>81</v>
      </c>
      <c r="B150" s="0" t="s">
        <v>84</v>
      </c>
      <c r="C150" s="0" t="s">
        <v>65</v>
      </c>
      <c r="D150" s="0" t="str">
        <f aca="false">IFERROR(INDEX('Materials Master'!$B$2:$B$20,MATCH($C150,'Materials Master'!$A$2:$A$20,0)),"")</f>
        <v>Certified Compostables</v>
      </c>
      <c r="E150" s="0" t="str">
        <f aca="false">IFERROR(INDEX('Materials Master'!$C$2:$C$20,MATCH($C150,'Materials Master'!$A$2:$A$20,0)),"")</f>
        <v>Organics</v>
      </c>
      <c r="F150" s="0" t="n">
        <f aca="false">IF(SUMIFS(Fact_SortedWeights!$E$2:$E$67,Fact_SortedWeights!$C$2:$C$67,$A150,Fact_SortedWeights!$B$2:$B$67,$B150)=0,0,SUMIFS(Fact_SortedWeights!$E$2:$E$67,Fact_SortedWeights!$C$2:$C$67,$A150,Fact_SortedWeights!$B$2:$B$67,$B150,Fact_SortedWeights!$D$2:$D$67,$C150)/SUMIFS(Fact_SortedWeights!$E$2:$E$67,Fact_SortedWeights!$C$2:$C$67,$A150,Fact_SortedWeights!$B$2:$B$67,$B150)*(IF($B150="Cardboard Recycling",SUMIFS(Fact_SortedWeights!$E$2:$E$67,Fact_SortedWeights!$C$2:$C$67,$A150,Fact_SortedWeights!$B$2:$B$67,$B150),SUMIFS(Fact_PreSortWeights!$E$2:$E$6,Fact_PreSortWeights!$C$2:$C$6,$A150,Fact_PreSortWeights!$B$2:$B$6,$B150))))</f>
        <v>2.94</v>
      </c>
      <c r="G150" s="0" t="n">
        <f aca="false">IF(AND(IF($B150="Trash",INDEX('Materials Master'!$F$2:$F$20,MATCH($C150,'Materials Master'!$A$2:$A$20,0)),IF($B150="GMPC Recycling",INDEX('Materials Master'!$G$2:$G$20,MATCH($C150,'Materials Master'!$A$2:$A$20,0)),IF($B150="Organics Recycling",INDEX('Materials Master'!$H$2:$H$20,MATCH($C150,'Materials Master'!$A$2:$A$20,0)),IF($B150="Cardboard Recycling",INDEX('Materials Master'!$I$2:$I$20,MATCH($C150,'Materials Master'!$A$2:$A$20,0)),IF($B150="Paper Recycling",INDEX('Materials Master'!$J$2:$J$20,MATCH($C150,'Materials Master'!$A$2:$A$20,0)),IF($B150="Terracycle",INDEX('Materials Master'!$K$2:$K$20,MATCH($C150,'Materials Master'!$A$2:$A$20,0)),"No"))))))="Yes",INDEX('Materials Master'!$E$2:$E$20,MATCH($C150,'Materials Master'!$A$2:$A$20,0))="Yes",$B150&lt;&gt;"Trash"),1,0)</f>
        <v>0</v>
      </c>
      <c r="H150" s="0" t="str">
        <f aca="false">INDEX('Materials Master'!$E$2:$E$20,MATCH($C150,'Materials Master'!$A$2:$A$20,0))</f>
        <v>No</v>
      </c>
      <c r="I150" s="0" t="str">
        <f aca="false">IFERROR(INDEX(Areas!$C$2:$C$3,MATCH($A150,Areas!$B$2:$B$3,0)),"")</f>
        <v>Base Building</v>
      </c>
      <c r="J150" s="0" t="n">
        <f aca="false">IF(IF($B150="Trash",INDEX('Materials Master'!$F$2:$F$20,MATCH($C150,'Materials Master'!$A$2:$A$20,0)),IF($B150="GMPC Recycling",INDEX('Materials Master'!$G$2:$G$20,MATCH($C150,'Materials Master'!$A$2:$A$20,0)),IF($B150="Organics Recycling",INDEX('Materials Master'!$H$2:$H$20,MATCH($C150,'Materials Master'!$A$2:$A$20,0)),IF($B150="Cardboard Recycling",INDEX('Materials Master'!$I$2:$I$20,MATCH($C150,'Materials Master'!$A$2:$A$20,0)),IF($B150="Paper Recycling",INDEX('Materials Master'!$J$2:$J$20,MATCH($C150,'Materials Master'!$A$2:$A$20,0)),IF($B150="Terracycle",INDEX('Materials Master'!$K$2:$K$20,MATCH($C150,'Materials Master'!$A$2:$A$20,0)),"No"))))))="Yes",1,0)</f>
        <v>0</v>
      </c>
    </row>
    <row r="151" customFormat="false" ht="15" hidden="false" customHeight="false" outlineLevel="0" collapsed="false">
      <c r="A151" s="0" t="s">
        <v>81</v>
      </c>
      <c r="B151" s="0" t="s">
        <v>84</v>
      </c>
      <c r="C151" s="0" t="s">
        <v>67</v>
      </c>
      <c r="D151" s="0" t="str">
        <f aca="false">IFERROR(INDEX('Materials Master'!$B$2:$B$20,MATCH($C151,'Materials Master'!$A$2:$A$20,0)),"")</f>
        <v>Textiles</v>
      </c>
      <c r="E151" s="0" t="str">
        <f aca="false">IFERROR(INDEX('Materials Master'!$C$2:$C$20,MATCH($C151,'Materials Master'!$A$2:$A$20,0)),"")</f>
        <v>Unacceptable</v>
      </c>
      <c r="F151" s="0" t="n">
        <f aca="false">IF(SUMIFS(Fact_SortedWeights!$E$2:$E$67,Fact_SortedWeights!$C$2:$C$67,$A151,Fact_SortedWeights!$B$2:$B$67,$B151)=0,0,SUMIFS(Fact_SortedWeights!$E$2:$E$67,Fact_SortedWeights!$C$2:$C$67,$A151,Fact_SortedWeights!$B$2:$B$67,$B151,Fact_SortedWeights!$D$2:$D$67,$C151)/SUMIFS(Fact_SortedWeights!$E$2:$E$67,Fact_SortedWeights!$C$2:$C$67,$A151,Fact_SortedWeights!$B$2:$B$67,$B151)*(IF($B151="Cardboard Recycling",SUMIFS(Fact_SortedWeights!$E$2:$E$67,Fact_SortedWeights!$C$2:$C$67,$A151,Fact_SortedWeights!$B$2:$B$67,$B151),SUMIFS(Fact_PreSortWeights!$E$2:$E$6,Fact_PreSortWeights!$C$2:$C$6,$A151,Fact_PreSortWeights!$B$2:$B$6,$B151))))</f>
        <v>0</v>
      </c>
      <c r="G151" s="0" t="n">
        <f aca="false">IF(AND(IF($B151="Trash",INDEX('Materials Master'!$F$2:$F$20,MATCH($C151,'Materials Master'!$A$2:$A$20,0)),IF($B151="GMPC Recycling",INDEX('Materials Master'!$G$2:$G$20,MATCH($C151,'Materials Master'!$A$2:$A$20,0)),IF($B151="Organics Recycling",INDEX('Materials Master'!$H$2:$H$20,MATCH($C151,'Materials Master'!$A$2:$A$20,0)),IF($B151="Cardboard Recycling",INDEX('Materials Master'!$I$2:$I$20,MATCH($C151,'Materials Master'!$A$2:$A$20,0)),IF($B151="Paper Recycling",INDEX('Materials Master'!$J$2:$J$20,MATCH($C151,'Materials Master'!$A$2:$A$20,0)),IF($B151="Terracycle",INDEX('Materials Master'!$K$2:$K$20,MATCH($C151,'Materials Master'!$A$2:$A$20,0)),"No"))))))="Yes",INDEX('Materials Master'!$E$2:$E$20,MATCH($C151,'Materials Master'!$A$2:$A$20,0))="Yes",$B151&lt;&gt;"Trash"),1,0)</f>
        <v>0</v>
      </c>
      <c r="H151" s="0" t="str">
        <f aca="false">INDEX('Materials Master'!$E$2:$E$20,MATCH($C151,'Materials Master'!$A$2:$A$20,0))</f>
        <v>No</v>
      </c>
      <c r="I151" s="0" t="str">
        <f aca="false">IFERROR(INDEX(Areas!$C$2:$C$3,MATCH($A151,Areas!$B$2:$B$3,0)),"")</f>
        <v>Base Building</v>
      </c>
      <c r="J151" s="0" t="n">
        <f aca="false">IF(IF($B151="Trash",INDEX('Materials Master'!$F$2:$F$20,MATCH($C151,'Materials Master'!$A$2:$A$20,0)),IF($B151="GMPC Recycling",INDEX('Materials Master'!$G$2:$G$20,MATCH($C151,'Materials Master'!$A$2:$A$20,0)),IF($B151="Organics Recycling",INDEX('Materials Master'!$H$2:$H$20,MATCH($C151,'Materials Master'!$A$2:$A$20,0)),IF($B151="Cardboard Recycling",INDEX('Materials Master'!$I$2:$I$20,MATCH($C151,'Materials Master'!$A$2:$A$20,0)),IF($B151="Paper Recycling",INDEX('Materials Master'!$J$2:$J$20,MATCH($C151,'Materials Master'!$A$2:$A$20,0)),IF($B151="Terracycle",INDEX('Materials Master'!$K$2:$K$20,MATCH($C151,'Materials Master'!$A$2:$A$20,0)),"No"))))))="Yes",1,0)</f>
        <v>0</v>
      </c>
    </row>
    <row r="152" customFormat="false" ht="15" hidden="false" customHeight="false" outlineLevel="0" collapsed="false">
      <c r="A152" s="0" t="s">
        <v>81</v>
      </c>
      <c r="B152" s="0" t="s">
        <v>84</v>
      </c>
      <c r="C152" s="0" t="s">
        <v>70</v>
      </c>
      <c r="D152" s="0" t="str">
        <f aca="false">IFERROR(INDEX('Materials Master'!$B$2:$B$20,MATCH($C152,'Materials Master'!$A$2:$A$20,0)),"")</f>
        <v>Liquids</v>
      </c>
      <c r="E152" s="0" t="str">
        <f aca="false">IFERROR(INDEX('Materials Master'!$C$2:$C$20,MATCH($C152,'Materials Master'!$A$2:$A$20,0)),"")</f>
        <v>Unacceptable</v>
      </c>
      <c r="F152" s="0" t="n">
        <f aca="false">IF(SUMIFS(Fact_SortedWeights!$E$2:$E$67,Fact_SortedWeights!$C$2:$C$67,$A152,Fact_SortedWeights!$B$2:$B$67,$B152)=0,0,SUMIFS(Fact_SortedWeights!$E$2:$E$67,Fact_SortedWeights!$C$2:$C$67,$A152,Fact_SortedWeights!$B$2:$B$67,$B152,Fact_SortedWeights!$D$2:$D$67,$C152)/SUMIFS(Fact_SortedWeights!$E$2:$E$67,Fact_SortedWeights!$C$2:$C$67,$A152,Fact_SortedWeights!$B$2:$B$67,$B152)*(IF($B152="Cardboard Recycling",SUMIFS(Fact_SortedWeights!$E$2:$E$67,Fact_SortedWeights!$C$2:$C$67,$A152,Fact_SortedWeights!$B$2:$B$67,$B152),SUMIFS(Fact_PreSortWeights!$E$2:$E$6,Fact_PreSortWeights!$C$2:$C$6,$A152,Fact_PreSortWeights!$B$2:$B$6,$B152))))</f>
        <v>18.74</v>
      </c>
      <c r="G152" s="0" t="n">
        <f aca="false">IF(AND(IF($B152="Trash",INDEX('Materials Master'!$F$2:$F$20,MATCH($C152,'Materials Master'!$A$2:$A$20,0)),IF($B152="GMPC Recycling",INDEX('Materials Master'!$G$2:$G$20,MATCH($C152,'Materials Master'!$A$2:$A$20,0)),IF($B152="Organics Recycling",INDEX('Materials Master'!$H$2:$H$20,MATCH($C152,'Materials Master'!$A$2:$A$20,0)),IF($B152="Cardboard Recycling",INDEX('Materials Master'!$I$2:$I$20,MATCH($C152,'Materials Master'!$A$2:$A$20,0)),IF($B152="Paper Recycling",INDEX('Materials Master'!$J$2:$J$20,MATCH($C152,'Materials Master'!$A$2:$A$20,0)),IF($B152="Terracycle",INDEX('Materials Master'!$K$2:$K$20,MATCH($C152,'Materials Master'!$A$2:$A$20,0)),"No"))))))="Yes",INDEX('Materials Master'!$E$2:$E$20,MATCH($C152,'Materials Master'!$A$2:$A$20,0))="Yes",$B152&lt;&gt;"Trash"),1,0)</f>
        <v>0</v>
      </c>
      <c r="H152" s="0" t="str">
        <f aca="false">INDEX('Materials Master'!$E$2:$E$20,MATCH($C152,'Materials Master'!$A$2:$A$20,0))</f>
        <v>No</v>
      </c>
      <c r="I152" s="0" t="str">
        <f aca="false">IFERROR(INDEX(Areas!$C$2:$C$3,MATCH($A152,Areas!$B$2:$B$3,0)),"")</f>
        <v>Base Building</v>
      </c>
      <c r="J152" s="0" t="n">
        <f aca="false">IF(IF($B152="Trash",INDEX('Materials Master'!$F$2:$F$20,MATCH($C152,'Materials Master'!$A$2:$A$20,0)),IF($B152="GMPC Recycling",INDEX('Materials Master'!$G$2:$G$20,MATCH($C152,'Materials Master'!$A$2:$A$20,0)),IF($B152="Organics Recycling",INDEX('Materials Master'!$H$2:$H$20,MATCH($C152,'Materials Master'!$A$2:$A$20,0)),IF($B152="Cardboard Recycling",INDEX('Materials Master'!$I$2:$I$20,MATCH($C152,'Materials Master'!$A$2:$A$20,0)),IF($B152="Paper Recycling",INDEX('Materials Master'!$J$2:$J$20,MATCH($C152,'Materials Master'!$A$2:$A$20,0)),IF($B152="Terracycle",INDEX('Materials Master'!$K$2:$K$20,MATCH($C152,'Materials Master'!$A$2:$A$20,0)),"No"))))))="Yes",1,0)</f>
        <v>0</v>
      </c>
    </row>
    <row r="153" customFormat="false" ht="15" hidden="false" customHeight="false" outlineLevel="0" collapsed="false">
      <c r="A153" s="0" t="s">
        <v>81</v>
      </c>
      <c r="B153" s="0" t="s">
        <v>84</v>
      </c>
      <c r="C153" s="0" t="s">
        <v>72</v>
      </c>
      <c r="D153" s="0" t="str">
        <f aca="false">IFERROR(INDEX('Materials Master'!$B$2:$B$20,MATCH($C153,'Materials Master'!$A$2:$A$20,0)),"")</f>
        <v>Residual Materials</v>
      </c>
      <c r="E153" s="0" t="str">
        <f aca="false">IFERROR(INDEX('Materials Master'!$C$2:$C$20,MATCH($C153,'Materials Master'!$A$2:$A$20,0)),"")</f>
        <v>Other</v>
      </c>
      <c r="F153" s="0" t="n">
        <f aca="false">IF(SUMIFS(Fact_SortedWeights!$E$2:$E$67,Fact_SortedWeights!$C$2:$C$67,$A153,Fact_SortedWeights!$B$2:$B$67,$B153)=0,0,SUMIFS(Fact_SortedWeights!$E$2:$E$67,Fact_SortedWeights!$C$2:$C$67,$A153,Fact_SortedWeights!$B$2:$B$67,$B153,Fact_SortedWeights!$D$2:$D$67,$C153)/SUMIFS(Fact_SortedWeights!$E$2:$E$67,Fact_SortedWeights!$C$2:$C$67,$A153,Fact_SortedWeights!$B$2:$B$67,$B153)*(IF($B153="Cardboard Recycling",SUMIFS(Fact_SortedWeights!$E$2:$E$67,Fact_SortedWeights!$C$2:$C$67,$A153,Fact_SortedWeights!$B$2:$B$67,$B153),SUMIFS(Fact_PreSortWeights!$E$2:$E$6,Fact_PreSortWeights!$C$2:$C$6,$A153,Fact_PreSortWeights!$B$2:$B$6,$B153))))</f>
        <v>9.26</v>
      </c>
      <c r="G153" s="0" t="n">
        <f aca="false">IF(AND(IF($B153="Trash",INDEX('Materials Master'!$F$2:$F$20,MATCH($C153,'Materials Master'!$A$2:$A$20,0)),IF($B153="GMPC Recycling",INDEX('Materials Master'!$G$2:$G$20,MATCH($C153,'Materials Master'!$A$2:$A$20,0)),IF($B153="Organics Recycling",INDEX('Materials Master'!$H$2:$H$20,MATCH($C153,'Materials Master'!$A$2:$A$20,0)),IF($B153="Cardboard Recycling",INDEX('Materials Master'!$I$2:$I$20,MATCH($C153,'Materials Master'!$A$2:$A$20,0)),IF($B153="Paper Recycling",INDEX('Materials Master'!$J$2:$J$20,MATCH($C153,'Materials Master'!$A$2:$A$20,0)),IF($B153="Terracycle",INDEX('Materials Master'!$K$2:$K$20,MATCH($C153,'Materials Master'!$A$2:$A$20,0)),"No"))))))="Yes",INDEX('Materials Master'!$E$2:$E$20,MATCH($C153,'Materials Master'!$A$2:$A$20,0))="Yes",$B153&lt;&gt;"Trash"),1,0)</f>
        <v>0</v>
      </c>
      <c r="H153" s="0" t="str">
        <f aca="false">INDEX('Materials Master'!$E$2:$E$20,MATCH($C153,'Materials Master'!$A$2:$A$20,0))</f>
        <v>No</v>
      </c>
      <c r="I153" s="0" t="str">
        <f aca="false">IFERROR(INDEX(Areas!$C$2:$C$3,MATCH($A153,Areas!$B$2:$B$3,0)),"")</f>
        <v>Base Building</v>
      </c>
      <c r="J153" s="0" t="n">
        <f aca="false">IF(IF($B153="Trash",INDEX('Materials Master'!$F$2:$F$20,MATCH($C153,'Materials Master'!$A$2:$A$20,0)),IF($B153="GMPC Recycling",INDEX('Materials Master'!$G$2:$G$20,MATCH($C153,'Materials Master'!$A$2:$A$20,0)),IF($B153="Organics Recycling",INDEX('Materials Master'!$H$2:$H$20,MATCH($C153,'Materials Master'!$A$2:$A$20,0)),IF($B153="Cardboard Recycling",INDEX('Materials Master'!$I$2:$I$20,MATCH($C153,'Materials Master'!$A$2:$A$20,0)),IF($B153="Paper Recycling",INDEX('Materials Master'!$J$2:$J$20,MATCH($C153,'Materials Master'!$A$2:$A$20,0)),IF($B153="Terracycle",INDEX('Materials Master'!$K$2:$K$20,MATCH($C153,'Materials Master'!$A$2:$A$20,0)),"No"))))))="Yes",1,0)</f>
        <v>0</v>
      </c>
    </row>
    <row r="154" customFormat="false" ht="15" hidden="false" customHeight="false" outlineLevel="0" collapsed="false">
      <c r="A154" s="0" t="s">
        <v>81</v>
      </c>
      <c r="B154" s="0" t="s">
        <v>85</v>
      </c>
      <c r="C154" s="0" t="s">
        <v>28</v>
      </c>
      <c r="D154" s="0" t="str">
        <f aca="false">IFERROR(INDEX('Materials Master'!$B$2:$B$20,MATCH($C154,'Materials Master'!$A$2:$A$20,0)),"")</f>
        <v>Corrugated Cardboard</v>
      </c>
      <c r="E154" s="0" t="str">
        <f aca="false">IFERROR(INDEX('Materials Master'!$C$2:$C$20,MATCH($C154,'Materials Master'!$A$2:$A$20,0)),"")</f>
        <v>Fibers</v>
      </c>
      <c r="F154" s="0" t="n">
        <f aca="false">IF(SUMIFS(Fact_SortedWeights!$E$2:$E$67,Fact_SortedWeights!$C$2:$C$67,$A154,Fact_SortedWeights!$B$2:$B$67,$B154)=0,0,SUMIFS(Fact_SortedWeights!$E$2:$E$67,Fact_SortedWeights!$C$2:$C$67,$A154,Fact_SortedWeights!$B$2:$B$67,$B154,Fact_SortedWeights!$D$2:$D$67,$C154)/SUMIFS(Fact_SortedWeights!$E$2:$E$67,Fact_SortedWeights!$C$2:$C$67,$A154,Fact_SortedWeights!$B$2:$B$67,$B154)*(IF($B154="Cardboard Recycling",SUMIFS(Fact_SortedWeights!$E$2:$E$67,Fact_SortedWeights!$C$2:$C$67,$A154,Fact_SortedWeights!$B$2:$B$67,$B154),SUMIFS(Fact_PreSortWeights!$E$2:$E$6,Fact_PreSortWeights!$C$2:$C$6,$A154,Fact_PreSortWeights!$B$2:$B$6,$B154))))</f>
        <v>0</v>
      </c>
      <c r="G154" s="0" t="n">
        <f aca="false">IF(AND(IF($B154="Trash",INDEX('Materials Master'!$F$2:$F$20,MATCH($C154,'Materials Master'!$A$2:$A$20,0)),IF($B154="GMPC Recycling",INDEX('Materials Master'!$G$2:$G$20,MATCH($C154,'Materials Master'!$A$2:$A$20,0)),IF($B154="Organics Recycling",INDEX('Materials Master'!$H$2:$H$20,MATCH($C154,'Materials Master'!$A$2:$A$20,0)),IF($B154="Cardboard Recycling",INDEX('Materials Master'!$I$2:$I$20,MATCH($C154,'Materials Master'!$A$2:$A$20,0)),IF($B154="Paper Recycling",INDEX('Materials Master'!$J$2:$J$20,MATCH($C154,'Materials Master'!$A$2:$A$20,0)),IF($B154="Terracycle",INDEX('Materials Master'!$K$2:$K$20,MATCH($C154,'Materials Master'!$A$2:$A$20,0)),"No"))))))="Yes",INDEX('Materials Master'!$E$2:$E$20,MATCH($C154,'Materials Master'!$A$2:$A$20,0))="Yes",$B154&lt;&gt;"Trash"),1,0)</f>
        <v>0</v>
      </c>
      <c r="H154" s="0" t="str">
        <f aca="false">INDEX('Materials Master'!$E$2:$E$20,MATCH($C154,'Materials Master'!$A$2:$A$20,0))</f>
        <v>Yes</v>
      </c>
      <c r="I154" s="0" t="str">
        <f aca="false">IFERROR(INDEX(Areas!$C$2:$C$3,MATCH($A154,Areas!$B$2:$B$3,0)),"")</f>
        <v>Base Building</v>
      </c>
      <c r="J154" s="0" t="n">
        <f aca="false">IF(IF($B154="Trash",INDEX('Materials Master'!$F$2:$F$20,MATCH($C154,'Materials Master'!$A$2:$A$20,0)),IF($B154="GMPC Recycling",INDEX('Materials Master'!$G$2:$G$20,MATCH($C154,'Materials Master'!$A$2:$A$20,0)),IF($B154="Organics Recycling",INDEX('Materials Master'!$H$2:$H$20,MATCH($C154,'Materials Master'!$A$2:$A$20,0)),IF($B154="Cardboard Recycling",INDEX('Materials Master'!$I$2:$I$20,MATCH($C154,'Materials Master'!$A$2:$A$20,0)),IF($B154="Paper Recycling",INDEX('Materials Master'!$J$2:$J$20,MATCH($C154,'Materials Master'!$A$2:$A$20,0)),IF($B154="Terracycle",INDEX('Materials Master'!$K$2:$K$20,MATCH($C154,'Materials Master'!$A$2:$A$20,0)),"No"))))))="Yes",1,0)</f>
        <v>0</v>
      </c>
    </row>
    <row r="155" customFormat="false" ht="15" hidden="false" customHeight="false" outlineLevel="0" collapsed="false">
      <c r="A155" s="0" t="s">
        <v>81</v>
      </c>
      <c r="B155" s="0" t="s">
        <v>85</v>
      </c>
      <c r="C155" s="0" t="s">
        <v>33</v>
      </c>
      <c r="D155" s="0" t="str">
        <f aca="false">IFERROR(INDEX('Materials Master'!$B$2:$B$20,MATCH($C155,'Materials Master'!$A$2:$A$20,0)),"")</f>
        <v>Waxed Cardboard</v>
      </c>
      <c r="E155" s="0" t="str">
        <f aca="false">IFERROR(INDEX('Materials Master'!$C$2:$C$20,MATCH($C155,'Materials Master'!$A$2:$A$20,0)),"")</f>
        <v>Fibers</v>
      </c>
      <c r="F155" s="0" t="n">
        <f aca="false">IF(SUMIFS(Fact_SortedWeights!$E$2:$E$67,Fact_SortedWeights!$C$2:$C$67,$A155,Fact_SortedWeights!$B$2:$B$67,$B155)=0,0,SUMIFS(Fact_SortedWeights!$E$2:$E$67,Fact_SortedWeights!$C$2:$C$67,$A155,Fact_SortedWeights!$B$2:$B$67,$B155,Fact_SortedWeights!$D$2:$D$67,$C155)/SUMIFS(Fact_SortedWeights!$E$2:$E$67,Fact_SortedWeights!$C$2:$C$67,$A155,Fact_SortedWeights!$B$2:$B$67,$B155)*(IF($B155="Cardboard Recycling",SUMIFS(Fact_SortedWeights!$E$2:$E$67,Fact_SortedWeights!$C$2:$C$67,$A155,Fact_SortedWeights!$B$2:$B$67,$B155),SUMIFS(Fact_PreSortWeights!$E$2:$E$6,Fact_PreSortWeights!$C$2:$C$6,$A155,Fact_PreSortWeights!$B$2:$B$6,$B155))))</f>
        <v>0</v>
      </c>
      <c r="G155" s="0" t="n">
        <f aca="false">IF(AND(IF($B155="Trash",INDEX('Materials Master'!$F$2:$F$20,MATCH($C155,'Materials Master'!$A$2:$A$20,0)),IF($B155="GMPC Recycling",INDEX('Materials Master'!$G$2:$G$20,MATCH($C155,'Materials Master'!$A$2:$A$20,0)),IF($B155="Organics Recycling",INDEX('Materials Master'!$H$2:$H$20,MATCH($C155,'Materials Master'!$A$2:$A$20,0)),IF($B155="Cardboard Recycling",INDEX('Materials Master'!$I$2:$I$20,MATCH($C155,'Materials Master'!$A$2:$A$20,0)),IF($B155="Paper Recycling",INDEX('Materials Master'!$J$2:$J$20,MATCH($C155,'Materials Master'!$A$2:$A$20,0)),IF($B155="Terracycle",INDEX('Materials Master'!$K$2:$K$20,MATCH($C155,'Materials Master'!$A$2:$A$20,0)),"No"))))))="Yes",INDEX('Materials Master'!$E$2:$E$20,MATCH($C155,'Materials Master'!$A$2:$A$20,0))="Yes",$B155&lt;&gt;"Trash"),1,0)</f>
        <v>0</v>
      </c>
      <c r="H155" s="0" t="str">
        <f aca="false">INDEX('Materials Master'!$E$2:$E$20,MATCH($C155,'Materials Master'!$A$2:$A$20,0))</f>
        <v>No</v>
      </c>
      <c r="I155" s="0" t="str">
        <f aca="false">IFERROR(INDEX(Areas!$C$2:$C$3,MATCH($A155,Areas!$B$2:$B$3,0)),"")</f>
        <v>Base Building</v>
      </c>
      <c r="J155" s="0" t="n">
        <f aca="false">IF(IF($B155="Trash",INDEX('Materials Master'!$F$2:$F$20,MATCH($C155,'Materials Master'!$A$2:$A$20,0)),IF($B155="GMPC Recycling",INDEX('Materials Master'!$G$2:$G$20,MATCH($C155,'Materials Master'!$A$2:$A$20,0)),IF($B155="Organics Recycling",INDEX('Materials Master'!$H$2:$H$20,MATCH($C155,'Materials Master'!$A$2:$A$20,0)),IF($B155="Cardboard Recycling",INDEX('Materials Master'!$I$2:$I$20,MATCH($C155,'Materials Master'!$A$2:$A$20,0)),IF($B155="Paper Recycling",INDEX('Materials Master'!$J$2:$J$20,MATCH($C155,'Materials Master'!$A$2:$A$20,0)),IF($B155="Terracycle",INDEX('Materials Master'!$K$2:$K$20,MATCH($C155,'Materials Master'!$A$2:$A$20,0)),"No"))))))="Yes",1,0)</f>
        <v>0</v>
      </c>
    </row>
    <row r="156" customFormat="false" ht="15" hidden="false" customHeight="false" outlineLevel="0" collapsed="false">
      <c r="A156" s="0" t="s">
        <v>81</v>
      </c>
      <c r="B156" s="0" t="s">
        <v>85</v>
      </c>
      <c r="C156" s="0" t="s">
        <v>35</v>
      </c>
      <c r="D156" s="0" t="str">
        <f aca="false">IFERROR(INDEX('Materials Master'!$B$2:$B$20,MATCH($C156,'Materials Master'!$A$2:$A$20,0)),"")</f>
        <v>Mixed Paper</v>
      </c>
      <c r="E156" s="0" t="str">
        <f aca="false">IFERROR(INDEX('Materials Master'!$C$2:$C$20,MATCH($C156,'Materials Master'!$A$2:$A$20,0)),"")</f>
        <v>Fibers</v>
      </c>
      <c r="F156" s="0" t="n">
        <f aca="false">IF(SUMIFS(Fact_SortedWeights!$E$2:$E$67,Fact_SortedWeights!$C$2:$C$67,$A156,Fact_SortedWeights!$B$2:$B$67,$B156)=0,0,SUMIFS(Fact_SortedWeights!$E$2:$E$67,Fact_SortedWeights!$C$2:$C$67,$A156,Fact_SortedWeights!$B$2:$B$67,$B156,Fact_SortedWeights!$D$2:$D$67,$C156)/SUMIFS(Fact_SortedWeights!$E$2:$E$67,Fact_SortedWeights!$C$2:$C$67,$A156,Fact_SortedWeights!$B$2:$B$67,$B156)*(IF($B156="Cardboard Recycling",SUMIFS(Fact_SortedWeights!$E$2:$E$67,Fact_SortedWeights!$C$2:$C$67,$A156,Fact_SortedWeights!$B$2:$B$67,$B156),SUMIFS(Fact_PreSortWeights!$E$2:$E$6,Fact_PreSortWeights!$C$2:$C$6,$A156,Fact_PreSortWeights!$B$2:$B$6,$B156))))</f>
        <v>0</v>
      </c>
      <c r="G156" s="0" t="n">
        <f aca="false">IF(AND(IF($B156="Trash",INDEX('Materials Master'!$F$2:$F$20,MATCH($C156,'Materials Master'!$A$2:$A$20,0)),IF($B156="GMPC Recycling",INDEX('Materials Master'!$G$2:$G$20,MATCH($C156,'Materials Master'!$A$2:$A$20,0)),IF($B156="Organics Recycling",INDEX('Materials Master'!$H$2:$H$20,MATCH($C156,'Materials Master'!$A$2:$A$20,0)),IF($B156="Cardboard Recycling",INDEX('Materials Master'!$I$2:$I$20,MATCH($C156,'Materials Master'!$A$2:$A$20,0)),IF($B156="Paper Recycling",INDEX('Materials Master'!$J$2:$J$20,MATCH($C156,'Materials Master'!$A$2:$A$20,0)),IF($B156="Terracycle",INDEX('Materials Master'!$K$2:$K$20,MATCH($C156,'Materials Master'!$A$2:$A$20,0)),"No"))))))="Yes",INDEX('Materials Master'!$E$2:$E$20,MATCH($C156,'Materials Master'!$A$2:$A$20,0))="Yes",$B156&lt;&gt;"Trash"),1,0)</f>
        <v>1</v>
      </c>
      <c r="H156" s="0" t="str">
        <f aca="false">INDEX('Materials Master'!$E$2:$E$20,MATCH($C156,'Materials Master'!$A$2:$A$20,0))</f>
        <v>Yes</v>
      </c>
      <c r="I156" s="0" t="str">
        <f aca="false">IFERROR(INDEX(Areas!$C$2:$C$3,MATCH($A156,Areas!$B$2:$B$3,0)),"")</f>
        <v>Base Building</v>
      </c>
      <c r="J156" s="0" t="n">
        <f aca="false">IF(IF($B156="Trash",INDEX('Materials Master'!$F$2:$F$20,MATCH($C156,'Materials Master'!$A$2:$A$20,0)),IF($B156="GMPC Recycling",INDEX('Materials Master'!$G$2:$G$20,MATCH($C156,'Materials Master'!$A$2:$A$20,0)),IF($B156="Organics Recycling",INDEX('Materials Master'!$H$2:$H$20,MATCH($C156,'Materials Master'!$A$2:$A$20,0)),IF($B156="Cardboard Recycling",INDEX('Materials Master'!$I$2:$I$20,MATCH($C156,'Materials Master'!$A$2:$A$20,0)),IF($B156="Paper Recycling",INDEX('Materials Master'!$J$2:$J$20,MATCH($C156,'Materials Master'!$A$2:$A$20,0)),IF($B156="Terracycle",INDEX('Materials Master'!$K$2:$K$20,MATCH($C156,'Materials Master'!$A$2:$A$20,0)),"No"))))))="Yes",1,0)</f>
        <v>1</v>
      </c>
    </row>
    <row r="157" customFormat="false" ht="15" hidden="false" customHeight="false" outlineLevel="0" collapsed="false">
      <c r="A157" s="0" t="s">
        <v>81</v>
      </c>
      <c r="B157" s="0" t="s">
        <v>85</v>
      </c>
      <c r="C157" s="0" t="s">
        <v>37</v>
      </c>
      <c r="D157" s="0" t="str">
        <f aca="false">IFERROR(INDEX('Materials Master'!$B$2:$B$20,MATCH($C157,'Materials Master'!$A$2:$A$20,0)),"")</f>
        <v>Gable-top &amp; Aseptic Cartons</v>
      </c>
      <c r="E157" s="0" t="str">
        <f aca="false">IFERROR(INDEX('Materials Master'!$C$2:$C$20,MATCH($C157,'Materials Master'!$A$2:$A$20,0)),"")</f>
        <v>Fibers</v>
      </c>
      <c r="F157" s="0" t="n">
        <f aca="false">IF(SUMIFS(Fact_SortedWeights!$E$2:$E$67,Fact_SortedWeights!$C$2:$C$67,$A157,Fact_SortedWeights!$B$2:$B$67,$B157)=0,0,SUMIFS(Fact_SortedWeights!$E$2:$E$67,Fact_SortedWeights!$C$2:$C$67,$A157,Fact_SortedWeights!$B$2:$B$67,$B157,Fact_SortedWeights!$D$2:$D$67,$C157)/SUMIFS(Fact_SortedWeights!$E$2:$E$67,Fact_SortedWeights!$C$2:$C$67,$A157,Fact_SortedWeights!$B$2:$B$67,$B157)*(IF($B157="Cardboard Recycling",SUMIFS(Fact_SortedWeights!$E$2:$E$67,Fact_SortedWeights!$C$2:$C$67,$A157,Fact_SortedWeights!$B$2:$B$67,$B157),SUMIFS(Fact_PreSortWeights!$E$2:$E$6,Fact_PreSortWeights!$C$2:$C$6,$A157,Fact_PreSortWeights!$B$2:$B$6,$B157))))</f>
        <v>0</v>
      </c>
      <c r="G157" s="0" t="n">
        <f aca="false">IF(AND(IF($B157="Trash",INDEX('Materials Master'!$F$2:$F$20,MATCH($C157,'Materials Master'!$A$2:$A$20,0)),IF($B157="GMPC Recycling",INDEX('Materials Master'!$G$2:$G$20,MATCH($C157,'Materials Master'!$A$2:$A$20,0)),IF($B157="Organics Recycling",INDEX('Materials Master'!$H$2:$H$20,MATCH($C157,'Materials Master'!$A$2:$A$20,0)),IF($B157="Cardboard Recycling",INDEX('Materials Master'!$I$2:$I$20,MATCH($C157,'Materials Master'!$A$2:$A$20,0)),IF($B157="Paper Recycling",INDEX('Materials Master'!$J$2:$J$20,MATCH($C157,'Materials Master'!$A$2:$A$20,0)),IF($B157="Terracycle",INDEX('Materials Master'!$K$2:$K$20,MATCH($C157,'Materials Master'!$A$2:$A$20,0)),"No"))))))="Yes",INDEX('Materials Master'!$E$2:$E$20,MATCH($C157,'Materials Master'!$A$2:$A$20,0))="Yes",$B157&lt;&gt;"Trash"),1,0)</f>
        <v>0</v>
      </c>
      <c r="H157" s="0" t="str">
        <f aca="false">INDEX('Materials Master'!$E$2:$E$20,MATCH($C157,'Materials Master'!$A$2:$A$20,0))</f>
        <v>Yes</v>
      </c>
      <c r="I157" s="0" t="str">
        <f aca="false">IFERROR(INDEX(Areas!$C$2:$C$3,MATCH($A157,Areas!$B$2:$B$3,0)),"")</f>
        <v>Base Building</v>
      </c>
      <c r="J157" s="0" t="n">
        <f aca="false">IF(IF($B157="Trash",INDEX('Materials Master'!$F$2:$F$20,MATCH($C157,'Materials Master'!$A$2:$A$20,0)),IF($B157="GMPC Recycling",INDEX('Materials Master'!$G$2:$G$20,MATCH($C157,'Materials Master'!$A$2:$A$20,0)),IF($B157="Organics Recycling",INDEX('Materials Master'!$H$2:$H$20,MATCH($C157,'Materials Master'!$A$2:$A$20,0)),IF($B157="Cardboard Recycling",INDEX('Materials Master'!$I$2:$I$20,MATCH($C157,'Materials Master'!$A$2:$A$20,0)),IF($B157="Paper Recycling",INDEX('Materials Master'!$J$2:$J$20,MATCH($C157,'Materials Master'!$A$2:$A$20,0)),IF($B157="Terracycle",INDEX('Materials Master'!$K$2:$K$20,MATCH($C157,'Materials Master'!$A$2:$A$20,0)),"No"))))))="Yes",1,0)</f>
        <v>0</v>
      </c>
    </row>
    <row r="158" customFormat="false" ht="15" hidden="false" customHeight="false" outlineLevel="0" collapsed="false">
      <c r="A158" s="0" t="s">
        <v>81</v>
      </c>
      <c r="B158" s="0" t="s">
        <v>85</v>
      </c>
      <c r="C158" s="0" t="s">
        <v>39</v>
      </c>
      <c r="D158" s="0" t="str">
        <f aca="false">IFERROR(INDEX('Materials Master'!$B$2:$B$20,MATCH($C158,'Materials Master'!$A$2:$A$20,0)),"")</f>
        <v>Other Coated Paper Containers</v>
      </c>
      <c r="E158" s="0" t="str">
        <f aca="false">IFERROR(INDEX('Materials Master'!$C$2:$C$20,MATCH($C158,'Materials Master'!$A$2:$A$20,0)),"")</f>
        <v>Fibers</v>
      </c>
      <c r="F158" s="0" t="n">
        <f aca="false">IF(SUMIFS(Fact_SortedWeights!$E$2:$E$67,Fact_SortedWeights!$C$2:$C$67,$A158,Fact_SortedWeights!$B$2:$B$67,$B158)=0,0,SUMIFS(Fact_SortedWeights!$E$2:$E$67,Fact_SortedWeights!$C$2:$C$67,$A158,Fact_SortedWeights!$B$2:$B$67,$B158,Fact_SortedWeights!$D$2:$D$67,$C158)/SUMIFS(Fact_SortedWeights!$E$2:$E$67,Fact_SortedWeights!$C$2:$C$67,$A158,Fact_SortedWeights!$B$2:$B$67,$B158)*(IF($B158="Cardboard Recycling",SUMIFS(Fact_SortedWeights!$E$2:$E$67,Fact_SortedWeights!$C$2:$C$67,$A158,Fact_SortedWeights!$B$2:$B$67,$B158),SUMIFS(Fact_PreSortWeights!$E$2:$E$6,Fact_PreSortWeights!$C$2:$C$6,$A158,Fact_PreSortWeights!$B$2:$B$6,$B158))))</f>
        <v>0</v>
      </c>
      <c r="G158" s="0" t="n">
        <f aca="false">IF(AND(IF($B158="Trash",INDEX('Materials Master'!$F$2:$F$20,MATCH($C158,'Materials Master'!$A$2:$A$20,0)),IF($B158="GMPC Recycling",INDEX('Materials Master'!$G$2:$G$20,MATCH($C158,'Materials Master'!$A$2:$A$20,0)),IF($B158="Organics Recycling",INDEX('Materials Master'!$H$2:$H$20,MATCH($C158,'Materials Master'!$A$2:$A$20,0)),IF($B158="Cardboard Recycling",INDEX('Materials Master'!$I$2:$I$20,MATCH($C158,'Materials Master'!$A$2:$A$20,0)),IF($B158="Paper Recycling",INDEX('Materials Master'!$J$2:$J$20,MATCH($C158,'Materials Master'!$A$2:$A$20,0)),IF($B158="Terracycle",INDEX('Materials Master'!$K$2:$K$20,MATCH($C158,'Materials Master'!$A$2:$A$20,0)),"No"))))))="Yes",INDEX('Materials Master'!$E$2:$E$20,MATCH($C158,'Materials Master'!$A$2:$A$20,0))="Yes",$B158&lt;&gt;"Trash"),1,0)</f>
        <v>0</v>
      </c>
      <c r="H158" s="0" t="str">
        <f aca="false">INDEX('Materials Master'!$E$2:$E$20,MATCH($C158,'Materials Master'!$A$2:$A$20,0))</f>
        <v>No</v>
      </c>
      <c r="I158" s="0" t="str">
        <f aca="false">IFERROR(INDEX(Areas!$C$2:$C$3,MATCH($A158,Areas!$B$2:$B$3,0)),"")</f>
        <v>Base Building</v>
      </c>
      <c r="J158" s="0" t="n">
        <f aca="false">IF(IF($B158="Trash",INDEX('Materials Master'!$F$2:$F$20,MATCH($C158,'Materials Master'!$A$2:$A$20,0)),IF($B158="GMPC Recycling",INDEX('Materials Master'!$G$2:$G$20,MATCH($C158,'Materials Master'!$A$2:$A$20,0)),IF($B158="Organics Recycling",INDEX('Materials Master'!$H$2:$H$20,MATCH($C158,'Materials Master'!$A$2:$A$20,0)),IF($B158="Cardboard Recycling",INDEX('Materials Master'!$I$2:$I$20,MATCH($C158,'Materials Master'!$A$2:$A$20,0)),IF($B158="Paper Recycling",INDEX('Materials Master'!$J$2:$J$20,MATCH($C158,'Materials Master'!$A$2:$A$20,0)),IF($B158="Terracycle",INDEX('Materials Master'!$K$2:$K$20,MATCH($C158,'Materials Master'!$A$2:$A$20,0)),"No"))))))="Yes",1,0)</f>
        <v>0</v>
      </c>
    </row>
    <row r="159" customFormat="false" ht="15" hidden="false" customHeight="false" outlineLevel="0" collapsed="false">
      <c r="A159" s="0" t="s">
        <v>81</v>
      </c>
      <c r="B159" s="0" t="s">
        <v>85</v>
      </c>
      <c r="C159" s="0" t="s">
        <v>41</v>
      </c>
      <c r="D159" s="0" t="str">
        <f aca="false">IFERROR(INDEX('Materials Master'!$B$2:$B$20,MATCH($C159,'Materials Master'!$A$2:$A$20,0)),"")</f>
        <v>Glass Bottles &amp; Jars</v>
      </c>
      <c r="E159" s="0" t="str">
        <f aca="false">IFERROR(INDEX('Materials Master'!$C$2:$C$20,MATCH($C159,'Materials Master'!$A$2:$A$20,0)),"")</f>
        <v>Glass</v>
      </c>
      <c r="F159" s="0" t="n">
        <f aca="false">IF(SUMIFS(Fact_SortedWeights!$E$2:$E$67,Fact_SortedWeights!$C$2:$C$67,$A159,Fact_SortedWeights!$B$2:$B$67,$B159)=0,0,SUMIFS(Fact_SortedWeights!$E$2:$E$67,Fact_SortedWeights!$C$2:$C$67,$A159,Fact_SortedWeights!$B$2:$B$67,$B159,Fact_SortedWeights!$D$2:$D$67,$C159)/SUMIFS(Fact_SortedWeights!$E$2:$E$67,Fact_SortedWeights!$C$2:$C$67,$A159,Fact_SortedWeights!$B$2:$B$67,$B159)*(IF($B159="Cardboard Recycling",SUMIFS(Fact_SortedWeights!$E$2:$E$67,Fact_SortedWeights!$C$2:$C$67,$A159,Fact_SortedWeights!$B$2:$B$67,$B159),SUMIFS(Fact_PreSortWeights!$E$2:$E$6,Fact_PreSortWeights!$C$2:$C$6,$A159,Fact_PreSortWeights!$B$2:$B$6,$B159))))</f>
        <v>0</v>
      </c>
      <c r="G159" s="0" t="n">
        <f aca="false">IF(AND(IF($B159="Trash",INDEX('Materials Master'!$F$2:$F$20,MATCH($C159,'Materials Master'!$A$2:$A$20,0)),IF($B159="GMPC Recycling",INDEX('Materials Master'!$G$2:$G$20,MATCH($C159,'Materials Master'!$A$2:$A$20,0)),IF($B159="Organics Recycling",INDEX('Materials Master'!$H$2:$H$20,MATCH($C159,'Materials Master'!$A$2:$A$20,0)),IF($B159="Cardboard Recycling",INDEX('Materials Master'!$I$2:$I$20,MATCH($C159,'Materials Master'!$A$2:$A$20,0)),IF($B159="Paper Recycling",INDEX('Materials Master'!$J$2:$J$20,MATCH($C159,'Materials Master'!$A$2:$A$20,0)),IF($B159="Terracycle",INDEX('Materials Master'!$K$2:$K$20,MATCH($C159,'Materials Master'!$A$2:$A$20,0)),"No"))))))="Yes",INDEX('Materials Master'!$E$2:$E$20,MATCH($C159,'Materials Master'!$A$2:$A$20,0))="Yes",$B159&lt;&gt;"Trash"),1,0)</f>
        <v>0</v>
      </c>
      <c r="H159" s="0" t="str">
        <f aca="false">INDEX('Materials Master'!$E$2:$E$20,MATCH($C159,'Materials Master'!$A$2:$A$20,0))</f>
        <v>Yes</v>
      </c>
      <c r="I159" s="0" t="str">
        <f aca="false">IFERROR(INDEX(Areas!$C$2:$C$3,MATCH($A159,Areas!$B$2:$B$3,0)),"")</f>
        <v>Base Building</v>
      </c>
      <c r="J159" s="0" t="n">
        <f aca="false">IF(IF($B159="Trash",INDEX('Materials Master'!$F$2:$F$20,MATCH($C159,'Materials Master'!$A$2:$A$20,0)),IF($B159="GMPC Recycling",INDEX('Materials Master'!$G$2:$G$20,MATCH($C159,'Materials Master'!$A$2:$A$20,0)),IF($B159="Organics Recycling",INDEX('Materials Master'!$H$2:$H$20,MATCH($C159,'Materials Master'!$A$2:$A$20,0)),IF($B159="Cardboard Recycling",INDEX('Materials Master'!$I$2:$I$20,MATCH($C159,'Materials Master'!$A$2:$A$20,0)),IF($B159="Paper Recycling",INDEX('Materials Master'!$J$2:$J$20,MATCH($C159,'Materials Master'!$A$2:$A$20,0)),IF($B159="Terracycle",INDEX('Materials Master'!$K$2:$K$20,MATCH($C159,'Materials Master'!$A$2:$A$20,0)),"No"))))))="Yes",1,0)</f>
        <v>0</v>
      </c>
    </row>
    <row r="160" customFormat="false" ht="15" hidden="false" customHeight="false" outlineLevel="0" collapsed="false">
      <c r="A160" s="0" t="s">
        <v>81</v>
      </c>
      <c r="B160" s="0" t="s">
        <v>85</v>
      </c>
      <c r="C160" s="0" t="s">
        <v>44</v>
      </c>
      <c r="D160" s="0" t="str">
        <f aca="false">IFERROR(INDEX('Materials Master'!$B$2:$B$20,MATCH($C160,'Materials Master'!$A$2:$A$20,0)),"")</f>
        <v>Broken Glass</v>
      </c>
      <c r="E160" s="0" t="str">
        <f aca="false">IFERROR(INDEX('Materials Master'!$C$2:$C$20,MATCH($C160,'Materials Master'!$A$2:$A$20,0)),"")</f>
        <v>Glass</v>
      </c>
      <c r="F160" s="0" t="n">
        <f aca="false">IF(SUMIFS(Fact_SortedWeights!$E$2:$E$67,Fact_SortedWeights!$C$2:$C$67,$A160,Fact_SortedWeights!$B$2:$B$67,$B160)=0,0,SUMIFS(Fact_SortedWeights!$E$2:$E$67,Fact_SortedWeights!$C$2:$C$67,$A160,Fact_SortedWeights!$B$2:$B$67,$B160,Fact_SortedWeights!$D$2:$D$67,$C160)/SUMIFS(Fact_SortedWeights!$E$2:$E$67,Fact_SortedWeights!$C$2:$C$67,$A160,Fact_SortedWeights!$B$2:$B$67,$B160)*(IF($B160="Cardboard Recycling",SUMIFS(Fact_SortedWeights!$E$2:$E$67,Fact_SortedWeights!$C$2:$C$67,$A160,Fact_SortedWeights!$B$2:$B$67,$B160),SUMIFS(Fact_PreSortWeights!$E$2:$E$6,Fact_PreSortWeights!$C$2:$C$6,$A160,Fact_PreSortWeights!$B$2:$B$6,$B160))))</f>
        <v>0</v>
      </c>
      <c r="G160" s="0" t="n">
        <f aca="false">IF(AND(IF($B160="Trash",INDEX('Materials Master'!$F$2:$F$20,MATCH($C160,'Materials Master'!$A$2:$A$20,0)),IF($B160="GMPC Recycling",INDEX('Materials Master'!$G$2:$G$20,MATCH($C160,'Materials Master'!$A$2:$A$20,0)),IF($B160="Organics Recycling",INDEX('Materials Master'!$H$2:$H$20,MATCH($C160,'Materials Master'!$A$2:$A$20,0)),IF($B160="Cardboard Recycling",INDEX('Materials Master'!$I$2:$I$20,MATCH($C160,'Materials Master'!$A$2:$A$20,0)),IF($B160="Paper Recycling",INDEX('Materials Master'!$J$2:$J$20,MATCH($C160,'Materials Master'!$A$2:$A$20,0)),IF($B160="Terracycle",INDEX('Materials Master'!$K$2:$K$20,MATCH($C160,'Materials Master'!$A$2:$A$20,0)),"No"))))))="Yes",INDEX('Materials Master'!$E$2:$E$20,MATCH($C160,'Materials Master'!$A$2:$A$20,0))="Yes",$B160&lt;&gt;"Trash"),1,0)</f>
        <v>0</v>
      </c>
      <c r="H160" s="0" t="str">
        <f aca="false">INDEX('Materials Master'!$E$2:$E$20,MATCH($C160,'Materials Master'!$A$2:$A$20,0))</f>
        <v>No</v>
      </c>
      <c r="I160" s="0" t="str">
        <f aca="false">IFERROR(INDEX(Areas!$C$2:$C$3,MATCH($A160,Areas!$B$2:$B$3,0)),"")</f>
        <v>Base Building</v>
      </c>
      <c r="J160" s="0" t="n">
        <f aca="false">IF(IF($B160="Trash",INDEX('Materials Master'!$F$2:$F$20,MATCH($C160,'Materials Master'!$A$2:$A$20,0)),IF($B160="GMPC Recycling",INDEX('Materials Master'!$G$2:$G$20,MATCH($C160,'Materials Master'!$A$2:$A$20,0)),IF($B160="Organics Recycling",INDEX('Materials Master'!$H$2:$H$20,MATCH($C160,'Materials Master'!$A$2:$A$20,0)),IF($B160="Cardboard Recycling",INDEX('Materials Master'!$I$2:$I$20,MATCH($C160,'Materials Master'!$A$2:$A$20,0)),IF($B160="Paper Recycling",INDEX('Materials Master'!$J$2:$J$20,MATCH($C160,'Materials Master'!$A$2:$A$20,0)),IF($B160="Terracycle",INDEX('Materials Master'!$K$2:$K$20,MATCH($C160,'Materials Master'!$A$2:$A$20,0)),"No"))))))="Yes",1,0)</f>
        <v>0</v>
      </c>
    </row>
    <row r="161" customFormat="false" ht="15" hidden="false" customHeight="false" outlineLevel="0" collapsed="false">
      <c r="A161" s="0" t="s">
        <v>81</v>
      </c>
      <c r="B161" s="0" t="s">
        <v>85</v>
      </c>
      <c r="C161" s="0" t="s">
        <v>46</v>
      </c>
      <c r="D161" s="0" t="str">
        <f aca="false">IFERROR(INDEX('Materials Master'!$B$2:$B$20,MATCH($C161,'Materials Master'!$A$2:$A$20,0)),"")</f>
        <v>Aluminum &amp; Bi-metal Containers</v>
      </c>
      <c r="E161" s="0" t="str">
        <f aca="false">IFERROR(INDEX('Materials Master'!$C$2:$C$20,MATCH($C161,'Materials Master'!$A$2:$A$20,0)),"")</f>
        <v>Metals</v>
      </c>
      <c r="F161" s="0" t="n">
        <f aca="false">IF(SUMIFS(Fact_SortedWeights!$E$2:$E$67,Fact_SortedWeights!$C$2:$C$67,$A161,Fact_SortedWeights!$B$2:$B$67,$B161)=0,0,SUMIFS(Fact_SortedWeights!$E$2:$E$67,Fact_SortedWeights!$C$2:$C$67,$A161,Fact_SortedWeights!$B$2:$B$67,$B161,Fact_SortedWeights!$D$2:$D$67,$C161)/SUMIFS(Fact_SortedWeights!$E$2:$E$67,Fact_SortedWeights!$C$2:$C$67,$A161,Fact_SortedWeights!$B$2:$B$67,$B161)*(IF($B161="Cardboard Recycling",SUMIFS(Fact_SortedWeights!$E$2:$E$67,Fact_SortedWeights!$C$2:$C$67,$A161,Fact_SortedWeights!$B$2:$B$67,$B161),SUMIFS(Fact_PreSortWeights!$E$2:$E$6,Fact_PreSortWeights!$C$2:$C$6,$A161,Fact_PreSortWeights!$B$2:$B$6,$B161))))</f>
        <v>0</v>
      </c>
      <c r="G161" s="0" t="n">
        <f aca="false">IF(AND(IF($B161="Trash",INDEX('Materials Master'!$F$2:$F$20,MATCH($C161,'Materials Master'!$A$2:$A$20,0)),IF($B161="GMPC Recycling",INDEX('Materials Master'!$G$2:$G$20,MATCH($C161,'Materials Master'!$A$2:$A$20,0)),IF($B161="Organics Recycling",INDEX('Materials Master'!$H$2:$H$20,MATCH($C161,'Materials Master'!$A$2:$A$20,0)),IF($B161="Cardboard Recycling",INDEX('Materials Master'!$I$2:$I$20,MATCH($C161,'Materials Master'!$A$2:$A$20,0)),IF($B161="Paper Recycling",INDEX('Materials Master'!$J$2:$J$20,MATCH($C161,'Materials Master'!$A$2:$A$20,0)),IF($B161="Terracycle",INDEX('Materials Master'!$K$2:$K$20,MATCH($C161,'Materials Master'!$A$2:$A$20,0)),"No"))))))="Yes",INDEX('Materials Master'!$E$2:$E$20,MATCH($C161,'Materials Master'!$A$2:$A$20,0))="Yes",$B161&lt;&gt;"Trash"),1,0)</f>
        <v>0</v>
      </c>
      <c r="H161" s="0" t="str">
        <f aca="false">INDEX('Materials Master'!$E$2:$E$20,MATCH($C161,'Materials Master'!$A$2:$A$20,0))</f>
        <v>Yes</v>
      </c>
      <c r="I161" s="0" t="str">
        <f aca="false">IFERROR(INDEX(Areas!$C$2:$C$3,MATCH($A161,Areas!$B$2:$B$3,0)),"")</f>
        <v>Base Building</v>
      </c>
      <c r="J161" s="0" t="n">
        <f aca="false">IF(IF($B161="Trash",INDEX('Materials Master'!$F$2:$F$20,MATCH($C161,'Materials Master'!$A$2:$A$20,0)),IF($B161="GMPC Recycling",INDEX('Materials Master'!$G$2:$G$20,MATCH($C161,'Materials Master'!$A$2:$A$20,0)),IF($B161="Organics Recycling",INDEX('Materials Master'!$H$2:$H$20,MATCH($C161,'Materials Master'!$A$2:$A$20,0)),IF($B161="Cardboard Recycling",INDEX('Materials Master'!$I$2:$I$20,MATCH($C161,'Materials Master'!$A$2:$A$20,0)),IF($B161="Paper Recycling",INDEX('Materials Master'!$J$2:$J$20,MATCH($C161,'Materials Master'!$A$2:$A$20,0)),IF($B161="Terracycle",INDEX('Materials Master'!$K$2:$K$20,MATCH($C161,'Materials Master'!$A$2:$A$20,0)),"No"))))))="Yes",1,0)</f>
        <v>0</v>
      </c>
    </row>
    <row r="162" customFormat="false" ht="15" hidden="false" customHeight="false" outlineLevel="0" collapsed="false">
      <c r="A162" s="0" t="s">
        <v>81</v>
      </c>
      <c r="B162" s="0" t="s">
        <v>85</v>
      </c>
      <c r="C162" s="0" t="s">
        <v>49</v>
      </c>
      <c r="D162" s="0" t="str">
        <f aca="false">IFERROR(INDEX('Materials Master'!$B$2:$B$20,MATCH($C162,'Materials Master'!$A$2:$A$20,0)),"")</f>
        <v>Metal Hangers</v>
      </c>
      <c r="E162" s="0" t="str">
        <f aca="false">IFERROR(INDEX('Materials Master'!$C$2:$C$20,MATCH($C162,'Materials Master'!$A$2:$A$20,0)),"")</f>
        <v>Metals</v>
      </c>
      <c r="F162" s="0" t="n">
        <f aca="false">IF(SUMIFS(Fact_SortedWeights!$E$2:$E$67,Fact_SortedWeights!$C$2:$C$67,$A162,Fact_SortedWeights!$B$2:$B$67,$B162)=0,0,SUMIFS(Fact_SortedWeights!$E$2:$E$67,Fact_SortedWeights!$C$2:$C$67,$A162,Fact_SortedWeights!$B$2:$B$67,$B162,Fact_SortedWeights!$D$2:$D$67,$C162)/SUMIFS(Fact_SortedWeights!$E$2:$E$67,Fact_SortedWeights!$C$2:$C$67,$A162,Fact_SortedWeights!$B$2:$B$67,$B162)*(IF($B162="Cardboard Recycling",SUMIFS(Fact_SortedWeights!$E$2:$E$67,Fact_SortedWeights!$C$2:$C$67,$A162,Fact_SortedWeights!$B$2:$B$67,$B162),SUMIFS(Fact_PreSortWeights!$E$2:$E$6,Fact_PreSortWeights!$C$2:$C$6,$A162,Fact_PreSortWeights!$B$2:$B$6,$B162))))</f>
        <v>0</v>
      </c>
      <c r="G162" s="0" t="n">
        <f aca="false">IF(AND(IF($B162="Trash",INDEX('Materials Master'!$F$2:$F$20,MATCH($C162,'Materials Master'!$A$2:$A$20,0)),IF($B162="GMPC Recycling",INDEX('Materials Master'!$G$2:$G$20,MATCH($C162,'Materials Master'!$A$2:$A$20,0)),IF($B162="Organics Recycling",INDEX('Materials Master'!$H$2:$H$20,MATCH($C162,'Materials Master'!$A$2:$A$20,0)),IF($B162="Cardboard Recycling",INDEX('Materials Master'!$I$2:$I$20,MATCH($C162,'Materials Master'!$A$2:$A$20,0)),IF($B162="Paper Recycling",INDEX('Materials Master'!$J$2:$J$20,MATCH($C162,'Materials Master'!$A$2:$A$20,0)),IF($B162="Terracycle",INDEX('Materials Master'!$K$2:$K$20,MATCH($C162,'Materials Master'!$A$2:$A$20,0)),"No"))))))="Yes",INDEX('Materials Master'!$E$2:$E$20,MATCH($C162,'Materials Master'!$A$2:$A$20,0))="Yes",$B162&lt;&gt;"Trash"),1,0)</f>
        <v>0</v>
      </c>
      <c r="H162" s="0" t="str">
        <f aca="false">INDEX('Materials Master'!$E$2:$E$20,MATCH($C162,'Materials Master'!$A$2:$A$20,0))</f>
        <v>No</v>
      </c>
      <c r="I162" s="0" t="str">
        <f aca="false">IFERROR(INDEX(Areas!$C$2:$C$3,MATCH($A162,Areas!$B$2:$B$3,0)),"")</f>
        <v>Base Building</v>
      </c>
      <c r="J162" s="0" t="n">
        <f aca="false">IF(IF($B162="Trash",INDEX('Materials Master'!$F$2:$F$20,MATCH($C162,'Materials Master'!$A$2:$A$20,0)),IF($B162="GMPC Recycling",INDEX('Materials Master'!$G$2:$G$20,MATCH($C162,'Materials Master'!$A$2:$A$20,0)),IF($B162="Organics Recycling",INDEX('Materials Master'!$H$2:$H$20,MATCH($C162,'Materials Master'!$A$2:$A$20,0)),IF($B162="Cardboard Recycling",INDEX('Materials Master'!$I$2:$I$20,MATCH($C162,'Materials Master'!$A$2:$A$20,0)),IF($B162="Paper Recycling",INDEX('Materials Master'!$J$2:$J$20,MATCH($C162,'Materials Master'!$A$2:$A$20,0)),IF($B162="Terracycle",INDEX('Materials Master'!$K$2:$K$20,MATCH($C162,'Materials Master'!$A$2:$A$20,0)),"No"))))))="Yes",1,0)</f>
        <v>0</v>
      </c>
    </row>
    <row r="163" customFormat="false" ht="15" hidden="false" customHeight="false" outlineLevel="0" collapsed="false">
      <c r="A163" s="0" t="s">
        <v>81</v>
      </c>
      <c r="B163" s="0" t="s">
        <v>85</v>
      </c>
      <c r="C163" s="0" t="s">
        <v>51</v>
      </c>
      <c r="D163" s="0" t="str">
        <f aca="false">IFERROR(INDEX('Materials Master'!$B$2:$B$20,MATCH($C163,'Materials Master'!$A$2:$A$20,0)),"")</f>
        <v>Rigid Plastics (1-6)</v>
      </c>
      <c r="E163" s="0" t="str">
        <f aca="false">IFERROR(INDEX('Materials Master'!$C$2:$C$20,MATCH($C163,'Materials Master'!$A$2:$A$20,0)),"")</f>
        <v>Plastics</v>
      </c>
      <c r="F163" s="0" t="n">
        <f aca="false">IF(SUMIFS(Fact_SortedWeights!$E$2:$E$67,Fact_SortedWeights!$C$2:$C$67,$A163,Fact_SortedWeights!$B$2:$B$67,$B163)=0,0,SUMIFS(Fact_SortedWeights!$E$2:$E$67,Fact_SortedWeights!$C$2:$C$67,$A163,Fact_SortedWeights!$B$2:$B$67,$B163,Fact_SortedWeights!$D$2:$D$67,$C163)/SUMIFS(Fact_SortedWeights!$E$2:$E$67,Fact_SortedWeights!$C$2:$C$67,$A163,Fact_SortedWeights!$B$2:$B$67,$B163)*(IF($B163="Cardboard Recycling",SUMIFS(Fact_SortedWeights!$E$2:$E$67,Fact_SortedWeights!$C$2:$C$67,$A163,Fact_SortedWeights!$B$2:$B$67,$B163),SUMIFS(Fact_PreSortWeights!$E$2:$E$6,Fact_PreSortWeights!$C$2:$C$6,$A163,Fact_PreSortWeights!$B$2:$B$6,$B163))))</f>
        <v>0</v>
      </c>
      <c r="G163" s="0" t="n">
        <f aca="false">IF(AND(IF($B163="Trash",INDEX('Materials Master'!$F$2:$F$20,MATCH($C163,'Materials Master'!$A$2:$A$20,0)),IF($B163="GMPC Recycling",INDEX('Materials Master'!$G$2:$G$20,MATCH($C163,'Materials Master'!$A$2:$A$20,0)),IF($B163="Organics Recycling",INDEX('Materials Master'!$H$2:$H$20,MATCH($C163,'Materials Master'!$A$2:$A$20,0)),IF($B163="Cardboard Recycling",INDEX('Materials Master'!$I$2:$I$20,MATCH($C163,'Materials Master'!$A$2:$A$20,0)),IF($B163="Paper Recycling",INDEX('Materials Master'!$J$2:$J$20,MATCH($C163,'Materials Master'!$A$2:$A$20,0)),IF($B163="Terracycle",INDEX('Materials Master'!$K$2:$K$20,MATCH($C163,'Materials Master'!$A$2:$A$20,0)),"No"))))))="Yes",INDEX('Materials Master'!$E$2:$E$20,MATCH($C163,'Materials Master'!$A$2:$A$20,0))="Yes",$B163&lt;&gt;"Trash"),1,0)</f>
        <v>0</v>
      </c>
      <c r="H163" s="0" t="str">
        <f aca="false">INDEX('Materials Master'!$E$2:$E$20,MATCH($C163,'Materials Master'!$A$2:$A$20,0))</f>
        <v>Yes</v>
      </c>
      <c r="I163" s="0" t="str">
        <f aca="false">IFERROR(INDEX(Areas!$C$2:$C$3,MATCH($A163,Areas!$B$2:$B$3,0)),"")</f>
        <v>Base Building</v>
      </c>
      <c r="J163" s="0" t="n">
        <f aca="false">IF(IF($B163="Trash",INDEX('Materials Master'!$F$2:$F$20,MATCH($C163,'Materials Master'!$A$2:$A$20,0)),IF($B163="GMPC Recycling",INDEX('Materials Master'!$G$2:$G$20,MATCH($C163,'Materials Master'!$A$2:$A$20,0)),IF($B163="Organics Recycling",INDEX('Materials Master'!$H$2:$H$20,MATCH($C163,'Materials Master'!$A$2:$A$20,0)),IF($B163="Cardboard Recycling",INDEX('Materials Master'!$I$2:$I$20,MATCH($C163,'Materials Master'!$A$2:$A$20,0)),IF($B163="Paper Recycling",INDEX('Materials Master'!$J$2:$J$20,MATCH($C163,'Materials Master'!$A$2:$A$20,0)),IF($B163="Terracycle",INDEX('Materials Master'!$K$2:$K$20,MATCH($C163,'Materials Master'!$A$2:$A$20,0)),"No"))))))="Yes",1,0)</f>
        <v>0</v>
      </c>
    </row>
    <row r="164" customFormat="false" ht="15" hidden="false" customHeight="false" outlineLevel="0" collapsed="false">
      <c r="A164" s="0" t="s">
        <v>81</v>
      </c>
      <c r="B164" s="0" t="s">
        <v>85</v>
      </c>
      <c r="C164" s="0" t="s">
        <v>54</v>
      </c>
      <c r="D164" s="0" t="str">
        <f aca="false">IFERROR(INDEX('Materials Master'!$B$2:$B$20,MATCH($C164,'Materials Master'!$A$2:$A$20,0)),"")</f>
        <v>Soiled Rigid Plastics</v>
      </c>
      <c r="E164" s="0" t="str">
        <f aca="false">IFERROR(INDEX('Materials Master'!$C$2:$C$20,MATCH($C164,'Materials Master'!$A$2:$A$20,0)),"")</f>
        <v>Plastics</v>
      </c>
      <c r="F164" s="0" t="n">
        <f aca="false">IF(SUMIFS(Fact_SortedWeights!$E$2:$E$67,Fact_SortedWeights!$C$2:$C$67,$A164,Fact_SortedWeights!$B$2:$B$67,$B164)=0,0,SUMIFS(Fact_SortedWeights!$E$2:$E$67,Fact_SortedWeights!$C$2:$C$67,$A164,Fact_SortedWeights!$B$2:$B$67,$B164,Fact_SortedWeights!$D$2:$D$67,$C164)/SUMIFS(Fact_SortedWeights!$E$2:$E$67,Fact_SortedWeights!$C$2:$C$67,$A164,Fact_SortedWeights!$B$2:$B$67,$B164)*(IF($B164="Cardboard Recycling",SUMIFS(Fact_SortedWeights!$E$2:$E$67,Fact_SortedWeights!$C$2:$C$67,$A164,Fact_SortedWeights!$B$2:$B$67,$B164),SUMIFS(Fact_PreSortWeights!$E$2:$E$6,Fact_PreSortWeights!$C$2:$C$6,$A164,Fact_PreSortWeights!$B$2:$B$6,$B164))))</f>
        <v>0</v>
      </c>
      <c r="G164" s="0" t="n">
        <f aca="false">IF(AND(IF($B164="Trash",INDEX('Materials Master'!$F$2:$F$20,MATCH($C164,'Materials Master'!$A$2:$A$20,0)),IF($B164="GMPC Recycling",INDEX('Materials Master'!$G$2:$G$20,MATCH($C164,'Materials Master'!$A$2:$A$20,0)),IF($B164="Organics Recycling",INDEX('Materials Master'!$H$2:$H$20,MATCH($C164,'Materials Master'!$A$2:$A$20,0)),IF($B164="Cardboard Recycling",INDEX('Materials Master'!$I$2:$I$20,MATCH($C164,'Materials Master'!$A$2:$A$20,0)),IF($B164="Paper Recycling",INDEX('Materials Master'!$J$2:$J$20,MATCH($C164,'Materials Master'!$A$2:$A$20,0)),IF($B164="Terracycle",INDEX('Materials Master'!$K$2:$K$20,MATCH($C164,'Materials Master'!$A$2:$A$20,0)),"No"))))))="Yes",INDEX('Materials Master'!$E$2:$E$20,MATCH($C164,'Materials Master'!$A$2:$A$20,0))="Yes",$B164&lt;&gt;"Trash"),1,0)</f>
        <v>0</v>
      </c>
      <c r="H164" s="0" t="str">
        <f aca="false">INDEX('Materials Master'!$E$2:$E$20,MATCH($C164,'Materials Master'!$A$2:$A$20,0))</f>
        <v>No</v>
      </c>
      <c r="I164" s="0" t="str">
        <f aca="false">IFERROR(INDEX(Areas!$C$2:$C$3,MATCH($A164,Areas!$B$2:$B$3,0)),"")</f>
        <v>Base Building</v>
      </c>
      <c r="J164" s="0" t="n">
        <f aca="false">IF(IF($B164="Trash",INDEX('Materials Master'!$F$2:$F$20,MATCH($C164,'Materials Master'!$A$2:$A$20,0)),IF($B164="GMPC Recycling",INDEX('Materials Master'!$G$2:$G$20,MATCH($C164,'Materials Master'!$A$2:$A$20,0)),IF($B164="Organics Recycling",INDEX('Materials Master'!$H$2:$H$20,MATCH($C164,'Materials Master'!$A$2:$A$20,0)),IF($B164="Cardboard Recycling",INDEX('Materials Master'!$I$2:$I$20,MATCH($C164,'Materials Master'!$A$2:$A$20,0)),IF($B164="Paper Recycling",INDEX('Materials Master'!$J$2:$J$20,MATCH($C164,'Materials Master'!$A$2:$A$20,0)),IF($B164="Terracycle",INDEX('Materials Master'!$K$2:$K$20,MATCH($C164,'Materials Master'!$A$2:$A$20,0)),"No"))))))="Yes",1,0)</f>
        <v>0</v>
      </c>
    </row>
    <row r="165" customFormat="false" ht="15" hidden="false" customHeight="false" outlineLevel="0" collapsed="false">
      <c r="A165" s="0" t="s">
        <v>81</v>
      </c>
      <c r="B165" s="0" t="s">
        <v>85</v>
      </c>
      <c r="C165" s="0" t="s">
        <v>56</v>
      </c>
      <c r="D165" s="0" t="str">
        <f aca="false">IFERROR(INDEX('Materials Master'!$B$2:$B$20,MATCH($C165,'Materials Master'!$A$2:$A$20,0)),"")</f>
        <v>Film Plastics</v>
      </c>
      <c r="E165" s="0" t="str">
        <f aca="false">IFERROR(INDEX('Materials Master'!$C$2:$C$20,MATCH($C165,'Materials Master'!$A$2:$A$20,0)),"")</f>
        <v>Plastics</v>
      </c>
      <c r="F165" s="0" t="n">
        <f aca="false">IF(SUMIFS(Fact_SortedWeights!$E$2:$E$67,Fact_SortedWeights!$C$2:$C$67,$A165,Fact_SortedWeights!$B$2:$B$67,$B165)=0,0,SUMIFS(Fact_SortedWeights!$E$2:$E$67,Fact_SortedWeights!$C$2:$C$67,$A165,Fact_SortedWeights!$B$2:$B$67,$B165,Fact_SortedWeights!$D$2:$D$67,$C165)/SUMIFS(Fact_SortedWeights!$E$2:$E$67,Fact_SortedWeights!$C$2:$C$67,$A165,Fact_SortedWeights!$B$2:$B$67,$B165)*(IF($B165="Cardboard Recycling",SUMIFS(Fact_SortedWeights!$E$2:$E$67,Fact_SortedWeights!$C$2:$C$67,$A165,Fact_SortedWeights!$B$2:$B$67,$B165),SUMIFS(Fact_PreSortWeights!$E$2:$E$6,Fact_PreSortWeights!$C$2:$C$6,$A165,Fact_PreSortWeights!$B$2:$B$6,$B165))))</f>
        <v>0</v>
      </c>
      <c r="G165" s="0" t="n">
        <f aca="false">IF(AND(IF($B165="Trash",INDEX('Materials Master'!$F$2:$F$20,MATCH($C165,'Materials Master'!$A$2:$A$20,0)),IF($B165="GMPC Recycling",INDEX('Materials Master'!$G$2:$G$20,MATCH($C165,'Materials Master'!$A$2:$A$20,0)),IF($B165="Organics Recycling",INDEX('Materials Master'!$H$2:$H$20,MATCH($C165,'Materials Master'!$A$2:$A$20,0)),IF($B165="Cardboard Recycling",INDEX('Materials Master'!$I$2:$I$20,MATCH($C165,'Materials Master'!$A$2:$A$20,0)),IF($B165="Paper Recycling",INDEX('Materials Master'!$J$2:$J$20,MATCH($C165,'Materials Master'!$A$2:$A$20,0)),IF($B165="Terracycle",INDEX('Materials Master'!$K$2:$K$20,MATCH($C165,'Materials Master'!$A$2:$A$20,0)),"No"))))))="Yes",INDEX('Materials Master'!$E$2:$E$20,MATCH($C165,'Materials Master'!$A$2:$A$20,0))="Yes",$B165&lt;&gt;"Trash"),1,0)</f>
        <v>0</v>
      </c>
      <c r="H165" s="0" t="str">
        <f aca="false">INDEX('Materials Master'!$E$2:$E$20,MATCH($C165,'Materials Master'!$A$2:$A$20,0))</f>
        <v>No</v>
      </c>
      <c r="I165" s="0" t="str">
        <f aca="false">IFERROR(INDEX(Areas!$C$2:$C$3,MATCH($A165,Areas!$B$2:$B$3,0)),"")</f>
        <v>Base Building</v>
      </c>
      <c r="J165" s="0" t="n">
        <f aca="false">IF(IF($B165="Trash",INDEX('Materials Master'!$F$2:$F$20,MATCH($C165,'Materials Master'!$A$2:$A$20,0)),IF($B165="GMPC Recycling",INDEX('Materials Master'!$G$2:$G$20,MATCH($C165,'Materials Master'!$A$2:$A$20,0)),IF($B165="Organics Recycling",INDEX('Materials Master'!$H$2:$H$20,MATCH($C165,'Materials Master'!$A$2:$A$20,0)),IF($B165="Cardboard Recycling",INDEX('Materials Master'!$I$2:$I$20,MATCH($C165,'Materials Master'!$A$2:$A$20,0)),IF($B165="Paper Recycling",INDEX('Materials Master'!$J$2:$J$20,MATCH($C165,'Materials Master'!$A$2:$A$20,0)),IF($B165="Terracycle",INDEX('Materials Master'!$K$2:$K$20,MATCH($C165,'Materials Master'!$A$2:$A$20,0)),"No"))))))="Yes",1,0)</f>
        <v>0</v>
      </c>
    </row>
    <row r="166" customFormat="false" ht="15" hidden="false" customHeight="false" outlineLevel="0" collapsed="false">
      <c r="A166" s="0" t="s">
        <v>81</v>
      </c>
      <c r="B166" s="0" t="s">
        <v>85</v>
      </c>
      <c r="C166" s="0" t="s">
        <v>58</v>
      </c>
      <c r="D166" s="0" t="str">
        <f aca="false">IFERROR(INDEX('Materials Master'!$B$2:$B$20,MATCH($C166,'Materials Master'!$A$2:$A$20,0)),"")</f>
        <v>Waste Disposal Bags</v>
      </c>
      <c r="E166" s="0" t="str">
        <f aca="false">IFERROR(INDEX('Materials Master'!$C$2:$C$20,MATCH($C166,'Materials Master'!$A$2:$A$20,0)),"")</f>
        <v>Plastics</v>
      </c>
      <c r="F166" s="0" t="n">
        <f aca="false">IF(SUMIFS(Fact_SortedWeights!$E$2:$E$67,Fact_SortedWeights!$C$2:$C$67,$A166,Fact_SortedWeights!$B$2:$B$67,$B166)=0,0,SUMIFS(Fact_SortedWeights!$E$2:$E$67,Fact_SortedWeights!$C$2:$C$67,$A166,Fact_SortedWeights!$B$2:$B$67,$B166,Fact_SortedWeights!$D$2:$D$67,$C166)/SUMIFS(Fact_SortedWeights!$E$2:$E$67,Fact_SortedWeights!$C$2:$C$67,$A166,Fact_SortedWeights!$B$2:$B$67,$B166)*(IF($B166="Cardboard Recycling",SUMIFS(Fact_SortedWeights!$E$2:$E$67,Fact_SortedWeights!$C$2:$C$67,$A166,Fact_SortedWeights!$B$2:$B$67,$B166),SUMIFS(Fact_PreSortWeights!$E$2:$E$6,Fact_PreSortWeights!$C$2:$C$6,$A166,Fact_PreSortWeights!$B$2:$B$6,$B166))))</f>
        <v>0</v>
      </c>
      <c r="G166" s="0" t="n">
        <f aca="false">IF(AND(IF($B166="Trash",INDEX('Materials Master'!$F$2:$F$20,MATCH($C166,'Materials Master'!$A$2:$A$20,0)),IF($B166="GMPC Recycling",INDEX('Materials Master'!$G$2:$G$20,MATCH($C166,'Materials Master'!$A$2:$A$20,0)),IF($B166="Organics Recycling",INDEX('Materials Master'!$H$2:$H$20,MATCH($C166,'Materials Master'!$A$2:$A$20,0)),IF($B166="Cardboard Recycling",INDEX('Materials Master'!$I$2:$I$20,MATCH($C166,'Materials Master'!$A$2:$A$20,0)),IF($B166="Paper Recycling",INDEX('Materials Master'!$J$2:$J$20,MATCH($C166,'Materials Master'!$A$2:$A$20,0)),IF($B166="Terracycle",INDEX('Materials Master'!$K$2:$K$20,MATCH($C166,'Materials Master'!$A$2:$A$20,0)),"No"))))))="Yes",INDEX('Materials Master'!$E$2:$E$20,MATCH($C166,'Materials Master'!$A$2:$A$20,0))="Yes",$B166&lt;&gt;"Trash"),1,0)</f>
        <v>0</v>
      </c>
      <c r="H166" s="0" t="str">
        <f aca="false">INDEX('Materials Master'!$E$2:$E$20,MATCH($C166,'Materials Master'!$A$2:$A$20,0))</f>
        <v>No</v>
      </c>
      <c r="I166" s="0" t="str">
        <f aca="false">IFERROR(INDEX(Areas!$C$2:$C$3,MATCH($A166,Areas!$B$2:$B$3,0)),"")</f>
        <v>Base Building</v>
      </c>
      <c r="J166" s="0" t="n">
        <f aca="false">IF(IF($B166="Trash",INDEX('Materials Master'!$F$2:$F$20,MATCH($C166,'Materials Master'!$A$2:$A$20,0)),IF($B166="GMPC Recycling",INDEX('Materials Master'!$G$2:$G$20,MATCH($C166,'Materials Master'!$A$2:$A$20,0)),IF($B166="Organics Recycling",INDEX('Materials Master'!$H$2:$H$20,MATCH($C166,'Materials Master'!$A$2:$A$20,0)),IF($B166="Cardboard Recycling",INDEX('Materials Master'!$I$2:$I$20,MATCH($C166,'Materials Master'!$A$2:$A$20,0)),IF($B166="Paper Recycling",INDEX('Materials Master'!$J$2:$J$20,MATCH($C166,'Materials Master'!$A$2:$A$20,0)),IF($B166="Terracycle",INDEX('Materials Master'!$K$2:$K$20,MATCH($C166,'Materials Master'!$A$2:$A$20,0)),"No"))))))="Yes",1,0)</f>
        <v>0</v>
      </c>
    </row>
    <row r="167" customFormat="false" ht="15" hidden="false" customHeight="false" outlineLevel="0" collapsed="false">
      <c r="A167" s="0" t="s">
        <v>81</v>
      </c>
      <c r="B167" s="0" t="s">
        <v>85</v>
      </c>
      <c r="C167" s="0" t="s">
        <v>60</v>
      </c>
      <c r="D167" s="0" t="str">
        <f aca="false">IFERROR(INDEX('Materials Master'!$B$2:$B$20,MATCH($C167,'Materials Master'!$A$2:$A$20,0)),"")</f>
        <v>Food Waste</v>
      </c>
      <c r="E167" s="0" t="str">
        <f aca="false">IFERROR(INDEX('Materials Master'!$C$2:$C$20,MATCH($C167,'Materials Master'!$A$2:$A$20,0)),"")</f>
        <v>Organics</v>
      </c>
      <c r="F167" s="0" t="n">
        <f aca="false">IF(SUMIFS(Fact_SortedWeights!$E$2:$E$67,Fact_SortedWeights!$C$2:$C$67,$A167,Fact_SortedWeights!$B$2:$B$67,$B167)=0,0,SUMIFS(Fact_SortedWeights!$E$2:$E$67,Fact_SortedWeights!$C$2:$C$67,$A167,Fact_SortedWeights!$B$2:$B$67,$B167,Fact_SortedWeights!$D$2:$D$67,$C167)/SUMIFS(Fact_SortedWeights!$E$2:$E$67,Fact_SortedWeights!$C$2:$C$67,$A167,Fact_SortedWeights!$B$2:$B$67,$B167)*(IF($B167="Cardboard Recycling",SUMIFS(Fact_SortedWeights!$E$2:$E$67,Fact_SortedWeights!$C$2:$C$67,$A167,Fact_SortedWeights!$B$2:$B$67,$B167),SUMIFS(Fact_PreSortWeights!$E$2:$E$6,Fact_PreSortWeights!$C$2:$C$6,$A167,Fact_PreSortWeights!$B$2:$B$6,$B167))))</f>
        <v>0</v>
      </c>
      <c r="G167" s="0" t="n">
        <f aca="false">IF(AND(IF($B167="Trash",INDEX('Materials Master'!$F$2:$F$20,MATCH($C167,'Materials Master'!$A$2:$A$20,0)),IF($B167="GMPC Recycling",INDEX('Materials Master'!$G$2:$G$20,MATCH($C167,'Materials Master'!$A$2:$A$20,0)),IF($B167="Organics Recycling",INDEX('Materials Master'!$H$2:$H$20,MATCH($C167,'Materials Master'!$A$2:$A$20,0)),IF($B167="Cardboard Recycling",INDEX('Materials Master'!$I$2:$I$20,MATCH($C167,'Materials Master'!$A$2:$A$20,0)),IF($B167="Paper Recycling",INDEX('Materials Master'!$J$2:$J$20,MATCH($C167,'Materials Master'!$A$2:$A$20,0)),IF($B167="Terracycle",INDEX('Materials Master'!$K$2:$K$20,MATCH($C167,'Materials Master'!$A$2:$A$20,0)),"No"))))))="Yes",INDEX('Materials Master'!$E$2:$E$20,MATCH($C167,'Materials Master'!$A$2:$A$20,0))="Yes",$B167&lt;&gt;"Trash"),1,0)</f>
        <v>1</v>
      </c>
      <c r="H167" s="0" t="str">
        <f aca="false">INDEX('Materials Master'!$E$2:$E$20,MATCH($C167,'Materials Master'!$A$2:$A$20,0))</f>
        <v>Yes</v>
      </c>
      <c r="I167" s="0" t="str">
        <f aca="false">IFERROR(INDEX(Areas!$C$2:$C$3,MATCH($A167,Areas!$B$2:$B$3,0)),"")</f>
        <v>Base Building</v>
      </c>
      <c r="J167" s="0" t="n">
        <f aca="false">IF(IF($B167="Trash",INDEX('Materials Master'!$F$2:$F$20,MATCH($C167,'Materials Master'!$A$2:$A$20,0)),IF($B167="GMPC Recycling",INDEX('Materials Master'!$G$2:$G$20,MATCH($C167,'Materials Master'!$A$2:$A$20,0)),IF($B167="Organics Recycling",INDEX('Materials Master'!$H$2:$H$20,MATCH($C167,'Materials Master'!$A$2:$A$20,0)),IF($B167="Cardboard Recycling",INDEX('Materials Master'!$I$2:$I$20,MATCH($C167,'Materials Master'!$A$2:$A$20,0)),IF($B167="Paper Recycling",INDEX('Materials Master'!$J$2:$J$20,MATCH($C167,'Materials Master'!$A$2:$A$20,0)),IF($B167="Terracycle",INDEX('Materials Master'!$K$2:$K$20,MATCH($C167,'Materials Master'!$A$2:$A$20,0)),"No"))))))="Yes",1,0)</f>
        <v>1</v>
      </c>
    </row>
    <row r="168" customFormat="false" ht="15" hidden="false" customHeight="false" outlineLevel="0" collapsed="false">
      <c r="A168" s="0" t="s">
        <v>81</v>
      </c>
      <c r="B168" s="0" t="s">
        <v>85</v>
      </c>
      <c r="C168" s="0" t="s">
        <v>63</v>
      </c>
      <c r="D168" s="0" t="str">
        <f aca="false">IFERROR(INDEX('Materials Master'!$B$2:$B$20,MATCH($C168,'Materials Master'!$A$2:$A$20,0)),"")</f>
        <v>Paper Fibers and FSP</v>
      </c>
      <c r="E168" s="0" t="str">
        <f aca="false">IFERROR(INDEX('Materials Master'!$C$2:$C$20,MATCH($C168,'Materials Master'!$A$2:$A$20,0)),"")</f>
        <v>Organics</v>
      </c>
      <c r="F168" s="0" t="n">
        <f aca="false">IF(SUMIFS(Fact_SortedWeights!$E$2:$E$67,Fact_SortedWeights!$C$2:$C$67,$A168,Fact_SortedWeights!$B$2:$B$67,$B168)=0,0,SUMIFS(Fact_SortedWeights!$E$2:$E$67,Fact_SortedWeights!$C$2:$C$67,$A168,Fact_SortedWeights!$B$2:$B$67,$B168,Fact_SortedWeights!$D$2:$D$67,$C168)/SUMIFS(Fact_SortedWeights!$E$2:$E$67,Fact_SortedWeights!$C$2:$C$67,$A168,Fact_SortedWeights!$B$2:$B$67,$B168)*(IF($B168="Cardboard Recycling",SUMIFS(Fact_SortedWeights!$E$2:$E$67,Fact_SortedWeights!$C$2:$C$67,$A168,Fact_SortedWeights!$B$2:$B$67,$B168),SUMIFS(Fact_PreSortWeights!$E$2:$E$6,Fact_PreSortWeights!$C$2:$C$6,$A168,Fact_PreSortWeights!$B$2:$B$6,$B168))))</f>
        <v>0</v>
      </c>
      <c r="G168" s="0" t="n">
        <f aca="false">IF(AND(IF($B168="Trash",INDEX('Materials Master'!$F$2:$F$20,MATCH($C168,'Materials Master'!$A$2:$A$20,0)),IF($B168="GMPC Recycling",INDEX('Materials Master'!$G$2:$G$20,MATCH($C168,'Materials Master'!$A$2:$A$20,0)),IF($B168="Organics Recycling",INDEX('Materials Master'!$H$2:$H$20,MATCH($C168,'Materials Master'!$A$2:$A$20,0)),IF($B168="Cardboard Recycling",INDEX('Materials Master'!$I$2:$I$20,MATCH($C168,'Materials Master'!$A$2:$A$20,0)),IF($B168="Paper Recycling",INDEX('Materials Master'!$J$2:$J$20,MATCH($C168,'Materials Master'!$A$2:$A$20,0)),IF($B168="Terracycle",INDEX('Materials Master'!$K$2:$K$20,MATCH($C168,'Materials Master'!$A$2:$A$20,0)),"No"))))))="Yes",INDEX('Materials Master'!$E$2:$E$20,MATCH($C168,'Materials Master'!$A$2:$A$20,0))="Yes",$B168&lt;&gt;"Trash"),1,0)</f>
        <v>0</v>
      </c>
      <c r="H168" s="0" t="str">
        <f aca="false">INDEX('Materials Master'!$E$2:$E$20,MATCH($C168,'Materials Master'!$A$2:$A$20,0))</f>
        <v>No</v>
      </c>
      <c r="I168" s="0" t="str">
        <f aca="false">IFERROR(INDEX(Areas!$C$2:$C$3,MATCH($A168,Areas!$B$2:$B$3,0)),"")</f>
        <v>Base Building</v>
      </c>
      <c r="J168" s="0" t="n">
        <f aca="false">IF(IF($B168="Trash",INDEX('Materials Master'!$F$2:$F$20,MATCH($C168,'Materials Master'!$A$2:$A$20,0)),IF($B168="GMPC Recycling",INDEX('Materials Master'!$G$2:$G$20,MATCH($C168,'Materials Master'!$A$2:$A$20,0)),IF($B168="Organics Recycling",INDEX('Materials Master'!$H$2:$H$20,MATCH($C168,'Materials Master'!$A$2:$A$20,0)),IF($B168="Cardboard Recycling",INDEX('Materials Master'!$I$2:$I$20,MATCH($C168,'Materials Master'!$A$2:$A$20,0)),IF($B168="Paper Recycling",INDEX('Materials Master'!$J$2:$J$20,MATCH($C168,'Materials Master'!$A$2:$A$20,0)),IF($B168="Terracycle",INDEX('Materials Master'!$K$2:$K$20,MATCH($C168,'Materials Master'!$A$2:$A$20,0)),"No"))))))="Yes",1,0)</f>
        <v>0</v>
      </c>
    </row>
    <row r="169" customFormat="false" ht="15" hidden="false" customHeight="false" outlineLevel="0" collapsed="false">
      <c r="A169" s="0" t="s">
        <v>81</v>
      </c>
      <c r="B169" s="0" t="s">
        <v>85</v>
      </c>
      <c r="C169" s="0" t="s">
        <v>65</v>
      </c>
      <c r="D169" s="0" t="str">
        <f aca="false">IFERROR(INDEX('Materials Master'!$B$2:$B$20,MATCH($C169,'Materials Master'!$A$2:$A$20,0)),"")</f>
        <v>Certified Compostables</v>
      </c>
      <c r="E169" s="0" t="str">
        <f aca="false">IFERROR(INDEX('Materials Master'!$C$2:$C$20,MATCH($C169,'Materials Master'!$A$2:$A$20,0)),"")</f>
        <v>Organics</v>
      </c>
      <c r="F169" s="0" t="n">
        <f aca="false">IF(SUMIFS(Fact_SortedWeights!$E$2:$E$67,Fact_SortedWeights!$C$2:$C$67,$A169,Fact_SortedWeights!$B$2:$B$67,$B169)=0,0,SUMIFS(Fact_SortedWeights!$E$2:$E$67,Fact_SortedWeights!$C$2:$C$67,$A169,Fact_SortedWeights!$B$2:$B$67,$B169,Fact_SortedWeights!$D$2:$D$67,$C169)/SUMIFS(Fact_SortedWeights!$E$2:$E$67,Fact_SortedWeights!$C$2:$C$67,$A169,Fact_SortedWeights!$B$2:$B$67,$B169)*(IF($B169="Cardboard Recycling",SUMIFS(Fact_SortedWeights!$E$2:$E$67,Fact_SortedWeights!$C$2:$C$67,$A169,Fact_SortedWeights!$B$2:$B$67,$B169),SUMIFS(Fact_PreSortWeights!$E$2:$E$6,Fact_PreSortWeights!$C$2:$C$6,$A169,Fact_PreSortWeights!$B$2:$B$6,$B169))))</f>
        <v>0</v>
      </c>
      <c r="G169" s="0" t="n">
        <f aca="false">IF(AND(IF($B169="Trash",INDEX('Materials Master'!$F$2:$F$20,MATCH($C169,'Materials Master'!$A$2:$A$20,0)),IF($B169="GMPC Recycling",INDEX('Materials Master'!$G$2:$G$20,MATCH($C169,'Materials Master'!$A$2:$A$20,0)),IF($B169="Organics Recycling",INDEX('Materials Master'!$H$2:$H$20,MATCH($C169,'Materials Master'!$A$2:$A$20,0)),IF($B169="Cardboard Recycling",INDEX('Materials Master'!$I$2:$I$20,MATCH($C169,'Materials Master'!$A$2:$A$20,0)),IF($B169="Paper Recycling",INDEX('Materials Master'!$J$2:$J$20,MATCH($C169,'Materials Master'!$A$2:$A$20,0)),IF($B169="Terracycle",INDEX('Materials Master'!$K$2:$K$20,MATCH($C169,'Materials Master'!$A$2:$A$20,0)),"No"))))))="Yes",INDEX('Materials Master'!$E$2:$E$20,MATCH($C169,'Materials Master'!$A$2:$A$20,0))="Yes",$B169&lt;&gt;"Trash"),1,0)</f>
        <v>0</v>
      </c>
      <c r="H169" s="0" t="str">
        <f aca="false">INDEX('Materials Master'!$E$2:$E$20,MATCH($C169,'Materials Master'!$A$2:$A$20,0))</f>
        <v>No</v>
      </c>
      <c r="I169" s="0" t="str">
        <f aca="false">IFERROR(INDEX(Areas!$C$2:$C$3,MATCH($A169,Areas!$B$2:$B$3,0)),"")</f>
        <v>Base Building</v>
      </c>
      <c r="J169" s="0" t="n">
        <f aca="false">IF(IF($B169="Trash",INDEX('Materials Master'!$F$2:$F$20,MATCH($C169,'Materials Master'!$A$2:$A$20,0)),IF($B169="GMPC Recycling",INDEX('Materials Master'!$G$2:$G$20,MATCH($C169,'Materials Master'!$A$2:$A$20,0)),IF($B169="Organics Recycling",INDEX('Materials Master'!$H$2:$H$20,MATCH($C169,'Materials Master'!$A$2:$A$20,0)),IF($B169="Cardboard Recycling",INDEX('Materials Master'!$I$2:$I$20,MATCH($C169,'Materials Master'!$A$2:$A$20,0)),IF($B169="Paper Recycling",INDEX('Materials Master'!$J$2:$J$20,MATCH($C169,'Materials Master'!$A$2:$A$20,0)),IF($B169="Terracycle",INDEX('Materials Master'!$K$2:$K$20,MATCH($C169,'Materials Master'!$A$2:$A$20,0)),"No"))))))="Yes",1,0)</f>
        <v>0</v>
      </c>
    </row>
    <row r="170" customFormat="false" ht="15" hidden="false" customHeight="false" outlineLevel="0" collapsed="false">
      <c r="A170" s="0" t="s">
        <v>81</v>
      </c>
      <c r="B170" s="0" t="s">
        <v>85</v>
      </c>
      <c r="C170" s="0" t="s">
        <v>67</v>
      </c>
      <c r="D170" s="0" t="str">
        <f aca="false">IFERROR(INDEX('Materials Master'!$B$2:$B$20,MATCH($C170,'Materials Master'!$A$2:$A$20,0)),"")</f>
        <v>Textiles</v>
      </c>
      <c r="E170" s="0" t="str">
        <f aca="false">IFERROR(INDEX('Materials Master'!$C$2:$C$20,MATCH($C170,'Materials Master'!$A$2:$A$20,0)),"")</f>
        <v>Unacceptable</v>
      </c>
      <c r="F170" s="0" t="n">
        <f aca="false">IF(SUMIFS(Fact_SortedWeights!$E$2:$E$67,Fact_SortedWeights!$C$2:$C$67,$A170,Fact_SortedWeights!$B$2:$B$67,$B170)=0,0,SUMIFS(Fact_SortedWeights!$E$2:$E$67,Fact_SortedWeights!$C$2:$C$67,$A170,Fact_SortedWeights!$B$2:$B$67,$B170,Fact_SortedWeights!$D$2:$D$67,$C170)/SUMIFS(Fact_SortedWeights!$E$2:$E$67,Fact_SortedWeights!$C$2:$C$67,$A170,Fact_SortedWeights!$B$2:$B$67,$B170)*(IF($B170="Cardboard Recycling",SUMIFS(Fact_SortedWeights!$E$2:$E$67,Fact_SortedWeights!$C$2:$C$67,$A170,Fact_SortedWeights!$B$2:$B$67,$B170),SUMIFS(Fact_PreSortWeights!$E$2:$E$6,Fact_PreSortWeights!$C$2:$C$6,$A170,Fact_PreSortWeights!$B$2:$B$6,$B170))))</f>
        <v>0</v>
      </c>
      <c r="G170" s="0" t="n">
        <f aca="false">IF(AND(IF($B170="Trash",INDEX('Materials Master'!$F$2:$F$20,MATCH($C170,'Materials Master'!$A$2:$A$20,0)),IF($B170="GMPC Recycling",INDEX('Materials Master'!$G$2:$G$20,MATCH($C170,'Materials Master'!$A$2:$A$20,0)),IF($B170="Organics Recycling",INDEX('Materials Master'!$H$2:$H$20,MATCH($C170,'Materials Master'!$A$2:$A$20,0)),IF($B170="Cardboard Recycling",INDEX('Materials Master'!$I$2:$I$20,MATCH($C170,'Materials Master'!$A$2:$A$20,0)),IF($B170="Paper Recycling",INDEX('Materials Master'!$J$2:$J$20,MATCH($C170,'Materials Master'!$A$2:$A$20,0)),IF($B170="Terracycle",INDEX('Materials Master'!$K$2:$K$20,MATCH($C170,'Materials Master'!$A$2:$A$20,0)),"No"))))))="Yes",INDEX('Materials Master'!$E$2:$E$20,MATCH($C170,'Materials Master'!$A$2:$A$20,0))="Yes",$B170&lt;&gt;"Trash"),1,0)</f>
        <v>0</v>
      </c>
      <c r="H170" s="0" t="str">
        <f aca="false">INDEX('Materials Master'!$E$2:$E$20,MATCH($C170,'Materials Master'!$A$2:$A$20,0))</f>
        <v>No</v>
      </c>
      <c r="I170" s="0" t="str">
        <f aca="false">IFERROR(INDEX(Areas!$C$2:$C$3,MATCH($A170,Areas!$B$2:$B$3,0)),"")</f>
        <v>Base Building</v>
      </c>
      <c r="J170" s="0" t="n">
        <f aca="false">IF(IF($B170="Trash",INDEX('Materials Master'!$F$2:$F$20,MATCH($C170,'Materials Master'!$A$2:$A$20,0)),IF($B170="GMPC Recycling",INDEX('Materials Master'!$G$2:$G$20,MATCH($C170,'Materials Master'!$A$2:$A$20,0)),IF($B170="Organics Recycling",INDEX('Materials Master'!$H$2:$H$20,MATCH($C170,'Materials Master'!$A$2:$A$20,0)),IF($B170="Cardboard Recycling",INDEX('Materials Master'!$I$2:$I$20,MATCH($C170,'Materials Master'!$A$2:$A$20,0)),IF($B170="Paper Recycling",INDEX('Materials Master'!$J$2:$J$20,MATCH($C170,'Materials Master'!$A$2:$A$20,0)),IF($B170="Terracycle",INDEX('Materials Master'!$K$2:$K$20,MATCH($C170,'Materials Master'!$A$2:$A$20,0)),"No"))))))="Yes",1,0)</f>
        <v>0</v>
      </c>
    </row>
    <row r="171" customFormat="false" ht="15" hidden="false" customHeight="false" outlineLevel="0" collapsed="false">
      <c r="A171" s="0" t="s">
        <v>81</v>
      </c>
      <c r="B171" s="0" t="s">
        <v>85</v>
      </c>
      <c r="C171" s="0" t="s">
        <v>70</v>
      </c>
      <c r="D171" s="0" t="str">
        <f aca="false">IFERROR(INDEX('Materials Master'!$B$2:$B$20,MATCH($C171,'Materials Master'!$A$2:$A$20,0)),"")</f>
        <v>Liquids</v>
      </c>
      <c r="E171" s="0" t="str">
        <f aca="false">IFERROR(INDEX('Materials Master'!$C$2:$C$20,MATCH($C171,'Materials Master'!$A$2:$A$20,0)),"")</f>
        <v>Unacceptable</v>
      </c>
      <c r="F171" s="0" t="n">
        <f aca="false">IF(SUMIFS(Fact_SortedWeights!$E$2:$E$67,Fact_SortedWeights!$C$2:$C$67,$A171,Fact_SortedWeights!$B$2:$B$67,$B171)=0,0,SUMIFS(Fact_SortedWeights!$E$2:$E$67,Fact_SortedWeights!$C$2:$C$67,$A171,Fact_SortedWeights!$B$2:$B$67,$B171,Fact_SortedWeights!$D$2:$D$67,$C171)/SUMIFS(Fact_SortedWeights!$E$2:$E$67,Fact_SortedWeights!$C$2:$C$67,$A171,Fact_SortedWeights!$B$2:$B$67,$B171)*(IF($B171="Cardboard Recycling",SUMIFS(Fact_SortedWeights!$E$2:$E$67,Fact_SortedWeights!$C$2:$C$67,$A171,Fact_SortedWeights!$B$2:$B$67,$B171),SUMIFS(Fact_PreSortWeights!$E$2:$E$6,Fact_PreSortWeights!$C$2:$C$6,$A171,Fact_PreSortWeights!$B$2:$B$6,$B171))))</f>
        <v>0</v>
      </c>
      <c r="G171" s="0" t="n">
        <f aca="false">IF(AND(IF($B171="Trash",INDEX('Materials Master'!$F$2:$F$20,MATCH($C171,'Materials Master'!$A$2:$A$20,0)),IF($B171="GMPC Recycling",INDEX('Materials Master'!$G$2:$G$20,MATCH($C171,'Materials Master'!$A$2:$A$20,0)),IF($B171="Organics Recycling",INDEX('Materials Master'!$H$2:$H$20,MATCH($C171,'Materials Master'!$A$2:$A$20,0)),IF($B171="Cardboard Recycling",INDEX('Materials Master'!$I$2:$I$20,MATCH($C171,'Materials Master'!$A$2:$A$20,0)),IF($B171="Paper Recycling",INDEX('Materials Master'!$J$2:$J$20,MATCH($C171,'Materials Master'!$A$2:$A$20,0)),IF($B171="Terracycle",INDEX('Materials Master'!$K$2:$K$20,MATCH($C171,'Materials Master'!$A$2:$A$20,0)),"No"))))))="Yes",INDEX('Materials Master'!$E$2:$E$20,MATCH($C171,'Materials Master'!$A$2:$A$20,0))="Yes",$B171&lt;&gt;"Trash"),1,0)</f>
        <v>0</v>
      </c>
      <c r="H171" s="0" t="str">
        <f aca="false">INDEX('Materials Master'!$E$2:$E$20,MATCH($C171,'Materials Master'!$A$2:$A$20,0))</f>
        <v>No</v>
      </c>
      <c r="I171" s="0" t="str">
        <f aca="false">IFERROR(INDEX(Areas!$C$2:$C$3,MATCH($A171,Areas!$B$2:$B$3,0)),"")</f>
        <v>Base Building</v>
      </c>
      <c r="J171" s="0" t="n">
        <f aca="false">IF(IF($B171="Trash",INDEX('Materials Master'!$F$2:$F$20,MATCH($C171,'Materials Master'!$A$2:$A$20,0)),IF($B171="GMPC Recycling",INDEX('Materials Master'!$G$2:$G$20,MATCH($C171,'Materials Master'!$A$2:$A$20,0)),IF($B171="Organics Recycling",INDEX('Materials Master'!$H$2:$H$20,MATCH($C171,'Materials Master'!$A$2:$A$20,0)),IF($B171="Cardboard Recycling",INDEX('Materials Master'!$I$2:$I$20,MATCH($C171,'Materials Master'!$A$2:$A$20,0)),IF($B171="Paper Recycling",INDEX('Materials Master'!$J$2:$J$20,MATCH($C171,'Materials Master'!$A$2:$A$20,0)),IF($B171="Terracycle",INDEX('Materials Master'!$K$2:$K$20,MATCH($C171,'Materials Master'!$A$2:$A$20,0)),"No"))))))="Yes",1,0)</f>
        <v>0</v>
      </c>
    </row>
    <row r="172" customFormat="false" ht="15" hidden="false" customHeight="false" outlineLevel="0" collapsed="false">
      <c r="A172" s="0" t="s">
        <v>81</v>
      </c>
      <c r="B172" s="0" t="s">
        <v>85</v>
      </c>
      <c r="C172" s="0" t="s">
        <v>72</v>
      </c>
      <c r="D172" s="0" t="str">
        <f aca="false">IFERROR(INDEX('Materials Master'!$B$2:$B$20,MATCH($C172,'Materials Master'!$A$2:$A$20,0)),"")</f>
        <v>Residual Materials</v>
      </c>
      <c r="E172" s="0" t="str">
        <f aca="false">IFERROR(INDEX('Materials Master'!$C$2:$C$20,MATCH($C172,'Materials Master'!$A$2:$A$20,0)),"")</f>
        <v>Other</v>
      </c>
      <c r="F172" s="0" t="n">
        <f aca="false">IF(SUMIFS(Fact_SortedWeights!$E$2:$E$67,Fact_SortedWeights!$C$2:$C$67,$A172,Fact_SortedWeights!$B$2:$B$67,$B172)=0,0,SUMIFS(Fact_SortedWeights!$E$2:$E$67,Fact_SortedWeights!$C$2:$C$67,$A172,Fact_SortedWeights!$B$2:$B$67,$B172,Fact_SortedWeights!$D$2:$D$67,$C172)/SUMIFS(Fact_SortedWeights!$E$2:$E$67,Fact_SortedWeights!$C$2:$C$67,$A172,Fact_SortedWeights!$B$2:$B$67,$B172)*(IF($B172="Cardboard Recycling",SUMIFS(Fact_SortedWeights!$E$2:$E$67,Fact_SortedWeights!$C$2:$C$67,$A172,Fact_SortedWeights!$B$2:$B$67,$B172),SUMIFS(Fact_PreSortWeights!$E$2:$E$6,Fact_PreSortWeights!$C$2:$C$6,$A172,Fact_PreSortWeights!$B$2:$B$6,$B172))))</f>
        <v>0</v>
      </c>
      <c r="G172" s="0" t="n">
        <f aca="false">IF(AND(IF($B172="Trash",INDEX('Materials Master'!$F$2:$F$20,MATCH($C172,'Materials Master'!$A$2:$A$20,0)),IF($B172="GMPC Recycling",INDEX('Materials Master'!$G$2:$G$20,MATCH($C172,'Materials Master'!$A$2:$A$20,0)),IF($B172="Organics Recycling",INDEX('Materials Master'!$H$2:$H$20,MATCH($C172,'Materials Master'!$A$2:$A$20,0)),IF($B172="Cardboard Recycling",INDEX('Materials Master'!$I$2:$I$20,MATCH($C172,'Materials Master'!$A$2:$A$20,0)),IF($B172="Paper Recycling",INDEX('Materials Master'!$J$2:$J$20,MATCH($C172,'Materials Master'!$A$2:$A$20,0)),IF($B172="Terracycle",INDEX('Materials Master'!$K$2:$K$20,MATCH($C172,'Materials Master'!$A$2:$A$20,0)),"No"))))))="Yes",INDEX('Materials Master'!$E$2:$E$20,MATCH($C172,'Materials Master'!$A$2:$A$20,0))="Yes",$B172&lt;&gt;"Trash"),1,0)</f>
        <v>0</v>
      </c>
      <c r="H172" s="0" t="str">
        <f aca="false">INDEX('Materials Master'!$E$2:$E$20,MATCH($C172,'Materials Master'!$A$2:$A$20,0))</f>
        <v>No</v>
      </c>
      <c r="I172" s="0" t="str">
        <f aca="false">IFERROR(INDEX(Areas!$C$2:$C$3,MATCH($A172,Areas!$B$2:$B$3,0)),"")</f>
        <v>Base Building</v>
      </c>
      <c r="J172" s="0" t="n">
        <f aca="false">IF(IF($B172="Trash",INDEX('Materials Master'!$F$2:$F$20,MATCH($C172,'Materials Master'!$A$2:$A$20,0)),IF($B172="GMPC Recycling",INDEX('Materials Master'!$G$2:$G$20,MATCH($C172,'Materials Master'!$A$2:$A$20,0)),IF($B172="Organics Recycling",INDEX('Materials Master'!$H$2:$H$20,MATCH($C172,'Materials Master'!$A$2:$A$20,0)),IF($B172="Cardboard Recycling",INDEX('Materials Master'!$I$2:$I$20,MATCH($C172,'Materials Master'!$A$2:$A$20,0)),IF($B172="Paper Recycling",INDEX('Materials Master'!$J$2:$J$20,MATCH($C172,'Materials Master'!$A$2:$A$20,0)),IF($B172="Terracycle",INDEX('Materials Master'!$K$2:$K$20,MATCH($C172,'Materials Master'!$A$2:$A$20,0)),"No"))))))="Yes",1,0)</f>
        <v>0</v>
      </c>
    </row>
    <row r="173" customFormat="false" ht="15" hidden="false" customHeight="false" outlineLevel="0" collapsed="false">
      <c r="A173" s="0" t="s">
        <v>81</v>
      </c>
      <c r="B173" s="0" t="s">
        <v>86</v>
      </c>
      <c r="C173" s="0" t="s">
        <v>28</v>
      </c>
      <c r="D173" s="0" t="str">
        <f aca="false">IFERROR(INDEX('Materials Master'!$B$2:$B$20,MATCH($C173,'Materials Master'!$A$2:$A$20,0)),"")</f>
        <v>Corrugated Cardboard</v>
      </c>
      <c r="E173" s="0" t="str">
        <f aca="false">IFERROR(INDEX('Materials Master'!$C$2:$C$20,MATCH($C173,'Materials Master'!$A$2:$A$20,0)),"")</f>
        <v>Fibers</v>
      </c>
      <c r="F173" s="0" t="n">
        <f aca="false">IF(SUMIFS(Fact_SortedWeights!$E$2:$E$67,Fact_SortedWeights!$C$2:$C$67,$A173,Fact_SortedWeights!$B$2:$B$67,$B173)=0,0,SUMIFS(Fact_SortedWeights!$E$2:$E$67,Fact_SortedWeights!$C$2:$C$67,$A173,Fact_SortedWeights!$B$2:$B$67,$B173,Fact_SortedWeights!$D$2:$D$67,$C173)/SUMIFS(Fact_SortedWeights!$E$2:$E$67,Fact_SortedWeights!$C$2:$C$67,$A173,Fact_SortedWeights!$B$2:$B$67,$B173)*(IF($B173="Cardboard Recycling",SUMIFS(Fact_SortedWeights!$E$2:$E$67,Fact_SortedWeights!$C$2:$C$67,$A173,Fact_SortedWeights!$B$2:$B$67,$B173),SUMIFS(Fact_PreSortWeights!$E$2:$E$6,Fact_PreSortWeights!$C$2:$C$6,$A173,Fact_PreSortWeights!$B$2:$B$6,$B173))))</f>
        <v>84.6</v>
      </c>
      <c r="G173" s="0" t="n">
        <f aca="false">IF(AND(IF($B173="Trash",INDEX('Materials Master'!$F$2:$F$20,MATCH($C173,'Materials Master'!$A$2:$A$20,0)),IF($B173="GMPC Recycling",INDEX('Materials Master'!$G$2:$G$20,MATCH($C173,'Materials Master'!$A$2:$A$20,0)),IF($B173="Organics Recycling",INDEX('Materials Master'!$H$2:$H$20,MATCH($C173,'Materials Master'!$A$2:$A$20,0)),IF($B173="Cardboard Recycling",INDEX('Materials Master'!$I$2:$I$20,MATCH($C173,'Materials Master'!$A$2:$A$20,0)),IF($B173="Paper Recycling",INDEX('Materials Master'!$J$2:$J$20,MATCH($C173,'Materials Master'!$A$2:$A$20,0)),IF($B173="Terracycle",INDEX('Materials Master'!$K$2:$K$20,MATCH($C173,'Materials Master'!$A$2:$A$20,0)),"No"))))))="Yes",INDEX('Materials Master'!$E$2:$E$20,MATCH($C173,'Materials Master'!$A$2:$A$20,0))="Yes",$B173&lt;&gt;"Trash"),1,0)</f>
        <v>1</v>
      </c>
      <c r="H173" s="0" t="str">
        <f aca="false">INDEX('Materials Master'!$E$2:$E$20,MATCH($C173,'Materials Master'!$A$2:$A$20,0))</f>
        <v>Yes</v>
      </c>
      <c r="I173" s="0" t="str">
        <f aca="false">IFERROR(INDEX(Areas!$C$2:$C$3,MATCH($A173,Areas!$B$2:$B$3,0)),"")</f>
        <v>Base Building</v>
      </c>
      <c r="J173" s="0" t="n">
        <f aca="false">IF(IF($B173="Trash",INDEX('Materials Master'!$F$2:$F$20,MATCH($C173,'Materials Master'!$A$2:$A$20,0)),IF($B173="GMPC Recycling",INDEX('Materials Master'!$G$2:$G$20,MATCH($C173,'Materials Master'!$A$2:$A$20,0)),IF($B173="Organics Recycling",INDEX('Materials Master'!$H$2:$H$20,MATCH($C173,'Materials Master'!$A$2:$A$20,0)),IF($B173="Cardboard Recycling",INDEX('Materials Master'!$I$2:$I$20,MATCH($C173,'Materials Master'!$A$2:$A$20,0)),IF($B173="Paper Recycling",INDEX('Materials Master'!$J$2:$J$20,MATCH($C173,'Materials Master'!$A$2:$A$20,0)),IF($B173="Terracycle",INDEX('Materials Master'!$K$2:$K$20,MATCH($C173,'Materials Master'!$A$2:$A$20,0)),"No"))))))="Yes",1,0)</f>
        <v>1</v>
      </c>
    </row>
    <row r="174" customFormat="false" ht="15" hidden="false" customHeight="false" outlineLevel="0" collapsed="false">
      <c r="A174" s="0" t="s">
        <v>81</v>
      </c>
      <c r="B174" s="0" t="s">
        <v>86</v>
      </c>
      <c r="C174" s="0" t="s">
        <v>33</v>
      </c>
      <c r="D174" s="0" t="str">
        <f aca="false">IFERROR(INDEX('Materials Master'!$B$2:$B$20,MATCH($C174,'Materials Master'!$A$2:$A$20,0)),"")</f>
        <v>Waxed Cardboard</v>
      </c>
      <c r="E174" s="0" t="str">
        <f aca="false">IFERROR(INDEX('Materials Master'!$C$2:$C$20,MATCH($C174,'Materials Master'!$A$2:$A$20,0)),"")</f>
        <v>Fibers</v>
      </c>
      <c r="F174" s="0" t="n">
        <f aca="false">IF(SUMIFS(Fact_SortedWeights!$E$2:$E$67,Fact_SortedWeights!$C$2:$C$67,$A174,Fact_SortedWeights!$B$2:$B$67,$B174)=0,0,SUMIFS(Fact_SortedWeights!$E$2:$E$67,Fact_SortedWeights!$C$2:$C$67,$A174,Fact_SortedWeights!$B$2:$B$67,$B174,Fact_SortedWeights!$D$2:$D$67,$C174)/SUMIFS(Fact_SortedWeights!$E$2:$E$67,Fact_SortedWeights!$C$2:$C$67,$A174,Fact_SortedWeights!$B$2:$B$67,$B174)*(IF($B174="Cardboard Recycling",SUMIFS(Fact_SortedWeights!$E$2:$E$67,Fact_SortedWeights!$C$2:$C$67,$A174,Fact_SortedWeights!$B$2:$B$67,$B174),SUMIFS(Fact_PreSortWeights!$E$2:$E$6,Fact_PreSortWeights!$C$2:$C$6,$A174,Fact_PreSortWeights!$B$2:$B$6,$B174))))</f>
        <v>0</v>
      </c>
      <c r="G174" s="0" t="n">
        <f aca="false">IF(AND(IF($B174="Trash",INDEX('Materials Master'!$F$2:$F$20,MATCH($C174,'Materials Master'!$A$2:$A$20,0)),IF($B174="GMPC Recycling",INDEX('Materials Master'!$G$2:$G$20,MATCH($C174,'Materials Master'!$A$2:$A$20,0)),IF($B174="Organics Recycling",INDEX('Materials Master'!$H$2:$H$20,MATCH($C174,'Materials Master'!$A$2:$A$20,0)),IF($B174="Cardboard Recycling",INDEX('Materials Master'!$I$2:$I$20,MATCH($C174,'Materials Master'!$A$2:$A$20,0)),IF($B174="Paper Recycling",INDEX('Materials Master'!$J$2:$J$20,MATCH($C174,'Materials Master'!$A$2:$A$20,0)),IF($B174="Terracycle",INDEX('Materials Master'!$K$2:$K$20,MATCH($C174,'Materials Master'!$A$2:$A$20,0)),"No"))))))="Yes",INDEX('Materials Master'!$E$2:$E$20,MATCH($C174,'Materials Master'!$A$2:$A$20,0))="Yes",$B174&lt;&gt;"Trash"),1,0)</f>
        <v>0</v>
      </c>
      <c r="H174" s="0" t="str">
        <f aca="false">INDEX('Materials Master'!$E$2:$E$20,MATCH($C174,'Materials Master'!$A$2:$A$20,0))</f>
        <v>No</v>
      </c>
      <c r="I174" s="0" t="str">
        <f aca="false">IFERROR(INDEX(Areas!$C$2:$C$3,MATCH($A174,Areas!$B$2:$B$3,0)),"")</f>
        <v>Base Building</v>
      </c>
      <c r="J174" s="0" t="n">
        <f aca="false">IF(IF($B174="Trash",INDEX('Materials Master'!$F$2:$F$20,MATCH($C174,'Materials Master'!$A$2:$A$20,0)),IF($B174="GMPC Recycling",INDEX('Materials Master'!$G$2:$G$20,MATCH($C174,'Materials Master'!$A$2:$A$20,0)),IF($B174="Organics Recycling",INDEX('Materials Master'!$H$2:$H$20,MATCH($C174,'Materials Master'!$A$2:$A$20,0)),IF($B174="Cardboard Recycling",INDEX('Materials Master'!$I$2:$I$20,MATCH($C174,'Materials Master'!$A$2:$A$20,0)),IF($B174="Paper Recycling",INDEX('Materials Master'!$J$2:$J$20,MATCH($C174,'Materials Master'!$A$2:$A$20,0)),IF($B174="Terracycle",INDEX('Materials Master'!$K$2:$K$20,MATCH($C174,'Materials Master'!$A$2:$A$20,0)),"No"))))))="Yes",1,0)</f>
        <v>0</v>
      </c>
    </row>
    <row r="175" customFormat="false" ht="15" hidden="false" customHeight="false" outlineLevel="0" collapsed="false">
      <c r="A175" s="0" t="s">
        <v>81</v>
      </c>
      <c r="B175" s="0" t="s">
        <v>86</v>
      </c>
      <c r="C175" s="0" t="s">
        <v>35</v>
      </c>
      <c r="D175" s="0" t="str">
        <f aca="false">IFERROR(INDEX('Materials Master'!$B$2:$B$20,MATCH($C175,'Materials Master'!$A$2:$A$20,0)),"")</f>
        <v>Mixed Paper</v>
      </c>
      <c r="E175" s="0" t="str">
        <f aca="false">IFERROR(INDEX('Materials Master'!$C$2:$C$20,MATCH($C175,'Materials Master'!$A$2:$A$20,0)),"")</f>
        <v>Fibers</v>
      </c>
      <c r="F175" s="0" t="n">
        <f aca="false">IF(SUMIFS(Fact_SortedWeights!$E$2:$E$67,Fact_SortedWeights!$C$2:$C$67,$A175,Fact_SortedWeights!$B$2:$B$67,$B175)=0,0,SUMIFS(Fact_SortedWeights!$E$2:$E$67,Fact_SortedWeights!$C$2:$C$67,$A175,Fact_SortedWeights!$B$2:$B$67,$B175,Fact_SortedWeights!$D$2:$D$67,$C175)/SUMIFS(Fact_SortedWeights!$E$2:$E$67,Fact_SortedWeights!$C$2:$C$67,$A175,Fact_SortedWeights!$B$2:$B$67,$B175)*(IF($B175="Cardboard Recycling",SUMIFS(Fact_SortedWeights!$E$2:$E$67,Fact_SortedWeights!$C$2:$C$67,$A175,Fact_SortedWeights!$B$2:$B$67,$B175),SUMIFS(Fact_PreSortWeights!$E$2:$E$6,Fact_PreSortWeights!$C$2:$C$6,$A175,Fact_PreSortWeights!$B$2:$B$6,$B175))))</f>
        <v>0</v>
      </c>
      <c r="G175" s="0" t="n">
        <f aca="false">IF(AND(IF($B175="Trash",INDEX('Materials Master'!$F$2:$F$20,MATCH($C175,'Materials Master'!$A$2:$A$20,0)),IF($B175="GMPC Recycling",INDEX('Materials Master'!$G$2:$G$20,MATCH($C175,'Materials Master'!$A$2:$A$20,0)),IF($B175="Organics Recycling",INDEX('Materials Master'!$H$2:$H$20,MATCH($C175,'Materials Master'!$A$2:$A$20,0)),IF($B175="Cardboard Recycling",INDEX('Materials Master'!$I$2:$I$20,MATCH($C175,'Materials Master'!$A$2:$A$20,0)),IF($B175="Paper Recycling",INDEX('Materials Master'!$J$2:$J$20,MATCH($C175,'Materials Master'!$A$2:$A$20,0)),IF($B175="Terracycle",INDEX('Materials Master'!$K$2:$K$20,MATCH($C175,'Materials Master'!$A$2:$A$20,0)),"No"))))))="Yes",INDEX('Materials Master'!$E$2:$E$20,MATCH($C175,'Materials Master'!$A$2:$A$20,0))="Yes",$B175&lt;&gt;"Trash"),1,0)</f>
        <v>0</v>
      </c>
      <c r="H175" s="0" t="str">
        <f aca="false">INDEX('Materials Master'!$E$2:$E$20,MATCH($C175,'Materials Master'!$A$2:$A$20,0))</f>
        <v>Yes</v>
      </c>
      <c r="I175" s="0" t="str">
        <f aca="false">IFERROR(INDEX(Areas!$C$2:$C$3,MATCH($A175,Areas!$B$2:$B$3,0)),"")</f>
        <v>Base Building</v>
      </c>
      <c r="J175" s="0" t="n">
        <f aca="false">IF(IF($B175="Trash",INDEX('Materials Master'!$F$2:$F$20,MATCH($C175,'Materials Master'!$A$2:$A$20,0)),IF($B175="GMPC Recycling",INDEX('Materials Master'!$G$2:$G$20,MATCH($C175,'Materials Master'!$A$2:$A$20,0)),IF($B175="Organics Recycling",INDEX('Materials Master'!$H$2:$H$20,MATCH($C175,'Materials Master'!$A$2:$A$20,0)),IF($B175="Cardboard Recycling",INDEX('Materials Master'!$I$2:$I$20,MATCH($C175,'Materials Master'!$A$2:$A$20,0)),IF($B175="Paper Recycling",INDEX('Materials Master'!$J$2:$J$20,MATCH($C175,'Materials Master'!$A$2:$A$20,0)),IF($B175="Terracycle",INDEX('Materials Master'!$K$2:$K$20,MATCH($C175,'Materials Master'!$A$2:$A$20,0)),"No"))))))="Yes",1,0)</f>
        <v>0</v>
      </c>
    </row>
    <row r="176" customFormat="false" ht="15" hidden="false" customHeight="false" outlineLevel="0" collapsed="false">
      <c r="A176" s="0" t="s">
        <v>81</v>
      </c>
      <c r="B176" s="0" t="s">
        <v>86</v>
      </c>
      <c r="C176" s="0" t="s">
        <v>37</v>
      </c>
      <c r="D176" s="0" t="str">
        <f aca="false">IFERROR(INDEX('Materials Master'!$B$2:$B$20,MATCH($C176,'Materials Master'!$A$2:$A$20,0)),"")</f>
        <v>Gable-top &amp; Aseptic Cartons</v>
      </c>
      <c r="E176" s="0" t="str">
        <f aca="false">IFERROR(INDEX('Materials Master'!$C$2:$C$20,MATCH($C176,'Materials Master'!$A$2:$A$20,0)),"")</f>
        <v>Fibers</v>
      </c>
      <c r="F176" s="0" t="n">
        <f aca="false">IF(SUMIFS(Fact_SortedWeights!$E$2:$E$67,Fact_SortedWeights!$C$2:$C$67,$A176,Fact_SortedWeights!$B$2:$B$67,$B176)=0,0,SUMIFS(Fact_SortedWeights!$E$2:$E$67,Fact_SortedWeights!$C$2:$C$67,$A176,Fact_SortedWeights!$B$2:$B$67,$B176,Fact_SortedWeights!$D$2:$D$67,$C176)/SUMIFS(Fact_SortedWeights!$E$2:$E$67,Fact_SortedWeights!$C$2:$C$67,$A176,Fact_SortedWeights!$B$2:$B$67,$B176)*(IF($B176="Cardboard Recycling",SUMIFS(Fact_SortedWeights!$E$2:$E$67,Fact_SortedWeights!$C$2:$C$67,$A176,Fact_SortedWeights!$B$2:$B$67,$B176),SUMIFS(Fact_PreSortWeights!$E$2:$E$6,Fact_PreSortWeights!$C$2:$C$6,$A176,Fact_PreSortWeights!$B$2:$B$6,$B176))))</f>
        <v>0</v>
      </c>
      <c r="G176" s="0" t="n">
        <f aca="false">IF(AND(IF($B176="Trash",INDEX('Materials Master'!$F$2:$F$20,MATCH($C176,'Materials Master'!$A$2:$A$20,0)),IF($B176="GMPC Recycling",INDEX('Materials Master'!$G$2:$G$20,MATCH($C176,'Materials Master'!$A$2:$A$20,0)),IF($B176="Organics Recycling",INDEX('Materials Master'!$H$2:$H$20,MATCH($C176,'Materials Master'!$A$2:$A$20,0)),IF($B176="Cardboard Recycling",INDEX('Materials Master'!$I$2:$I$20,MATCH($C176,'Materials Master'!$A$2:$A$20,0)),IF($B176="Paper Recycling",INDEX('Materials Master'!$J$2:$J$20,MATCH($C176,'Materials Master'!$A$2:$A$20,0)),IF($B176="Terracycle",INDEX('Materials Master'!$K$2:$K$20,MATCH($C176,'Materials Master'!$A$2:$A$20,0)),"No"))))))="Yes",INDEX('Materials Master'!$E$2:$E$20,MATCH($C176,'Materials Master'!$A$2:$A$20,0))="Yes",$B176&lt;&gt;"Trash"),1,0)</f>
        <v>0</v>
      </c>
      <c r="H176" s="0" t="str">
        <f aca="false">INDEX('Materials Master'!$E$2:$E$20,MATCH($C176,'Materials Master'!$A$2:$A$20,0))</f>
        <v>Yes</v>
      </c>
      <c r="I176" s="0" t="str">
        <f aca="false">IFERROR(INDEX(Areas!$C$2:$C$3,MATCH($A176,Areas!$B$2:$B$3,0)),"")</f>
        <v>Base Building</v>
      </c>
      <c r="J176" s="0" t="n">
        <f aca="false">IF(IF($B176="Trash",INDEX('Materials Master'!$F$2:$F$20,MATCH($C176,'Materials Master'!$A$2:$A$20,0)),IF($B176="GMPC Recycling",INDEX('Materials Master'!$G$2:$G$20,MATCH($C176,'Materials Master'!$A$2:$A$20,0)),IF($B176="Organics Recycling",INDEX('Materials Master'!$H$2:$H$20,MATCH($C176,'Materials Master'!$A$2:$A$20,0)),IF($B176="Cardboard Recycling",INDEX('Materials Master'!$I$2:$I$20,MATCH($C176,'Materials Master'!$A$2:$A$20,0)),IF($B176="Paper Recycling",INDEX('Materials Master'!$J$2:$J$20,MATCH($C176,'Materials Master'!$A$2:$A$20,0)),IF($B176="Terracycle",INDEX('Materials Master'!$K$2:$K$20,MATCH($C176,'Materials Master'!$A$2:$A$20,0)),"No"))))))="Yes",1,0)</f>
        <v>0</v>
      </c>
    </row>
    <row r="177" customFormat="false" ht="15" hidden="false" customHeight="false" outlineLevel="0" collapsed="false">
      <c r="A177" s="0" t="s">
        <v>81</v>
      </c>
      <c r="B177" s="0" t="s">
        <v>86</v>
      </c>
      <c r="C177" s="0" t="s">
        <v>39</v>
      </c>
      <c r="D177" s="0" t="str">
        <f aca="false">IFERROR(INDEX('Materials Master'!$B$2:$B$20,MATCH($C177,'Materials Master'!$A$2:$A$20,0)),"")</f>
        <v>Other Coated Paper Containers</v>
      </c>
      <c r="E177" s="0" t="str">
        <f aca="false">IFERROR(INDEX('Materials Master'!$C$2:$C$20,MATCH($C177,'Materials Master'!$A$2:$A$20,0)),"")</f>
        <v>Fibers</v>
      </c>
      <c r="F177" s="0" t="n">
        <f aca="false">IF(SUMIFS(Fact_SortedWeights!$E$2:$E$67,Fact_SortedWeights!$C$2:$C$67,$A177,Fact_SortedWeights!$B$2:$B$67,$B177)=0,0,SUMIFS(Fact_SortedWeights!$E$2:$E$67,Fact_SortedWeights!$C$2:$C$67,$A177,Fact_SortedWeights!$B$2:$B$67,$B177,Fact_SortedWeights!$D$2:$D$67,$C177)/SUMIFS(Fact_SortedWeights!$E$2:$E$67,Fact_SortedWeights!$C$2:$C$67,$A177,Fact_SortedWeights!$B$2:$B$67,$B177)*(IF($B177="Cardboard Recycling",SUMIFS(Fact_SortedWeights!$E$2:$E$67,Fact_SortedWeights!$C$2:$C$67,$A177,Fact_SortedWeights!$B$2:$B$67,$B177),SUMIFS(Fact_PreSortWeights!$E$2:$E$6,Fact_PreSortWeights!$C$2:$C$6,$A177,Fact_PreSortWeights!$B$2:$B$6,$B177))))</f>
        <v>0</v>
      </c>
      <c r="G177" s="0" t="n">
        <f aca="false">IF(AND(IF($B177="Trash",INDEX('Materials Master'!$F$2:$F$20,MATCH($C177,'Materials Master'!$A$2:$A$20,0)),IF($B177="GMPC Recycling",INDEX('Materials Master'!$G$2:$G$20,MATCH($C177,'Materials Master'!$A$2:$A$20,0)),IF($B177="Organics Recycling",INDEX('Materials Master'!$H$2:$H$20,MATCH($C177,'Materials Master'!$A$2:$A$20,0)),IF($B177="Cardboard Recycling",INDEX('Materials Master'!$I$2:$I$20,MATCH($C177,'Materials Master'!$A$2:$A$20,0)),IF($B177="Paper Recycling",INDEX('Materials Master'!$J$2:$J$20,MATCH($C177,'Materials Master'!$A$2:$A$20,0)),IF($B177="Terracycle",INDEX('Materials Master'!$K$2:$K$20,MATCH($C177,'Materials Master'!$A$2:$A$20,0)),"No"))))))="Yes",INDEX('Materials Master'!$E$2:$E$20,MATCH($C177,'Materials Master'!$A$2:$A$20,0))="Yes",$B177&lt;&gt;"Trash"),1,0)</f>
        <v>0</v>
      </c>
      <c r="H177" s="0" t="str">
        <f aca="false">INDEX('Materials Master'!$E$2:$E$20,MATCH($C177,'Materials Master'!$A$2:$A$20,0))</f>
        <v>No</v>
      </c>
      <c r="I177" s="0" t="str">
        <f aca="false">IFERROR(INDEX(Areas!$C$2:$C$3,MATCH($A177,Areas!$B$2:$B$3,0)),"")</f>
        <v>Base Building</v>
      </c>
      <c r="J177" s="0" t="n">
        <f aca="false">IF(IF($B177="Trash",INDEX('Materials Master'!$F$2:$F$20,MATCH($C177,'Materials Master'!$A$2:$A$20,0)),IF($B177="GMPC Recycling",INDEX('Materials Master'!$G$2:$G$20,MATCH($C177,'Materials Master'!$A$2:$A$20,0)),IF($B177="Organics Recycling",INDEX('Materials Master'!$H$2:$H$20,MATCH($C177,'Materials Master'!$A$2:$A$20,0)),IF($B177="Cardboard Recycling",INDEX('Materials Master'!$I$2:$I$20,MATCH($C177,'Materials Master'!$A$2:$A$20,0)),IF($B177="Paper Recycling",INDEX('Materials Master'!$J$2:$J$20,MATCH($C177,'Materials Master'!$A$2:$A$20,0)),IF($B177="Terracycle",INDEX('Materials Master'!$K$2:$K$20,MATCH($C177,'Materials Master'!$A$2:$A$20,0)),"No"))))))="Yes",1,0)</f>
        <v>0</v>
      </c>
    </row>
    <row r="178" customFormat="false" ht="15" hidden="false" customHeight="false" outlineLevel="0" collapsed="false">
      <c r="A178" s="0" t="s">
        <v>81</v>
      </c>
      <c r="B178" s="0" t="s">
        <v>86</v>
      </c>
      <c r="C178" s="0" t="s">
        <v>41</v>
      </c>
      <c r="D178" s="0" t="str">
        <f aca="false">IFERROR(INDEX('Materials Master'!$B$2:$B$20,MATCH($C178,'Materials Master'!$A$2:$A$20,0)),"")</f>
        <v>Glass Bottles &amp; Jars</v>
      </c>
      <c r="E178" s="0" t="str">
        <f aca="false">IFERROR(INDEX('Materials Master'!$C$2:$C$20,MATCH($C178,'Materials Master'!$A$2:$A$20,0)),"")</f>
        <v>Glass</v>
      </c>
      <c r="F178" s="0" t="n">
        <f aca="false">IF(SUMIFS(Fact_SortedWeights!$E$2:$E$67,Fact_SortedWeights!$C$2:$C$67,$A178,Fact_SortedWeights!$B$2:$B$67,$B178)=0,0,SUMIFS(Fact_SortedWeights!$E$2:$E$67,Fact_SortedWeights!$C$2:$C$67,$A178,Fact_SortedWeights!$B$2:$B$67,$B178,Fact_SortedWeights!$D$2:$D$67,$C178)/SUMIFS(Fact_SortedWeights!$E$2:$E$67,Fact_SortedWeights!$C$2:$C$67,$A178,Fact_SortedWeights!$B$2:$B$67,$B178)*(IF($B178="Cardboard Recycling",SUMIFS(Fact_SortedWeights!$E$2:$E$67,Fact_SortedWeights!$C$2:$C$67,$A178,Fact_SortedWeights!$B$2:$B$67,$B178),SUMIFS(Fact_PreSortWeights!$E$2:$E$6,Fact_PreSortWeights!$C$2:$C$6,$A178,Fact_PreSortWeights!$B$2:$B$6,$B178))))</f>
        <v>0</v>
      </c>
      <c r="G178" s="0" t="n">
        <f aca="false">IF(AND(IF($B178="Trash",INDEX('Materials Master'!$F$2:$F$20,MATCH($C178,'Materials Master'!$A$2:$A$20,0)),IF($B178="GMPC Recycling",INDEX('Materials Master'!$G$2:$G$20,MATCH($C178,'Materials Master'!$A$2:$A$20,0)),IF($B178="Organics Recycling",INDEX('Materials Master'!$H$2:$H$20,MATCH($C178,'Materials Master'!$A$2:$A$20,0)),IF($B178="Cardboard Recycling",INDEX('Materials Master'!$I$2:$I$20,MATCH($C178,'Materials Master'!$A$2:$A$20,0)),IF($B178="Paper Recycling",INDEX('Materials Master'!$J$2:$J$20,MATCH($C178,'Materials Master'!$A$2:$A$20,0)),IF($B178="Terracycle",INDEX('Materials Master'!$K$2:$K$20,MATCH($C178,'Materials Master'!$A$2:$A$20,0)),"No"))))))="Yes",INDEX('Materials Master'!$E$2:$E$20,MATCH($C178,'Materials Master'!$A$2:$A$20,0))="Yes",$B178&lt;&gt;"Trash"),1,0)</f>
        <v>0</v>
      </c>
      <c r="H178" s="0" t="str">
        <f aca="false">INDEX('Materials Master'!$E$2:$E$20,MATCH($C178,'Materials Master'!$A$2:$A$20,0))</f>
        <v>Yes</v>
      </c>
      <c r="I178" s="0" t="str">
        <f aca="false">IFERROR(INDEX(Areas!$C$2:$C$3,MATCH($A178,Areas!$B$2:$B$3,0)),"")</f>
        <v>Base Building</v>
      </c>
      <c r="J178" s="0" t="n">
        <f aca="false">IF(IF($B178="Trash",INDEX('Materials Master'!$F$2:$F$20,MATCH($C178,'Materials Master'!$A$2:$A$20,0)),IF($B178="GMPC Recycling",INDEX('Materials Master'!$G$2:$G$20,MATCH($C178,'Materials Master'!$A$2:$A$20,0)),IF($B178="Organics Recycling",INDEX('Materials Master'!$H$2:$H$20,MATCH($C178,'Materials Master'!$A$2:$A$20,0)),IF($B178="Cardboard Recycling",INDEX('Materials Master'!$I$2:$I$20,MATCH($C178,'Materials Master'!$A$2:$A$20,0)),IF($B178="Paper Recycling",INDEX('Materials Master'!$J$2:$J$20,MATCH($C178,'Materials Master'!$A$2:$A$20,0)),IF($B178="Terracycle",INDEX('Materials Master'!$K$2:$K$20,MATCH($C178,'Materials Master'!$A$2:$A$20,0)),"No"))))))="Yes",1,0)</f>
        <v>0</v>
      </c>
    </row>
    <row r="179" customFormat="false" ht="15" hidden="false" customHeight="false" outlineLevel="0" collapsed="false">
      <c r="A179" s="0" t="s">
        <v>81</v>
      </c>
      <c r="B179" s="0" t="s">
        <v>86</v>
      </c>
      <c r="C179" s="0" t="s">
        <v>44</v>
      </c>
      <c r="D179" s="0" t="str">
        <f aca="false">IFERROR(INDEX('Materials Master'!$B$2:$B$20,MATCH($C179,'Materials Master'!$A$2:$A$20,0)),"")</f>
        <v>Broken Glass</v>
      </c>
      <c r="E179" s="0" t="str">
        <f aca="false">IFERROR(INDEX('Materials Master'!$C$2:$C$20,MATCH($C179,'Materials Master'!$A$2:$A$20,0)),"")</f>
        <v>Glass</v>
      </c>
      <c r="F179" s="0" t="n">
        <f aca="false">IF(SUMIFS(Fact_SortedWeights!$E$2:$E$67,Fact_SortedWeights!$C$2:$C$67,$A179,Fact_SortedWeights!$B$2:$B$67,$B179)=0,0,SUMIFS(Fact_SortedWeights!$E$2:$E$67,Fact_SortedWeights!$C$2:$C$67,$A179,Fact_SortedWeights!$B$2:$B$67,$B179,Fact_SortedWeights!$D$2:$D$67,$C179)/SUMIFS(Fact_SortedWeights!$E$2:$E$67,Fact_SortedWeights!$C$2:$C$67,$A179,Fact_SortedWeights!$B$2:$B$67,$B179)*(IF($B179="Cardboard Recycling",SUMIFS(Fact_SortedWeights!$E$2:$E$67,Fact_SortedWeights!$C$2:$C$67,$A179,Fact_SortedWeights!$B$2:$B$67,$B179),SUMIFS(Fact_PreSortWeights!$E$2:$E$6,Fact_PreSortWeights!$C$2:$C$6,$A179,Fact_PreSortWeights!$B$2:$B$6,$B179))))</f>
        <v>0</v>
      </c>
      <c r="G179" s="0" t="n">
        <f aca="false">IF(AND(IF($B179="Trash",INDEX('Materials Master'!$F$2:$F$20,MATCH($C179,'Materials Master'!$A$2:$A$20,0)),IF($B179="GMPC Recycling",INDEX('Materials Master'!$G$2:$G$20,MATCH($C179,'Materials Master'!$A$2:$A$20,0)),IF($B179="Organics Recycling",INDEX('Materials Master'!$H$2:$H$20,MATCH($C179,'Materials Master'!$A$2:$A$20,0)),IF($B179="Cardboard Recycling",INDEX('Materials Master'!$I$2:$I$20,MATCH($C179,'Materials Master'!$A$2:$A$20,0)),IF($B179="Paper Recycling",INDEX('Materials Master'!$J$2:$J$20,MATCH($C179,'Materials Master'!$A$2:$A$20,0)),IF($B179="Terracycle",INDEX('Materials Master'!$K$2:$K$20,MATCH($C179,'Materials Master'!$A$2:$A$20,0)),"No"))))))="Yes",INDEX('Materials Master'!$E$2:$E$20,MATCH($C179,'Materials Master'!$A$2:$A$20,0))="Yes",$B179&lt;&gt;"Trash"),1,0)</f>
        <v>0</v>
      </c>
      <c r="H179" s="0" t="str">
        <f aca="false">INDEX('Materials Master'!$E$2:$E$20,MATCH($C179,'Materials Master'!$A$2:$A$20,0))</f>
        <v>No</v>
      </c>
      <c r="I179" s="0" t="str">
        <f aca="false">IFERROR(INDEX(Areas!$C$2:$C$3,MATCH($A179,Areas!$B$2:$B$3,0)),"")</f>
        <v>Base Building</v>
      </c>
      <c r="J179" s="0" t="n">
        <f aca="false">IF(IF($B179="Trash",INDEX('Materials Master'!$F$2:$F$20,MATCH($C179,'Materials Master'!$A$2:$A$20,0)),IF($B179="GMPC Recycling",INDEX('Materials Master'!$G$2:$G$20,MATCH($C179,'Materials Master'!$A$2:$A$20,0)),IF($B179="Organics Recycling",INDEX('Materials Master'!$H$2:$H$20,MATCH($C179,'Materials Master'!$A$2:$A$20,0)),IF($B179="Cardboard Recycling",INDEX('Materials Master'!$I$2:$I$20,MATCH($C179,'Materials Master'!$A$2:$A$20,0)),IF($B179="Paper Recycling",INDEX('Materials Master'!$J$2:$J$20,MATCH($C179,'Materials Master'!$A$2:$A$20,0)),IF($B179="Terracycle",INDEX('Materials Master'!$K$2:$K$20,MATCH($C179,'Materials Master'!$A$2:$A$20,0)),"No"))))))="Yes",1,0)</f>
        <v>0</v>
      </c>
    </row>
    <row r="180" customFormat="false" ht="15" hidden="false" customHeight="false" outlineLevel="0" collapsed="false">
      <c r="A180" s="0" t="s">
        <v>81</v>
      </c>
      <c r="B180" s="0" t="s">
        <v>86</v>
      </c>
      <c r="C180" s="0" t="s">
        <v>46</v>
      </c>
      <c r="D180" s="0" t="str">
        <f aca="false">IFERROR(INDEX('Materials Master'!$B$2:$B$20,MATCH($C180,'Materials Master'!$A$2:$A$20,0)),"")</f>
        <v>Aluminum &amp; Bi-metal Containers</v>
      </c>
      <c r="E180" s="0" t="str">
        <f aca="false">IFERROR(INDEX('Materials Master'!$C$2:$C$20,MATCH($C180,'Materials Master'!$A$2:$A$20,0)),"")</f>
        <v>Metals</v>
      </c>
      <c r="F180" s="0" t="n">
        <f aca="false">IF(SUMIFS(Fact_SortedWeights!$E$2:$E$67,Fact_SortedWeights!$C$2:$C$67,$A180,Fact_SortedWeights!$B$2:$B$67,$B180)=0,0,SUMIFS(Fact_SortedWeights!$E$2:$E$67,Fact_SortedWeights!$C$2:$C$67,$A180,Fact_SortedWeights!$B$2:$B$67,$B180,Fact_SortedWeights!$D$2:$D$67,$C180)/SUMIFS(Fact_SortedWeights!$E$2:$E$67,Fact_SortedWeights!$C$2:$C$67,$A180,Fact_SortedWeights!$B$2:$B$67,$B180)*(IF($B180="Cardboard Recycling",SUMIFS(Fact_SortedWeights!$E$2:$E$67,Fact_SortedWeights!$C$2:$C$67,$A180,Fact_SortedWeights!$B$2:$B$67,$B180),SUMIFS(Fact_PreSortWeights!$E$2:$E$6,Fact_PreSortWeights!$C$2:$C$6,$A180,Fact_PreSortWeights!$B$2:$B$6,$B180))))</f>
        <v>0</v>
      </c>
      <c r="G180" s="0" t="n">
        <f aca="false">IF(AND(IF($B180="Trash",INDEX('Materials Master'!$F$2:$F$20,MATCH($C180,'Materials Master'!$A$2:$A$20,0)),IF($B180="GMPC Recycling",INDEX('Materials Master'!$G$2:$G$20,MATCH($C180,'Materials Master'!$A$2:$A$20,0)),IF($B180="Organics Recycling",INDEX('Materials Master'!$H$2:$H$20,MATCH($C180,'Materials Master'!$A$2:$A$20,0)),IF($B180="Cardboard Recycling",INDEX('Materials Master'!$I$2:$I$20,MATCH($C180,'Materials Master'!$A$2:$A$20,0)),IF($B180="Paper Recycling",INDEX('Materials Master'!$J$2:$J$20,MATCH($C180,'Materials Master'!$A$2:$A$20,0)),IF($B180="Terracycle",INDEX('Materials Master'!$K$2:$K$20,MATCH($C180,'Materials Master'!$A$2:$A$20,0)),"No"))))))="Yes",INDEX('Materials Master'!$E$2:$E$20,MATCH($C180,'Materials Master'!$A$2:$A$20,0))="Yes",$B180&lt;&gt;"Trash"),1,0)</f>
        <v>0</v>
      </c>
      <c r="H180" s="0" t="str">
        <f aca="false">INDEX('Materials Master'!$E$2:$E$20,MATCH($C180,'Materials Master'!$A$2:$A$20,0))</f>
        <v>Yes</v>
      </c>
      <c r="I180" s="0" t="str">
        <f aca="false">IFERROR(INDEX(Areas!$C$2:$C$3,MATCH($A180,Areas!$B$2:$B$3,0)),"")</f>
        <v>Base Building</v>
      </c>
      <c r="J180" s="0" t="n">
        <f aca="false">IF(IF($B180="Trash",INDEX('Materials Master'!$F$2:$F$20,MATCH($C180,'Materials Master'!$A$2:$A$20,0)),IF($B180="GMPC Recycling",INDEX('Materials Master'!$G$2:$G$20,MATCH($C180,'Materials Master'!$A$2:$A$20,0)),IF($B180="Organics Recycling",INDEX('Materials Master'!$H$2:$H$20,MATCH($C180,'Materials Master'!$A$2:$A$20,0)),IF($B180="Cardboard Recycling",INDEX('Materials Master'!$I$2:$I$20,MATCH($C180,'Materials Master'!$A$2:$A$20,0)),IF($B180="Paper Recycling",INDEX('Materials Master'!$J$2:$J$20,MATCH($C180,'Materials Master'!$A$2:$A$20,0)),IF($B180="Terracycle",INDEX('Materials Master'!$K$2:$K$20,MATCH($C180,'Materials Master'!$A$2:$A$20,0)),"No"))))))="Yes",1,0)</f>
        <v>0</v>
      </c>
    </row>
    <row r="181" customFormat="false" ht="15" hidden="false" customHeight="false" outlineLevel="0" collapsed="false">
      <c r="A181" s="0" t="s">
        <v>81</v>
      </c>
      <c r="B181" s="0" t="s">
        <v>86</v>
      </c>
      <c r="C181" s="0" t="s">
        <v>49</v>
      </c>
      <c r="D181" s="0" t="str">
        <f aca="false">IFERROR(INDEX('Materials Master'!$B$2:$B$20,MATCH($C181,'Materials Master'!$A$2:$A$20,0)),"")</f>
        <v>Metal Hangers</v>
      </c>
      <c r="E181" s="0" t="str">
        <f aca="false">IFERROR(INDEX('Materials Master'!$C$2:$C$20,MATCH($C181,'Materials Master'!$A$2:$A$20,0)),"")</f>
        <v>Metals</v>
      </c>
      <c r="F181" s="0" t="n">
        <f aca="false">IF(SUMIFS(Fact_SortedWeights!$E$2:$E$67,Fact_SortedWeights!$C$2:$C$67,$A181,Fact_SortedWeights!$B$2:$B$67,$B181)=0,0,SUMIFS(Fact_SortedWeights!$E$2:$E$67,Fact_SortedWeights!$C$2:$C$67,$A181,Fact_SortedWeights!$B$2:$B$67,$B181,Fact_SortedWeights!$D$2:$D$67,$C181)/SUMIFS(Fact_SortedWeights!$E$2:$E$67,Fact_SortedWeights!$C$2:$C$67,$A181,Fact_SortedWeights!$B$2:$B$67,$B181)*(IF($B181="Cardboard Recycling",SUMIFS(Fact_SortedWeights!$E$2:$E$67,Fact_SortedWeights!$C$2:$C$67,$A181,Fact_SortedWeights!$B$2:$B$67,$B181),SUMIFS(Fact_PreSortWeights!$E$2:$E$6,Fact_PreSortWeights!$C$2:$C$6,$A181,Fact_PreSortWeights!$B$2:$B$6,$B181))))</f>
        <v>0</v>
      </c>
      <c r="G181" s="0" t="n">
        <f aca="false">IF(AND(IF($B181="Trash",INDEX('Materials Master'!$F$2:$F$20,MATCH($C181,'Materials Master'!$A$2:$A$20,0)),IF($B181="GMPC Recycling",INDEX('Materials Master'!$G$2:$G$20,MATCH($C181,'Materials Master'!$A$2:$A$20,0)),IF($B181="Organics Recycling",INDEX('Materials Master'!$H$2:$H$20,MATCH($C181,'Materials Master'!$A$2:$A$20,0)),IF($B181="Cardboard Recycling",INDEX('Materials Master'!$I$2:$I$20,MATCH($C181,'Materials Master'!$A$2:$A$20,0)),IF($B181="Paper Recycling",INDEX('Materials Master'!$J$2:$J$20,MATCH($C181,'Materials Master'!$A$2:$A$20,0)),IF($B181="Terracycle",INDEX('Materials Master'!$K$2:$K$20,MATCH($C181,'Materials Master'!$A$2:$A$20,0)),"No"))))))="Yes",INDEX('Materials Master'!$E$2:$E$20,MATCH($C181,'Materials Master'!$A$2:$A$20,0))="Yes",$B181&lt;&gt;"Trash"),1,0)</f>
        <v>0</v>
      </c>
      <c r="H181" s="0" t="str">
        <f aca="false">INDEX('Materials Master'!$E$2:$E$20,MATCH($C181,'Materials Master'!$A$2:$A$20,0))</f>
        <v>No</v>
      </c>
      <c r="I181" s="0" t="str">
        <f aca="false">IFERROR(INDEX(Areas!$C$2:$C$3,MATCH($A181,Areas!$B$2:$B$3,0)),"")</f>
        <v>Base Building</v>
      </c>
      <c r="J181" s="0" t="n">
        <f aca="false">IF(IF($B181="Trash",INDEX('Materials Master'!$F$2:$F$20,MATCH($C181,'Materials Master'!$A$2:$A$20,0)),IF($B181="GMPC Recycling",INDEX('Materials Master'!$G$2:$G$20,MATCH($C181,'Materials Master'!$A$2:$A$20,0)),IF($B181="Organics Recycling",INDEX('Materials Master'!$H$2:$H$20,MATCH($C181,'Materials Master'!$A$2:$A$20,0)),IF($B181="Cardboard Recycling",INDEX('Materials Master'!$I$2:$I$20,MATCH($C181,'Materials Master'!$A$2:$A$20,0)),IF($B181="Paper Recycling",INDEX('Materials Master'!$J$2:$J$20,MATCH($C181,'Materials Master'!$A$2:$A$20,0)),IF($B181="Terracycle",INDEX('Materials Master'!$K$2:$K$20,MATCH($C181,'Materials Master'!$A$2:$A$20,0)),"No"))))))="Yes",1,0)</f>
        <v>0</v>
      </c>
    </row>
    <row r="182" customFormat="false" ht="15" hidden="false" customHeight="false" outlineLevel="0" collapsed="false">
      <c r="A182" s="0" t="s">
        <v>81</v>
      </c>
      <c r="B182" s="0" t="s">
        <v>86</v>
      </c>
      <c r="C182" s="0" t="s">
        <v>51</v>
      </c>
      <c r="D182" s="0" t="str">
        <f aca="false">IFERROR(INDEX('Materials Master'!$B$2:$B$20,MATCH($C182,'Materials Master'!$A$2:$A$20,0)),"")</f>
        <v>Rigid Plastics (1-6)</v>
      </c>
      <c r="E182" s="0" t="str">
        <f aca="false">IFERROR(INDEX('Materials Master'!$C$2:$C$20,MATCH($C182,'Materials Master'!$A$2:$A$20,0)),"")</f>
        <v>Plastics</v>
      </c>
      <c r="F182" s="0" t="n">
        <f aca="false">IF(SUMIFS(Fact_SortedWeights!$E$2:$E$67,Fact_SortedWeights!$C$2:$C$67,$A182,Fact_SortedWeights!$B$2:$B$67,$B182)=0,0,SUMIFS(Fact_SortedWeights!$E$2:$E$67,Fact_SortedWeights!$C$2:$C$67,$A182,Fact_SortedWeights!$B$2:$B$67,$B182,Fact_SortedWeights!$D$2:$D$67,$C182)/SUMIFS(Fact_SortedWeights!$E$2:$E$67,Fact_SortedWeights!$C$2:$C$67,$A182,Fact_SortedWeights!$B$2:$B$67,$B182)*(IF($B182="Cardboard Recycling",SUMIFS(Fact_SortedWeights!$E$2:$E$67,Fact_SortedWeights!$C$2:$C$67,$A182,Fact_SortedWeights!$B$2:$B$67,$B182),SUMIFS(Fact_PreSortWeights!$E$2:$E$6,Fact_PreSortWeights!$C$2:$C$6,$A182,Fact_PreSortWeights!$B$2:$B$6,$B182))))</f>
        <v>0</v>
      </c>
      <c r="G182" s="0" t="n">
        <f aca="false">IF(AND(IF($B182="Trash",INDEX('Materials Master'!$F$2:$F$20,MATCH($C182,'Materials Master'!$A$2:$A$20,0)),IF($B182="GMPC Recycling",INDEX('Materials Master'!$G$2:$G$20,MATCH($C182,'Materials Master'!$A$2:$A$20,0)),IF($B182="Organics Recycling",INDEX('Materials Master'!$H$2:$H$20,MATCH($C182,'Materials Master'!$A$2:$A$20,0)),IF($B182="Cardboard Recycling",INDEX('Materials Master'!$I$2:$I$20,MATCH($C182,'Materials Master'!$A$2:$A$20,0)),IF($B182="Paper Recycling",INDEX('Materials Master'!$J$2:$J$20,MATCH($C182,'Materials Master'!$A$2:$A$20,0)),IF($B182="Terracycle",INDEX('Materials Master'!$K$2:$K$20,MATCH($C182,'Materials Master'!$A$2:$A$20,0)),"No"))))))="Yes",INDEX('Materials Master'!$E$2:$E$20,MATCH($C182,'Materials Master'!$A$2:$A$20,0))="Yes",$B182&lt;&gt;"Trash"),1,0)</f>
        <v>0</v>
      </c>
      <c r="H182" s="0" t="str">
        <f aca="false">INDEX('Materials Master'!$E$2:$E$20,MATCH($C182,'Materials Master'!$A$2:$A$20,0))</f>
        <v>Yes</v>
      </c>
      <c r="I182" s="0" t="str">
        <f aca="false">IFERROR(INDEX(Areas!$C$2:$C$3,MATCH($A182,Areas!$B$2:$B$3,0)),"")</f>
        <v>Base Building</v>
      </c>
      <c r="J182" s="0" t="n">
        <f aca="false">IF(IF($B182="Trash",INDEX('Materials Master'!$F$2:$F$20,MATCH($C182,'Materials Master'!$A$2:$A$20,0)),IF($B182="GMPC Recycling",INDEX('Materials Master'!$G$2:$G$20,MATCH($C182,'Materials Master'!$A$2:$A$20,0)),IF($B182="Organics Recycling",INDEX('Materials Master'!$H$2:$H$20,MATCH($C182,'Materials Master'!$A$2:$A$20,0)),IF($B182="Cardboard Recycling",INDEX('Materials Master'!$I$2:$I$20,MATCH($C182,'Materials Master'!$A$2:$A$20,0)),IF($B182="Paper Recycling",INDEX('Materials Master'!$J$2:$J$20,MATCH($C182,'Materials Master'!$A$2:$A$20,0)),IF($B182="Terracycle",INDEX('Materials Master'!$K$2:$K$20,MATCH($C182,'Materials Master'!$A$2:$A$20,0)),"No"))))))="Yes",1,0)</f>
        <v>0</v>
      </c>
    </row>
    <row r="183" customFormat="false" ht="15" hidden="false" customHeight="false" outlineLevel="0" collapsed="false">
      <c r="A183" s="0" t="s">
        <v>81</v>
      </c>
      <c r="B183" s="0" t="s">
        <v>86</v>
      </c>
      <c r="C183" s="0" t="s">
        <v>54</v>
      </c>
      <c r="D183" s="0" t="str">
        <f aca="false">IFERROR(INDEX('Materials Master'!$B$2:$B$20,MATCH($C183,'Materials Master'!$A$2:$A$20,0)),"")</f>
        <v>Soiled Rigid Plastics</v>
      </c>
      <c r="E183" s="0" t="str">
        <f aca="false">IFERROR(INDEX('Materials Master'!$C$2:$C$20,MATCH($C183,'Materials Master'!$A$2:$A$20,0)),"")</f>
        <v>Plastics</v>
      </c>
      <c r="F183" s="0" t="n">
        <f aca="false">IF(SUMIFS(Fact_SortedWeights!$E$2:$E$67,Fact_SortedWeights!$C$2:$C$67,$A183,Fact_SortedWeights!$B$2:$B$67,$B183)=0,0,SUMIFS(Fact_SortedWeights!$E$2:$E$67,Fact_SortedWeights!$C$2:$C$67,$A183,Fact_SortedWeights!$B$2:$B$67,$B183,Fact_SortedWeights!$D$2:$D$67,$C183)/SUMIFS(Fact_SortedWeights!$E$2:$E$67,Fact_SortedWeights!$C$2:$C$67,$A183,Fact_SortedWeights!$B$2:$B$67,$B183)*(IF($B183="Cardboard Recycling",SUMIFS(Fact_SortedWeights!$E$2:$E$67,Fact_SortedWeights!$C$2:$C$67,$A183,Fact_SortedWeights!$B$2:$B$67,$B183),SUMIFS(Fact_PreSortWeights!$E$2:$E$6,Fact_PreSortWeights!$C$2:$C$6,$A183,Fact_PreSortWeights!$B$2:$B$6,$B183))))</f>
        <v>0</v>
      </c>
      <c r="G183" s="0" t="n">
        <f aca="false">IF(AND(IF($B183="Trash",INDEX('Materials Master'!$F$2:$F$20,MATCH($C183,'Materials Master'!$A$2:$A$20,0)),IF($B183="GMPC Recycling",INDEX('Materials Master'!$G$2:$G$20,MATCH($C183,'Materials Master'!$A$2:$A$20,0)),IF($B183="Organics Recycling",INDEX('Materials Master'!$H$2:$H$20,MATCH($C183,'Materials Master'!$A$2:$A$20,0)),IF($B183="Cardboard Recycling",INDEX('Materials Master'!$I$2:$I$20,MATCH($C183,'Materials Master'!$A$2:$A$20,0)),IF($B183="Paper Recycling",INDEX('Materials Master'!$J$2:$J$20,MATCH($C183,'Materials Master'!$A$2:$A$20,0)),IF($B183="Terracycle",INDEX('Materials Master'!$K$2:$K$20,MATCH($C183,'Materials Master'!$A$2:$A$20,0)),"No"))))))="Yes",INDEX('Materials Master'!$E$2:$E$20,MATCH($C183,'Materials Master'!$A$2:$A$20,0))="Yes",$B183&lt;&gt;"Trash"),1,0)</f>
        <v>0</v>
      </c>
      <c r="H183" s="0" t="str">
        <f aca="false">INDEX('Materials Master'!$E$2:$E$20,MATCH($C183,'Materials Master'!$A$2:$A$20,0))</f>
        <v>No</v>
      </c>
      <c r="I183" s="0" t="str">
        <f aca="false">IFERROR(INDEX(Areas!$C$2:$C$3,MATCH($A183,Areas!$B$2:$B$3,0)),"")</f>
        <v>Base Building</v>
      </c>
      <c r="J183" s="0" t="n">
        <f aca="false">IF(IF($B183="Trash",INDEX('Materials Master'!$F$2:$F$20,MATCH($C183,'Materials Master'!$A$2:$A$20,0)),IF($B183="GMPC Recycling",INDEX('Materials Master'!$G$2:$G$20,MATCH($C183,'Materials Master'!$A$2:$A$20,0)),IF($B183="Organics Recycling",INDEX('Materials Master'!$H$2:$H$20,MATCH($C183,'Materials Master'!$A$2:$A$20,0)),IF($B183="Cardboard Recycling",INDEX('Materials Master'!$I$2:$I$20,MATCH($C183,'Materials Master'!$A$2:$A$20,0)),IF($B183="Paper Recycling",INDEX('Materials Master'!$J$2:$J$20,MATCH($C183,'Materials Master'!$A$2:$A$20,0)),IF($B183="Terracycle",INDEX('Materials Master'!$K$2:$K$20,MATCH($C183,'Materials Master'!$A$2:$A$20,0)),"No"))))))="Yes",1,0)</f>
        <v>0</v>
      </c>
    </row>
    <row r="184" customFormat="false" ht="15" hidden="false" customHeight="false" outlineLevel="0" collapsed="false">
      <c r="A184" s="0" t="s">
        <v>81</v>
      </c>
      <c r="B184" s="0" t="s">
        <v>86</v>
      </c>
      <c r="C184" s="0" t="s">
        <v>56</v>
      </c>
      <c r="D184" s="0" t="str">
        <f aca="false">IFERROR(INDEX('Materials Master'!$B$2:$B$20,MATCH($C184,'Materials Master'!$A$2:$A$20,0)),"")</f>
        <v>Film Plastics</v>
      </c>
      <c r="E184" s="0" t="str">
        <f aca="false">IFERROR(INDEX('Materials Master'!$C$2:$C$20,MATCH($C184,'Materials Master'!$A$2:$A$20,0)),"")</f>
        <v>Plastics</v>
      </c>
      <c r="F184" s="0" t="n">
        <f aca="false">IF(SUMIFS(Fact_SortedWeights!$E$2:$E$67,Fact_SortedWeights!$C$2:$C$67,$A184,Fact_SortedWeights!$B$2:$B$67,$B184)=0,0,SUMIFS(Fact_SortedWeights!$E$2:$E$67,Fact_SortedWeights!$C$2:$C$67,$A184,Fact_SortedWeights!$B$2:$B$67,$B184,Fact_SortedWeights!$D$2:$D$67,$C184)/SUMIFS(Fact_SortedWeights!$E$2:$E$67,Fact_SortedWeights!$C$2:$C$67,$A184,Fact_SortedWeights!$B$2:$B$67,$B184)*(IF($B184="Cardboard Recycling",SUMIFS(Fact_SortedWeights!$E$2:$E$67,Fact_SortedWeights!$C$2:$C$67,$A184,Fact_SortedWeights!$B$2:$B$67,$B184),SUMIFS(Fact_PreSortWeights!$E$2:$E$6,Fact_PreSortWeights!$C$2:$C$6,$A184,Fact_PreSortWeights!$B$2:$B$6,$B184))))</f>
        <v>0</v>
      </c>
      <c r="G184" s="0" t="n">
        <f aca="false">IF(AND(IF($B184="Trash",INDEX('Materials Master'!$F$2:$F$20,MATCH($C184,'Materials Master'!$A$2:$A$20,0)),IF($B184="GMPC Recycling",INDEX('Materials Master'!$G$2:$G$20,MATCH($C184,'Materials Master'!$A$2:$A$20,0)),IF($B184="Organics Recycling",INDEX('Materials Master'!$H$2:$H$20,MATCH($C184,'Materials Master'!$A$2:$A$20,0)),IF($B184="Cardboard Recycling",INDEX('Materials Master'!$I$2:$I$20,MATCH($C184,'Materials Master'!$A$2:$A$20,0)),IF($B184="Paper Recycling",INDEX('Materials Master'!$J$2:$J$20,MATCH($C184,'Materials Master'!$A$2:$A$20,0)),IF($B184="Terracycle",INDEX('Materials Master'!$K$2:$K$20,MATCH($C184,'Materials Master'!$A$2:$A$20,0)),"No"))))))="Yes",INDEX('Materials Master'!$E$2:$E$20,MATCH($C184,'Materials Master'!$A$2:$A$20,0))="Yes",$B184&lt;&gt;"Trash"),1,0)</f>
        <v>0</v>
      </c>
      <c r="H184" s="0" t="str">
        <f aca="false">INDEX('Materials Master'!$E$2:$E$20,MATCH($C184,'Materials Master'!$A$2:$A$20,0))</f>
        <v>No</v>
      </c>
      <c r="I184" s="0" t="str">
        <f aca="false">IFERROR(INDEX(Areas!$C$2:$C$3,MATCH($A184,Areas!$B$2:$B$3,0)),"")</f>
        <v>Base Building</v>
      </c>
      <c r="J184" s="0" t="n">
        <f aca="false">IF(IF($B184="Trash",INDEX('Materials Master'!$F$2:$F$20,MATCH($C184,'Materials Master'!$A$2:$A$20,0)),IF($B184="GMPC Recycling",INDEX('Materials Master'!$G$2:$G$20,MATCH($C184,'Materials Master'!$A$2:$A$20,0)),IF($B184="Organics Recycling",INDEX('Materials Master'!$H$2:$H$20,MATCH($C184,'Materials Master'!$A$2:$A$20,0)),IF($B184="Cardboard Recycling",INDEX('Materials Master'!$I$2:$I$20,MATCH($C184,'Materials Master'!$A$2:$A$20,0)),IF($B184="Paper Recycling",INDEX('Materials Master'!$J$2:$J$20,MATCH($C184,'Materials Master'!$A$2:$A$20,0)),IF($B184="Terracycle",INDEX('Materials Master'!$K$2:$K$20,MATCH($C184,'Materials Master'!$A$2:$A$20,0)),"No"))))))="Yes",1,0)</f>
        <v>0</v>
      </c>
    </row>
    <row r="185" customFormat="false" ht="15" hidden="false" customHeight="false" outlineLevel="0" collapsed="false">
      <c r="A185" s="0" t="s">
        <v>81</v>
      </c>
      <c r="B185" s="0" t="s">
        <v>86</v>
      </c>
      <c r="C185" s="0" t="s">
        <v>58</v>
      </c>
      <c r="D185" s="0" t="str">
        <f aca="false">IFERROR(INDEX('Materials Master'!$B$2:$B$20,MATCH($C185,'Materials Master'!$A$2:$A$20,0)),"")</f>
        <v>Waste Disposal Bags</v>
      </c>
      <c r="E185" s="0" t="str">
        <f aca="false">IFERROR(INDEX('Materials Master'!$C$2:$C$20,MATCH($C185,'Materials Master'!$A$2:$A$20,0)),"")</f>
        <v>Plastics</v>
      </c>
      <c r="F185" s="0" t="n">
        <f aca="false">IF(SUMIFS(Fact_SortedWeights!$E$2:$E$67,Fact_SortedWeights!$C$2:$C$67,$A185,Fact_SortedWeights!$B$2:$B$67,$B185)=0,0,SUMIFS(Fact_SortedWeights!$E$2:$E$67,Fact_SortedWeights!$C$2:$C$67,$A185,Fact_SortedWeights!$B$2:$B$67,$B185,Fact_SortedWeights!$D$2:$D$67,$C185)/SUMIFS(Fact_SortedWeights!$E$2:$E$67,Fact_SortedWeights!$C$2:$C$67,$A185,Fact_SortedWeights!$B$2:$B$67,$B185)*(IF($B185="Cardboard Recycling",SUMIFS(Fact_SortedWeights!$E$2:$E$67,Fact_SortedWeights!$C$2:$C$67,$A185,Fact_SortedWeights!$B$2:$B$67,$B185),SUMIFS(Fact_PreSortWeights!$E$2:$E$6,Fact_PreSortWeights!$C$2:$C$6,$A185,Fact_PreSortWeights!$B$2:$B$6,$B185))))</f>
        <v>0</v>
      </c>
      <c r="G185" s="0" t="n">
        <f aca="false">IF(AND(IF($B185="Trash",INDEX('Materials Master'!$F$2:$F$20,MATCH($C185,'Materials Master'!$A$2:$A$20,0)),IF($B185="GMPC Recycling",INDEX('Materials Master'!$G$2:$G$20,MATCH($C185,'Materials Master'!$A$2:$A$20,0)),IF($B185="Organics Recycling",INDEX('Materials Master'!$H$2:$H$20,MATCH($C185,'Materials Master'!$A$2:$A$20,0)),IF($B185="Cardboard Recycling",INDEX('Materials Master'!$I$2:$I$20,MATCH($C185,'Materials Master'!$A$2:$A$20,0)),IF($B185="Paper Recycling",INDEX('Materials Master'!$J$2:$J$20,MATCH($C185,'Materials Master'!$A$2:$A$20,0)),IF($B185="Terracycle",INDEX('Materials Master'!$K$2:$K$20,MATCH($C185,'Materials Master'!$A$2:$A$20,0)),"No"))))))="Yes",INDEX('Materials Master'!$E$2:$E$20,MATCH($C185,'Materials Master'!$A$2:$A$20,0))="Yes",$B185&lt;&gt;"Trash"),1,0)</f>
        <v>0</v>
      </c>
      <c r="H185" s="0" t="str">
        <f aca="false">INDEX('Materials Master'!$E$2:$E$20,MATCH($C185,'Materials Master'!$A$2:$A$20,0))</f>
        <v>No</v>
      </c>
      <c r="I185" s="0" t="str">
        <f aca="false">IFERROR(INDEX(Areas!$C$2:$C$3,MATCH($A185,Areas!$B$2:$B$3,0)),"")</f>
        <v>Base Building</v>
      </c>
      <c r="J185" s="0" t="n">
        <f aca="false">IF(IF($B185="Trash",INDEX('Materials Master'!$F$2:$F$20,MATCH($C185,'Materials Master'!$A$2:$A$20,0)),IF($B185="GMPC Recycling",INDEX('Materials Master'!$G$2:$G$20,MATCH($C185,'Materials Master'!$A$2:$A$20,0)),IF($B185="Organics Recycling",INDEX('Materials Master'!$H$2:$H$20,MATCH($C185,'Materials Master'!$A$2:$A$20,0)),IF($B185="Cardboard Recycling",INDEX('Materials Master'!$I$2:$I$20,MATCH($C185,'Materials Master'!$A$2:$A$20,0)),IF($B185="Paper Recycling",INDEX('Materials Master'!$J$2:$J$20,MATCH($C185,'Materials Master'!$A$2:$A$20,0)),IF($B185="Terracycle",INDEX('Materials Master'!$K$2:$K$20,MATCH($C185,'Materials Master'!$A$2:$A$20,0)),"No"))))))="Yes",1,0)</f>
        <v>0</v>
      </c>
    </row>
    <row r="186" customFormat="false" ht="15" hidden="false" customHeight="false" outlineLevel="0" collapsed="false">
      <c r="A186" s="0" t="s">
        <v>81</v>
      </c>
      <c r="B186" s="0" t="s">
        <v>86</v>
      </c>
      <c r="C186" s="0" t="s">
        <v>60</v>
      </c>
      <c r="D186" s="0" t="str">
        <f aca="false">IFERROR(INDEX('Materials Master'!$B$2:$B$20,MATCH($C186,'Materials Master'!$A$2:$A$20,0)),"")</f>
        <v>Food Waste</v>
      </c>
      <c r="E186" s="0" t="str">
        <f aca="false">IFERROR(INDEX('Materials Master'!$C$2:$C$20,MATCH($C186,'Materials Master'!$A$2:$A$20,0)),"")</f>
        <v>Organics</v>
      </c>
      <c r="F186" s="0" t="n">
        <f aca="false">IF(SUMIFS(Fact_SortedWeights!$E$2:$E$67,Fact_SortedWeights!$C$2:$C$67,$A186,Fact_SortedWeights!$B$2:$B$67,$B186)=0,0,SUMIFS(Fact_SortedWeights!$E$2:$E$67,Fact_SortedWeights!$C$2:$C$67,$A186,Fact_SortedWeights!$B$2:$B$67,$B186,Fact_SortedWeights!$D$2:$D$67,$C186)/SUMIFS(Fact_SortedWeights!$E$2:$E$67,Fact_SortedWeights!$C$2:$C$67,$A186,Fact_SortedWeights!$B$2:$B$67,$B186)*(IF($B186="Cardboard Recycling",SUMIFS(Fact_SortedWeights!$E$2:$E$67,Fact_SortedWeights!$C$2:$C$67,$A186,Fact_SortedWeights!$B$2:$B$67,$B186),SUMIFS(Fact_PreSortWeights!$E$2:$E$6,Fact_PreSortWeights!$C$2:$C$6,$A186,Fact_PreSortWeights!$B$2:$B$6,$B186))))</f>
        <v>0</v>
      </c>
      <c r="G186" s="0" t="n">
        <f aca="false">IF(AND(IF($B186="Trash",INDEX('Materials Master'!$F$2:$F$20,MATCH($C186,'Materials Master'!$A$2:$A$20,0)),IF($B186="GMPC Recycling",INDEX('Materials Master'!$G$2:$G$20,MATCH($C186,'Materials Master'!$A$2:$A$20,0)),IF($B186="Organics Recycling",INDEX('Materials Master'!$H$2:$H$20,MATCH($C186,'Materials Master'!$A$2:$A$20,0)),IF($B186="Cardboard Recycling",INDEX('Materials Master'!$I$2:$I$20,MATCH($C186,'Materials Master'!$A$2:$A$20,0)),IF($B186="Paper Recycling",INDEX('Materials Master'!$J$2:$J$20,MATCH($C186,'Materials Master'!$A$2:$A$20,0)),IF($B186="Terracycle",INDEX('Materials Master'!$K$2:$K$20,MATCH($C186,'Materials Master'!$A$2:$A$20,0)),"No"))))))="Yes",INDEX('Materials Master'!$E$2:$E$20,MATCH($C186,'Materials Master'!$A$2:$A$20,0))="Yes",$B186&lt;&gt;"Trash"),1,0)</f>
        <v>0</v>
      </c>
      <c r="H186" s="0" t="str">
        <f aca="false">INDEX('Materials Master'!$E$2:$E$20,MATCH($C186,'Materials Master'!$A$2:$A$20,0))</f>
        <v>Yes</v>
      </c>
      <c r="I186" s="0" t="str">
        <f aca="false">IFERROR(INDEX(Areas!$C$2:$C$3,MATCH($A186,Areas!$B$2:$B$3,0)),"")</f>
        <v>Base Building</v>
      </c>
      <c r="J186" s="0" t="n">
        <f aca="false">IF(IF($B186="Trash",INDEX('Materials Master'!$F$2:$F$20,MATCH($C186,'Materials Master'!$A$2:$A$20,0)),IF($B186="GMPC Recycling",INDEX('Materials Master'!$G$2:$G$20,MATCH($C186,'Materials Master'!$A$2:$A$20,0)),IF($B186="Organics Recycling",INDEX('Materials Master'!$H$2:$H$20,MATCH($C186,'Materials Master'!$A$2:$A$20,0)),IF($B186="Cardboard Recycling",INDEX('Materials Master'!$I$2:$I$20,MATCH($C186,'Materials Master'!$A$2:$A$20,0)),IF($B186="Paper Recycling",INDEX('Materials Master'!$J$2:$J$20,MATCH($C186,'Materials Master'!$A$2:$A$20,0)),IF($B186="Terracycle",INDEX('Materials Master'!$K$2:$K$20,MATCH($C186,'Materials Master'!$A$2:$A$20,0)),"No"))))))="Yes",1,0)</f>
        <v>0</v>
      </c>
    </row>
    <row r="187" customFormat="false" ht="15" hidden="false" customHeight="false" outlineLevel="0" collapsed="false">
      <c r="A187" s="0" t="s">
        <v>81</v>
      </c>
      <c r="B187" s="0" t="s">
        <v>86</v>
      </c>
      <c r="C187" s="0" t="s">
        <v>63</v>
      </c>
      <c r="D187" s="0" t="str">
        <f aca="false">IFERROR(INDEX('Materials Master'!$B$2:$B$20,MATCH($C187,'Materials Master'!$A$2:$A$20,0)),"")</f>
        <v>Paper Fibers and FSP</v>
      </c>
      <c r="E187" s="0" t="str">
        <f aca="false">IFERROR(INDEX('Materials Master'!$C$2:$C$20,MATCH($C187,'Materials Master'!$A$2:$A$20,0)),"")</f>
        <v>Organics</v>
      </c>
      <c r="F187" s="0" t="n">
        <f aca="false">IF(SUMIFS(Fact_SortedWeights!$E$2:$E$67,Fact_SortedWeights!$C$2:$C$67,$A187,Fact_SortedWeights!$B$2:$B$67,$B187)=0,0,SUMIFS(Fact_SortedWeights!$E$2:$E$67,Fact_SortedWeights!$C$2:$C$67,$A187,Fact_SortedWeights!$B$2:$B$67,$B187,Fact_SortedWeights!$D$2:$D$67,$C187)/SUMIFS(Fact_SortedWeights!$E$2:$E$67,Fact_SortedWeights!$C$2:$C$67,$A187,Fact_SortedWeights!$B$2:$B$67,$B187)*(IF($B187="Cardboard Recycling",SUMIFS(Fact_SortedWeights!$E$2:$E$67,Fact_SortedWeights!$C$2:$C$67,$A187,Fact_SortedWeights!$B$2:$B$67,$B187),SUMIFS(Fact_PreSortWeights!$E$2:$E$6,Fact_PreSortWeights!$C$2:$C$6,$A187,Fact_PreSortWeights!$B$2:$B$6,$B187))))</f>
        <v>0</v>
      </c>
      <c r="G187" s="0" t="n">
        <f aca="false">IF(AND(IF($B187="Trash",INDEX('Materials Master'!$F$2:$F$20,MATCH($C187,'Materials Master'!$A$2:$A$20,0)),IF($B187="GMPC Recycling",INDEX('Materials Master'!$G$2:$G$20,MATCH($C187,'Materials Master'!$A$2:$A$20,0)),IF($B187="Organics Recycling",INDEX('Materials Master'!$H$2:$H$20,MATCH($C187,'Materials Master'!$A$2:$A$20,0)),IF($B187="Cardboard Recycling",INDEX('Materials Master'!$I$2:$I$20,MATCH($C187,'Materials Master'!$A$2:$A$20,0)),IF($B187="Paper Recycling",INDEX('Materials Master'!$J$2:$J$20,MATCH($C187,'Materials Master'!$A$2:$A$20,0)),IF($B187="Terracycle",INDEX('Materials Master'!$K$2:$K$20,MATCH($C187,'Materials Master'!$A$2:$A$20,0)),"No"))))))="Yes",INDEX('Materials Master'!$E$2:$E$20,MATCH($C187,'Materials Master'!$A$2:$A$20,0))="Yes",$B187&lt;&gt;"Trash"),1,0)</f>
        <v>0</v>
      </c>
      <c r="H187" s="0" t="str">
        <f aca="false">INDEX('Materials Master'!$E$2:$E$20,MATCH($C187,'Materials Master'!$A$2:$A$20,0))</f>
        <v>No</v>
      </c>
      <c r="I187" s="0" t="str">
        <f aca="false">IFERROR(INDEX(Areas!$C$2:$C$3,MATCH($A187,Areas!$B$2:$B$3,0)),"")</f>
        <v>Base Building</v>
      </c>
      <c r="J187" s="0" t="n">
        <f aca="false">IF(IF($B187="Trash",INDEX('Materials Master'!$F$2:$F$20,MATCH($C187,'Materials Master'!$A$2:$A$20,0)),IF($B187="GMPC Recycling",INDEX('Materials Master'!$G$2:$G$20,MATCH($C187,'Materials Master'!$A$2:$A$20,0)),IF($B187="Organics Recycling",INDEX('Materials Master'!$H$2:$H$20,MATCH($C187,'Materials Master'!$A$2:$A$20,0)),IF($B187="Cardboard Recycling",INDEX('Materials Master'!$I$2:$I$20,MATCH($C187,'Materials Master'!$A$2:$A$20,0)),IF($B187="Paper Recycling",INDEX('Materials Master'!$J$2:$J$20,MATCH($C187,'Materials Master'!$A$2:$A$20,0)),IF($B187="Terracycle",INDEX('Materials Master'!$K$2:$K$20,MATCH($C187,'Materials Master'!$A$2:$A$20,0)),"No"))))))="Yes",1,0)</f>
        <v>0</v>
      </c>
    </row>
    <row r="188" customFormat="false" ht="15" hidden="false" customHeight="false" outlineLevel="0" collapsed="false">
      <c r="A188" s="0" t="s">
        <v>81</v>
      </c>
      <c r="B188" s="0" t="s">
        <v>86</v>
      </c>
      <c r="C188" s="0" t="s">
        <v>65</v>
      </c>
      <c r="D188" s="0" t="str">
        <f aca="false">IFERROR(INDEX('Materials Master'!$B$2:$B$20,MATCH($C188,'Materials Master'!$A$2:$A$20,0)),"")</f>
        <v>Certified Compostables</v>
      </c>
      <c r="E188" s="0" t="str">
        <f aca="false">IFERROR(INDEX('Materials Master'!$C$2:$C$20,MATCH($C188,'Materials Master'!$A$2:$A$20,0)),"")</f>
        <v>Organics</v>
      </c>
      <c r="F188" s="0" t="n">
        <f aca="false">IF(SUMIFS(Fact_SortedWeights!$E$2:$E$67,Fact_SortedWeights!$C$2:$C$67,$A188,Fact_SortedWeights!$B$2:$B$67,$B188)=0,0,SUMIFS(Fact_SortedWeights!$E$2:$E$67,Fact_SortedWeights!$C$2:$C$67,$A188,Fact_SortedWeights!$B$2:$B$67,$B188,Fact_SortedWeights!$D$2:$D$67,$C188)/SUMIFS(Fact_SortedWeights!$E$2:$E$67,Fact_SortedWeights!$C$2:$C$67,$A188,Fact_SortedWeights!$B$2:$B$67,$B188)*(IF($B188="Cardboard Recycling",SUMIFS(Fact_SortedWeights!$E$2:$E$67,Fact_SortedWeights!$C$2:$C$67,$A188,Fact_SortedWeights!$B$2:$B$67,$B188),SUMIFS(Fact_PreSortWeights!$E$2:$E$6,Fact_PreSortWeights!$C$2:$C$6,$A188,Fact_PreSortWeights!$B$2:$B$6,$B188))))</f>
        <v>0</v>
      </c>
      <c r="G188" s="0" t="n">
        <f aca="false">IF(AND(IF($B188="Trash",INDEX('Materials Master'!$F$2:$F$20,MATCH($C188,'Materials Master'!$A$2:$A$20,0)),IF($B188="GMPC Recycling",INDEX('Materials Master'!$G$2:$G$20,MATCH($C188,'Materials Master'!$A$2:$A$20,0)),IF($B188="Organics Recycling",INDEX('Materials Master'!$H$2:$H$20,MATCH($C188,'Materials Master'!$A$2:$A$20,0)),IF($B188="Cardboard Recycling",INDEX('Materials Master'!$I$2:$I$20,MATCH($C188,'Materials Master'!$A$2:$A$20,0)),IF($B188="Paper Recycling",INDEX('Materials Master'!$J$2:$J$20,MATCH($C188,'Materials Master'!$A$2:$A$20,0)),IF($B188="Terracycle",INDEX('Materials Master'!$K$2:$K$20,MATCH($C188,'Materials Master'!$A$2:$A$20,0)),"No"))))))="Yes",INDEX('Materials Master'!$E$2:$E$20,MATCH($C188,'Materials Master'!$A$2:$A$20,0))="Yes",$B188&lt;&gt;"Trash"),1,0)</f>
        <v>0</v>
      </c>
      <c r="H188" s="0" t="str">
        <f aca="false">INDEX('Materials Master'!$E$2:$E$20,MATCH($C188,'Materials Master'!$A$2:$A$20,0))</f>
        <v>No</v>
      </c>
      <c r="I188" s="0" t="str">
        <f aca="false">IFERROR(INDEX(Areas!$C$2:$C$3,MATCH($A188,Areas!$B$2:$B$3,0)),"")</f>
        <v>Base Building</v>
      </c>
      <c r="J188" s="0" t="n">
        <f aca="false">IF(IF($B188="Trash",INDEX('Materials Master'!$F$2:$F$20,MATCH($C188,'Materials Master'!$A$2:$A$20,0)),IF($B188="GMPC Recycling",INDEX('Materials Master'!$G$2:$G$20,MATCH($C188,'Materials Master'!$A$2:$A$20,0)),IF($B188="Organics Recycling",INDEX('Materials Master'!$H$2:$H$20,MATCH($C188,'Materials Master'!$A$2:$A$20,0)),IF($B188="Cardboard Recycling",INDEX('Materials Master'!$I$2:$I$20,MATCH($C188,'Materials Master'!$A$2:$A$20,0)),IF($B188="Paper Recycling",INDEX('Materials Master'!$J$2:$J$20,MATCH($C188,'Materials Master'!$A$2:$A$20,0)),IF($B188="Terracycle",INDEX('Materials Master'!$K$2:$K$20,MATCH($C188,'Materials Master'!$A$2:$A$20,0)),"No"))))))="Yes",1,0)</f>
        <v>0</v>
      </c>
    </row>
    <row r="189" customFormat="false" ht="15" hidden="false" customHeight="false" outlineLevel="0" collapsed="false">
      <c r="A189" s="0" t="s">
        <v>81</v>
      </c>
      <c r="B189" s="0" t="s">
        <v>86</v>
      </c>
      <c r="C189" s="0" t="s">
        <v>67</v>
      </c>
      <c r="D189" s="0" t="str">
        <f aca="false">IFERROR(INDEX('Materials Master'!$B$2:$B$20,MATCH($C189,'Materials Master'!$A$2:$A$20,0)),"")</f>
        <v>Textiles</v>
      </c>
      <c r="E189" s="0" t="str">
        <f aca="false">IFERROR(INDEX('Materials Master'!$C$2:$C$20,MATCH($C189,'Materials Master'!$A$2:$A$20,0)),"")</f>
        <v>Unacceptable</v>
      </c>
      <c r="F189" s="0" t="n">
        <f aca="false">IF(SUMIFS(Fact_SortedWeights!$E$2:$E$67,Fact_SortedWeights!$C$2:$C$67,$A189,Fact_SortedWeights!$B$2:$B$67,$B189)=0,0,SUMIFS(Fact_SortedWeights!$E$2:$E$67,Fact_SortedWeights!$C$2:$C$67,$A189,Fact_SortedWeights!$B$2:$B$67,$B189,Fact_SortedWeights!$D$2:$D$67,$C189)/SUMIFS(Fact_SortedWeights!$E$2:$E$67,Fact_SortedWeights!$C$2:$C$67,$A189,Fact_SortedWeights!$B$2:$B$67,$B189)*(IF($B189="Cardboard Recycling",SUMIFS(Fact_SortedWeights!$E$2:$E$67,Fact_SortedWeights!$C$2:$C$67,$A189,Fact_SortedWeights!$B$2:$B$67,$B189),SUMIFS(Fact_PreSortWeights!$E$2:$E$6,Fact_PreSortWeights!$C$2:$C$6,$A189,Fact_PreSortWeights!$B$2:$B$6,$B189))))</f>
        <v>0</v>
      </c>
      <c r="G189" s="0" t="n">
        <f aca="false">IF(AND(IF($B189="Trash",INDEX('Materials Master'!$F$2:$F$20,MATCH($C189,'Materials Master'!$A$2:$A$20,0)),IF($B189="GMPC Recycling",INDEX('Materials Master'!$G$2:$G$20,MATCH($C189,'Materials Master'!$A$2:$A$20,0)),IF($B189="Organics Recycling",INDEX('Materials Master'!$H$2:$H$20,MATCH($C189,'Materials Master'!$A$2:$A$20,0)),IF($B189="Cardboard Recycling",INDEX('Materials Master'!$I$2:$I$20,MATCH($C189,'Materials Master'!$A$2:$A$20,0)),IF($B189="Paper Recycling",INDEX('Materials Master'!$J$2:$J$20,MATCH($C189,'Materials Master'!$A$2:$A$20,0)),IF($B189="Terracycle",INDEX('Materials Master'!$K$2:$K$20,MATCH($C189,'Materials Master'!$A$2:$A$20,0)),"No"))))))="Yes",INDEX('Materials Master'!$E$2:$E$20,MATCH($C189,'Materials Master'!$A$2:$A$20,0))="Yes",$B189&lt;&gt;"Trash"),1,0)</f>
        <v>0</v>
      </c>
      <c r="H189" s="0" t="str">
        <f aca="false">INDEX('Materials Master'!$E$2:$E$20,MATCH($C189,'Materials Master'!$A$2:$A$20,0))</f>
        <v>No</v>
      </c>
      <c r="I189" s="0" t="str">
        <f aca="false">IFERROR(INDEX(Areas!$C$2:$C$3,MATCH($A189,Areas!$B$2:$B$3,0)),"")</f>
        <v>Base Building</v>
      </c>
      <c r="J189" s="0" t="n">
        <f aca="false">IF(IF($B189="Trash",INDEX('Materials Master'!$F$2:$F$20,MATCH($C189,'Materials Master'!$A$2:$A$20,0)),IF($B189="GMPC Recycling",INDEX('Materials Master'!$G$2:$G$20,MATCH($C189,'Materials Master'!$A$2:$A$20,0)),IF($B189="Organics Recycling",INDEX('Materials Master'!$H$2:$H$20,MATCH($C189,'Materials Master'!$A$2:$A$20,0)),IF($B189="Cardboard Recycling",INDEX('Materials Master'!$I$2:$I$20,MATCH($C189,'Materials Master'!$A$2:$A$20,0)),IF($B189="Paper Recycling",INDEX('Materials Master'!$J$2:$J$20,MATCH($C189,'Materials Master'!$A$2:$A$20,0)),IF($B189="Terracycle",INDEX('Materials Master'!$K$2:$K$20,MATCH($C189,'Materials Master'!$A$2:$A$20,0)),"No"))))))="Yes",1,0)</f>
        <v>0</v>
      </c>
    </row>
    <row r="190" customFormat="false" ht="15" hidden="false" customHeight="false" outlineLevel="0" collapsed="false">
      <c r="A190" s="0" t="s">
        <v>81</v>
      </c>
      <c r="B190" s="0" t="s">
        <v>86</v>
      </c>
      <c r="C190" s="0" t="s">
        <v>70</v>
      </c>
      <c r="D190" s="0" t="str">
        <f aca="false">IFERROR(INDEX('Materials Master'!$B$2:$B$20,MATCH($C190,'Materials Master'!$A$2:$A$20,0)),"")</f>
        <v>Liquids</v>
      </c>
      <c r="E190" s="0" t="str">
        <f aca="false">IFERROR(INDEX('Materials Master'!$C$2:$C$20,MATCH($C190,'Materials Master'!$A$2:$A$20,0)),"")</f>
        <v>Unacceptable</v>
      </c>
      <c r="F190" s="0" t="n">
        <f aca="false">IF(SUMIFS(Fact_SortedWeights!$E$2:$E$67,Fact_SortedWeights!$C$2:$C$67,$A190,Fact_SortedWeights!$B$2:$B$67,$B190)=0,0,SUMIFS(Fact_SortedWeights!$E$2:$E$67,Fact_SortedWeights!$C$2:$C$67,$A190,Fact_SortedWeights!$B$2:$B$67,$B190,Fact_SortedWeights!$D$2:$D$67,$C190)/SUMIFS(Fact_SortedWeights!$E$2:$E$67,Fact_SortedWeights!$C$2:$C$67,$A190,Fact_SortedWeights!$B$2:$B$67,$B190)*(IF($B190="Cardboard Recycling",SUMIFS(Fact_SortedWeights!$E$2:$E$67,Fact_SortedWeights!$C$2:$C$67,$A190,Fact_SortedWeights!$B$2:$B$67,$B190),SUMIFS(Fact_PreSortWeights!$E$2:$E$6,Fact_PreSortWeights!$C$2:$C$6,$A190,Fact_PreSortWeights!$B$2:$B$6,$B190))))</f>
        <v>0</v>
      </c>
      <c r="G190" s="0" t="n">
        <f aca="false">IF(AND(IF($B190="Trash",INDEX('Materials Master'!$F$2:$F$20,MATCH($C190,'Materials Master'!$A$2:$A$20,0)),IF($B190="GMPC Recycling",INDEX('Materials Master'!$G$2:$G$20,MATCH($C190,'Materials Master'!$A$2:$A$20,0)),IF($B190="Organics Recycling",INDEX('Materials Master'!$H$2:$H$20,MATCH($C190,'Materials Master'!$A$2:$A$20,0)),IF($B190="Cardboard Recycling",INDEX('Materials Master'!$I$2:$I$20,MATCH($C190,'Materials Master'!$A$2:$A$20,0)),IF($B190="Paper Recycling",INDEX('Materials Master'!$J$2:$J$20,MATCH($C190,'Materials Master'!$A$2:$A$20,0)),IF($B190="Terracycle",INDEX('Materials Master'!$K$2:$K$20,MATCH($C190,'Materials Master'!$A$2:$A$20,0)),"No"))))))="Yes",INDEX('Materials Master'!$E$2:$E$20,MATCH($C190,'Materials Master'!$A$2:$A$20,0))="Yes",$B190&lt;&gt;"Trash"),1,0)</f>
        <v>0</v>
      </c>
      <c r="H190" s="0" t="str">
        <f aca="false">INDEX('Materials Master'!$E$2:$E$20,MATCH($C190,'Materials Master'!$A$2:$A$20,0))</f>
        <v>No</v>
      </c>
      <c r="I190" s="0" t="str">
        <f aca="false">IFERROR(INDEX(Areas!$C$2:$C$3,MATCH($A190,Areas!$B$2:$B$3,0)),"")</f>
        <v>Base Building</v>
      </c>
      <c r="J190" s="0" t="n">
        <f aca="false">IF(IF($B190="Trash",INDEX('Materials Master'!$F$2:$F$20,MATCH($C190,'Materials Master'!$A$2:$A$20,0)),IF($B190="GMPC Recycling",INDEX('Materials Master'!$G$2:$G$20,MATCH($C190,'Materials Master'!$A$2:$A$20,0)),IF($B190="Organics Recycling",INDEX('Materials Master'!$H$2:$H$20,MATCH($C190,'Materials Master'!$A$2:$A$20,0)),IF($B190="Cardboard Recycling",INDEX('Materials Master'!$I$2:$I$20,MATCH($C190,'Materials Master'!$A$2:$A$20,0)),IF($B190="Paper Recycling",INDEX('Materials Master'!$J$2:$J$20,MATCH($C190,'Materials Master'!$A$2:$A$20,0)),IF($B190="Terracycle",INDEX('Materials Master'!$K$2:$K$20,MATCH($C190,'Materials Master'!$A$2:$A$20,0)),"No"))))))="Yes",1,0)</f>
        <v>0</v>
      </c>
    </row>
    <row r="191" customFormat="false" ht="15" hidden="false" customHeight="false" outlineLevel="0" collapsed="false">
      <c r="A191" s="0" t="s">
        <v>81</v>
      </c>
      <c r="B191" s="0" t="s">
        <v>86</v>
      </c>
      <c r="C191" s="0" t="s">
        <v>72</v>
      </c>
      <c r="D191" s="0" t="str">
        <f aca="false">IFERROR(INDEX('Materials Master'!$B$2:$B$20,MATCH($C191,'Materials Master'!$A$2:$A$20,0)),"")</f>
        <v>Residual Materials</v>
      </c>
      <c r="E191" s="0" t="str">
        <f aca="false">IFERROR(INDEX('Materials Master'!$C$2:$C$20,MATCH($C191,'Materials Master'!$A$2:$A$20,0)),"")</f>
        <v>Other</v>
      </c>
      <c r="F191" s="0" t="n">
        <f aca="false">IF(SUMIFS(Fact_SortedWeights!$E$2:$E$67,Fact_SortedWeights!$C$2:$C$67,$A191,Fact_SortedWeights!$B$2:$B$67,$B191)=0,0,SUMIFS(Fact_SortedWeights!$E$2:$E$67,Fact_SortedWeights!$C$2:$C$67,$A191,Fact_SortedWeights!$B$2:$B$67,$B191,Fact_SortedWeights!$D$2:$D$67,$C191)/SUMIFS(Fact_SortedWeights!$E$2:$E$67,Fact_SortedWeights!$C$2:$C$67,$A191,Fact_SortedWeights!$B$2:$B$67,$B191)*(IF($B191="Cardboard Recycling",SUMIFS(Fact_SortedWeights!$E$2:$E$67,Fact_SortedWeights!$C$2:$C$67,$A191,Fact_SortedWeights!$B$2:$B$67,$B191),SUMIFS(Fact_PreSortWeights!$E$2:$E$6,Fact_PreSortWeights!$C$2:$C$6,$A191,Fact_PreSortWeights!$B$2:$B$6,$B191))))</f>
        <v>0</v>
      </c>
      <c r="G191" s="0" t="n">
        <f aca="false">IF(AND(IF($B191="Trash",INDEX('Materials Master'!$F$2:$F$20,MATCH($C191,'Materials Master'!$A$2:$A$20,0)),IF($B191="GMPC Recycling",INDEX('Materials Master'!$G$2:$G$20,MATCH($C191,'Materials Master'!$A$2:$A$20,0)),IF($B191="Organics Recycling",INDEX('Materials Master'!$H$2:$H$20,MATCH($C191,'Materials Master'!$A$2:$A$20,0)),IF($B191="Cardboard Recycling",INDEX('Materials Master'!$I$2:$I$20,MATCH($C191,'Materials Master'!$A$2:$A$20,0)),IF($B191="Paper Recycling",INDEX('Materials Master'!$J$2:$J$20,MATCH($C191,'Materials Master'!$A$2:$A$20,0)),IF($B191="Terracycle",INDEX('Materials Master'!$K$2:$K$20,MATCH($C191,'Materials Master'!$A$2:$A$20,0)),"No"))))))="Yes",INDEX('Materials Master'!$E$2:$E$20,MATCH($C191,'Materials Master'!$A$2:$A$20,0))="Yes",$B191&lt;&gt;"Trash"),1,0)</f>
        <v>0</v>
      </c>
      <c r="H191" s="0" t="str">
        <f aca="false">INDEX('Materials Master'!$E$2:$E$20,MATCH($C191,'Materials Master'!$A$2:$A$20,0))</f>
        <v>No</v>
      </c>
      <c r="I191" s="0" t="str">
        <f aca="false">IFERROR(INDEX(Areas!$C$2:$C$3,MATCH($A191,Areas!$B$2:$B$3,0)),"")</f>
        <v>Base Building</v>
      </c>
      <c r="J191" s="0" t="n">
        <f aca="false">IF(IF($B191="Trash",INDEX('Materials Master'!$F$2:$F$20,MATCH($C191,'Materials Master'!$A$2:$A$20,0)),IF($B191="GMPC Recycling",INDEX('Materials Master'!$G$2:$G$20,MATCH($C191,'Materials Master'!$A$2:$A$20,0)),IF($B191="Organics Recycling",INDEX('Materials Master'!$H$2:$H$20,MATCH($C191,'Materials Master'!$A$2:$A$20,0)),IF($B191="Cardboard Recycling",INDEX('Materials Master'!$I$2:$I$20,MATCH($C191,'Materials Master'!$A$2:$A$20,0)),IF($B191="Paper Recycling",INDEX('Materials Master'!$J$2:$J$20,MATCH($C191,'Materials Master'!$A$2:$A$20,0)),IF($B191="Terracycle",INDEX('Materials Master'!$K$2:$K$20,MATCH($C191,'Materials Master'!$A$2:$A$20,0)),"No"))))))="Yes",1,0)</f>
        <v>0</v>
      </c>
    </row>
    <row r="192" customFormat="false" ht="15" hidden="false" customHeight="false" outlineLevel="0" collapsed="false">
      <c r="A192" s="0" t="s">
        <v>81</v>
      </c>
      <c r="B192" s="0" t="s">
        <v>87</v>
      </c>
      <c r="C192" s="0" t="s">
        <v>28</v>
      </c>
      <c r="D192" s="0" t="str">
        <f aca="false">IFERROR(INDEX('Materials Master'!$B$2:$B$20,MATCH($C192,'Materials Master'!$A$2:$A$20,0)),"")</f>
        <v>Corrugated Cardboard</v>
      </c>
      <c r="E192" s="0" t="str">
        <f aca="false">IFERROR(INDEX('Materials Master'!$C$2:$C$20,MATCH($C192,'Materials Master'!$A$2:$A$20,0)),"")</f>
        <v>Fibers</v>
      </c>
      <c r="F192" s="0" t="n">
        <f aca="false">IF(SUMIFS(Fact_SortedWeights!$E$2:$E$67,Fact_SortedWeights!$C$2:$C$67,$A192,Fact_SortedWeights!$B$2:$B$67,$B192)=0,0,SUMIFS(Fact_SortedWeights!$E$2:$E$67,Fact_SortedWeights!$C$2:$C$67,$A192,Fact_SortedWeights!$B$2:$B$67,$B192,Fact_SortedWeights!$D$2:$D$67,$C192)/SUMIFS(Fact_SortedWeights!$E$2:$E$67,Fact_SortedWeights!$C$2:$C$67,$A192,Fact_SortedWeights!$B$2:$B$67,$B192)*(IF($B192="Cardboard Recycling",SUMIFS(Fact_SortedWeights!$E$2:$E$67,Fact_SortedWeights!$C$2:$C$67,$A192,Fact_SortedWeights!$B$2:$B$67,$B192),SUMIFS(Fact_PreSortWeights!$E$2:$E$6,Fact_PreSortWeights!$C$2:$C$6,$A192,Fact_PreSortWeights!$B$2:$B$6,$B192))))</f>
        <v>0</v>
      </c>
      <c r="G192" s="0" t="n">
        <f aca="false">IF(AND(IF($B192="Trash",INDEX('Materials Master'!$F$2:$F$20,MATCH($C192,'Materials Master'!$A$2:$A$20,0)),IF($B192="GMPC Recycling",INDEX('Materials Master'!$G$2:$G$20,MATCH($C192,'Materials Master'!$A$2:$A$20,0)),IF($B192="Organics Recycling",INDEX('Materials Master'!$H$2:$H$20,MATCH($C192,'Materials Master'!$A$2:$A$20,0)),IF($B192="Cardboard Recycling",INDEX('Materials Master'!$I$2:$I$20,MATCH($C192,'Materials Master'!$A$2:$A$20,0)),IF($B192="Paper Recycling",INDEX('Materials Master'!$J$2:$J$20,MATCH($C192,'Materials Master'!$A$2:$A$20,0)),IF($B192="Terracycle",INDEX('Materials Master'!$K$2:$K$20,MATCH($C192,'Materials Master'!$A$2:$A$20,0)),"No"))))))="Yes",INDEX('Materials Master'!$E$2:$E$20,MATCH($C192,'Materials Master'!$A$2:$A$20,0))="Yes",$B192&lt;&gt;"Trash"),1,0)</f>
        <v>0</v>
      </c>
      <c r="H192" s="0" t="str">
        <f aca="false">INDEX('Materials Master'!$E$2:$E$20,MATCH($C192,'Materials Master'!$A$2:$A$20,0))</f>
        <v>Yes</v>
      </c>
      <c r="I192" s="0" t="str">
        <f aca="false">IFERROR(INDEX(Areas!$C$2:$C$3,MATCH($A192,Areas!$B$2:$B$3,0)),"")</f>
        <v>Base Building</v>
      </c>
      <c r="J192" s="0" t="n">
        <f aca="false">IF(IF($B192="Trash",INDEX('Materials Master'!$F$2:$F$20,MATCH($C192,'Materials Master'!$A$2:$A$20,0)),IF($B192="GMPC Recycling",INDEX('Materials Master'!$G$2:$G$20,MATCH($C192,'Materials Master'!$A$2:$A$20,0)),IF($B192="Organics Recycling",INDEX('Materials Master'!$H$2:$H$20,MATCH($C192,'Materials Master'!$A$2:$A$20,0)),IF($B192="Cardboard Recycling",INDEX('Materials Master'!$I$2:$I$20,MATCH($C192,'Materials Master'!$A$2:$A$20,0)),IF($B192="Paper Recycling",INDEX('Materials Master'!$J$2:$J$20,MATCH($C192,'Materials Master'!$A$2:$A$20,0)),IF($B192="Terracycle",INDEX('Materials Master'!$K$2:$K$20,MATCH($C192,'Materials Master'!$A$2:$A$20,0)),"No"))))))="Yes",1,0)</f>
        <v>0</v>
      </c>
    </row>
    <row r="193" customFormat="false" ht="15" hidden="false" customHeight="false" outlineLevel="0" collapsed="false">
      <c r="A193" s="0" t="s">
        <v>81</v>
      </c>
      <c r="B193" s="0" t="s">
        <v>87</v>
      </c>
      <c r="C193" s="0" t="s">
        <v>33</v>
      </c>
      <c r="D193" s="0" t="str">
        <f aca="false">IFERROR(INDEX('Materials Master'!$B$2:$B$20,MATCH($C193,'Materials Master'!$A$2:$A$20,0)),"")</f>
        <v>Waxed Cardboard</v>
      </c>
      <c r="E193" s="0" t="str">
        <f aca="false">IFERROR(INDEX('Materials Master'!$C$2:$C$20,MATCH($C193,'Materials Master'!$A$2:$A$20,0)),"")</f>
        <v>Fibers</v>
      </c>
      <c r="F193" s="0" t="n">
        <f aca="false">IF(SUMIFS(Fact_SortedWeights!$E$2:$E$67,Fact_SortedWeights!$C$2:$C$67,$A193,Fact_SortedWeights!$B$2:$B$67,$B193)=0,0,SUMIFS(Fact_SortedWeights!$E$2:$E$67,Fact_SortedWeights!$C$2:$C$67,$A193,Fact_SortedWeights!$B$2:$B$67,$B193,Fact_SortedWeights!$D$2:$D$67,$C193)/SUMIFS(Fact_SortedWeights!$E$2:$E$67,Fact_SortedWeights!$C$2:$C$67,$A193,Fact_SortedWeights!$B$2:$B$67,$B193)*(IF($B193="Cardboard Recycling",SUMIFS(Fact_SortedWeights!$E$2:$E$67,Fact_SortedWeights!$C$2:$C$67,$A193,Fact_SortedWeights!$B$2:$B$67,$B193),SUMIFS(Fact_PreSortWeights!$E$2:$E$6,Fact_PreSortWeights!$C$2:$C$6,$A193,Fact_PreSortWeights!$B$2:$B$6,$B193))))</f>
        <v>0</v>
      </c>
      <c r="G193" s="0" t="n">
        <f aca="false">IF(AND(IF($B193="Trash",INDEX('Materials Master'!$F$2:$F$20,MATCH($C193,'Materials Master'!$A$2:$A$20,0)),IF($B193="GMPC Recycling",INDEX('Materials Master'!$G$2:$G$20,MATCH($C193,'Materials Master'!$A$2:$A$20,0)),IF($B193="Organics Recycling",INDEX('Materials Master'!$H$2:$H$20,MATCH($C193,'Materials Master'!$A$2:$A$20,0)),IF($B193="Cardboard Recycling",INDEX('Materials Master'!$I$2:$I$20,MATCH($C193,'Materials Master'!$A$2:$A$20,0)),IF($B193="Paper Recycling",INDEX('Materials Master'!$J$2:$J$20,MATCH($C193,'Materials Master'!$A$2:$A$20,0)),IF($B193="Terracycle",INDEX('Materials Master'!$K$2:$K$20,MATCH($C193,'Materials Master'!$A$2:$A$20,0)),"No"))))))="Yes",INDEX('Materials Master'!$E$2:$E$20,MATCH($C193,'Materials Master'!$A$2:$A$20,0))="Yes",$B193&lt;&gt;"Trash"),1,0)</f>
        <v>0</v>
      </c>
      <c r="H193" s="0" t="str">
        <f aca="false">INDEX('Materials Master'!$E$2:$E$20,MATCH($C193,'Materials Master'!$A$2:$A$20,0))</f>
        <v>No</v>
      </c>
      <c r="I193" s="0" t="str">
        <f aca="false">IFERROR(INDEX(Areas!$C$2:$C$3,MATCH($A193,Areas!$B$2:$B$3,0)),"")</f>
        <v>Base Building</v>
      </c>
      <c r="J193" s="0" t="n">
        <f aca="false">IF(IF($B193="Trash",INDEX('Materials Master'!$F$2:$F$20,MATCH($C193,'Materials Master'!$A$2:$A$20,0)),IF($B193="GMPC Recycling",INDEX('Materials Master'!$G$2:$G$20,MATCH($C193,'Materials Master'!$A$2:$A$20,0)),IF($B193="Organics Recycling",INDEX('Materials Master'!$H$2:$H$20,MATCH($C193,'Materials Master'!$A$2:$A$20,0)),IF($B193="Cardboard Recycling",INDEX('Materials Master'!$I$2:$I$20,MATCH($C193,'Materials Master'!$A$2:$A$20,0)),IF($B193="Paper Recycling",INDEX('Materials Master'!$J$2:$J$20,MATCH($C193,'Materials Master'!$A$2:$A$20,0)),IF($B193="Terracycle",INDEX('Materials Master'!$K$2:$K$20,MATCH($C193,'Materials Master'!$A$2:$A$20,0)),"No"))))))="Yes",1,0)</f>
        <v>0</v>
      </c>
    </row>
    <row r="194" customFormat="false" ht="15" hidden="false" customHeight="false" outlineLevel="0" collapsed="false">
      <c r="A194" s="0" t="s">
        <v>81</v>
      </c>
      <c r="B194" s="0" t="s">
        <v>87</v>
      </c>
      <c r="C194" s="0" t="s">
        <v>35</v>
      </c>
      <c r="D194" s="0" t="str">
        <f aca="false">IFERROR(INDEX('Materials Master'!$B$2:$B$20,MATCH($C194,'Materials Master'!$A$2:$A$20,0)),"")</f>
        <v>Mixed Paper</v>
      </c>
      <c r="E194" s="0" t="str">
        <f aca="false">IFERROR(INDEX('Materials Master'!$C$2:$C$20,MATCH($C194,'Materials Master'!$A$2:$A$20,0)),"")</f>
        <v>Fibers</v>
      </c>
      <c r="F194" s="0" t="n">
        <f aca="false">IF(SUMIFS(Fact_SortedWeights!$E$2:$E$67,Fact_SortedWeights!$C$2:$C$67,$A194,Fact_SortedWeights!$B$2:$B$67,$B194)=0,0,SUMIFS(Fact_SortedWeights!$E$2:$E$67,Fact_SortedWeights!$C$2:$C$67,$A194,Fact_SortedWeights!$B$2:$B$67,$B194,Fact_SortedWeights!$D$2:$D$67,$C194)/SUMIFS(Fact_SortedWeights!$E$2:$E$67,Fact_SortedWeights!$C$2:$C$67,$A194,Fact_SortedWeights!$B$2:$B$67,$B194)*(IF($B194="Cardboard Recycling",SUMIFS(Fact_SortedWeights!$E$2:$E$67,Fact_SortedWeights!$C$2:$C$67,$A194,Fact_SortedWeights!$B$2:$B$67,$B194),SUMIFS(Fact_PreSortWeights!$E$2:$E$6,Fact_PreSortWeights!$C$2:$C$6,$A194,Fact_PreSortWeights!$B$2:$B$6,$B194))))</f>
        <v>0</v>
      </c>
      <c r="G194" s="0" t="n">
        <f aca="false">IF(AND(IF($B194="Trash",INDEX('Materials Master'!$F$2:$F$20,MATCH($C194,'Materials Master'!$A$2:$A$20,0)),IF($B194="GMPC Recycling",INDEX('Materials Master'!$G$2:$G$20,MATCH($C194,'Materials Master'!$A$2:$A$20,0)),IF($B194="Organics Recycling",INDEX('Materials Master'!$H$2:$H$20,MATCH($C194,'Materials Master'!$A$2:$A$20,0)),IF($B194="Cardboard Recycling",INDEX('Materials Master'!$I$2:$I$20,MATCH($C194,'Materials Master'!$A$2:$A$20,0)),IF($B194="Paper Recycling",INDEX('Materials Master'!$J$2:$J$20,MATCH($C194,'Materials Master'!$A$2:$A$20,0)),IF($B194="Terracycle",INDEX('Materials Master'!$K$2:$K$20,MATCH($C194,'Materials Master'!$A$2:$A$20,0)),"No"))))))="Yes",INDEX('Materials Master'!$E$2:$E$20,MATCH($C194,'Materials Master'!$A$2:$A$20,0))="Yes",$B194&lt;&gt;"Trash"),1,0)</f>
        <v>0</v>
      </c>
      <c r="H194" s="0" t="str">
        <f aca="false">INDEX('Materials Master'!$E$2:$E$20,MATCH($C194,'Materials Master'!$A$2:$A$20,0))</f>
        <v>Yes</v>
      </c>
      <c r="I194" s="0" t="str">
        <f aca="false">IFERROR(INDEX(Areas!$C$2:$C$3,MATCH($A194,Areas!$B$2:$B$3,0)),"")</f>
        <v>Base Building</v>
      </c>
      <c r="J194" s="0" t="n">
        <f aca="false">IF(IF($B194="Trash",INDEX('Materials Master'!$F$2:$F$20,MATCH($C194,'Materials Master'!$A$2:$A$20,0)),IF($B194="GMPC Recycling",INDEX('Materials Master'!$G$2:$G$20,MATCH($C194,'Materials Master'!$A$2:$A$20,0)),IF($B194="Organics Recycling",INDEX('Materials Master'!$H$2:$H$20,MATCH($C194,'Materials Master'!$A$2:$A$20,0)),IF($B194="Cardboard Recycling",INDEX('Materials Master'!$I$2:$I$20,MATCH($C194,'Materials Master'!$A$2:$A$20,0)),IF($B194="Paper Recycling",INDEX('Materials Master'!$J$2:$J$20,MATCH($C194,'Materials Master'!$A$2:$A$20,0)),IF($B194="Terracycle",INDEX('Materials Master'!$K$2:$K$20,MATCH($C194,'Materials Master'!$A$2:$A$20,0)),"No"))))))="Yes",1,0)</f>
        <v>0</v>
      </c>
    </row>
    <row r="195" customFormat="false" ht="15" hidden="false" customHeight="false" outlineLevel="0" collapsed="false">
      <c r="A195" s="0" t="s">
        <v>81</v>
      </c>
      <c r="B195" s="0" t="s">
        <v>87</v>
      </c>
      <c r="C195" s="0" t="s">
        <v>37</v>
      </c>
      <c r="D195" s="0" t="str">
        <f aca="false">IFERROR(INDEX('Materials Master'!$B$2:$B$20,MATCH($C195,'Materials Master'!$A$2:$A$20,0)),"")</f>
        <v>Gable-top &amp; Aseptic Cartons</v>
      </c>
      <c r="E195" s="0" t="str">
        <f aca="false">IFERROR(INDEX('Materials Master'!$C$2:$C$20,MATCH($C195,'Materials Master'!$A$2:$A$20,0)),"")</f>
        <v>Fibers</v>
      </c>
      <c r="F195" s="0" t="n">
        <f aca="false">IF(SUMIFS(Fact_SortedWeights!$E$2:$E$67,Fact_SortedWeights!$C$2:$C$67,$A195,Fact_SortedWeights!$B$2:$B$67,$B195)=0,0,SUMIFS(Fact_SortedWeights!$E$2:$E$67,Fact_SortedWeights!$C$2:$C$67,$A195,Fact_SortedWeights!$B$2:$B$67,$B195,Fact_SortedWeights!$D$2:$D$67,$C195)/SUMIFS(Fact_SortedWeights!$E$2:$E$67,Fact_SortedWeights!$C$2:$C$67,$A195,Fact_SortedWeights!$B$2:$B$67,$B195)*(IF($B195="Cardboard Recycling",SUMIFS(Fact_SortedWeights!$E$2:$E$67,Fact_SortedWeights!$C$2:$C$67,$A195,Fact_SortedWeights!$B$2:$B$67,$B195),SUMIFS(Fact_PreSortWeights!$E$2:$E$6,Fact_PreSortWeights!$C$2:$C$6,$A195,Fact_PreSortWeights!$B$2:$B$6,$B195))))</f>
        <v>0</v>
      </c>
      <c r="G195" s="0" t="n">
        <f aca="false">IF(AND(IF($B195="Trash",INDEX('Materials Master'!$F$2:$F$20,MATCH($C195,'Materials Master'!$A$2:$A$20,0)),IF($B195="GMPC Recycling",INDEX('Materials Master'!$G$2:$G$20,MATCH($C195,'Materials Master'!$A$2:$A$20,0)),IF($B195="Organics Recycling",INDEX('Materials Master'!$H$2:$H$20,MATCH($C195,'Materials Master'!$A$2:$A$20,0)),IF($B195="Cardboard Recycling",INDEX('Materials Master'!$I$2:$I$20,MATCH($C195,'Materials Master'!$A$2:$A$20,0)),IF($B195="Paper Recycling",INDEX('Materials Master'!$J$2:$J$20,MATCH($C195,'Materials Master'!$A$2:$A$20,0)),IF($B195="Terracycle",INDEX('Materials Master'!$K$2:$K$20,MATCH($C195,'Materials Master'!$A$2:$A$20,0)),"No"))))))="Yes",INDEX('Materials Master'!$E$2:$E$20,MATCH($C195,'Materials Master'!$A$2:$A$20,0))="Yes",$B195&lt;&gt;"Trash"),1,0)</f>
        <v>0</v>
      </c>
      <c r="H195" s="0" t="str">
        <f aca="false">INDEX('Materials Master'!$E$2:$E$20,MATCH($C195,'Materials Master'!$A$2:$A$20,0))</f>
        <v>Yes</v>
      </c>
      <c r="I195" s="0" t="str">
        <f aca="false">IFERROR(INDEX(Areas!$C$2:$C$3,MATCH($A195,Areas!$B$2:$B$3,0)),"")</f>
        <v>Base Building</v>
      </c>
      <c r="J195" s="0" t="n">
        <f aca="false">IF(IF($B195="Trash",INDEX('Materials Master'!$F$2:$F$20,MATCH($C195,'Materials Master'!$A$2:$A$20,0)),IF($B195="GMPC Recycling",INDEX('Materials Master'!$G$2:$G$20,MATCH($C195,'Materials Master'!$A$2:$A$20,0)),IF($B195="Organics Recycling",INDEX('Materials Master'!$H$2:$H$20,MATCH($C195,'Materials Master'!$A$2:$A$20,0)),IF($B195="Cardboard Recycling",INDEX('Materials Master'!$I$2:$I$20,MATCH($C195,'Materials Master'!$A$2:$A$20,0)),IF($B195="Paper Recycling",INDEX('Materials Master'!$J$2:$J$20,MATCH($C195,'Materials Master'!$A$2:$A$20,0)),IF($B195="Terracycle",INDEX('Materials Master'!$K$2:$K$20,MATCH($C195,'Materials Master'!$A$2:$A$20,0)),"No"))))))="Yes",1,0)</f>
        <v>0</v>
      </c>
    </row>
    <row r="196" customFormat="false" ht="15" hidden="false" customHeight="false" outlineLevel="0" collapsed="false">
      <c r="A196" s="0" t="s">
        <v>81</v>
      </c>
      <c r="B196" s="0" t="s">
        <v>87</v>
      </c>
      <c r="C196" s="0" t="s">
        <v>39</v>
      </c>
      <c r="D196" s="0" t="str">
        <f aca="false">IFERROR(INDEX('Materials Master'!$B$2:$B$20,MATCH($C196,'Materials Master'!$A$2:$A$20,0)),"")</f>
        <v>Other Coated Paper Containers</v>
      </c>
      <c r="E196" s="0" t="str">
        <f aca="false">IFERROR(INDEX('Materials Master'!$C$2:$C$20,MATCH($C196,'Materials Master'!$A$2:$A$20,0)),"")</f>
        <v>Fibers</v>
      </c>
      <c r="F196" s="0" t="n">
        <f aca="false">IF(SUMIFS(Fact_SortedWeights!$E$2:$E$67,Fact_SortedWeights!$C$2:$C$67,$A196,Fact_SortedWeights!$B$2:$B$67,$B196)=0,0,SUMIFS(Fact_SortedWeights!$E$2:$E$67,Fact_SortedWeights!$C$2:$C$67,$A196,Fact_SortedWeights!$B$2:$B$67,$B196,Fact_SortedWeights!$D$2:$D$67,$C196)/SUMIFS(Fact_SortedWeights!$E$2:$E$67,Fact_SortedWeights!$C$2:$C$67,$A196,Fact_SortedWeights!$B$2:$B$67,$B196)*(IF($B196="Cardboard Recycling",SUMIFS(Fact_SortedWeights!$E$2:$E$67,Fact_SortedWeights!$C$2:$C$67,$A196,Fact_SortedWeights!$B$2:$B$67,$B196),SUMIFS(Fact_PreSortWeights!$E$2:$E$6,Fact_PreSortWeights!$C$2:$C$6,$A196,Fact_PreSortWeights!$B$2:$B$6,$B196))))</f>
        <v>0</v>
      </c>
      <c r="G196" s="0" t="n">
        <f aca="false">IF(AND(IF($B196="Trash",INDEX('Materials Master'!$F$2:$F$20,MATCH($C196,'Materials Master'!$A$2:$A$20,0)),IF($B196="GMPC Recycling",INDEX('Materials Master'!$G$2:$G$20,MATCH($C196,'Materials Master'!$A$2:$A$20,0)),IF($B196="Organics Recycling",INDEX('Materials Master'!$H$2:$H$20,MATCH($C196,'Materials Master'!$A$2:$A$20,0)),IF($B196="Cardboard Recycling",INDEX('Materials Master'!$I$2:$I$20,MATCH($C196,'Materials Master'!$A$2:$A$20,0)),IF($B196="Paper Recycling",INDEX('Materials Master'!$J$2:$J$20,MATCH($C196,'Materials Master'!$A$2:$A$20,0)),IF($B196="Terracycle",INDEX('Materials Master'!$K$2:$K$20,MATCH($C196,'Materials Master'!$A$2:$A$20,0)),"No"))))))="Yes",INDEX('Materials Master'!$E$2:$E$20,MATCH($C196,'Materials Master'!$A$2:$A$20,0))="Yes",$B196&lt;&gt;"Trash"),1,0)</f>
        <v>0</v>
      </c>
      <c r="H196" s="0" t="str">
        <f aca="false">INDEX('Materials Master'!$E$2:$E$20,MATCH($C196,'Materials Master'!$A$2:$A$20,0))</f>
        <v>No</v>
      </c>
      <c r="I196" s="0" t="str">
        <f aca="false">IFERROR(INDEX(Areas!$C$2:$C$3,MATCH($A196,Areas!$B$2:$B$3,0)),"")</f>
        <v>Base Building</v>
      </c>
      <c r="J196" s="0" t="n">
        <f aca="false">IF(IF($B196="Trash",INDEX('Materials Master'!$F$2:$F$20,MATCH($C196,'Materials Master'!$A$2:$A$20,0)),IF($B196="GMPC Recycling",INDEX('Materials Master'!$G$2:$G$20,MATCH($C196,'Materials Master'!$A$2:$A$20,0)),IF($B196="Organics Recycling",INDEX('Materials Master'!$H$2:$H$20,MATCH($C196,'Materials Master'!$A$2:$A$20,0)),IF($B196="Cardboard Recycling",INDEX('Materials Master'!$I$2:$I$20,MATCH($C196,'Materials Master'!$A$2:$A$20,0)),IF($B196="Paper Recycling",INDEX('Materials Master'!$J$2:$J$20,MATCH($C196,'Materials Master'!$A$2:$A$20,0)),IF($B196="Terracycle",INDEX('Materials Master'!$K$2:$K$20,MATCH($C196,'Materials Master'!$A$2:$A$20,0)),"No"))))))="Yes",1,0)</f>
        <v>0</v>
      </c>
    </row>
    <row r="197" customFormat="false" ht="15" hidden="false" customHeight="false" outlineLevel="0" collapsed="false">
      <c r="A197" s="0" t="s">
        <v>81</v>
      </c>
      <c r="B197" s="0" t="s">
        <v>87</v>
      </c>
      <c r="C197" s="0" t="s">
        <v>41</v>
      </c>
      <c r="D197" s="0" t="str">
        <f aca="false">IFERROR(INDEX('Materials Master'!$B$2:$B$20,MATCH($C197,'Materials Master'!$A$2:$A$20,0)),"")</f>
        <v>Glass Bottles &amp; Jars</v>
      </c>
      <c r="E197" s="0" t="str">
        <f aca="false">IFERROR(INDEX('Materials Master'!$C$2:$C$20,MATCH($C197,'Materials Master'!$A$2:$A$20,0)),"")</f>
        <v>Glass</v>
      </c>
      <c r="F197" s="0" t="n">
        <f aca="false">IF(SUMIFS(Fact_SortedWeights!$E$2:$E$67,Fact_SortedWeights!$C$2:$C$67,$A197,Fact_SortedWeights!$B$2:$B$67,$B197)=0,0,SUMIFS(Fact_SortedWeights!$E$2:$E$67,Fact_SortedWeights!$C$2:$C$67,$A197,Fact_SortedWeights!$B$2:$B$67,$B197,Fact_SortedWeights!$D$2:$D$67,$C197)/SUMIFS(Fact_SortedWeights!$E$2:$E$67,Fact_SortedWeights!$C$2:$C$67,$A197,Fact_SortedWeights!$B$2:$B$67,$B197)*(IF($B197="Cardboard Recycling",SUMIFS(Fact_SortedWeights!$E$2:$E$67,Fact_SortedWeights!$C$2:$C$67,$A197,Fact_SortedWeights!$B$2:$B$67,$B197),SUMIFS(Fact_PreSortWeights!$E$2:$E$6,Fact_PreSortWeights!$C$2:$C$6,$A197,Fact_PreSortWeights!$B$2:$B$6,$B197))))</f>
        <v>0</v>
      </c>
      <c r="G197" s="0" t="n">
        <f aca="false">IF(AND(IF($B197="Trash",INDEX('Materials Master'!$F$2:$F$20,MATCH($C197,'Materials Master'!$A$2:$A$20,0)),IF($B197="GMPC Recycling",INDEX('Materials Master'!$G$2:$G$20,MATCH($C197,'Materials Master'!$A$2:$A$20,0)),IF($B197="Organics Recycling",INDEX('Materials Master'!$H$2:$H$20,MATCH($C197,'Materials Master'!$A$2:$A$20,0)),IF($B197="Cardboard Recycling",INDEX('Materials Master'!$I$2:$I$20,MATCH($C197,'Materials Master'!$A$2:$A$20,0)),IF($B197="Paper Recycling",INDEX('Materials Master'!$J$2:$J$20,MATCH($C197,'Materials Master'!$A$2:$A$20,0)),IF($B197="Terracycle",INDEX('Materials Master'!$K$2:$K$20,MATCH($C197,'Materials Master'!$A$2:$A$20,0)),"No"))))))="Yes",INDEX('Materials Master'!$E$2:$E$20,MATCH($C197,'Materials Master'!$A$2:$A$20,0))="Yes",$B197&lt;&gt;"Trash"),1,0)</f>
        <v>0</v>
      </c>
      <c r="H197" s="0" t="str">
        <f aca="false">INDEX('Materials Master'!$E$2:$E$20,MATCH($C197,'Materials Master'!$A$2:$A$20,0))</f>
        <v>Yes</v>
      </c>
      <c r="I197" s="0" t="str">
        <f aca="false">IFERROR(INDEX(Areas!$C$2:$C$3,MATCH($A197,Areas!$B$2:$B$3,0)),"")</f>
        <v>Base Building</v>
      </c>
      <c r="J197" s="0" t="n">
        <f aca="false">IF(IF($B197="Trash",INDEX('Materials Master'!$F$2:$F$20,MATCH($C197,'Materials Master'!$A$2:$A$20,0)),IF($B197="GMPC Recycling",INDEX('Materials Master'!$G$2:$G$20,MATCH($C197,'Materials Master'!$A$2:$A$20,0)),IF($B197="Organics Recycling",INDEX('Materials Master'!$H$2:$H$20,MATCH($C197,'Materials Master'!$A$2:$A$20,0)),IF($B197="Cardboard Recycling",INDEX('Materials Master'!$I$2:$I$20,MATCH($C197,'Materials Master'!$A$2:$A$20,0)),IF($B197="Paper Recycling",INDEX('Materials Master'!$J$2:$J$20,MATCH($C197,'Materials Master'!$A$2:$A$20,0)),IF($B197="Terracycle",INDEX('Materials Master'!$K$2:$K$20,MATCH($C197,'Materials Master'!$A$2:$A$20,0)),"No"))))))="Yes",1,0)</f>
        <v>0</v>
      </c>
    </row>
    <row r="198" customFormat="false" ht="15" hidden="false" customHeight="false" outlineLevel="0" collapsed="false">
      <c r="A198" s="0" t="s">
        <v>81</v>
      </c>
      <c r="B198" s="0" t="s">
        <v>87</v>
      </c>
      <c r="C198" s="0" t="s">
        <v>44</v>
      </c>
      <c r="D198" s="0" t="str">
        <f aca="false">IFERROR(INDEX('Materials Master'!$B$2:$B$20,MATCH($C198,'Materials Master'!$A$2:$A$20,0)),"")</f>
        <v>Broken Glass</v>
      </c>
      <c r="E198" s="0" t="str">
        <f aca="false">IFERROR(INDEX('Materials Master'!$C$2:$C$20,MATCH($C198,'Materials Master'!$A$2:$A$20,0)),"")</f>
        <v>Glass</v>
      </c>
      <c r="F198" s="0" t="n">
        <f aca="false">IF(SUMIFS(Fact_SortedWeights!$E$2:$E$67,Fact_SortedWeights!$C$2:$C$67,$A198,Fact_SortedWeights!$B$2:$B$67,$B198)=0,0,SUMIFS(Fact_SortedWeights!$E$2:$E$67,Fact_SortedWeights!$C$2:$C$67,$A198,Fact_SortedWeights!$B$2:$B$67,$B198,Fact_SortedWeights!$D$2:$D$67,$C198)/SUMIFS(Fact_SortedWeights!$E$2:$E$67,Fact_SortedWeights!$C$2:$C$67,$A198,Fact_SortedWeights!$B$2:$B$67,$B198)*(IF($B198="Cardboard Recycling",SUMIFS(Fact_SortedWeights!$E$2:$E$67,Fact_SortedWeights!$C$2:$C$67,$A198,Fact_SortedWeights!$B$2:$B$67,$B198),SUMIFS(Fact_PreSortWeights!$E$2:$E$6,Fact_PreSortWeights!$C$2:$C$6,$A198,Fact_PreSortWeights!$B$2:$B$6,$B198))))</f>
        <v>0</v>
      </c>
      <c r="G198" s="0" t="n">
        <f aca="false">IF(AND(IF($B198="Trash",INDEX('Materials Master'!$F$2:$F$20,MATCH($C198,'Materials Master'!$A$2:$A$20,0)),IF($B198="GMPC Recycling",INDEX('Materials Master'!$G$2:$G$20,MATCH($C198,'Materials Master'!$A$2:$A$20,0)),IF($B198="Organics Recycling",INDEX('Materials Master'!$H$2:$H$20,MATCH($C198,'Materials Master'!$A$2:$A$20,0)),IF($B198="Cardboard Recycling",INDEX('Materials Master'!$I$2:$I$20,MATCH($C198,'Materials Master'!$A$2:$A$20,0)),IF($B198="Paper Recycling",INDEX('Materials Master'!$J$2:$J$20,MATCH($C198,'Materials Master'!$A$2:$A$20,0)),IF($B198="Terracycle",INDEX('Materials Master'!$K$2:$K$20,MATCH($C198,'Materials Master'!$A$2:$A$20,0)),"No"))))))="Yes",INDEX('Materials Master'!$E$2:$E$20,MATCH($C198,'Materials Master'!$A$2:$A$20,0))="Yes",$B198&lt;&gt;"Trash"),1,0)</f>
        <v>0</v>
      </c>
      <c r="H198" s="0" t="str">
        <f aca="false">INDEX('Materials Master'!$E$2:$E$20,MATCH($C198,'Materials Master'!$A$2:$A$20,0))</f>
        <v>No</v>
      </c>
      <c r="I198" s="0" t="str">
        <f aca="false">IFERROR(INDEX(Areas!$C$2:$C$3,MATCH($A198,Areas!$B$2:$B$3,0)),"")</f>
        <v>Base Building</v>
      </c>
      <c r="J198" s="0" t="n">
        <f aca="false">IF(IF($B198="Trash",INDEX('Materials Master'!$F$2:$F$20,MATCH($C198,'Materials Master'!$A$2:$A$20,0)),IF($B198="GMPC Recycling",INDEX('Materials Master'!$G$2:$G$20,MATCH($C198,'Materials Master'!$A$2:$A$20,0)),IF($B198="Organics Recycling",INDEX('Materials Master'!$H$2:$H$20,MATCH($C198,'Materials Master'!$A$2:$A$20,0)),IF($B198="Cardboard Recycling",INDEX('Materials Master'!$I$2:$I$20,MATCH($C198,'Materials Master'!$A$2:$A$20,0)),IF($B198="Paper Recycling",INDEX('Materials Master'!$J$2:$J$20,MATCH($C198,'Materials Master'!$A$2:$A$20,0)),IF($B198="Terracycle",INDEX('Materials Master'!$K$2:$K$20,MATCH($C198,'Materials Master'!$A$2:$A$20,0)),"No"))))))="Yes",1,0)</f>
        <v>0</v>
      </c>
    </row>
    <row r="199" customFormat="false" ht="15" hidden="false" customHeight="false" outlineLevel="0" collapsed="false">
      <c r="A199" s="0" t="s">
        <v>81</v>
      </c>
      <c r="B199" s="0" t="s">
        <v>87</v>
      </c>
      <c r="C199" s="0" t="s">
        <v>46</v>
      </c>
      <c r="D199" s="0" t="str">
        <f aca="false">IFERROR(INDEX('Materials Master'!$B$2:$B$20,MATCH($C199,'Materials Master'!$A$2:$A$20,0)),"")</f>
        <v>Aluminum &amp; Bi-metal Containers</v>
      </c>
      <c r="E199" s="0" t="str">
        <f aca="false">IFERROR(INDEX('Materials Master'!$C$2:$C$20,MATCH($C199,'Materials Master'!$A$2:$A$20,0)),"")</f>
        <v>Metals</v>
      </c>
      <c r="F199" s="0" t="n">
        <f aca="false">IF(SUMIFS(Fact_SortedWeights!$E$2:$E$67,Fact_SortedWeights!$C$2:$C$67,$A199,Fact_SortedWeights!$B$2:$B$67,$B199)=0,0,SUMIFS(Fact_SortedWeights!$E$2:$E$67,Fact_SortedWeights!$C$2:$C$67,$A199,Fact_SortedWeights!$B$2:$B$67,$B199,Fact_SortedWeights!$D$2:$D$67,$C199)/SUMIFS(Fact_SortedWeights!$E$2:$E$67,Fact_SortedWeights!$C$2:$C$67,$A199,Fact_SortedWeights!$B$2:$B$67,$B199)*(IF($B199="Cardboard Recycling",SUMIFS(Fact_SortedWeights!$E$2:$E$67,Fact_SortedWeights!$C$2:$C$67,$A199,Fact_SortedWeights!$B$2:$B$67,$B199),SUMIFS(Fact_PreSortWeights!$E$2:$E$6,Fact_PreSortWeights!$C$2:$C$6,$A199,Fact_PreSortWeights!$B$2:$B$6,$B199))))</f>
        <v>0</v>
      </c>
      <c r="G199" s="0" t="n">
        <f aca="false">IF(AND(IF($B199="Trash",INDEX('Materials Master'!$F$2:$F$20,MATCH($C199,'Materials Master'!$A$2:$A$20,0)),IF($B199="GMPC Recycling",INDEX('Materials Master'!$G$2:$G$20,MATCH($C199,'Materials Master'!$A$2:$A$20,0)),IF($B199="Organics Recycling",INDEX('Materials Master'!$H$2:$H$20,MATCH($C199,'Materials Master'!$A$2:$A$20,0)),IF($B199="Cardboard Recycling",INDEX('Materials Master'!$I$2:$I$20,MATCH($C199,'Materials Master'!$A$2:$A$20,0)),IF($B199="Paper Recycling",INDEX('Materials Master'!$J$2:$J$20,MATCH($C199,'Materials Master'!$A$2:$A$20,0)),IF($B199="Terracycle",INDEX('Materials Master'!$K$2:$K$20,MATCH($C199,'Materials Master'!$A$2:$A$20,0)),"No"))))))="Yes",INDEX('Materials Master'!$E$2:$E$20,MATCH($C199,'Materials Master'!$A$2:$A$20,0))="Yes",$B199&lt;&gt;"Trash"),1,0)</f>
        <v>0</v>
      </c>
      <c r="H199" s="0" t="str">
        <f aca="false">INDEX('Materials Master'!$E$2:$E$20,MATCH($C199,'Materials Master'!$A$2:$A$20,0))</f>
        <v>Yes</v>
      </c>
      <c r="I199" s="0" t="str">
        <f aca="false">IFERROR(INDEX(Areas!$C$2:$C$3,MATCH($A199,Areas!$B$2:$B$3,0)),"")</f>
        <v>Base Building</v>
      </c>
      <c r="J199" s="0" t="n">
        <f aca="false">IF(IF($B199="Trash",INDEX('Materials Master'!$F$2:$F$20,MATCH($C199,'Materials Master'!$A$2:$A$20,0)),IF($B199="GMPC Recycling",INDEX('Materials Master'!$G$2:$G$20,MATCH($C199,'Materials Master'!$A$2:$A$20,0)),IF($B199="Organics Recycling",INDEX('Materials Master'!$H$2:$H$20,MATCH($C199,'Materials Master'!$A$2:$A$20,0)),IF($B199="Cardboard Recycling",INDEX('Materials Master'!$I$2:$I$20,MATCH($C199,'Materials Master'!$A$2:$A$20,0)),IF($B199="Paper Recycling",INDEX('Materials Master'!$J$2:$J$20,MATCH($C199,'Materials Master'!$A$2:$A$20,0)),IF($B199="Terracycle",INDEX('Materials Master'!$K$2:$K$20,MATCH($C199,'Materials Master'!$A$2:$A$20,0)),"No"))))))="Yes",1,0)</f>
        <v>0</v>
      </c>
    </row>
    <row r="200" customFormat="false" ht="15" hidden="false" customHeight="false" outlineLevel="0" collapsed="false">
      <c r="A200" s="0" t="s">
        <v>81</v>
      </c>
      <c r="B200" s="0" t="s">
        <v>87</v>
      </c>
      <c r="C200" s="0" t="s">
        <v>49</v>
      </c>
      <c r="D200" s="0" t="str">
        <f aca="false">IFERROR(INDEX('Materials Master'!$B$2:$B$20,MATCH($C200,'Materials Master'!$A$2:$A$20,0)),"")</f>
        <v>Metal Hangers</v>
      </c>
      <c r="E200" s="0" t="str">
        <f aca="false">IFERROR(INDEX('Materials Master'!$C$2:$C$20,MATCH($C200,'Materials Master'!$A$2:$A$20,0)),"")</f>
        <v>Metals</v>
      </c>
      <c r="F200" s="0" t="n">
        <f aca="false">IF(SUMIFS(Fact_SortedWeights!$E$2:$E$67,Fact_SortedWeights!$C$2:$C$67,$A200,Fact_SortedWeights!$B$2:$B$67,$B200)=0,0,SUMIFS(Fact_SortedWeights!$E$2:$E$67,Fact_SortedWeights!$C$2:$C$67,$A200,Fact_SortedWeights!$B$2:$B$67,$B200,Fact_SortedWeights!$D$2:$D$67,$C200)/SUMIFS(Fact_SortedWeights!$E$2:$E$67,Fact_SortedWeights!$C$2:$C$67,$A200,Fact_SortedWeights!$B$2:$B$67,$B200)*(IF($B200="Cardboard Recycling",SUMIFS(Fact_SortedWeights!$E$2:$E$67,Fact_SortedWeights!$C$2:$C$67,$A200,Fact_SortedWeights!$B$2:$B$67,$B200),SUMIFS(Fact_PreSortWeights!$E$2:$E$6,Fact_PreSortWeights!$C$2:$C$6,$A200,Fact_PreSortWeights!$B$2:$B$6,$B200))))</f>
        <v>0</v>
      </c>
      <c r="G200" s="0" t="n">
        <f aca="false">IF(AND(IF($B200="Trash",INDEX('Materials Master'!$F$2:$F$20,MATCH($C200,'Materials Master'!$A$2:$A$20,0)),IF($B200="GMPC Recycling",INDEX('Materials Master'!$G$2:$G$20,MATCH($C200,'Materials Master'!$A$2:$A$20,0)),IF($B200="Organics Recycling",INDEX('Materials Master'!$H$2:$H$20,MATCH($C200,'Materials Master'!$A$2:$A$20,0)),IF($B200="Cardboard Recycling",INDEX('Materials Master'!$I$2:$I$20,MATCH($C200,'Materials Master'!$A$2:$A$20,0)),IF($B200="Paper Recycling",INDEX('Materials Master'!$J$2:$J$20,MATCH($C200,'Materials Master'!$A$2:$A$20,0)),IF($B200="Terracycle",INDEX('Materials Master'!$K$2:$K$20,MATCH($C200,'Materials Master'!$A$2:$A$20,0)),"No"))))))="Yes",INDEX('Materials Master'!$E$2:$E$20,MATCH($C200,'Materials Master'!$A$2:$A$20,0))="Yes",$B200&lt;&gt;"Trash"),1,0)</f>
        <v>0</v>
      </c>
      <c r="H200" s="0" t="str">
        <f aca="false">INDEX('Materials Master'!$E$2:$E$20,MATCH($C200,'Materials Master'!$A$2:$A$20,0))</f>
        <v>No</v>
      </c>
      <c r="I200" s="0" t="str">
        <f aca="false">IFERROR(INDEX(Areas!$C$2:$C$3,MATCH($A200,Areas!$B$2:$B$3,0)),"")</f>
        <v>Base Building</v>
      </c>
      <c r="J200" s="0" t="n">
        <f aca="false">IF(IF($B200="Trash",INDEX('Materials Master'!$F$2:$F$20,MATCH($C200,'Materials Master'!$A$2:$A$20,0)),IF($B200="GMPC Recycling",INDEX('Materials Master'!$G$2:$G$20,MATCH($C200,'Materials Master'!$A$2:$A$20,0)),IF($B200="Organics Recycling",INDEX('Materials Master'!$H$2:$H$20,MATCH($C200,'Materials Master'!$A$2:$A$20,0)),IF($B200="Cardboard Recycling",INDEX('Materials Master'!$I$2:$I$20,MATCH($C200,'Materials Master'!$A$2:$A$20,0)),IF($B200="Paper Recycling",INDEX('Materials Master'!$J$2:$J$20,MATCH($C200,'Materials Master'!$A$2:$A$20,0)),IF($B200="Terracycle",INDEX('Materials Master'!$K$2:$K$20,MATCH($C200,'Materials Master'!$A$2:$A$20,0)),"No"))))))="Yes",1,0)</f>
        <v>0</v>
      </c>
    </row>
    <row r="201" customFormat="false" ht="15" hidden="false" customHeight="false" outlineLevel="0" collapsed="false">
      <c r="A201" s="0" t="s">
        <v>81</v>
      </c>
      <c r="B201" s="0" t="s">
        <v>87</v>
      </c>
      <c r="C201" s="0" t="s">
        <v>51</v>
      </c>
      <c r="D201" s="0" t="str">
        <f aca="false">IFERROR(INDEX('Materials Master'!$B$2:$B$20,MATCH($C201,'Materials Master'!$A$2:$A$20,0)),"")</f>
        <v>Rigid Plastics (1-6)</v>
      </c>
      <c r="E201" s="0" t="str">
        <f aca="false">IFERROR(INDEX('Materials Master'!$C$2:$C$20,MATCH($C201,'Materials Master'!$A$2:$A$20,0)),"")</f>
        <v>Plastics</v>
      </c>
      <c r="F201" s="0" t="n">
        <f aca="false">IF(SUMIFS(Fact_SortedWeights!$E$2:$E$67,Fact_SortedWeights!$C$2:$C$67,$A201,Fact_SortedWeights!$B$2:$B$67,$B201)=0,0,SUMIFS(Fact_SortedWeights!$E$2:$E$67,Fact_SortedWeights!$C$2:$C$67,$A201,Fact_SortedWeights!$B$2:$B$67,$B201,Fact_SortedWeights!$D$2:$D$67,$C201)/SUMIFS(Fact_SortedWeights!$E$2:$E$67,Fact_SortedWeights!$C$2:$C$67,$A201,Fact_SortedWeights!$B$2:$B$67,$B201)*(IF($B201="Cardboard Recycling",SUMIFS(Fact_SortedWeights!$E$2:$E$67,Fact_SortedWeights!$C$2:$C$67,$A201,Fact_SortedWeights!$B$2:$B$67,$B201),SUMIFS(Fact_PreSortWeights!$E$2:$E$6,Fact_PreSortWeights!$C$2:$C$6,$A201,Fact_PreSortWeights!$B$2:$B$6,$B201))))</f>
        <v>0</v>
      </c>
      <c r="G201" s="0" t="n">
        <f aca="false">IF(AND(IF($B201="Trash",INDEX('Materials Master'!$F$2:$F$20,MATCH($C201,'Materials Master'!$A$2:$A$20,0)),IF($B201="GMPC Recycling",INDEX('Materials Master'!$G$2:$G$20,MATCH($C201,'Materials Master'!$A$2:$A$20,0)),IF($B201="Organics Recycling",INDEX('Materials Master'!$H$2:$H$20,MATCH($C201,'Materials Master'!$A$2:$A$20,0)),IF($B201="Cardboard Recycling",INDEX('Materials Master'!$I$2:$I$20,MATCH($C201,'Materials Master'!$A$2:$A$20,0)),IF($B201="Paper Recycling",INDEX('Materials Master'!$J$2:$J$20,MATCH($C201,'Materials Master'!$A$2:$A$20,0)),IF($B201="Terracycle",INDEX('Materials Master'!$K$2:$K$20,MATCH($C201,'Materials Master'!$A$2:$A$20,0)),"No"))))))="Yes",INDEX('Materials Master'!$E$2:$E$20,MATCH($C201,'Materials Master'!$A$2:$A$20,0))="Yes",$B201&lt;&gt;"Trash"),1,0)</f>
        <v>0</v>
      </c>
      <c r="H201" s="0" t="str">
        <f aca="false">INDEX('Materials Master'!$E$2:$E$20,MATCH($C201,'Materials Master'!$A$2:$A$20,0))</f>
        <v>Yes</v>
      </c>
      <c r="I201" s="0" t="str">
        <f aca="false">IFERROR(INDEX(Areas!$C$2:$C$3,MATCH($A201,Areas!$B$2:$B$3,0)),"")</f>
        <v>Base Building</v>
      </c>
      <c r="J201" s="0" t="n">
        <f aca="false">IF(IF($B201="Trash",INDEX('Materials Master'!$F$2:$F$20,MATCH($C201,'Materials Master'!$A$2:$A$20,0)),IF($B201="GMPC Recycling",INDEX('Materials Master'!$G$2:$G$20,MATCH($C201,'Materials Master'!$A$2:$A$20,0)),IF($B201="Organics Recycling",INDEX('Materials Master'!$H$2:$H$20,MATCH($C201,'Materials Master'!$A$2:$A$20,0)),IF($B201="Cardboard Recycling",INDEX('Materials Master'!$I$2:$I$20,MATCH($C201,'Materials Master'!$A$2:$A$20,0)),IF($B201="Paper Recycling",INDEX('Materials Master'!$J$2:$J$20,MATCH($C201,'Materials Master'!$A$2:$A$20,0)),IF($B201="Terracycle",INDEX('Materials Master'!$K$2:$K$20,MATCH($C201,'Materials Master'!$A$2:$A$20,0)),"No"))))))="Yes",1,0)</f>
        <v>0</v>
      </c>
    </row>
    <row r="202" customFormat="false" ht="15" hidden="false" customHeight="false" outlineLevel="0" collapsed="false">
      <c r="A202" s="0" t="s">
        <v>81</v>
      </c>
      <c r="B202" s="0" t="s">
        <v>87</v>
      </c>
      <c r="C202" s="0" t="s">
        <v>54</v>
      </c>
      <c r="D202" s="0" t="str">
        <f aca="false">IFERROR(INDEX('Materials Master'!$B$2:$B$20,MATCH($C202,'Materials Master'!$A$2:$A$20,0)),"")</f>
        <v>Soiled Rigid Plastics</v>
      </c>
      <c r="E202" s="0" t="str">
        <f aca="false">IFERROR(INDEX('Materials Master'!$C$2:$C$20,MATCH($C202,'Materials Master'!$A$2:$A$20,0)),"")</f>
        <v>Plastics</v>
      </c>
      <c r="F202" s="0" t="n">
        <f aca="false">IF(SUMIFS(Fact_SortedWeights!$E$2:$E$67,Fact_SortedWeights!$C$2:$C$67,$A202,Fact_SortedWeights!$B$2:$B$67,$B202)=0,0,SUMIFS(Fact_SortedWeights!$E$2:$E$67,Fact_SortedWeights!$C$2:$C$67,$A202,Fact_SortedWeights!$B$2:$B$67,$B202,Fact_SortedWeights!$D$2:$D$67,$C202)/SUMIFS(Fact_SortedWeights!$E$2:$E$67,Fact_SortedWeights!$C$2:$C$67,$A202,Fact_SortedWeights!$B$2:$B$67,$B202)*(IF($B202="Cardboard Recycling",SUMIFS(Fact_SortedWeights!$E$2:$E$67,Fact_SortedWeights!$C$2:$C$67,$A202,Fact_SortedWeights!$B$2:$B$67,$B202),SUMIFS(Fact_PreSortWeights!$E$2:$E$6,Fact_PreSortWeights!$C$2:$C$6,$A202,Fact_PreSortWeights!$B$2:$B$6,$B202))))</f>
        <v>0</v>
      </c>
      <c r="G202" s="0" t="n">
        <f aca="false">IF(AND(IF($B202="Trash",INDEX('Materials Master'!$F$2:$F$20,MATCH($C202,'Materials Master'!$A$2:$A$20,0)),IF($B202="GMPC Recycling",INDEX('Materials Master'!$G$2:$G$20,MATCH($C202,'Materials Master'!$A$2:$A$20,0)),IF($B202="Organics Recycling",INDEX('Materials Master'!$H$2:$H$20,MATCH($C202,'Materials Master'!$A$2:$A$20,0)),IF($B202="Cardboard Recycling",INDEX('Materials Master'!$I$2:$I$20,MATCH($C202,'Materials Master'!$A$2:$A$20,0)),IF($B202="Paper Recycling",INDEX('Materials Master'!$J$2:$J$20,MATCH($C202,'Materials Master'!$A$2:$A$20,0)),IF($B202="Terracycle",INDEX('Materials Master'!$K$2:$K$20,MATCH($C202,'Materials Master'!$A$2:$A$20,0)),"No"))))))="Yes",INDEX('Materials Master'!$E$2:$E$20,MATCH($C202,'Materials Master'!$A$2:$A$20,0))="Yes",$B202&lt;&gt;"Trash"),1,0)</f>
        <v>0</v>
      </c>
      <c r="H202" s="0" t="str">
        <f aca="false">INDEX('Materials Master'!$E$2:$E$20,MATCH($C202,'Materials Master'!$A$2:$A$20,0))</f>
        <v>No</v>
      </c>
      <c r="I202" s="0" t="str">
        <f aca="false">IFERROR(INDEX(Areas!$C$2:$C$3,MATCH($A202,Areas!$B$2:$B$3,0)),"")</f>
        <v>Base Building</v>
      </c>
      <c r="J202" s="0" t="n">
        <f aca="false">IF(IF($B202="Trash",INDEX('Materials Master'!$F$2:$F$20,MATCH($C202,'Materials Master'!$A$2:$A$20,0)),IF($B202="GMPC Recycling",INDEX('Materials Master'!$G$2:$G$20,MATCH($C202,'Materials Master'!$A$2:$A$20,0)),IF($B202="Organics Recycling",INDEX('Materials Master'!$H$2:$H$20,MATCH($C202,'Materials Master'!$A$2:$A$20,0)),IF($B202="Cardboard Recycling",INDEX('Materials Master'!$I$2:$I$20,MATCH($C202,'Materials Master'!$A$2:$A$20,0)),IF($B202="Paper Recycling",INDEX('Materials Master'!$J$2:$J$20,MATCH($C202,'Materials Master'!$A$2:$A$20,0)),IF($B202="Terracycle",INDEX('Materials Master'!$K$2:$K$20,MATCH($C202,'Materials Master'!$A$2:$A$20,0)),"No"))))))="Yes",1,0)</f>
        <v>0</v>
      </c>
    </row>
    <row r="203" customFormat="false" ht="15" hidden="false" customHeight="false" outlineLevel="0" collapsed="false">
      <c r="A203" s="0" t="s">
        <v>81</v>
      </c>
      <c r="B203" s="0" t="s">
        <v>87</v>
      </c>
      <c r="C203" s="0" t="s">
        <v>56</v>
      </c>
      <c r="D203" s="0" t="str">
        <f aca="false">IFERROR(INDEX('Materials Master'!$B$2:$B$20,MATCH($C203,'Materials Master'!$A$2:$A$20,0)),"")</f>
        <v>Film Plastics</v>
      </c>
      <c r="E203" s="0" t="str">
        <f aca="false">IFERROR(INDEX('Materials Master'!$C$2:$C$20,MATCH($C203,'Materials Master'!$A$2:$A$20,0)),"")</f>
        <v>Plastics</v>
      </c>
      <c r="F203" s="0" t="n">
        <f aca="false">IF(SUMIFS(Fact_SortedWeights!$E$2:$E$67,Fact_SortedWeights!$C$2:$C$67,$A203,Fact_SortedWeights!$B$2:$B$67,$B203)=0,0,SUMIFS(Fact_SortedWeights!$E$2:$E$67,Fact_SortedWeights!$C$2:$C$67,$A203,Fact_SortedWeights!$B$2:$B$67,$B203,Fact_SortedWeights!$D$2:$D$67,$C203)/SUMIFS(Fact_SortedWeights!$E$2:$E$67,Fact_SortedWeights!$C$2:$C$67,$A203,Fact_SortedWeights!$B$2:$B$67,$B203)*(IF($B203="Cardboard Recycling",SUMIFS(Fact_SortedWeights!$E$2:$E$67,Fact_SortedWeights!$C$2:$C$67,$A203,Fact_SortedWeights!$B$2:$B$67,$B203),SUMIFS(Fact_PreSortWeights!$E$2:$E$6,Fact_PreSortWeights!$C$2:$C$6,$A203,Fact_PreSortWeights!$B$2:$B$6,$B203))))</f>
        <v>0</v>
      </c>
      <c r="G203" s="0" t="n">
        <f aca="false">IF(AND(IF($B203="Trash",INDEX('Materials Master'!$F$2:$F$20,MATCH($C203,'Materials Master'!$A$2:$A$20,0)),IF($B203="GMPC Recycling",INDEX('Materials Master'!$G$2:$G$20,MATCH($C203,'Materials Master'!$A$2:$A$20,0)),IF($B203="Organics Recycling",INDEX('Materials Master'!$H$2:$H$20,MATCH($C203,'Materials Master'!$A$2:$A$20,0)),IF($B203="Cardboard Recycling",INDEX('Materials Master'!$I$2:$I$20,MATCH($C203,'Materials Master'!$A$2:$A$20,0)),IF($B203="Paper Recycling",INDEX('Materials Master'!$J$2:$J$20,MATCH($C203,'Materials Master'!$A$2:$A$20,0)),IF($B203="Terracycle",INDEX('Materials Master'!$K$2:$K$20,MATCH($C203,'Materials Master'!$A$2:$A$20,0)),"No"))))))="Yes",INDEX('Materials Master'!$E$2:$E$20,MATCH($C203,'Materials Master'!$A$2:$A$20,0))="Yes",$B203&lt;&gt;"Trash"),1,0)</f>
        <v>0</v>
      </c>
      <c r="H203" s="0" t="str">
        <f aca="false">INDEX('Materials Master'!$E$2:$E$20,MATCH($C203,'Materials Master'!$A$2:$A$20,0))</f>
        <v>No</v>
      </c>
      <c r="I203" s="0" t="str">
        <f aca="false">IFERROR(INDEX(Areas!$C$2:$C$3,MATCH($A203,Areas!$B$2:$B$3,0)),"")</f>
        <v>Base Building</v>
      </c>
      <c r="J203" s="0" t="n">
        <f aca="false">IF(IF($B203="Trash",INDEX('Materials Master'!$F$2:$F$20,MATCH($C203,'Materials Master'!$A$2:$A$20,0)),IF($B203="GMPC Recycling",INDEX('Materials Master'!$G$2:$G$20,MATCH($C203,'Materials Master'!$A$2:$A$20,0)),IF($B203="Organics Recycling",INDEX('Materials Master'!$H$2:$H$20,MATCH($C203,'Materials Master'!$A$2:$A$20,0)),IF($B203="Cardboard Recycling",INDEX('Materials Master'!$I$2:$I$20,MATCH($C203,'Materials Master'!$A$2:$A$20,0)),IF($B203="Paper Recycling",INDEX('Materials Master'!$J$2:$J$20,MATCH($C203,'Materials Master'!$A$2:$A$20,0)),IF($B203="Terracycle",INDEX('Materials Master'!$K$2:$K$20,MATCH($C203,'Materials Master'!$A$2:$A$20,0)),"No"))))))="Yes",1,0)</f>
        <v>0</v>
      </c>
    </row>
    <row r="204" customFormat="false" ht="15" hidden="false" customHeight="false" outlineLevel="0" collapsed="false">
      <c r="A204" s="0" t="s">
        <v>81</v>
      </c>
      <c r="B204" s="0" t="s">
        <v>87</v>
      </c>
      <c r="C204" s="0" t="s">
        <v>58</v>
      </c>
      <c r="D204" s="0" t="str">
        <f aca="false">IFERROR(INDEX('Materials Master'!$B$2:$B$20,MATCH($C204,'Materials Master'!$A$2:$A$20,0)),"")</f>
        <v>Waste Disposal Bags</v>
      </c>
      <c r="E204" s="0" t="str">
        <f aca="false">IFERROR(INDEX('Materials Master'!$C$2:$C$20,MATCH($C204,'Materials Master'!$A$2:$A$20,0)),"")</f>
        <v>Plastics</v>
      </c>
      <c r="F204" s="0" t="n">
        <f aca="false">IF(SUMIFS(Fact_SortedWeights!$E$2:$E$67,Fact_SortedWeights!$C$2:$C$67,$A204,Fact_SortedWeights!$B$2:$B$67,$B204)=0,0,SUMIFS(Fact_SortedWeights!$E$2:$E$67,Fact_SortedWeights!$C$2:$C$67,$A204,Fact_SortedWeights!$B$2:$B$67,$B204,Fact_SortedWeights!$D$2:$D$67,$C204)/SUMIFS(Fact_SortedWeights!$E$2:$E$67,Fact_SortedWeights!$C$2:$C$67,$A204,Fact_SortedWeights!$B$2:$B$67,$B204)*(IF($B204="Cardboard Recycling",SUMIFS(Fact_SortedWeights!$E$2:$E$67,Fact_SortedWeights!$C$2:$C$67,$A204,Fact_SortedWeights!$B$2:$B$67,$B204),SUMIFS(Fact_PreSortWeights!$E$2:$E$6,Fact_PreSortWeights!$C$2:$C$6,$A204,Fact_PreSortWeights!$B$2:$B$6,$B204))))</f>
        <v>0</v>
      </c>
      <c r="G204" s="0" t="n">
        <f aca="false">IF(AND(IF($B204="Trash",INDEX('Materials Master'!$F$2:$F$20,MATCH($C204,'Materials Master'!$A$2:$A$20,0)),IF($B204="GMPC Recycling",INDEX('Materials Master'!$G$2:$G$20,MATCH($C204,'Materials Master'!$A$2:$A$20,0)),IF($B204="Organics Recycling",INDEX('Materials Master'!$H$2:$H$20,MATCH($C204,'Materials Master'!$A$2:$A$20,0)),IF($B204="Cardboard Recycling",INDEX('Materials Master'!$I$2:$I$20,MATCH($C204,'Materials Master'!$A$2:$A$20,0)),IF($B204="Paper Recycling",INDEX('Materials Master'!$J$2:$J$20,MATCH($C204,'Materials Master'!$A$2:$A$20,0)),IF($B204="Terracycle",INDEX('Materials Master'!$K$2:$K$20,MATCH($C204,'Materials Master'!$A$2:$A$20,0)),"No"))))))="Yes",INDEX('Materials Master'!$E$2:$E$20,MATCH($C204,'Materials Master'!$A$2:$A$20,0))="Yes",$B204&lt;&gt;"Trash"),1,0)</f>
        <v>0</v>
      </c>
      <c r="H204" s="0" t="str">
        <f aca="false">INDEX('Materials Master'!$E$2:$E$20,MATCH($C204,'Materials Master'!$A$2:$A$20,0))</f>
        <v>No</v>
      </c>
      <c r="I204" s="0" t="str">
        <f aca="false">IFERROR(INDEX(Areas!$C$2:$C$3,MATCH($A204,Areas!$B$2:$B$3,0)),"")</f>
        <v>Base Building</v>
      </c>
      <c r="J204" s="0" t="n">
        <f aca="false">IF(IF($B204="Trash",INDEX('Materials Master'!$F$2:$F$20,MATCH($C204,'Materials Master'!$A$2:$A$20,0)),IF($B204="GMPC Recycling",INDEX('Materials Master'!$G$2:$G$20,MATCH($C204,'Materials Master'!$A$2:$A$20,0)),IF($B204="Organics Recycling",INDEX('Materials Master'!$H$2:$H$20,MATCH($C204,'Materials Master'!$A$2:$A$20,0)),IF($B204="Cardboard Recycling",INDEX('Materials Master'!$I$2:$I$20,MATCH($C204,'Materials Master'!$A$2:$A$20,0)),IF($B204="Paper Recycling",INDEX('Materials Master'!$J$2:$J$20,MATCH($C204,'Materials Master'!$A$2:$A$20,0)),IF($B204="Terracycle",INDEX('Materials Master'!$K$2:$K$20,MATCH($C204,'Materials Master'!$A$2:$A$20,0)),"No"))))))="Yes",1,0)</f>
        <v>0</v>
      </c>
    </row>
    <row r="205" customFormat="false" ht="15" hidden="false" customHeight="false" outlineLevel="0" collapsed="false">
      <c r="A205" s="0" t="s">
        <v>81</v>
      </c>
      <c r="B205" s="0" t="s">
        <v>87</v>
      </c>
      <c r="C205" s="0" t="s">
        <v>60</v>
      </c>
      <c r="D205" s="0" t="str">
        <f aca="false">IFERROR(INDEX('Materials Master'!$B$2:$B$20,MATCH($C205,'Materials Master'!$A$2:$A$20,0)),"")</f>
        <v>Food Waste</v>
      </c>
      <c r="E205" s="0" t="str">
        <f aca="false">IFERROR(INDEX('Materials Master'!$C$2:$C$20,MATCH($C205,'Materials Master'!$A$2:$A$20,0)),"")</f>
        <v>Organics</v>
      </c>
      <c r="F205" s="0" t="n">
        <f aca="false">IF(SUMIFS(Fact_SortedWeights!$E$2:$E$67,Fact_SortedWeights!$C$2:$C$67,$A205,Fact_SortedWeights!$B$2:$B$67,$B205)=0,0,SUMIFS(Fact_SortedWeights!$E$2:$E$67,Fact_SortedWeights!$C$2:$C$67,$A205,Fact_SortedWeights!$B$2:$B$67,$B205,Fact_SortedWeights!$D$2:$D$67,$C205)/SUMIFS(Fact_SortedWeights!$E$2:$E$67,Fact_SortedWeights!$C$2:$C$67,$A205,Fact_SortedWeights!$B$2:$B$67,$B205)*(IF($B205="Cardboard Recycling",SUMIFS(Fact_SortedWeights!$E$2:$E$67,Fact_SortedWeights!$C$2:$C$67,$A205,Fact_SortedWeights!$B$2:$B$67,$B205),SUMIFS(Fact_PreSortWeights!$E$2:$E$6,Fact_PreSortWeights!$C$2:$C$6,$A205,Fact_PreSortWeights!$B$2:$B$6,$B205))))</f>
        <v>0</v>
      </c>
      <c r="G205" s="0" t="n">
        <f aca="false">IF(AND(IF($B205="Trash",INDEX('Materials Master'!$F$2:$F$20,MATCH($C205,'Materials Master'!$A$2:$A$20,0)),IF($B205="GMPC Recycling",INDEX('Materials Master'!$G$2:$G$20,MATCH($C205,'Materials Master'!$A$2:$A$20,0)),IF($B205="Organics Recycling",INDEX('Materials Master'!$H$2:$H$20,MATCH($C205,'Materials Master'!$A$2:$A$20,0)),IF($B205="Cardboard Recycling",INDEX('Materials Master'!$I$2:$I$20,MATCH($C205,'Materials Master'!$A$2:$A$20,0)),IF($B205="Paper Recycling",INDEX('Materials Master'!$J$2:$J$20,MATCH($C205,'Materials Master'!$A$2:$A$20,0)),IF($B205="Terracycle",INDEX('Materials Master'!$K$2:$K$20,MATCH($C205,'Materials Master'!$A$2:$A$20,0)),"No"))))))="Yes",INDEX('Materials Master'!$E$2:$E$20,MATCH($C205,'Materials Master'!$A$2:$A$20,0))="Yes",$B205&lt;&gt;"Trash"),1,0)</f>
        <v>0</v>
      </c>
      <c r="H205" s="0" t="str">
        <f aca="false">INDEX('Materials Master'!$E$2:$E$20,MATCH($C205,'Materials Master'!$A$2:$A$20,0))</f>
        <v>Yes</v>
      </c>
      <c r="I205" s="0" t="str">
        <f aca="false">IFERROR(INDEX(Areas!$C$2:$C$3,MATCH($A205,Areas!$B$2:$B$3,0)),"")</f>
        <v>Base Building</v>
      </c>
      <c r="J205" s="0" t="n">
        <f aca="false">IF(IF($B205="Trash",INDEX('Materials Master'!$F$2:$F$20,MATCH($C205,'Materials Master'!$A$2:$A$20,0)),IF($B205="GMPC Recycling",INDEX('Materials Master'!$G$2:$G$20,MATCH($C205,'Materials Master'!$A$2:$A$20,0)),IF($B205="Organics Recycling",INDEX('Materials Master'!$H$2:$H$20,MATCH($C205,'Materials Master'!$A$2:$A$20,0)),IF($B205="Cardboard Recycling",INDEX('Materials Master'!$I$2:$I$20,MATCH($C205,'Materials Master'!$A$2:$A$20,0)),IF($B205="Paper Recycling",INDEX('Materials Master'!$J$2:$J$20,MATCH($C205,'Materials Master'!$A$2:$A$20,0)),IF($B205="Terracycle",INDEX('Materials Master'!$K$2:$K$20,MATCH($C205,'Materials Master'!$A$2:$A$20,0)),"No"))))))="Yes",1,0)</f>
        <v>0</v>
      </c>
    </row>
    <row r="206" customFormat="false" ht="15" hidden="false" customHeight="false" outlineLevel="0" collapsed="false">
      <c r="A206" s="0" t="s">
        <v>81</v>
      </c>
      <c r="B206" s="0" t="s">
        <v>87</v>
      </c>
      <c r="C206" s="0" t="s">
        <v>63</v>
      </c>
      <c r="D206" s="0" t="str">
        <f aca="false">IFERROR(INDEX('Materials Master'!$B$2:$B$20,MATCH($C206,'Materials Master'!$A$2:$A$20,0)),"")</f>
        <v>Paper Fibers and FSP</v>
      </c>
      <c r="E206" s="0" t="str">
        <f aca="false">IFERROR(INDEX('Materials Master'!$C$2:$C$20,MATCH($C206,'Materials Master'!$A$2:$A$20,0)),"")</f>
        <v>Organics</v>
      </c>
      <c r="F206" s="0" t="n">
        <f aca="false">IF(SUMIFS(Fact_SortedWeights!$E$2:$E$67,Fact_SortedWeights!$C$2:$C$67,$A206,Fact_SortedWeights!$B$2:$B$67,$B206)=0,0,SUMIFS(Fact_SortedWeights!$E$2:$E$67,Fact_SortedWeights!$C$2:$C$67,$A206,Fact_SortedWeights!$B$2:$B$67,$B206,Fact_SortedWeights!$D$2:$D$67,$C206)/SUMIFS(Fact_SortedWeights!$E$2:$E$67,Fact_SortedWeights!$C$2:$C$67,$A206,Fact_SortedWeights!$B$2:$B$67,$B206)*(IF($B206="Cardboard Recycling",SUMIFS(Fact_SortedWeights!$E$2:$E$67,Fact_SortedWeights!$C$2:$C$67,$A206,Fact_SortedWeights!$B$2:$B$67,$B206),SUMIFS(Fact_PreSortWeights!$E$2:$E$6,Fact_PreSortWeights!$C$2:$C$6,$A206,Fact_PreSortWeights!$B$2:$B$6,$B206))))</f>
        <v>0</v>
      </c>
      <c r="G206" s="0" t="n">
        <f aca="false">IF(AND(IF($B206="Trash",INDEX('Materials Master'!$F$2:$F$20,MATCH($C206,'Materials Master'!$A$2:$A$20,0)),IF($B206="GMPC Recycling",INDEX('Materials Master'!$G$2:$G$20,MATCH($C206,'Materials Master'!$A$2:$A$20,0)),IF($B206="Organics Recycling",INDEX('Materials Master'!$H$2:$H$20,MATCH($C206,'Materials Master'!$A$2:$A$20,0)),IF($B206="Cardboard Recycling",INDEX('Materials Master'!$I$2:$I$20,MATCH($C206,'Materials Master'!$A$2:$A$20,0)),IF($B206="Paper Recycling",INDEX('Materials Master'!$J$2:$J$20,MATCH($C206,'Materials Master'!$A$2:$A$20,0)),IF($B206="Terracycle",INDEX('Materials Master'!$K$2:$K$20,MATCH($C206,'Materials Master'!$A$2:$A$20,0)),"No"))))))="Yes",INDEX('Materials Master'!$E$2:$E$20,MATCH($C206,'Materials Master'!$A$2:$A$20,0))="Yes",$B206&lt;&gt;"Trash"),1,0)</f>
        <v>0</v>
      </c>
      <c r="H206" s="0" t="str">
        <f aca="false">INDEX('Materials Master'!$E$2:$E$20,MATCH($C206,'Materials Master'!$A$2:$A$20,0))</f>
        <v>No</v>
      </c>
      <c r="I206" s="0" t="str">
        <f aca="false">IFERROR(INDEX(Areas!$C$2:$C$3,MATCH($A206,Areas!$B$2:$B$3,0)),"")</f>
        <v>Base Building</v>
      </c>
      <c r="J206" s="0" t="n">
        <f aca="false">IF(IF($B206="Trash",INDEX('Materials Master'!$F$2:$F$20,MATCH($C206,'Materials Master'!$A$2:$A$20,0)),IF($B206="GMPC Recycling",INDEX('Materials Master'!$G$2:$G$20,MATCH($C206,'Materials Master'!$A$2:$A$20,0)),IF($B206="Organics Recycling",INDEX('Materials Master'!$H$2:$H$20,MATCH($C206,'Materials Master'!$A$2:$A$20,0)),IF($B206="Cardboard Recycling",INDEX('Materials Master'!$I$2:$I$20,MATCH($C206,'Materials Master'!$A$2:$A$20,0)),IF($B206="Paper Recycling",INDEX('Materials Master'!$J$2:$J$20,MATCH($C206,'Materials Master'!$A$2:$A$20,0)),IF($B206="Terracycle",INDEX('Materials Master'!$K$2:$K$20,MATCH($C206,'Materials Master'!$A$2:$A$20,0)),"No"))))))="Yes",1,0)</f>
        <v>0</v>
      </c>
    </row>
    <row r="207" customFormat="false" ht="15" hidden="false" customHeight="false" outlineLevel="0" collapsed="false">
      <c r="A207" s="0" t="s">
        <v>81</v>
      </c>
      <c r="B207" s="0" t="s">
        <v>87</v>
      </c>
      <c r="C207" s="0" t="s">
        <v>65</v>
      </c>
      <c r="D207" s="0" t="str">
        <f aca="false">IFERROR(INDEX('Materials Master'!$B$2:$B$20,MATCH($C207,'Materials Master'!$A$2:$A$20,0)),"")</f>
        <v>Certified Compostables</v>
      </c>
      <c r="E207" s="0" t="str">
        <f aca="false">IFERROR(INDEX('Materials Master'!$C$2:$C$20,MATCH($C207,'Materials Master'!$A$2:$A$20,0)),"")</f>
        <v>Organics</v>
      </c>
      <c r="F207" s="0" t="n">
        <f aca="false">IF(SUMIFS(Fact_SortedWeights!$E$2:$E$67,Fact_SortedWeights!$C$2:$C$67,$A207,Fact_SortedWeights!$B$2:$B$67,$B207)=0,0,SUMIFS(Fact_SortedWeights!$E$2:$E$67,Fact_SortedWeights!$C$2:$C$67,$A207,Fact_SortedWeights!$B$2:$B$67,$B207,Fact_SortedWeights!$D$2:$D$67,$C207)/SUMIFS(Fact_SortedWeights!$E$2:$E$67,Fact_SortedWeights!$C$2:$C$67,$A207,Fact_SortedWeights!$B$2:$B$67,$B207)*(IF($B207="Cardboard Recycling",SUMIFS(Fact_SortedWeights!$E$2:$E$67,Fact_SortedWeights!$C$2:$C$67,$A207,Fact_SortedWeights!$B$2:$B$67,$B207),SUMIFS(Fact_PreSortWeights!$E$2:$E$6,Fact_PreSortWeights!$C$2:$C$6,$A207,Fact_PreSortWeights!$B$2:$B$6,$B207))))</f>
        <v>0</v>
      </c>
      <c r="G207" s="0" t="n">
        <f aca="false">IF(AND(IF($B207="Trash",INDEX('Materials Master'!$F$2:$F$20,MATCH($C207,'Materials Master'!$A$2:$A$20,0)),IF($B207="GMPC Recycling",INDEX('Materials Master'!$G$2:$G$20,MATCH($C207,'Materials Master'!$A$2:$A$20,0)),IF($B207="Organics Recycling",INDEX('Materials Master'!$H$2:$H$20,MATCH($C207,'Materials Master'!$A$2:$A$20,0)),IF($B207="Cardboard Recycling",INDEX('Materials Master'!$I$2:$I$20,MATCH($C207,'Materials Master'!$A$2:$A$20,0)),IF($B207="Paper Recycling",INDEX('Materials Master'!$J$2:$J$20,MATCH($C207,'Materials Master'!$A$2:$A$20,0)),IF($B207="Terracycle",INDEX('Materials Master'!$K$2:$K$20,MATCH($C207,'Materials Master'!$A$2:$A$20,0)),"No"))))))="Yes",INDEX('Materials Master'!$E$2:$E$20,MATCH($C207,'Materials Master'!$A$2:$A$20,0))="Yes",$B207&lt;&gt;"Trash"),1,0)</f>
        <v>0</v>
      </c>
      <c r="H207" s="0" t="str">
        <f aca="false">INDEX('Materials Master'!$E$2:$E$20,MATCH($C207,'Materials Master'!$A$2:$A$20,0))</f>
        <v>No</v>
      </c>
      <c r="I207" s="0" t="str">
        <f aca="false">IFERROR(INDEX(Areas!$C$2:$C$3,MATCH($A207,Areas!$B$2:$B$3,0)),"")</f>
        <v>Base Building</v>
      </c>
      <c r="J207" s="0" t="n">
        <f aca="false">IF(IF($B207="Trash",INDEX('Materials Master'!$F$2:$F$20,MATCH($C207,'Materials Master'!$A$2:$A$20,0)),IF($B207="GMPC Recycling",INDEX('Materials Master'!$G$2:$G$20,MATCH($C207,'Materials Master'!$A$2:$A$20,0)),IF($B207="Organics Recycling",INDEX('Materials Master'!$H$2:$H$20,MATCH($C207,'Materials Master'!$A$2:$A$20,0)),IF($B207="Cardboard Recycling",INDEX('Materials Master'!$I$2:$I$20,MATCH($C207,'Materials Master'!$A$2:$A$20,0)),IF($B207="Paper Recycling",INDEX('Materials Master'!$J$2:$J$20,MATCH($C207,'Materials Master'!$A$2:$A$20,0)),IF($B207="Terracycle",INDEX('Materials Master'!$K$2:$K$20,MATCH($C207,'Materials Master'!$A$2:$A$20,0)),"No"))))))="Yes",1,0)</f>
        <v>0</v>
      </c>
    </row>
    <row r="208" customFormat="false" ht="15" hidden="false" customHeight="false" outlineLevel="0" collapsed="false">
      <c r="A208" s="0" t="s">
        <v>81</v>
      </c>
      <c r="B208" s="0" t="s">
        <v>87</v>
      </c>
      <c r="C208" s="0" t="s">
        <v>67</v>
      </c>
      <c r="D208" s="0" t="str">
        <f aca="false">IFERROR(INDEX('Materials Master'!$B$2:$B$20,MATCH($C208,'Materials Master'!$A$2:$A$20,0)),"")</f>
        <v>Textiles</v>
      </c>
      <c r="E208" s="0" t="str">
        <f aca="false">IFERROR(INDEX('Materials Master'!$C$2:$C$20,MATCH($C208,'Materials Master'!$A$2:$A$20,0)),"")</f>
        <v>Unacceptable</v>
      </c>
      <c r="F208" s="0" t="n">
        <f aca="false">IF(SUMIFS(Fact_SortedWeights!$E$2:$E$67,Fact_SortedWeights!$C$2:$C$67,$A208,Fact_SortedWeights!$B$2:$B$67,$B208)=0,0,SUMIFS(Fact_SortedWeights!$E$2:$E$67,Fact_SortedWeights!$C$2:$C$67,$A208,Fact_SortedWeights!$B$2:$B$67,$B208,Fact_SortedWeights!$D$2:$D$67,$C208)/SUMIFS(Fact_SortedWeights!$E$2:$E$67,Fact_SortedWeights!$C$2:$C$67,$A208,Fact_SortedWeights!$B$2:$B$67,$B208)*(IF($B208="Cardboard Recycling",SUMIFS(Fact_SortedWeights!$E$2:$E$67,Fact_SortedWeights!$C$2:$C$67,$A208,Fact_SortedWeights!$B$2:$B$67,$B208),SUMIFS(Fact_PreSortWeights!$E$2:$E$6,Fact_PreSortWeights!$C$2:$C$6,$A208,Fact_PreSortWeights!$B$2:$B$6,$B208))))</f>
        <v>0</v>
      </c>
      <c r="G208" s="0" t="n">
        <f aca="false">IF(AND(IF($B208="Trash",INDEX('Materials Master'!$F$2:$F$20,MATCH($C208,'Materials Master'!$A$2:$A$20,0)),IF($B208="GMPC Recycling",INDEX('Materials Master'!$G$2:$G$20,MATCH($C208,'Materials Master'!$A$2:$A$20,0)),IF($B208="Organics Recycling",INDEX('Materials Master'!$H$2:$H$20,MATCH($C208,'Materials Master'!$A$2:$A$20,0)),IF($B208="Cardboard Recycling",INDEX('Materials Master'!$I$2:$I$20,MATCH($C208,'Materials Master'!$A$2:$A$20,0)),IF($B208="Paper Recycling",INDEX('Materials Master'!$J$2:$J$20,MATCH($C208,'Materials Master'!$A$2:$A$20,0)),IF($B208="Terracycle",INDEX('Materials Master'!$K$2:$K$20,MATCH($C208,'Materials Master'!$A$2:$A$20,0)),"No"))))))="Yes",INDEX('Materials Master'!$E$2:$E$20,MATCH($C208,'Materials Master'!$A$2:$A$20,0))="Yes",$B208&lt;&gt;"Trash"),1,0)</f>
        <v>0</v>
      </c>
      <c r="H208" s="0" t="str">
        <f aca="false">INDEX('Materials Master'!$E$2:$E$20,MATCH($C208,'Materials Master'!$A$2:$A$20,0))</f>
        <v>No</v>
      </c>
      <c r="I208" s="0" t="str">
        <f aca="false">IFERROR(INDEX(Areas!$C$2:$C$3,MATCH($A208,Areas!$B$2:$B$3,0)),"")</f>
        <v>Base Building</v>
      </c>
      <c r="J208" s="0" t="n">
        <f aca="false">IF(IF($B208="Trash",INDEX('Materials Master'!$F$2:$F$20,MATCH($C208,'Materials Master'!$A$2:$A$20,0)),IF($B208="GMPC Recycling",INDEX('Materials Master'!$G$2:$G$20,MATCH($C208,'Materials Master'!$A$2:$A$20,0)),IF($B208="Organics Recycling",INDEX('Materials Master'!$H$2:$H$20,MATCH($C208,'Materials Master'!$A$2:$A$20,0)),IF($B208="Cardboard Recycling",INDEX('Materials Master'!$I$2:$I$20,MATCH($C208,'Materials Master'!$A$2:$A$20,0)),IF($B208="Paper Recycling",INDEX('Materials Master'!$J$2:$J$20,MATCH($C208,'Materials Master'!$A$2:$A$20,0)),IF($B208="Terracycle",INDEX('Materials Master'!$K$2:$K$20,MATCH($C208,'Materials Master'!$A$2:$A$20,0)),"No"))))))="Yes",1,0)</f>
        <v>0</v>
      </c>
    </row>
    <row r="209" customFormat="false" ht="15" hidden="false" customHeight="false" outlineLevel="0" collapsed="false">
      <c r="A209" s="0" t="s">
        <v>81</v>
      </c>
      <c r="B209" s="0" t="s">
        <v>87</v>
      </c>
      <c r="C209" s="0" t="s">
        <v>70</v>
      </c>
      <c r="D209" s="0" t="str">
        <f aca="false">IFERROR(INDEX('Materials Master'!$B$2:$B$20,MATCH($C209,'Materials Master'!$A$2:$A$20,0)),"")</f>
        <v>Liquids</v>
      </c>
      <c r="E209" s="0" t="str">
        <f aca="false">IFERROR(INDEX('Materials Master'!$C$2:$C$20,MATCH($C209,'Materials Master'!$A$2:$A$20,0)),"")</f>
        <v>Unacceptable</v>
      </c>
      <c r="F209" s="0" t="n">
        <f aca="false">IF(SUMIFS(Fact_SortedWeights!$E$2:$E$67,Fact_SortedWeights!$C$2:$C$67,$A209,Fact_SortedWeights!$B$2:$B$67,$B209)=0,0,SUMIFS(Fact_SortedWeights!$E$2:$E$67,Fact_SortedWeights!$C$2:$C$67,$A209,Fact_SortedWeights!$B$2:$B$67,$B209,Fact_SortedWeights!$D$2:$D$67,$C209)/SUMIFS(Fact_SortedWeights!$E$2:$E$67,Fact_SortedWeights!$C$2:$C$67,$A209,Fact_SortedWeights!$B$2:$B$67,$B209)*(IF($B209="Cardboard Recycling",SUMIFS(Fact_SortedWeights!$E$2:$E$67,Fact_SortedWeights!$C$2:$C$67,$A209,Fact_SortedWeights!$B$2:$B$67,$B209),SUMIFS(Fact_PreSortWeights!$E$2:$E$6,Fact_PreSortWeights!$C$2:$C$6,$A209,Fact_PreSortWeights!$B$2:$B$6,$B209))))</f>
        <v>0</v>
      </c>
      <c r="G209" s="0" t="n">
        <f aca="false">IF(AND(IF($B209="Trash",INDEX('Materials Master'!$F$2:$F$20,MATCH($C209,'Materials Master'!$A$2:$A$20,0)),IF($B209="GMPC Recycling",INDEX('Materials Master'!$G$2:$G$20,MATCH($C209,'Materials Master'!$A$2:$A$20,0)),IF($B209="Organics Recycling",INDEX('Materials Master'!$H$2:$H$20,MATCH($C209,'Materials Master'!$A$2:$A$20,0)),IF($B209="Cardboard Recycling",INDEX('Materials Master'!$I$2:$I$20,MATCH($C209,'Materials Master'!$A$2:$A$20,0)),IF($B209="Paper Recycling",INDEX('Materials Master'!$J$2:$J$20,MATCH($C209,'Materials Master'!$A$2:$A$20,0)),IF($B209="Terracycle",INDEX('Materials Master'!$K$2:$K$20,MATCH($C209,'Materials Master'!$A$2:$A$20,0)),"No"))))))="Yes",INDEX('Materials Master'!$E$2:$E$20,MATCH($C209,'Materials Master'!$A$2:$A$20,0))="Yes",$B209&lt;&gt;"Trash"),1,0)</f>
        <v>0</v>
      </c>
      <c r="H209" s="0" t="str">
        <f aca="false">INDEX('Materials Master'!$E$2:$E$20,MATCH($C209,'Materials Master'!$A$2:$A$20,0))</f>
        <v>No</v>
      </c>
      <c r="I209" s="0" t="str">
        <f aca="false">IFERROR(INDEX(Areas!$C$2:$C$3,MATCH($A209,Areas!$B$2:$B$3,0)),"")</f>
        <v>Base Building</v>
      </c>
      <c r="J209" s="0" t="n">
        <f aca="false">IF(IF($B209="Trash",INDEX('Materials Master'!$F$2:$F$20,MATCH($C209,'Materials Master'!$A$2:$A$20,0)),IF($B209="GMPC Recycling",INDEX('Materials Master'!$G$2:$G$20,MATCH($C209,'Materials Master'!$A$2:$A$20,0)),IF($B209="Organics Recycling",INDEX('Materials Master'!$H$2:$H$20,MATCH($C209,'Materials Master'!$A$2:$A$20,0)),IF($B209="Cardboard Recycling",INDEX('Materials Master'!$I$2:$I$20,MATCH($C209,'Materials Master'!$A$2:$A$20,0)),IF($B209="Paper Recycling",INDEX('Materials Master'!$J$2:$J$20,MATCH($C209,'Materials Master'!$A$2:$A$20,0)),IF($B209="Terracycle",INDEX('Materials Master'!$K$2:$K$20,MATCH($C209,'Materials Master'!$A$2:$A$20,0)),"No"))))))="Yes",1,0)</f>
        <v>0</v>
      </c>
    </row>
    <row r="210" customFormat="false" ht="15" hidden="false" customHeight="false" outlineLevel="0" collapsed="false">
      <c r="A210" s="0" t="s">
        <v>81</v>
      </c>
      <c r="B210" s="0" t="s">
        <v>87</v>
      </c>
      <c r="C210" s="0" t="s">
        <v>72</v>
      </c>
      <c r="D210" s="0" t="str">
        <f aca="false">IFERROR(INDEX('Materials Master'!$B$2:$B$20,MATCH($C210,'Materials Master'!$A$2:$A$20,0)),"")</f>
        <v>Residual Materials</v>
      </c>
      <c r="E210" s="0" t="str">
        <f aca="false">IFERROR(INDEX('Materials Master'!$C$2:$C$20,MATCH($C210,'Materials Master'!$A$2:$A$20,0)),"")</f>
        <v>Other</v>
      </c>
      <c r="F210" s="0" t="n">
        <f aca="false">IF(SUMIFS(Fact_SortedWeights!$E$2:$E$67,Fact_SortedWeights!$C$2:$C$67,$A210,Fact_SortedWeights!$B$2:$B$67,$B210)=0,0,SUMIFS(Fact_SortedWeights!$E$2:$E$67,Fact_SortedWeights!$C$2:$C$67,$A210,Fact_SortedWeights!$B$2:$B$67,$B210,Fact_SortedWeights!$D$2:$D$67,$C210)/SUMIFS(Fact_SortedWeights!$E$2:$E$67,Fact_SortedWeights!$C$2:$C$67,$A210,Fact_SortedWeights!$B$2:$B$67,$B210)*(IF($B210="Cardboard Recycling",SUMIFS(Fact_SortedWeights!$E$2:$E$67,Fact_SortedWeights!$C$2:$C$67,$A210,Fact_SortedWeights!$B$2:$B$67,$B210),SUMIFS(Fact_PreSortWeights!$E$2:$E$6,Fact_PreSortWeights!$C$2:$C$6,$A210,Fact_PreSortWeights!$B$2:$B$6,$B210))))</f>
        <v>0</v>
      </c>
      <c r="G210" s="0" t="n">
        <f aca="false">IF(AND(IF($B210="Trash",INDEX('Materials Master'!$F$2:$F$20,MATCH($C210,'Materials Master'!$A$2:$A$20,0)),IF($B210="GMPC Recycling",INDEX('Materials Master'!$G$2:$G$20,MATCH($C210,'Materials Master'!$A$2:$A$20,0)),IF($B210="Organics Recycling",INDEX('Materials Master'!$H$2:$H$20,MATCH($C210,'Materials Master'!$A$2:$A$20,0)),IF($B210="Cardboard Recycling",INDEX('Materials Master'!$I$2:$I$20,MATCH($C210,'Materials Master'!$A$2:$A$20,0)),IF($B210="Paper Recycling",INDEX('Materials Master'!$J$2:$J$20,MATCH($C210,'Materials Master'!$A$2:$A$20,0)),IF($B210="Terracycle",INDEX('Materials Master'!$K$2:$K$20,MATCH($C210,'Materials Master'!$A$2:$A$20,0)),"No"))))))="Yes",INDEX('Materials Master'!$E$2:$E$20,MATCH($C210,'Materials Master'!$A$2:$A$20,0))="Yes",$B210&lt;&gt;"Trash"),1,0)</f>
        <v>0</v>
      </c>
      <c r="H210" s="0" t="str">
        <f aca="false">INDEX('Materials Master'!$E$2:$E$20,MATCH($C210,'Materials Master'!$A$2:$A$20,0))</f>
        <v>No</v>
      </c>
      <c r="I210" s="0" t="str">
        <f aca="false">IFERROR(INDEX(Areas!$C$2:$C$3,MATCH($A210,Areas!$B$2:$B$3,0)),"")</f>
        <v>Base Building</v>
      </c>
      <c r="J210" s="0" t="n">
        <f aca="false">IF(IF($B210="Trash",INDEX('Materials Master'!$F$2:$F$20,MATCH($C210,'Materials Master'!$A$2:$A$20,0)),IF($B210="GMPC Recycling",INDEX('Materials Master'!$G$2:$G$20,MATCH($C210,'Materials Master'!$A$2:$A$20,0)),IF($B210="Organics Recycling",INDEX('Materials Master'!$H$2:$H$20,MATCH($C210,'Materials Master'!$A$2:$A$20,0)),IF($B210="Cardboard Recycling",INDEX('Materials Master'!$I$2:$I$20,MATCH($C210,'Materials Master'!$A$2:$A$20,0)),IF($B210="Paper Recycling",INDEX('Materials Master'!$J$2:$J$20,MATCH($C210,'Materials Master'!$A$2:$A$20,0)),IF($B210="Terracycle",INDEX('Materials Master'!$K$2:$K$20,MATCH($C210,'Materials Master'!$A$2:$A$20,0)),"No"))))))="Yes",1,0)</f>
        <v>0</v>
      </c>
    </row>
    <row r="211" customFormat="false" ht="15" hidden="false" customHeight="false" outlineLevel="0" collapsed="false">
      <c r="A211" s="0" t="s">
        <v>81</v>
      </c>
      <c r="B211" s="0" t="s">
        <v>88</v>
      </c>
      <c r="C211" s="0" t="s">
        <v>28</v>
      </c>
      <c r="D211" s="0" t="str">
        <f aca="false">IFERROR(INDEX('Materials Master'!$B$2:$B$20,MATCH($C211,'Materials Master'!$A$2:$A$20,0)),"")</f>
        <v>Corrugated Cardboard</v>
      </c>
      <c r="E211" s="0" t="str">
        <f aca="false">IFERROR(INDEX('Materials Master'!$C$2:$C$20,MATCH($C211,'Materials Master'!$A$2:$A$20,0)),"")</f>
        <v>Fibers</v>
      </c>
      <c r="F211" s="0" t="n">
        <f aca="false">IF(SUMIFS(Fact_SortedWeights!$E$2:$E$67,Fact_SortedWeights!$C$2:$C$67,$A211,Fact_SortedWeights!$B$2:$B$67,$B211)=0,0,SUMIFS(Fact_SortedWeights!$E$2:$E$67,Fact_SortedWeights!$C$2:$C$67,$A211,Fact_SortedWeights!$B$2:$B$67,$B211,Fact_SortedWeights!$D$2:$D$67,$C211)/SUMIFS(Fact_SortedWeights!$E$2:$E$67,Fact_SortedWeights!$C$2:$C$67,$A211,Fact_SortedWeights!$B$2:$B$67,$B211)*(IF($B211="Cardboard Recycling",SUMIFS(Fact_SortedWeights!$E$2:$E$67,Fact_SortedWeights!$C$2:$C$67,$A211,Fact_SortedWeights!$B$2:$B$67,$B211),SUMIFS(Fact_PreSortWeights!$E$2:$E$6,Fact_PreSortWeights!$C$2:$C$6,$A211,Fact_PreSortWeights!$B$2:$B$6,$B211))))</f>
        <v>0</v>
      </c>
      <c r="G211" s="0" t="n">
        <f aca="false">IF(AND(IF($B211="Trash",INDEX('Materials Master'!$F$2:$F$20,MATCH($C211,'Materials Master'!$A$2:$A$20,0)),IF($B211="GMPC Recycling",INDEX('Materials Master'!$G$2:$G$20,MATCH($C211,'Materials Master'!$A$2:$A$20,0)),IF($B211="Organics Recycling",INDEX('Materials Master'!$H$2:$H$20,MATCH($C211,'Materials Master'!$A$2:$A$20,0)),IF($B211="Cardboard Recycling",INDEX('Materials Master'!$I$2:$I$20,MATCH($C211,'Materials Master'!$A$2:$A$20,0)),IF($B211="Paper Recycling",INDEX('Materials Master'!$J$2:$J$20,MATCH($C211,'Materials Master'!$A$2:$A$20,0)),IF($B211="Terracycle",INDEX('Materials Master'!$K$2:$K$20,MATCH($C211,'Materials Master'!$A$2:$A$20,0)),"No"))))))="Yes",INDEX('Materials Master'!$E$2:$E$20,MATCH($C211,'Materials Master'!$A$2:$A$20,0))="Yes",$B211&lt;&gt;"Trash"),1,0)</f>
        <v>0</v>
      </c>
      <c r="H211" s="0" t="str">
        <f aca="false">INDEX('Materials Master'!$E$2:$E$20,MATCH($C211,'Materials Master'!$A$2:$A$20,0))</f>
        <v>Yes</v>
      </c>
      <c r="I211" s="0" t="str">
        <f aca="false">IFERROR(INDEX(Areas!$C$2:$C$3,MATCH($A211,Areas!$B$2:$B$3,0)),"")</f>
        <v>Base Building</v>
      </c>
      <c r="J211" s="0" t="n">
        <f aca="false">IF(IF($B211="Trash",INDEX('Materials Master'!$F$2:$F$20,MATCH($C211,'Materials Master'!$A$2:$A$20,0)),IF($B211="GMPC Recycling",INDEX('Materials Master'!$G$2:$G$20,MATCH($C211,'Materials Master'!$A$2:$A$20,0)),IF($B211="Organics Recycling",INDEX('Materials Master'!$H$2:$H$20,MATCH($C211,'Materials Master'!$A$2:$A$20,0)),IF($B211="Cardboard Recycling",INDEX('Materials Master'!$I$2:$I$20,MATCH($C211,'Materials Master'!$A$2:$A$20,0)),IF($B211="Paper Recycling",INDEX('Materials Master'!$J$2:$J$20,MATCH($C211,'Materials Master'!$A$2:$A$20,0)),IF($B211="Terracycle",INDEX('Materials Master'!$K$2:$K$20,MATCH($C211,'Materials Master'!$A$2:$A$20,0)),"No"))))))="Yes",1,0)</f>
        <v>0</v>
      </c>
    </row>
    <row r="212" customFormat="false" ht="15" hidden="false" customHeight="false" outlineLevel="0" collapsed="false">
      <c r="A212" s="0" t="s">
        <v>81</v>
      </c>
      <c r="B212" s="0" t="s">
        <v>88</v>
      </c>
      <c r="C212" s="0" t="s">
        <v>33</v>
      </c>
      <c r="D212" s="0" t="str">
        <f aca="false">IFERROR(INDEX('Materials Master'!$B$2:$B$20,MATCH($C212,'Materials Master'!$A$2:$A$20,0)),"")</f>
        <v>Waxed Cardboard</v>
      </c>
      <c r="E212" s="0" t="str">
        <f aca="false">IFERROR(INDEX('Materials Master'!$C$2:$C$20,MATCH($C212,'Materials Master'!$A$2:$A$20,0)),"")</f>
        <v>Fibers</v>
      </c>
      <c r="F212" s="0" t="n">
        <f aca="false">IF(SUMIFS(Fact_SortedWeights!$E$2:$E$67,Fact_SortedWeights!$C$2:$C$67,$A212,Fact_SortedWeights!$B$2:$B$67,$B212)=0,0,SUMIFS(Fact_SortedWeights!$E$2:$E$67,Fact_SortedWeights!$C$2:$C$67,$A212,Fact_SortedWeights!$B$2:$B$67,$B212,Fact_SortedWeights!$D$2:$D$67,$C212)/SUMIFS(Fact_SortedWeights!$E$2:$E$67,Fact_SortedWeights!$C$2:$C$67,$A212,Fact_SortedWeights!$B$2:$B$67,$B212)*(IF($B212="Cardboard Recycling",SUMIFS(Fact_SortedWeights!$E$2:$E$67,Fact_SortedWeights!$C$2:$C$67,$A212,Fact_SortedWeights!$B$2:$B$67,$B212),SUMIFS(Fact_PreSortWeights!$E$2:$E$6,Fact_PreSortWeights!$C$2:$C$6,$A212,Fact_PreSortWeights!$B$2:$B$6,$B212))))</f>
        <v>0</v>
      </c>
      <c r="G212" s="0" t="n">
        <f aca="false">IF(AND(IF($B212="Trash",INDEX('Materials Master'!$F$2:$F$20,MATCH($C212,'Materials Master'!$A$2:$A$20,0)),IF($B212="GMPC Recycling",INDEX('Materials Master'!$G$2:$G$20,MATCH($C212,'Materials Master'!$A$2:$A$20,0)),IF($B212="Organics Recycling",INDEX('Materials Master'!$H$2:$H$20,MATCH($C212,'Materials Master'!$A$2:$A$20,0)),IF($B212="Cardboard Recycling",INDEX('Materials Master'!$I$2:$I$20,MATCH($C212,'Materials Master'!$A$2:$A$20,0)),IF($B212="Paper Recycling",INDEX('Materials Master'!$J$2:$J$20,MATCH($C212,'Materials Master'!$A$2:$A$20,0)),IF($B212="Terracycle",INDEX('Materials Master'!$K$2:$K$20,MATCH($C212,'Materials Master'!$A$2:$A$20,0)),"No"))))))="Yes",INDEX('Materials Master'!$E$2:$E$20,MATCH($C212,'Materials Master'!$A$2:$A$20,0))="Yes",$B212&lt;&gt;"Trash"),1,0)</f>
        <v>0</v>
      </c>
      <c r="H212" s="0" t="str">
        <f aca="false">INDEX('Materials Master'!$E$2:$E$20,MATCH($C212,'Materials Master'!$A$2:$A$20,0))</f>
        <v>No</v>
      </c>
      <c r="I212" s="0" t="str">
        <f aca="false">IFERROR(INDEX(Areas!$C$2:$C$3,MATCH($A212,Areas!$B$2:$B$3,0)),"")</f>
        <v>Base Building</v>
      </c>
      <c r="J212" s="0" t="n">
        <f aca="false">IF(IF($B212="Trash",INDEX('Materials Master'!$F$2:$F$20,MATCH($C212,'Materials Master'!$A$2:$A$20,0)),IF($B212="GMPC Recycling",INDEX('Materials Master'!$G$2:$G$20,MATCH($C212,'Materials Master'!$A$2:$A$20,0)),IF($B212="Organics Recycling",INDEX('Materials Master'!$H$2:$H$20,MATCH($C212,'Materials Master'!$A$2:$A$20,0)),IF($B212="Cardboard Recycling",INDEX('Materials Master'!$I$2:$I$20,MATCH($C212,'Materials Master'!$A$2:$A$20,0)),IF($B212="Paper Recycling",INDEX('Materials Master'!$J$2:$J$20,MATCH($C212,'Materials Master'!$A$2:$A$20,0)),IF($B212="Terracycle",INDEX('Materials Master'!$K$2:$K$20,MATCH($C212,'Materials Master'!$A$2:$A$20,0)),"No"))))))="Yes",1,0)</f>
        <v>0</v>
      </c>
    </row>
    <row r="213" customFormat="false" ht="15" hidden="false" customHeight="false" outlineLevel="0" collapsed="false">
      <c r="A213" s="0" t="s">
        <v>81</v>
      </c>
      <c r="B213" s="0" t="s">
        <v>88</v>
      </c>
      <c r="C213" s="0" t="s">
        <v>35</v>
      </c>
      <c r="D213" s="0" t="str">
        <f aca="false">IFERROR(INDEX('Materials Master'!$B$2:$B$20,MATCH($C213,'Materials Master'!$A$2:$A$20,0)),"")</f>
        <v>Mixed Paper</v>
      </c>
      <c r="E213" s="0" t="str">
        <f aca="false">IFERROR(INDEX('Materials Master'!$C$2:$C$20,MATCH($C213,'Materials Master'!$A$2:$A$20,0)),"")</f>
        <v>Fibers</v>
      </c>
      <c r="F213" s="0" t="n">
        <f aca="false">IF(SUMIFS(Fact_SortedWeights!$E$2:$E$67,Fact_SortedWeights!$C$2:$C$67,$A213,Fact_SortedWeights!$B$2:$B$67,$B213)=0,0,SUMIFS(Fact_SortedWeights!$E$2:$E$67,Fact_SortedWeights!$C$2:$C$67,$A213,Fact_SortedWeights!$B$2:$B$67,$B213,Fact_SortedWeights!$D$2:$D$67,$C213)/SUMIFS(Fact_SortedWeights!$E$2:$E$67,Fact_SortedWeights!$C$2:$C$67,$A213,Fact_SortedWeights!$B$2:$B$67,$B213)*(IF($B213="Cardboard Recycling",SUMIFS(Fact_SortedWeights!$E$2:$E$67,Fact_SortedWeights!$C$2:$C$67,$A213,Fact_SortedWeights!$B$2:$B$67,$B213),SUMIFS(Fact_PreSortWeights!$E$2:$E$6,Fact_PreSortWeights!$C$2:$C$6,$A213,Fact_PreSortWeights!$B$2:$B$6,$B213))))</f>
        <v>0</v>
      </c>
      <c r="G213" s="0" t="n">
        <f aca="false">IF(AND(IF($B213="Trash",INDEX('Materials Master'!$F$2:$F$20,MATCH($C213,'Materials Master'!$A$2:$A$20,0)),IF($B213="GMPC Recycling",INDEX('Materials Master'!$G$2:$G$20,MATCH($C213,'Materials Master'!$A$2:$A$20,0)),IF($B213="Organics Recycling",INDEX('Materials Master'!$H$2:$H$20,MATCH($C213,'Materials Master'!$A$2:$A$20,0)),IF($B213="Cardboard Recycling",INDEX('Materials Master'!$I$2:$I$20,MATCH($C213,'Materials Master'!$A$2:$A$20,0)),IF($B213="Paper Recycling",INDEX('Materials Master'!$J$2:$J$20,MATCH($C213,'Materials Master'!$A$2:$A$20,0)),IF($B213="Terracycle",INDEX('Materials Master'!$K$2:$K$20,MATCH($C213,'Materials Master'!$A$2:$A$20,0)),"No"))))))="Yes",INDEX('Materials Master'!$E$2:$E$20,MATCH($C213,'Materials Master'!$A$2:$A$20,0))="Yes",$B213&lt;&gt;"Trash"),1,0)</f>
        <v>0</v>
      </c>
      <c r="H213" s="0" t="str">
        <f aca="false">INDEX('Materials Master'!$E$2:$E$20,MATCH($C213,'Materials Master'!$A$2:$A$20,0))</f>
        <v>Yes</v>
      </c>
      <c r="I213" s="0" t="str">
        <f aca="false">IFERROR(INDEX(Areas!$C$2:$C$3,MATCH($A213,Areas!$B$2:$B$3,0)),"")</f>
        <v>Base Building</v>
      </c>
      <c r="J213" s="0" t="n">
        <f aca="false">IF(IF($B213="Trash",INDEX('Materials Master'!$F$2:$F$20,MATCH($C213,'Materials Master'!$A$2:$A$20,0)),IF($B213="GMPC Recycling",INDEX('Materials Master'!$G$2:$G$20,MATCH($C213,'Materials Master'!$A$2:$A$20,0)),IF($B213="Organics Recycling",INDEX('Materials Master'!$H$2:$H$20,MATCH($C213,'Materials Master'!$A$2:$A$20,0)),IF($B213="Cardboard Recycling",INDEX('Materials Master'!$I$2:$I$20,MATCH($C213,'Materials Master'!$A$2:$A$20,0)),IF($B213="Paper Recycling",INDEX('Materials Master'!$J$2:$J$20,MATCH($C213,'Materials Master'!$A$2:$A$20,0)),IF($B213="Terracycle",INDEX('Materials Master'!$K$2:$K$20,MATCH($C213,'Materials Master'!$A$2:$A$20,0)),"No"))))))="Yes",1,0)</f>
        <v>0</v>
      </c>
    </row>
    <row r="214" customFormat="false" ht="15" hidden="false" customHeight="false" outlineLevel="0" collapsed="false">
      <c r="A214" s="0" t="s">
        <v>81</v>
      </c>
      <c r="B214" s="0" t="s">
        <v>88</v>
      </c>
      <c r="C214" s="0" t="s">
        <v>37</v>
      </c>
      <c r="D214" s="0" t="str">
        <f aca="false">IFERROR(INDEX('Materials Master'!$B$2:$B$20,MATCH($C214,'Materials Master'!$A$2:$A$20,0)),"")</f>
        <v>Gable-top &amp; Aseptic Cartons</v>
      </c>
      <c r="E214" s="0" t="str">
        <f aca="false">IFERROR(INDEX('Materials Master'!$C$2:$C$20,MATCH($C214,'Materials Master'!$A$2:$A$20,0)),"")</f>
        <v>Fibers</v>
      </c>
      <c r="F214" s="0" t="n">
        <f aca="false">IF(SUMIFS(Fact_SortedWeights!$E$2:$E$67,Fact_SortedWeights!$C$2:$C$67,$A214,Fact_SortedWeights!$B$2:$B$67,$B214)=0,0,SUMIFS(Fact_SortedWeights!$E$2:$E$67,Fact_SortedWeights!$C$2:$C$67,$A214,Fact_SortedWeights!$B$2:$B$67,$B214,Fact_SortedWeights!$D$2:$D$67,$C214)/SUMIFS(Fact_SortedWeights!$E$2:$E$67,Fact_SortedWeights!$C$2:$C$67,$A214,Fact_SortedWeights!$B$2:$B$67,$B214)*(IF($B214="Cardboard Recycling",SUMIFS(Fact_SortedWeights!$E$2:$E$67,Fact_SortedWeights!$C$2:$C$67,$A214,Fact_SortedWeights!$B$2:$B$67,$B214),SUMIFS(Fact_PreSortWeights!$E$2:$E$6,Fact_PreSortWeights!$C$2:$C$6,$A214,Fact_PreSortWeights!$B$2:$B$6,$B214))))</f>
        <v>0</v>
      </c>
      <c r="G214" s="0" t="n">
        <f aca="false">IF(AND(IF($B214="Trash",INDEX('Materials Master'!$F$2:$F$20,MATCH($C214,'Materials Master'!$A$2:$A$20,0)),IF($B214="GMPC Recycling",INDEX('Materials Master'!$G$2:$G$20,MATCH($C214,'Materials Master'!$A$2:$A$20,0)),IF($B214="Organics Recycling",INDEX('Materials Master'!$H$2:$H$20,MATCH($C214,'Materials Master'!$A$2:$A$20,0)),IF($B214="Cardboard Recycling",INDEX('Materials Master'!$I$2:$I$20,MATCH($C214,'Materials Master'!$A$2:$A$20,0)),IF($B214="Paper Recycling",INDEX('Materials Master'!$J$2:$J$20,MATCH($C214,'Materials Master'!$A$2:$A$20,0)),IF($B214="Terracycle",INDEX('Materials Master'!$K$2:$K$20,MATCH($C214,'Materials Master'!$A$2:$A$20,0)),"No"))))))="Yes",INDEX('Materials Master'!$E$2:$E$20,MATCH($C214,'Materials Master'!$A$2:$A$20,0))="Yes",$B214&lt;&gt;"Trash"),1,0)</f>
        <v>0</v>
      </c>
      <c r="H214" s="0" t="str">
        <f aca="false">INDEX('Materials Master'!$E$2:$E$20,MATCH($C214,'Materials Master'!$A$2:$A$20,0))</f>
        <v>Yes</v>
      </c>
      <c r="I214" s="0" t="str">
        <f aca="false">IFERROR(INDEX(Areas!$C$2:$C$3,MATCH($A214,Areas!$B$2:$B$3,0)),"")</f>
        <v>Base Building</v>
      </c>
      <c r="J214" s="0" t="n">
        <f aca="false">IF(IF($B214="Trash",INDEX('Materials Master'!$F$2:$F$20,MATCH($C214,'Materials Master'!$A$2:$A$20,0)),IF($B214="GMPC Recycling",INDEX('Materials Master'!$G$2:$G$20,MATCH($C214,'Materials Master'!$A$2:$A$20,0)),IF($B214="Organics Recycling",INDEX('Materials Master'!$H$2:$H$20,MATCH($C214,'Materials Master'!$A$2:$A$20,0)),IF($B214="Cardboard Recycling",INDEX('Materials Master'!$I$2:$I$20,MATCH($C214,'Materials Master'!$A$2:$A$20,0)),IF($B214="Paper Recycling",INDEX('Materials Master'!$J$2:$J$20,MATCH($C214,'Materials Master'!$A$2:$A$20,0)),IF($B214="Terracycle",INDEX('Materials Master'!$K$2:$K$20,MATCH($C214,'Materials Master'!$A$2:$A$20,0)),"No"))))))="Yes",1,0)</f>
        <v>0</v>
      </c>
    </row>
    <row r="215" customFormat="false" ht="15" hidden="false" customHeight="false" outlineLevel="0" collapsed="false">
      <c r="A215" s="0" t="s">
        <v>81</v>
      </c>
      <c r="B215" s="0" t="s">
        <v>88</v>
      </c>
      <c r="C215" s="0" t="s">
        <v>39</v>
      </c>
      <c r="D215" s="0" t="str">
        <f aca="false">IFERROR(INDEX('Materials Master'!$B$2:$B$20,MATCH($C215,'Materials Master'!$A$2:$A$20,0)),"")</f>
        <v>Other Coated Paper Containers</v>
      </c>
      <c r="E215" s="0" t="str">
        <f aca="false">IFERROR(INDEX('Materials Master'!$C$2:$C$20,MATCH($C215,'Materials Master'!$A$2:$A$20,0)),"")</f>
        <v>Fibers</v>
      </c>
      <c r="F215" s="0" t="n">
        <f aca="false">IF(SUMIFS(Fact_SortedWeights!$E$2:$E$67,Fact_SortedWeights!$C$2:$C$67,$A215,Fact_SortedWeights!$B$2:$B$67,$B215)=0,0,SUMIFS(Fact_SortedWeights!$E$2:$E$67,Fact_SortedWeights!$C$2:$C$67,$A215,Fact_SortedWeights!$B$2:$B$67,$B215,Fact_SortedWeights!$D$2:$D$67,$C215)/SUMIFS(Fact_SortedWeights!$E$2:$E$67,Fact_SortedWeights!$C$2:$C$67,$A215,Fact_SortedWeights!$B$2:$B$67,$B215)*(IF($B215="Cardboard Recycling",SUMIFS(Fact_SortedWeights!$E$2:$E$67,Fact_SortedWeights!$C$2:$C$67,$A215,Fact_SortedWeights!$B$2:$B$67,$B215),SUMIFS(Fact_PreSortWeights!$E$2:$E$6,Fact_PreSortWeights!$C$2:$C$6,$A215,Fact_PreSortWeights!$B$2:$B$6,$B215))))</f>
        <v>0</v>
      </c>
      <c r="G215" s="0" t="n">
        <f aca="false">IF(AND(IF($B215="Trash",INDEX('Materials Master'!$F$2:$F$20,MATCH($C215,'Materials Master'!$A$2:$A$20,0)),IF($B215="GMPC Recycling",INDEX('Materials Master'!$G$2:$G$20,MATCH($C215,'Materials Master'!$A$2:$A$20,0)),IF($B215="Organics Recycling",INDEX('Materials Master'!$H$2:$H$20,MATCH($C215,'Materials Master'!$A$2:$A$20,0)),IF($B215="Cardboard Recycling",INDEX('Materials Master'!$I$2:$I$20,MATCH($C215,'Materials Master'!$A$2:$A$20,0)),IF($B215="Paper Recycling",INDEX('Materials Master'!$J$2:$J$20,MATCH($C215,'Materials Master'!$A$2:$A$20,0)),IF($B215="Terracycle",INDEX('Materials Master'!$K$2:$K$20,MATCH($C215,'Materials Master'!$A$2:$A$20,0)),"No"))))))="Yes",INDEX('Materials Master'!$E$2:$E$20,MATCH($C215,'Materials Master'!$A$2:$A$20,0))="Yes",$B215&lt;&gt;"Trash"),1,0)</f>
        <v>0</v>
      </c>
      <c r="H215" s="0" t="str">
        <f aca="false">INDEX('Materials Master'!$E$2:$E$20,MATCH($C215,'Materials Master'!$A$2:$A$20,0))</f>
        <v>No</v>
      </c>
      <c r="I215" s="0" t="str">
        <f aca="false">IFERROR(INDEX(Areas!$C$2:$C$3,MATCH($A215,Areas!$B$2:$B$3,0)),"")</f>
        <v>Base Building</v>
      </c>
      <c r="J215" s="0" t="n">
        <f aca="false">IF(IF($B215="Trash",INDEX('Materials Master'!$F$2:$F$20,MATCH($C215,'Materials Master'!$A$2:$A$20,0)),IF($B215="GMPC Recycling",INDEX('Materials Master'!$G$2:$G$20,MATCH($C215,'Materials Master'!$A$2:$A$20,0)),IF($B215="Organics Recycling",INDEX('Materials Master'!$H$2:$H$20,MATCH($C215,'Materials Master'!$A$2:$A$20,0)),IF($B215="Cardboard Recycling",INDEX('Materials Master'!$I$2:$I$20,MATCH($C215,'Materials Master'!$A$2:$A$20,0)),IF($B215="Paper Recycling",INDEX('Materials Master'!$J$2:$J$20,MATCH($C215,'Materials Master'!$A$2:$A$20,0)),IF($B215="Terracycle",INDEX('Materials Master'!$K$2:$K$20,MATCH($C215,'Materials Master'!$A$2:$A$20,0)),"No"))))))="Yes",1,0)</f>
        <v>0</v>
      </c>
    </row>
    <row r="216" customFormat="false" ht="15" hidden="false" customHeight="false" outlineLevel="0" collapsed="false">
      <c r="A216" s="0" t="s">
        <v>81</v>
      </c>
      <c r="B216" s="0" t="s">
        <v>88</v>
      </c>
      <c r="C216" s="0" t="s">
        <v>41</v>
      </c>
      <c r="D216" s="0" t="str">
        <f aca="false">IFERROR(INDEX('Materials Master'!$B$2:$B$20,MATCH($C216,'Materials Master'!$A$2:$A$20,0)),"")</f>
        <v>Glass Bottles &amp; Jars</v>
      </c>
      <c r="E216" s="0" t="str">
        <f aca="false">IFERROR(INDEX('Materials Master'!$C$2:$C$20,MATCH($C216,'Materials Master'!$A$2:$A$20,0)),"")</f>
        <v>Glass</v>
      </c>
      <c r="F216" s="0" t="n">
        <f aca="false">IF(SUMIFS(Fact_SortedWeights!$E$2:$E$67,Fact_SortedWeights!$C$2:$C$67,$A216,Fact_SortedWeights!$B$2:$B$67,$B216)=0,0,SUMIFS(Fact_SortedWeights!$E$2:$E$67,Fact_SortedWeights!$C$2:$C$67,$A216,Fact_SortedWeights!$B$2:$B$67,$B216,Fact_SortedWeights!$D$2:$D$67,$C216)/SUMIFS(Fact_SortedWeights!$E$2:$E$67,Fact_SortedWeights!$C$2:$C$67,$A216,Fact_SortedWeights!$B$2:$B$67,$B216)*(IF($B216="Cardboard Recycling",SUMIFS(Fact_SortedWeights!$E$2:$E$67,Fact_SortedWeights!$C$2:$C$67,$A216,Fact_SortedWeights!$B$2:$B$67,$B216),SUMIFS(Fact_PreSortWeights!$E$2:$E$6,Fact_PreSortWeights!$C$2:$C$6,$A216,Fact_PreSortWeights!$B$2:$B$6,$B216))))</f>
        <v>0</v>
      </c>
      <c r="G216" s="0" t="n">
        <f aca="false">IF(AND(IF($B216="Trash",INDEX('Materials Master'!$F$2:$F$20,MATCH($C216,'Materials Master'!$A$2:$A$20,0)),IF($B216="GMPC Recycling",INDEX('Materials Master'!$G$2:$G$20,MATCH($C216,'Materials Master'!$A$2:$A$20,0)),IF($B216="Organics Recycling",INDEX('Materials Master'!$H$2:$H$20,MATCH($C216,'Materials Master'!$A$2:$A$20,0)),IF($B216="Cardboard Recycling",INDEX('Materials Master'!$I$2:$I$20,MATCH($C216,'Materials Master'!$A$2:$A$20,0)),IF($B216="Paper Recycling",INDEX('Materials Master'!$J$2:$J$20,MATCH($C216,'Materials Master'!$A$2:$A$20,0)),IF($B216="Terracycle",INDEX('Materials Master'!$K$2:$K$20,MATCH($C216,'Materials Master'!$A$2:$A$20,0)),"No"))))))="Yes",INDEX('Materials Master'!$E$2:$E$20,MATCH($C216,'Materials Master'!$A$2:$A$20,0))="Yes",$B216&lt;&gt;"Trash"),1,0)</f>
        <v>0</v>
      </c>
      <c r="H216" s="0" t="str">
        <f aca="false">INDEX('Materials Master'!$E$2:$E$20,MATCH($C216,'Materials Master'!$A$2:$A$20,0))</f>
        <v>Yes</v>
      </c>
      <c r="I216" s="0" t="str">
        <f aca="false">IFERROR(INDEX(Areas!$C$2:$C$3,MATCH($A216,Areas!$B$2:$B$3,0)),"")</f>
        <v>Base Building</v>
      </c>
      <c r="J216" s="0" t="n">
        <f aca="false">IF(IF($B216="Trash",INDEX('Materials Master'!$F$2:$F$20,MATCH($C216,'Materials Master'!$A$2:$A$20,0)),IF($B216="GMPC Recycling",INDEX('Materials Master'!$G$2:$G$20,MATCH($C216,'Materials Master'!$A$2:$A$20,0)),IF($B216="Organics Recycling",INDEX('Materials Master'!$H$2:$H$20,MATCH($C216,'Materials Master'!$A$2:$A$20,0)),IF($B216="Cardboard Recycling",INDEX('Materials Master'!$I$2:$I$20,MATCH($C216,'Materials Master'!$A$2:$A$20,0)),IF($B216="Paper Recycling",INDEX('Materials Master'!$J$2:$J$20,MATCH($C216,'Materials Master'!$A$2:$A$20,0)),IF($B216="Terracycle",INDEX('Materials Master'!$K$2:$K$20,MATCH($C216,'Materials Master'!$A$2:$A$20,0)),"No"))))))="Yes",1,0)</f>
        <v>0</v>
      </c>
    </row>
    <row r="217" customFormat="false" ht="15" hidden="false" customHeight="false" outlineLevel="0" collapsed="false">
      <c r="A217" s="0" t="s">
        <v>81</v>
      </c>
      <c r="B217" s="0" t="s">
        <v>88</v>
      </c>
      <c r="C217" s="0" t="s">
        <v>44</v>
      </c>
      <c r="D217" s="0" t="str">
        <f aca="false">IFERROR(INDEX('Materials Master'!$B$2:$B$20,MATCH($C217,'Materials Master'!$A$2:$A$20,0)),"")</f>
        <v>Broken Glass</v>
      </c>
      <c r="E217" s="0" t="str">
        <f aca="false">IFERROR(INDEX('Materials Master'!$C$2:$C$20,MATCH($C217,'Materials Master'!$A$2:$A$20,0)),"")</f>
        <v>Glass</v>
      </c>
      <c r="F217" s="0" t="n">
        <f aca="false">IF(SUMIFS(Fact_SortedWeights!$E$2:$E$67,Fact_SortedWeights!$C$2:$C$67,$A217,Fact_SortedWeights!$B$2:$B$67,$B217)=0,0,SUMIFS(Fact_SortedWeights!$E$2:$E$67,Fact_SortedWeights!$C$2:$C$67,$A217,Fact_SortedWeights!$B$2:$B$67,$B217,Fact_SortedWeights!$D$2:$D$67,$C217)/SUMIFS(Fact_SortedWeights!$E$2:$E$67,Fact_SortedWeights!$C$2:$C$67,$A217,Fact_SortedWeights!$B$2:$B$67,$B217)*(IF($B217="Cardboard Recycling",SUMIFS(Fact_SortedWeights!$E$2:$E$67,Fact_SortedWeights!$C$2:$C$67,$A217,Fact_SortedWeights!$B$2:$B$67,$B217),SUMIFS(Fact_PreSortWeights!$E$2:$E$6,Fact_PreSortWeights!$C$2:$C$6,$A217,Fact_PreSortWeights!$B$2:$B$6,$B217))))</f>
        <v>0</v>
      </c>
      <c r="G217" s="0" t="n">
        <f aca="false">IF(AND(IF($B217="Trash",INDEX('Materials Master'!$F$2:$F$20,MATCH($C217,'Materials Master'!$A$2:$A$20,0)),IF($B217="GMPC Recycling",INDEX('Materials Master'!$G$2:$G$20,MATCH($C217,'Materials Master'!$A$2:$A$20,0)),IF($B217="Organics Recycling",INDEX('Materials Master'!$H$2:$H$20,MATCH($C217,'Materials Master'!$A$2:$A$20,0)),IF($B217="Cardboard Recycling",INDEX('Materials Master'!$I$2:$I$20,MATCH($C217,'Materials Master'!$A$2:$A$20,0)),IF($B217="Paper Recycling",INDEX('Materials Master'!$J$2:$J$20,MATCH($C217,'Materials Master'!$A$2:$A$20,0)),IF($B217="Terracycle",INDEX('Materials Master'!$K$2:$K$20,MATCH($C217,'Materials Master'!$A$2:$A$20,0)),"No"))))))="Yes",INDEX('Materials Master'!$E$2:$E$20,MATCH($C217,'Materials Master'!$A$2:$A$20,0))="Yes",$B217&lt;&gt;"Trash"),1,0)</f>
        <v>0</v>
      </c>
      <c r="H217" s="0" t="str">
        <f aca="false">INDEX('Materials Master'!$E$2:$E$20,MATCH($C217,'Materials Master'!$A$2:$A$20,0))</f>
        <v>No</v>
      </c>
      <c r="I217" s="0" t="str">
        <f aca="false">IFERROR(INDEX(Areas!$C$2:$C$3,MATCH($A217,Areas!$B$2:$B$3,0)),"")</f>
        <v>Base Building</v>
      </c>
      <c r="J217" s="0" t="n">
        <f aca="false">IF(IF($B217="Trash",INDEX('Materials Master'!$F$2:$F$20,MATCH($C217,'Materials Master'!$A$2:$A$20,0)),IF($B217="GMPC Recycling",INDEX('Materials Master'!$G$2:$G$20,MATCH($C217,'Materials Master'!$A$2:$A$20,0)),IF($B217="Organics Recycling",INDEX('Materials Master'!$H$2:$H$20,MATCH($C217,'Materials Master'!$A$2:$A$20,0)),IF($B217="Cardboard Recycling",INDEX('Materials Master'!$I$2:$I$20,MATCH($C217,'Materials Master'!$A$2:$A$20,0)),IF($B217="Paper Recycling",INDEX('Materials Master'!$J$2:$J$20,MATCH($C217,'Materials Master'!$A$2:$A$20,0)),IF($B217="Terracycle",INDEX('Materials Master'!$K$2:$K$20,MATCH($C217,'Materials Master'!$A$2:$A$20,0)),"No"))))))="Yes",1,0)</f>
        <v>0</v>
      </c>
    </row>
    <row r="218" customFormat="false" ht="15" hidden="false" customHeight="false" outlineLevel="0" collapsed="false">
      <c r="A218" s="0" t="s">
        <v>81</v>
      </c>
      <c r="B218" s="0" t="s">
        <v>88</v>
      </c>
      <c r="C218" s="0" t="s">
        <v>46</v>
      </c>
      <c r="D218" s="0" t="str">
        <f aca="false">IFERROR(INDEX('Materials Master'!$B$2:$B$20,MATCH($C218,'Materials Master'!$A$2:$A$20,0)),"")</f>
        <v>Aluminum &amp; Bi-metal Containers</v>
      </c>
      <c r="E218" s="0" t="str">
        <f aca="false">IFERROR(INDEX('Materials Master'!$C$2:$C$20,MATCH($C218,'Materials Master'!$A$2:$A$20,0)),"")</f>
        <v>Metals</v>
      </c>
      <c r="F218" s="0" t="n">
        <f aca="false">IF(SUMIFS(Fact_SortedWeights!$E$2:$E$67,Fact_SortedWeights!$C$2:$C$67,$A218,Fact_SortedWeights!$B$2:$B$67,$B218)=0,0,SUMIFS(Fact_SortedWeights!$E$2:$E$67,Fact_SortedWeights!$C$2:$C$67,$A218,Fact_SortedWeights!$B$2:$B$67,$B218,Fact_SortedWeights!$D$2:$D$67,$C218)/SUMIFS(Fact_SortedWeights!$E$2:$E$67,Fact_SortedWeights!$C$2:$C$67,$A218,Fact_SortedWeights!$B$2:$B$67,$B218)*(IF($B218="Cardboard Recycling",SUMIFS(Fact_SortedWeights!$E$2:$E$67,Fact_SortedWeights!$C$2:$C$67,$A218,Fact_SortedWeights!$B$2:$B$67,$B218),SUMIFS(Fact_PreSortWeights!$E$2:$E$6,Fact_PreSortWeights!$C$2:$C$6,$A218,Fact_PreSortWeights!$B$2:$B$6,$B218))))</f>
        <v>0</v>
      </c>
      <c r="G218" s="0" t="n">
        <f aca="false">IF(AND(IF($B218="Trash",INDEX('Materials Master'!$F$2:$F$20,MATCH($C218,'Materials Master'!$A$2:$A$20,0)),IF($B218="GMPC Recycling",INDEX('Materials Master'!$G$2:$G$20,MATCH($C218,'Materials Master'!$A$2:$A$20,0)),IF($B218="Organics Recycling",INDEX('Materials Master'!$H$2:$H$20,MATCH($C218,'Materials Master'!$A$2:$A$20,0)),IF($B218="Cardboard Recycling",INDEX('Materials Master'!$I$2:$I$20,MATCH($C218,'Materials Master'!$A$2:$A$20,0)),IF($B218="Paper Recycling",INDEX('Materials Master'!$J$2:$J$20,MATCH($C218,'Materials Master'!$A$2:$A$20,0)),IF($B218="Terracycle",INDEX('Materials Master'!$K$2:$K$20,MATCH($C218,'Materials Master'!$A$2:$A$20,0)),"No"))))))="Yes",INDEX('Materials Master'!$E$2:$E$20,MATCH($C218,'Materials Master'!$A$2:$A$20,0))="Yes",$B218&lt;&gt;"Trash"),1,0)</f>
        <v>0</v>
      </c>
      <c r="H218" s="0" t="str">
        <f aca="false">INDEX('Materials Master'!$E$2:$E$20,MATCH($C218,'Materials Master'!$A$2:$A$20,0))</f>
        <v>Yes</v>
      </c>
      <c r="I218" s="0" t="str">
        <f aca="false">IFERROR(INDEX(Areas!$C$2:$C$3,MATCH($A218,Areas!$B$2:$B$3,0)),"")</f>
        <v>Base Building</v>
      </c>
      <c r="J218" s="0" t="n">
        <f aca="false">IF(IF($B218="Trash",INDEX('Materials Master'!$F$2:$F$20,MATCH($C218,'Materials Master'!$A$2:$A$20,0)),IF($B218="GMPC Recycling",INDEX('Materials Master'!$G$2:$G$20,MATCH($C218,'Materials Master'!$A$2:$A$20,0)),IF($B218="Organics Recycling",INDEX('Materials Master'!$H$2:$H$20,MATCH($C218,'Materials Master'!$A$2:$A$20,0)),IF($B218="Cardboard Recycling",INDEX('Materials Master'!$I$2:$I$20,MATCH($C218,'Materials Master'!$A$2:$A$20,0)),IF($B218="Paper Recycling",INDEX('Materials Master'!$J$2:$J$20,MATCH($C218,'Materials Master'!$A$2:$A$20,0)),IF($B218="Terracycle",INDEX('Materials Master'!$K$2:$K$20,MATCH($C218,'Materials Master'!$A$2:$A$20,0)),"No"))))))="Yes",1,0)</f>
        <v>0</v>
      </c>
    </row>
    <row r="219" customFormat="false" ht="15" hidden="false" customHeight="false" outlineLevel="0" collapsed="false">
      <c r="A219" s="0" t="s">
        <v>81</v>
      </c>
      <c r="B219" s="0" t="s">
        <v>88</v>
      </c>
      <c r="C219" s="0" t="s">
        <v>49</v>
      </c>
      <c r="D219" s="0" t="str">
        <f aca="false">IFERROR(INDEX('Materials Master'!$B$2:$B$20,MATCH($C219,'Materials Master'!$A$2:$A$20,0)),"")</f>
        <v>Metal Hangers</v>
      </c>
      <c r="E219" s="0" t="str">
        <f aca="false">IFERROR(INDEX('Materials Master'!$C$2:$C$20,MATCH($C219,'Materials Master'!$A$2:$A$20,0)),"")</f>
        <v>Metals</v>
      </c>
      <c r="F219" s="0" t="n">
        <f aca="false">IF(SUMIFS(Fact_SortedWeights!$E$2:$E$67,Fact_SortedWeights!$C$2:$C$67,$A219,Fact_SortedWeights!$B$2:$B$67,$B219)=0,0,SUMIFS(Fact_SortedWeights!$E$2:$E$67,Fact_SortedWeights!$C$2:$C$67,$A219,Fact_SortedWeights!$B$2:$B$67,$B219,Fact_SortedWeights!$D$2:$D$67,$C219)/SUMIFS(Fact_SortedWeights!$E$2:$E$67,Fact_SortedWeights!$C$2:$C$67,$A219,Fact_SortedWeights!$B$2:$B$67,$B219)*(IF($B219="Cardboard Recycling",SUMIFS(Fact_SortedWeights!$E$2:$E$67,Fact_SortedWeights!$C$2:$C$67,$A219,Fact_SortedWeights!$B$2:$B$67,$B219),SUMIFS(Fact_PreSortWeights!$E$2:$E$6,Fact_PreSortWeights!$C$2:$C$6,$A219,Fact_PreSortWeights!$B$2:$B$6,$B219))))</f>
        <v>0</v>
      </c>
      <c r="G219" s="0" t="n">
        <f aca="false">IF(AND(IF($B219="Trash",INDEX('Materials Master'!$F$2:$F$20,MATCH($C219,'Materials Master'!$A$2:$A$20,0)),IF($B219="GMPC Recycling",INDEX('Materials Master'!$G$2:$G$20,MATCH($C219,'Materials Master'!$A$2:$A$20,0)),IF($B219="Organics Recycling",INDEX('Materials Master'!$H$2:$H$20,MATCH($C219,'Materials Master'!$A$2:$A$20,0)),IF($B219="Cardboard Recycling",INDEX('Materials Master'!$I$2:$I$20,MATCH($C219,'Materials Master'!$A$2:$A$20,0)),IF($B219="Paper Recycling",INDEX('Materials Master'!$J$2:$J$20,MATCH($C219,'Materials Master'!$A$2:$A$20,0)),IF($B219="Terracycle",INDEX('Materials Master'!$K$2:$K$20,MATCH($C219,'Materials Master'!$A$2:$A$20,0)),"No"))))))="Yes",INDEX('Materials Master'!$E$2:$E$20,MATCH($C219,'Materials Master'!$A$2:$A$20,0))="Yes",$B219&lt;&gt;"Trash"),1,0)</f>
        <v>0</v>
      </c>
      <c r="H219" s="0" t="str">
        <f aca="false">INDEX('Materials Master'!$E$2:$E$20,MATCH($C219,'Materials Master'!$A$2:$A$20,0))</f>
        <v>No</v>
      </c>
      <c r="I219" s="0" t="str">
        <f aca="false">IFERROR(INDEX(Areas!$C$2:$C$3,MATCH($A219,Areas!$B$2:$B$3,0)),"")</f>
        <v>Base Building</v>
      </c>
      <c r="J219" s="0" t="n">
        <f aca="false">IF(IF($B219="Trash",INDEX('Materials Master'!$F$2:$F$20,MATCH($C219,'Materials Master'!$A$2:$A$20,0)),IF($B219="GMPC Recycling",INDEX('Materials Master'!$G$2:$G$20,MATCH($C219,'Materials Master'!$A$2:$A$20,0)),IF($B219="Organics Recycling",INDEX('Materials Master'!$H$2:$H$20,MATCH($C219,'Materials Master'!$A$2:$A$20,0)),IF($B219="Cardboard Recycling",INDEX('Materials Master'!$I$2:$I$20,MATCH($C219,'Materials Master'!$A$2:$A$20,0)),IF($B219="Paper Recycling",INDEX('Materials Master'!$J$2:$J$20,MATCH($C219,'Materials Master'!$A$2:$A$20,0)),IF($B219="Terracycle",INDEX('Materials Master'!$K$2:$K$20,MATCH($C219,'Materials Master'!$A$2:$A$20,0)),"No"))))))="Yes",1,0)</f>
        <v>0</v>
      </c>
    </row>
    <row r="220" customFormat="false" ht="15" hidden="false" customHeight="false" outlineLevel="0" collapsed="false">
      <c r="A220" s="0" t="s">
        <v>81</v>
      </c>
      <c r="B220" s="0" t="s">
        <v>88</v>
      </c>
      <c r="C220" s="0" t="s">
        <v>51</v>
      </c>
      <c r="D220" s="0" t="str">
        <f aca="false">IFERROR(INDEX('Materials Master'!$B$2:$B$20,MATCH($C220,'Materials Master'!$A$2:$A$20,0)),"")</f>
        <v>Rigid Plastics (1-6)</v>
      </c>
      <c r="E220" s="0" t="str">
        <f aca="false">IFERROR(INDEX('Materials Master'!$C$2:$C$20,MATCH($C220,'Materials Master'!$A$2:$A$20,0)),"")</f>
        <v>Plastics</v>
      </c>
      <c r="F220" s="0" t="n">
        <f aca="false">IF(SUMIFS(Fact_SortedWeights!$E$2:$E$67,Fact_SortedWeights!$C$2:$C$67,$A220,Fact_SortedWeights!$B$2:$B$67,$B220)=0,0,SUMIFS(Fact_SortedWeights!$E$2:$E$67,Fact_SortedWeights!$C$2:$C$67,$A220,Fact_SortedWeights!$B$2:$B$67,$B220,Fact_SortedWeights!$D$2:$D$67,$C220)/SUMIFS(Fact_SortedWeights!$E$2:$E$67,Fact_SortedWeights!$C$2:$C$67,$A220,Fact_SortedWeights!$B$2:$B$67,$B220)*(IF($B220="Cardboard Recycling",SUMIFS(Fact_SortedWeights!$E$2:$E$67,Fact_SortedWeights!$C$2:$C$67,$A220,Fact_SortedWeights!$B$2:$B$67,$B220),SUMIFS(Fact_PreSortWeights!$E$2:$E$6,Fact_PreSortWeights!$C$2:$C$6,$A220,Fact_PreSortWeights!$B$2:$B$6,$B220))))</f>
        <v>0</v>
      </c>
      <c r="G220" s="0" t="n">
        <f aca="false">IF(AND(IF($B220="Trash",INDEX('Materials Master'!$F$2:$F$20,MATCH($C220,'Materials Master'!$A$2:$A$20,0)),IF($B220="GMPC Recycling",INDEX('Materials Master'!$G$2:$G$20,MATCH($C220,'Materials Master'!$A$2:$A$20,0)),IF($B220="Organics Recycling",INDEX('Materials Master'!$H$2:$H$20,MATCH($C220,'Materials Master'!$A$2:$A$20,0)),IF($B220="Cardboard Recycling",INDEX('Materials Master'!$I$2:$I$20,MATCH($C220,'Materials Master'!$A$2:$A$20,0)),IF($B220="Paper Recycling",INDEX('Materials Master'!$J$2:$J$20,MATCH($C220,'Materials Master'!$A$2:$A$20,0)),IF($B220="Terracycle",INDEX('Materials Master'!$K$2:$K$20,MATCH($C220,'Materials Master'!$A$2:$A$20,0)),"No"))))))="Yes",INDEX('Materials Master'!$E$2:$E$20,MATCH($C220,'Materials Master'!$A$2:$A$20,0))="Yes",$B220&lt;&gt;"Trash"),1,0)</f>
        <v>0</v>
      </c>
      <c r="H220" s="0" t="str">
        <f aca="false">INDEX('Materials Master'!$E$2:$E$20,MATCH($C220,'Materials Master'!$A$2:$A$20,0))</f>
        <v>Yes</v>
      </c>
      <c r="I220" s="0" t="str">
        <f aca="false">IFERROR(INDEX(Areas!$C$2:$C$3,MATCH($A220,Areas!$B$2:$B$3,0)),"")</f>
        <v>Base Building</v>
      </c>
      <c r="J220" s="0" t="n">
        <f aca="false">IF(IF($B220="Trash",INDEX('Materials Master'!$F$2:$F$20,MATCH($C220,'Materials Master'!$A$2:$A$20,0)),IF($B220="GMPC Recycling",INDEX('Materials Master'!$G$2:$G$20,MATCH($C220,'Materials Master'!$A$2:$A$20,0)),IF($B220="Organics Recycling",INDEX('Materials Master'!$H$2:$H$20,MATCH($C220,'Materials Master'!$A$2:$A$20,0)),IF($B220="Cardboard Recycling",INDEX('Materials Master'!$I$2:$I$20,MATCH($C220,'Materials Master'!$A$2:$A$20,0)),IF($B220="Paper Recycling",INDEX('Materials Master'!$J$2:$J$20,MATCH($C220,'Materials Master'!$A$2:$A$20,0)),IF($B220="Terracycle",INDEX('Materials Master'!$K$2:$K$20,MATCH($C220,'Materials Master'!$A$2:$A$20,0)),"No"))))))="Yes",1,0)</f>
        <v>0</v>
      </c>
    </row>
    <row r="221" customFormat="false" ht="15" hidden="false" customHeight="false" outlineLevel="0" collapsed="false">
      <c r="A221" s="0" t="s">
        <v>81</v>
      </c>
      <c r="B221" s="0" t="s">
        <v>88</v>
      </c>
      <c r="C221" s="0" t="s">
        <v>54</v>
      </c>
      <c r="D221" s="0" t="str">
        <f aca="false">IFERROR(INDEX('Materials Master'!$B$2:$B$20,MATCH($C221,'Materials Master'!$A$2:$A$20,0)),"")</f>
        <v>Soiled Rigid Plastics</v>
      </c>
      <c r="E221" s="0" t="str">
        <f aca="false">IFERROR(INDEX('Materials Master'!$C$2:$C$20,MATCH($C221,'Materials Master'!$A$2:$A$20,0)),"")</f>
        <v>Plastics</v>
      </c>
      <c r="F221" s="0" t="n">
        <f aca="false">IF(SUMIFS(Fact_SortedWeights!$E$2:$E$67,Fact_SortedWeights!$C$2:$C$67,$A221,Fact_SortedWeights!$B$2:$B$67,$B221)=0,0,SUMIFS(Fact_SortedWeights!$E$2:$E$67,Fact_SortedWeights!$C$2:$C$67,$A221,Fact_SortedWeights!$B$2:$B$67,$B221,Fact_SortedWeights!$D$2:$D$67,$C221)/SUMIFS(Fact_SortedWeights!$E$2:$E$67,Fact_SortedWeights!$C$2:$C$67,$A221,Fact_SortedWeights!$B$2:$B$67,$B221)*(IF($B221="Cardboard Recycling",SUMIFS(Fact_SortedWeights!$E$2:$E$67,Fact_SortedWeights!$C$2:$C$67,$A221,Fact_SortedWeights!$B$2:$B$67,$B221),SUMIFS(Fact_PreSortWeights!$E$2:$E$6,Fact_PreSortWeights!$C$2:$C$6,$A221,Fact_PreSortWeights!$B$2:$B$6,$B221))))</f>
        <v>0</v>
      </c>
      <c r="G221" s="0" t="n">
        <f aca="false">IF(AND(IF($B221="Trash",INDEX('Materials Master'!$F$2:$F$20,MATCH($C221,'Materials Master'!$A$2:$A$20,0)),IF($B221="GMPC Recycling",INDEX('Materials Master'!$G$2:$G$20,MATCH($C221,'Materials Master'!$A$2:$A$20,0)),IF($B221="Organics Recycling",INDEX('Materials Master'!$H$2:$H$20,MATCH($C221,'Materials Master'!$A$2:$A$20,0)),IF($B221="Cardboard Recycling",INDEX('Materials Master'!$I$2:$I$20,MATCH($C221,'Materials Master'!$A$2:$A$20,0)),IF($B221="Paper Recycling",INDEX('Materials Master'!$J$2:$J$20,MATCH($C221,'Materials Master'!$A$2:$A$20,0)),IF($B221="Terracycle",INDEX('Materials Master'!$K$2:$K$20,MATCH($C221,'Materials Master'!$A$2:$A$20,0)),"No"))))))="Yes",INDEX('Materials Master'!$E$2:$E$20,MATCH($C221,'Materials Master'!$A$2:$A$20,0))="Yes",$B221&lt;&gt;"Trash"),1,0)</f>
        <v>0</v>
      </c>
      <c r="H221" s="0" t="str">
        <f aca="false">INDEX('Materials Master'!$E$2:$E$20,MATCH($C221,'Materials Master'!$A$2:$A$20,0))</f>
        <v>No</v>
      </c>
      <c r="I221" s="0" t="str">
        <f aca="false">IFERROR(INDEX(Areas!$C$2:$C$3,MATCH($A221,Areas!$B$2:$B$3,0)),"")</f>
        <v>Base Building</v>
      </c>
      <c r="J221" s="0" t="n">
        <f aca="false">IF(IF($B221="Trash",INDEX('Materials Master'!$F$2:$F$20,MATCH($C221,'Materials Master'!$A$2:$A$20,0)),IF($B221="GMPC Recycling",INDEX('Materials Master'!$G$2:$G$20,MATCH($C221,'Materials Master'!$A$2:$A$20,0)),IF($B221="Organics Recycling",INDEX('Materials Master'!$H$2:$H$20,MATCH($C221,'Materials Master'!$A$2:$A$20,0)),IF($B221="Cardboard Recycling",INDEX('Materials Master'!$I$2:$I$20,MATCH($C221,'Materials Master'!$A$2:$A$20,0)),IF($B221="Paper Recycling",INDEX('Materials Master'!$J$2:$J$20,MATCH($C221,'Materials Master'!$A$2:$A$20,0)),IF($B221="Terracycle",INDEX('Materials Master'!$K$2:$K$20,MATCH($C221,'Materials Master'!$A$2:$A$20,0)),"No"))))))="Yes",1,0)</f>
        <v>0</v>
      </c>
    </row>
    <row r="222" customFormat="false" ht="15" hidden="false" customHeight="false" outlineLevel="0" collapsed="false">
      <c r="A222" s="0" t="s">
        <v>81</v>
      </c>
      <c r="B222" s="0" t="s">
        <v>88</v>
      </c>
      <c r="C222" s="0" t="s">
        <v>56</v>
      </c>
      <c r="D222" s="0" t="str">
        <f aca="false">IFERROR(INDEX('Materials Master'!$B$2:$B$20,MATCH($C222,'Materials Master'!$A$2:$A$20,0)),"")</f>
        <v>Film Plastics</v>
      </c>
      <c r="E222" s="0" t="str">
        <f aca="false">IFERROR(INDEX('Materials Master'!$C$2:$C$20,MATCH($C222,'Materials Master'!$A$2:$A$20,0)),"")</f>
        <v>Plastics</v>
      </c>
      <c r="F222" s="0" t="n">
        <f aca="false">IF(SUMIFS(Fact_SortedWeights!$E$2:$E$67,Fact_SortedWeights!$C$2:$C$67,$A222,Fact_SortedWeights!$B$2:$B$67,$B222)=0,0,SUMIFS(Fact_SortedWeights!$E$2:$E$67,Fact_SortedWeights!$C$2:$C$67,$A222,Fact_SortedWeights!$B$2:$B$67,$B222,Fact_SortedWeights!$D$2:$D$67,$C222)/SUMIFS(Fact_SortedWeights!$E$2:$E$67,Fact_SortedWeights!$C$2:$C$67,$A222,Fact_SortedWeights!$B$2:$B$67,$B222)*(IF($B222="Cardboard Recycling",SUMIFS(Fact_SortedWeights!$E$2:$E$67,Fact_SortedWeights!$C$2:$C$67,$A222,Fact_SortedWeights!$B$2:$B$67,$B222),SUMIFS(Fact_PreSortWeights!$E$2:$E$6,Fact_PreSortWeights!$C$2:$C$6,$A222,Fact_PreSortWeights!$B$2:$B$6,$B222))))</f>
        <v>0</v>
      </c>
      <c r="G222" s="0" t="n">
        <f aca="false">IF(AND(IF($B222="Trash",INDEX('Materials Master'!$F$2:$F$20,MATCH($C222,'Materials Master'!$A$2:$A$20,0)),IF($B222="GMPC Recycling",INDEX('Materials Master'!$G$2:$G$20,MATCH($C222,'Materials Master'!$A$2:$A$20,0)),IF($B222="Organics Recycling",INDEX('Materials Master'!$H$2:$H$20,MATCH($C222,'Materials Master'!$A$2:$A$20,0)),IF($B222="Cardboard Recycling",INDEX('Materials Master'!$I$2:$I$20,MATCH($C222,'Materials Master'!$A$2:$A$20,0)),IF($B222="Paper Recycling",INDEX('Materials Master'!$J$2:$J$20,MATCH($C222,'Materials Master'!$A$2:$A$20,0)),IF($B222="Terracycle",INDEX('Materials Master'!$K$2:$K$20,MATCH($C222,'Materials Master'!$A$2:$A$20,0)),"No"))))))="Yes",INDEX('Materials Master'!$E$2:$E$20,MATCH($C222,'Materials Master'!$A$2:$A$20,0))="Yes",$B222&lt;&gt;"Trash"),1,0)</f>
        <v>0</v>
      </c>
      <c r="H222" s="0" t="str">
        <f aca="false">INDEX('Materials Master'!$E$2:$E$20,MATCH($C222,'Materials Master'!$A$2:$A$20,0))</f>
        <v>No</v>
      </c>
      <c r="I222" s="0" t="str">
        <f aca="false">IFERROR(INDEX(Areas!$C$2:$C$3,MATCH($A222,Areas!$B$2:$B$3,0)),"")</f>
        <v>Base Building</v>
      </c>
      <c r="J222" s="0" t="n">
        <f aca="false">IF(IF($B222="Trash",INDEX('Materials Master'!$F$2:$F$20,MATCH($C222,'Materials Master'!$A$2:$A$20,0)),IF($B222="GMPC Recycling",INDEX('Materials Master'!$G$2:$G$20,MATCH($C222,'Materials Master'!$A$2:$A$20,0)),IF($B222="Organics Recycling",INDEX('Materials Master'!$H$2:$H$20,MATCH($C222,'Materials Master'!$A$2:$A$20,0)),IF($B222="Cardboard Recycling",INDEX('Materials Master'!$I$2:$I$20,MATCH($C222,'Materials Master'!$A$2:$A$20,0)),IF($B222="Paper Recycling",INDEX('Materials Master'!$J$2:$J$20,MATCH($C222,'Materials Master'!$A$2:$A$20,0)),IF($B222="Terracycle",INDEX('Materials Master'!$K$2:$K$20,MATCH($C222,'Materials Master'!$A$2:$A$20,0)),"No"))))))="Yes",1,0)</f>
        <v>0</v>
      </c>
    </row>
    <row r="223" customFormat="false" ht="15" hidden="false" customHeight="false" outlineLevel="0" collapsed="false">
      <c r="A223" s="0" t="s">
        <v>81</v>
      </c>
      <c r="B223" s="0" t="s">
        <v>88</v>
      </c>
      <c r="C223" s="0" t="s">
        <v>58</v>
      </c>
      <c r="D223" s="0" t="str">
        <f aca="false">IFERROR(INDEX('Materials Master'!$B$2:$B$20,MATCH($C223,'Materials Master'!$A$2:$A$20,0)),"")</f>
        <v>Waste Disposal Bags</v>
      </c>
      <c r="E223" s="0" t="str">
        <f aca="false">IFERROR(INDEX('Materials Master'!$C$2:$C$20,MATCH($C223,'Materials Master'!$A$2:$A$20,0)),"")</f>
        <v>Plastics</v>
      </c>
      <c r="F223" s="0" t="n">
        <f aca="false">IF(SUMIFS(Fact_SortedWeights!$E$2:$E$67,Fact_SortedWeights!$C$2:$C$67,$A223,Fact_SortedWeights!$B$2:$B$67,$B223)=0,0,SUMIFS(Fact_SortedWeights!$E$2:$E$67,Fact_SortedWeights!$C$2:$C$67,$A223,Fact_SortedWeights!$B$2:$B$67,$B223,Fact_SortedWeights!$D$2:$D$67,$C223)/SUMIFS(Fact_SortedWeights!$E$2:$E$67,Fact_SortedWeights!$C$2:$C$67,$A223,Fact_SortedWeights!$B$2:$B$67,$B223)*(IF($B223="Cardboard Recycling",SUMIFS(Fact_SortedWeights!$E$2:$E$67,Fact_SortedWeights!$C$2:$C$67,$A223,Fact_SortedWeights!$B$2:$B$67,$B223),SUMIFS(Fact_PreSortWeights!$E$2:$E$6,Fact_PreSortWeights!$C$2:$C$6,$A223,Fact_PreSortWeights!$B$2:$B$6,$B223))))</f>
        <v>0</v>
      </c>
      <c r="G223" s="0" t="n">
        <f aca="false">IF(AND(IF($B223="Trash",INDEX('Materials Master'!$F$2:$F$20,MATCH($C223,'Materials Master'!$A$2:$A$20,0)),IF($B223="GMPC Recycling",INDEX('Materials Master'!$G$2:$G$20,MATCH($C223,'Materials Master'!$A$2:$A$20,0)),IF($B223="Organics Recycling",INDEX('Materials Master'!$H$2:$H$20,MATCH($C223,'Materials Master'!$A$2:$A$20,0)),IF($B223="Cardboard Recycling",INDEX('Materials Master'!$I$2:$I$20,MATCH($C223,'Materials Master'!$A$2:$A$20,0)),IF($B223="Paper Recycling",INDEX('Materials Master'!$J$2:$J$20,MATCH($C223,'Materials Master'!$A$2:$A$20,0)),IF($B223="Terracycle",INDEX('Materials Master'!$K$2:$K$20,MATCH($C223,'Materials Master'!$A$2:$A$20,0)),"No"))))))="Yes",INDEX('Materials Master'!$E$2:$E$20,MATCH($C223,'Materials Master'!$A$2:$A$20,0))="Yes",$B223&lt;&gt;"Trash"),1,0)</f>
        <v>0</v>
      </c>
      <c r="H223" s="0" t="str">
        <f aca="false">INDEX('Materials Master'!$E$2:$E$20,MATCH($C223,'Materials Master'!$A$2:$A$20,0))</f>
        <v>No</v>
      </c>
      <c r="I223" s="0" t="str">
        <f aca="false">IFERROR(INDEX(Areas!$C$2:$C$3,MATCH($A223,Areas!$B$2:$B$3,0)),"")</f>
        <v>Base Building</v>
      </c>
      <c r="J223" s="0" t="n">
        <f aca="false">IF(IF($B223="Trash",INDEX('Materials Master'!$F$2:$F$20,MATCH($C223,'Materials Master'!$A$2:$A$20,0)),IF($B223="GMPC Recycling",INDEX('Materials Master'!$G$2:$G$20,MATCH($C223,'Materials Master'!$A$2:$A$20,0)),IF($B223="Organics Recycling",INDEX('Materials Master'!$H$2:$H$20,MATCH($C223,'Materials Master'!$A$2:$A$20,0)),IF($B223="Cardboard Recycling",INDEX('Materials Master'!$I$2:$I$20,MATCH($C223,'Materials Master'!$A$2:$A$20,0)),IF($B223="Paper Recycling",INDEX('Materials Master'!$J$2:$J$20,MATCH($C223,'Materials Master'!$A$2:$A$20,0)),IF($B223="Terracycle",INDEX('Materials Master'!$K$2:$K$20,MATCH($C223,'Materials Master'!$A$2:$A$20,0)),"No"))))))="Yes",1,0)</f>
        <v>0</v>
      </c>
    </row>
    <row r="224" customFormat="false" ht="15" hidden="false" customHeight="false" outlineLevel="0" collapsed="false">
      <c r="A224" s="0" t="s">
        <v>81</v>
      </c>
      <c r="B224" s="0" t="s">
        <v>88</v>
      </c>
      <c r="C224" s="0" t="s">
        <v>60</v>
      </c>
      <c r="D224" s="0" t="str">
        <f aca="false">IFERROR(INDEX('Materials Master'!$B$2:$B$20,MATCH($C224,'Materials Master'!$A$2:$A$20,0)),"")</f>
        <v>Food Waste</v>
      </c>
      <c r="E224" s="0" t="str">
        <f aca="false">IFERROR(INDEX('Materials Master'!$C$2:$C$20,MATCH($C224,'Materials Master'!$A$2:$A$20,0)),"")</f>
        <v>Organics</v>
      </c>
      <c r="F224" s="0" t="n">
        <f aca="false">IF(SUMIFS(Fact_SortedWeights!$E$2:$E$67,Fact_SortedWeights!$C$2:$C$67,$A224,Fact_SortedWeights!$B$2:$B$67,$B224)=0,0,SUMIFS(Fact_SortedWeights!$E$2:$E$67,Fact_SortedWeights!$C$2:$C$67,$A224,Fact_SortedWeights!$B$2:$B$67,$B224,Fact_SortedWeights!$D$2:$D$67,$C224)/SUMIFS(Fact_SortedWeights!$E$2:$E$67,Fact_SortedWeights!$C$2:$C$67,$A224,Fact_SortedWeights!$B$2:$B$67,$B224)*(IF($B224="Cardboard Recycling",SUMIFS(Fact_SortedWeights!$E$2:$E$67,Fact_SortedWeights!$C$2:$C$67,$A224,Fact_SortedWeights!$B$2:$B$67,$B224),SUMIFS(Fact_PreSortWeights!$E$2:$E$6,Fact_PreSortWeights!$C$2:$C$6,$A224,Fact_PreSortWeights!$B$2:$B$6,$B224))))</f>
        <v>0</v>
      </c>
      <c r="G224" s="0" t="n">
        <f aca="false">IF(AND(IF($B224="Trash",INDEX('Materials Master'!$F$2:$F$20,MATCH($C224,'Materials Master'!$A$2:$A$20,0)),IF($B224="GMPC Recycling",INDEX('Materials Master'!$G$2:$G$20,MATCH($C224,'Materials Master'!$A$2:$A$20,0)),IF($B224="Organics Recycling",INDEX('Materials Master'!$H$2:$H$20,MATCH($C224,'Materials Master'!$A$2:$A$20,0)),IF($B224="Cardboard Recycling",INDEX('Materials Master'!$I$2:$I$20,MATCH($C224,'Materials Master'!$A$2:$A$20,0)),IF($B224="Paper Recycling",INDEX('Materials Master'!$J$2:$J$20,MATCH($C224,'Materials Master'!$A$2:$A$20,0)),IF($B224="Terracycle",INDEX('Materials Master'!$K$2:$K$20,MATCH($C224,'Materials Master'!$A$2:$A$20,0)),"No"))))))="Yes",INDEX('Materials Master'!$E$2:$E$20,MATCH($C224,'Materials Master'!$A$2:$A$20,0))="Yes",$B224&lt;&gt;"Trash"),1,0)</f>
        <v>0</v>
      </c>
      <c r="H224" s="0" t="str">
        <f aca="false">INDEX('Materials Master'!$E$2:$E$20,MATCH($C224,'Materials Master'!$A$2:$A$20,0))</f>
        <v>Yes</v>
      </c>
      <c r="I224" s="0" t="str">
        <f aca="false">IFERROR(INDEX(Areas!$C$2:$C$3,MATCH($A224,Areas!$B$2:$B$3,0)),"")</f>
        <v>Base Building</v>
      </c>
      <c r="J224" s="0" t="n">
        <f aca="false">IF(IF($B224="Trash",INDEX('Materials Master'!$F$2:$F$20,MATCH($C224,'Materials Master'!$A$2:$A$20,0)),IF($B224="GMPC Recycling",INDEX('Materials Master'!$G$2:$G$20,MATCH($C224,'Materials Master'!$A$2:$A$20,0)),IF($B224="Organics Recycling",INDEX('Materials Master'!$H$2:$H$20,MATCH($C224,'Materials Master'!$A$2:$A$20,0)),IF($B224="Cardboard Recycling",INDEX('Materials Master'!$I$2:$I$20,MATCH($C224,'Materials Master'!$A$2:$A$20,0)),IF($B224="Paper Recycling",INDEX('Materials Master'!$J$2:$J$20,MATCH($C224,'Materials Master'!$A$2:$A$20,0)),IF($B224="Terracycle",INDEX('Materials Master'!$K$2:$K$20,MATCH($C224,'Materials Master'!$A$2:$A$20,0)),"No"))))))="Yes",1,0)</f>
        <v>0</v>
      </c>
    </row>
    <row r="225" customFormat="false" ht="15" hidden="false" customHeight="false" outlineLevel="0" collapsed="false">
      <c r="A225" s="0" t="s">
        <v>81</v>
      </c>
      <c r="B225" s="0" t="s">
        <v>88</v>
      </c>
      <c r="C225" s="0" t="s">
        <v>63</v>
      </c>
      <c r="D225" s="0" t="str">
        <f aca="false">IFERROR(INDEX('Materials Master'!$B$2:$B$20,MATCH($C225,'Materials Master'!$A$2:$A$20,0)),"")</f>
        <v>Paper Fibers and FSP</v>
      </c>
      <c r="E225" s="0" t="str">
        <f aca="false">IFERROR(INDEX('Materials Master'!$C$2:$C$20,MATCH($C225,'Materials Master'!$A$2:$A$20,0)),"")</f>
        <v>Organics</v>
      </c>
      <c r="F225" s="0" t="n">
        <f aca="false">IF(SUMIFS(Fact_SortedWeights!$E$2:$E$67,Fact_SortedWeights!$C$2:$C$67,$A225,Fact_SortedWeights!$B$2:$B$67,$B225)=0,0,SUMIFS(Fact_SortedWeights!$E$2:$E$67,Fact_SortedWeights!$C$2:$C$67,$A225,Fact_SortedWeights!$B$2:$B$67,$B225,Fact_SortedWeights!$D$2:$D$67,$C225)/SUMIFS(Fact_SortedWeights!$E$2:$E$67,Fact_SortedWeights!$C$2:$C$67,$A225,Fact_SortedWeights!$B$2:$B$67,$B225)*(IF($B225="Cardboard Recycling",SUMIFS(Fact_SortedWeights!$E$2:$E$67,Fact_SortedWeights!$C$2:$C$67,$A225,Fact_SortedWeights!$B$2:$B$67,$B225),SUMIFS(Fact_PreSortWeights!$E$2:$E$6,Fact_PreSortWeights!$C$2:$C$6,$A225,Fact_PreSortWeights!$B$2:$B$6,$B225))))</f>
        <v>0</v>
      </c>
      <c r="G225" s="0" t="n">
        <f aca="false">IF(AND(IF($B225="Trash",INDEX('Materials Master'!$F$2:$F$20,MATCH($C225,'Materials Master'!$A$2:$A$20,0)),IF($B225="GMPC Recycling",INDEX('Materials Master'!$G$2:$G$20,MATCH($C225,'Materials Master'!$A$2:$A$20,0)),IF($B225="Organics Recycling",INDEX('Materials Master'!$H$2:$H$20,MATCH($C225,'Materials Master'!$A$2:$A$20,0)),IF($B225="Cardboard Recycling",INDEX('Materials Master'!$I$2:$I$20,MATCH($C225,'Materials Master'!$A$2:$A$20,0)),IF($B225="Paper Recycling",INDEX('Materials Master'!$J$2:$J$20,MATCH($C225,'Materials Master'!$A$2:$A$20,0)),IF($B225="Terracycle",INDEX('Materials Master'!$K$2:$K$20,MATCH($C225,'Materials Master'!$A$2:$A$20,0)),"No"))))))="Yes",INDEX('Materials Master'!$E$2:$E$20,MATCH($C225,'Materials Master'!$A$2:$A$20,0))="Yes",$B225&lt;&gt;"Trash"),1,0)</f>
        <v>0</v>
      </c>
      <c r="H225" s="0" t="str">
        <f aca="false">INDEX('Materials Master'!$E$2:$E$20,MATCH($C225,'Materials Master'!$A$2:$A$20,0))</f>
        <v>No</v>
      </c>
      <c r="I225" s="0" t="str">
        <f aca="false">IFERROR(INDEX(Areas!$C$2:$C$3,MATCH($A225,Areas!$B$2:$B$3,0)),"")</f>
        <v>Base Building</v>
      </c>
      <c r="J225" s="0" t="n">
        <f aca="false">IF(IF($B225="Trash",INDEX('Materials Master'!$F$2:$F$20,MATCH($C225,'Materials Master'!$A$2:$A$20,0)),IF($B225="GMPC Recycling",INDEX('Materials Master'!$G$2:$G$20,MATCH($C225,'Materials Master'!$A$2:$A$20,0)),IF($B225="Organics Recycling",INDEX('Materials Master'!$H$2:$H$20,MATCH($C225,'Materials Master'!$A$2:$A$20,0)),IF($B225="Cardboard Recycling",INDEX('Materials Master'!$I$2:$I$20,MATCH($C225,'Materials Master'!$A$2:$A$20,0)),IF($B225="Paper Recycling",INDEX('Materials Master'!$J$2:$J$20,MATCH($C225,'Materials Master'!$A$2:$A$20,0)),IF($B225="Terracycle",INDEX('Materials Master'!$K$2:$K$20,MATCH($C225,'Materials Master'!$A$2:$A$20,0)),"No"))))))="Yes",1,0)</f>
        <v>0</v>
      </c>
    </row>
    <row r="226" customFormat="false" ht="15" hidden="false" customHeight="false" outlineLevel="0" collapsed="false">
      <c r="A226" s="0" t="s">
        <v>81</v>
      </c>
      <c r="B226" s="0" t="s">
        <v>88</v>
      </c>
      <c r="C226" s="0" t="s">
        <v>65</v>
      </c>
      <c r="D226" s="0" t="str">
        <f aca="false">IFERROR(INDEX('Materials Master'!$B$2:$B$20,MATCH($C226,'Materials Master'!$A$2:$A$20,0)),"")</f>
        <v>Certified Compostables</v>
      </c>
      <c r="E226" s="0" t="str">
        <f aca="false">IFERROR(INDEX('Materials Master'!$C$2:$C$20,MATCH($C226,'Materials Master'!$A$2:$A$20,0)),"")</f>
        <v>Organics</v>
      </c>
      <c r="F226" s="0" t="n">
        <f aca="false">IF(SUMIFS(Fact_SortedWeights!$E$2:$E$67,Fact_SortedWeights!$C$2:$C$67,$A226,Fact_SortedWeights!$B$2:$B$67,$B226)=0,0,SUMIFS(Fact_SortedWeights!$E$2:$E$67,Fact_SortedWeights!$C$2:$C$67,$A226,Fact_SortedWeights!$B$2:$B$67,$B226,Fact_SortedWeights!$D$2:$D$67,$C226)/SUMIFS(Fact_SortedWeights!$E$2:$E$67,Fact_SortedWeights!$C$2:$C$67,$A226,Fact_SortedWeights!$B$2:$B$67,$B226)*(IF($B226="Cardboard Recycling",SUMIFS(Fact_SortedWeights!$E$2:$E$67,Fact_SortedWeights!$C$2:$C$67,$A226,Fact_SortedWeights!$B$2:$B$67,$B226),SUMIFS(Fact_PreSortWeights!$E$2:$E$6,Fact_PreSortWeights!$C$2:$C$6,$A226,Fact_PreSortWeights!$B$2:$B$6,$B226))))</f>
        <v>0</v>
      </c>
      <c r="G226" s="0" t="n">
        <f aca="false">IF(AND(IF($B226="Trash",INDEX('Materials Master'!$F$2:$F$20,MATCH($C226,'Materials Master'!$A$2:$A$20,0)),IF($B226="GMPC Recycling",INDEX('Materials Master'!$G$2:$G$20,MATCH($C226,'Materials Master'!$A$2:$A$20,0)),IF($B226="Organics Recycling",INDEX('Materials Master'!$H$2:$H$20,MATCH($C226,'Materials Master'!$A$2:$A$20,0)),IF($B226="Cardboard Recycling",INDEX('Materials Master'!$I$2:$I$20,MATCH($C226,'Materials Master'!$A$2:$A$20,0)),IF($B226="Paper Recycling",INDEX('Materials Master'!$J$2:$J$20,MATCH($C226,'Materials Master'!$A$2:$A$20,0)),IF($B226="Terracycle",INDEX('Materials Master'!$K$2:$K$20,MATCH($C226,'Materials Master'!$A$2:$A$20,0)),"No"))))))="Yes",INDEX('Materials Master'!$E$2:$E$20,MATCH($C226,'Materials Master'!$A$2:$A$20,0))="Yes",$B226&lt;&gt;"Trash"),1,0)</f>
        <v>0</v>
      </c>
      <c r="H226" s="0" t="str">
        <f aca="false">INDEX('Materials Master'!$E$2:$E$20,MATCH($C226,'Materials Master'!$A$2:$A$20,0))</f>
        <v>No</v>
      </c>
      <c r="I226" s="0" t="str">
        <f aca="false">IFERROR(INDEX(Areas!$C$2:$C$3,MATCH($A226,Areas!$B$2:$B$3,0)),"")</f>
        <v>Base Building</v>
      </c>
      <c r="J226" s="0" t="n">
        <f aca="false">IF(IF($B226="Trash",INDEX('Materials Master'!$F$2:$F$20,MATCH($C226,'Materials Master'!$A$2:$A$20,0)),IF($B226="GMPC Recycling",INDEX('Materials Master'!$G$2:$G$20,MATCH($C226,'Materials Master'!$A$2:$A$20,0)),IF($B226="Organics Recycling",INDEX('Materials Master'!$H$2:$H$20,MATCH($C226,'Materials Master'!$A$2:$A$20,0)),IF($B226="Cardboard Recycling",INDEX('Materials Master'!$I$2:$I$20,MATCH($C226,'Materials Master'!$A$2:$A$20,0)),IF($B226="Paper Recycling",INDEX('Materials Master'!$J$2:$J$20,MATCH($C226,'Materials Master'!$A$2:$A$20,0)),IF($B226="Terracycle",INDEX('Materials Master'!$K$2:$K$20,MATCH($C226,'Materials Master'!$A$2:$A$20,0)),"No"))))))="Yes",1,0)</f>
        <v>0</v>
      </c>
    </row>
    <row r="227" customFormat="false" ht="15" hidden="false" customHeight="false" outlineLevel="0" collapsed="false">
      <c r="A227" s="0" t="s">
        <v>81</v>
      </c>
      <c r="B227" s="0" t="s">
        <v>88</v>
      </c>
      <c r="C227" s="0" t="s">
        <v>67</v>
      </c>
      <c r="D227" s="0" t="str">
        <f aca="false">IFERROR(INDEX('Materials Master'!$B$2:$B$20,MATCH($C227,'Materials Master'!$A$2:$A$20,0)),"")</f>
        <v>Textiles</v>
      </c>
      <c r="E227" s="0" t="str">
        <f aca="false">IFERROR(INDEX('Materials Master'!$C$2:$C$20,MATCH($C227,'Materials Master'!$A$2:$A$20,0)),"")</f>
        <v>Unacceptable</v>
      </c>
      <c r="F227" s="0" t="n">
        <f aca="false">IF(SUMIFS(Fact_SortedWeights!$E$2:$E$67,Fact_SortedWeights!$C$2:$C$67,$A227,Fact_SortedWeights!$B$2:$B$67,$B227)=0,0,SUMIFS(Fact_SortedWeights!$E$2:$E$67,Fact_SortedWeights!$C$2:$C$67,$A227,Fact_SortedWeights!$B$2:$B$67,$B227,Fact_SortedWeights!$D$2:$D$67,$C227)/SUMIFS(Fact_SortedWeights!$E$2:$E$67,Fact_SortedWeights!$C$2:$C$67,$A227,Fact_SortedWeights!$B$2:$B$67,$B227)*(IF($B227="Cardboard Recycling",SUMIFS(Fact_SortedWeights!$E$2:$E$67,Fact_SortedWeights!$C$2:$C$67,$A227,Fact_SortedWeights!$B$2:$B$67,$B227),SUMIFS(Fact_PreSortWeights!$E$2:$E$6,Fact_PreSortWeights!$C$2:$C$6,$A227,Fact_PreSortWeights!$B$2:$B$6,$B227))))</f>
        <v>0</v>
      </c>
      <c r="G227" s="0" t="n">
        <f aca="false">IF(AND(IF($B227="Trash",INDEX('Materials Master'!$F$2:$F$20,MATCH($C227,'Materials Master'!$A$2:$A$20,0)),IF($B227="GMPC Recycling",INDEX('Materials Master'!$G$2:$G$20,MATCH($C227,'Materials Master'!$A$2:$A$20,0)),IF($B227="Organics Recycling",INDEX('Materials Master'!$H$2:$H$20,MATCH($C227,'Materials Master'!$A$2:$A$20,0)),IF($B227="Cardboard Recycling",INDEX('Materials Master'!$I$2:$I$20,MATCH($C227,'Materials Master'!$A$2:$A$20,0)),IF($B227="Paper Recycling",INDEX('Materials Master'!$J$2:$J$20,MATCH($C227,'Materials Master'!$A$2:$A$20,0)),IF($B227="Terracycle",INDEX('Materials Master'!$K$2:$K$20,MATCH($C227,'Materials Master'!$A$2:$A$20,0)),"No"))))))="Yes",INDEX('Materials Master'!$E$2:$E$20,MATCH($C227,'Materials Master'!$A$2:$A$20,0))="Yes",$B227&lt;&gt;"Trash"),1,0)</f>
        <v>0</v>
      </c>
      <c r="H227" s="0" t="str">
        <f aca="false">INDEX('Materials Master'!$E$2:$E$20,MATCH($C227,'Materials Master'!$A$2:$A$20,0))</f>
        <v>No</v>
      </c>
      <c r="I227" s="0" t="str">
        <f aca="false">IFERROR(INDEX(Areas!$C$2:$C$3,MATCH($A227,Areas!$B$2:$B$3,0)),"")</f>
        <v>Base Building</v>
      </c>
      <c r="J227" s="0" t="n">
        <f aca="false">IF(IF($B227="Trash",INDEX('Materials Master'!$F$2:$F$20,MATCH($C227,'Materials Master'!$A$2:$A$20,0)),IF($B227="GMPC Recycling",INDEX('Materials Master'!$G$2:$G$20,MATCH($C227,'Materials Master'!$A$2:$A$20,0)),IF($B227="Organics Recycling",INDEX('Materials Master'!$H$2:$H$20,MATCH($C227,'Materials Master'!$A$2:$A$20,0)),IF($B227="Cardboard Recycling",INDEX('Materials Master'!$I$2:$I$20,MATCH($C227,'Materials Master'!$A$2:$A$20,0)),IF($B227="Paper Recycling",INDEX('Materials Master'!$J$2:$J$20,MATCH($C227,'Materials Master'!$A$2:$A$20,0)),IF($B227="Terracycle",INDEX('Materials Master'!$K$2:$K$20,MATCH($C227,'Materials Master'!$A$2:$A$20,0)),"No"))))))="Yes",1,0)</f>
        <v>0</v>
      </c>
    </row>
    <row r="228" customFormat="false" ht="15" hidden="false" customHeight="false" outlineLevel="0" collapsed="false">
      <c r="A228" s="0" t="s">
        <v>81</v>
      </c>
      <c r="B228" s="0" t="s">
        <v>88</v>
      </c>
      <c r="C228" s="0" t="s">
        <v>70</v>
      </c>
      <c r="D228" s="0" t="str">
        <f aca="false">IFERROR(INDEX('Materials Master'!$B$2:$B$20,MATCH($C228,'Materials Master'!$A$2:$A$20,0)),"")</f>
        <v>Liquids</v>
      </c>
      <c r="E228" s="0" t="str">
        <f aca="false">IFERROR(INDEX('Materials Master'!$C$2:$C$20,MATCH($C228,'Materials Master'!$A$2:$A$20,0)),"")</f>
        <v>Unacceptable</v>
      </c>
      <c r="F228" s="0" t="n">
        <f aca="false">IF(SUMIFS(Fact_SortedWeights!$E$2:$E$67,Fact_SortedWeights!$C$2:$C$67,$A228,Fact_SortedWeights!$B$2:$B$67,$B228)=0,0,SUMIFS(Fact_SortedWeights!$E$2:$E$67,Fact_SortedWeights!$C$2:$C$67,$A228,Fact_SortedWeights!$B$2:$B$67,$B228,Fact_SortedWeights!$D$2:$D$67,$C228)/SUMIFS(Fact_SortedWeights!$E$2:$E$67,Fact_SortedWeights!$C$2:$C$67,$A228,Fact_SortedWeights!$B$2:$B$67,$B228)*(IF($B228="Cardboard Recycling",SUMIFS(Fact_SortedWeights!$E$2:$E$67,Fact_SortedWeights!$C$2:$C$67,$A228,Fact_SortedWeights!$B$2:$B$67,$B228),SUMIFS(Fact_PreSortWeights!$E$2:$E$6,Fact_PreSortWeights!$C$2:$C$6,$A228,Fact_PreSortWeights!$B$2:$B$6,$B228))))</f>
        <v>0</v>
      </c>
      <c r="G228" s="0" t="n">
        <f aca="false">IF(AND(IF($B228="Trash",INDEX('Materials Master'!$F$2:$F$20,MATCH($C228,'Materials Master'!$A$2:$A$20,0)),IF($B228="GMPC Recycling",INDEX('Materials Master'!$G$2:$G$20,MATCH($C228,'Materials Master'!$A$2:$A$20,0)),IF($B228="Organics Recycling",INDEX('Materials Master'!$H$2:$H$20,MATCH($C228,'Materials Master'!$A$2:$A$20,0)),IF($B228="Cardboard Recycling",INDEX('Materials Master'!$I$2:$I$20,MATCH($C228,'Materials Master'!$A$2:$A$20,0)),IF($B228="Paper Recycling",INDEX('Materials Master'!$J$2:$J$20,MATCH($C228,'Materials Master'!$A$2:$A$20,0)),IF($B228="Terracycle",INDEX('Materials Master'!$K$2:$K$20,MATCH($C228,'Materials Master'!$A$2:$A$20,0)),"No"))))))="Yes",INDEX('Materials Master'!$E$2:$E$20,MATCH($C228,'Materials Master'!$A$2:$A$20,0))="Yes",$B228&lt;&gt;"Trash"),1,0)</f>
        <v>0</v>
      </c>
      <c r="H228" s="0" t="str">
        <f aca="false">INDEX('Materials Master'!$E$2:$E$20,MATCH($C228,'Materials Master'!$A$2:$A$20,0))</f>
        <v>No</v>
      </c>
      <c r="I228" s="0" t="str">
        <f aca="false">IFERROR(INDEX(Areas!$C$2:$C$3,MATCH($A228,Areas!$B$2:$B$3,0)),"")</f>
        <v>Base Building</v>
      </c>
      <c r="J228" s="0" t="n">
        <f aca="false">IF(IF($B228="Trash",INDEX('Materials Master'!$F$2:$F$20,MATCH($C228,'Materials Master'!$A$2:$A$20,0)),IF($B228="GMPC Recycling",INDEX('Materials Master'!$G$2:$G$20,MATCH($C228,'Materials Master'!$A$2:$A$20,0)),IF($B228="Organics Recycling",INDEX('Materials Master'!$H$2:$H$20,MATCH($C228,'Materials Master'!$A$2:$A$20,0)),IF($B228="Cardboard Recycling",INDEX('Materials Master'!$I$2:$I$20,MATCH($C228,'Materials Master'!$A$2:$A$20,0)),IF($B228="Paper Recycling",INDEX('Materials Master'!$J$2:$J$20,MATCH($C228,'Materials Master'!$A$2:$A$20,0)),IF($B228="Terracycle",INDEX('Materials Master'!$K$2:$K$20,MATCH($C228,'Materials Master'!$A$2:$A$20,0)),"No"))))))="Yes",1,0)</f>
        <v>0</v>
      </c>
    </row>
    <row r="229" customFormat="false" ht="15" hidden="false" customHeight="false" outlineLevel="0" collapsed="false">
      <c r="A229" s="0" t="s">
        <v>81</v>
      </c>
      <c r="B229" s="0" t="s">
        <v>88</v>
      </c>
      <c r="C229" s="0" t="s">
        <v>72</v>
      </c>
      <c r="D229" s="0" t="str">
        <f aca="false">IFERROR(INDEX('Materials Master'!$B$2:$B$20,MATCH($C229,'Materials Master'!$A$2:$A$20,0)),"")</f>
        <v>Residual Materials</v>
      </c>
      <c r="E229" s="0" t="str">
        <f aca="false">IFERROR(INDEX('Materials Master'!$C$2:$C$20,MATCH($C229,'Materials Master'!$A$2:$A$20,0)),"")</f>
        <v>Other</v>
      </c>
      <c r="F229" s="0" t="n">
        <f aca="false">IF(SUMIFS(Fact_SortedWeights!$E$2:$E$67,Fact_SortedWeights!$C$2:$C$67,$A229,Fact_SortedWeights!$B$2:$B$67,$B229)=0,0,SUMIFS(Fact_SortedWeights!$E$2:$E$67,Fact_SortedWeights!$C$2:$C$67,$A229,Fact_SortedWeights!$B$2:$B$67,$B229,Fact_SortedWeights!$D$2:$D$67,$C229)/SUMIFS(Fact_SortedWeights!$E$2:$E$67,Fact_SortedWeights!$C$2:$C$67,$A229,Fact_SortedWeights!$B$2:$B$67,$B229)*(IF($B229="Cardboard Recycling",SUMIFS(Fact_SortedWeights!$E$2:$E$67,Fact_SortedWeights!$C$2:$C$67,$A229,Fact_SortedWeights!$B$2:$B$67,$B229),SUMIFS(Fact_PreSortWeights!$E$2:$E$6,Fact_PreSortWeights!$C$2:$C$6,$A229,Fact_PreSortWeights!$B$2:$B$6,$B229))))</f>
        <v>0</v>
      </c>
      <c r="G229" s="0" t="n">
        <f aca="false">IF(AND(IF($B229="Trash",INDEX('Materials Master'!$F$2:$F$20,MATCH($C229,'Materials Master'!$A$2:$A$20,0)),IF($B229="GMPC Recycling",INDEX('Materials Master'!$G$2:$G$20,MATCH($C229,'Materials Master'!$A$2:$A$20,0)),IF($B229="Organics Recycling",INDEX('Materials Master'!$H$2:$H$20,MATCH($C229,'Materials Master'!$A$2:$A$20,0)),IF($B229="Cardboard Recycling",INDEX('Materials Master'!$I$2:$I$20,MATCH($C229,'Materials Master'!$A$2:$A$20,0)),IF($B229="Paper Recycling",INDEX('Materials Master'!$J$2:$J$20,MATCH($C229,'Materials Master'!$A$2:$A$20,0)),IF($B229="Terracycle",INDEX('Materials Master'!$K$2:$K$20,MATCH($C229,'Materials Master'!$A$2:$A$20,0)),"No"))))))="Yes",INDEX('Materials Master'!$E$2:$E$20,MATCH($C229,'Materials Master'!$A$2:$A$20,0))="Yes",$B229&lt;&gt;"Trash"),1,0)</f>
        <v>0</v>
      </c>
      <c r="H229" s="0" t="str">
        <f aca="false">INDEX('Materials Master'!$E$2:$E$20,MATCH($C229,'Materials Master'!$A$2:$A$20,0))</f>
        <v>No</v>
      </c>
      <c r="I229" s="0" t="str">
        <f aca="false">IFERROR(INDEX(Areas!$C$2:$C$3,MATCH($A229,Areas!$B$2:$B$3,0)),"")</f>
        <v>Base Building</v>
      </c>
      <c r="J229" s="0" t="n">
        <f aca="false">IF(IF($B229="Trash",INDEX('Materials Master'!$F$2:$F$20,MATCH($C229,'Materials Master'!$A$2:$A$20,0)),IF($B229="GMPC Recycling",INDEX('Materials Master'!$G$2:$G$20,MATCH($C229,'Materials Master'!$A$2:$A$20,0)),IF($B229="Organics Recycling",INDEX('Materials Master'!$H$2:$H$20,MATCH($C229,'Materials Master'!$A$2:$A$20,0)),IF($B229="Cardboard Recycling",INDEX('Materials Master'!$I$2:$I$20,MATCH($C229,'Materials Master'!$A$2:$A$20,0)),IF($B229="Paper Recycling",INDEX('Materials Master'!$J$2:$J$20,MATCH($C229,'Materials Master'!$A$2:$A$20,0)),IF($B229="Terracycle",INDEX('Materials Master'!$K$2:$K$20,MATCH($C229,'Materials Master'!$A$2:$A$20,0)),"No"))))))="Yes",1,0)</f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5" hidden="false" customHeight="false" outlineLevel="0" collapsed="false">
      <c r="A1" s="0" t="s">
        <v>99</v>
      </c>
    </row>
    <row r="2" customFormat="false" ht="15" hidden="false" customHeight="false" outlineLevel="0" collapsed="false">
      <c r="A2" s="0" t="s">
        <v>100</v>
      </c>
      <c r="B2" s="0" t="s">
        <v>101</v>
      </c>
      <c r="C2" s="0" t="s">
        <v>102</v>
      </c>
      <c r="D2" s="0" t="s">
        <v>103</v>
      </c>
      <c r="E2" s="0" t="s">
        <v>104</v>
      </c>
    </row>
    <row r="3" customFormat="false" ht="15" hidden="false" customHeight="false" outlineLevel="0" collapsed="false">
      <c r="A3" s="0" t="s">
        <v>83</v>
      </c>
      <c r="B3" s="0" t="n">
        <f aca="false">SUMIFS(Fact_PreSortWeights!$E$2:$E$6,Fact_PreSortWeights!$C$2:$C$6,"Cafeteria",Fact_PreSortWeights!$B$2:$B$6,"Trash")+SUMIFS(Fact_PreSortWeights!$E$2:$E$6,Fact_PreSortWeights!$C$2:$C$6,"Base Building",Fact_PreSortWeights!$B$2:$B$6,"Trash")</f>
        <v>706.88</v>
      </c>
      <c r="C3" s="0" t="n">
        <f aca="false">IF($B$9=0,0,B3/$B$9)</f>
        <v>0.524991459085305</v>
      </c>
      <c r="D3" s="0" t="n">
        <f aca="false">SUMIFS(Fact_Extrapolated!$F$2:$F$229,Fact_Extrapolated!$B$2:$B$229,A3,Fact_Extrapolated!$G$2:$G$229,1)</f>
        <v>0</v>
      </c>
    </row>
    <row r="4" customFormat="false" ht="15" hidden="false" customHeight="false" outlineLevel="0" collapsed="false">
      <c r="A4" s="0" t="s">
        <v>84</v>
      </c>
      <c r="B4" s="0" t="n">
        <f aca="false">SUMIFS(Fact_PreSortWeights!$E$2:$E$6,Fact_PreSortWeights!$C$2:$C$6,"Cafeteria",Fact_PreSortWeights!$B$2:$B$6,"GMPC Recycling")+SUMIFS(Fact_PreSortWeights!$E$2:$E$6,Fact_PreSortWeights!$C$2:$C$6,"Base Building",Fact_PreSortWeights!$B$2:$B$6,"GMPC Recycling")</f>
        <v>161.59</v>
      </c>
      <c r="C4" s="0" t="n">
        <f aca="false">IF($B$9=0,0,B4/$B$9)</f>
        <v>0.120010991785868</v>
      </c>
      <c r="D4" s="0" t="n">
        <f aca="false">SUMIFS(Fact_Extrapolated!$F$2:$F$229,Fact_Extrapolated!$B$2:$B$229,A4,Fact_Extrapolated!$G$2:$G$229,1)</f>
        <v>75.9</v>
      </c>
    </row>
    <row r="5" customFormat="false" ht="15" hidden="false" customHeight="false" outlineLevel="0" collapsed="false">
      <c r="A5" s="0" t="s">
        <v>85</v>
      </c>
      <c r="B5" s="0" t="n">
        <f aca="false">SUMIFS(Fact_PreSortWeights!$E$2:$E$6,Fact_PreSortWeights!$C$2:$C$6,"Cafeteria",Fact_PreSortWeights!$B$2:$B$6,"Organics Recycling")+SUMIFS(Fact_PreSortWeights!$E$2:$E$6,Fact_PreSortWeights!$C$2:$C$6,"Base Building",Fact_PreSortWeights!$B$2:$B$6,"Organics Recycling")</f>
        <v>305.99</v>
      </c>
      <c r="C5" s="0" t="n">
        <f aca="false">IF($B$9=0,0,B5/$B$9)</f>
        <v>0.227255172823552</v>
      </c>
      <c r="D5" s="0" t="n">
        <f aca="false">SUMIFS(Fact_Extrapolated!$F$2:$F$229,Fact_Extrapolated!$B$2:$B$229,A5,Fact_Extrapolated!$G$2:$G$229,1)</f>
        <v>303.57</v>
      </c>
    </row>
    <row r="6" customFormat="false" ht="15" hidden="false" customHeight="false" outlineLevel="0" collapsed="false">
      <c r="A6" s="0" t="s">
        <v>86</v>
      </c>
      <c r="B6" s="0" t="n">
        <f aca="false">SUMIFS(Fact_SortedWeights!$E$2:$E$67,Fact_SortedWeights!$C$2:$C$67,"Cafeteria",Fact_SortedWeights!$B$2:$B$67,"Cardboard Recycling")+SUMIFS(Fact_SortedWeights!$E$2:$E$67,Fact_SortedWeights!$C$2:$C$67,"Base Building",Fact_SortedWeights!$B$2:$B$67,"Cardboard Recycling")</f>
        <v>172</v>
      </c>
      <c r="C6" s="0" t="n">
        <f aca="false">IF($B$9=0,0,B6/$B$9)</f>
        <v>0.127742376305275</v>
      </c>
      <c r="D6" s="0" t="n">
        <f aca="false">SUMIFS(Fact_Extrapolated!$F$2:$F$229,Fact_Extrapolated!$B$2:$B$229,A6,Fact_Extrapolated!$G$2:$G$229,1)</f>
        <v>166.74</v>
      </c>
    </row>
    <row r="7" customFormat="false" ht="15" hidden="false" customHeight="false" outlineLevel="0" collapsed="false">
      <c r="A7" s="0" t="s">
        <v>87</v>
      </c>
      <c r="B7" s="0" t="n">
        <f aca="false">SUMIFS(Fact_PreSortWeights!$E$2:$E$6,Fact_PreSortWeights!$C$2:$C$6,"Cafeteria",Fact_PreSortWeights!$B$2:$B$6,"Paper Recycling")+SUMIFS(Fact_PreSortWeights!$E$2:$E$6,Fact_PreSortWeights!$C$2:$C$6,"Base Building",Fact_PreSortWeights!$B$2:$B$6,"Paper Recycling")</f>
        <v>0</v>
      </c>
      <c r="C7" s="0" t="n">
        <f aca="false">IF($B$9=0,0,B7/$B$9)</f>
        <v>0</v>
      </c>
      <c r="D7" s="0" t="n">
        <f aca="false">SUMIFS(Fact_Extrapolated!$F$2:$F$229,Fact_Extrapolated!$B$2:$B$229,A7,Fact_Extrapolated!$G$2:$G$229,1)</f>
        <v>0</v>
      </c>
    </row>
    <row r="8" customFormat="false" ht="15" hidden="false" customHeight="false" outlineLevel="0" collapsed="false">
      <c r="A8" s="0" t="s">
        <v>88</v>
      </c>
      <c r="B8" s="0" t="n">
        <f aca="false">SUMIFS(Fact_PreSortWeights!$E$2:$E$6,Fact_PreSortWeights!$C$2:$C$6,"Cafeteria",Fact_PreSortWeights!$B$2:$B$6,"Terracycle")+SUMIFS(Fact_PreSortWeights!$E$2:$E$6,Fact_PreSortWeights!$C$2:$C$6,"Base Building",Fact_PreSortWeights!$B$2:$B$6,"Terracycle")</f>
        <v>0</v>
      </c>
      <c r="C8" s="0" t="n">
        <f aca="false">IF($B$9=0,0,B8/$B$9)</f>
        <v>0</v>
      </c>
      <c r="D8" s="0" t="n">
        <f aca="false">SUMIFS(Fact_Extrapolated!$F$2:$F$229,Fact_Extrapolated!$B$2:$B$229,A8,Fact_Extrapolated!$G$2:$G$229,1)</f>
        <v>0</v>
      </c>
    </row>
    <row r="9" customFormat="false" ht="15" hidden="false" customHeight="false" outlineLevel="0" collapsed="false">
      <c r="A9" s="0" t="s">
        <v>105</v>
      </c>
      <c r="B9" s="0" t="n">
        <f aca="false">SUM(B3:B8)</f>
        <v>1346.46</v>
      </c>
      <c r="C9" s="0" t="n">
        <f aca="false">IF($B$9=0,0,B9/$B$9)</f>
        <v>1</v>
      </c>
      <c r="D9" s="0" t="n">
        <f aca="false">SUM(D3:D8)</f>
        <v>546.21</v>
      </c>
      <c r="E9" s="0" t="n">
        <f aca="false">IF(B9=0,0,D9/B9)</f>
        <v>0.405663740475023</v>
      </c>
    </row>
    <row r="10" customFormat="false" ht="15" hidden="false" customHeight="false" outlineLevel="0" collapsed="false"/>
    <row r="11" customFormat="false" ht="15" hidden="false" customHeight="false" outlineLevel="0" collapsed="false">
      <c r="A11" s="0" t="s">
        <v>106</v>
      </c>
    </row>
    <row r="12" customFormat="false" ht="15" hidden="false" customHeight="false" outlineLevel="0" collapsed="false">
      <c r="A12" s="0" t="s">
        <v>107</v>
      </c>
      <c r="B12" s="0" t="s">
        <v>108</v>
      </c>
      <c r="C12" s="0" t="s">
        <v>109</v>
      </c>
      <c r="D12" s="0" t="s">
        <v>102</v>
      </c>
      <c r="E12" s="0" t="s">
        <v>103</v>
      </c>
      <c r="F12" s="0" t="s">
        <v>104</v>
      </c>
      <c r="G12" s="0" t="s">
        <v>110</v>
      </c>
    </row>
    <row r="13" customFormat="false" ht="15" hidden="false" customHeight="false" outlineLevel="0" collapsed="false">
      <c r="A13" s="0" t="s">
        <v>30</v>
      </c>
      <c r="B13" s="0" t="s">
        <v>29</v>
      </c>
      <c r="C13" s="0" t="n">
        <f aca="false">SUMIFS(Fact_Extrapolated!$F$2:$F$229,Fact_Extrapolated!$C$2:$C$229,"FIB01")</f>
        <v>174.59</v>
      </c>
      <c r="D13" s="0" t="n">
        <f aca="false">IF($B$9=0,0,C13/$B$9)</f>
        <v>0.129665938832197</v>
      </c>
      <c r="E13" s="0" t="n">
        <f aca="false">SUMIFS(Fact_Extrapolated!$F$2:$F$229,Fact_Extrapolated!$C$2:$C$229,"FIB01",Fact_Extrapolated!$G$2:$G$229,1)</f>
        <v>174.59</v>
      </c>
      <c r="F13" s="0" t="n">
        <f aca="false">IF(C13=0,0,E13/C13)</f>
        <v>1</v>
      </c>
      <c r="G13" s="0" t="str">
        <f aca="false">INDEX('Materials Master'!$D$2:$D$20,MATCH(B13,'Materials Master'!$B$2:$B$20,0))</f>
        <v>Yes</v>
      </c>
    </row>
    <row r="14" customFormat="false" ht="15" hidden="false" customHeight="false" outlineLevel="0" collapsed="false">
      <c r="B14" s="0" t="s">
        <v>34</v>
      </c>
      <c r="C14" s="0" t="n">
        <f aca="false">SUMIFS(Fact_Extrapolated!$F$2:$F$229,Fact_Extrapolated!$C$2:$C$229,"FIB02")</f>
        <v>5.26</v>
      </c>
      <c r="D14" s="0" t="n">
        <f aca="false">IF($B$9=0,0,C14/$B$9)</f>
        <v>0.00390654011259154</v>
      </c>
      <c r="E14" s="0" t="n">
        <f aca="false">SUMIFS(Fact_Extrapolated!$F$2:$F$229,Fact_Extrapolated!$C$2:$C$229,"FIB02",Fact_Extrapolated!$G$2:$G$229,1)</f>
        <v>0</v>
      </c>
      <c r="F14" s="0" t="n">
        <f aca="false">IF(C14=0,0,E14/C14)</f>
        <v>0</v>
      </c>
      <c r="G14" s="0" t="str">
        <f aca="false">INDEX('Materials Master'!$D$2:$D$20,MATCH(B14,'Materials Master'!$B$2:$B$20,0))</f>
        <v>No</v>
      </c>
    </row>
    <row r="15" customFormat="false" ht="15" hidden="false" customHeight="false" outlineLevel="0" collapsed="false">
      <c r="B15" s="0" t="s">
        <v>36</v>
      </c>
      <c r="C15" s="0" t="n">
        <f aca="false">SUMIFS(Fact_Extrapolated!$F$2:$F$229,Fact_Extrapolated!$C$2:$C$229,"FIB03")</f>
        <v>55.14</v>
      </c>
      <c r="D15" s="0" t="n">
        <f aca="false">IF($B$9=0,0,C15/$B$9)</f>
        <v>0.0409518292411212</v>
      </c>
      <c r="E15" s="0" t="n">
        <f aca="false">SUMIFS(Fact_Extrapolated!$F$2:$F$229,Fact_Extrapolated!$C$2:$C$229,"FIB03",Fact_Extrapolated!$G$2:$G$229,1)</f>
        <v>20.14</v>
      </c>
      <c r="F15" s="0" t="n">
        <f aca="false">IF(C15=0,0,E15/C15)</f>
        <v>0.36525208560029</v>
      </c>
      <c r="G15" s="0" t="str">
        <f aca="false">INDEX('Materials Master'!$D$2:$D$20,MATCH(B15,'Materials Master'!$B$2:$B$20,0))</f>
        <v>Yes</v>
      </c>
    </row>
    <row r="16" customFormat="false" ht="15" hidden="false" customHeight="false" outlineLevel="0" collapsed="false">
      <c r="B16" s="0" t="s">
        <v>38</v>
      </c>
      <c r="C16" s="0" t="n">
        <f aca="false">SUMIFS(Fact_Extrapolated!$F$2:$F$229,Fact_Extrapolated!$C$2:$C$229,"FIB04")</f>
        <v>4.92</v>
      </c>
      <c r="D16" s="0" t="n">
        <f aca="false">IF($B$9=0,0,C16/$B$9)</f>
        <v>0.00365402611291832</v>
      </c>
      <c r="E16" s="0" t="n">
        <f aca="false">SUMIFS(Fact_Extrapolated!$F$2:$F$229,Fact_Extrapolated!$C$2:$C$229,"FIB04",Fact_Extrapolated!$G$2:$G$229,1)</f>
        <v>0.9</v>
      </c>
      <c r="F16" s="0" t="n">
        <f aca="false">IF(C16=0,0,E16/C16)</f>
        <v>0.182926829268293</v>
      </c>
      <c r="G16" s="0" t="str">
        <f aca="false">INDEX('Materials Master'!$D$2:$D$20,MATCH(B16,'Materials Master'!$B$2:$B$20,0))</f>
        <v>Yes</v>
      </c>
    </row>
    <row r="17" customFormat="false" ht="15" hidden="false" customHeight="false" outlineLevel="0" collapsed="false">
      <c r="B17" s="0" t="s">
        <v>40</v>
      </c>
      <c r="C17" s="0" t="n">
        <f aca="false">SUMIFS(Fact_Extrapolated!$F$2:$F$229,Fact_Extrapolated!$C$2:$C$229,"FIB05")</f>
        <v>38.08</v>
      </c>
      <c r="D17" s="0" t="n">
        <f aca="false">IF($B$9=0,0,C17/$B$9)</f>
        <v>0.0282815679634003</v>
      </c>
      <c r="E17" s="0" t="n">
        <f aca="false">SUMIFS(Fact_Extrapolated!$F$2:$F$229,Fact_Extrapolated!$C$2:$C$229,"FIB05",Fact_Extrapolated!$G$2:$G$229,1)</f>
        <v>0</v>
      </c>
      <c r="F17" s="0" t="n">
        <f aca="false">IF(C17=0,0,E17/C17)</f>
        <v>0</v>
      </c>
      <c r="G17" s="0" t="str">
        <f aca="false">INDEX('Materials Master'!$D$2:$D$20,MATCH(B17,'Materials Master'!$B$2:$B$20,0))</f>
        <v>No</v>
      </c>
    </row>
    <row r="18" customFormat="false" ht="15" hidden="false" customHeight="false" outlineLevel="0" collapsed="false">
      <c r="A18" s="0" t="s">
        <v>43</v>
      </c>
      <c r="B18" s="0" t="s">
        <v>42</v>
      </c>
      <c r="C18" s="0" t="n">
        <f aca="false">SUMIFS(Fact_Extrapolated!$F$2:$F$229,Fact_Extrapolated!$C$2:$C$229,"GLA01")</f>
        <v>37.97</v>
      </c>
      <c r="D18" s="0" t="n">
        <f aca="false">IF($B$9=0,0,C18/$B$9)</f>
        <v>0.0281998722576237</v>
      </c>
      <c r="E18" s="0" t="n">
        <f aca="false">SUMIFS(Fact_Extrapolated!$F$2:$F$229,Fact_Extrapolated!$C$2:$C$229,"GLA01",Fact_Extrapolated!$G$2:$G$229,1)</f>
        <v>20.75</v>
      </c>
      <c r="F18" s="0" t="n">
        <f aca="false">IF(C18=0,0,E18/C18)</f>
        <v>0.546484066368186</v>
      </c>
      <c r="G18" s="0" t="str">
        <f aca="false">INDEX('Materials Master'!$D$2:$D$20,MATCH(B18,'Materials Master'!$B$2:$B$20,0))</f>
        <v>Yes</v>
      </c>
    </row>
    <row r="19" customFormat="false" ht="15" hidden="false" customHeight="false" outlineLevel="0" collapsed="false">
      <c r="B19" s="0" t="s">
        <v>45</v>
      </c>
      <c r="C19" s="0" t="n">
        <f aca="false">SUMIFS(Fact_Extrapolated!$F$2:$F$229,Fact_Extrapolated!$C$2:$C$229,"GLA02")</f>
        <v>39.04</v>
      </c>
      <c r="D19" s="0" t="n">
        <f aca="false">IF($B$9=0,0,C19/$B$9)</f>
        <v>0.02899454866836</v>
      </c>
      <c r="E19" s="0" t="n">
        <f aca="false">SUMIFS(Fact_Extrapolated!$F$2:$F$229,Fact_Extrapolated!$C$2:$C$229,"GLA02",Fact_Extrapolated!$G$2:$G$229,1)</f>
        <v>0</v>
      </c>
      <c r="F19" s="0" t="n">
        <f aca="false">IF(C19=0,0,E19/C19)</f>
        <v>0</v>
      </c>
      <c r="G19" s="0" t="str">
        <f aca="false">INDEX('Materials Master'!$D$2:$D$20,MATCH(B19,'Materials Master'!$B$2:$B$20,0))</f>
        <v>No</v>
      </c>
    </row>
    <row r="20" customFormat="false" ht="15" hidden="false" customHeight="false" outlineLevel="0" collapsed="false">
      <c r="A20" s="0" t="s">
        <v>48</v>
      </c>
      <c r="B20" s="0" t="s">
        <v>47</v>
      </c>
      <c r="C20" s="0" t="n">
        <f aca="false">SUMIFS(Fact_Extrapolated!$F$2:$F$229,Fact_Extrapolated!$C$2:$C$229,"MET01")</f>
        <v>28.48</v>
      </c>
      <c r="D20" s="0" t="n">
        <f aca="false">IF($B$9=0,0,C20/$B$9)</f>
        <v>0.0211517609138036</v>
      </c>
      <c r="E20" s="0" t="n">
        <f aca="false">SUMIFS(Fact_Extrapolated!$F$2:$F$229,Fact_Extrapolated!$C$2:$C$229,"MET01",Fact_Extrapolated!$G$2:$G$229,1)</f>
        <v>7.44</v>
      </c>
      <c r="F20" s="0" t="n">
        <f aca="false">IF(C20=0,0,E20/C20)</f>
        <v>0.26123595505618</v>
      </c>
      <c r="G20" s="0" t="str">
        <f aca="false">INDEX('Materials Master'!$D$2:$D$20,MATCH(B20,'Materials Master'!$B$2:$B$20,0))</f>
        <v>Yes</v>
      </c>
    </row>
    <row r="21" customFormat="false" ht="15" hidden="false" customHeight="false" outlineLevel="0" collapsed="false">
      <c r="B21" s="0" t="s">
        <v>50</v>
      </c>
      <c r="C21" s="0" t="n">
        <f aca="false">SUMIFS(Fact_Extrapolated!$F$2:$F$229,Fact_Extrapolated!$C$2:$C$229,"MET02")</f>
        <v>2.98</v>
      </c>
      <c r="D21" s="0" t="n">
        <f aca="false">IF($B$9=0,0,C21/$B$9)</f>
        <v>0.00221321093831232</v>
      </c>
      <c r="E21" s="0" t="n">
        <f aca="false">SUMIFS(Fact_Extrapolated!$F$2:$F$229,Fact_Extrapolated!$C$2:$C$229,"MET02",Fact_Extrapolated!$G$2:$G$229,1)</f>
        <v>0</v>
      </c>
      <c r="F21" s="0" t="n">
        <f aca="false">IF(C21=0,0,E21/C21)</f>
        <v>0</v>
      </c>
      <c r="G21" s="0" t="str">
        <f aca="false">INDEX('Materials Master'!$D$2:$D$20,MATCH(B21,'Materials Master'!$B$2:$B$20,0))</f>
        <v>No</v>
      </c>
    </row>
    <row r="22" customFormat="false" ht="15" hidden="false" customHeight="false" outlineLevel="0" collapsed="false">
      <c r="A22" s="0" t="s">
        <v>53</v>
      </c>
      <c r="B22" s="0" t="s">
        <v>52</v>
      </c>
      <c r="C22" s="0" t="n">
        <f aca="false">SUMIFS(Fact_Extrapolated!$F$2:$F$229,Fact_Extrapolated!$C$2:$C$229,"PLA01")</f>
        <v>102.46</v>
      </c>
      <c r="D22" s="0" t="n">
        <f aca="false">IF($B$9=0,0,C22/$B$9)</f>
        <v>0.0760958364897583</v>
      </c>
      <c r="E22" s="0" t="n">
        <f aca="false">SUMIFS(Fact_Extrapolated!$F$2:$F$229,Fact_Extrapolated!$C$2:$C$229,"PLA01",Fact_Extrapolated!$G$2:$G$229,1)</f>
        <v>20.4</v>
      </c>
      <c r="F22" s="0" t="n">
        <f aca="false">IF(C22=0,0,E22/C22)</f>
        <v>0.199102088619949</v>
      </c>
      <c r="G22" s="0" t="str">
        <f aca="false">INDEX('Materials Master'!$D$2:$D$20,MATCH(B22,'Materials Master'!$B$2:$B$20,0))</f>
        <v>Yes</v>
      </c>
    </row>
    <row r="23" customFormat="false" ht="15" hidden="false" customHeight="false" outlineLevel="0" collapsed="false">
      <c r="B23" s="0" t="s">
        <v>55</v>
      </c>
      <c r="C23" s="0" t="n">
        <f aca="false">SUMIFS(Fact_Extrapolated!$F$2:$F$229,Fact_Extrapolated!$C$2:$C$229,"PLA02")</f>
        <v>10.01</v>
      </c>
      <c r="D23" s="0" t="n">
        <f aca="false">IF($B$9=0,0,C23/$B$9)</f>
        <v>0.00743430922567325</v>
      </c>
      <c r="E23" s="0" t="n">
        <f aca="false">SUMIFS(Fact_Extrapolated!$F$2:$F$229,Fact_Extrapolated!$C$2:$C$229,"PLA02",Fact_Extrapolated!$G$2:$G$229,1)</f>
        <v>0</v>
      </c>
      <c r="F23" s="0" t="n">
        <f aca="false">IF(C23=0,0,E23/C23)</f>
        <v>0</v>
      </c>
      <c r="G23" s="0" t="str">
        <f aca="false">INDEX('Materials Master'!$D$2:$D$20,MATCH(B23,'Materials Master'!$B$2:$B$20,0))</f>
        <v>No</v>
      </c>
    </row>
    <row r="24" customFormat="false" ht="15" hidden="false" customHeight="false" outlineLevel="0" collapsed="false">
      <c r="B24" s="0" t="s">
        <v>57</v>
      </c>
      <c r="C24" s="0" t="n">
        <f aca="false">SUMIFS(Fact_Extrapolated!$F$2:$F$229,Fact_Extrapolated!$C$2:$C$229,"PLA03")</f>
        <v>7.26</v>
      </c>
      <c r="D24" s="0" t="n">
        <f aca="false">IF($B$9=0,0,C24/$B$9)</f>
        <v>0.00539191658125752</v>
      </c>
      <c r="E24" s="0" t="n">
        <f aca="false">SUMIFS(Fact_Extrapolated!$F$2:$F$229,Fact_Extrapolated!$C$2:$C$229,"PLA03",Fact_Extrapolated!$G$2:$G$229,1)</f>
        <v>0</v>
      </c>
      <c r="F24" s="0" t="n">
        <f aca="false">IF(C24=0,0,E24/C24)</f>
        <v>0</v>
      </c>
      <c r="G24" s="0" t="str">
        <f aca="false">INDEX('Materials Master'!$D$2:$D$20,MATCH(B24,'Materials Master'!$B$2:$B$20,0))</f>
        <v>No</v>
      </c>
    </row>
    <row r="25" customFormat="false" ht="15" hidden="false" customHeight="false" outlineLevel="0" collapsed="false">
      <c r="B25" s="0" t="s">
        <v>59</v>
      </c>
      <c r="C25" s="0" t="n">
        <f aca="false">SUMIFS(Fact_Extrapolated!$F$2:$F$229,Fact_Extrapolated!$C$2:$C$229,"PLA04")</f>
        <v>66.19</v>
      </c>
      <c r="D25" s="0" t="n">
        <f aca="false">IF($B$9=0,0,C25/$B$9)</f>
        <v>0.0491585342305007</v>
      </c>
      <c r="E25" s="0" t="n">
        <f aca="false">SUMIFS(Fact_Extrapolated!$F$2:$F$229,Fact_Extrapolated!$C$2:$C$229,"PLA04",Fact_Extrapolated!$G$2:$G$229,1)</f>
        <v>0</v>
      </c>
      <c r="F25" s="0" t="n">
        <f aca="false">IF(C25=0,0,E25/C25)</f>
        <v>0</v>
      </c>
      <c r="G25" s="0" t="str">
        <f aca="false">INDEX('Materials Master'!$D$2:$D$20,MATCH(B25,'Materials Master'!$B$2:$B$20,0))</f>
        <v>No</v>
      </c>
    </row>
    <row r="26" customFormat="false" ht="15" hidden="false" customHeight="false" outlineLevel="0" collapsed="false">
      <c r="A26" s="0" t="s">
        <v>62</v>
      </c>
      <c r="B26" s="0" t="s">
        <v>61</v>
      </c>
      <c r="C26" s="0" t="n">
        <f aca="false">SUMIFS(Fact_Extrapolated!$F$2:$F$229,Fact_Extrapolated!$C$2:$C$229,"ORG01")</f>
        <v>493.74</v>
      </c>
      <c r="D26" s="0" t="n">
        <f aca="false">IF($B$9=0,0,C26/$B$9)</f>
        <v>0.366694888819571</v>
      </c>
      <c r="E26" s="0" t="n">
        <f aca="false">SUMIFS(Fact_Extrapolated!$F$2:$F$229,Fact_Extrapolated!$C$2:$C$229,"ORG01",Fact_Extrapolated!$G$2:$G$229,1)</f>
        <v>301.99</v>
      </c>
      <c r="F26" s="0" t="n">
        <f aca="false">IF(C26=0,0,E26/C26)</f>
        <v>0.611637704054766</v>
      </c>
      <c r="G26" s="0" t="str">
        <f aca="false">INDEX('Materials Master'!$D$2:$D$20,MATCH(B26,'Materials Master'!$B$2:$B$20,0))</f>
        <v>No</v>
      </c>
    </row>
    <row r="27" customFormat="false" ht="15" hidden="false" customHeight="false" outlineLevel="0" collapsed="false">
      <c r="B27" s="0" t="s">
        <v>64</v>
      </c>
      <c r="C27" s="0" t="n">
        <f aca="false">SUMIFS(Fact_Extrapolated!$F$2:$F$229,Fact_Extrapolated!$C$2:$C$229,"ORG02")</f>
        <v>110.32</v>
      </c>
      <c r="D27" s="0" t="n">
        <f aca="false">IF($B$9=0,0,C27/$B$9)</f>
        <v>0.0819333660116157</v>
      </c>
      <c r="E27" s="0" t="n">
        <f aca="false">SUMIFS(Fact_Extrapolated!$F$2:$F$229,Fact_Extrapolated!$C$2:$C$229,"ORG02",Fact_Extrapolated!$G$2:$G$229,1)</f>
        <v>0</v>
      </c>
      <c r="F27" s="0" t="n">
        <f aca="false">IF(C27=0,0,E27/C27)</f>
        <v>0</v>
      </c>
      <c r="G27" s="0" t="str">
        <f aca="false">INDEX('Materials Master'!$D$2:$D$20,MATCH(B27,'Materials Master'!$B$2:$B$20,0))</f>
        <v>No</v>
      </c>
    </row>
    <row r="28" customFormat="false" ht="15" hidden="false" customHeight="false" outlineLevel="0" collapsed="false">
      <c r="B28" s="0" t="s">
        <v>66</v>
      </c>
      <c r="C28" s="0" t="n">
        <f aca="false">SUMIFS(Fact_Extrapolated!$F$2:$F$229,Fact_Extrapolated!$C$2:$C$229,"ORG03")</f>
        <v>19.96</v>
      </c>
      <c r="D28" s="0" t="n">
        <f aca="false">IF($B$9=0,0,C28/$B$9)</f>
        <v>0.0148240571572865</v>
      </c>
      <c r="E28" s="0" t="n">
        <f aca="false">SUMIFS(Fact_Extrapolated!$F$2:$F$229,Fact_Extrapolated!$C$2:$C$229,"ORG03",Fact_Extrapolated!$G$2:$G$229,1)</f>
        <v>0</v>
      </c>
      <c r="F28" s="0" t="n">
        <f aca="false">IF(C28=0,0,E28/C28)</f>
        <v>0</v>
      </c>
      <c r="G28" s="0" t="str">
        <f aca="false">INDEX('Materials Master'!$D$2:$D$20,MATCH(B28,'Materials Master'!$B$2:$B$20,0))</f>
        <v>No</v>
      </c>
    </row>
    <row r="29" customFormat="false" ht="15" hidden="false" customHeight="false" outlineLevel="0" collapsed="false">
      <c r="A29" s="0" t="s">
        <v>69</v>
      </c>
      <c r="B29" s="0" t="s">
        <v>68</v>
      </c>
      <c r="C29" s="0" t="n">
        <f aca="false">SUMIFS(Fact_Extrapolated!$F$2:$F$229,Fact_Extrapolated!$C$2:$C$229,"UNA01")</f>
        <v>4.15</v>
      </c>
      <c r="D29" s="0" t="n">
        <f aca="false">IF($B$9=0,0,C29/$B$9)</f>
        <v>0.00308215617248192</v>
      </c>
      <c r="E29" s="0" t="n">
        <f aca="false">SUMIFS(Fact_Extrapolated!$F$2:$F$229,Fact_Extrapolated!$C$2:$C$229,"UNA01",Fact_Extrapolated!$G$2:$G$229,1)</f>
        <v>0</v>
      </c>
      <c r="F29" s="0" t="n">
        <f aca="false">IF(C29=0,0,E29/C29)</f>
        <v>0</v>
      </c>
      <c r="G29" s="0" t="str">
        <f aca="false">INDEX('Materials Master'!$D$2:$D$20,MATCH(B29,'Materials Master'!$B$2:$B$20,0))</f>
        <v>Unacceptable</v>
      </c>
    </row>
    <row r="30" customFormat="false" ht="15" hidden="false" customHeight="false" outlineLevel="0" collapsed="false">
      <c r="B30" s="0" t="s">
        <v>71</v>
      </c>
      <c r="C30" s="0" t="n">
        <f aca="false">SUMIFS(Fact_Extrapolated!$F$2:$F$229,Fact_Extrapolated!$C$2:$C$229,"UNA02")</f>
        <v>46.24</v>
      </c>
      <c r="D30" s="0" t="n">
        <f aca="false">IF($B$9=0,0,C30/$B$9)</f>
        <v>0.0343419039555575</v>
      </c>
      <c r="E30" s="0" t="n">
        <f aca="false">SUMIFS(Fact_Extrapolated!$F$2:$F$229,Fact_Extrapolated!$C$2:$C$229,"UNA02",Fact_Extrapolated!$G$2:$G$229,1)</f>
        <v>0</v>
      </c>
      <c r="F30" s="0" t="n">
        <f aca="false">IF(C30=0,0,E30/C30)</f>
        <v>0</v>
      </c>
      <c r="G30" s="0" t="str">
        <f aca="false">INDEX('Materials Master'!$D$2:$D$20,MATCH(B30,'Materials Master'!$B$2:$B$20,0))</f>
        <v>Unacceptable</v>
      </c>
    </row>
    <row r="31" customFormat="false" ht="15" hidden="false" customHeight="false" outlineLevel="0" collapsed="false">
      <c r="A31" s="0" t="s">
        <v>74</v>
      </c>
      <c r="B31" s="0" t="s">
        <v>73</v>
      </c>
      <c r="C31" s="0" t="n">
        <f aca="false">SUMIFS(Fact_Extrapolated!$F$2:$F$229,Fact_Extrapolated!$C$2:$C$229,"OTH01")</f>
        <v>99.67</v>
      </c>
      <c r="D31" s="0" t="n">
        <f aca="false">IF($B$9=0,0,C31/$B$9)</f>
        <v>0.0740237363159693</v>
      </c>
      <c r="E31" s="0" t="n">
        <f aca="false">SUMIFS(Fact_Extrapolated!$F$2:$F$229,Fact_Extrapolated!$C$2:$C$229,"OTH01",Fact_Extrapolated!$G$2:$G$229,1)</f>
        <v>0</v>
      </c>
      <c r="F31" s="0" t="n">
        <f aca="false">IF(C31=0,0,E31/C31)</f>
        <v>0</v>
      </c>
      <c r="G31" s="0" t="str">
        <f aca="false">INDEX('Materials Master'!$D$2:$D$20,MATCH(B31,'Materials Master'!$B$2:$B$20,0))</f>
        <v>No</v>
      </c>
    </row>
    <row r="32" customFormat="false" ht="15" hidden="false" customHeight="false" outlineLevel="0" collapsed="false"/>
    <row r="33" customFormat="false" ht="15" hidden="false" customHeight="false" outlineLevel="0" collapsed="false">
      <c r="A33" s="0" t="s">
        <v>111</v>
      </c>
    </row>
    <row r="34" customFormat="false" ht="15" hidden="false" customHeight="false" outlineLevel="0" collapsed="false">
      <c r="A34" s="0" t="s">
        <v>108</v>
      </c>
      <c r="B34" s="0" t="s">
        <v>109</v>
      </c>
      <c r="C34" s="0" t="s">
        <v>102</v>
      </c>
    </row>
    <row r="35" customFormat="false" ht="15" hidden="false" customHeight="false" outlineLevel="0" collapsed="false">
      <c r="A35" s="0" t="s">
        <v>30</v>
      </c>
      <c r="B35" s="0" t="n">
        <f aca="false">SUM(C13:C17)</f>
        <v>277.99</v>
      </c>
      <c r="C35" s="0" t="n">
        <f aca="false">IF($B$9=0,0,B35/$B$9)</f>
        <v>0.206459902262228</v>
      </c>
    </row>
    <row r="36" customFormat="false" ht="15" hidden="false" customHeight="false" outlineLevel="0" collapsed="false">
      <c r="A36" s="0" t="s">
        <v>43</v>
      </c>
      <c r="B36" s="0" t="n">
        <f aca="false">SUM(C18:C19)</f>
        <v>77.01</v>
      </c>
      <c r="C36" s="0" t="n">
        <f aca="false">IF($B$9=0,0,B36/$B$9)</f>
        <v>0.0571944209259837</v>
      </c>
    </row>
    <row r="37" customFormat="false" ht="15" hidden="false" customHeight="false" outlineLevel="0" collapsed="false">
      <c r="A37" s="0" t="s">
        <v>48</v>
      </c>
      <c r="B37" s="0" t="n">
        <f aca="false">SUM(C20:C21)</f>
        <v>31.46</v>
      </c>
      <c r="C37" s="0" t="n">
        <f aca="false">IF($B$9=0,0,B37/$B$9)</f>
        <v>0.0233649718521159</v>
      </c>
    </row>
    <row r="38" customFormat="false" ht="15" hidden="false" customHeight="false" outlineLevel="0" collapsed="false">
      <c r="A38" s="0" t="s">
        <v>53</v>
      </c>
      <c r="B38" s="0" t="n">
        <f aca="false">SUM(C22:C25)</f>
        <v>185.92</v>
      </c>
      <c r="C38" s="0" t="n">
        <f aca="false">IF($B$9=0,0,B38/$B$9)</f>
        <v>0.13808059652719</v>
      </c>
    </row>
    <row r="39" customFormat="false" ht="15" hidden="false" customHeight="false" outlineLevel="0" collapsed="false">
      <c r="A39" s="0" t="s">
        <v>62</v>
      </c>
      <c r="B39" s="0" t="n">
        <f aca="false">SUM(C26:C28)</f>
        <v>624.02</v>
      </c>
      <c r="C39" s="0" t="n">
        <f aca="false">IF($B$9=0,0,B39/$B$9)</f>
        <v>0.463452311988474</v>
      </c>
    </row>
    <row r="40" customFormat="false" ht="15" hidden="false" customHeight="false" outlineLevel="0" collapsed="false">
      <c r="A40" s="0" t="s">
        <v>69</v>
      </c>
      <c r="B40" s="0" t="n">
        <f aca="false">SUM(C29:C30)</f>
        <v>50.39</v>
      </c>
      <c r="C40" s="0" t="n">
        <f aca="false">IF($B$9=0,0,B40/$B$9)</f>
        <v>0.0374240601280395</v>
      </c>
    </row>
    <row r="41" customFormat="false" ht="15" hidden="false" customHeight="false" outlineLevel="0" collapsed="false">
      <c r="A41" s="0" t="s">
        <v>74</v>
      </c>
      <c r="B41" s="0" t="n">
        <f aca="false">SUM(C31:C31)</f>
        <v>99.67</v>
      </c>
      <c r="C41" s="0" t="n">
        <f aca="false">IF($B$9=0,0,B41/$B$9)</f>
        <v>0.0740237363159693</v>
      </c>
    </row>
    <row r="42" customFormat="false" ht="15" hidden="false" customHeight="false" outlineLevel="0" collapsed="false">
      <c r="A42" s="0" t="s">
        <v>112</v>
      </c>
      <c r="B42" s="0" t="n">
        <f aca="false">$B$9-SUM(B35:B41)</f>
        <v>0</v>
      </c>
      <c r="C42" s="0" t="n">
        <f aca="false">IF($B$9=0,0,B42/$B$9)</f>
        <v>0</v>
      </c>
    </row>
    <row r="43" customFormat="false" ht="15" hidden="false" customHeight="false" outlineLevel="0" collapsed="false">
      <c r="A43" s="0" t="s">
        <v>105</v>
      </c>
      <c r="B43" s="0" t="n">
        <f aca="false">SUM(B35:B42)</f>
        <v>1346.46</v>
      </c>
      <c r="C43" s="0" t="n">
        <f aca="false">IF(B43=0,0,B43/$B$9)</f>
        <v>1</v>
      </c>
    </row>
    <row r="44" customFormat="false" ht="15" hidden="false" customHeight="false" outlineLevel="0" collapsed="false"/>
    <row r="45" customFormat="false" ht="15" hidden="false" customHeight="false" outlineLevel="0" collapsed="false">
      <c r="A45" s="0" t="s">
        <v>113</v>
      </c>
    </row>
    <row r="46" customFormat="false" ht="15" hidden="false" customHeight="false" outlineLevel="0" collapsed="false">
      <c r="A46" s="0" t="s">
        <v>114</v>
      </c>
      <c r="B46" s="0" t="s">
        <v>83</v>
      </c>
      <c r="C46" s="0" t="s">
        <v>84</v>
      </c>
      <c r="D46" s="0" t="s">
        <v>85</v>
      </c>
      <c r="E46" s="0" t="s">
        <v>86</v>
      </c>
      <c r="F46" s="0" t="s">
        <v>87</v>
      </c>
      <c r="G46" s="0" t="s">
        <v>88</v>
      </c>
    </row>
    <row r="47" customFormat="false" ht="15" hidden="false" customHeight="false" outlineLevel="0" collapsed="false">
      <c r="A47" s="0" t="s">
        <v>79</v>
      </c>
      <c r="B47" s="0" t="n">
        <f aca="false">IF((SUMIFS(Fact_PreSortWeights!$E$2:$E$6,Fact_PreSortWeights!$C$2:$C$6,"Cafeteria",Fact_PreSortWeights!$B$2:$B$6,"Trash"))=0,0,1-SUMIFS(Fact_Extrapolated!$F$2:$F$229,Fact_Extrapolated!$I$2:$I$229,"Cafeteria",Fact_Extrapolated!$B$2:$B$229,"Trash",Fact_Extrapolated!$J$2:$J$229,1)/(SUMIFS(Fact_PreSortWeights!$E$2:$E$6,Fact_PreSortWeights!$C$2:$C$6,"Cafeteria",Fact_PreSortWeights!$B$2:$B$6,"Trash")))</f>
        <v>0.574057315233786</v>
      </c>
      <c r="C47" s="0" t="n">
        <f aca="false">IF((SUMIFS(Fact_PreSortWeights!$E$2:$E$6,Fact_PreSortWeights!$C$2:$C$6,"Cafeteria",Fact_PreSortWeights!$B$2:$B$6,"GMPC Recycling"))=0,0,1-SUMIFS(Fact_Extrapolated!$F$2:$F$229,Fact_Extrapolated!$I$2:$I$229,"Cafeteria",Fact_Extrapolated!$B$2:$B$229,"GMPC Recycling",Fact_Extrapolated!$J$2:$J$229,1)/(SUMIFS(Fact_PreSortWeights!$E$2:$E$6,Fact_PreSortWeights!$C$2:$C$6,"Cafeteria",Fact_PreSortWeights!$B$2:$B$6,"GMPC Recycling")))</f>
        <v>0.754918493535694</v>
      </c>
      <c r="D47" s="0" t="n">
        <f aca="false">IF((SUMIFS(Fact_PreSortWeights!$E$2:$E$6,Fact_PreSortWeights!$C$2:$C$6,"Cafeteria",Fact_PreSortWeights!$B$2:$B$6,"Organics Recycling"))=0,0,1-SUMIFS(Fact_Extrapolated!$F$2:$F$229,Fact_Extrapolated!$I$2:$I$229,"Cafeteria",Fact_Extrapolated!$B$2:$B$229,"Organics Recycling",Fact_Extrapolated!$J$2:$J$229,1)/(SUMIFS(Fact_PreSortWeights!$E$2:$E$6,Fact_PreSortWeights!$C$2:$C$6,"Cafeteria",Fact_PreSortWeights!$B$2:$B$6,"Organics Recycling")))</f>
        <v>0.0079087551880781</v>
      </c>
      <c r="E47" s="0" t="n">
        <f aca="false">IF((SUMIFS(Fact_SortedWeights!$E$2:$E$67,Fact_SortedWeights!$C$2:$C$67,"Cafeteria",Fact_SortedWeights!$B$2:$B$67,"Cardboard Recycling"))=0,0,1-SUMIFS(Fact_Extrapolated!$F$2:$F$229,Fact_Extrapolated!$I$2:$I$229,"Cafeteria",Fact_Extrapolated!$B$2:$B$229,"Cardboard Recycling",Fact_Extrapolated!$J$2:$J$229,1)/(SUMIFS(Fact_SortedWeights!$E$2:$E$67,Fact_SortedWeights!$C$2:$C$67,"Cafeteria",Fact_SortedWeights!$B$2:$B$67,"Cardboard Recycling")))</f>
        <v>0.0601830663615561</v>
      </c>
      <c r="F47" s="0" t="n">
        <f aca="false">IF((SUMIFS(Fact_PreSortWeights!$E$2:$E$6,Fact_PreSortWeights!$C$2:$C$6,"Cafeteria",Fact_PreSortWeights!$B$2:$B$6,"Paper Recycling"))=0,0,1-SUMIFS(Fact_Extrapolated!$F$2:$F$229,Fact_Extrapolated!$I$2:$I$229,"Cafeteria",Fact_Extrapolated!$B$2:$B$229,"Paper Recycling",Fact_Extrapolated!$J$2:$J$229,1)/(SUMIFS(Fact_PreSortWeights!$E$2:$E$6,Fact_PreSortWeights!$C$2:$C$6,"Cafeteria",Fact_PreSortWeights!$B$2:$B$6,"Paper Recycling")))</f>
        <v>0</v>
      </c>
      <c r="G47" s="0" t="n">
        <f aca="false">IF((SUMIFS(Fact_PreSortWeights!$E$2:$E$6,Fact_PreSortWeights!$C$2:$C$6,"Cafeteria",Fact_PreSortWeights!$B$2:$B$6,"Terracycle"))=0,0,1-SUMIFS(Fact_Extrapolated!$F$2:$F$229,Fact_Extrapolated!$I$2:$I$229,"Cafeteria",Fact_Extrapolated!$B$2:$B$229,"Terracycle",Fact_Extrapolated!$J$2:$J$229,1)/(SUMIFS(Fact_PreSortWeights!$E$2:$E$6,Fact_PreSortWeights!$C$2:$C$6,"Cafeteria",Fact_PreSortWeights!$B$2:$B$6,"Terracycle")))</f>
        <v>0</v>
      </c>
    </row>
    <row r="48" customFormat="false" ht="15" hidden="false" customHeight="false" outlineLevel="0" collapsed="false">
      <c r="A48" s="0" t="s">
        <v>81</v>
      </c>
      <c r="B48" s="0" t="n">
        <f aca="false">IF((SUMIFS(Fact_PreSortWeights!$E$2:$E$6,Fact_PreSortWeights!$C$2:$C$6,"Base Building",Fact_PreSortWeights!$B$2:$B$6,"Trash"))=0,0,1-SUMIFS(Fact_Extrapolated!$F$2:$F$229,Fact_Extrapolated!$I$2:$I$229,"Base Building",Fact_Extrapolated!$B$2:$B$229,"Trash",Fact_Extrapolated!$J$2:$J$229,1)/(SUMIFS(Fact_PreSortWeights!$E$2:$E$6,Fact_PreSortWeights!$C$2:$C$6,"Base Building",Fact_PreSortWeights!$B$2:$B$6,"Trash")))</f>
        <v>0.439781093743848</v>
      </c>
      <c r="C48" s="0" t="n">
        <f aca="false">IF((SUMIFS(Fact_PreSortWeights!$E$2:$E$6,Fact_PreSortWeights!$C$2:$C$6,"Base Building",Fact_PreSortWeights!$B$2:$B$6,"GMPC Recycling"))=0,0,1-SUMIFS(Fact_Extrapolated!$F$2:$F$229,Fact_Extrapolated!$I$2:$I$229,"Base Building",Fact_Extrapolated!$B$2:$B$229,"GMPC Recycling",Fact_Extrapolated!$J$2:$J$229,1)/(SUMIFS(Fact_PreSortWeights!$E$2:$E$6,Fact_PreSortWeights!$C$2:$C$6,"Base Building",Fact_PreSortWeights!$B$2:$B$6,"GMPC Recycling")))</f>
        <v>0.50250347705146</v>
      </c>
      <c r="D48" s="0" t="n">
        <f aca="false">IF((SUMIFS(Fact_PreSortWeights!$E$2:$E$6,Fact_PreSortWeights!$C$2:$C$6,"Base Building",Fact_PreSortWeights!$B$2:$B$6,"Organics Recycling"))=0,0,1-SUMIFS(Fact_Extrapolated!$F$2:$F$229,Fact_Extrapolated!$I$2:$I$229,"Base Building",Fact_Extrapolated!$B$2:$B$229,"Organics Recycling",Fact_Extrapolated!$J$2:$J$229,1)/(SUMIFS(Fact_PreSortWeights!$E$2:$E$6,Fact_PreSortWeights!$C$2:$C$6,"Base Building",Fact_PreSortWeights!$B$2:$B$6,"Organics Recycling")))</f>
        <v>0</v>
      </c>
      <c r="E48" s="0" t="n">
        <f aca="false">IF((SUMIFS(Fact_SortedWeights!$E$2:$E$67,Fact_SortedWeights!$C$2:$C$67,"Base Building",Fact_SortedWeights!$B$2:$B$67,"Cardboard Recycling"))=0,0,1-SUMIFS(Fact_Extrapolated!$F$2:$F$229,Fact_Extrapolated!$I$2:$I$229,"Base Building",Fact_Extrapolated!$B$2:$B$229,"Cardboard Recycling",Fact_Extrapolated!$J$2:$J$229,1)/(SUMIFS(Fact_SortedWeights!$E$2:$E$67,Fact_SortedWeights!$C$2:$C$67,"Base Building",Fact_SortedWeights!$B$2:$B$67,"Cardboard Recycling")))</f>
        <v>0</v>
      </c>
      <c r="F48" s="0" t="n">
        <f aca="false">IF((SUMIFS(Fact_PreSortWeights!$E$2:$E$6,Fact_PreSortWeights!$C$2:$C$6,"Base Building",Fact_PreSortWeights!$B$2:$B$6,"Paper Recycling"))=0,0,1-SUMIFS(Fact_Extrapolated!$F$2:$F$229,Fact_Extrapolated!$I$2:$I$229,"Base Building",Fact_Extrapolated!$B$2:$B$229,"Paper Recycling",Fact_Extrapolated!$J$2:$J$229,1)/(SUMIFS(Fact_PreSortWeights!$E$2:$E$6,Fact_PreSortWeights!$C$2:$C$6,"Base Building",Fact_PreSortWeights!$B$2:$B$6,"Paper Recycling")))</f>
        <v>0</v>
      </c>
      <c r="G48" s="0" t="n">
        <f aca="false">IF((SUMIFS(Fact_PreSortWeights!$E$2:$E$6,Fact_PreSortWeights!$C$2:$C$6,"Base Building",Fact_PreSortWeights!$B$2:$B$6,"Terracycle"))=0,0,1-SUMIFS(Fact_Extrapolated!$F$2:$F$229,Fact_Extrapolated!$I$2:$I$229,"Base Building",Fact_Extrapolated!$B$2:$B$229,"Terracycle",Fact_Extrapolated!$J$2:$J$229,1)/(SUMIFS(Fact_PreSortWeights!$E$2:$E$6,Fact_PreSortWeights!$C$2:$C$6,"Base Building",Fact_PreSortWeights!$B$2:$B$6,"Terracycle")))</f>
        <v>0</v>
      </c>
    </row>
    <row r="49" customFormat="false" ht="15" hidden="false" customHeight="false" outlineLevel="0" collapsed="false">
      <c r="A49" s="0" t="s">
        <v>105</v>
      </c>
      <c r="B49" s="0" t="n">
        <f aca="false">IF((SUMIFS(Fact_PreSortWeights!$E$2:$E$6,Fact_PreSortWeights!$C$2:$C$6,"Cafeteria",Fact_PreSortWeights!$B$2:$B$6,"Trash")+SUMIFS(Fact_PreSortWeights!$E$2:$E$6,Fact_PreSortWeights!$C$2:$C$6,"Base Building",Fact_PreSortWeights!$B$2:$B$6,"Trash"))=0,0,1-SUMIFS(Fact_Extrapolated!$F$2:$F$229,Fact_Extrapolated!$B$2:$B$229,"Trash",Fact_Extrapolated!$J$2:$J$229,1)/(SUMIFS(Fact_PreSortWeights!$E$2:$E$6,Fact_PreSortWeights!$C$2:$C$6,"Cafeteria",Fact_PreSortWeights!$B$2:$B$6,"Trash")+SUMIFS(Fact_PreSortWeights!$E$2:$E$6,Fact_PreSortWeights!$C$2:$C$6,"Base Building",Fact_PreSortWeights!$B$2:$B$6,"Trash")))</f>
        <v>0.477563377093708</v>
      </c>
      <c r="C49" s="0" t="n">
        <f aca="false">IF((SUMIFS(Fact_PreSortWeights!$E$2:$E$6,Fact_PreSortWeights!$C$2:$C$6,"Cafeteria",Fact_PreSortWeights!$B$2:$B$6,"GMPC Recycling")+SUMIFS(Fact_PreSortWeights!$E$2:$E$6,Fact_PreSortWeights!$C$2:$C$6,"Base Building",Fact_PreSortWeights!$B$2:$B$6,"GMPC Recycling"))=0,0,1-SUMIFS(Fact_Extrapolated!$F$2:$F$229,Fact_Extrapolated!$B$2:$B$229,"GMPC Recycling",Fact_Extrapolated!$J$2:$J$229,1)/(SUMIFS(Fact_PreSortWeights!$E$2:$E$6,Fact_PreSortWeights!$C$2:$C$6,"Cafeteria",Fact_PreSortWeights!$B$2:$B$6,"GMPC Recycling")+SUMIFS(Fact_PreSortWeights!$E$2:$E$6,Fact_PreSortWeights!$C$2:$C$6,"Base Building",Fact_PreSortWeights!$B$2:$B$6,"GMPC Recycling")))</f>
        <v>0.530292716133424</v>
      </c>
      <c r="D49" s="0" t="n">
        <f aca="false">IF((SUMIFS(Fact_PreSortWeights!$E$2:$E$6,Fact_PreSortWeights!$C$2:$C$6,"Cafeteria",Fact_PreSortWeights!$B$2:$B$6,"Organics Recycling")+SUMIFS(Fact_PreSortWeights!$E$2:$E$6,Fact_PreSortWeights!$C$2:$C$6,"Base Building",Fact_PreSortWeights!$B$2:$B$6,"Organics Recycling"))=0,0,1-SUMIFS(Fact_Extrapolated!$F$2:$F$229,Fact_Extrapolated!$B$2:$B$229,"Organics Recycling",Fact_Extrapolated!$J$2:$J$229,1)/(SUMIFS(Fact_PreSortWeights!$E$2:$E$6,Fact_PreSortWeights!$C$2:$C$6,"Cafeteria",Fact_PreSortWeights!$B$2:$B$6,"Organics Recycling")+SUMIFS(Fact_PreSortWeights!$E$2:$E$6,Fact_PreSortWeights!$C$2:$C$6,"Base Building",Fact_PreSortWeights!$B$2:$B$6,"Organics Recycling")))</f>
        <v>0.0079087551880781</v>
      </c>
      <c r="E49" s="0" t="n">
        <f aca="false">IF((SUMIFS(Fact_SortedWeights!$E$2:$E$67,Fact_SortedWeights!$C$2:$C$67,"Cafeteria",Fact_SortedWeights!$B$2:$B$67,"Cardboard Recycling")+SUMIFS(Fact_SortedWeights!$E$2:$E$67,Fact_SortedWeights!$C$2:$C$67,"Base Building",Fact_SortedWeights!$B$2:$B$67,"Cardboard Recycling"))=0,0,1-SUMIFS(Fact_Extrapolated!$F$2:$F$229,Fact_Extrapolated!$B$2:$B$229,"Cardboard Recycling",Fact_Extrapolated!$J$2:$J$229,1)/(SUMIFS(Fact_SortedWeights!$E$2:$E$67,Fact_SortedWeights!$C$2:$C$67,"Cafeteria",Fact_SortedWeights!$B$2:$B$67,"Cardboard Recycling")+SUMIFS(Fact_SortedWeights!$E$2:$E$67,Fact_SortedWeights!$C$2:$C$67,"Base Building",Fact_SortedWeights!$B$2:$B$67,"Cardboard Recycling")))</f>
        <v>0.0305813953488372</v>
      </c>
      <c r="F49" s="0" t="n">
        <f aca="false">IF((SUMIFS(Fact_PreSortWeights!$E$2:$E$6,Fact_PreSortWeights!$C$2:$C$6,"Cafeteria",Fact_PreSortWeights!$B$2:$B$6,"Paper Recycling")+SUMIFS(Fact_PreSortWeights!$E$2:$E$6,Fact_PreSortWeights!$C$2:$C$6,"Base Building",Fact_PreSortWeights!$B$2:$B$6,"Paper Recycling"))=0,0,1-SUMIFS(Fact_Extrapolated!$F$2:$F$229,Fact_Extrapolated!$B$2:$B$229,"Paper Recycling",Fact_Extrapolated!$J$2:$J$229,1)/(SUMIFS(Fact_PreSortWeights!$E$2:$E$6,Fact_PreSortWeights!$C$2:$C$6,"Cafeteria",Fact_PreSortWeights!$B$2:$B$6,"Paper Recycling")+SUMIFS(Fact_PreSortWeights!$E$2:$E$6,Fact_PreSortWeights!$C$2:$C$6,"Base Building",Fact_PreSortWeights!$B$2:$B$6,"Paper Recycling")))</f>
        <v>0</v>
      </c>
      <c r="G49" s="0" t="n">
        <f aca="false">IF((SUMIFS(Fact_PreSortWeights!$E$2:$E$6,Fact_PreSortWeights!$C$2:$C$6,"Cafeteria",Fact_PreSortWeights!$B$2:$B$6,"Terracycle")+SUMIFS(Fact_PreSortWeights!$E$2:$E$6,Fact_PreSortWeights!$C$2:$C$6,"Base Building",Fact_PreSortWeights!$B$2:$B$6,"Terracycle"))=0,0,1-SUMIFS(Fact_Extrapolated!$F$2:$F$229,Fact_Extrapolated!$B$2:$B$229,"Terracycle",Fact_Extrapolated!$J$2:$J$229,1)/(SUMIFS(Fact_PreSortWeights!$E$2:$E$6,Fact_PreSortWeights!$C$2:$C$6,"Cafeteria",Fact_PreSortWeights!$B$2:$B$6,"Terracycle")+SUMIFS(Fact_PreSortWeights!$E$2:$E$6,Fact_PreSortWeights!$C$2:$C$6,"Base Building",Fact_PreSortWeights!$B$2:$B$6,"Terracycle")))</f>
        <v>0</v>
      </c>
    </row>
    <row r="50" customFormat="false" ht="15" hidden="false" customHeight="false" outlineLevel="0" collapsed="false"/>
    <row r="51" customFormat="false" ht="15" hidden="false" customHeight="false" outlineLevel="0" collapsed="false">
      <c r="A51" s="0" t="s">
        <v>115</v>
      </c>
    </row>
    <row r="52" customFormat="false" ht="15" hidden="false" customHeight="false" outlineLevel="0" collapsed="false">
      <c r="A52" s="0" t="s">
        <v>114</v>
      </c>
      <c r="B52" s="0" t="s">
        <v>116</v>
      </c>
      <c r="C52" s="0" t="s">
        <v>117</v>
      </c>
      <c r="D52" s="0" t="s">
        <v>118</v>
      </c>
    </row>
    <row r="53" customFormat="false" ht="15" hidden="false" customHeight="false" outlineLevel="0" collapsed="false">
      <c r="A53" s="0" t="s">
        <v>79</v>
      </c>
      <c r="B53" s="0" t="n">
        <f aca="false">IF((SUMIFS(Fact_PreSortWeights!$E$2:$E$6,Fact_PreSortWeights!$C$2:$C$6,"Cafeteria")+SUMIFS(Fact_SortedWeights!$E$2:$E$67,Fact_SortedWeights!$C$2:$C$67,"Cafeteria",Fact_SortedWeights!$B$2:$B$67,"Cardboard Recycling"))=0,0,SUMIFS(Fact_Extrapolated!$F$2:$F$229,Fact_Extrapolated!$I$2:$I$229,"Cafeteria",Fact_Extrapolated!$G$2:$G$229,1)/(SUMIFS(Fact_PreSortWeights!$E$2:$E$6,Fact_PreSortWeights!$C$2:$C$6,"Cafeteria")+SUMIFS(Fact_SortedWeights!$E$2:$E$67,Fact_SortedWeights!$C$2:$C$67,"Cafeteria",Fact_SortedWeights!$B$2:$B$67,"Cardboard Recycling")))</f>
        <v>0.63937516391293</v>
      </c>
      <c r="C53" s="0" t="n">
        <f aca="false">IF((SUMIFS(Fact_PreSortWeights!$E$2:$E$6,Fact_PreSortWeights!$C$2:$C$6,"Cafeteria")+SUMIFS(Fact_SortedWeights!$E$2:$E$67,Fact_SortedWeights!$C$2:$C$67,"Cafeteria",Fact_SortedWeights!$B$2:$B$67,"Cardboard Recycling"))=0,0,SUMIFS(Fact_Extrapolated!$F$2:$F$229,Fact_Extrapolated!$I$2:$I$229,"Cafeteria",Fact_Extrapolated!$H$2:$H$229,"Yes")/(SUMIFS(Fact_PreSortWeights!$E$2:$E$6,Fact_PreSortWeights!$C$2:$C$6,"Cafeteria")+SUMIFS(Fact_SortedWeights!$E$2:$E$67,Fact_SortedWeights!$C$2:$C$67,"Cafeteria",Fact_SortedWeights!$B$2:$B$67,"Cardboard Recycling")))</f>
        <v>0.833136637817991</v>
      </c>
      <c r="D53" s="0" t="n">
        <f aca="false">C53-B53</f>
        <v>0.193761473905062</v>
      </c>
    </row>
    <row r="54" customFormat="false" ht="15" hidden="false" customHeight="false" outlineLevel="0" collapsed="false">
      <c r="A54" s="0" t="s">
        <v>81</v>
      </c>
      <c r="B54" s="0" t="n">
        <f aca="false">IF((SUMIFS(Fact_PreSortWeights!$E$2:$E$6,Fact_PreSortWeights!$C$2:$C$6,"Base Building")+SUMIFS(Fact_SortedWeights!$E$2:$E$67,Fact_SortedWeights!$C$2:$C$67,"Base Building",Fact_SortedWeights!$B$2:$B$67,"Cardboard Recycling"))=0,0,SUMIFS(Fact_Extrapolated!$F$2:$F$229,Fact_Extrapolated!$I$2:$I$229,"Base Building",Fact_Extrapolated!$G$2:$G$229,1)/(SUMIFS(Fact_PreSortWeights!$E$2:$E$6,Fact_PreSortWeights!$C$2:$C$6,"Base Building")+SUMIFS(Fact_SortedWeights!$E$2:$E$67,Fact_SortedWeights!$C$2:$C$67,"Base Building",Fact_SortedWeights!$B$2:$B$67,"Cardboard Recycling")))</f>
        <v>0.212037263369456</v>
      </c>
      <c r="C54" s="0" t="n">
        <f aca="false">IF((SUMIFS(Fact_PreSortWeights!$E$2:$E$6,Fact_PreSortWeights!$C$2:$C$6,"Base Building")+SUMIFS(Fact_SortedWeights!$E$2:$E$67,Fact_SortedWeights!$C$2:$C$67,"Base Building",Fact_SortedWeights!$B$2:$B$67,"Cardboard Recycling"))=0,0,SUMIFS(Fact_Extrapolated!$F$2:$F$229,Fact_Extrapolated!$I$2:$I$229,"Base Building",Fact_Extrapolated!$H$2:$H$229,"Yes")/(SUMIFS(Fact_PreSortWeights!$E$2:$E$6,Fact_PreSortWeights!$C$2:$C$6,"Base Building")+SUMIFS(Fact_SortedWeights!$E$2:$E$67,Fact_SortedWeights!$C$2:$C$67,"Base Building",Fact_SortedWeights!$B$2:$B$67,"Cardboard Recycling")))</f>
        <v>0.528287025720416</v>
      </c>
      <c r="D54" s="0" t="n">
        <f aca="false">C54-B54</f>
        <v>0.31624976235096</v>
      </c>
    </row>
    <row r="55" customFormat="false" ht="15" hidden="false" customHeight="false" outlineLevel="0" collapsed="false">
      <c r="A55" s="0" t="s">
        <v>105</v>
      </c>
      <c r="B55" s="0" t="n">
        <f aca="false">IF((SUMIFS(Fact_PreSortWeights!$E$2:$E$6,Fact_PreSortWeights!$C$2:$C$6,"Cafeteria")+SUMIFS(Fact_SortedWeights!$E$2:$E$67,Fact_SortedWeights!$C$2:$C$67,"Cafeteria",Fact_SortedWeights!$B$2:$B$67,"Cardboard Recycling")+SUMIFS(Fact_PreSortWeights!$E$2:$E$6,Fact_PreSortWeights!$C$2:$C$6,"Base Building")+SUMIFS(Fact_SortedWeights!$E$2:$E$67,Fact_SortedWeights!$C$2:$C$67,"Base Building",Fact_SortedWeights!$B$2:$B$67,"Cardboard Recycling"))=0,0,SUMIFS(Fact_Extrapolated!$F$2:$F$229,Fact_Extrapolated!$G$2:$G$229,1)/(SUMIFS(Fact_PreSortWeights!$E$2:$E$6,Fact_PreSortWeights!$C$2:$C$6,"Cafeteria")+SUMIFS(Fact_SortedWeights!$E$2:$E$67,Fact_SortedWeights!$C$2:$C$67,"Cafeteria",Fact_SortedWeights!$B$2:$B$67,"Cardboard Recycling")+SUMIFS(Fact_PreSortWeights!$E$2:$E$6,Fact_PreSortWeights!$C$2:$C$6,"Base Building")+SUMIFS(Fact_SortedWeights!$E$2:$E$67,Fact_SortedWeights!$C$2:$C$67,"Base Building",Fact_SortedWeights!$B$2:$B$67,"Cardboard Recycling")))</f>
        <v>0.405663740475023</v>
      </c>
      <c r="C55" s="0" t="n">
        <f aca="false">IF((SUMIFS(Fact_PreSortWeights!$E$2:$E$6,Fact_PreSortWeights!$C$2:$C$6,"Cafeteria")+SUMIFS(Fact_SortedWeights!$E$2:$E$67,Fact_SortedWeights!$C$2:$C$67,"Cafeteria",Fact_SortedWeights!$B$2:$B$67,"Cardboard Recycling")+SUMIFS(Fact_PreSortWeights!$E$2:$E$6,Fact_PreSortWeights!$C$2:$C$6,"Base Building")+SUMIFS(Fact_SortedWeights!$E$2:$E$67,Fact_SortedWeights!$C$2:$C$67,"Base Building",Fact_SortedWeights!$B$2:$B$67,"Cardboard Recycling"))=0,0,SUMIFS(Fact_Extrapolated!$F$2:$F$229,Fact_Extrapolated!$H$2:$H$229,"Yes")/(SUMIFS(Fact_PreSortWeights!$E$2:$E$6,Fact_PreSortWeights!$C$2:$C$6,"Cafeteria")+SUMIFS(Fact_SortedWeights!$E$2:$E$67,Fact_SortedWeights!$C$2:$C$67,"Cafeteria",Fact_SortedWeights!$B$2:$B$67,"Cardboard Recycling")+SUMIFS(Fact_PreSortWeights!$E$2:$E$6,Fact_PreSortWeights!$C$2:$C$6,"Base Building")+SUMIFS(Fact_SortedWeights!$E$2:$E$67,Fact_SortedWeights!$C$2:$C$67,"Base Building",Fact_SortedWeights!$B$2:$B$67,"Cardboard Recycling")))</f>
        <v>0.666414152666994</v>
      </c>
      <c r="D55" s="0" t="n">
        <f aca="false">C55-B55</f>
        <v>0.26075041219197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5" hidden="false" customHeight="false" outlineLevel="0" collapsed="false">
      <c r="A1" s="0" t="s">
        <v>99</v>
      </c>
    </row>
    <row r="2" customFormat="false" ht="15" hidden="false" customHeight="false" outlineLevel="0" collapsed="false">
      <c r="A2" s="0" t="s">
        <v>100</v>
      </c>
      <c r="B2" s="0" t="s">
        <v>101</v>
      </c>
      <c r="C2" s="0" t="s">
        <v>102</v>
      </c>
      <c r="D2" s="0" t="s">
        <v>103</v>
      </c>
      <c r="E2" s="0" t="s">
        <v>104</v>
      </c>
    </row>
    <row r="3" customFormat="false" ht="15" hidden="false" customHeight="false" outlineLevel="0" collapsed="false">
      <c r="A3" s="0" t="s">
        <v>83</v>
      </c>
      <c r="B3" s="0" t="n">
        <f aca="false">SUMIFS(Fact_PreSortWeights!$E$2:$E$6,Fact_PreSortWeights!$C$2:$C$6,"Cafeteria",Fact_PreSortWeights!$B$2:$B$6,"Trash")</f>
        <v>198.9</v>
      </c>
      <c r="C3" s="0" t="n">
        <f aca="false">IF($B$9=0,0,B3/$B$9)</f>
        <v>0.32602281667978</v>
      </c>
      <c r="D3" s="0" t="n">
        <f aca="false">SUMIFS(Fact_Extrapolated!$F$2:$F$229,Fact_Extrapolated!$B$2:$B$229,A3,Fact_Extrapolated!$A$2:$A$229,"Cafeteria",Fact_Extrapolated!$G$2:$G$229,1)</f>
        <v>0</v>
      </c>
    </row>
    <row r="4" customFormat="false" ht="15" hidden="false" customHeight="false" outlineLevel="0" collapsed="false">
      <c r="A4" s="0" t="s">
        <v>84</v>
      </c>
      <c r="B4" s="0" t="n">
        <f aca="false">SUMIFS(Fact_PreSortWeights!$E$2:$E$6,Fact_PreSortWeights!$C$2:$C$6,"Cafeteria",Fact_PreSortWeights!$B$2:$B$6,"GMPC Recycling")</f>
        <v>17.79</v>
      </c>
      <c r="C4" s="0" t="n">
        <f aca="false">IF($B$9=0,0,B4/$B$9)</f>
        <v>0.0291601101494886</v>
      </c>
      <c r="D4" s="0" t="n">
        <f aca="false">SUMIFS(Fact_Extrapolated!$F$2:$F$229,Fact_Extrapolated!$B$2:$B$229,A4,Fact_Extrapolated!$A$2:$A$229,"Cafeteria",Fact_Extrapolated!$G$2:$G$229,1)</f>
        <v>4.36</v>
      </c>
    </row>
    <row r="5" customFormat="false" ht="15" hidden="false" customHeight="false" outlineLevel="0" collapsed="false">
      <c r="A5" s="0" t="s">
        <v>85</v>
      </c>
      <c r="B5" s="0" t="n">
        <f aca="false">SUMIFS(Fact_PreSortWeights!$E$2:$E$6,Fact_PreSortWeights!$C$2:$C$6,"Cafeteria",Fact_PreSortWeights!$B$2:$B$6,"Organics Recycling")</f>
        <v>305.99</v>
      </c>
      <c r="C5" s="0" t="n">
        <f aca="false">IF($B$9=0,0,B5/$B$9)</f>
        <v>0.501557172829793</v>
      </c>
      <c r="D5" s="0" t="n">
        <f aca="false">SUMIFS(Fact_Extrapolated!$F$2:$F$229,Fact_Extrapolated!$B$2:$B$229,A5,Fact_Extrapolated!$A$2:$A$229,"Cafeteria",Fact_Extrapolated!$G$2:$G$229,1)</f>
        <v>303.57</v>
      </c>
    </row>
    <row r="6" customFormat="false" ht="15" hidden="false" customHeight="false" outlineLevel="0" collapsed="false">
      <c r="A6" s="0" t="s">
        <v>86</v>
      </c>
      <c r="B6" s="0" t="n">
        <f aca="false">SUMIFS(Fact_SortedWeights!$E$2:$E$67,Fact_SortedWeights!$C$2:$C$67,"Cafeteria",Fact_SortedWeights!$B$2:$B$67,"Cardboard Recycling")</f>
        <v>87.4</v>
      </c>
      <c r="C6" s="0" t="n">
        <f aca="false">IF($B$9=0,0,B6/$B$9)</f>
        <v>0.143259900340939</v>
      </c>
      <c r="D6" s="0" t="n">
        <f aca="false">SUMIFS(Fact_Extrapolated!$F$2:$F$229,Fact_Extrapolated!$B$2:$B$229,A6,Fact_Extrapolated!$A$2:$A$229,"Cafeteria",Fact_Extrapolated!$G$2:$G$229,1)</f>
        <v>82.14</v>
      </c>
    </row>
    <row r="7" customFormat="false" ht="15" hidden="false" customHeight="false" outlineLevel="0" collapsed="false">
      <c r="A7" s="0" t="s">
        <v>87</v>
      </c>
      <c r="B7" s="0" t="n">
        <f aca="false">SUMIFS(Fact_PreSortWeights!$E$2:$E$6,Fact_PreSortWeights!$C$2:$C$6,"Cafeteria",Fact_PreSortWeights!$B$2:$B$6,"Paper Recycling")</f>
        <v>0</v>
      </c>
      <c r="C7" s="0" t="n">
        <f aca="false">IF($B$9=0,0,B7/$B$9)</f>
        <v>0</v>
      </c>
      <c r="D7" s="0" t="n">
        <f aca="false">SUMIFS(Fact_Extrapolated!$F$2:$F$229,Fact_Extrapolated!$B$2:$B$229,A7,Fact_Extrapolated!$A$2:$A$229,"Cafeteria",Fact_Extrapolated!$G$2:$G$229,1)</f>
        <v>0</v>
      </c>
    </row>
    <row r="8" customFormat="false" ht="15" hidden="false" customHeight="false" outlineLevel="0" collapsed="false">
      <c r="A8" s="0" t="s">
        <v>88</v>
      </c>
      <c r="B8" s="0" t="n">
        <f aca="false">SUMIFS(Fact_PreSortWeights!$E$2:$E$6,Fact_PreSortWeights!$C$2:$C$6,"Cafeteria",Fact_PreSortWeights!$B$2:$B$6,"Terracycle")</f>
        <v>0</v>
      </c>
      <c r="C8" s="0" t="n">
        <f aca="false">IF($B$9=0,0,B8/$B$9)</f>
        <v>0</v>
      </c>
      <c r="D8" s="0" t="n">
        <f aca="false">SUMIFS(Fact_Extrapolated!$F$2:$F$229,Fact_Extrapolated!$B$2:$B$229,A8,Fact_Extrapolated!$A$2:$A$229,"Cafeteria",Fact_Extrapolated!$G$2:$G$229,1)</f>
        <v>0</v>
      </c>
    </row>
    <row r="9" customFormat="false" ht="15" hidden="false" customHeight="false" outlineLevel="0" collapsed="false">
      <c r="A9" s="0" t="s">
        <v>105</v>
      </c>
      <c r="B9" s="0" t="n">
        <f aca="false">SUM(B3:B8)</f>
        <v>610.08</v>
      </c>
      <c r="C9" s="0" t="n">
        <f aca="false">IF($B$9=0,0,B9/$B$9)</f>
        <v>1</v>
      </c>
      <c r="D9" s="0" t="n">
        <f aca="false">SUM(D3:D8)</f>
        <v>390.07</v>
      </c>
      <c r="E9" s="0" t="n">
        <f aca="false">IF(B9=0,0,D9/B9)</f>
        <v>0.63937516391293</v>
      </c>
    </row>
    <row r="10" customFormat="false" ht="15" hidden="false" customHeight="false" outlineLevel="0" collapsed="false"/>
    <row r="11" customFormat="false" ht="15" hidden="false" customHeight="false" outlineLevel="0" collapsed="false">
      <c r="A11" s="0" t="s">
        <v>106</v>
      </c>
    </row>
    <row r="12" customFormat="false" ht="15" hidden="false" customHeight="false" outlineLevel="0" collapsed="false">
      <c r="A12" s="0" t="s">
        <v>107</v>
      </c>
      <c r="B12" s="0" t="s">
        <v>108</v>
      </c>
      <c r="C12" s="0" t="s">
        <v>109</v>
      </c>
      <c r="D12" s="0" t="s">
        <v>102</v>
      </c>
      <c r="E12" s="0" t="s">
        <v>103</v>
      </c>
      <c r="F12" s="0" t="s">
        <v>104</v>
      </c>
      <c r="G12" s="0" t="s">
        <v>110</v>
      </c>
    </row>
    <row r="13" customFormat="false" ht="15" hidden="false" customHeight="false" outlineLevel="0" collapsed="false">
      <c r="A13" s="0" t="s">
        <v>30</v>
      </c>
      <c r="B13" s="0" t="s">
        <v>29</v>
      </c>
      <c r="C13" s="0" t="n">
        <f aca="false">SUMIFS(Fact_Extrapolated!$F$2:$F$229,Fact_Extrapolated!$C$2:$C$229,"FIB01",Fact_Extrapolated!$A$2:$A$229,"Cafeteria")</f>
        <v>82.99</v>
      </c>
      <c r="D13" s="0" t="n">
        <f aca="false">IF($B$9=0,0,C13/$B$9)</f>
        <v>0.136031340152111</v>
      </c>
      <c r="E13" s="0" t="n">
        <f aca="false">SUMIFS(Fact_Extrapolated!$F$2:$F$229,Fact_Extrapolated!$C$2:$C$229,"FIB01",Fact_Extrapolated!$A$2:$A$229,"Cafeteria",Fact_Extrapolated!$G$2:$G$229,1)</f>
        <v>82.99</v>
      </c>
      <c r="F13" s="0" t="n">
        <f aca="false">IF(C13=0,0,E13/C13)</f>
        <v>1</v>
      </c>
      <c r="G13" s="0" t="str">
        <f aca="false">INDEX('Materials Master'!$D$2:$D$20,MATCH(B13,'Materials Master'!$B$2:$B$20,0))</f>
        <v>Yes</v>
      </c>
    </row>
    <row r="14" customFormat="false" ht="15" hidden="false" customHeight="false" outlineLevel="0" collapsed="false">
      <c r="B14" s="0" t="s">
        <v>34</v>
      </c>
      <c r="C14" s="0" t="n">
        <f aca="false">SUMIFS(Fact_Extrapolated!$F$2:$F$229,Fact_Extrapolated!$C$2:$C$229,"FIB02",Fact_Extrapolated!$A$2:$A$229,"Cafeteria")</f>
        <v>5.26</v>
      </c>
      <c r="D14" s="0" t="n">
        <f aca="false">IF($B$9=0,0,C14/$B$9)</f>
        <v>0.00862182008916864</v>
      </c>
      <c r="E14" s="0" t="n">
        <f aca="false">SUMIFS(Fact_Extrapolated!$F$2:$F$229,Fact_Extrapolated!$C$2:$C$229,"FIB02",Fact_Extrapolated!$A$2:$A$229,"Cafeteria",Fact_Extrapolated!$G$2:$G$229,1)</f>
        <v>0</v>
      </c>
      <c r="F14" s="0" t="n">
        <f aca="false">IF(C14=0,0,E14/C14)</f>
        <v>0</v>
      </c>
      <c r="G14" s="0" t="str">
        <f aca="false">INDEX('Materials Master'!$D$2:$D$20,MATCH(B14,'Materials Master'!$B$2:$B$20,0))</f>
        <v>No</v>
      </c>
    </row>
    <row r="15" customFormat="false" ht="15" hidden="false" customHeight="false" outlineLevel="0" collapsed="false">
      <c r="B15" s="0" t="s">
        <v>36</v>
      </c>
      <c r="C15" s="0" t="n">
        <f aca="false">SUMIFS(Fact_Extrapolated!$F$2:$F$229,Fact_Extrapolated!$C$2:$C$229,"FIB03",Fact_Extrapolated!$A$2:$A$229,"Cafeteria")</f>
        <v>6.8</v>
      </c>
      <c r="D15" s="0" t="n">
        <f aca="false">IF($B$9=0,0,C15/$B$9)</f>
        <v>0.0111460792027275</v>
      </c>
      <c r="E15" s="0" t="n">
        <f aca="false">SUMIFS(Fact_Extrapolated!$F$2:$F$229,Fact_Extrapolated!$C$2:$C$229,"FIB03",Fact_Extrapolated!$A$2:$A$229,"Cafeteria",Fact_Extrapolated!$G$2:$G$229,1)</f>
        <v>2.11</v>
      </c>
      <c r="F15" s="0" t="n">
        <f aca="false">IF(C15=0,0,E15/C15)</f>
        <v>0.310294117647059</v>
      </c>
      <c r="G15" s="0" t="str">
        <f aca="false">INDEX('Materials Master'!$D$2:$D$20,MATCH(B15,'Materials Master'!$B$2:$B$20,0))</f>
        <v>Yes</v>
      </c>
    </row>
    <row r="16" customFormat="false" ht="15" hidden="false" customHeight="false" outlineLevel="0" collapsed="false">
      <c r="B16" s="0" t="s">
        <v>38</v>
      </c>
      <c r="C16" s="0" t="n">
        <f aca="false">SUMIFS(Fact_Extrapolated!$F$2:$F$229,Fact_Extrapolated!$C$2:$C$229,"FIB04",Fact_Extrapolated!$A$2:$A$229,"Cafeteria")</f>
        <v>4.02</v>
      </c>
      <c r="D16" s="0" t="n">
        <f aca="false">IF($B$9=0,0,C16/$B$9)</f>
        <v>0.00658929976396538</v>
      </c>
      <c r="E16" s="0" t="n">
        <f aca="false">SUMIFS(Fact_Extrapolated!$F$2:$F$229,Fact_Extrapolated!$C$2:$C$229,"FIB04",Fact_Extrapolated!$A$2:$A$229,"Cafeteria",Fact_Extrapolated!$G$2:$G$229,1)</f>
        <v>0</v>
      </c>
      <c r="F16" s="0" t="n">
        <f aca="false">IF(C16=0,0,E16/C16)</f>
        <v>0</v>
      </c>
      <c r="G16" s="0" t="str">
        <f aca="false">INDEX('Materials Master'!$D$2:$D$20,MATCH(B16,'Materials Master'!$B$2:$B$20,0))</f>
        <v>Yes</v>
      </c>
    </row>
    <row r="17" customFormat="false" ht="15" hidden="false" customHeight="false" outlineLevel="0" collapsed="false">
      <c r="B17" s="0" t="s">
        <v>40</v>
      </c>
      <c r="C17" s="0" t="n">
        <f aca="false">SUMIFS(Fact_Extrapolated!$F$2:$F$229,Fact_Extrapolated!$C$2:$C$229,"FIB05",Fact_Extrapolated!$A$2:$A$229,"Cafeteria")</f>
        <v>1.17</v>
      </c>
      <c r="D17" s="0" t="n">
        <f aca="false">IF($B$9=0,0,C17/$B$9)</f>
        <v>0.00191778127458694</v>
      </c>
      <c r="E17" s="0" t="n">
        <f aca="false">SUMIFS(Fact_Extrapolated!$F$2:$F$229,Fact_Extrapolated!$C$2:$C$229,"FIB05",Fact_Extrapolated!$A$2:$A$229,"Cafeteria",Fact_Extrapolated!$G$2:$G$229,1)</f>
        <v>0</v>
      </c>
      <c r="F17" s="0" t="n">
        <f aca="false">IF(C17=0,0,E17/C17)</f>
        <v>0</v>
      </c>
      <c r="G17" s="0" t="str">
        <f aca="false">INDEX('Materials Master'!$D$2:$D$20,MATCH(B17,'Materials Master'!$B$2:$B$20,0))</f>
        <v>No</v>
      </c>
    </row>
    <row r="18" customFormat="false" ht="15" hidden="false" customHeight="false" outlineLevel="0" collapsed="false">
      <c r="A18" s="0" t="s">
        <v>43</v>
      </c>
      <c r="B18" s="0" t="s">
        <v>42</v>
      </c>
      <c r="C18" s="0" t="n">
        <f aca="false">SUMIFS(Fact_Extrapolated!$F$2:$F$229,Fact_Extrapolated!$C$2:$C$229,"GLA01",Fact_Extrapolated!$A$2:$A$229,"Cafeteria")</f>
        <v>4.78</v>
      </c>
      <c r="D18" s="0" t="n">
        <f aca="false">IF($B$9=0,0,C18/$B$9)</f>
        <v>0.00783503802779963</v>
      </c>
      <c r="E18" s="0" t="n">
        <f aca="false">SUMIFS(Fact_Extrapolated!$F$2:$F$229,Fact_Extrapolated!$C$2:$C$229,"GLA01",Fact_Extrapolated!$A$2:$A$229,"Cafeteria",Fact_Extrapolated!$G$2:$G$229,1)</f>
        <v>0.43</v>
      </c>
      <c r="F18" s="0" t="n">
        <f aca="false">IF(C18=0,0,E18/C18)</f>
        <v>0.0899581589958159</v>
      </c>
      <c r="G18" s="0" t="str">
        <f aca="false">INDEX('Materials Master'!$D$2:$D$20,MATCH(B18,'Materials Master'!$B$2:$B$20,0))</f>
        <v>Yes</v>
      </c>
    </row>
    <row r="19" customFormat="false" ht="15" hidden="false" customHeight="false" outlineLevel="0" collapsed="false">
      <c r="B19" s="0" t="s">
        <v>45</v>
      </c>
      <c r="C19" s="0" t="n">
        <f aca="false">SUMIFS(Fact_Extrapolated!$F$2:$F$229,Fact_Extrapolated!$C$2:$C$229,"GLA02",Fact_Extrapolated!$A$2:$A$229,"Cafeteria")</f>
        <v>0</v>
      </c>
      <c r="D19" s="0" t="n">
        <f aca="false">IF($B$9=0,0,C19/$B$9)</f>
        <v>0</v>
      </c>
      <c r="E19" s="0" t="n">
        <f aca="false">SUMIFS(Fact_Extrapolated!$F$2:$F$229,Fact_Extrapolated!$C$2:$C$229,"GLA02",Fact_Extrapolated!$A$2:$A$229,"Cafeteria",Fact_Extrapolated!$G$2:$G$229,1)</f>
        <v>0</v>
      </c>
      <c r="F19" s="0" t="n">
        <f aca="false">IF(C19=0,0,E19/C19)</f>
        <v>0</v>
      </c>
      <c r="G19" s="0" t="str">
        <f aca="false">INDEX('Materials Master'!$D$2:$D$20,MATCH(B19,'Materials Master'!$B$2:$B$20,0))</f>
        <v>No</v>
      </c>
    </row>
    <row r="20" customFormat="false" ht="15" hidden="false" customHeight="false" outlineLevel="0" collapsed="false">
      <c r="A20" s="0" t="s">
        <v>48</v>
      </c>
      <c r="B20" s="0" t="s">
        <v>47</v>
      </c>
      <c r="C20" s="0" t="n">
        <f aca="false">SUMIFS(Fact_Extrapolated!$F$2:$F$229,Fact_Extrapolated!$C$2:$C$229,"MET01",Fact_Extrapolated!$A$2:$A$229,"Cafeteria")</f>
        <v>1.32</v>
      </c>
      <c r="D20" s="0" t="n">
        <f aca="false">IF($B$9=0,0,C20/$B$9)</f>
        <v>0.00216365066876475</v>
      </c>
      <c r="E20" s="0" t="n">
        <f aca="false">SUMIFS(Fact_Extrapolated!$F$2:$F$229,Fact_Extrapolated!$C$2:$C$229,"MET01",Fact_Extrapolated!$A$2:$A$229,"Cafeteria",Fact_Extrapolated!$G$2:$G$229,1)</f>
        <v>0.21</v>
      </c>
      <c r="F20" s="0" t="n">
        <f aca="false">IF(C20=0,0,E20/C20)</f>
        <v>0.159090909090909</v>
      </c>
      <c r="G20" s="0" t="str">
        <f aca="false">INDEX('Materials Master'!$D$2:$D$20,MATCH(B20,'Materials Master'!$B$2:$B$20,0))</f>
        <v>Yes</v>
      </c>
    </row>
    <row r="21" customFormat="false" ht="15" hidden="false" customHeight="false" outlineLevel="0" collapsed="false">
      <c r="B21" s="0" t="s">
        <v>50</v>
      </c>
      <c r="C21" s="0" t="n">
        <f aca="false">SUMIFS(Fact_Extrapolated!$F$2:$F$229,Fact_Extrapolated!$C$2:$C$229,"MET02",Fact_Extrapolated!$A$2:$A$229,"Cafeteria")</f>
        <v>2.98</v>
      </c>
      <c r="D21" s="0" t="n">
        <f aca="false">IF($B$9=0,0,C21/$B$9)</f>
        <v>0.00488460529766588</v>
      </c>
      <c r="E21" s="0" t="n">
        <f aca="false">SUMIFS(Fact_Extrapolated!$F$2:$F$229,Fact_Extrapolated!$C$2:$C$229,"MET02",Fact_Extrapolated!$A$2:$A$229,"Cafeteria",Fact_Extrapolated!$G$2:$G$229,1)</f>
        <v>0</v>
      </c>
      <c r="F21" s="0" t="n">
        <f aca="false">IF(C21=0,0,E21/C21)</f>
        <v>0</v>
      </c>
      <c r="G21" s="0" t="str">
        <f aca="false">INDEX('Materials Master'!$D$2:$D$20,MATCH(B21,'Materials Master'!$B$2:$B$20,0))</f>
        <v>No</v>
      </c>
    </row>
    <row r="22" customFormat="false" ht="15" hidden="false" customHeight="false" outlineLevel="0" collapsed="false">
      <c r="A22" s="0" t="s">
        <v>53</v>
      </c>
      <c r="B22" s="0" t="s">
        <v>52</v>
      </c>
      <c r="C22" s="0" t="n">
        <f aca="false">SUMIFS(Fact_Extrapolated!$F$2:$F$229,Fact_Extrapolated!$C$2:$C$229,"PLA01",Fact_Extrapolated!$A$2:$A$229,"Cafeteria")</f>
        <v>25.02</v>
      </c>
      <c r="D22" s="0" t="n">
        <f aca="false">IF($B$9=0,0,C22/$B$9)</f>
        <v>0.0410110149488592</v>
      </c>
      <c r="E22" s="0" t="n">
        <f aca="false">SUMIFS(Fact_Extrapolated!$F$2:$F$229,Fact_Extrapolated!$C$2:$C$229,"PLA01",Fact_Extrapolated!$A$2:$A$229,"Cafeteria",Fact_Extrapolated!$G$2:$G$229,1)</f>
        <v>2.34</v>
      </c>
      <c r="F22" s="0" t="n">
        <f aca="false">IF(C22=0,0,E22/C22)</f>
        <v>0.0935251798561151</v>
      </c>
      <c r="G22" s="0" t="str">
        <f aca="false">INDEX('Materials Master'!$D$2:$D$20,MATCH(B22,'Materials Master'!$B$2:$B$20,0))</f>
        <v>Yes</v>
      </c>
    </row>
    <row r="23" customFormat="false" ht="15" hidden="false" customHeight="false" outlineLevel="0" collapsed="false">
      <c r="B23" s="0" t="s">
        <v>55</v>
      </c>
      <c r="C23" s="0" t="n">
        <f aca="false">SUMIFS(Fact_Extrapolated!$F$2:$F$229,Fact_Extrapolated!$C$2:$C$229,"PLA02",Fact_Extrapolated!$A$2:$A$229,"Cafeteria")</f>
        <v>0.53</v>
      </c>
      <c r="D23" s="0" t="n">
        <f aca="false">IF($B$9=0,0,C23/$B$9)</f>
        <v>0.000868738526094939</v>
      </c>
      <c r="E23" s="0" t="n">
        <f aca="false">SUMIFS(Fact_Extrapolated!$F$2:$F$229,Fact_Extrapolated!$C$2:$C$229,"PLA02",Fact_Extrapolated!$A$2:$A$229,"Cafeteria",Fact_Extrapolated!$G$2:$G$229,1)</f>
        <v>0</v>
      </c>
      <c r="F23" s="0" t="n">
        <f aca="false">IF(C23=0,0,E23/C23)</f>
        <v>0</v>
      </c>
      <c r="G23" s="0" t="str">
        <f aca="false">INDEX('Materials Master'!$D$2:$D$20,MATCH(B23,'Materials Master'!$B$2:$B$20,0))</f>
        <v>No</v>
      </c>
    </row>
    <row r="24" customFormat="false" ht="15" hidden="false" customHeight="false" outlineLevel="0" collapsed="false">
      <c r="B24" s="0" t="s">
        <v>57</v>
      </c>
      <c r="C24" s="0" t="n">
        <f aca="false">SUMIFS(Fact_Extrapolated!$F$2:$F$229,Fact_Extrapolated!$C$2:$C$229,"PLA03",Fact_Extrapolated!$A$2:$A$229,"Cafeteria")</f>
        <v>0.96</v>
      </c>
      <c r="D24" s="0" t="n">
        <f aca="false">IF($B$9=0,0,C24/$B$9)</f>
        <v>0.001573564122738</v>
      </c>
      <c r="E24" s="0" t="n">
        <f aca="false">SUMIFS(Fact_Extrapolated!$F$2:$F$229,Fact_Extrapolated!$C$2:$C$229,"PLA03",Fact_Extrapolated!$A$2:$A$229,"Cafeteria",Fact_Extrapolated!$G$2:$G$229,1)</f>
        <v>0</v>
      </c>
      <c r="F24" s="0" t="n">
        <f aca="false">IF(C24=0,0,E24/C24)</f>
        <v>0</v>
      </c>
      <c r="G24" s="0" t="str">
        <f aca="false">INDEX('Materials Master'!$D$2:$D$20,MATCH(B24,'Materials Master'!$B$2:$B$20,0))</f>
        <v>No</v>
      </c>
    </row>
    <row r="25" customFormat="false" ht="15" hidden="false" customHeight="false" outlineLevel="0" collapsed="false">
      <c r="B25" s="0" t="s">
        <v>59</v>
      </c>
      <c r="C25" s="0" t="n">
        <f aca="false">SUMIFS(Fact_Extrapolated!$F$2:$F$229,Fact_Extrapolated!$C$2:$C$229,"PLA04",Fact_Extrapolated!$A$2:$A$229,"Cafeteria")</f>
        <v>9.67</v>
      </c>
      <c r="D25" s="0" t="n">
        <f aca="false">IF($B$9=0,0,C25/$B$9)</f>
        <v>0.0158503802779963</v>
      </c>
      <c r="E25" s="0" t="n">
        <f aca="false">SUMIFS(Fact_Extrapolated!$F$2:$F$229,Fact_Extrapolated!$C$2:$C$229,"PLA04",Fact_Extrapolated!$A$2:$A$229,"Cafeteria",Fact_Extrapolated!$G$2:$G$229,1)</f>
        <v>0</v>
      </c>
      <c r="F25" s="0" t="n">
        <f aca="false">IF(C25=0,0,E25/C25)</f>
        <v>0</v>
      </c>
      <c r="G25" s="0" t="str">
        <f aca="false">INDEX('Materials Master'!$D$2:$D$20,MATCH(B25,'Materials Master'!$B$2:$B$20,0))</f>
        <v>No</v>
      </c>
    </row>
    <row r="26" customFormat="false" ht="15" hidden="false" customHeight="false" outlineLevel="0" collapsed="false">
      <c r="A26" s="0" t="s">
        <v>62</v>
      </c>
      <c r="B26" s="0" t="s">
        <v>61</v>
      </c>
      <c r="C26" s="0" t="n">
        <f aca="false">SUMIFS(Fact_Extrapolated!$F$2:$F$229,Fact_Extrapolated!$C$2:$C$229,"ORG01",Fact_Extrapolated!$A$2:$A$229,"Cafeteria")</f>
        <v>383.35</v>
      </c>
      <c r="D26" s="0" t="n">
        <f aca="false">IF($B$9=0,0,C26/$B$9)</f>
        <v>0.628360215053764</v>
      </c>
      <c r="E26" s="0" t="n">
        <f aca="false">SUMIFS(Fact_Extrapolated!$F$2:$F$229,Fact_Extrapolated!$C$2:$C$229,"ORG01",Fact_Extrapolated!$A$2:$A$229,"Cafeteria",Fact_Extrapolated!$G$2:$G$229,1)</f>
        <v>301.99</v>
      </c>
      <c r="F26" s="0" t="n">
        <f aca="false">IF(C26=0,0,E26/C26)</f>
        <v>0.787765749315247</v>
      </c>
      <c r="G26" s="0" t="str">
        <f aca="false">INDEX('Materials Master'!$D$2:$D$20,MATCH(B26,'Materials Master'!$B$2:$B$20,0))</f>
        <v>No</v>
      </c>
    </row>
    <row r="27" customFormat="false" ht="15" hidden="false" customHeight="false" outlineLevel="0" collapsed="false">
      <c r="B27" s="0" t="s">
        <v>64</v>
      </c>
      <c r="C27" s="0" t="n">
        <f aca="false">SUMIFS(Fact_Extrapolated!$F$2:$F$229,Fact_Extrapolated!$C$2:$C$229,"ORG02",Fact_Extrapolated!$A$2:$A$229,"Cafeteria")</f>
        <v>20.63</v>
      </c>
      <c r="D27" s="0" t="n">
        <f aca="false">IF($B$9=0,0,C27/$B$9)</f>
        <v>0.0338152373459219</v>
      </c>
      <c r="E27" s="0" t="n">
        <f aca="false">SUMIFS(Fact_Extrapolated!$F$2:$F$229,Fact_Extrapolated!$C$2:$C$229,"ORG02",Fact_Extrapolated!$A$2:$A$229,"Cafeteria",Fact_Extrapolated!$G$2:$G$229,1)</f>
        <v>0</v>
      </c>
      <c r="F27" s="0" t="n">
        <f aca="false">IF(C27=0,0,E27/C27)</f>
        <v>0</v>
      </c>
      <c r="G27" s="0" t="str">
        <f aca="false">INDEX('Materials Master'!$D$2:$D$20,MATCH(B27,'Materials Master'!$B$2:$B$20,0))</f>
        <v>No</v>
      </c>
    </row>
    <row r="28" customFormat="false" ht="15" hidden="false" customHeight="false" outlineLevel="0" collapsed="false">
      <c r="B28" s="0" t="s">
        <v>66</v>
      </c>
      <c r="C28" s="0" t="n">
        <f aca="false">SUMIFS(Fact_Extrapolated!$F$2:$F$229,Fact_Extrapolated!$C$2:$C$229,"ORG03",Fact_Extrapolated!$A$2:$A$229,"Cafeteria")</f>
        <v>17.02</v>
      </c>
      <c r="D28" s="0" t="n">
        <f aca="false">IF($B$9=0,0,C28/$B$9)</f>
        <v>0.0278979805927092</v>
      </c>
      <c r="E28" s="0" t="n">
        <f aca="false">SUMIFS(Fact_Extrapolated!$F$2:$F$229,Fact_Extrapolated!$C$2:$C$229,"ORG03",Fact_Extrapolated!$A$2:$A$229,"Cafeteria",Fact_Extrapolated!$G$2:$G$229,1)</f>
        <v>0</v>
      </c>
      <c r="F28" s="0" t="n">
        <f aca="false">IF(C28=0,0,E28/C28)</f>
        <v>0</v>
      </c>
      <c r="G28" s="0" t="str">
        <f aca="false">INDEX('Materials Master'!$D$2:$D$20,MATCH(B28,'Materials Master'!$B$2:$B$20,0))</f>
        <v>No</v>
      </c>
    </row>
    <row r="29" customFormat="false" ht="15" hidden="false" customHeight="false" outlineLevel="0" collapsed="false">
      <c r="A29" s="0" t="s">
        <v>69</v>
      </c>
      <c r="B29" s="0" t="s">
        <v>68</v>
      </c>
      <c r="C29" s="0" t="n">
        <f aca="false">SUMIFS(Fact_Extrapolated!$F$2:$F$229,Fact_Extrapolated!$C$2:$C$229,"UNA01",Fact_Extrapolated!$A$2:$A$229,"Cafeteria")</f>
        <v>0</v>
      </c>
      <c r="D29" s="0" t="n">
        <f aca="false">IF($B$9=0,0,C29/$B$9)</f>
        <v>0</v>
      </c>
      <c r="E29" s="0" t="n">
        <f aca="false">SUMIFS(Fact_Extrapolated!$F$2:$F$229,Fact_Extrapolated!$C$2:$C$229,"UNA01",Fact_Extrapolated!$A$2:$A$229,"Cafeteria",Fact_Extrapolated!$G$2:$G$229,1)</f>
        <v>0</v>
      </c>
      <c r="F29" s="0" t="n">
        <f aca="false">IF(C29=0,0,E29/C29)</f>
        <v>0</v>
      </c>
      <c r="G29" s="0" t="str">
        <f aca="false">INDEX('Materials Master'!$D$2:$D$20,MATCH(B29,'Materials Master'!$B$2:$B$20,0))</f>
        <v>Unacceptable</v>
      </c>
    </row>
    <row r="30" customFormat="false" ht="15" hidden="false" customHeight="false" outlineLevel="0" collapsed="false">
      <c r="B30" s="0" t="s">
        <v>71</v>
      </c>
      <c r="C30" s="0" t="n">
        <f aca="false">SUMIFS(Fact_Extrapolated!$F$2:$F$229,Fact_Extrapolated!$C$2:$C$229,"UNA02",Fact_Extrapolated!$A$2:$A$229,"Cafeteria")</f>
        <v>5.91</v>
      </c>
      <c r="D30" s="0" t="n">
        <f aca="false">IF($B$9=0,0,C30/$B$9)</f>
        <v>0.00968725413060582</v>
      </c>
      <c r="E30" s="0" t="n">
        <f aca="false">SUMIFS(Fact_Extrapolated!$F$2:$F$229,Fact_Extrapolated!$C$2:$C$229,"UNA02",Fact_Extrapolated!$A$2:$A$229,"Cafeteria",Fact_Extrapolated!$G$2:$G$229,1)</f>
        <v>0</v>
      </c>
      <c r="F30" s="0" t="n">
        <f aca="false">IF(C30=0,0,E30/C30)</f>
        <v>0</v>
      </c>
      <c r="G30" s="0" t="str">
        <f aca="false">INDEX('Materials Master'!$D$2:$D$20,MATCH(B30,'Materials Master'!$B$2:$B$20,0))</f>
        <v>Unacceptable</v>
      </c>
    </row>
    <row r="31" customFormat="false" ht="15" hidden="false" customHeight="false" outlineLevel="0" collapsed="false">
      <c r="A31" s="0" t="s">
        <v>74</v>
      </c>
      <c r="B31" s="0" t="s">
        <v>73</v>
      </c>
      <c r="C31" s="0" t="n">
        <f aca="false">SUMIFS(Fact_Extrapolated!$F$2:$F$229,Fact_Extrapolated!$C$2:$C$229,"OTH01",Fact_Extrapolated!$A$2:$A$229,"Cafeteria")</f>
        <v>37.67</v>
      </c>
      <c r="D31" s="0" t="n">
        <f aca="false">IF($B$9=0,0,C31/$B$9)</f>
        <v>0.0617460005245214</v>
      </c>
      <c r="E31" s="0" t="n">
        <f aca="false">SUMIFS(Fact_Extrapolated!$F$2:$F$229,Fact_Extrapolated!$C$2:$C$229,"OTH01",Fact_Extrapolated!$A$2:$A$229,"Cafeteria",Fact_Extrapolated!$G$2:$G$229,1)</f>
        <v>0</v>
      </c>
      <c r="F31" s="0" t="n">
        <f aca="false">IF(C31=0,0,E31/C31)</f>
        <v>0</v>
      </c>
      <c r="G31" s="0" t="str">
        <f aca="false">INDEX('Materials Master'!$D$2:$D$20,MATCH(B31,'Materials Master'!$B$2:$B$20,0))</f>
        <v>No</v>
      </c>
    </row>
    <row r="32" customFormat="false" ht="15" hidden="false" customHeight="false" outlineLevel="0" collapsed="false"/>
    <row r="33" customFormat="false" ht="15" hidden="false" customHeight="false" outlineLevel="0" collapsed="false">
      <c r="A33" s="0" t="s">
        <v>111</v>
      </c>
    </row>
    <row r="34" customFormat="false" ht="15" hidden="false" customHeight="false" outlineLevel="0" collapsed="false">
      <c r="A34" s="0" t="s">
        <v>108</v>
      </c>
      <c r="B34" s="0" t="s">
        <v>109</v>
      </c>
      <c r="C34" s="0" t="s">
        <v>102</v>
      </c>
    </row>
    <row r="35" customFormat="false" ht="15" hidden="false" customHeight="false" outlineLevel="0" collapsed="false">
      <c r="A35" s="0" t="s">
        <v>30</v>
      </c>
      <c r="B35" s="0" t="n">
        <f aca="false">SUM(C13:C17)</f>
        <v>100.24</v>
      </c>
      <c r="C35" s="0" t="n">
        <f aca="false">IF($B$9=0,0,B35/$B$9)</f>
        <v>0.16430632048256</v>
      </c>
    </row>
    <row r="36" customFormat="false" ht="15" hidden="false" customHeight="false" outlineLevel="0" collapsed="false">
      <c r="A36" s="0" t="s">
        <v>43</v>
      </c>
      <c r="B36" s="0" t="n">
        <f aca="false">SUM(C18:C19)</f>
        <v>4.78</v>
      </c>
      <c r="C36" s="0" t="n">
        <f aca="false">IF($B$9=0,0,B36/$B$9)</f>
        <v>0.00783503802779963</v>
      </c>
    </row>
    <row r="37" customFormat="false" ht="15" hidden="false" customHeight="false" outlineLevel="0" collapsed="false">
      <c r="A37" s="0" t="s">
        <v>48</v>
      </c>
      <c r="B37" s="0" t="n">
        <f aca="false">SUM(C20:C21)</f>
        <v>4.3</v>
      </c>
      <c r="C37" s="0" t="n">
        <f aca="false">IF($B$9=0,0,B37/$B$9)</f>
        <v>0.00704825596643063</v>
      </c>
    </row>
    <row r="38" customFormat="false" ht="15" hidden="false" customHeight="false" outlineLevel="0" collapsed="false">
      <c r="A38" s="0" t="s">
        <v>53</v>
      </c>
      <c r="B38" s="0" t="n">
        <f aca="false">SUM(C22:C25)</f>
        <v>36.18</v>
      </c>
      <c r="C38" s="0" t="n">
        <f aca="false">IF($B$9=0,0,B38/$B$9)</f>
        <v>0.0593036978756884</v>
      </c>
    </row>
    <row r="39" customFormat="false" ht="15" hidden="false" customHeight="false" outlineLevel="0" collapsed="false">
      <c r="A39" s="0" t="s">
        <v>62</v>
      </c>
      <c r="B39" s="0" t="n">
        <f aca="false">SUM(C26:C28)</f>
        <v>421</v>
      </c>
      <c r="C39" s="0" t="n">
        <f aca="false">IF($B$9=0,0,B39/$B$9)</f>
        <v>0.690073432992394</v>
      </c>
    </row>
    <row r="40" customFormat="false" ht="15" hidden="false" customHeight="false" outlineLevel="0" collapsed="false">
      <c r="A40" s="0" t="s">
        <v>69</v>
      </c>
      <c r="B40" s="0" t="n">
        <f aca="false">SUM(C29:C30)</f>
        <v>5.91</v>
      </c>
      <c r="C40" s="0" t="n">
        <f aca="false">IF($B$9=0,0,B40/$B$9)</f>
        <v>0.00968725413060582</v>
      </c>
    </row>
    <row r="41" customFormat="false" ht="15" hidden="false" customHeight="false" outlineLevel="0" collapsed="false">
      <c r="A41" s="0" t="s">
        <v>74</v>
      </c>
      <c r="B41" s="0" t="n">
        <f aca="false">SUM(C31:C31)</f>
        <v>37.67</v>
      </c>
      <c r="C41" s="0" t="n">
        <f aca="false">IF($B$9=0,0,B41/$B$9)</f>
        <v>0.0617460005245214</v>
      </c>
    </row>
    <row r="42" customFormat="false" ht="15" hidden="false" customHeight="false" outlineLevel="0" collapsed="false">
      <c r="A42" s="0" t="s">
        <v>112</v>
      </c>
      <c r="B42" s="0" t="n">
        <f aca="false">$B$9-SUM(B35:B41)</f>
        <v>0</v>
      </c>
      <c r="C42" s="0" t="n">
        <f aca="false">IF($B$9=0,0,B42/$B$9)</f>
        <v>0</v>
      </c>
    </row>
    <row r="43" customFormat="false" ht="15" hidden="false" customHeight="false" outlineLevel="0" collapsed="false">
      <c r="A43" s="0" t="s">
        <v>105</v>
      </c>
      <c r="B43" s="0" t="n">
        <f aca="false">SUM(B35:B42)</f>
        <v>610.08</v>
      </c>
      <c r="C43" s="0" t="n">
        <f aca="false">IF(B43=0,0,B43/$B$9)</f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5" hidden="false" customHeight="false" outlineLevel="0" collapsed="false">
      <c r="A1" s="0" t="s">
        <v>99</v>
      </c>
    </row>
    <row r="2" customFormat="false" ht="15" hidden="false" customHeight="false" outlineLevel="0" collapsed="false">
      <c r="A2" s="0" t="s">
        <v>100</v>
      </c>
      <c r="B2" s="0" t="s">
        <v>101</v>
      </c>
      <c r="C2" s="0" t="s">
        <v>102</v>
      </c>
      <c r="D2" s="0" t="s">
        <v>103</v>
      </c>
      <c r="E2" s="0" t="s">
        <v>104</v>
      </c>
    </row>
    <row r="3" customFormat="false" ht="15" hidden="false" customHeight="false" outlineLevel="0" collapsed="false">
      <c r="A3" s="0" t="s">
        <v>83</v>
      </c>
      <c r="B3" s="0" t="n">
        <f aca="false">SUMIFS(Fact_PreSortWeights!$E$2:$E$6,Fact_PreSortWeights!$C$2:$C$6,"Base Building",Fact_PreSortWeights!$B$2:$B$6,"Trash")</f>
        <v>507.98</v>
      </c>
      <c r="C3" s="0" t="n">
        <f aca="false">IF($B$9=0,0,B3/$B$9)</f>
        <v>0.689834053070426</v>
      </c>
      <c r="D3" s="0" t="n">
        <f aca="false">SUMIFS(Fact_Extrapolated!$F$2:$F$229,Fact_Extrapolated!$B$2:$B$229,A3,Fact_Extrapolated!$A$2:$A$229,"Base Building",Fact_Extrapolated!$G$2:$G$229,1)</f>
        <v>0</v>
      </c>
    </row>
    <row r="4" customFormat="false" ht="15" hidden="false" customHeight="false" outlineLevel="0" collapsed="false">
      <c r="A4" s="0" t="s">
        <v>84</v>
      </c>
      <c r="B4" s="0" t="n">
        <f aca="false">SUMIFS(Fact_PreSortWeights!$E$2:$E$6,Fact_PreSortWeights!$C$2:$C$6,"Base Building",Fact_PreSortWeights!$B$2:$B$6,"GMPC Recycling")</f>
        <v>143.8</v>
      </c>
      <c r="C4" s="0" t="n">
        <f aca="false">IF($B$9=0,0,B4/$B$9)</f>
        <v>0.195279611070371</v>
      </c>
      <c r="D4" s="0" t="n">
        <f aca="false">SUMIFS(Fact_Extrapolated!$F$2:$F$229,Fact_Extrapolated!$B$2:$B$229,A4,Fact_Extrapolated!$A$2:$A$229,"Base Building",Fact_Extrapolated!$G$2:$G$229,1)</f>
        <v>71.54</v>
      </c>
    </row>
    <row r="5" customFormat="false" ht="15" hidden="false" customHeight="false" outlineLevel="0" collapsed="false">
      <c r="A5" s="0" t="s">
        <v>85</v>
      </c>
      <c r="B5" s="0" t="n">
        <f aca="false">SUMIFS(Fact_PreSortWeights!$E$2:$E$6,Fact_PreSortWeights!$C$2:$C$6,"Base Building",Fact_PreSortWeights!$B$2:$B$6,"Organics Recycling")</f>
        <v>0</v>
      </c>
      <c r="C5" s="0" t="n">
        <f aca="false">IF($B$9=0,0,B5/$B$9)</f>
        <v>0</v>
      </c>
      <c r="D5" s="0" t="n">
        <f aca="false">SUMIFS(Fact_Extrapolated!$F$2:$F$229,Fact_Extrapolated!$B$2:$B$229,A5,Fact_Extrapolated!$A$2:$A$229,"Base Building",Fact_Extrapolated!$G$2:$G$229,1)</f>
        <v>0</v>
      </c>
    </row>
    <row r="6" customFormat="false" ht="15" hidden="false" customHeight="false" outlineLevel="0" collapsed="false">
      <c r="A6" s="0" t="s">
        <v>86</v>
      </c>
      <c r="B6" s="0" t="n">
        <f aca="false">SUMIFS(Fact_SortedWeights!$E$2:$E$67,Fact_SortedWeights!$C$2:$C$67,"Base Building",Fact_SortedWeights!$B$2:$B$67,"Cardboard Recycling")</f>
        <v>84.6</v>
      </c>
      <c r="C6" s="0" t="n">
        <f aca="false">IF($B$9=0,0,B6/$B$9)</f>
        <v>0.114886335859203</v>
      </c>
      <c r="D6" s="0" t="n">
        <f aca="false">SUMIFS(Fact_Extrapolated!$F$2:$F$229,Fact_Extrapolated!$B$2:$B$229,A6,Fact_Extrapolated!$A$2:$A$229,"Base Building",Fact_Extrapolated!$G$2:$G$229,1)</f>
        <v>84.6</v>
      </c>
    </row>
    <row r="7" customFormat="false" ht="15" hidden="false" customHeight="false" outlineLevel="0" collapsed="false">
      <c r="A7" s="0" t="s">
        <v>87</v>
      </c>
      <c r="B7" s="0" t="n">
        <f aca="false">SUMIFS(Fact_PreSortWeights!$E$2:$E$6,Fact_PreSortWeights!$C$2:$C$6,"Base Building",Fact_PreSortWeights!$B$2:$B$6,"Paper Recycling")</f>
        <v>0</v>
      </c>
      <c r="C7" s="0" t="n">
        <f aca="false">IF($B$9=0,0,B7/$B$9)</f>
        <v>0</v>
      </c>
      <c r="D7" s="0" t="n">
        <f aca="false">SUMIFS(Fact_Extrapolated!$F$2:$F$229,Fact_Extrapolated!$B$2:$B$229,A7,Fact_Extrapolated!$A$2:$A$229,"Base Building",Fact_Extrapolated!$G$2:$G$229,1)</f>
        <v>0</v>
      </c>
    </row>
    <row r="8" customFormat="false" ht="15" hidden="false" customHeight="false" outlineLevel="0" collapsed="false">
      <c r="A8" s="0" t="s">
        <v>88</v>
      </c>
      <c r="B8" s="0" t="n">
        <f aca="false">SUMIFS(Fact_PreSortWeights!$E$2:$E$6,Fact_PreSortWeights!$C$2:$C$6,"Base Building",Fact_PreSortWeights!$B$2:$B$6,"Terracycle")</f>
        <v>0</v>
      </c>
      <c r="C8" s="0" t="n">
        <f aca="false">IF($B$9=0,0,B8/$B$9)</f>
        <v>0</v>
      </c>
      <c r="D8" s="0" t="n">
        <f aca="false">SUMIFS(Fact_Extrapolated!$F$2:$F$229,Fact_Extrapolated!$B$2:$B$229,A8,Fact_Extrapolated!$A$2:$A$229,"Base Building",Fact_Extrapolated!$G$2:$G$229,1)</f>
        <v>0</v>
      </c>
    </row>
    <row r="9" customFormat="false" ht="15" hidden="false" customHeight="false" outlineLevel="0" collapsed="false">
      <c r="A9" s="0" t="s">
        <v>105</v>
      </c>
      <c r="B9" s="0" t="n">
        <f aca="false">SUM(B3:B8)</f>
        <v>736.38</v>
      </c>
      <c r="C9" s="0" t="n">
        <f aca="false">IF($B$9=0,0,B9/$B$9)</f>
        <v>1</v>
      </c>
      <c r="D9" s="0" t="n">
        <f aca="false">SUM(D3:D8)</f>
        <v>156.14</v>
      </c>
      <c r="E9" s="0" t="n">
        <f aca="false">IF(B9=0,0,D9/B9)</f>
        <v>0.212037263369456</v>
      </c>
    </row>
    <row r="10" customFormat="false" ht="15" hidden="false" customHeight="false" outlineLevel="0" collapsed="false"/>
    <row r="11" customFormat="false" ht="15" hidden="false" customHeight="false" outlineLevel="0" collapsed="false">
      <c r="A11" s="0" t="s">
        <v>106</v>
      </c>
    </row>
    <row r="12" customFormat="false" ht="15" hidden="false" customHeight="false" outlineLevel="0" collapsed="false">
      <c r="A12" s="0" t="s">
        <v>107</v>
      </c>
      <c r="B12" s="0" t="s">
        <v>108</v>
      </c>
      <c r="C12" s="0" t="s">
        <v>109</v>
      </c>
      <c r="D12" s="0" t="s">
        <v>102</v>
      </c>
      <c r="E12" s="0" t="s">
        <v>103</v>
      </c>
      <c r="F12" s="0" t="s">
        <v>104</v>
      </c>
      <c r="G12" s="0" t="s">
        <v>110</v>
      </c>
    </row>
    <row r="13" customFormat="false" ht="15" hidden="false" customHeight="false" outlineLevel="0" collapsed="false">
      <c r="A13" s="0" t="s">
        <v>30</v>
      </c>
      <c r="B13" s="0" t="s">
        <v>29</v>
      </c>
      <c r="C13" s="0" t="n">
        <f aca="false">SUMIFS(Fact_Extrapolated!$F$2:$F$229,Fact_Extrapolated!$C$2:$C$229,"FIB01",Fact_Extrapolated!$A$2:$A$229,"Base Building")</f>
        <v>91.6</v>
      </c>
      <c r="D13" s="0" t="n">
        <f aca="false">IF($B$9=0,0,C13/$B$9)</f>
        <v>0.124392297455118</v>
      </c>
      <c r="E13" s="0" t="n">
        <f aca="false">SUMIFS(Fact_Extrapolated!$F$2:$F$229,Fact_Extrapolated!$C$2:$C$229,"FIB01",Fact_Extrapolated!$A$2:$A$229,"Base Building",Fact_Extrapolated!$G$2:$G$229,1)</f>
        <v>91.6</v>
      </c>
      <c r="F13" s="0" t="n">
        <f aca="false">IF(C13=0,0,E13/C13)</f>
        <v>1</v>
      </c>
      <c r="G13" s="0" t="str">
        <f aca="false">INDEX('Materials Master'!$D$2:$D$20,MATCH(B13,'Materials Master'!$B$2:$B$20,0))</f>
        <v>Yes</v>
      </c>
    </row>
    <row r="14" customFormat="false" ht="15" hidden="false" customHeight="false" outlineLevel="0" collapsed="false">
      <c r="B14" s="0" t="s">
        <v>34</v>
      </c>
      <c r="C14" s="0" t="n">
        <f aca="false">SUMIFS(Fact_Extrapolated!$F$2:$F$229,Fact_Extrapolated!$C$2:$C$229,"FIB02",Fact_Extrapolated!$A$2:$A$229,"Base Building")</f>
        <v>0</v>
      </c>
      <c r="D14" s="0" t="n">
        <f aca="false">IF($B$9=0,0,C14/$B$9)</f>
        <v>0</v>
      </c>
      <c r="E14" s="0" t="n">
        <f aca="false">SUMIFS(Fact_Extrapolated!$F$2:$F$229,Fact_Extrapolated!$C$2:$C$229,"FIB02",Fact_Extrapolated!$A$2:$A$229,"Base Building",Fact_Extrapolated!$G$2:$G$229,1)</f>
        <v>0</v>
      </c>
      <c r="F14" s="0" t="n">
        <f aca="false">IF(C14=0,0,E14/C14)</f>
        <v>0</v>
      </c>
      <c r="G14" s="0" t="str">
        <f aca="false">INDEX('Materials Master'!$D$2:$D$20,MATCH(B14,'Materials Master'!$B$2:$B$20,0))</f>
        <v>No</v>
      </c>
    </row>
    <row r="15" customFormat="false" ht="15" hidden="false" customHeight="false" outlineLevel="0" collapsed="false">
      <c r="B15" s="0" t="s">
        <v>36</v>
      </c>
      <c r="C15" s="0" t="n">
        <f aca="false">SUMIFS(Fact_Extrapolated!$F$2:$F$229,Fact_Extrapolated!$C$2:$C$229,"FIB03",Fact_Extrapolated!$A$2:$A$229,"Base Building")</f>
        <v>48.34</v>
      </c>
      <c r="D15" s="0" t="n">
        <f aca="false">IF($B$9=0,0,C15/$B$9)</f>
        <v>0.0656454547923626</v>
      </c>
      <c r="E15" s="0" t="n">
        <f aca="false">SUMIFS(Fact_Extrapolated!$F$2:$F$229,Fact_Extrapolated!$C$2:$C$229,"FIB03",Fact_Extrapolated!$A$2:$A$229,"Base Building",Fact_Extrapolated!$G$2:$G$229,1)</f>
        <v>18.03</v>
      </c>
      <c r="F15" s="0" t="n">
        <f aca="false">IF(C15=0,0,E15/C15)</f>
        <v>0.372983036822507</v>
      </c>
      <c r="G15" s="0" t="str">
        <f aca="false">INDEX('Materials Master'!$D$2:$D$20,MATCH(B15,'Materials Master'!$B$2:$B$20,0))</f>
        <v>Yes</v>
      </c>
    </row>
    <row r="16" customFormat="false" ht="15" hidden="false" customHeight="false" outlineLevel="0" collapsed="false">
      <c r="B16" s="0" t="s">
        <v>38</v>
      </c>
      <c r="C16" s="0" t="n">
        <f aca="false">SUMIFS(Fact_Extrapolated!$F$2:$F$229,Fact_Extrapolated!$C$2:$C$229,"FIB04",Fact_Extrapolated!$A$2:$A$229,"Base Building")</f>
        <v>0.9</v>
      </c>
      <c r="D16" s="0" t="n">
        <f aca="false">IF($B$9=0,0,C16/$B$9)</f>
        <v>0.00122219506233195</v>
      </c>
      <c r="E16" s="0" t="n">
        <f aca="false">SUMIFS(Fact_Extrapolated!$F$2:$F$229,Fact_Extrapolated!$C$2:$C$229,"FIB04",Fact_Extrapolated!$A$2:$A$229,"Base Building",Fact_Extrapolated!$G$2:$G$229,1)</f>
        <v>0.9</v>
      </c>
      <c r="F16" s="0" t="n">
        <f aca="false">IF(C16=0,0,E16/C16)</f>
        <v>1</v>
      </c>
      <c r="G16" s="0" t="str">
        <f aca="false">INDEX('Materials Master'!$D$2:$D$20,MATCH(B16,'Materials Master'!$B$2:$B$20,0))</f>
        <v>Yes</v>
      </c>
    </row>
    <row r="17" customFormat="false" ht="15" hidden="false" customHeight="false" outlineLevel="0" collapsed="false">
      <c r="B17" s="0" t="s">
        <v>40</v>
      </c>
      <c r="C17" s="0" t="n">
        <f aca="false">SUMIFS(Fact_Extrapolated!$F$2:$F$229,Fact_Extrapolated!$C$2:$C$229,"FIB05",Fact_Extrapolated!$A$2:$A$229,"Base Building")</f>
        <v>36.91</v>
      </c>
      <c r="D17" s="0" t="n">
        <f aca="false">IF($B$9=0,0,C17/$B$9)</f>
        <v>0.0501235775007469</v>
      </c>
      <c r="E17" s="0" t="n">
        <f aca="false">SUMIFS(Fact_Extrapolated!$F$2:$F$229,Fact_Extrapolated!$C$2:$C$229,"FIB05",Fact_Extrapolated!$A$2:$A$229,"Base Building",Fact_Extrapolated!$G$2:$G$229,1)</f>
        <v>0</v>
      </c>
      <c r="F17" s="0" t="n">
        <f aca="false">IF(C17=0,0,E17/C17)</f>
        <v>0</v>
      </c>
      <c r="G17" s="0" t="str">
        <f aca="false">INDEX('Materials Master'!$D$2:$D$20,MATCH(B17,'Materials Master'!$B$2:$B$20,0))</f>
        <v>No</v>
      </c>
    </row>
    <row r="18" customFormat="false" ht="15" hidden="false" customHeight="false" outlineLevel="0" collapsed="false">
      <c r="A18" s="0" t="s">
        <v>43</v>
      </c>
      <c r="B18" s="0" t="s">
        <v>42</v>
      </c>
      <c r="C18" s="0" t="n">
        <f aca="false">SUMIFS(Fact_Extrapolated!$F$2:$F$229,Fact_Extrapolated!$C$2:$C$229,"GLA01",Fact_Extrapolated!$A$2:$A$229,"Base Building")</f>
        <v>33.19</v>
      </c>
      <c r="D18" s="0" t="n">
        <f aca="false">IF($B$9=0,0,C18/$B$9)</f>
        <v>0.0450718379097748</v>
      </c>
      <c r="E18" s="0" t="n">
        <f aca="false">SUMIFS(Fact_Extrapolated!$F$2:$F$229,Fact_Extrapolated!$C$2:$C$229,"GLA01",Fact_Extrapolated!$A$2:$A$229,"Base Building",Fact_Extrapolated!$G$2:$G$229,1)</f>
        <v>20.32</v>
      </c>
      <c r="F18" s="0" t="n">
        <f aca="false">IF(C18=0,0,E18/C18)</f>
        <v>0.612232600180777</v>
      </c>
      <c r="G18" s="0" t="str">
        <f aca="false">INDEX('Materials Master'!$D$2:$D$20,MATCH(B18,'Materials Master'!$B$2:$B$20,0))</f>
        <v>Yes</v>
      </c>
    </row>
    <row r="19" customFormat="false" ht="15" hidden="false" customHeight="false" outlineLevel="0" collapsed="false">
      <c r="B19" s="0" t="s">
        <v>45</v>
      </c>
      <c r="C19" s="0" t="n">
        <f aca="false">SUMIFS(Fact_Extrapolated!$F$2:$F$229,Fact_Extrapolated!$C$2:$C$229,"GLA02",Fact_Extrapolated!$A$2:$A$229,"Base Building")</f>
        <v>39.04</v>
      </c>
      <c r="D19" s="0" t="n">
        <f aca="false">IF($B$9=0,0,C19/$B$9)</f>
        <v>0.0530161058149325</v>
      </c>
      <c r="E19" s="0" t="n">
        <f aca="false">SUMIFS(Fact_Extrapolated!$F$2:$F$229,Fact_Extrapolated!$C$2:$C$229,"GLA02",Fact_Extrapolated!$A$2:$A$229,"Base Building",Fact_Extrapolated!$G$2:$G$229,1)</f>
        <v>0</v>
      </c>
      <c r="F19" s="0" t="n">
        <f aca="false">IF(C19=0,0,E19/C19)</f>
        <v>0</v>
      </c>
      <c r="G19" s="0" t="str">
        <f aca="false">INDEX('Materials Master'!$D$2:$D$20,MATCH(B19,'Materials Master'!$B$2:$B$20,0))</f>
        <v>No</v>
      </c>
    </row>
    <row r="20" customFormat="false" ht="15" hidden="false" customHeight="false" outlineLevel="0" collapsed="false">
      <c r="A20" s="0" t="s">
        <v>48</v>
      </c>
      <c r="B20" s="0" t="s">
        <v>47</v>
      </c>
      <c r="C20" s="0" t="n">
        <f aca="false">SUMIFS(Fact_Extrapolated!$F$2:$F$229,Fact_Extrapolated!$C$2:$C$229,"MET01",Fact_Extrapolated!$A$2:$A$229,"Base Building")</f>
        <v>27.16</v>
      </c>
      <c r="D20" s="0" t="n">
        <f aca="false">IF($B$9=0,0,C20/$B$9)</f>
        <v>0.0368831309921508</v>
      </c>
      <c r="E20" s="0" t="n">
        <f aca="false">SUMIFS(Fact_Extrapolated!$F$2:$F$229,Fact_Extrapolated!$C$2:$C$229,"MET01",Fact_Extrapolated!$A$2:$A$229,"Base Building",Fact_Extrapolated!$G$2:$G$229,1)</f>
        <v>7.23</v>
      </c>
      <c r="F20" s="0" t="n">
        <f aca="false">IF(C20=0,0,E20/C20)</f>
        <v>0.26620029455081</v>
      </c>
      <c r="G20" s="0" t="str">
        <f aca="false">INDEX('Materials Master'!$D$2:$D$20,MATCH(B20,'Materials Master'!$B$2:$B$20,0))</f>
        <v>Yes</v>
      </c>
    </row>
    <row r="21" customFormat="false" ht="15" hidden="false" customHeight="false" outlineLevel="0" collapsed="false">
      <c r="B21" s="0" t="s">
        <v>50</v>
      </c>
      <c r="C21" s="0" t="n">
        <f aca="false">SUMIFS(Fact_Extrapolated!$F$2:$F$229,Fact_Extrapolated!$C$2:$C$229,"MET02",Fact_Extrapolated!$A$2:$A$229,"Base Building")</f>
        <v>0</v>
      </c>
      <c r="D21" s="0" t="n">
        <f aca="false">IF($B$9=0,0,C21/$B$9)</f>
        <v>0</v>
      </c>
      <c r="E21" s="0" t="n">
        <f aca="false">SUMIFS(Fact_Extrapolated!$F$2:$F$229,Fact_Extrapolated!$C$2:$C$229,"MET02",Fact_Extrapolated!$A$2:$A$229,"Base Building",Fact_Extrapolated!$G$2:$G$229,1)</f>
        <v>0</v>
      </c>
      <c r="F21" s="0" t="n">
        <f aca="false">IF(C21=0,0,E21/C21)</f>
        <v>0</v>
      </c>
      <c r="G21" s="0" t="str">
        <f aca="false">INDEX('Materials Master'!$D$2:$D$20,MATCH(B21,'Materials Master'!$B$2:$B$20,0))</f>
        <v>No</v>
      </c>
    </row>
    <row r="22" customFormat="false" ht="15" hidden="false" customHeight="false" outlineLevel="0" collapsed="false">
      <c r="A22" s="0" t="s">
        <v>53</v>
      </c>
      <c r="B22" s="0" t="s">
        <v>52</v>
      </c>
      <c r="C22" s="0" t="n">
        <f aca="false">SUMIFS(Fact_Extrapolated!$F$2:$F$229,Fact_Extrapolated!$C$2:$C$229,"PLA01",Fact_Extrapolated!$A$2:$A$229,"Base Building")</f>
        <v>77.44</v>
      </c>
      <c r="D22" s="0" t="n">
        <f aca="false">IF($B$9=0,0,C22/$B$9)</f>
        <v>0.105163095141096</v>
      </c>
      <c r="E22" s="0" t="n">
        <f aca="false">SUMIFS(Fact_Extrapolated!$F$2:$F$229,Fact_Extrapolated!$C$2:$C$229,"PLA01",Fact_Extrapolated!$A$2:$A$229,"Base Building",Fact_Extrapolated!$G$2:$G$229,1)</f>
        <v>18.06</v>
      </c>
      <c r="F22" s="0" t="n">
        <f aca="false">IF(C22=0,0,E22/C22)</f>
        <v>0.233212809917355</v>
      </c>
      <c r="G22" s="0" t="str">
        <f aca="false">INDEX('Materials Master'!$D$2:$D$20,MATCH(B22,'Materials Master'!$B$2:$B$20,0))</f>
        <v>Yes</v>
      </c>
    </row>
    <row r="23" customFormat="false" ht="15" hidden="false" customHeight="false" outlineLevel="0" collapsed="false">
      <c r="B23" s="0" t="s">
        <v>55</v>
      </c>
      <c r="C23" s="0" t="n">
        <f aca="false">SUMIFS(Fact_Extrapolated!$F$2:$F$229,Fact_Extrapolated!$C$2:$C$229,"PLA02",Fact_Extrapolated!$A$2:$A$229,"Base Building")</f>
        <v>9.48</v>
      </c>
      <c r="D23" s="0" t="n">
        <f aca="false">IF($B$9=0,0,C23/$B$9)</f>
        <v>0.0128737879898965</v>
      </c>
      <c r="E23" s="0" t="n">
        <f aca="false">SUMIFS(Fact_Extrapolated!$F$2:$F$229,Fact_Extrapolated!$C$2:$C$229,"PLA02",Fact_Extrapolated!$A$2:$A$229,"Base Building",Fact_Extrapolated!$G$2:$G$229,1)</f>
        <v>0</v>
      </c>
      <c r="F23" s="0" t="n">
        <f aca="false">IF(C23=0,0,E23/C23)</f>
        <v>0</v>
      </c>
      <c r="G23" s="0" t="str">
        <f aca="false">INDEX('Materials Master'!$D$2:$D$20,MATCH(B23,'Materials Master'!$B$2:$B$20,0))</f>
        <v>No</v>
      </c>
    </row>
    <row r="24" customFormat="false" ht="15" hidden="false" customHeight="false" outlineLevel="0" collapsed="false">
      <c r="B24" s="0" t="s">
        <v>57</v>
      </c>
      <c r="C24" s="0" t="n">
        <f aca="false">SUMIFS(Fact_Extrapolated!$F$2:$F$229,Fact_Extrapolated!$C$2:$C$229,"PLA03",Fact_Extrapolated!$A$2:$A$229,"Base Building")</f>
        <v>6.3</v>
      </c>
      <c r="D24" s="0" t="n">
        <f aca="false">IF($B$9=0,0,C24/$B$9)</f>
        <v>0.00855536543632364</v>
      </c>
      <c r="E24" s="0" t="n">
        <f aca="false">SUMIFS(Fact_Extrapolated!$F$2:$F$229,Fact_Extrapolated!$C$2:$C$229,"PLA03",Fact_Extrapolated!$A$2:$A$229,"Base Building",Fact_Extrapolated!$G$2:$G$229,1)</f>
        <v>0</v>
      </c>
      <c r="F24" s="0" t="n">
        <f aca="false">IF(C24=0,0,E24/C24)</f>
        <v>0</v>
      </c>
      <c r="G24" s="0" t="str">
        <f aca="false">INDEX('Materials Master'!$D$2:$D$20,MATCH(B24,'Materials Master'!$B$2:$B$20,0))</f>
        <v>No</v>
      </c>
    </row>
    <row r="25" customFormat="false" ht="15" hidden="false" customHeight="false" outlineLevel="0" collapsed="false">
      <c r="B25" s="0" t="s">
        <v>59</v>
      </c>
      <c r="C25" s="0" t="n">
        <f aca="false">SUMIFS(Fact_Extrapolated!$F$2:$F$229,Fact_Extrapolated!$C$2:$C$229,"PLA04",Fact_Extrapolated!$A$2:$A$229,"Base Building")</f>
        <v>56.52</v>
      </c>
      <c r="D25" s="0" t="n">
        <f aca="false">IF($B$9=0,0,C25/$B$9)</f>
        <v>0.0767538499144463</v>
      </c>
      <c r="E25" s="0" t="n">
        <f aca="false">SUMIFS(Fact_Extrapolated!$F$2:$F$229,Fact_Extrapolated!$C$2:$C$229,"PLA04",Fact_Extrapolated!$A$2:$A$229,"Base Building",Fact_Extrapolated!$G$2:$G$229,1)</f>
        <v>0</v>
      </c>
      <c r="F25" s="0" t="n">
        <f aca="false">IF(C25=0,0,E25/C25)</f>
        <v>0</v>
      </c>
      <c r="G25" s="0" t="str">
        <f aca="false">INDEX('Materials Master'!$D$2:$D$20,MATCH(B25,'Materials Master'!$B$2:$B$20,0))</f>
        <v>No</v>
      </c>
    </row>
    <row r="26" customFormat="false" ht="15" hidden="false" customHeight="false" outlineLevel="0" collapsed="false">
      <c r="A26" s="0" t="s">
        <v>62</v>
      </c>
      <c r="B26" s="0" t="s">
        <v>61</v>
      </c>
      <c r="C26" s="0" t="n">
        <f aca="false">SUMIFS(Fact_Extrapolated!$F$2:$F$229,Fact_Extrapolated!$C$2:$C$229,"ORG01",Fact_Extrapolated!$A$2:$A$229,"Base Building")</f>
        <v>110.39</v>
      </c>
      <c r="D26" s="0" t="n">
        <f aca="false">IF($B$9=0,0,C26/$B$9)</f>
        <v>0.149909014367582</v>
      </c>
      <c r="E26" s="0" t="n">
        <f aca="false">SUMIFS(Fact_Extrapolated!$F$2:$F$229,Fact_Extrapolated!$C$2:$C$229,"ORG01",Fact_Extrapolated!$A$2:$A$229,"Base Building",Fact_Extrapolated!$G$2:$G$229,1)</f>
        <v>0</v>
      </c>
      <c r="F26" s="0" t="n">
        <f aca="false">IF(C26=0,0,E26/C26)</f>
        <v>0</v>
      </c>
      <c r="G26" s="0" t="str">
        <f aca="false">INDEX('Materials Master'!$D$2:$D$20,MATCH(B26,'Materials Master'!$B$2:$B$20,0))</f>
        <v>No</v>
      </c>
    </row>
    <row r="27" customFormat="false" ht="15" hidden="false" customHeight="false" outlineLevel="0" collapsed="false">
      <c r="B27" s="0" t="s">
        <v>64</v>
      </c>
      <c r="C27" s="0" t="n">
        <f aca="false">SUMIFS(Fact_Extrapolated!$F$2:$F$229,Fact_Extrapolated!$C$2:$C$229,"ORG02",Fact_Extrapolated!$A$2:$A$229,"Base Building")</f>
        <v>89.69</v>
      </c>
      <c r="D27" s="0" t="n">
        <f aca="false">IF($B$9=0,0,C27/$B$9)</f>
        <v>0.121798527933947</v>
      </c>
      <c r="E27" s="0" t="n">
        <f aca="false">SUMIFS(Fact_Extrapolated!$F$2:$F$229,Fact_Extrapolated!$C$2:$C$229,"ORG02",Fact_Extrapolated!$A$2:$A$229,"Base Building",Fact_Extrapolated!$G$2:$G$229,1)</f>
        <v>0</v>
      </c>
      <c r="F27" s="0" t="n">
        <f aca="false">IF(C27=0,0,E27/C27)</f>
        <v>0</v>
      </c>
      <c r="G27" s="0" t="str">
        <f aca="false">INDEX('Materials Master'!$D$2:$D$20,MATCH(B27,'Materials Master'!$B$2:$B$20,0))</f>
        <v>No</v>
      </c>
    </row>
    <row r="28" customFormat="false" ht="15" hidden="false" customHeight="false" outlineLevel="0" collapsed="false">
      <c r="B28" s="0" t="s">
        <v>66</v>
      </c>
      <c r="C28" s="0" t="n">
        <f aca="false">SUMIFS(Fact_Extrapolated!$F$2:$F$229,Fact_Extrapolated!$C$2:$C$229,"ORG03",Fact_Extrapolated!$A$2:$A$229,"Base Building")</f>
        <v>2.94</v>
      </c>
      <c r="D28" s="0" t="n">
        <f aca="false">IF($B$9=0,0,C28/$B$9)</f>
        <v>0.00399250387028436</v>
      </c>
      <c r="E28" s="0" t="n">
        <f aca="false">SUMIFS(Fact_Extrapolated!$F$2:$F$229,Fact_Extrapolated!$C$2:$C$229,"ORG03",Fact_Extrapolated!$A$2:$A$229,"Base Building",Fact_Extrapolated!$G$2:$G$229,1)</f>
        <v>0</v>
      </c>
      <c r="F28" s="0" t="n">
        <f aca="false">IF(C28=0,0,E28/C28)</f>
        <v>0</v>
      </c>
      <c r="G28" s="0" t="str">
        <f aca="false">INDEX('Materials Master'!$D$2:$D$20,MATCH(B28,'Materials Master'!$B$2:$B$20,0))</f>
        <v>No</v>
      </c>
    </row>
    <row r="29" customFormat="false" ht="15" hidden="false" customHeight="false" outlineLevel="0" collapsed="false">
      <c r="A29" s="0" t="s">
        <v>69</v>
      </c>
      <c r="B29" s="0" t="s">
        <v>68</v>
      </c>
      <c r="C29" s="0" t="n">
        <f aca="false">SUMIFS(Fact_Extrapolated!$F$2:$F$229,Fact_Extrapolated!$C$2:$C$229,"UNA01",Fact_Extrapolated!$A$2:$A$229,"Base Building")</f>
        <v>4.15</v>
      </c>
      <c r="D29" s="0" t="n">
        <f aca="false">IF($B$9=0,0,C29/$B$9)</f>
        <v>0.00563567723186398</v>
      </c>
      <c r="E29" s="0" t="n">
        <f aca="false">SUMIFS(Fact_Extrapolated!$F$2:$F$229,Fact_Extrapolated!$C$2:$C$229,"UNA01",Fact_Extrapolated!$A$2:$A$229,"Base Building",Fact_Extrapolated!$G$2:$G$229,1)</f>
        <v>0</v>
      </c>
      <c r="F29" s="0" t="n">
        <f aca="false">IF(C29=0,0,E29/C29)</f>
        <v>0</v>
      </c>
      <c r="G29" s="0" t="str">
        <f aca="false">INDEX('Materials Master'!$D$2:$D$20,MATCH(B29,'Materials Master'!$B$2:$B$20,0))</f>
        <v>Unacceptable</v>
      </c>
    </row>
    <row r="30" customFormat="false" ht="15" hidden="false" customHeight="false" outlineLevel="0" collapsed="false">
      <c r="B30" s="0" t="s">
        <v>71</v>
      </c>
      <c r="C30" s="0" t="n">
        <f aca="false">SUMIFS(Fact_Extrapolated!$F$2:$F$229,Fact_Extrapolated!$C$2:$C$229,"UNA02",Fact_Extrapolated!$A$2:$A$229,"Base Building")</f>
        <v>40.33</v>
      </c>
      <c r="D30" s="0" t="n">
        <f aca="false">IF($B$9=0,0,C30/$B$9)</f>
        <v>0.0547679187376083</v>
      </c>
      <c r="E30" s="0" t="n">
        <f aca="false">SUMIFS(Fact_Extrapolated!$F$2:$F$229,Fact_Extrapolated!$C$2:$C$229,"UNA02",Fact_Extrapolated!$A$2:$A$229,"Base Building",Fact_Extrapolated!$G$2:$G$229,1)</f>
        <v>0</v>
      </c>
      <c r="F30" s="0" t="n">
        <f aca="false">IF(C30=0,0,E30/C30)</f>
        <v>0</v>
      </c>
      <c r="G30" s="0" t="str">
        <f aca="false">INDEX('Materials Master'!$D$2:$D$20,MATCH(B30,'Materials Master'!$B$2:$B$20,0))</f>
        <v>Unacceptable</v>
      </c>
    </row>
    <row r="31" customFormat="false" ht="15" hidden="false" customHeight="false" outlineLevel="0" collapsed="false">
      <c r="A31" s="0" t="s">
        <v>74</v>
      </c>
      <c r="B31" s="0" t="s">
        <v>73</v>
      </c>
      <c r="C31" s="0" t="n">
        <f aca="false">SUMIFS(Fact_Extrapolated!$F$2:$F$229,Fact_Extrapolated!$C$2:$C$229,"OTH01",Fact_Extrapolated!$A$2:$A$229,"Base Building")</f>
        <v>62</v>
      </c>
      <c r="D31" s="0" t="n">
        <f aca="false">IF($B$9=0,0,C31/$B$9)</f>
        <v>0.0841956598495342</v>
      </c>
      <c r="E31" s="0" t="n">
        <f aca="false">SUMIFS(Fact_Extrapolated!$F$2:$F$229,Fact_Extrapolated!$C$2:$C$229,"OTH01",Fact_Extrapolated!$A$2:$A$229,"Base Building",Fact_Extrapolated!$G$2:$G$229,1)</f>
        <v>0</v>
      </c>
      <c r="F31" s="0" t="n">
        <f aca="false">IF(C31=0,0,E31/C31)</f>
        <v>0</v>
      </c>
      <c r="G31" s="0" t="str">
        <f aca="false">INDEX('Materials Master'!$D$2:$D$20,MATCH(B31,'Materials Master'!$B$2:$B$20,0))</f>
        <v>No</v>
      </c>
    </row>
    <row r="32" customFormat="false" ht="15" hidden="false" customHeight="false" outlineLevel="0" collapsed="false"/>
    <row r="33" customFormat="false" ht="15" hidden="false" customHeight="false" outlineLevel="0" collapsed="false">
      <c r="A33" s="0" t="s">
        <v>111</v>
      </c>
    </row>
    <row r="34" customFormat="false" ht="15" hidden="false" customHeight="false" outlineLevel="0" collapsed="false">
      <c r="A34" s="0" t="s">
        <v>108</v>
      </c>
      <c r="B34" s="0" t="s">
        <v>109</v>
      </c>
      <c r="C34" s="0" t="s">
        <v>102</v>
      </c>
    </row>
    <row r="35" customFormat="false" ht="15" hidden="false" customHeight="false" outlineLevel="0" collapsed="false">
      <c r="A35" s="0" t="s">
        <v>30</v>
      </c>
      <c r="B35" s="0" t="n">
        <f aca="false">SUM(C13:C17)</f>
        <v>177.75</v>
      </c>
      <c r="C35" s="0" t="n">
        <f aca="false">IF($B$9=0,0,B35/$B$9)</f>
        <v>0.24138352481056</v>
      </c>
    </row>
    <row r="36" customFormat="false" ht="15" hidden="false" customHeight="false" outlineLevel="0" collapsed="false">
      <c r="A36" s="0" t="s">
        <v>43</v>
      </c>
      <c r="B36" s="0" t="n">
        <f aca="false">SUM(C18:C19)</f>
        <v>72.23</v>
      </c>
      <c r="C36" s="0" t="n">
        <f aca="false">IF($B$9=0,0,B36/$B$9)</f>
        <v>0.0980879437247073</v>
      </c>
    </row>
    <row r="37" customFormat="false" ht="15" hidden="false" customHeight="false" outlineLevel="0" collapsed="false">
      <c r="A37" s="0" t="s">
        <v>48</v>
      </c>
      <c r="B37" s="0" t="n">
        <f aca="false">SUM(C20:C21)</f>
        <v>27.16</v>
      </c>
      <c r="C37" s="0" t="n">
        <f aca="false">IF($B$9=0,0,B37/$B$9)</f>
        <v>0.0368831309921508</v>
      </c>
    </row>
    <row r="38" customFormat="false" ht="15" hidden="false" customHeight="false" outlineLevel="0" collapsed="false">
      <c r="A38" s="0" t="s">
        <v>53</v>
      </c>
      <c r="B38" s="0" t="n">
        <f aca="false">SUM(C22:C25)</f>
        <v>149.74</v>
      </c>
      <c r="C38" s="0" t="n">
        <f aca="false">IF($B$9=0,0,B38/$B$9)</f>
        <v>0.203346098481762</v>
      </c>
    </row>
    <row r="39" customFormat="false" ht="15" hidden="false" customHeight="false" outlineLevel="0" collapsed="false">
      <c r="A39" s="0" t="s">
        <v>62</v>
      </c>
      <c r="B39" s="0" t="n">
        <f aca="false">SUM(C26:C28)</f>
        <v>203.02</v>
      </c>
      <c r="C39" s="0" t="n">
        <f aca="false">IF($B$9=0,0,B39/$B$9)</f>
        <v>0.275700046171813</v>
      </c>
    </row>
    <row r="40" customFormat="false" ht="15" hidden="false" customHeight="false" outlineLevel="0" collapsed="false">
      <c r="A40" s="0" t="s">
        <v>69</v>
      </c>
      <c r="B40" s="0" t="n">
        <f aca="false">SUM(C29:C30)</f>
        <v>44.48</v>
      </c>
      <c r="C40" s="0" t="n">
        <f aca="false">IF($B$9=0,0,B40/$B$9)</f>
        <v>0.0604035959694723</v>
      </c>
    </row>
    <row r="41" customFormat="false" ht="15" hidden="false" customHeight="false" outlineLevel="0" collapsed="false">
      <c r="A41" s="0" t="s">
        <v>74</v>
      </c>
      <c r="B41" s="0" t="n">
        <f aca="false">SUM(C31:C31)</f>
        <v>62</v>
      </c>
      <c r="C41" s="0" t="n">
        <f aca="false">IF($B$9=0,0,B41/$B$9)</f>
        <v>0.0841956598495342</v>
      </c>
    </row>
    <row r="42" customFormat="false" ht="15" hidden="false" customHeight="false" outlineLevel="0" collapsed="false">
      <c r="A42" s="0" t="s">
        <v>112</v>
      </c>
      <c r="B42" s="0" t="n">
        <f aca="false">$B$9-SUM(B35:B41)</f>
        <v>0</v>
      </c>
      <c r="C42" s="0" t="n">
        <f aca="false">IF($B$9=0,0,B42/$B$9)</f>
        <v>0</v>
      </c>
    </row>
    <row r="43" customFormat="false" ht="15" hidden="false" customHeight="false" outlineLevel="0" collapsed="false">
      <c r="A43" s="0" t="s">
        <v>105</v>
      </c>
      <c r="B43" s="0" t="n">
        <f aca="false">SUM(B35:B42)</f>
        <v>736.38</v>
      </c>
      <c r="C43" s="0" t="n">
        <f aca="false">IF(B43=0,0,B43/$B$9)</f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5" hidden="false" customHeight="false" outlineLevel="0" collapsed="false">
      <c r="A1" s="0" t="s">
        <v>119</v>
      </c>
    </row>
    <row r="2" customFormat="false" ht="15" hidden="false" customHeight="false" outlineLevel="0" collapsed="false"/>
    <row r="3" customFormat="false" ht="15" hidden="false" customHeight="false" outlineLevel="0" collapsed="false">
      <c r="A3" s="0" t="s">
        <v>120</v>
      </c>
    </row>
    <row r="4" customFormat="false" ht="15" hidden="false" customHeight="false" outlineLevel="0" collapsed="false"/>
    <row r="5" customFormat="false" ht="15" hidden="false" customHeight="false" outlineLevel="0" collapsed="false">
      <c r="A5" s="0" t="s">
        <v>121</v>
      </c>
    </row>
    <row r="6" customFormat="false" ht="15" hidden="false" customHeight="false" outlineLevel="0" collapsed="false"/>
    <row r="7" customFormat="false" ht="15" hidden="false" customHeight="false" outlineLevel="0" collapsed="false">
      <c r="A7" s="0" t="s">
        <v>122</v>
      </c>
    </row>
    <row r="8" customFormat="false" ht="15" hidden="false" customHeight="false" outlineLevel="0" collapsed="false"/>
    <row r="9" customFormat="false" ht="15" hidden="false" customHeight="false" outlineLevel="0" collapsed="false">
      <c r="A9" s="0" t="s">
        <v>123</v>
      </c>
    </row>
    <row r="10" customFormat="false" ht="15" hidden="false" customHeight="false" outlineLevel="0" collapsed="false"/>
    <row r="11" customFormat="false" ht="15" hidden="false" customHeight="false" outlineLevel="0" collapsed="false">
      <c r="A11" s="0" t="s">
        <v>124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5" hidden="false" customHeight="false" outlineLevel="0" collapsed="false">
      <c r="A1" s="0" t="s">
        <v>125</v>
      </c>
    </row>
    <row r="2" customFormat="false" ht="15" hidden="false" customHeight="false" outlineLevel="0" collapsed="false"/>
    <row r="3" customFormat="false" ht="15" hidden="false" customHeight="false" outlineLevel="0" collapsed="false">
      <c r="A3" s="0" t="s">
        <v>91</v>
      </c>
      <c r="B3" s="0" t="s">
        <v>90</v>
      </c>
      <c r="C3" s="0" t="s">
        <v>126</v>
      </c>
      <c r="D3" s="0" t="s">
        <v>127</v>
      </c>
      <c r="E3" s="0" t="s">
        <v>128</v>
      </c>
      <c r="F3" s="0" t="s">
        <v>129</v>
      </c>
      <c r="G3" s="0" t="s">
        <v>130</v>
      </c>
    </row>
    <row r="4" customFormat="false" ht="15" hidden="false" customHeight="false" outlineLevel="0" collapsed="false">
      <c r="A4" s="0" t="s">
        <v>79</v>
      </c>
      <c r="B4" s="0" t="s">
        <v>83</v>
      </c>
      <c r="C4" s="0" t="n">
        <f aca="false">SUMIFS(Fact_PreSortWeights!$E$2:$E$6,Fact_PreSortWeights!$C$2:$C$6,A4,Fact_PreSortWeights!$B$2:$B$6,B4)</f>
        <v>198.9</v>
      </c>
      <c r="D4" s="0" t="n">
        <f aca="false">SUMIFS(Fact_SortedWeights!$E$2:$E$67,Fact_SortedWeights!$C$2:$C$67,A4,Fact_SortedWeights!$B$2:$B$67,B4)</f>
        <v>198.9</v>
      </c>
      <c r="E4" s="0" t="n">
        <f aca="false">D4-C4</f>
        <v>0</v>
      </c>
      <c r="F4" s="0" t="n">
        <f aca="false">IF(C4=0,"n/a",E4/C4)</f>
        <v>0</v>
      </c>
      <c r="G4" s="0" t="str">
        <f aca="false">IF(AND(C4=0,D4=0),"no data yet",IF(C4=0,"no presort data",IF(D4=0,"NOT YET SORTED",IF(ABS(F4)&gt;0.15,"CHECK &gt;15% variance","OK"))))</f>
        <v>OK</v>
      </c>
    </row>
    <row r="5" customFormat="false" ht="15" hidden="false" customHeight="false" outlineLevel="0" collapsed="false">
      <c r="A5" s="0" t="s">
        <v>79</v>
      </c>
      <c r="B5" s="0" t="s">
        <v>84</v>
      </c>
      <c r="C5" s="0" t="n">
        <f aca="false">SUMIFS(Fact_PreSortWeights!$E$2:$E$6,Fact_PreSortWeights!$C$2:$C$6,A5,Fact_PreSortWeights!$B$2:$B$6,B5)</f>
        <v>17.79</v>
      </c>
      <c r="D5" s="0" t="n">
        <f aca="false">SUMIFS(Fact_SortedWeights!$E$2:$E$67,Fact_SortedWeights!$C$2:$C$67,A5,Fact_SortedWeights!$B$2:$B$67,B5)</f>
        <v>17.79</v>
      </c>
      <c r="E5" s="0" t="n">
        <f aca="false">D5-C5</f>
        <v>0</v>
      </c>
      <c r="F5" s="0" t="n">
        <f aca="false">IF(C5=0,"n/a",E5/C5)</f>
        <v>0</v>
      </c>
      <c r="G5" s="0" t="str">
        <f aca="false">IF(AND(C5=0,D5=0),"no data yet",IF(C5=0,"no presort data",IF(D5=0,"NOT YET SORTED",IF(ABS(F5)&gt;0.15,"CHECK &gt;15% variance","OK"))))</f>
        <v>OK</v>
      </c>
    </row>
    <row r="6" customFormat="false" ht="15" hidden="false" customHeight="false" outlineLevel="0" collapsed="false">
      <c r="A6" s="0" t="s">
        <v>79</v>
      </c>
      <c r="B6" s="0" t="s">
        <v>85</v>
      </c>
      <c r="C6" s="0" t="n">
        <f aca="false">SUMIFS(Fact_PreSortWeights!$E$2:$E$6,Fact_PreSortWeights!$C$2:$C$6,A6,Fact_PreSortWeights!$B$2:$B$6,B6)</f>
        <v>305.99</v>
      </c>
      <c r="D6" s="0" t="n">
        <f aca="false">SUMIFS(Fact_SortedWeights!$E$2:$E$67,Fact_SortedWeights!$C$2:$C$67,A6,Fact_SortedWeights!$B$2:$B$67,B6)</f>
        <v>305.99</v>
      </c>
      <c r="E6" s="0" t="n">
        <f aca="false">D6-C6</f>
        <v>0</v>
      </c>
      <c r="F6" s="0" t="n">
        <f aca="false">IF(C6=0,"n/a",E6/C6)</f>
        <v>0</v>
      </c>
      <c r="G6" s="0" t="str">
        <f aca="false">IF(AND(C6=0,D6=0),"no data yet",IF(C6=0,"no presort data",IF(D6=0,"NOT YET SORTED",IF(ABS(F6)&gt;0.15,"CHECK &gt;15% variance","OK"))))</f>
        <v>OK</v>
      </c>
    </row>
    <row r="7" customFormat="false" ht="15" hidden="false" customHeight="false" outlineLevel="0" collapsed="false">
      <c r="A7" s="0" t="s">
        <v>79</v>
      </c>
      <c r="B7" s="0" t="s">
        <v>86</v>
      </c>
      <c r="C7" s="0" t="n">
        <f aca="false">SUMIFS(Fact_PreSortWeights!$E$2:$E$6,Fact_PreSortWeights!$C$2:$C$6,A7,Fact_PreSortWeights!$B$2:$B$6,B7)</f>
        <v>0</v>
      </c>
      <c r="D7" s="0" t="n">
        <f aca="false">SUMIFS(Fact_SortedWeights!$E$2:$E$67,Fact_SortedWeights!$C$2:$C$67,A7,Fact_SortedWeights!$B$2:$B$67,B7)</f>
        <v>87.4</v>
      </c>
      <c r="E7" s="0" t="n">
        <f aca="false">D7-C7</f>
        <v>87.4</v>
      </c>
      <c r="F7" s="0" t="str">
        <f aca="false">IF(C7=0,"n/a",E7/C7)</f>
        <v>n/a</v>
      </c>
      <c r="G7" s="0" t="str">
        <f aca="false">IF(AND(C7=0,D7=0),"no data yet",IF(C7=0,"no presort data",IF(D7=0,"NOT YET SORTED",IF(ABS(F7)&gt;0.15,"CHECK &gt;15% variance","OK"))))</f>
        <v>no presort data</v>
      </c>
    </row>
    <row r="8" customFormat="false" ht="15" hidden="false" customHeight="false" outlineLevel="0" collapsed="false">
      <c r="A8" s="0" t="s">
        <v>79</v>
      </c>
      <c r="B8" s="0" t="s">
        <v>87</v>
      </c>
      <c r="C8" s="0" t="n">
        <f aca="false">SUMIFS(Fact_PreSortWeights!$E$2:$E$6,Fact_PreSortWeights!$C$2:$C$6,A8,Fact_PreSortWeights!$B$2:$B$6,B8)</f>
        <v>0</v>
      </c>
      <c r="D8" s="0" t="n">
        <f aca="false">SUMIFS(Fact_SortedWeights!$E$2:$E$67,Fact_SortedWeights!$C$2:$C$67,A8,Fact_SortedWeights!$B$2:$B$67,B8)</f>
        <v>0</v>
      </c>
      <c r="E8" s="0" t="n">
        <f aca="false">D8-C8</f>
        <v>0</v>
      </c>
      <c r="F8" s="0" t="str">
        <f aca="false">IF(C8=0,"n/a",E8/C8)</f>
        <v>n/a</v>
      </c>
      <c r="G8" s="0" t="str">
        <f aca="false">IF(AND(C8=0,D8=0),"no data yet",IF(C8=0,"no presort data",IF(D8=0,"NOT YET SORTED",IF(ABS(F8)&gt;0.15,"CHECK &gt;15% variance","OK"))))</f>
        <v>no data yet</v>
      </c>
    </row>
    <row r="9" customFormat="false" ht="15" hidden="false" customHeight="false" outlineLevel="0" collapsed="false">
      <c r="A9" s="0" t="s">
        <v>79</v>
      </c>
      <c r="B9" s="0" t="s">
        <v>88</v>
      </c>
      <c r="C9" s="0" t="n">
        <f aca="false">SUMIFS(Fact_PreSortWeights!$E$2:$E$6,Fact_PreSortWeights!$C$2:$C$6,A9,Fact_PreSortWeights!$B$2:$B$6,B9)</f>
        <v>0</v>
      </c>
      <c r="D9" s="0" t="n">
        <f aca="false">SUMIFS(Fact_SortedWeights!$E$2:$E$67,Fact_SortedWeights!$C$2:$C$67,A9,Fact_SortedWeights!$B$2:$B$67,B9)</f>
        <v>0</v>
      </c>
      <c r="E9" s="0" t="n">
        <f aca="false">D9-C9</f>
        <v>0</v>
      </c>
      <c r="F9" s="0" t="str">
        <f aca="false">IF(C9=0,"n/a",E9/C9)</f>
        <v>n/a</v>
      </c>
      <c r="G9" s="0" t="str">
        <f aca="false">IF(AND(C9=0,D9=0),"no data yet",IF(C9=0,"no presort data",IF(D9=0,"NOT YET SORTED",IF(ABS(F9)&gt;0.15,"CHECK &gt;15% variance","OK"))))</f>
        <v>no data yet</v>
      </c>
    </row>
    <row r="10" customFormat="false" ht="15" hidden="false" customHeight="false" outlineLevel="0" collapsed="false">
      <c r="A10" s="0" t="s">
        <v>81</v>
      </c>
      <c r="B10" s="0" t="s">
        <v>83</v>
      </c>
      <c r="C10" s="0" t="n">
        <f aca="false">SUMIFS(Fact_PreSortWeights!$E$2:$E$6,Fact_PreSortWeights!$C$2:$C$6,A10,Fact_PreSortWeights!$B$2:$B$6,B10)</f>
        <v>507.98</v>
      </c>
      <c r="D10" s="0" t="n">
        <f aca="false">SUMIFS(Fact_SortedWeights!$E$2:$E$67,Fact_SortedWeights!$C$2:$C$67,A10,Fact_SortedWeights!$B$2:$B$67,B10)</f>
        <v>507.98</v>
      </c>
      <c r="E10" s="0" t="n">
        <f aca="false">D10-C10</f>
        <v>0</v>
      </c>
      <c r="F10" s="0" t="n">
        <f aca="false">IF(C10=0,"n/a",E10/C10)</f>
        <v>0</v>
      </c>
      <c r="G10" s="0" t="str">
        <f aca="false">IF(AND(C10=0,D10=0),"no data yet",IF(C10=0,"no presort data",IF(D10=0,"NOT YET SORTED",IF(ABS(F10)&gt;0.15,"CHECK &gt;15% variance","OK"))))</f>
        <v>OK</v>
      </c>
    </row>
    <row r="11" customFormat="false" ht="15" hidden="false" customHeight="false" outlineLevel="0" collapsed="false">
      <c r="A11" s="0" t="s">
        <v>81</v>
      </c>
      <c r="B11" s="0" t="s">
        <v>84</v>
      </c>
      <c r="C11" s="0" t="n">
        <f aca="false">SUMIFS(Fact_PreSortWeights!$E$2:$E$6,Fact_PreSortWeights!$C$2:$C$6,A11,Fact_PreSortWeights!$B$2:$B$6,B11)</f>
        <v>143.8</v>
      </c>
      <c r="D11" s="0" t="n">
        <f aca="false">SUMIFS(Fact_SortedWeights!$E$2:$E$67,Fact_SortedWeights!$C$2:$C$67,A11,Fact_SortedWeights!$B$2:$B$67,B11)</f>
        <v>143.8</v>
      </c>
      <c r="E11" s="0" t="n">
        <f aca="false">D11-C11</f>
        <v>0</v>
      </c>
      <c r="F11" s="0" t="n">
        <f aca="false">IF(C11=0,"n/a",E11/C11)</f>
        <v>0</v>
      </c>
      <c r="G11" s="0" t="str">
        <f aca="false">IF(AND(C11=0,D11=0),"no data yet",IF(C11=0,"no presort data",IF(D11=0,"NOT YET SORTED",IF(ABS(F11)&gt;0.15,"CHECK &gt;15% variance","OK"))))</f>
        <v>OK</v>
      </c>
    </row>
    <row r="12" customFormat="false" ht="15" hidden="false" customHeight="false" outlineLevel="0" collapsed="false">
      <c r="A12" s="0" t="s">
        <v>81</v>
      </c>
      <c r="B12" s="0" t="s">
        <v>85</v>
      </c>
      <c r="C12" s="0" t="n">
        <f aca="false">SUMIFS(Fact_PreSortWeights!$E$2:$E$6,Fact_PreSortWeights!$C$2:$C$6,A12,Fact_PreSortWeights!$B$2:$B$6,B12)</f>
        <v>0</v>
      </c>
      <c r="D12" s="0" t="n">
        <f aca="false">SUMIFS(Fact_SortedWeights!$E$2:$E$67,Fact_SortedWeights!$C$2:$C$67,A12,Fact_SortedWeights!$B$2:$B$67,B12)</f>
        <v>0</v>
      </c>
      <c r="E12" s="0" t="n">
        <f aca="false">D12-C12</f>
        <v>0</v>
      </c>
      <c r="F12" s="0" t="str">
        <f aca="false">IF(C12=0,"n/a",E12/C12)</f>
        <v>n/a</v>
      </c>
      <c r="G12" s="0" t="str">
        <f aca="false">IF(AND(C12=0,D12=0),"no data yet",IF(C12=0,"no presort data",IF(D12=0,"NOT YET SORTED",IF(ABS(F12)&gt;0.15,"CHECK &gt;15% variance","OK"))))</f>
        <v>no data yet</v>
      </c>
    </row>
    <row r="13" customFormat="false" ht="15" hidden="false" customHeight="false" outlineLevel="0" collapsed="false">
      <c r="A13" s="0" t="s">
        <v>81</v>
      </c>
      <c r="B13" s="0" t="s">
        <v>86</v>
      </c>
      <c r="C13" s="0" t="n">
        <f aca="false">SUMIFS(Fact_PreSortWeights!$E$2:$E$6,Fact_PreSortWeights!$C$2:$C$6,A13,Fact_PreSortWeights!$B$2:$B$6,B13)</f>
        <v>0</v>
      </c>
      <c r="D13" s="0" t="n">
        <f aca="false">SUMIFS(Fact_SortedWeights!$E$2:$E$67,Fact_SortedWeights!$C$2:$C$67,A13,Fact_SortedWeights!$B$2:$B$67,B13)</f>
        <v>84.6</v>
      </c>
      <c r="E13" s="0" t="n">
        <f aca="false">D13-C13</f>
        <v>84.6</v>
      </c>
      <c r="F13" s="0" t="str">
        <f aca="false">IF(C13=0,"n/a",E13/C13)</f>
        <v>n/a</v>
      </c>
      <c r="G13" s="0" t="str">
        <f aca="false">IF(AND(C13=0,D13=0),"no data yet",IF(C13=0,"no presort data",IF(D13=0,"NOT YET SORTED",IF(ABS(F13)&gt;0.15,"CHECK &gt;15% variance","OK"))))</f>
        <v>no presort data</v>
      </c>
    </row>
    <row r="14" customFormat="false" ht="15" hidden="false" customHeight="false" outlineLevel="0" collapsed="false">
      <c r="A14" s="0" t="s">
        <v>81</v>
      </c>
      <c r="B14" s="0" t="s">
        <v>87</v>
      </c>
      <c r="C14" s="0" t="n">
        <f aca="false">SUMIFS(Fact_PreSortWeights!$E$2:$E$6,Fact_PreSortWeights!$C$2:$C$6,A14,Fact_PreSortWeights!$B$2:$B$6,B14)</f>
        <v>0</v>
      </c>
      <c r="D14" s="0" t="n">
        <f aca="false">SUMIFS(Fact_SortedWeights!$E$2:$E$67,Fact_SortedWeights!$C$2:$C$67,A14,Fact_SortedWeights!$B$2:$B$67,B14)</f>
        <v>0</v>
      </c>
      <c r="E14" s="0" t="n">
        <f aca="false">D14-C14</f>
        <v>0</v>
      </c>
      <c r="F14" s="0" t="str">
        <f aca="false">IF(C14=0,"n/a",E14/C14)</f>
        <v>n/a</v>
      </c>
      <c r="G14" s="0" t="str">
        <f aca="false">IF(AND(C14=0,D14=0),"no data yet",IF(C14=0,"no presort data",IF(D14=0,"NOT YET SORTED",IF(ABS(F14)&gt;0.15,"CHECK &gt;15% variance","OK"))))</f>
        <v>no data yet</v>
      </c>
    </row>
    <row r="15" customFormat="false" ht="15" hidden="false" customHeight="false" outlineLevel="0" collapsed="false">
      <c r="A15" s="0" t="s">
        <v>81</v>
      </c>
      <c r="B15" s="0" t="s">
        <v>88</v>
      </c>
      <c r="C15" s="0" t="n">
        <f aca="false">SUMIFS(Fact_PreSortWeights!$E$2:$E$6,Fact_PreSortWeights!$C$2:$C$6,A15,Fact_PreSortWeights!$B$2:$B$6,B15)</f>
        <v>0</v>
      </c>
      <c r="D15" s="0" t="n">
        <f aca="false">SUMIFS(Fact_SortedWeights!$E$2:$E$67,Fact_SortedWeights!$C$2:$C$67,A15,Fact_SortedWeights!$B$2:$B$67,B15)</f>
        <v>0</v>
      </c>
      <c r="E15" s="0" t="n">
        <f aca="false">D15-C15</f>
        <v>0</v>
      </c>
      <c r="F15" s="0" t="str">
        <f aca="false">IF(C15=0,"n/a",E15/C15)</f>
        <v>n/a</v>
      </c>
      <c r="G15" s="0" t="str">
        <f aca="false">IF(AND(C15=0,D15=0),"no data yet",IF(C15=0,"no presort data",IF(D15=0,"NOT YET SORTED",IF(ABS(F15)&gt;0.15,"CHECK &gt;15% variance","OK"))))</f>
        <v>no data yet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